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6410" yWindow="-15" windowWidth="8670" windowHeight="11655" activeTab="1"/>
  </bookViews>
  <sheets>
    <sheet name="Clients &amp; Job #'s" sheetId="5" r:id="rId1"/>
    <sheet name="Data Entry" sheetId="1" r:id="rId2"/>
  </sheets>
  <definedNames>
    <definedName name="Clients">ClientData[#Headers]</definedName>
    <definedName name="JobDetails">INDEX(ClientData[#Data],0,MATCH('Data Entry'!XFD1,ClientData[#Headers],0))</definedName>
    <definedName name="SelectDetails">OFFSET(JobDetails,0,0,COUNTA(JobDetails),1)</definedName>
  </definedNames>
  <calcPr calcId="144525"/>
</workbook>
</file>

<file path=xl/calcChain.xml><?xml version="1.0" encoding="utf-8"?>
<calcChain xmlns="http://schemas.openxmlformats.org/spreadsheetml/2006/main">
  <c r="I343" i="1" l="1"/>
  <c r="I342" i="1"/>
  <c r="I345" i="1" s="1"/>
  <c r="H342" i="1"/>
  <c r="I323" i="1"/>
  <c r="I322" i="1"/>
  <c r="I325" i="1" s="1"/>
  <c r="H322" i="1"/>
  <c r="I305" i="1"/>
  <c r="I304" i="1"/>
  <c r="I307" i="1" s="1"/>
  <c r="H304" i="1"/>
  <c r="I291" i="1"/>
  <c r="I290" i="1"/>
  <c r="I293" i="1" s="1"/>
  <c r="H290" i="1"/>
  <c r="I259" i="1"/>
  <c r="I258" i="1"/>
  <c r="I261" i="1" s="1"/>
  <c r="H258" i="1"/>
  <c r="I231" i="1"/>
  <c r="I230" i="1"/>
  <c r="I233" i="1" s="1"/>
  <c r="H230" i="1"/>
  <c r="I202" i="1"/>
  <c r="I201" i="1"/>
  <c r="I204" i="1" s="1"/>
  <c r="H201" i="1"/>
  <c r="I168" i="1"/>
  <c r="I167" i="1"/>
  <c r="I170" i="1" s="1"/>
  <c r="H167" i="1"/>
  <c r="I138" i="1"/>
  <c r="I137" i="1"/>
  <c r="I140" i="1" s="1"/>
  <c r="H137" i="1"/>
  <c r="I110" i="1"/>
  <c r="I109" i="1"/>
  <c r="I112" i="1" s="1"/>
  <c r="H109" i="1"/>
  <c r="I80" i="1"/>
  <c r="I79" i="1"/>
  <c r="I82" i="1" s="1"/>
  <c r="H79" i="1"/>
  <c r="I49" i="1"/>
  <c r="I48" i="1"/>
  <c r="I51" i="1" s="1"/>
  <c r="H48" i="1"/>
  <c r="I22" i="1"/>
  <c r="I21" i="1"/>
  <c r="I24" i="1" s="1"/>
  <c r="H21" i="1"/>
  <c r="I6" i="1"/>
  <c r="I5" i="1"/>
  <c r="I8" i="1" s="1"/>
  <c r="H5" i="1"/>
  <c r="L80" i="1" l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54" i="1"/>
  <c r="L52" i="1"/>
  <c r="L53" i="1"/>
  <c r="M57" i="1" l="1"/>
  <c r="O319" i="1" l="1"/>
  <c r="A2" i="1"/>
</calcChain>
</file>

<file path=xl/sharedStrings.xml><?xml version="1.0" encoding="utf-8"?>
<sst xmlns="http://schemas.openxmlformats.org/spreadsheetml/2006/main" count="1315" uniqueCount="288">
  <si>
    <t>Date</t>
  </si>
  <si>
    <t>Customer</t>
  </si>
  <si>
    <t>JobDetails</t>
  </si>
  <si>
    <t>Hours</t>
  </si>
  <si>
    <t>Description</t>
  </si>
  <si>
    <t>CNRL</t>
  </si>
  <si>
    <t>Arc</t>
  </si>
  <si>
    <t>SD Key</t>
  </si>
  <si>
    <t>Rate:</t>
  </si>
  <si>
    <t>GST:</t>
  </si>
  <si>
    <t>Total:</t>
  </si>
  <si>
    <t>Payrate:</t>
  </si>
  <si>
    <t>Lauren Concise</t>
  </si>
  <si>
    <t>RN Engineering</t>
  </si>
  <si>
    <t>SCADA</t>
  </si>
  <si>
    <t>Overhead</t>
  </si>
  <si>
    <t>Software Preparation</t>
  </si>
  <si>
    <t>HMI Display</t>
  </si>
  <si>
    <t>HMI Display (Update Wellruns TEMP)</t>
  </si>
  <si>
    <t>Quick Builder (Wellsite Trends STATIC)</t>
  </si>
  <si>
    <t>HMI Web (Compressor Overview)</t>
  </si>
  <si>
    <t>HMI Web (Compressor Overview - Pop Ups)</t>
  </si>
  <si>
    <t>SK Key</t>
  </si>
  <si>
    <t>Create Point Database from Tech. Drawings</t>
  </si>
  <si>
    <t>Timesheets and Reporting</t>
  </si>
  <si>
    <t>Create Point Database from Drawings</t>
  </si>
  <si>
    <t>ROCLINK Install and Update</t>
  </si>
  <si>
    <t>HMI Web to Display file</t>
  </si>
  <si>
    <t>HMI Trends for Wellsites</t>
  </si>
  <si>
    <t>HMI Run Breakdown</t>
  </si>
  <si>
    <t>Updating Reports, HMI Run Breakdown</t>
  </si>
  <si>
    <t>Building Displays for HMI</t>
  </si>
  <si>
    <t>Reporting</t>
  </si>
  <si>
    <t>SCADA/HMI - West Timers</t>
  </si>
  <si>
    <t>HMI</t>
  </si>
  <si>
    <t>Beijer Panel</t>
  </si>
  <si>
    <t>Reports/HMI</t>
  </si>
  <si>
    <t>Reports</t>
  </si>
  <si>
    <t>Travel</t>
  </si>
  <si>
    <t>Site Work</t>
  </si>
  <si>
    <t>Report Layouts</t>
  </si>
  <si>
    <t>Display Builder</t>
  </si>
  <si>
    <t>Review I/O</t>
  </si>
  <si>
    <t>Review Shutdown Key</t>
  </si>
  <si>
    <t>Review I/O and Shutdown Key</t>
  </si>
  <si>
    <t>PLC Configuration</t>
  </si>
  <si>
    <t>Report and PVR Fixes</t>
  </si>
  <si>
    <t>Report Fixes</t>
  </si>
  <si>
    <t>OPERATIONS</t>
  </si>
  <si>
    <t>HMI Display (Compressor overview)</t>
  </si>
  <si>
    <t>Report Fixes (Confirm d33L/d31L and Add C4H/B89)</t>
  </si>
  <si>
    <t>HMI (Change A68 -&gt; C4H) / Scada DL</t>
  </si>
  <si>
    <t>SDK</t>
  </si>
  <si>
    <t>Update C4H Points for Valve / B89 to Well Summary</t>
  </si>
  <si>
    <t>PLC Setup (Alarms, Tags, Firmware)</t>
  </si>
  <si>
    <t>Mustang Dwgs</t>
  </si>
  <si>
    <t>Adjustment</t>
  </si>
  <si>
    <t>Communcition Config</t>
  </si>
  <si>
    <t>SD Key (BODO) - 4 hrs</t>
  </si>
  <si>
    <t>Panel IO Testing</t>
  </si>
  <si>
    <t>PLC Programming</t>
  </si>
  <si>
    <t>(BODO) SD Key (4 Hrs)</t>
  </si>
  <si>
    <t>PLC Programming (PID)</t>
  </si>
  <si>
    <t>Software Config</t>
  </si>
  <si>
    <t>Travel / Site Work</t>
  </si>
  <si>
    <t>Reports / New Points into QB / Ensure Reporting Tags</t>
  </si>
  <si>
    <t>Importing new reporting displays / Update Reports</t>
  </si>
  <si>
    <t>Timer Displays / FO-FC / Plunger Lifts / Report Fixes</t>
  </si>
  <si>
    <t>Plunger Lift / Travel</t>
  </si>
  <si>
    <t>PLC Programming (TX Model / Vermilion Compare / MCM / LeadLag)</t>
  </si>
  <si>
    <t>Notes</t>
  </si>
  <si>
    <t>HMI - Update Valve Timer Pages</t>
  </si>
  <si>
    <t>Need to Update Screens on House Computer</t>
  </si>
  <si>
    <t>TNT Engineering</t>
  </si>
  <si>
    <t>KeyWest</t>
  </si>
  <si>
    <t>CP 5-14</t>
  </si>
  <si>
    <t>CP 2-20</t>
  </si>
  <si>
    <t>IMV Projects2</t>
  </si>
  <si>
    <t>Flow Meter / Run Timer</t>
  </si>
  <si>
    <t>Program Review / Updates</t>
  </si>
  <si>
    <t>Pushed from 8 hrs done previously</t>
  </si>
  <si>
    <t>New Project / SDKey</t>
  </si>
  <si>
    <t>SD Key / Alarms</t>
  </si>
  <si>
    <t>SD Key / Alarms / Timers</t>
  </si>
  <si>
    <t>DL04-09 -&gt; 7-22</t>
  </si>
  <si>
    <t>DL04-25 -&gt; 1-31</t>
  </si>
  <si>
    <t>TQ06-02 -&gt; 2-33</t>
  </si>
  <si>
    <t>Process Diagrams / HMI DB</t>
  </si>
  <si>
    <t>PLC Review</t>
  </si>
  <si>
    <t>Review SDK and CN to PLC Program</t>
  </si>
  <si>
    <t>PLC Review/Programming</t>
  </si>
  <si>
    <t>Make Required Changes as per Review</t>
  </si>
  <si>
    <t>8hrs pushed to Mar 25th</t>
  </si>
  <si>
    <t>PLC Review / Programming</t>
  </si>
  <si>
    <t>Confim Compliance with New SDK and CN</t>
  </si>
  <si>
    <t>PLC Introduction / Setup</t>
  </si>
  <si>
    <t>SetUp and Initialize Comms for PLC</t>
  </si>
  <si>
    <t>CALIB / HMI Interfacing</t>
  </si>
  <si>
    <t>PLC / HMI Programming</t>
  </si>
  <si>
    <t>Alarms for HMI DB</t>
  </si>
  <si>
    <t>Software Installation</t>
  </si>
  <si>
    <t>Matrikon Server</t>
  </si>
  <si>
    <t>Communication</t>
  </si>
  <si>
    <t>KEPServer \ Lantronix</t>
  </si>
  <si>
    <t>Communication \ VM Building</t>
  </si>
  <si>
    <t>Panel Testing</t>
  </si>
  <si>
    <t>PLC / HMI</t>
  </si>
  <si>
    <t>d-95-K</t>
  </si>
  <si>
    <t>Licensing and KEPServer</t>
  </si>
  <si>
    <t>OPC</t>
  </si>
  <si>
    <t>Server Configuration</t>
  </si>
  <si>
    <t>Equipment Ordering</t>
  </si>
  <si>
    <t>Equipment for Drop 4 Morinville/Highridge</t>
  </si>
  <si>
    <t>Tag Point Entry</t>
  </si>
  <si>
    <t>Unity Intro 101</t>
  </si>
  <si>
    <t>Custom FB Conversion from RS Logic</t>
  </si>
  <si>
    <t>PEM026-001 - Freeman Pump</t>
  </si>
  <si>
    <t>PEM025-001 - Morinville Pump</t>
  </si>
  <si>
    <t>PEM005-001 - Musreau 4-25</t>
  </si>
  <si>
    <t>PMC002-001 - Nipisi Treater</t>
  </si>
  <si>
    <t>PEM027-001 - Highridge Pump</t>
  </si>
  <si>
    <t>PEM028-001 - Fox Ck Pump</t>
  </si>
  <si>
    <t>PEM029-001 - Windfall Pump</t>
  </si>
  <si>
    <t>PEM030-001 - Whitecourt Pump</t>
  </si>
  <si>
    <t>PEM031-001 - Sangudo Pump</t>
  </si>
  <si>
    <t>PEM032-001 - Glenevis Pump</t>
  </si>
  <si>
    <t>PEM033-001 - Calahoo Pump</t>
  </si>
  <si>
    <t>MTC002-001 - Methanex</t>
  </si>
  <si>
    <t>PEN001-001 - East BODO</t>
  </si>
  <si>
    <t>VET001-001 - Cynthia 15-16</t>
  </si>
  <si>
    <t>PEM040-001 - Resthaven</t>
  </si>
  <si>
    <t>Gas Detection Course</t>
  </si>
  <si>
    <t>Standard First Aid 'A'</t>
  </si>
  <si>
    <t>IO Review</t>
  </si>
  <si>
    <t>New Guys</t>
  </si>
  <si>
    <t>Development Plan Overview</t>
  </si>
  <si>
    <t>Talk with Bill</t>
  </si>
  <si>
    <t>PST / CSTS</t>
  </si>
  <si>
    <t>SDK Review</t>
  </si>
  <si>
    <t>Panel Test Setup</t>
  </si>
  <si>
    <t>P&amp;ID Review</t>
  </si>
  <si>
    <t>PEM034-001 - Tony Creek</t>
  </si>
  <si>
    <t>IO Review / SDK</t>
  </si>
  <si>
    <t>Terminal Server</t>
  </si>
  <si>
    <t>RS Logic -&gt; Lantronix</t>
  </si>
  <si>
    <t>Teminal Server</t>
  </si>
  <si>
    <t>PLC Programming / SDK Programming</t>
  </si>
  <si>
    <t>EnCana Introduction</t>
  </si>
  <si>
    <t>VFD Communication</t>
  </si>
  <si>
    <t>VFD / Modbus Comm</t>
  </si>
  <si>
    <t>Modbus Comm</t>
  </si>
  <si>
    <t>Database</t>
  </si>
  <si>
    <t>Ron</t>
  </si>
  <si>
    <t>MCM Configuration</t>
  </si>
  <si>
    <t>MCM Config</t>
  </si>
  <si>
    <t>PLC Development</t>
  </si>
  <si>
    <t>Citect Setup</t>
  </si>
  <si>
    <t>HMI Communication Configuration</t>
  </si>
  <si>
    <t>Nipisi and Freeman Processor Config and HMI Communicaton Config</t>
  </si>
  <si>
    <t>AB 1761 NET-ENI Configuration</t>
  </si>
  <si>
    <t>MCC Communication</t>
  </si>
  <si>
    <t>HMI / SCADA Commands</t>
  </si>
  <si>
    <t>PEM029-001 - Chickadee Creek</t>
  </si>
  <si>
    <t>Trecon Prologic - PLC Panel</t>
  </si>
  <si>
    <t>Intro Jonash to Project</t>
  </si>
  <si>
    <t>RSLinks will not hold connection</t>
  </si>
  <si>
    <t>HMI Configuration</t>
  </si>
  <si>
    <t>Rockwell Helpdesk</t>
  </si>
  <si>
    <t>Using and Configuring Themes</t>
  </si>
  <si>
    <t>Pumps</t>
  </si>
  <si>
    <t>Pumps / MODBUS Test</t>
  </si>
  <si>
    <t>HMI Development</t>
  </si>
  <si>
    <t>Pump / VFD</t>
  </si>
  <si>
    <t>Pump Test / HVAC / Sequential Pump Shutdown</t>
  </si>
  <si>
    <t>Timesheet</t>
  </si>
  <si>
    <t>Reporting Revisions</t>
  </si>
  <si>
    <t>AB 1761 NET-ENI</t>
  </si>
  <si>
    <t>Configuration</t>
  </si>
  <si>
    <t>MCC Testing</t>
  </si>
  <si>
    <t>IO Confirmation</t>
  </si>
  <si>
    <t>IO Testing</t>
  </si>
  <si>
    <t>Modbus Config</t>
  </si>
  <si>
    <t>PIDs</t>
  </si>
  <si>
    <t>PIDs, VFDs, Motor and Pump Integration</t>
  </si>
  <si>
    <t>VFDs</t>
  </si>
  <si>
    <t>SCADA / HMI Addressing</t>
  </si>
  <si>
    <t>PLC and HMI Development</t>
  </si>
  <si>
    <t>VFD (PLC and HMI)</t>
  </si>
  <si>
    <t>Confirm VFD and HVAC Operation</t>
  </si>
  <si>
    <t>VFD Testing</t>
  </si>
  <si>
    <t>Discrete Alarming</t>
  </si>
  <si>
    <t>Packing Office</t>
  </si>
  <si>
    <t>Prepare for Site</t>
  </si>
  <si>
    <t>Prepare Jonash to Start Highridge</t>
  </si>
  <si>
    <t>Prepare Jonash to Start Freeman HMI</t>
  </si>
  <si>
    <t>Commissioning</t>
  </si>
  <si>
    <t>Commissioning / PLC Development</t>
  </si>
  <si>
    <t>Commissioning / HMI Database</t>
  </si>
  <si>
    <t>HVAC Test</t>
  </si>
  <si>
    <t>Help Jonash</t>
  </si>
  <si>
    <t>HMI Review</t>
  </si>
  <si>
    <t>Review Progress on HMI with Jonash</t>
  </si>
  <si>
    <t>Review Progress on PLC with Jonash</t>
  </si>
  <si>
    <t>Shutdown Key</t>
  </si>
  <si>
    <t>Review SDK with Ron</t>
  </si>
  <si>
    <t>SCADA Database</t>
  </si>
  <si>
    <t>Review Progress on Database with Jonash</t>
  </si>
  <si>
    <t>Panel Testing at Prologic</t>
  </si>
  <si>
    <t>PLC / HMI Development</t>
  </si>
  <si>
    <t>Review HMI</t>
  </si>
  <si>
    <t>Review PLC</t>
  </si>
  <si>
    <t>Shutdown Testing</t>
  </si>
  <si>
    <t>Set Up</t>
  </si>
  <si>
    <t>Shutdown Logic / Update Shutdown Key</t>
  </si>
  <si>
    <t>Pump Test / PLC Development</t>
  </si>
  <si>
    <t>Control Naritive Review / VFD Bump Tests / RTD</t>
  </si>
  <si>
    <t>Start-Up</t>
  </si>
  <si>
    <t>Expences</t>
  </si>
  <si>
    <t>Pack for Site</t>
  </si>
  <si>
    <t>Water Injection</t>
  </si>
  <si>
    <t>Kaybob</t>
  </si>
  <si>
    <t>ClearSCADA to Excel</t>
  </si>
  <si>
    <t>Xcel Automation</t>
  </si>
  <si>
    <t>ClearSCADA Scripting</t>
  </si>
  <si>
    <t>ARL001-021 - Reconfig 480V</t>
  </si>
  <si>
    <t>ARL-xxx - Water Inj</t>
  </si>
  <si>
    <t>ARL-xxx - SDWN Checks</t>
  </si>
  <si>
    <t>ARL-xxx-Acid Gas VFD</t>
  </si>
  <si>
    <t>GP -&gt; Calgary</t>
  </si>
  <si>
    <t>Calgary -&gt; Dawson Creek</t>
  </si>
  <si>
    <t>Debug Existing SQL Scripts</t>
  </si>
  <si>
    <t>SD Review</t>
  </si>
  <si>
    <t>Review Descriptions</t>
  </si>
  <si>
    <t>Prepare for Review</t>
  </si>
  <si>
    <t>Panel Test Program with Comments</t>
  </si>
  <si>
    <t>PMC007-001 - Rimby Terminal</t>
  </si>
  <si>
    <t>Review exisiting Shutdown Key</t>
  </si>
  <si>
    <t>Panel Test and Reporting</t>
  </si>
  <si>
    <t>Create new SDK</t>
  </si>
  <si>
    <t>PG54-02</t>
  </si>
  <si>
    <t>Unity</t>
  </si>
  <si>
    <t>Train Alex in Unity</t>
  </si>
  <si>
    <t>Alarming</t>
  </si>
  <si>
    <t>Review Documents</t>
  </si>
  <si>
    <t>First Out / Descriptions</t>
  </si>
  <si>
    <t>Review Control Naritive</t>
  </si>
  <si>
    <t>Develop Database Tool</t>
  </si>
  <si>
    <t>Expence Report for Site Work</t>
  </si>
  <si>
    <t>PLC Communication</t>
  </si>
  <si>
    <t>Flash Firmware / Review Control Naritive</t>
  </si>
  <si>
    <t>Resthave DB Hours</t>
  </si>
  <si>
    <t>SGE001-004 - 7Geb Lator</t>
  </si>
  <si>
    <t>SGE002-016 - Karr 7-11 exp</t>
  </si>
  <si>
    <t>PEM023-007 - Mitsue Pump</t>
  </si>
  <si>
    <t>PEM030-001</t>
  </si>
  <si>
    <t>Review</t>
  </si>
  <si>
    <t>Control Naritive / Instrument Index</t>
  </si>
  <si>
    <t>SCADA Test</t>
  </si>
  <si>
    <t>Morning Doc Appointment</t>
  </si>
  <si>
    <t>Document Control</t>
  </si>
  <si>
    <t>Code Review</t>
  </si>
  <si>
    <t>Update and File Related Documents</t>
  </si>
  <si>
    <t>VFD Coding</t>
  </si>
  <si>
    <t>Ensure PLC IO and SCADA IO are Aligned</t>
  </si>
  <si>
    <t>Pump Coding</t>
  </si>
  <si>
    <t>Tech Support Call for CPU Clock</t>
  </si>
  <si>
    <t>Critical Controls Document</t>
  </si>
  <si>
    <t>Layout</t>
  </si>
  <si>
    <t>P&amp;ID Compare</t>
  </si>
  <si>
    <t>Startup Bypass</t>
  </si>
  <si>
    <t>Valve Positioners</t>
  </si>
  <si>
    <t>SDK Code</t>
  </si>
  <si>
    <t>PIDs and SDK</t>
  </si>
  <si>
    <t>Sinopec-Daylight</t>
  </si>
  <si>
    <t>13-15 Well Pad</t>
  </si>
  <si>
    <t>04-11 Well Pad</t>
  </si>
  <si>
    <t>07-22 Comp</t>
  </si>
  <si>
    <t>PEM032-001 Glenevis Pump</t>
  </si>
  <si>
    <t>Travel to Site / Site Orientation</t>
  </si>
  <si>
    <t>Callouts / Spectra Analyzer</t>
  </si>
  <si>
    <t>Testing Program</t>
  </si>
  <si>
    <t>Prepare Program for Darin to Test Panel</t>
  </si>
  <si>
    <t>Horns - IO Tracking</t>
  </si>
  <si>
    <t>Soft Shutdown Check</t>
  </si>
  <si>
    <t>SD Key Check</t>
  </si>
  <si>
    <t>Inspection</t>
  </si>
  <si>
    <t>Increase Pressure (3700 kPa)</t>
  </si>
  <si>
    <t>Purge (450 kPa)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</si>
</sst>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8" borderId="0" applyNumberFormat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1" applyFont="1" applyFill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>
      <alignment horizontal="right"/>
    </xf>
    <xf numFmtId="165" fontId="0" fillId="0" borderId="0" xfId="0" applyNumberForma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0" fillId="0" borderId="0" xfId="0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0" xfId="0" applyNumberFormat="1" applyFont="1" applyFill="1" applyBorder="1" applyAlignment="1">
      <alignment horizontal="center"/>
    </xf>
    <xf numFmtId="10" fontId="0" fillId="0" borderId="0" xfId="0" applyNumberFormat="1" applyFill="1" applyAlignment="1">
      <alignment horizontal="right"/>
    </xf>
    <xf numFmtId="49" fontId="0" fillId="0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left"/>
    </xf>
    <xf numFmtId="0" fontId="3" fillId="0" borderId="0" xfId="0" applyFont="1" applyFill="1"/>
    <xf numFmtId="165" fontId="0" fillId="0" borderId="0" xfId="0" applyNumberFormat="1" applyFill="1"/>
    <xf numFmtId="2" fontId="0" fillId="0" borderId="0" xfId="0" applyNumberFormat="1" applyFill="1" applyAlignment="1">
      <alignment horizontal="left"/>
    </xf>
    <xf numFmtId="165" fontId="0" fillId="0" borderId="0" xfId="0" applyNumberFormat="1" applyFill="1" applyAlignment="1">
      <alignment horizontal="left"/>
    </xf>
    <xf numFmtId="10" fontId="0" fillId="0" borderId="0" xfId="0" applyNumberFormat="1" applyFill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left"/>
    </xf>
    <xf numFmtId="49" fontId="0" fillId="4" borderId="0" xfId="0" applyNumberFormat="1" applyFill="1" applyAlignment="1">
      <alignment horizontal="left"/>
    </xf>
    <xf numFmtId="0" fontId="0" fillId="0" borderId="0" xfId="0"/>
    <xf numFmtId="0" fontId="4" fillId="5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49" fontId="5" fillId="4" borderId="0" xfId="0" applyNumberFormat="1" applyFont="1" applyFill="1" applyAlignment="1">
      <alignment horizontal="left"/>
    </xf>
    <xf numFmtId="164" fontId="0" fillId="4" borderId="0" xfId="0" applyNumberFormat="1" applyFont="1" applyFill="1" applyAlignment="1">
      <alignment horizontal="center"/>
    </xf>
    <xf numFmtId="0" fontId="0" fillId="4" borderId="0" xfId="0" applyFont="1" applyFill="1" applyAlignment="1">
      <alignment horizontal="center"/>
    </xf>
    <xf numFmtId="49" fontId="0" fillId="4" borderId="0" xfId="0" applyNumberFormat="1" applyFont="1" applyFill="1" applyAlignment="1">
      <alignment horizontal="left"/>
    </xf>
    <xf numFmtId="0" fontId="0" fillId="4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49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3" borderId="0" xfId="0" applyFont="1" applyFill="1"/>
    <xf numFmtId="165" fontId="0" fillId="0" borderId="0" xfId="0" applyNumberFormat="1" applyFont="1" applyFill="1" applyAlignment="1">
      <alignment horizontal="right"/>
    </xf>
    <xf numFmtId="0" fontId="0" fillId="0" borderId="0" xfId="0" applyFont="1" applyFill="1"/>
    <xf numFmtId="0" fontId="0" fillId="0" borderId="0" xfId="0" applyFont="1"/>
    <xf numFmtId="2" fontId="0" fillId="0" borderId="0" xfId="0" applyNumberFormat="1" applyFont="1" applyFill="1" applyAlignment="1">
      <alignment horizontal="right"/>
    </xf>
    <xf numFmtId="10" fontId="0" fillId="0" borderId="0" xfId="0" applyNumberFormat="1" applyFont="1" applyFill="1" applyAlignment="1">
      <alignment horizontal="right"/>
    </xf>
    <xf numFmtId="165" fontId="0" fillId="0" borderId="0" xfId="0" applyNumberFormat="1" applyFont="1" applyFill="1"/>
    <xf numFmtId="164" fontId="5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49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1" fillId="7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7" fillId="8" borderId="0" xfId="4"/>
  </cellXfs>
  <cellStyles count="5">
    <cellStyle name="Comma 2" xfId="2"/>
    <cellStyle name="Neutral" xfId="4" builtinId="28"/>
    <cellStyle name="Normal" xfId="0" builtinId="0"/>
    <cellStyle name="Normal 2" xfId="1"/>
    <cellStyle name="Percent 2" xfId="3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19050</xdr:rowOff>
        </xdr:from>
        <xdr:to>
          <xdr:col>8</xdr:col>
          <xdr:colOff>38100</xdr:colOff>
          <xdr:row>1</xdr:row>
          <xdr:rowOff>66675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85725</xdr:rowOff>
        </xdr:from>
        <xdr:to>
          <xdr:col>8</xdr:col>
          <xdr:colOff>38100</xdr:colOff>
          <xdr:row>2</xdr:row>
          <xdr:rowOff>180975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JOB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lientData" displayName="ClientData" ref="A1:G26" totalsRowShown="0" headerRowDxfId="10" dataDxfId="8" headerRowBorderDxfId="9" tableBorderDxfId="7">
  <autoFilter ref="A1:G26"/>
  <sortState ref="A2:F23">
    <sortCondition ref="B2"/>
  </sortState>
  <tableColumns count="7">
    <tableColumn id="1" name="CNRL" dataDxfId="6"/>
    <tableColumn id="10" name="Lauren Concise" dataDxfId="5"/>
    <tableColumn id="11" name="RN Engineering" dataDxfId="4"/>
    <tableColumn id="12" name="TNT Engineering" dataDxfId="3"/>
    <tableColumn id="2" name="IMV Projects2" dataDxfId="2"/>
    <tableColumn id="3" name="KeyWest" dataDxfId="1"/>
    <tableColumn id="4" name="Sinopec-Dayligh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O26"/>
  <sheetViews>
    <sheetView workbookViewId="0">
      <selection activeCell="G1" sqref="G1:G4"/>
    </sheetView>
  </sheetViews>
  <sheetFormatPr defaultRowHeight="15" x14ac:dyDescent="0.25"/>
  <cols>
    <col min="1" max="1" width="13.140625" bestFit="1" customWidth="1"/>
    <col min="2" max="2" width="28.5703125" style="33" bestFit="1" customWidth="1"/>
    <col min="3" max="3" width="19.28515625" style="33" bestFit="1" customWidth="1"/>
    <col min="4" max="4" width="16.85546875" style="33" bestFit="1" customWidth="1"/>
    <col min="5" max="5" width="18" bestFit="1" customWidth="1"/>
    <col min="6" max="6" width="17.28515625" bestFit="1" customWidth="1"/>
    <col min="7" max="7" width="16.140625" customWidth="1"/>
  </cols>
  <sheetData>
    <row r="1" spans="1:15" ht="15.75" thickBot="1" x14ac:dyDescent="0.3">
      <c r="A1" s="34" t="s">
        <v>5</v>
      </c>
      <c r="B1" s="34" t="s">
        <v>12</v>
      </c>
      <c r="C1" s="34" t="s">
        <v>13</v>
      </c>
      <c r="D1" s="34" t="s">
        <v>73</v>
      </c>
      <c r="E1" s="34" t="s">
        <v>77</v>
      </c>
      <c r="F1" s="34" t="s">
        <v>74</v>
      </c>
      <c r="G1" s="34" t="s">
        <v>273</v>
      </c>
    </row>
    <row r="2" spans="1:15" s="33" customFormat="1" ht="15.75" thickTop="1" x14ac:dyDescent="0.25">
      <c r="A2" s="35" t="s">
        <v>14</v>
      </c>
      <c r="B2" s="61" t="s">
        <v>56</v>
      </c>
      <c r="C2" s="35" t="s">
        <v>15</v>
      </c>
      <c r="D2" s="35" t="s">
        <v>75</v>
      </c>
      <c r="E2" s="35" t="s">
        <v>55</v>
      </c>
      <c r="F2" s="35" t="s">
        <v>84</v>
      </c>
      <c r="G2" s="36" t="s">
        <v>274</v>
      </c>
      <c r="I2"/>
      <c r="J2"/>
      <c r="K2"/>
      <c r="L2"/>
      <c r="M2"/>
      <c r="N2"/>
      <c r="O2"/>
    </row>
    <row r="3" spans="1:15" s="33" customFormat="1" x14ac:dyDescent="0.25">
      <c r="A3" s="36" t="s">
        <v>48</v>
      </c>
      <c r="B3" s="60" t="s">
        <v>224</v>
      </c>
      <c r="C3" s="36"/>
      <c r="D3" s="36" t="s">
        <v>76</v>
      </c>
      <c r="E3" s="36"/>
      <c r="F3" s="36" t="s">
        <v>85</v>
      </c>
      <c r="G3" s="36" t="s">
        <v>275</v>
      </c>
      <c r="I3"/>
      <c r="J3"/>
      <c r="K3"/>
      <c r="L3"/>
      <c r="M3"/>
      <c r="N3"/>
      <c r="O3"/>
    </row>
    <row r="4" spans="1:15" s="33" customFormat="1" x14ac:dyDescent="0.25">
      <c r="A4" s="35">
        <v>35000247</v>
      </c>
      <c r="B4" s="61" t="s">
        <v>226</v>
      </c>
      <c r="C4" s="35"/>
      <c r="D4" s="35"/>
      <c r="E4" s="35"/>
      <c r="F4" s="35" t="s">
        <v>86</v>
      </c>
      <c r="G4" s="36" t="s">
        <v>276</v>
      </c>
      <c r="I4"/>
      <c r="J4"/>
      <c r="K4"/>
      <c r="L4"/>
      <c r="M4"/>
      <c r="N4"/>
      <c r="O4"/>
    </row>
    <row r="5" spans="1:15" s="33" customFormat="1" x14ac:dyDescent="0.25">
      <c r="A5" s="36"/>
      <c r="B5" s="60" t="s">
        <v>225</v>
      </c>
      <c r="C5" s="36"/>
      <c r="D5" s="36"/>
      <c r="E5" s="36"/>
      <c r="F5" s="36" t="s">
        <v>239</v>
      </c>
      <c r="G5" s="63"/>
      <c r="I5"/>
      <c r="J5"/>
      <c r="K5"/>
      <c r="L5"/>
      <c r="M5"/>
      <c r="N5"/>
      <c r="O5"/>
    </row>
    <row r="6" spans="1:15" s="33" customFormat="1" x14ac:dyDescent="0.25">
      <c r="A6" s="35"/>
      <c r="B6" s="61" t="s">
        <v>227</v>
      </c>
      <c r="C6" s="35"/>
      <c r="D6" s="35"/>
      <c r="E6" s="35"/>
      <c r="F6" s="35"/>
      <c r="G6" s="63"/>
      <c r="I6"/>
      <c r="J6"/>
      <c r="K6"/>
      <c r="L6"/>
      <c r="M6"/>
      <c r="N6"/>
      <c r="O6"/>
    </row>
    <row r="7" spans="1:15" s="33" customFormat="1" x14ac:dyDescent="0.25">
      <c r="A7" s="36"/>
      <c r="B7" s="60" t="s">
        <v>127</v>
      </c>
      <c r="C7" s="36"/>
      <c r="D7" s="36"/>
      <c r="E7" s="36"/>
      <c r="F7" s="36"/>
      <c r="G7" s="63"/>
      <c r="I7"/>
      <c r="J7"/>
      <c r="K7"/>
      <c r="L7"/>
      <c r="M7"/>
      <c r="N7"/>
      <c r="O7"/>
    </row>
    <row r="8" spans="1:15" s="33" customFormat="1" x14ac:dyDescent="0.25">
      <c r="A8" s="35"/>
      <c r="B8" s="61" t="s">
        <v>15</v>
      </c>
      <c r="C8" s="35"/>
      <c r="D8" s="35"/>
      <c r="E8" s="35"/>
      <c r="F8" s="35"/>
      <c r="G8" s="63"/>
      <c r="I8"/>
      <c r="J8"/>
      <c r="K8"/>
      <c r="L8"/>
      <c r="M8"/>
      <c r="N8"/>
      <c r="O8"/>
    </row>
    <row r="9" spans="1:15" s="33" customFormat="1" x14ac:dyDescent="0.25">
      <c r="A9" s="36"/>
      <c r="B9" s="60" t="s">
        <v>118</v>
      </c>
      <c r="C9" s="36"/>
      <c r="D9" s="36"/>
      <c r="E9" s="36"/>
      <c r="F9" s="36"/>
      <c r="G9" s="63"/>
      <c r="I9"/>
      <c r="J9"/>
      <c r="K9"/>
      <c r="L9"/>
      <c r="M9"/>
      <c r="N9"/>
      <c r="O9"/>
    </row>
    <row r="10" spans="1:15" s="33" customFormat="1" x14ac:dyDescent="0.25">
      <c r="A10" s="35"/>
      <c r="B10" s="61" t="s">
        <v>117</v>
      </c>
      <c r="C10" s="35"/>
      <c r="D10" s="35"/>
      <c r="E10" s="35"/>
      <c r="F10" s="35"/>
      <c r="G10" s="63"/>
      <c r="I10"/>
      <c r="J10"/>
      <c r="K10"/>
      <c r="L10"/>
      <c r="M10"/>
      <c r="N10"/>
      <c r="O10"/>
    </row>
    <row r="11" spans="1:15" s="33" customFormat="1" x14ac:dyDescent="0.25">
      <c r="A11" s="36"/>
      <c r="B11" s="60" t="s">
        <v>116</v>
      </c>
      <c r="C11" s="36"/>
      <c r="D11" s="36"/>
      <c r="E11" s="36"/>
      <c r="F11" s="36"/>
      <c r="G11" s="63"/>
      <c r="I11"/>
      <c r="J11"/>
      <c r="K11"/>
      <c r="L11"/>
      <c r="M11"/>
      <c r="N11"/>
      <c r="O11"/>
    </row>
    <row r="12" spans="1:15" s="33" customFormat="1" x14ac:dyDescent="0.25">
      <c r="A12" s="35"/>
      <c r="B12" s="61" t="s">
        <v>120</v>
      </c>
      <c r="C12" s="35"/>
      <c r="D12" s="35"/>
      <c r="E12" s="35"/>
      <c r="F12" s="35"/>
      <c r="G12" s="63"/>
      <c r="I12"/>
      <c r="J12"/>
      <c r="K12"/>
      <c r="L12"/>
      <c r="M12"/>
      <c r="N12"/>
      <c r="O12"/>
    </row>
    <row r="13" spans="1:15" s="33" customFormat="1" x14ac:dyDescent="0.25">
      <c r="A13" s="36"/>
      <c r="B13" s="60" t="s">
        <v>121</v>
      </c>
      <c r="C13" s="36"/>
      <c r="D13" s="36"/>
      <c r="E13" s="36"/>
      <c r="F13" s="36"/>
      <c r="G13" s="63"/>
      <c r="I13"/>
      <c r="J13"/>
      <c r="K13"/>
      <c r="L13"/>
      <c r="M13"/>
      <c r="N13"/>
      <c r="O13"/>
    </row>
    <row r="14" spans="1:15" s="33" customFormat="1" x14ac:dyDescent="0.25">
      <c r="A14" s="35"/>
      <c r="B14" s="61" t="s">
        <v>122</v>
      </c>
      <c r="C14" s="35"/>
      <c r="D14" s="35"/>
      <c r="E14" s="35"/>
      <c r="F14" s="35"/>
      <c r="G14" s="63"/>
      <c r="I14"/>
      <c r="J14"/>
      <c r="K14"/>
      <c r="L14"/>
      <c r="M14"/>
      <c r="N14"/>
      <c r="O14"/>
    </row>
    <row r="15" spans="1:15" s="33" customFormat="1" x14ac:dyDescent="0.25">
      <c r="A15" s="36"/>
      <c r="B15" s="60" t="s">
        <v>123</v>
      </c>
      <c r="C15" s="36"/>
      <c r="D15" s="36"/>
      <c r="E15" s="36"/>
      <c r="F15" s="36"/>
      <c r="G15" s="63"/>
      <c r="I15"/>
      <c r="J15"/>
      <c r="K15"/>
      <c r="L15"/>
      <c r="M15"/>
      <c r="N15"/>
      <c r="O15"/>
    </row>
    <row r="16" spans="1:15" x14ac:dyDescent="0.25">
      <c r="A16" s="35"/>
      <c r="B16" s="61" t="s">
        <v>124</v>
      </c>
      <c r="C16" s="35"/>
      <c r="D16" s="35"/>
      <c r="E16" s="35"/>
      <c r="F16" s="35"/>
      <c r="G16" s="63"/>
    </row>
    <row r="17" spans="1:15" s="33" customFormat="1" x14ac:dyDescent="0.25">
      <c r="A17" s="36"/>
      <c r="B17" s="60" t="s">
        <v>125</v>
      </c>
      <c r="C17" s="36"/>
      <c r="D17" s="36"/>
      <c r="E17" s="36"/>
      <c r="F17" s="36"/>
      <c r="G17" s="63"/>
      <c r="I17"/>
      <c r="J17"/>
      <c r="K17"/>
      <c r="L17"/>
      <c r="M17"/>
      <c r="N17"/>
      <c r="O17"/>
    </row>
    <row r="18" spans="1:15" s="33" customFormat="1" x14ac:dyDescent="0.25">
      <c r="A18" s="35"/>
      <c r="B18" s="61" t="s">
        <v>126</v>
      </c>
      <c r="C18" s="35"/>
      <c r="D18" s="35"/>
      <c r="E18" s="35"/>
      <c r="F18" s="35"/>
      <c r="G18" s="63"/>
      <c r="I18"/>
      <c r="J18"/>
      <c r="K18"/>
      <c r="L18"/>
      <c r="M18"/>
      <c r="N18"/>
      <c r="O18"/>
    </row>
    <row r="19" spans="1:15" s="33" customFormat="1" x14ac:dyDescent="0.25">
      <c r="A19" s="36"/>
      <c r="B19" s="60" t="s">
        <v>141</v>
      </c>
      <c r="C19" s="36"/>
      <c r="D19" s="36"/>
      <c r="E19" s="36"/>
      <c r="F19" s="36"/>
      <c r="G19" s="63"/>
      <c r="I19"/>
      <c r="J19"/>
      <c r="K19"/>
      <c r="L19"/>
      <c r="M19"/>
      <c r="N19"/>
      <c r="O19"/>
    </row>
    <row r="20" spans="1:15" s="33" customFormat="1" x14ac:dyDescent="0.25">
      <c r="A20" s="35"/>
      <c r="B20" s="61" t="s">
        <v>130</v>
      </c>
      <c r="C20" s="35"/>
      <c r="D20" s="35"/>
      <c r="E20" s="35"/>
      <c r="F20" s="35"/>
      <c r="G20" s="63"/>
      <c r="I20"/>
      <c r="J20"/>
      <c r="K20"/>
      <c r="L20"/>
      <c r="M20"/>
      <c r="N20"/>
      <c r="O20"/>
    </row>
    <row r="21" spans="1:15" s="33" customFormat="1" x14ac:dyDescent="0.25">
      <c r="A21" s="36"/>
      <c r="B21" s="60" t="s">
        <v>128</v>
      </c>
      <c r="C21" s="36"/>
      <c r="D21" s="36"/>
      <c r="E21" s="36"/>
      <c r="F21" s="36"/>
      <c r="G21" s="63"/>
      <c r="I21"/>
      <c r="J21"/>
      <c r="K21"/>
      <c r="L21"/>
      <c r="M21"/>
      <c r="N21"/>
      <c r="O21"/>
    </row>
    <row r="22" spans="1:15" s="33" customFormat="1" x14ac:dyDescent="0.25">
      <c r="A22" s="35"/>
      <c r="B22" s="61" t="s">
        <v>119</v>
      </c>
      <c r="C22" s="35"/>
      <c r="D22" s="35"/>
      <c r="E22" s="35"/>
      <c r="F22" s="35"/>
      <c r="G22" s="63"/>
      <c r="I22"/>
      <c r="J22"/>
      <c r="K22"/>
      <c r="L22"/>
      <c r="M22"/>
      <c r="N22"/>
      <c r="O22"/>
    </row>
    <row r="23" spans="1:15" s="33" customFormat="1" x14ac:dyDescent="0.25">
      <c r="A23" s="36"/>
      <c r="B23" s="60" t="s">
        <v>129</v>
      </c>
      <c r="C23" s="36"/>
      <c r="D23" s="36"/>
      <c r="E23" s="36"/>
      <c r="F23" s="36"/>
      <c r="G23" s="63"/>
      <c r="I23"/>
      <c r="J23"/>
      <c r="K23"/>
      <c r="L23"/>
      <c r="M23"/>
      <c r="N23"/>
      <c r="O23"/>
    </row>
    <row r="24" spans="1:15" x14ac:dyDescent="0.25">
      <c r="A24" s="63"/>
      <c r="B24" s="60" t="s">
        <v>251</v>
      </c>
      <c r="C24" s="63"/>
      <c r="D24" s="63"/>
      <c r="E24" s="63"/>
      <c r="F24" s="63"/>
      <c r="G24" s="63"/>
    </row>
    <row r="25" spans="1:15" x14ac:dyDescent="0.25">
      <c r="A25" s="63"/>
      <c r="B25" s="62" t="s">
        <v>252</v>
      </c>
      <c r="C25" s="63"/>
      <c r="D25" s="63"/>
      <c r="E25" s="63"/>
      <c r="F25" s="63"/>
      <c r="G25" s="63"/>
    </row>
    <row r="26" spans="1:15" x14ac:dyDescent="0.25">
      <c r="A26" s="63"/>
      <c r="B26" s="64" t="s">
        <v>253</v>
      </c>
      <c r="C26" s="63"/>
      <c r="D26" s="63"/>
      <c r="E26" s="63"/>
      <c r="F26" s="63"/>
      <c r="G26" s="63"/>
    </row>
  </sheetData>
  <sortState ref="K2:K23">
    <sortCondition ref="K2:K23"/>
  </sortState>
  <pageMargins left="0.7" right="0.7" top="0.75" bottom="0.75" header="0.3" footer="0.3"/>
  <pageSetup paperSize="17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O452"/>
  <sheetViews>
    <sheetView tabSelected="1" workbookViewId="0">
      <selection activeCell="D23" sqref="D23"/>
    </sheetView>
  </sheetViews>
  <sheetFormatPr defaultRowHeight="15" x14ac:dyDescent="0.25"/>
  <cols>
    <col min="1" max="1" width="10.140625" style="18" bestFit="1" customWidth="1"/>
    <col min="2" max="2" width="16.7109375" style="2" bestFit="1" customWidth="1"/>
    <col min="3" max="3" width="27.7109375" style="2" bestFit="1" customWidth="1"/>
    <col min="4" max="4" width="8" style="2" bestFit="1" customWidth="1"/>
    <col min="5" max="5" width="62.28515625" style="1" bestFit="1" customWidth="1"/>
    <col min="6" max="6" width="57" style="1" bestFit="1" customWidth="1"/>
    <col min="7" max="7" width="3" customWidth="1"/>
    <col min="8" max="8" width="13.140625" style="8" customWidth="1"/>
    <col min="9" max="9" width="10.140625" style="9" bestFit="1" customWidth="1"/>
    <col min="10" max="10" width="9.140625" style="7"/>
    <col min="11" max="11" width="13.85546875" style="7" bestFit="1" customWidth="1"/>
  </cols>
  <sheetData>
    <row r="1" spans="1:11" ht="18.75" x14ac:dyDescent="0.3">
      <c r="A1" s="19" t="s">
        <v>0</v>
      </c>
      <c r="B1" s="14" t="s">
        <v>1</v>
      </c>
      <c r="C1" s="14" t="s">
        <v>2</v>
      </c>
      <c r="D1" s="14" t="s">
        <v>3</v>
      </c>
      <c r="E1" s="31" t="s">
        <v>4</v>
      </c>
      <c r="F1" s="14" t="s">
        <v>70</v>
      </c>
      <c r="G1" s="4"/>
      <c r="J1" s="23" t="s">
        <v>11</v>
      </c>
      <c r="K1" s="24">
        <v>35</v>
      </c>
    </row>
    <row r="2" spans="1:11" x14ac:dyDescent="0.25">
      <c r="A2" s="15">
        <f ca="1">TODAY()</f>
        <v>41228</v>
      </c>
      <c r="B2" s="21"/>
      <c r="C2" s="21"/>
      <c r="D2" s="13"/>
      <c r="E2" s="22"/>
      <c r="F2" s="22"/>
      <c r="G2" s="4"/>
    </row>
    <row r="3" spans="1:11" x14ac:dyDescent="0.25">
      <c r="A3" s="16"/>
      <c r="B3" s="5"/>
      <c r="C3" s="5"/>
      <c r="D3" s="5"/>
      <c r="E3" s="6"/>
      <c r="F3" s="6"/>
      <c r="G3" s="4"/>
    </row>
    <row r="4" spans="1:11" x14ac:dyDescent="0.25">
      <c r="A4" s="17"/>
      <c r="B4" s="13"/>
      <c r="C4" s="13"/>
      <c r="D4" s="13"/>
      <c r="E4" s="22"/>
      <c r="F4" s="8"/>
      <c r="G4" s="4"/>
    </row>
    <row r="5" spans="1:11" s="33" customFormat="1" x14ac:dyDescent="0.25">
      <c r="A5" s="17">
        <v>41228</v>
      </c>
      <c r="B5" s="13" t="s">
        <v>74</v>
      </c>
      <c r="C5" s="13" t="s">
        <v>239</v>
      </c>
      <c r="D5" s="13">
        <v>14</v>
      </c>
      <c r="E5" s="22" t="s">
        <v>39</v>
      </c>
      <c r="F5" s="8" t="s">
        <v>286</v>
      </c>
      <c r="G5" s="4"/>
      <c r="H5" s="8" t="str">
        <f>TEXT(DATE(YEAR(A5),MONTH(A5),DAY(A5)),"mmm")&amp;" Total:"</f>
        <v>Nov Total:</v>
      </c>
      <c r="I5" s="10">
        <f>SUM(D5:D20)</f>
        <v>185</v>
      </c>
      <c r="J5" s="7"/>
      <c r="K5" s="7"/>
    </row>
    <row r="6" spans="1:11" s="33" customFormat="1" x14ac:dyDescent="0.25">
      <c r="A6" s="17">
        <v>41227</v>
      </c>
      <c r="B6" s="13" t="s">
        <v>74</v>
      </c>
      <c r="C6" s="13" t="s">
        <v>239</v>
      </c>
      <c r="D6" s="13">
        <v>14</v>
      </c>
      <c r="E6" s="22" t="s">
        <v>39</v>
      </c>
      <c r="F6" s="8" t="s">
        <v>287</v>
      </c>
      <c r="G6" s="4"/>
      <c r="H6" s="8" t="s">
        <v>8</v>
      </c>
      <c r="I6" s="11">
        <f>K1</f>
        <v>35</v>
      </c>
      <c r="J6" s="7"/>
      <c r="K6" s="7"/>
    </row>
    <row r="7" spans="1:11" s="33" customFormat="1" x14ac:dyDescent="0.25">
      <c r="A7" s="17">
        <v>41226</v>
      </c>
      <c r="B7" s="13" t="s">
        <v>74</v>
      </c>
      <c r="C7" s="13" t="s">
        <v>239</v>
      </c>
      <c r="D7" s="13">
        <v>12</v>
      </c>
      <c r="E7" s="22" t="s">
        <v>39</v>
      </c>
      <c r="F7" s="8" t="s">
        <v>285</v>
      </c>
      <c r="G7" s="4"/>
      <c r="H7" s="8" t="s">
        <v>9</v>
      </c>
      <c r="I7" s="20">
        <v>0.05</v>
      </c>
      <c r="J7" s="7"/>
      <c r="K7" s="7"/>
    </row>
    <row r="8" spans="1:11" s="33" customFormat="1" x14ac:dyDescent="0.25">
      <c r="A8" s="17">
        <v>41225</v>
      </c>
      <c r="B8" s="13" t="s">
        <v>74</v>
      </c>
      <c r="C8" s="13" t="s">
        <v>239</v>
      </c>
      <c r="D8" s="13">
        <v>12</v>
      </c>
      <c r="E8" s="22" t="s">
        <v>39</v>
      </c>
      <c r="F8" s="8" t="s">
        <v>284</v>
      </c>
      <c r="G8" s="4"/>
      <c r="H8" s="8" t="s">
        <v>10</v>
      </c>
      <c r="I8" s="11">
        <f>I5*I6*(1+I7)</f>
        <v>6798.75</v>
      </c>
      <c r="J8" s="7"/>
      <c r="K8" s="7"/>
    </row>
    <row r="9" spans="1:11" s="33" customFormat="1" x14ac:dyDescent="0.25">
      <c r="A9" s="17">
        <v>41224</v>
      </c>
      <c r="B9" s="13" t="s">
        <v>74</v>
      </c>
      <c r="C9" s="13" t="s">
        <v>239</v>
      </c>
      <c r="D9" s="13">
        <v>14</v>
      </c>
      <c r="E9" s="22" t="s">
        <v>39</v>
      </c>
      <c r="F9" s="8" t="s">
        <v>283</v>
      </c>
      <c r="G9" s="4"/>
      <c r="H9" s="8"/>
      <c r="I9" s="11"/>
      <c r="J9" s="7"/>
      <c r="K9" s="7"/>
    </row>
    <row r="10" spans="1:11" s="33" customFormat="1" x14ac:dyDescent="0.25">
      <c r="A10" s="17">
        <v>41223</v>
      </c>
      <c r="B10" s="13" t="s">
        <v>74</v>
      </c>
      <c r="C10" s="13" t="s">
        <v>239</v>
      </c>
      <c r="D10" s="13">
        <v>12</v>
      </c>
      <c r="E10" s="22" t="s">
        <v>39</v>
      </c>
      <c r="F10" s="8" t="s">
        <v>282</v>
      </c>
      <c r="G10" s="4"/>
      <c r="H10" s="8"/>
      <c r="I10" s="11"/>
      <c r="J10" s="7"/>
      <c r="K10" s="7"/>
    </row>
    <row r="11" spans="1:11" s="33" customFormat="1" x14ac:dyDescent="0.25">
      <c r="A11" s="17">
        <v>41222</v>
      </c>
      <c r="B11" s="13" t="s">
        <v>74</v>
      </c>
      <c r="C11" s="13" t="s">
        <v>239</v>
      </c>
      <c r="D11" s="13">
        <v>12</v>
      </c>
      <c r="E11" s="22" t="s">
        <v>39</v>
      </c>
      <c r="F11" s="8" t="s">
        <v>203</v>
      </c>
      <c r="G11" s="4"/>
      <c r="H11" s="8"/>
      <c r="I11" s="11"/>
      <c r="J11" s="7"/>
      <c r="K11" s="7"/>
    </row>
    <row r="12" spans="1:11" s="33" customFormat="1" x14ac:dyDescent="0.25">
      <c r="A12" s="17">
        <v>41221</v>
      </c>
      <c r="B12" s="13" t="s">
        <v>12</v>
      </c>
      <c r="C12" s="13" t="s">
        <v>277</v>
      </c>
      <c r="D12" s="13">
        <v>3</v>
      </c>
      <c r="E12" s="22" t="s">
        <v>280</v>
      </c>
      <c r="F12" s="8" t="s">
        <v>281</v>
      </c>
      <c r="G12" s="4"/>
      <c r="H12" s="8"/>
      <c r="I12" s="11"/>
      <c r="J12" s="7"/>
      <c r="K12" s="7"/>
    </row>
    <row r="13" spans="1:11" s="33" customFormat="1" x14ac:dyDescent="0.25">
      <c r="A13" s="17">
        <v>41221</v>
      </c>
      <c r="B13" s="13" t="s">
        <v>74</v>
      </c>
      <c r="C13" s="13" t="s">
        <v>239</v>
      </c>
      <c r="D13" s="13">
        <v>12</v>
      </c>
      <c r="E13" s="22" t="s">
        <v>39</v>
      </c>
      <c r="F13" s="8" t="s">
        <v>203</v>
      </c>
      <c r="G13" s="4"/>
      <c r="H13" s="8"/>
      <c r="I13" s="11"/>
      <c r="J13" s="7"/>
      <c r="K13" s="7"/>
    </row>
    <row r="14" spans="1:11" s="33" customFormat="1" x14ac:dyDescent="0.25">
      <c r="A14" s="17">
        <v>41220</v>
      </c>
      <c r="B14" s="13" t="s">
        <v>74</v>
      </c>
      <c r="C14" s="13" t="s">
        <v>239</v>
      </c>
      <c r="D14" s="13">
        <v>12</v>
      </c>
      <c r="E14" s="22" t="s">
        <v>39</v>
      </c>
      <c r="F14" s="8" t="s">
        <v>245</v>
      </c>
      <c r="G14" s="4"/>
      <c r="H14" s="8"/>
      <c r="I14" s="11"/>
      <c r="J14" s="7"/>
      <c r="K14" s="7"/>
    </row>
    <row r="15" spans="1:11" s="33" customFormat="1" x14ac:dyDescent="0.25">
      <c r="A15" s="17">
        <v>41219</v>
      </c>
      <c r="B15" s="13" t="s">
        <v>74</v>
      </c>
      <c r="C15" s="13" t="s">
        <v>239</v>
      </c>
      <c r="D15" s="13">
        <v>12</v>
      </c>
      <c r="E15" s="22" t="s">
        <v>39</v>
      </c>
      <c r="F15" s="8" t="s">
        <v>155</v>
      </c>
      <c r="G15" s="4"/>
      <c r="H15" s="8"/>
      <c r="I15" s="11"/>
      <c r="J15" s="7"/>
      <c r="K15" s="7"/>
    </row>
    <row r="16" spans="1:11" s="33" customFormat="1" x14ac:dyDescent="0.25">
      <c r="A16" s="17">
        <v>41218</v>
      </c>
      <c r="B16" s="13" t="s">
        <v>74</v>
      </c>
      <c r="C16" s="13" t="s">
        <v>239</v>
      </c>
      <c r="D16" s="13">
        <v>8</v>
      </c>
      <c r="E16" s="22" t="s">
        <v>39</v>
      </c>
      <c r="F16" s="8" t="s">
        <v>155</v>
      </c>
      <c r="G16" s="4"/>
      <c r="H16" s="8"/>
      <c r="I16" s="11"/>
      <c r="J16" s="7"/>
      <c r="K16" s="7"/>
    </row>
    <row r="17" spans="1:11" s="33" customFormat="1" x14ac:dyDescent="0.25">
      <c r="A17" s="17">
        <v>41217</v>
      </c>
      <c r="B17" s="13" t="s">
        <v>74</v>
      </c>
      <c r="C17" s="13" t="s">
        <v>239</v>
      </c>
      <c r="D17" s="13">
        <v>12</v>
      </c>
      <c r="E17" s="22" t="s">
        <v>39</v>
      </c>
      <c r="F17" s="8" t="s">
        <v>155</v>
      </c>
      <c r="G17" s="4"/>
      <c r="H17" s="8"/>
      <c r="I17" s="11"/>
      <c r="J17" s="7"/>
      <c r="K17" s="7"/>
    </row>
    <row r="18" spans="1:11" s="33" customFormat="1" x14ac:dyDescent="0.25">
      <c r="A18" s="17">
        <v>41216</v>
      </c>
      <c r="B18" s="13" t="s">
        <v>74</v>
      </c>
      <c r="C18" s="13" t="s">
        <v>239</v>
      </c>
      <c r="D18" s="13">
        <v>12</v>
      </c>
      <c r="E18" s="22" t="s">
        <v>39</v>
      </c>
      <c r="F18" s="8" t="s">
        <v>155</v>
      </c>
      <c r="G18" s="4"/>
      <c r="H18" s="8"/>
      <c r="I18" s="11"/>
      <c r="J18" s="7"/>
      <c r="K18" s="7"/>
    </row>
    <row r="19" spans="1:11" s="33" customFormat="1" x14ac:dyDescent="0.25">
      <c r="A19" s="17">
        <v>41215</v>
      </c>
      <c r="B19" s="13" t="s">
        <v>74</v>
      </c>
      <c r="C19" s="13" t="s">
        <v>239</v>
      </c>
      <c r="D19" s="13">
        <v>12</v>
      </c>
      <c r="E19" s="22" t="s">
        <v>39</v>
      </c>
      <c r="F19" s="8" t="s">
        <v>155</v>
      </c>
      <c r="G19" s="4"/>
      <c r="H19" s="8"/>
      <c r="I19" s="11"/>
      <c r="J19" s="7"/>
      <c r="K19" s="7"/>
    </row>
    <row r="20" spans="1:11" s="33" customFormat="1" x14ac:dyDescent="0.25">
      <c r="A20" s="17">
        <v>41214</v>
      </c>
      <c r="B20" s="13" t="s">
        <v>74</v>
      </c>
      <c r="C20" s="13" t="s">
        <v>239</v>
      </c>
      <c r="D20" s="13">
        <v>12</v>
      </c>
      <c r="E20" s="22" t="s">
        <v>39</v>
      </c>
      <c r="F20" s="8" t="s">
        <v>279</v>
      </c>
      <c r="G20" s="4"/>
      <c r="H20" s="8"/>
      <c r="I20" s="11"/>
      <c r="J20" s="7"/>
      <c r="K20" s="7"/>
    </row>
    <row r="21" spans="1:11" s="33" customFormat="1" x14ac:dyDescent="0.25">
      <c r="A21" s="30">
        <v>41213</v>
      </c>
      <c r="B21" s="29" t="s">
        <v>74</v>
      </c>
      <c r="C21" s="29" t="s">
        <v>239</v>
      </c>
      <c r="D21" s="29">
        <v>13</v>
      </c>
      <c r="E21" s="32" t="s">
        <v>64</v>
      </c>
      <c r="F21" s="28" t="s">
        <v>278</v>
      </c>
      <c r="G21" s="4"/>
      <c r="H21" s="8" t="str">
        <f>TEXT(DATE(YEAR(A21),MONTH(A21),DAY(A21)),"mmm")&amp;" Total:"</f>
        <v>Oct Total:</v>
      </c>
      <c r="I21" s="10">
        <f>SUM(D21:D47)</f>
        <v>194</v>
      </c>
      <c r="J21" s="7"/>
      <c r="K21" s="7"/>
    </row>
    <row r="22" spans="1:11" s="33" customFormat="1" x14ac:dyDescent="0.25">
      <c r="A22" s="30">
        <v>41212</v>
      </c>
      <c r="B22" s="29" t="s">
        <v>12</v>
      </c>
      <c r="C22" s="29" t="s">
        <v>277</v>
      </c>
      <c r="D22" s="29">
        <v>8</v>
      </c>
      <c r="E22" s="32" t="s">
        <v>105</v>
      </c>
      <c r="F22" s="28" t="s">
        <v>237</v>
      </c>
      <c r="G22" s="4"/>
      <c r="H22" s="8" t="s">
        <v>8</v>
      </c>
      <c r="I22" s="11">
        <f>K1</f>
        <v>35</v>
      </c>
      <c r="J22" s="7"/>
      <c r="K22" s="7"/>
    </row>
    <row r="23" spans="1:11" s="33" customFormat="1" x14ac:dyDescent="0.25">
      <c r="A23" s="30">
        <v>41211</v>
      </c>
      <c r="B23" s="29" t="s">
        <v>74</v>
      </c>
      <c r="C23" s="29" t="s">
        <v>239</v>
      </c>
      <c r="D23" s="29">
        <v>8</v>
      </c>
      <c r="E23" s="32" t="s">
        <v>192</v>
      </c>
      <c r="F23" s="28"/>
      <c r="G23" s="4"/>
      <c r="H23" s="8" t="s">
        <v>9</v>
      </c>
      <c r="I23" s="20">
        <v>0.05</v>
      </c>
      <c r="J23" s="7"/>
      <c r="K23" s="7"/>
    </row>
    <row r="24" spans="1:11" s="33" customFormat="1" x14ac:dyDescent="0.25">
      <c r="A24" s="30">
        <v>41209</v>
      </c>
      <c r="B24" s="29" t="s">
        <v>12</v>
      </c>
      <c r="C24" s="29" t="s">
        <v>130</v>
      </c>
      <c r="D24" s="29">
        <v>10</v>
      </c>
      <c r="E24" s="32" t="s">
        <v>151</v>
      </c>
      <c r="F24" s="28" t="s">
        <v>246</v>
      </c>
      <c r="G24" s="4"/>
      <c r="H24" s="8" t="s">
        <v>10</v>
      </c>
      <c r="I24" s="11">
        <f>I21*I22*(1+I23)</f>
        <v>7129.5</v>
      </c>
      <c r="J24" s="7"/>
      <c r="K24" s="7"/>
    </row>
    <row r="25" spans="1:11" s="33" customFormat="1" x14ac:dyDescent="0.25">
      <c r="A25" s="30">
        <v>41208</v>
      </c>
      <c r="B25" s="29" t="s">
        <v>74</v>
      </c>
      <c r="C25" s="29" t="s">
        <v>239</v>
      </c>
      <c r="D25" s="29">
        <v>8</v>
      </c>
      <c r="E25" s="32" t="s">
        <v>260</v>
      </c>
      <c r="F25" s="28" t="s">
        <v>272</v>
      </c>
      <c r="G25" s="4"/>
      <c r="H25" s="8"/>
      <c r="I25" s="11"/>
      <c r="J25" s="7"/>
      <c r="K25" s="7"/>
    </row>
    <row r="26" spans="1:11" s="33" customFormat="1" x14ac:dyDescent="0.25">
      <c r="A26" s="30">
        <v>41207</v>
      </c>
      <c r="B26" s="29" t="s">
        <v>74</v>
      </c>
      <c r="C26" s="29" t="s">
        <v>239</v>
      </c>
      <c r="D26" s="29">
        <v>8</v>
      </c>
      <c r="E26" s="32" t="s">
        <v>260</v>
      </c>
      <c r="F26" s="28" t="s">
        <v>182</v>
      </c>
      <c r="G26" s="4"/>
      <c r="H26" s="8"/>
      <c r="I26" s="11"/>
      <c r="J26" s="7"/>
      <c r="K26" s="7"/>
    </row>
    <row r="27" spans="1:11" s="33" customFormat="1" x14ac:dyDescent="0.25">
      <c r="A27" s="30">
        <v>41206</v>
      </c>
      <c r="B27" s="29" t="s">
        <v>74</v>
      </c>
      <c r="C27" s="29" t="s">
        <v>239</v>
      </c>
      <c r="D27" s="29">
        <v>9</v>
      </c>
      <c r="E27" s="32" t="s">
        <v>260</v>
      </c>
      <c r="F27" s="28" t="s">
        <v>269</v>
      </c>
      <c r="G27" s="4"/>
      <c r="H27" s="8"/>
      <c r="I27" s="11"/>
      <c r="J27" s="7"/>
      <c r="K27" s="7"/>
    </row>
    <row r="28" spans="1:11" s="33" customFormat="1" x14ac:dyDescent="0.25">
      <c r="A28" s="30">
        <v>41205</v>
      </c>
      <c r="B28" s="29" t="s">
        <v>12</v>
      </c>
      <c r="C28" s="29" t="s">
        <v>117</v>
      </c>
      <c r="D28" s="29">
        <v>8</v>
      </c>
      <c r="E28" s="32" t="s">
        <v>271</v>
      </c>
      <c r="F28" s="28" t="s">
        <v>255</v>
      </c>
      <c r="G28" s="4"/>
      <c r="H28" s="8"/>
      <c r="I28" s="11"/>
      <c r="J28" s="7"/>
      <c r="K28" s="7"/>
    </row>
    <row r="29" spans="1:11" s="33" customFormat="1" x14ac:dyDescent="0.25">
      <c r="A29" s="30">
        <v>41204</v>
      </c>
      <c r="B29" s="29" t="s">
        <v>74</v>
      </c>
      <c r="C29" s="29" t="s">
        <v>239</v>
      </c>
      <c r="D29" s="29">
        <v>8</v>
      </c>
      <c r="E29" s="32" t="s">
        <v>260</v>
      </c>
      <c r="F29" s="28" t="s">
        <v>270</v>
      </c>
      <c r="G29" s="4"/>
      <c r="H29" s="8"/>
      <c r="I29" s="11"/>
      <c r="J29" s="7"/>
      <c r="K29" s="7"/>
    </row>
    <row r="30" spans="1:11" s="33" customFormat="1" x14ac:dyDescent="0.25">
      <c r="A30" s="30">
        <v>41201</v>
      </c>
      <c r="B30" s="29" t="s">
        <v>74</v>
      </c>
      <c r="C30" s="29" t="s">
        <v>239</v>
      </c>
      <c r="D30" s="29">
        <v>8</v>
      </c>
      <c r="E30" s="32" t="s">
        <v>266</v>
      </c>
      <c r="F30" s="28" t="s">
        <v>255</v>
      </c>
      <c r="G30" s="4"/>
      <c r="H30" s="8"/>
      <c r="I30" s="11"/>
      <c r="J30" s="7"/>
      <c r="K30" s="7"/>
    </row>
    <row r="31" spans="1:11" s="33" customFormat="1" x14ac:dyDescent="0.25">
      <c r="A31" s="30">
        <v>41200</v>
      </c>
      <c r="B31" s="29" t="s">
        <v>74</v>
      </c>
      <c r="C31" s="29" t="s">
        <v>239</v>
      </c>
      <c r="D31" s="29">
        <v>8</v>
      </c>
      <c r="E31" s="32" t="s">
        <v>266</v>
      </c>
      <c r="F31" s="28" t="s">
        <v>268</v>
      </c>
      <c r="G31" s="4"/>
      <c r="H31" s="8"/>
      <c r="I31" s="11"/>
      <c r="J31" s="7"/>
      <c r="K31" s="7"/>
    </row>
    <row r="32" spans="1:11" s="33" customFormat="1" x14ac:dyDescent="0.25">
      <c r="A32" s="30">
        <v>41199</v>
      </c>
      <c r="B32" s="29" t="s">
        <v>74</v>
      </c>
      <c r="C32" s="29" t="s">
        <v>239</v>
      </c>
      <c r="D32" s="29">
        <v>3</v>
      </c>
      <c r="E32" s="32" t="s">
        <v>266</v>
      </c>
      <c r="F32" s="28" t="s">
        <v>267</v>
      </c>
      <c r="G32" s="4"/>
      <c r="H32" s="8"/>
      <c r="I32" s="11"/>
      <c r="J32" s="7"/>
      <c r="K32" s="7"/>
    </row>
    <row r="33" spans="1:11" s="33" customFormat="1" x14ac:dyDescent="0.25">
      <c r="A33" s="30">
        <v>41199</v>
      </c>
      <c r="B33" s="29" t="s">
        <v>12</v>
      </c>
      <c r="C33" s="29" t="s">
        <v>117</v>
      </c>
      <c r="D33" s="29">
        <v>5</v>
      </c>
      <c r="E33" s="32" t="s">
        <v>260</v>
      </c>
      <c r="F33" s="28" t="s">
        <v>265</v>
      </c>
      <c r="G33" s="4"/>
      <c r="H33" s="8"/>
      <c r="I33" s="11"/>
      <c r="J33" s="7"/>
      <c r="K33" s="7"/>
    </row>
    <row r="34" spans="1:11" s="33" customFormat="1" x14ac:dyDescent="0.25">
      <c r="A34" s="30">
        <v>41198</v>
      </c>
      <c r="B34" s="29" t="s">
        <v>12</v>
      </c>
      <c r="C34" s="29" t="s">
        <v>117</v>
      </c>
      <c r="D34" s="29">
        <v>8</v>
      </c>
      <c r="E34" s="32" t="s">
        <v>260</v>
      </c>
      <c r="F34" s="28" t="s">
        <v>264</v>
      </c>
      <c r="G34" s="4"/>
      <c r="H34" s="8"/>
      <c r="I34" s="11"/>
      <c r="J34" s="7"/>
      <c r="K34" s="7"/>
    </row>
    <row r="35" spans="1:11" s="33" customFormat="1" x14ac:dyDescent="0.25">
      <c r="A35" s="30">
        <v>41197</v>
      </c>
      <c r="B35" s="29" t="s">
        <v>74</v>
      </c>
      <c r="C35" s="29" t="s">
        <v>239</v>
      </c>
      <c r="D35" s="29">
        <v>1</v>
      </c>
      <c r="E35" s="32" t="s">
        <v>60</v>
      </c>
      <c r="F35" s="28" t="s">
        <v>182</v>
      </c>
      <c r="G35" s="4"/>
      <c r="H35" s="8"/>
      <c r="I35" s="11"/>
      <c r="J35" s="7"/>
      <c r="K35" s="7"/>
    </row>
    <row r="36" spans="1:11" s="33" customFormat="1" x14ac:dyDescent="0.25">
      <c r="A36" s="30">
        <v>41197</v>
      </c>
      <c r="B36" s="29" t="s">
        <v>12</v>
      </c>
      <c r="C36" s="29" t="s">
        <v>117</v>
      </c>
      <c r="D36" s="29">
        <v>4</v>
      </c>
      <c r="E36" s="32" t="s">
        <v>260</v>
      </c>
      <c r="F36" s="28" t="s">
        <v>262</v>
      </c>
      <c r="G36" s="4"/>
      <c r="H36" s="8"/>
      <c r="I36" s="11"/>
      <c r="J36" s="7"/>
      <c r="K36" s="7"/>
    </row>
    <row r="37" spans="1:11" s="33" customFormat="1" x14ac:dyDescent="0.25">
      <c r="A37" s="30">
        <v>41197</v>
      </c>
      <c r="B37" s="29" t="s">
        <v>12</v>
      </c>
      <c r="C37" s="29" t="s">
        <v>117</v>
      </c>
      <c r="D37" s="29">
        <v>2</v>
      </c>
      <c r="E37" s="32" t="s">
        <v>259</v>
      </c>
      <c r="F37" s="28" t="s">
        <v>261</v>
      </c>
      <c r="G37" s="65">
        <v>35</v>
      </c>
      <c r="H37" s="8"/>
      <c r="I37" s="11"/>
      <c r="J37" s="7"/>
      <c r="K37" s="7"/>
    </row>
    <row r="38" spans="1:11" s="33" customFormat="1" x14ac:dyDescent="0.25">
      <c r="A38" s="30">
        <v>41194</v>
      </c>
      <c r="B38" s="29" t="s">
        <v>74</v>
      </c>
      <c r="C38" s="29" t="s">
        <v>239</v>
      </c>
      <c r="D38" s="29">
        <v>7</v>
      </c>
      <c r="E38" s="32" t="s">
        <v>257</v>
      </c>
      <c r="F38" s="28" t="s">
        <v>258</v>
      </c>
      <c r="G38" s="4"/>
      <c r="H38" s="8"/>
      <c r="I38" s="11"/>
      <c r="J38" s="7"/>
      <c r="K38" s="7"/>
    </row>
    <row r="39" spans="1:11" s="33" customFormat="1" x14ac:dyDescent="0.25">
      <c r="A39" s="30">
        <v>41193</v>
      </c>
      <c r="B39" s="29" t="s">
        <v>74</v>
      </c>
      <c r="C39" s="29" t="s">
        <v>239</v>
      </c>
      <c r="D39" s="29">
        <v>8</v>
      </c>
      <c r="E39" s="32" t="s">
        <v>257</v>
      </c>
      <c r="F39" s="28" t="s">
        <v>263</v>
      </c>
      <c r="G39" s="4"/>
      <c r="H39" s="8"/>
      <c r="I39" s="11"/>
      <c r="J39" s="7"/>
      <c r="K39" s="7"/>
    </row>
    <row r="40" spans="1:11" s="33" customFormat="1" x14ac:dyDescent="0.25">
      <c r="A40" s="30">
        <v>41192</v>
      </c>
      <c r="B40" s="29" t="s">
        <v>74</v>
      </c>
      <c r="C40" s="29" t="s">
        <v>239</v>
      </c>
      <c r="D40" s="29">
        <v>9</v>
      </c>
      <c r="E40" s="32" t="s">
        <v>257</v>
      </c>
      <c r="F40" s="28" t="s">
        <v>263</v>
      </c>
      <c r="G40" s="4"/>
      <c r="H40" s="8"/>
      <c r="I40" s="11"/>
      <c r="J40" s="7"/>
      <c r="K40" s="7"/>
    </row>
    <row r="41" spans="1:11" s="33" customFormat="1" x14ac:dyDescent="0.25">
      <c r="A41" s="30">
        <v>41191</v>
      </c>
      <c r="B41" s="29" t="s">
        <v>74</v>
      </c>
      <c r="C41" s="29" t="s">
        <v>239</v>
      </c>
      <c r="D41" s="29">
        <v>9</v>
      </c>
      <c r="E41" s="32" t="s">
        <v>257</v>
      </c>
      <c r="F41" s="28" t="s">
        <v>263</v>
      </c>
      <c r="G41" s="4"/>
      <c r="H41" s="8"/>
      <c r="I41" s="11"/>
      <c r="J41" s="7"/>
      <c r="K41" s="7"/>
    </row>
    <row r="42" spans="1:11" s="33" customFormat="1" x14ac:dyDescent="0.25">
      <c r="A42" s="30">
        <v>41187</v>
      </c>
      <c r="B42" s="29" t="s">
        <v>12</v>
      </c>
      <c r="C42" s="29" t="s">
        <v>254</v>
      </c>
      <c r="D42" s="29">
        <v>8</v>
      </c>
      <c r="E42" s="32" t="s">
        <v>105</v>
      </c>
      <c r="F42" s="28" t="s">
        <v>163</v>
      </c>
      <c r="G42" s="4"/>
      <c r="H42" s="8"/>
      <c r="I42" s="11"/>
      <c r="J42" s="7"/>
      <c r="K42" s="7"/>
    </row>
    <row r="43" spans="1:11" s="33" customFormat="1" x14ac:dyDescent="0.25">
      <c r="A43" s="30">
        <v>41186</v>
      </c>
      <c r="B43" s="29" t="s">
        <v>12</v>
      </c>
      <c r="C43" s="29" t="s">
        <v>130</v>
      </c>
      <c r="D43" s="29">
        <v>4</v>
      </c>
      <c r="E43" s="32" t="s">
        <v>151</v>
      </c>
      <c r="F43" s="28" t="s">
        <v>246</v>
      </c>
      <c r="G43" s="4"/>
      <c r="H43" s="8"/>
      <c r="I43" s="11"/>
      <c r="J43" s="7"/>
      <c r="K43" s="7"/>
    </row>
    <row r="44" spans="1:11" s="33" customFormat="1" x14ac:dyDescent="0.25">
      <c r="A44" s="30">
        <v>41186</v>
      </c>
      <c r="B44" s="29" t="s">
        <v>74</v>
      </c>
      <c r="C44" s="29" t="s">
        <v>239</v>
      </c>
      <c r="D44" s="29">
        <v>4</v>
      </c>
      <c r="E44" s="32" t="s">
        <v>255</v>
      </c>
      <c r="F44" s="28" t="s">
        <v>256</v>
      </c>
      <c r="G44" s="4"/>
      <c r="H44" s="8"/>
      <c r="I44" s="11"/>
      <c r="J44" s="7"/>
      <c r="K44" s="7"/>
    </row>
    <row r="45" spans="1:11" s="33" customFormat="1" x14ac:dyDescent="0.25">
      <c r="A45" s="30">
        <v>41185</v>
      </c>
      <c r="B45" s="29" t="s">
        <v>74</v>
      </c>
      <c r="C45" s="29" t="s">
        <v>239</v>
      </c>
      <c r="D45" s="29">
        <v>8</v>
      </c>
      <c r="E45" s="32" t="s">
        <v>248</v>
      </c>
      <c r="F45" s="28" t="s">
        <v>249</v>
      </c>
      <c r="G45" s="4"/>
      <c r="H45" s="8"/>
      <c r="I45" s="11"/>
      <c r="J45" s="7"/>
      <c r="K45" s="7"/>
    </row>
    <row r="46" spans="1:11" s="33" customFormat="1" x14ac:dyDescent="0.25">
      <c r="A46" s="30">
        <v>41184</v>
      </c>
      <c r="B46" s="29" t="s">
        <v>12</v>
      </c>
      <c r="C46" s="29" t="s">
        <v>130</v>
      </c>
      <c r="D46" s="29">
        <v>9</v>
      </c>
      <c r="E46" s="32" t="s">
        <v>151</v>
      </c>
      <c r="F46" s="28" t="s">
        <v>246</v>
      </c>
      <c r="G46" s="4"/>
      <c r="H46" s="8"/>
      <c r="I46" s="11"/>
      <c r="J46" s="7"/>
      <c r="K46" s="7"/>
    </row>
    <row r="47" spans="1:11" s="33" customFormat="1" x14ac:dyDescent="0.25">
      <c r="A47" s="30">
        <v>41183</v>
      </c>
      <c r="B47" s="29" t="s">
        <v>12</v>
      </c>
      <c r="C47" s="29" t="s">
        <v>130</v>
      </c>
      <c r="D47" s="29">
        <v>9</v>
      </c>
      <c r="E47" s="32" t="s">
        <v>151</v>
      </c>
      <c r="F47" s="28" t="s">
        <v>246</v>
      </c>
      <c r="G47" s="4"/>
      <c r="H47" s="8"/>
      <c r="I47" s="11"/>
      <c r="J47" s="7"/>
      <c r="K47" s="7"/>
    </row>
    <row r="48" spans="1:11" s="33" customFormat="1" x14ac:dyDescent="0.25">
      <c r="A48" s="17">
        <v>41182</v>
      </c>
      <c r="B48" s="13" t="s">
        <v>12</v>
      </c>
      <c r="C48" s="13" t="s">
        <v>130</v>
      </c>
      <c r="D48" s="13">
        <v>10</v>
      </c>
      <c r="E48" s="22" t="s">
        <v>151</v>
      </c>
      <c r="F48" s="8" t="s">
        <v>246</v>
      </c>
      <c r="G48" s="4"/>
      <c r="H48" s="8" t="str">
        <f>TEXT(DATE(YEAR(A48),MONTH(A48),DAY(A48)),"mmm")&amp;" Total:"</f>
        <v>Sep Total:</v>
      </c>
      <c r="I48" s="10">
        <f>SUM(D48:D78)</f>
        <v>242</v>
      </c>
      <c r="J48" s="7"/>
      <c r="K48" s="7"/>
    </row>
    <row r="49" spans="1:13" s="33" customFormat="1" x14ac:dyDescent="0.25">
      <c r="A49" s="17">
        <v>41181</v>
      </c>
      <c r="B49" s="13" t="s">
        <v>12</v>
      </c>
      <c r="C49" s="13" t="s">
        <v>130</v>
      </c>
      <c r="D49" s="13">
        <v>10</v>
      </c>
      <c r="E49" s="22" t="s">
        <v>151</v>
      </c>
      <c r="F49" s="8" t="s">
        <v>246</v>
      </c>
      <c r="G49" s="4"/>
      <c r="H49" s="8" t="s">
        <v>8</v>
      </c>
      <c r="I49" s="11">
        <f>K1</f>
        <v>35</v>
      </c>
      <c r="J49" s="7"/>
      <c r="K49" s="7"/>
    </row>
    <row r="50" spans="1:13" s="33" customFormat="1" x14ac:dyDescent="0.25">
      <c r="A50" s="17">
        <v>41180</v>
      </c>
      <c r="B50" s="13" t="s">
        <v>74</v>
      </c>
      <c r="C50" s="13" t="s">
        <v>239</v>
      </c>
      <c r="D50" s="13">
        <v>6</v>
      </c>
      <c r="E50" s="22" t="s">
        <v>242</v>
      </c>
      <c r="F50" s="8" t="s">
        <v>245</v>
      </c>
      <c r="G50" s="4"/>
      <c r="H50" s="8" t="s">
        <v>9</v>
      </c>
      <c r="I50" s="20">
        <v>0.05</v>
      </c>
      <c r="J50" s="7"/>
      <c r="K50" s="7"/>
    </row>
    <row r="51" spans="1:13" s="33" customFormat="1" x14ac:dyDescent="0.25">
      <c r="A51" s="17">
        <v>41180</v>
      </c>
      <c r="B51" s="13" t="s">
        <v>12</v>
      </c>
      <c r="C51" s="13" t="s">
        <v>130</v>
      </c>
      <c r="D51" s="13">
        <v>8</v>
      </c>
      <c r="E51" s="22" t="s">
        <v>151</v>
      </c>
      <c r="F51" s="8" t="s">
        <v>246</v>
      </c>
      <c r="G51" s="4"/>
      <c r="H51" s="8" t="s">
        <v>10</v>
      </c>
      <c r="I51" s="11">
        <f>I48*I49*(1+I50)</f>
        <v>8893.5</v>
      </c>
      <c r="J51" s="7"/>
      <c r="K51" s="7"/>
      <c r="L51" s="33" t="s">
        <v>250</v>
      </c>
    </row>
    <row r="52" spans="1:13" s="33" customFormat="1" x14ac:dyDescent="0.25">
      <c r="A52" s="17">
        <v>41179</v>
      </c>
      <c r="B52" s="13" t="s">
        <v>74</v>
      </c>
      <c r="C52" s="13" t="s">
        <v>239</v>
      </c>
      <c r="D52" s="13">
        <v>6</v>
      </c>
      <c r="E52" s="22" t="s">
        <v>242</v>
      </c>
      <c r="F52" s="8" t="s">
        <v>244</v>
      </c>
      <c r="G52" s="4"/>
      <c r="H52" s="8"/>
      <c r="I52" s="11"/>
      <c r="J52" s="7"/>
      <c r="K52" s="7"/>
      <c r="L52" s="33" t="str">
        <f>IF(C3="PEM040-001 - Resthaven",D3,"")</f>
        <v/>
      </c>
    </row>
    <row r="53" spans="1:13" s="33" customFormat="1" x14ac:dyDescent="0.25">
      <c r="A53" s="17">
        <v>41179</v>
      </c>
      <c r="B53" s="13" t="s">
        <v>12</v>
      </c>
      <c r="C53" s="13" t="s">
        <v>130</v>
      </c>
      <c r="D53" s="13">
        <v>8</v>
      </c>
      <c r="E53" s="22" t="s">
        <v>151</v>
      </c>
      <c r="F53" s="8" t="s">
        <v>246</v>
      </c>
      <c r="G53" s="4"/>
      <c r="H53" s="8"/>
      <c r="I53" s="11"/>
      <c r="J53" s="7"/>
      <c r="K53" s="7"/>
      <c r="L53" s="33" t="str">
        <f>IF(C4="PEM040-001 - Resthaven",D4,"")</f>
        <v/>
      </c>
    </row>
    <row r="54" spans="1:13" s="33" customFormat="1" x14ac:dyDescent="0.25">
      <c r="A54" s="17">
        <v>41178</v>
      </c>
      <c r="B54" s="13" t="s">
        <v>12</v>
      </c>
      <c r="C54" s="13" t="s">
        <v>130</v>
      </c>
      <c r="D54" s="13">
        <v>7</v>
      </c>
      <c r="E54" s="22" t="s">
        <v>151</v>
      </c>
      <c r="F54" s="8" t="s">
        <v>246</v>
      </c>
      <c r="G54" s="4"/>
      <c r="H54" s="8"/>
      <c r="I54" s="11"/>
      <c r="J54" s="7"/>
      <c r="K54" s="7"/>
      <c r="L54" s="33">
        <f>IF(C24="PEM040-001 - Resthaven",D24,"")</f>
        <v>10</v>
      </c>
    </row>
    <row r="55" spans="1:13" s="33" customFormat="1" x14ac:dyDescent="0.25">
      <c r="A55" s="17">
        <v>41178</v>
      </c>
      <c r="B55" s="13" t="s">
        <v>74</v>
      </c>
      <c r="C55" s="13" t="s">
        <v>239</v>
      </c>
      <c r="D55" s="13">
        <v>4</v>
      </c>
      <c r="E55" s="22" t="s">
        <v>242</v>
      </c>
      <c r="F55" s="8" t="s">
        <v>243</v>
      </c>
      <c r="G55" s="4"/>
      <c r="H55" s="8"/>
      <c r="I55" s="11"/>
      <c r="J55" s="7"/>
      <c r="K55" s="7"/>
      <c r="L55" s="33" t="str">
        <f t="shared" ref="L55:L118" si="0">IF(C25="PEM040-001 - Resthaven",D25,"")</f>
        <v/>
      </c>
    </row>
    <row r="56" spans="1:13" s="33" customFormat="1" x14ac:dyDescent="0.25">
      <c r="A56" s="17">
        <v>41177</v>
      </c>
      <c r="B56" s="13" t="s">
        <v>12</v>
      </c>
      <c r="C56" s="13" t="s">
        <v>130</v>
      </c>
      <c r="D56" s="13">
        <v>4</v>
      </c>
      <c r="E56" s="7" t="s">
        <v>151</v>
      </c>
      <c r="F56" s="8" t="s">
        <v>246</v>
      </c>
      <c r="G56" s="4"/>
      <c r="H56" s="8"/>
      <c r="I56" s="11"/>
      <c r="J56" s="7"/>
      <c r="K56" s="7"/>
      <c r="L56" s="33" t="str">
        <f t="shared" si="0"/>
        <v/>
      </c>
    </row>
    <row r="57" spans="1:13" s="33" customFormat="1" x14ac:dyDescent="0.25">
      <c r="A57" s="17">
        <v>41177</v>
      </c>
      <c r="B57" s="13" t="s">
        <v>12</v>
      </c>
      <c r="C57" s="13" t="s">
        <v>116</v>
      </c>
      <c r="D57" s="13">
        <v>4</v>
      </c>
      <c r="E57" s="22" t="s">
        <v>240</v>
      </c>
      <c r="F57" s="8" t="s">
        <v>241</v>
      </c>
      <c r="G57" s="4"/>
      <c r="H57" s="8"/>
      <c r="I57" s="11"/>
      <c r="J57" s="7"/>
      <c r="K57" s="7"/>
      <c r="L57" s="33" t="str">
        <f t="shared" si="0"/>
        <v/>
      </c>
      <c r="M57" s="33">
        <f>SUM(L:L)</f>
        <v>79</v>
      </c>
    </row>
    <row r="58" spans="1:13" s="33" customFormat="1" x14ac:dyDescent="0.25">
      <c r="A58" s="17">
        <v>41176</v>
      </c>
      <c r="B58" s="13" t="s">
        <v>12</v>
      </c>
      <c r="C58" s="13" t="s">
        <v>224</v>
      </c>
      <c r="D58" s="13">
        <v>3</v>
      </c>
      <c r="E58" s="22" t="s">
        <v>217</v>
      </c>
      <c r="F58" s="8" t="s">
        <v>247</v>
      </c>
      <c r="G58" s="4"/>
      <c r="H58" s="8"/>
      <c r="I58" s="11"/>
      <c r="J58" s="7"/>
      <c r="K58" s="7"/>
      <c r="L58" s="33" t="str">
        <f t="shared" si="0"/>
        <v/>
      </c>
    </row>
    <row r="59" spans="1:13" s="33" customFormat="1" x14ac:dyDescent="0.25">
      <c r="A59" s="17">
        <v>41173</v>
      </c>
      <c r="B59" s="13" t="s">
        <v>73</v>
      </c>
      <c r="C59" s="13" t="s">
        <v>75</v>
      </c>
      <c r="D59" s="13">
        <v>6</v>
      </c>
      <c r="E59" s="22" t="s">
        <v>203</v>
      </c>
      <c r="F59" s="8" t="s">
        <v>238</v>
      </c>
      <c r="G59" s="4"/>
      <c r="H59" s="8"/>
      <c r="I59" s="11"/>
      <c r="J59" s="7"/>
      <c r="K59" s="7"/>
      <c r="L59" s="33" t="str">
        <f t="shared" si="0"/>
        <v/>
      </c>
    </row>
    <row r="60" spans="1:13" s="33" customFormat="1" x14ac:dyDescent="0.25">
      <c r="A60" s="17">
        <v>41172</v>
      </c>
      <c r="B60" s="13" t="s">
        <v>12</v>
      </c>
      <c r="C60" s="13" t="s">
        <v>235</v>
      </c>
      <c r="D60" s="13">
        <v>6</v>
      </c>
      <c r="E60" s="22" t="s">
        <v>105</v>
      </c>
      <c r="F60" s="8" t="s">
        <v>237</v>
      </c>
      <c r="G60" s="4"/>
      <c r="H60" s="8"/>
      <c r="I60" s="11"/>
      <c r="J60" s="7"/>
      <c r="K60" s="7"/>
      <c r="L60" s="33" t="str">
        <f t="shared" si="0"/>
        <v/>
      </c>
    </row>
    <row r="61" spans="1:13" s="33" customFormat="1" x14ac:dyDescent="0.25">
      <c r="A61" s="17">
        <v>41171</v>
      </c>
      <c r="B61" s="13" t="s">
        <v>73</v>
      </c>
      <c r="C61" s="13" t="s">
        <v>76</v>
      </c>
      <c r="D61" s="13">
        <v>6</v>
      </c>
      <c r="E61" s="22" t="s">
        <v>203</v>
      </c>
      <c r="F61" s="8" t="s">
        <v>236</v>
      </c>
      <c r="G61" s="4"/>
      <c r="H61" s="8"/>
      <c r="I61" s="11"/>
      <c r="J61" s="7"/>
      <c r="K61" s="7"/>
      <c r="L61" s="33" t="str">
        <f t="shared" si="0"/>
        <v/>
      </c>
    </row>
    <row r="62" spans="1:13" s="33" customFormat="1" x14ac:dyDescent="0.25">
      <c r="A62" s="17">
        <v>41170</v>
      </c>
      <c r="B62" s="13" t="s">
        <v>12</v>
      </c>
      <c r="C62" s="13" t="s">
        <v>235</v>
      </c>
      <c r="D62" s="13">
        <v>5</v>
      </c>
      <c r="E62" s="22" t="s">
        <v>60</v>
      </c>
      <c r="F62" s="8" t="s">
        <v>234</v>
      </c>
      <c r="G62" s="4"/>
      <c r="H62" s="8"/>
      <c r="I62" s="11"/>
      <c r="J62" s="7"/>
      <c r="K62" s="7"/>
      <c r="L62" s="33" t="str">
        <f t="shared" si="0"/>
        <v/>
      </c>
    </row>
    <row r="63" spans="1:13" s="33" customFormat="1" x14ac:dyDescent="0.25">
      <c r="A63" s="17">
        <v>41170</v>
      </c>
      <c r="B63" s="13" t="s">
        <v>12</v>
      </c>
      <c r="C63" s="13" t="s">
        <v>116</v>
      </c>
      <c r="D63" s="13">
        <v>4</v>
      </c>
      <c r="E63" s="22" t="s">
        <v>203</v>
      </c>
      <c r="F63" s="8" t="s">
        <v>233</v>
      </c>
      <c r="G63" s="4"/>
      <c r="H63" s="8"/>
      <c r="I63" s="11"/>
      <c r="J63" s="7"/>
      <c r="K63" s="7"/>
      <c r="L63" s="33" t="str">
        <f t="shared" si="0"/>
        <v/>
      </c>
    </row>
    <row r="64" spans="1:13" s="33" customFormat="1" x14ac:dyDescent="0.25">
      <c r="A64" s="17">
        <v>41169</v>
      </c>
      <c r="B64" s="13" t="s">
        <v>12</v>
      </c>
      <c r="C64" s="13" t="s">
        <v>117</v>
      </c>
      <c r="D64" s="13">
        <v>3</v>
      </c>
      <c r="E64" s="22" t="s">
        <v>205</v>
      </c>
      <c r="F64" s="8" t="s">
        <v>232</v>
      </c>
      <c r="G64" s="4"/>
      <c r="H64" s="8"/>
      <c r="I64" s="11"/>
      <c r="J64" s="7"/>
      <c r="K64" s="7"/>
      <c r="L64" s="33" t="str">
        <f t="shared" si="0"/>
        <v/>
      </c>
    </row>
    <row r="65" spans="1:12" s="33" customFormat="1" x14ac:dyDescent="0.25">
      <c r="A65" s="17">
        <v>41169</v>
      </c>
      <c r="B65" s="13" t="s">
        <v>12</v>
      </c>
      <c r="C65" s="13" t="s">
        <v>116</v>
      </c>
      <c r="D65" s="13">
        <v>3</v>
      </c>
      <c r="E65" s="22" t="s">
        <v>205</v>
      </c>
      <c r="F65" s="8" t="s">
        <v>232</v>
      </c>
      <c r="G65" s="4"/>
      <c r="H65" s="8"/>
      <c r="I65" s="11"/>
      <c r="J65" s="7"/>
      <c r="K65" s="7"/>
      <c r="L65" s="33" t="str">
        <f t="shared" si="0"/>
        <v/>
      </c>
    </row>
    <row r="66" spans="1:12" s="33" customFormat="1" x14ac:dyDescent="0.25">
      <c r="A66" s="17">
        <v>41168</v>
      </c>
      <c r="B66" s="13" t="s">
        <v>12</v>
      </c>
      <c r="C66" s="13" t="s">
        <v>224</v>
      </c>
      <c r="D66" s="13">
        <v>4</v>
      </c>
      <c r="E66" s="22" t="s">
        <v>38</v>
      </c>
      <c r="F66" s="8" t="s">
        <v>228</v>
      </c>
      <c r="G66" s="4"/>
      <c r="H66" s="8"/>
      <c r="I66" s="11"/>
      <c r="J66" s="7"/>
      <c r="K66" s="7"/>
      <c r="L66" s="33" t="str">
        <f t="shared" si="0"/>
        <v/>
      </c>
    </row>
    <row r="67" spans="1:12" s="33" customFormat="1" x14ac:dyDescent="0.25">
      <c r="A67" s="17">
        <v>41168</v>
      </c>
      <c r="B67" s="13" t="s">
        <v>222</v>
      </c>
      <c r="C67" s="13" t="s">
        <v>220</v>
      </c>
      <c r="D67" s="13">
        <v>9</v>
      </c>
      <c r="E67" s="22" t="s">
        <v>223</v>
      </c>
      <c r="F67" s="8" t="s">
        <v>230</v>
      </c>
      <c r="G67" s="4"/>
      <c r="H67" s="8"/>
      <c r="I67" s="11"/>
      <c r="J67" s="7"/>
      <c r="K67" s="7"/>
      <c r="L67" s="33" t="str">
        <f t="shared" si="0"/>
        <v/>
      </c>
    </row>
    <row r="68" spans="1:12" s="33" customFormat="1" x14ac:dyDescent="0.25">
      <c r="A68" s="17">
        <v>41167</v>
      </c>
      <c r="B68" s="13" t="s">
        <v>222</v>
      </c>
      <c r="C68" s="13" t="s">
        <v>220</v>
      </c>
      <c r="D68" s="13">
        <v>10</v>
      </c>
      <c r="E68" s="22" t="s">
        <v>221</v>
      </c>
      <c r="F68" s="8" t="s">
        <v>32</v>
      </c>
      <c r="G68" s="4"/>
      <c r="H68" s="8"/>
      <c r="I68" s="11"/>
      <c r="J68" s="7"/>
      <c r="K68" s="7"/>
      <c r="L68" s="33" t="str">
        <f t="shared" si="0"/>
        <v/>
      </c>
    </row>
    <row r="69" spans="1:12" s="33" customFormat="1" x14ac:dyDescent="0.25">
      <c r="A69" s="17">
        <v>41166</v>
      </c>
      <c r="B69" s="13" t="s">
        <v>222</v>
      </c>
      <c r="C69" s="13" t="s">
        <v>220</v>
      </c>
      <c r="D69" s="13">
        <v>10</v>
      </c>
      <c r="E69" s="22" t="s">
        <v>221</v>
      </c>
      <c r="F69" s="8" t="s">
        <v>32</v>
      </c>
      <c r="G69" s="4"/>
      <c r="H69" s="8"/>
      <c r="I69" s="11"/>
      <c r="J69" s="7"/>
      <c r="K69" s="7"/>
      <c r="L69" s="33" t="str">
        <f t="shared" si="0"/>
        <v/>
      </c>
    </row>
    <row r="70" spans="1:12" s="33" customFormat="1" x14ac:dyDescent="0.25">
      <c r="A70" s="17">
        <v>41165</v>
      </c>
      <c r="B70" s="13" t="s">
        <v>12</v>
      </c>
      <c r="C70" s="13" t="s">
        <v>224</v>
      </c>
      <c r="D70" s="13">
        <v>16</v>
      </c>
      <c r="E70" s="8" t="s">
        <v>39</v>
      </c>
      <c r="F70" s="8" t="s">
        <v>219</v>
      </c>
      <c r="G70" s="4"/>
      <c r="H70" s="8"/>
      <c r="I70" s="11"/>
      <c r="J70" s="7"/>
      <c r="K70" s="7"/>
      <c r="L70" s="33" t="str">
        <f t="shared" si="0"/>
        <v/>
      </c>
    </row>
    <row r="71" spans="1:12" s="33" customFormat="1" x14ac:dyDescent="0.25">
      <c r="A71" s="17">
        <v>41164</v>
      </c>
      <c r="B71" s="13" t="s">
        <v>12</v>
      </c>
      <c r="C71" s="13" t="s">
        <v>224</v>
      </c>
      <c r="D71" s="13">
        <v>18</v>
      </c>
      <c r="E71" s="8" t="s">
        <v>39</v>
      </c>
      <c r="F71" s="8" t="s">
        <v>231</v>
      </c>
      <c r="G71" s="4"/>
      <c r="H71" s="8"/>
      <c r="I71" s="11"/>
      <c r="J71" s="7"/>
      <c r="K71" s="7"/>
      <c r="L71" s="33" t="str">
        <f t="shared" si="0"/>
        <v/>
      </c>
    </row>
    <row r="72" spans="1:12" s="33" customFormat="1" x14ac:dyDescent="0.25">
      <c r="A72" s="17">
        <v>41163</v>
      </c>
      <c r="B72" s="13" t="s">
        <v>12</v>
      </c>
      <c r="C72" s="13" t="s">
        <v>224</v>
      </c>
      <c r="D72" s="13">
        <v>18</v>
      </c>
      <c r="E72" s="8" t="s">
        <v>39</v>
      </c>
      <c r="F72" s="8" t="s">
        <v>231</v>
      </c>
      <c r="G72" s="4"/>
      <c r="H72" s="8"/>
      <c r="I72" s="11"/>
      <c r="J72" s="7"/>
      <c r="K72" s="7"/>
      <c r="L72" s="33" t="str">
        <f t="shared" si="0"/>
        <v/>
      </c>
    </row>
    <row r="73" spans="1:12" s="33" customFormat="1" x14ac:dyDescent="0.25">
      <c r="A73" s="17">
        <v>41162</v>
      </c>
      <c r="B73" s="13" t="s">
        <v>12</v>
      </c>
      <c r="C73" s="13" t="s">
        <v>224</v>
      </c>
      <c r="D73" s="13">
        <v>16</v>
      </c>
      <c r="E73" s="8" t="s">
        <v>39</v>
      </c>
      <c r="F73" s="8" t="s">
        <v>219</v>
      </c>
      <c r="G73" s="4"/>
      <c r="H73" s="8"/>
      <c r="I73" s="11"/>
      <c r="J73" s="7"/>
      <c r="K73" s="7"/>
      <c r="L73" s="33">
        <f t="shared" si="0"/>
        <v>4</v>
      </c>
    </row>
    <row r="74" spans="1:12" s="33" customFormat="1" x14ac:dyDescent="0.25">
      <c r="A74" s="17">
        <v>41161</v>
      </c>
      <c r="B74" s="13" t="s">
        <v>12</v>
      </c>
      <c r="C74" s="13" t="s">
        <v>224</v>
      </c>
      <c r="D74" s="13">
        <v>12</v>
      </c>
      <c r="E74" s="22" t="s">
        <v>38</v>
      </c>
      <c r="F74" s="8" t="s">
        <v>229</v>
      </c>
      <c r="G74" s="4"/>
      <c r="H74" s="8"/>
      <c r="I74" s="11"/>
      <c r="J74" s="7"/>
      <c r="K74" s="7"/>
      <c r="L74" s="33" t="str">
        <f t="shared" si="0"/>
        <v/>
      </c>
    </row>
    <row r="75" spans="1:12" s="33" customFormat="1" x14ac:dyDescent="0.25">
      <c r="A75" s="17">
        <v>41159</v>
      </c>
      <c r="B75" s="13" t="s">
        <v>12</v>
      </c>
      <c r="C75" s="13" t="s">
        <v>224</v>
      </c>
      <c r="D75" s="13">
        <v>8</v>
      </c>
      <c r="E75" s="22" t="s">
        <v>218</v>
      </c>
      <c r="F75" s="8"/>
      <c r="G75" s="4"/>
      <c r="H75" s="8"/>
      <c r="I75" s="11"/>
      <c r="J75" s="7"/>
      <c r="K75" s="7"/>
      <c r="L75" s="33" t="str">
        <f t="shared" si="0"/>
        <v/>
      </c>
    </row>
    <row r="76" spans="1:12" s="33" customFormat="1" x14ac:dyDescent="0.25">
      <c r="A76" s="17">
        <v>41158</v>
      </c>
      <c r="B76" s="13" t="s">
        <v>12</v>
      </c>
      <c r="C76" s="13" t="s">
        <v>224</v>
      </c>
      <c r="D76" s="13">
        <v>9</v>
      </c>
      <c r="E76" s="22" t="s">
        <v>155</v>
      </c>
      <c r="F76" s="8" t="s">
        <v>219</v>
      </c>
      <c r="G76" s="4"/>
      <c r="H76" s="8"/>
      <c r="I76" s="11"/>
      <c r="J76" s="7"/>
      <c r="K76" s="7"/>
      <c r="L76" s="33">
        <f t="shared" si="0"/>
        <v>9</v>
      </c>
    </row>
    <row r="77" spans="1:12" s="33" customFormat="1" x14ac:dyDescent="0.25">
      <c r="A77" s="17">
        <v>41157</v>
      </c>
      <c r="B77" s="13" t="s">
        <v>12</v>
      </c>
      <c r="C77" s="13" t="s">
        <v>224</v>
      </c>
      <c r="D77" s="13">
        <v>7</v>
      </c>
      <c r="E77" s="22" t="s">
        <v>155</v>
      </c>
      <c r="F77" s="8" t="s">
        <v>219</v>
      </c>
      <c r="G77" s="4"/>
      <c r="H77" s="8"/>
      <c r="I77" s="10"/>
      <c r="J77" s="7"/>
      <c r="K77" s="7"/>
      <c r="L77" s="33">
        <f t="shared" si="0"/>
        <v>9</v>
      </c>
    </row>
    <row r="78" spans="1:12" s="33" customFormat="1" x14ac:dyDescent="0.25">
      <c r="A78" s="17">
        <v>41157</v>
      </c>
      <c r="B78" s="13" t="s">
        <v>12</v>
      </c>
      <c r="C78" s="13" t="s">
        <v>118</v>
      </c>
      <c r="D78" s="13">
        <v>2</v>
      </c>
      <c r="E78" s="22" t="s">
        <v>217</v>
      </c>
      <c r="F78" s="8"/>
      <c r="G78" s="4"/>
      <c r="H78" s="8"/>
      <c r="I78" s="11"/>
      <c r="J78" s="7"/>
      <c r="K78" s="7"/>
      <c r="L78" s="33">
        <f t="shared" si="0"/>
        <v>10</v>
      </c>
    </row>
    <row r="79" spans="1:12" s="33" customFormat="1" x14ac:dyDescent="0.25">
      <c r="A79" s="30">
        <v>41152</v>
      </c>
      <c r="B79" s="29" t="s">
        <v>12</v>
      </c>
      <c r="C79" s="29" t="s">
        <v>118</v>
      </c>
      <c r="D79" s="29">
        <v>6</v>
      </c>
      <c r="E79" s="32" t="s">
        <v>38</v>
      </c>
      <c r="F79" s="28"/>
      <c r="G79" s="4"/>
      <c r="H79" s="8" t="str">
        <f>TEXT(DATE(YEAR(A79),MONTH(A79),DAY(A79)),"mmm")&amp;" Total:"</f>
        <v>Aug Total:</v>
      </c>
      <c r="I79" s="10">
        <f>SUM(D79:D108)</f>
        <v>303</v>
      </c>
      <c r="J79" s="7"/>
      <c r="K79" s="7"/>
      <c r="L79" s="33">
        <f t="shared" si="0"/>
        <v>10</v>
      </c>
    </row>
    <row r="80" spans="1:12" s="33" customFormat="1" x14ac:dyDescent="0.25">
      <c r="A80" s="30">
        <v>41152</v>
      </c>
      <c r="B80" s="29" t="s">
        <v>12</v>
      </c>
      <c r="C80" s="29" t="s">
        <v>118</v>
      </c>
      <c r="D80" s="29">
        <v>8</v>
      </c>
      <c r="E80" s="32" t="s">
        <v>39</v>
      </c>
      <c r="F80" s="28" t="s">
        <v>216</v>
      </c>
      <c r="G80" s="4"/>
      <c r="H80" s="8" t="s">
        <v>8</v>
      </c>
      <c r="I80" s="11">
        <f>K1</f>
        <v>35</v>
      </c>
      <c r="J80" s="7"/>
      <c r="K80" s="7"/>
      <c r="L80" s="33" t="str">
        <f t="shared" si="0"/>
        <v/>
      </c>
    </row>
    <row r="81" spans="1:14" s="33" customFormat="1" x14ac:dyDescent="0.25">
      <c r="A81" s="30">
        <v>41151</v>
      </c>
      <c r="B81" s="29" t="s">
        <v>12</v>
      </c>
      <c r="C81" s="29" t="s">
        <v>118</v>
      </c>
      <c r="D81" s="29">
        <v>15</v>
      </c>
      <c r="E81" s="32" t="s">
        <v>39</v>
      </c>
      <c r="F81" s="28"/>
      <c r="G81" s="4"/>
      <c r="H81" s="8" t="s">
        <v>9</v>
      </c>
      <c r="I81" s="20">
        <v>0.05</v>
      </c>
      <c r="J81" s="7"/>
      <c r="K81" s="7"/>
      <c r="L81" s="33">
        <f t="shared" si="0"/>
        <v>8</v>
      </c>
    </row>
    <row r="82" spans="1:14" s="33" customFormat="1" x14ac:dyDescent="0.25">
      <c r="A82" s="30">
        <v>41150</v>
      </c>
      <c r="B82" s="29" t="s">
        <v>12</v>
      </c>
      <c r="C82" s="29" t="s">
        <v>118</v>
      </c>
      <c r="D82" s="29">
        <v>17</v>
      </c>
      <c r="E82" s="32" t="s">
        <v>39</v>
      </c>
      <c r="F82" s="28" t="s">
        <v>182</v>
      </c>
      <c r="G82" s="4"/>
      <c r="H82" s="8" t="s">
        <v>10</v>
      </c>
      <c r="I82" s="11">
        <f>I79*I80*(1+I81)</f>
        <v>11135.25</v>
      </c>
      <c r="J82" s="7"/>
      <c r="K82" s="7"/>
      <c r="L82" s="33" t="str">
        <f t="shared" si="0"/>
        <v/>
      </c>
    </row>
    <row r="83" spans="1:14" s="33" customFormat="1" x14ac:dyDescent="0.25">
      <c r="A83" s="30">
        <v>41149</v>
      </c>
      <c r="B83" s="29" t="s">
        <v>12</v>
      </c>
      <c r="C83" s="29" t="s">
        <v>118</v>
      </c>
      <c r="D83" s="29">
        <v>17</v>
      </c>
      <c r="E83" s="32" t="s">
        <v>39</v>
      </c>
      <c r="F83" s="28" t="s">
        <v>215</v>
      </c>
      <c r="G83" s="4"/>
      <c r="H83" s="8"/>
      <c r="I83" s="11"/>
      <c r="J83" s="7"/>
      <c r="K83" s="7"/>
      <c r="L83" s="33">
        <f t="shared" si="0"/>
        <v>8</v>
      </c>
    </row>
    <row r="84" spans="1:14" s="33" customFormat="1" x14ac:dyDescent="0.25">
      <c r="A84" s="30">
        <v>41148</v>
      </c>
      <c r="B84" s="29" t="s">
        <v>12</v>
      </c>
      <c r="C84" s="29" t="s">
        <v>118</v>
      </c>
      <c r="D84" s="29">
        <v>16</v>
      </c>
      <c r="E84" s="32" t="s">
        <v>39</v>
      </c>
      <c r="F84" s="28" t="s">
        <v>155</v>
      </c>
      <c r="G84" s="4"/>
      <c r="H84" s="8"/>
      <c r="I84" s="11"/>
      <c r="J84" s="7"/>
      <c r="K84" s="7"/>
      <c r="L84" s="33">
        <f t="shared" si="0"/>
        <v>7</v>
      </c>
    </row>
    <row r="85" spans="1:14" s="33" customFormat="1" x14ac:dyDescent="0.25">
      <c r="A85" s="30">
        <v>41147</v>
      </c>
      <c r="B85" s="29" t="s">
        <v>12</v>
      </c>
      <c r="C85" s="29" t="s">
        <v>118</v>
      </c>
      <c r="D85" s="29">
        <v>14</v>
      </c>
      <c r="E85" s="32" t="s">
        <v>39</v>
      </c>
      <c r="F85" s="28" t="s">
        <v>155</v>
      </c>
      <c r="G85" s="4"/>
      <c r="H85" s="8"/>
      <c r="I85" s="11"/>
      <c r="J85" s="7"/>
      <c r="K85" s="7"/>
      <c r="L85" s="33" t="str">
        <f t="shared" si="0"/>
        <v/>
      </c>
    </row>
    <row r="86" spans="1:14" s="33" customFormat="1" x14ac:dyDescent="0.25">
      <c r="A86" s="30">
        <v>41146</v>
      </c>
      <c r="B86" s="29" t="s">
        <v>12</v>
      </c>
      <c r="C86" s="29" t="s">
        <v>118</v>
      </c>
      <c r="D86" s="29">
        <v>13</v>
      </c>
      <c r="E86" s="32" t="s">
        <v>39</v>
      </c>
      <c r="F86" s="28" t="s">
        <v>211</v>
      </c>
      <c r="G86" s="4"/>
      <c r="H86" s="8"/>
      <c r="I86" s="11"/>
      <c r="J86" s="7"/>
      <c r="K86" s="7"/>
      <c r="L86" s="33">
        <f t="shared" si="0"/>
        <v>4</v>
      </c>
    </row>
    <row r="87" spans="1:14" s="33" customFormat="1" x14ac:dyDescent="0.25">
      <c r="A87" s="30">
        <v>41145</v>
      </c>
      <c r="B87" s="29" t="s">
        <v>12</v>
      </c>
      <c r="C87" s="29" t="s">
        <v>118</v>
      </c>
      <c r="D87" s="29">
        <v>15</v>
      </c>
      <c r="E87" s="32" t="s">
        <v>39</v>
      </c>
      <c r="F87" s="28" t="s">
        <v>213</v>
      </c>
      <c r="G87" s="4"/>
      <c r="H87" s="8"/>
      <c r="I87" s="11"/>
      <c r="J87" s="7"/>
      <c r="K87" s="7"/>
      <c r="L87" s="33" t="str">
        <f t="shared" si="0"/>
        <v/>
      </c>
    </row>
    <row r="88" spans="1:14" s="33" customFormat="1" x14ac:dyDescent="0.25">
      <c r="A88" s="30">
        <v>41144</v>
      </c>
      <c r="B88" s="29" t="s">
        <v>12</v>
      </c>
      <c r="C88" s="29" t="s">
        <v>118</v>
      </c>
      <c r="D88" s="29">
        <v>15</v>
      </c>
      <c r="E88" s="32" t="s">
        <v>39</v>
      </c>
      <c r="F88" s="28" t="s">
        <v>214</v>
      </c>
      <c r="G88" s="4"/>
      <c r="H88" s="8"/>
      <c r="I88" s="11"/>
      <c r="J88" s="7"/>
      <c r="K88" s="7"/>
      <c r="L88" s="33" t="str">
        <f t="shared" si="0"/>
        <v/>
      </c>
    </row>
    <row r="89" spans="1:14" s="33" customFormat="1" x14ac:dyDescent="0.25">
      <c r="A89" s="30">
        <v>41143</v>
      </c>
      <c r="B89" s="29" t="s">
        <v>12</v>
      </c>
      <c r="C89" s="29" t="s">
        <v>118</v>
      </c>
      <c r="D89" s="29">
        <v>14</v>
      </c>
      <c r="E89" s="32" t="s">
        <v>39</v>
      </c>
      <c r="F89" s="28" t="s">
        <v>155</v>
      </c>
      <c r="G89" s="4"/>
      <c r="H89" s="8"/>
      <c r="I89" s="11"/>
      <c r="J89" s="7"/>
      <c r="K89" s="7"/>
      <c r="L89" s="33" t="str">
        <f t="shared" si="0"/>
        <v/>
      </c>
      <c r="N89" s="13"/>
    </row>
    <row r="90" spans="1:14" s="33" customFormat="1" x14ac:dyDescent="0.25">
      <c r="A90" s="30">
        <v>41142</v>
      </c>
      <c r="B90" s="29" t="s">
        <v>12</v>
      </c>
      <c r="C90" s="29" t="s">
        <v>118</v>
      </c>
      <c r="D90" s="29">
        <v>13</v>
      </c>
      <c r="E90" s="32" t="s">
        <v>39</v>
      </c>
      <c r="F90" s="28" t="s">
        <v>155</v>
      </c>
      <c r="G90" s="4"/>
      <c r="H90" s="8"/>
      <c r="I90" s="11"/>
      <c r="J90" s="7"/>
      <c r="K90" s="7"/>
      <c r="L90" s="33" t="str">
        <f t="shared" si="0"/>
        <v/>
      </c>
      <c r="N90" s="13"/>
    </row>
    <row r="91" spans="1:14" s="33" customFormat="1" x14ac:dyDescent="0.25">
      <c r="A91" s="30">
        <v>41141</v>
      </c>
      <c r="B91" s="29" t="s">
        <v>12</v>
      </c>
      <c r="C91" s="29" t="s">
        <v>118</v>
      </c>
      <c r="D91" s="29">
        <v>6</v>
      </c>
      <c r="E91" s="32" t="s">
        <v>39</v>
      </c>
      <c r="F91" s="28" t="s">
        <v>212</v>
      </c>
      <c r="G91" s="4"/>
      <c r="H91" s="8"/>
      <c r="I91" s="11"/>
      <c r="J91" s="7"/>
      <c r="K91" s="7"/>
      <c r="L91" s="33" t="str">
        <f t="shared" si="0"/>
        <v/>
      </c>
      <c r="N91" s="13"/>
    </row>
    <row r="92" spans="1:14" s="33" customFormat="1" x14ac:dyDescent="0.25">
      <c r="A92" s="30">
        <v>41141</v>
      </c>
      <c r="B92" s="29" t="s">
        <v>12</v>
      </c>
      <c r="C92" s="29" t="s">
        <v>118</v>
      </c>
      <c r="D92" s="29">
        <v>6</v>
      </c>
      <c r="E92" s="32" t="s">
        <v>38</v>
      </c>
      <c r="F92" s="28"/>
      <c r="G92" s="4"/>
      <c r="H92" s="8"/>
      <c r="I92" s="11"/>
      <c r="J92" s="7"/>
      <c r="K92" s="7"/>
      <c r="L92" s="33" t="str">
        <f t="shared" si="0"/>
        <v/>
      </c>
      <c r="N92" s="13"/>
    </row>
    <row r="93" spans="1:14" s="33" customFormat="1" x14ac:dyDescent="0.25">
      <c r="A93" s="30">
        <v>41138</v>
      </c>
      <c r="B93" s="29" t="s">
        <v>12</v>
      </c>
      <c r="C93" s="29" t="s">
        <v>118</v>
      </c>
      <c r="D93" s="29">
        <v>8</v>
      </c>
      <c r="E93" s="32" t="s">
        <v>208</v>
      </c>
      <c r="F93" s="28"/>
      <c r="G93" s="4"/>
      <c r="H93" s="8"/>
      <c r="I93" s="11"/>
      <c r="J93" s="7"/>
      <c r="K93" s="7"/>
      <c r="L93" s="33" t="str">
        <f t="shared" si="0"/>
        <v/>
      </c>
      <c r="N93" s="13"/>
    </row>
    <row r="94" spans="1:14" s="33" customFormat="1" x14ac:dyDescent="0.25">
      <c r="A94" s="30">
        <v>41137</v>
      </c>
      <c r="B94" s="29" t="s">
        <v>12</v>
      </c>
      <c r="C94" s="29" t="s">
        <v>118</v>
      </c>
      <c r="D94" s="29">
        <v>8</v>
      </c>
      <c r="E94" s="32" t="s">
        <v>208</v>
      </c>
      <c r="F94" s="28" t="s">
        <v>210</v>
      </c>
      <c r="G94" s="4"/>
      <c r="H94" s="8"/>
      <c r="I94" s="11"/>
      <c r="J94" s="7"/>
      <c r="K94" s="7"/>
      <c r="L94" s="33" t="str">
        <f t="shared" si="0"/>
        <v/>
      </c>
      <c r="N94" s="13"/>
    </row>
    <row r="95" spans="1:14" s="33" customFormat="1" x14ac:dyDescent="0.25">
      <c r="A95" s="30">
        <v>41136</v>
      </c>
      <c r="B95" s="29" t="s">
        <v>12</v>
      </c>
      <c r="C95" s="29" t="s">
        <v>118</v>
      </c>
      <c r="D95" s="29">
        <v>9</v>
      </c>
      <c r="E95" s="32" t="s">
        <v>208</v>
      </c>
      <c r="F95" s="28"/>
      <c r="G95" s="4"/>
      <c r="H95" s="8"/>
      <c r="I95" s="11"/>
      <c r="J95" s="7"/>
      <c r="K95" s="7"/>
      <c r="L95" s="33" t="str">
        <f t="shared" si="0"/>
        <v/>
      </c>
      <c r="N95" s="13"/>
    </row>
    <row r="96" spans="1:14" s="33" customFormat="1" x14ac:dyDescent="0.25">
      <c r="A96" s="30">
        <v>41135</v>
      </c>
      <c r="B96" s="29" t="s">
        <v>12</v>
      </c>
      <c r="C96" s="29" t="s">
        <v>118</v>
      </c>
      <c r="D96" s="29">
        <v>9</v>
      </c>
      <c r="E96" s="32" t="s">
        <v>208</v>
      </c>
      <c r="F96" s="28" t="s">
        <v>209</v>
      </c>
      <c r="G96" s="4"/>
      <c r="H96" s="8"/>
      <c r="I96" s="11"/>
      <c r="J96" s="7"/>
      <c r="K96" s="7"/>
      <c r="L96" s="33" t="str">
        <f t="shared" si="0"/>
        <v/>
      </c>
      <c r="N96" s="13"/>
    </row>
    <row r="97" spans="1:12" s="33" customFormat="1" x14ac:dyDescent="0.25">
      <c r="A97" s="30">
        <v>41134</v>
      </c>
      <c r="B97" s="29" t="s">
        <v>12</v>
      </c>
      <c r="C97" s="29" t="s">
        <v>118</v>
      </c>
      <c r="D97" s="29">
        <v>7</v>
      </c>
      <c r="E97" s="32" t="s">
        <v>208</v>
      </c>
      <c r="F97" s="28"/>
      <c r="G97" s="4"/>
      <c r="H97" s="8"/>
      <c r="I97" s="11"/>
      <c r="J97" s="7"/>
      <c r="K97" s="7"/>
      <c r="L97" s="33" t="str">
        <f t="shared" si="0"/>
        <v/>
      </c>
    </row>
    <row r="98" spans="1:12" s="33" customFormat="1" x14ac:dyDescent="0.25">
      <c r="A98" s="30">
        <v>41131</v>
      </c>
      <c r="B98" s="29" t="s">
        <v>12</v>
      </c>
      <c r="C98" s="29" t="s">
        <v>124</v>
      </c>
      <c r="D98" s="29">
        <v>8</v>
      </c>
      <c r="E98" s="32" t="s">
        <v>105</v>
      </c>
      <c r="F98" s="28" t="s">
        <v>207</v>
      </c>
      <c r="G98" s="4"/>
      <c r="H98" s="8"/>
      <c r="I98" s="11"/>
      <c r="J98" s="7"/>
      <c r="K98" s="7"/>
      <c r="L98" s="33" t="str">
        <f t="shared" si="0"/>
        <v/>
      </c>
    </row>
    <row r="99" spans="1:12" s="33" customFormat="1" x14ac:dyDescent="0.25">
      <c r="A99" s="30">
        <v>41130</v>
      </c>
      <c r="B99" s="29" t="s">
        <v>12</v>
      </c>
      <c r="C99" s="29" t="s">
        <v>116</v>
      </c>
      <c r="D99" s="29">
        <v>9</v>
      </c>
      <c r="E99" s="32" t="s">
        <v>200</v>
      </c>
      <c r="F99" s="28" t="s">
        <v>201</v>
      </c>
      <c r="G99" s="4"/>
      <c r="H99" s="8"/>
      <c r="I99" s="11"/>
      <c r="J99" s="7"/>
      <c r="K99" s="7"/>
      <c r="L99" s="33" t="str">
        <f t="shared" si="0"/>
        <v/>
      </c>
    </row>
    <row r="100" spans="1:12" s="33" customFormat="1" x14ac:dyDescent="0.25">
      <c r="A100" s="30">
        <v>41129</v>
      </c>
      <c r="B100" s="29" t="s">
        <v>12</v>
      </c>
      <c r="C100" s="29" t="s">
        <v>116</v>
      </c>
      <c r="D100" s="29">
        <v>9</v>
      </c>
      <c r="E100" s="32" t="s">
        <v>203</v>
      </c>
      <c r="F100" s="28" t="s">
        <v>204</v>
      </c>
      <c r="G100" s="4"/>
      <c r="H100" s="8"/>
      <c r="I100" s="11"/>
      <c r="J100" s="7"/>
      <c r="K100" s="7"/>
      <c r="L100" s="33" t="str">
        <f t="shared" si="0"/>
        <v/>
      </c>
    </row>
    <row r="101" spans="1:12" s="33" customFormat="1" x14ac:dyDescent="0.25">
      <c r="A101" s="30">
        <v>41128</v>
      </c>
      <c r="B101" s="29" t="s">
        <v>12</v>
      </c>
      <c r="C101" s="29" t="s">
        <v>117</v>
      </c>
      <c r="D101" s="29">
        <v>9</v>
      </c>
      <c r="E101" s="32" t="s">
        <v>205</v>
      </c>
      <c r="F101" s="28" t="s">
        <v>206</v>
      </c>
      <c r="G101" s="4"/>
      <c r="H101" s="8"/>
      <c r="I101" s="11"/>
      <c r="J101" s="7"/>
      <c r="K101" s="7"/>
      <c r="L101" s="33" t="str">
        <f t="shared" si="0"/>
        <v/>
      </c>
    </row>
    <row r="102" spans="1:12" s="33" customFormat="1" x14ac:dyDescent="0.25">
      <c r="A102" s="30">
        <v>41127</v>
      </c>
      <c r="B102" s="29" t="s">
        <v>12</v>
      </c>
      <c r="C102" s="29" t="s">
        <v>116</v>
      </c>
      <c r="D102" s="29">
        <v>9</v>
      </c>
      <c r="E102" s="32" t="s">
        <v>88</v>
      </c>
      <c r="F102" s="28" t="s">
        <v>202</v>
      </c>
      <c r="G102" s="4"/>
      <c r="H102" s="8"/>
      <c r="I102" s="11"/>
      <c r="J102" s="7"/>
      <c r="K102" s="7"/>
      <c r="L102" s="33" t="str">
        <f t="shared" si="0"/>
        <v/>
      </c>
    </row>
    <row r="103" spans="1:12" s="33" customFormat="1" x14ac:dyDescent="0.25">
      <c r="A103" s="30">
        <v>41124</v>
      </c>
      <c r="B103" s="29" t="s">
        <v>12</v>
      </c>
      <c r="C103" s="29" t="s">
        <v>118</v>
      </c>
      <c r="D103" s="29">
        <v>5</v>
      </c>
      <c r="E103" s="32" t="s">
        <v>38</v>
      </c>
      <c r="F103" s="28"/>
      <c r="G103" s="4"/>
      <c r="H103" s="8"/>
      <c r="I103" s="11"/>
      <c r="J103" s="7"/>
      <c r="K103" s="7"/>
      <c r="L103" s="33" t="str">
        <f t="shared" si="0"/>
        <v/>
      </c>
    </row>
    <row r="104" spans="1:12" s="33" customFormat="1" x14ac:dyDescent="0.25">
      <c r="A104" s="30">
        <v>41124</v>
      </c>
      <c r="B104" s="29" t="s">
        <v>12</v>
      </c>
      <c r="C104" s="29" t="s">
        <v>118</v>
      </c>
      <c r="D104" s="29">
        <v>7</v>
      </c>
      <c r="E104" s="32" t="s">
        <v>39</v>
      </c>
      <c r="F104" s="28"/>
      <c r="G104" s="4"/>
      <c r="H104" s="8"/>
      <c r="I104" s="11"/>
      <c r="J104" s="7"/>
      <c r="K104" s="7"/>
      <c r="L104" s="33" t="str">
        <f t="shared" si="0"/>
        <v/>
      </c>
    </row>
    <row r="105" spans="1:12" s="33" customFormat="1" x14ac:dyDescent="0.25">
      <c r="A105" s="30">
        <v>41123</v>
      </c>
      <c r="B105" s="29" t="s">
        <v>12</v>
      </c>
      <c r="C105" s="29" t="s">
        <v>116</v>
      </c>
      <c r="D105" s="29">
        <v>2</v>
      </c>
      <c r="E105" s="32" t="s">
        <v>198</v>
      </c>
      <c r="F105" s="28" t="s">
        <v>199</v>
      </c>
      <c r="G105" s="4"/>
      <c r="H105" s="8"/>
      <c r="I105" s="11"/>
      <c r="J105" s="7"/>
      <c r="K105" s="7"/>
      <c r="L105" s="33" t="str">
        <f t="shared" si="0"/>
        <v/>
      </c>
    </row>
    <row r="106" spans="1:12" s="33" customFormat="1" x14ac:dyDescent="0.25">
      <c r="A106" s="30">
        <v>41123</v>
      </c>
      <c r="B106" s="29" t="s">
        <v>12</v>
      </c>
      <c r="C106" s="29" t="s">
        <v>118</v>
      </c>
      <c r="D106" s="29">
        <v>13</v>
      </c>
      <c r="E106" s="32" t="s">
        <v>39</v>
      </c>
      <c r="F106" s="28" t="s">
        <v>138</v>
      </c>
      <c r="G106" s="4"/>
      <c r="H106" s="8"/>
      <c r="I106" s="11"/>
      <c r="J106" s="7"/>
      <c r="K106" s="7"/>
      <c r="L106" s="33" t="str">
        <f t="shared" si="0"/>
        <v/>
      </c>
    </row>
    <row r="107" spans="1:12" s="33" customFormat="1" x14ac:dyDescent="0.25">
      <c r="A107" s="30">
        <v>41122</v>
      </c>
      <c r="B107" s="29" t="s">
        <v>12</v>
      </c>
      <c r="C107" s="29" t="s">
        <v>116</v>
      </c>
      <c r="D107" s="29">
        <v>1</v>
      </c>
      <c r="E107" s="32" t="s">
        <v>198</v>
      </c>
      <c r="F107" s="28" t="s">
        <v>199</v>
      </c>
      <c r="G107" s="4"/>
      <c r="H107" s="8"/>
      <c r="I107" s="10"/>
      <c r="J107" s="7"/>
      <c r="K107" s="7"/>
      <c r="L107" s="33" t="str">
        <f t="shared" si="0"/>
        <v/>
      </c>
    </row>
    <row r="108" spans="1:12" s="33" customFormat="1" x14ac:dyDescent="0.25">
      <c r="A108" s="30">
        <v>41122</v>
      </c>
      <c r="B108" s="29" t="s">
        <v>12</v>
      </c>
      <c r="C108" s="29" t="s">
        <v>118</v>
      </c>
      <c r="D108" s="29">
        <v>15</v>
      </c>
      <c r="E108" s="32" t="s">
        <v>39</v>
      </c>
      <c r="F108" s="28" t="s">
        <v>138</v>
      </c>
      <c r="G108" s="4"/>
      <c r="H108" s="8"/>
      <c r="I108" s="11"/>
      <c r="J108" s="7"/>
      <c r="K108" s="7"/>
      <c r="L108" s="33" t="str">
        <f t="shared" si="0"/>
        <v/>
      </c>
    </row>
    <row r="109" spans="1:12" s="33" customFormat="1" x14ac:dyDescent="0.25">
      <c r="A109" s="17">
        <v>41121</v>
      </c>
      <c r="B109" s="13" t="s">
        <v>12</v>
      </c>
      <c r="C109" s="13" t="s">
        <v>118</v>
      </c>
      <c r="D109" s="13">
        <v>14</v>
      </c>
      <c r="E109" s="22" t="s">
        <v>39</v>
      </c>
      <c r="F109" s="8" t="s">
        <v>155</v>
      </c>
      <c r="G109" s="4"/>
      <c r="H109" s="8" t="str">
        <f>TEXT(DATE(YEAR(A109),MONTH(A109),DAY(A109)),"mmm")&amp;" Total:"</f>
        <v>Jul Total:</v>
      </c>
      <c r="I109" s="10">
        <f>SUM(D109:D136)</f>
        <v>308</v>
      </c>
      <c r="J109" s="7"/>
      <c r="K109" s="7"/>
      <c r="L109" s="33" t="str">
        <f t="shared" si="0"/>
        <v/>
      </c>
    </row>
    <row r="110" spans="1:12" s="33" customFormat="1" x14ac:dyDescent="0.25">
      <c r="A110" s="17">
        <v>41120</v>
      </c>
      <c r="B110" s="13" t="s">
        <v>12</v>
      </c>
      <c r="C110" s="13" t="s">
        <v>118</v>
      </c>
      <c r="D110" s="13">
        <v>14</v>
      </c>
      <c r="E110" s="22" t="s">
        <v>39</v>
      </c>
      <c r="F110" s="8" t="s">
        <v>155</v>
      </c>
      <c r="G110" s="4"/>
      <c r="H110" s="8" t="s">
        <v>8</v>
      </c>
      <c r="I110" s="11">
        <f>K1</f>
        <v>35</v>
      </c>
      <c r="J110" s="7"/>
      <c r="K110" s="7"/>
      <c r="L110" s="33" t="str">
        <f t="shared" si="0"/>
        <v/>
      </c>
    </row>
    <row r="111" spans="1:12" s="33" customFormat="1" x14ac:dyDescent="0.25">
      <c r="A111" s="17">
        <v>41119</v>
      </c>
      <c r="B111" s="13" t="s">
        <v>12</v>
      </c>
      <c r="C111" s="13" t="s">
        <v>118</v>
      </c>
      <c r="D111" s="13">
        <v>14</v>
      </c>
      <c r="E111" s="22" t="s">
        <v>39</v>
      </c>
      <c r="F111" s="8" t="s">
        <v>155</v>
      </c>
      <c r="G111" s="4"/>
      <c r="H111" s="8" t="s">
        <v>9</v>
      </c>
      <c r="I111" s="20">
        <v>0.05</v>
      </c>
      <c r="J111" s="7"/>
      <c r="K111" s="7"/>
      <c r="L111" s="33" t="str">
        <f t="shared" si="0"/>
        <v/>
      </c>
    </row>
    <row r="112" spans="1:12" s="33" customFormat="1" x14ac:dyDescent="0.25">
      <c r="A112" s="17">
        <v>41118</v>
      </c>
      <c r="B112" s="13" t="s">
        <v>12</v>
      </c>
      <c r="C112" s="13" t="s">
        <v>118</v>
      </c>
      <c r="D112" s="13">
        <v>14</v>
      </c>
      <c r="E112" s="22" t="s">
        <v>39</v>
      </c>
      <c r="F112" s="8" t="s">
        <v>155</v>
      </c>
      <c r="G112" s="4"/>
      <c r="H112" s="8" t="s">
        <v>10</v>
      </c>
      <c r="I112" s="11">
        <f>I109*I110*(1+I111)</f>
        <v>11319</v>
      </c>
      <c r="J112" s="7"/>
      <c r="K112" s="7"/>
      <c r="L112" s="33" t="str">
        <f t="shared" si="0"/>
        <v/>
      </c>
    </row>
    <row r="113" spans="1:12" s="33" customFormat="1" x14ac:dyDescent="0.25">
      <c r="A113" s="17">
        <v>41117</v>
      </c>
      <c r="B113" s="13" t="s">
        <v>12</v>
      </c>
      <c r="C113" s="13" t="s">
        <v>118</v>
      </c>
      <c r="D113" s="13">
        <v>14</v>
      </c>
      <c r="E113" s="22" t="s">
        <v>39</v>
      </c>
      <c r="F113" s="8" t="s">
        <v>155</v>
      </c>
      <c r="G113" s="4"/>
      <c r="H113" s="8"/>
      <c r="I113" s="11"/>
      <c r="J113" s="7"/>
      <c r="K113" s="7"/>
      <c r="L113" s="33" t="str">
        <f t="shared" si="0"/>
        <v/>
      </c>
    </row>
    <row r="114" spans="1:12" s="33" customFormat="1" x14ac:dyDescent="0.25">
      <c r="A114" s="17">
        <v>41116</v>
      </c>
      <c r="B114" s="13" t="s">
        <v>12</v>
      </c>
      <c r="C114" s="13" t="s">
        <v>118</v>
      </c>
      <c r="D114" s="13">
        <v>15</v>
      </c>
      <c r="E114" s="22" t="s">
        <v>39</v>
      </c>
      <c r="F114" s="8" t="s">
        <v>155</v>
      </c>
      <c r="G114" s="4"/>
      <c r="H114" s="8"/>
      <c r="I114" s="11"/>
      <c r="J114" s="7"/>
      <c r="K114" s="7"/>
      <c r="L114" s="33" t="str">
        <f t="shared" si="0"/>
        <v/>
      </c>
    </row>
    <row r="115" spans="1:12" s="33" customFormat="1" x14ac:dyDescent="0.25">
      <c r="A115" s="17">
        <v>41115</v>
      </c>
      <c r="B115" s="13" t="s">
        <v>12</v>
      </c>
      <c r="C115" s="13" t="s">
        <v>118</v>
      </c>
      <c r="D115" s="13">
        <v>14</v>
      </c>
      <c r="E115" s="22" t="s">
        <v>39</v>
      </c>
      <c r="F115" s="8" t="s">
        <v>155</v>
      </c>
      <c r="G115" s="4"/>
      <c r="H115" s="8"/>
      <c r="I115" s="11"/>
      <c r="J115" s="7"/>
      <c r="K115" s="7"/>
      <c r="L115" s="33" t="str">
        <f t="shared" si="0"/>
        <v/>
      </c>
    </row>
    <row r="116" spans="1:12" s="33" customFormat="1" x14ac:dyDescent="0.25">
      <c r="A116" s="17">
        <v>41114</v>
      </c>
      <c r="B116" s="13" t="s">
        <v>12</v>
      </c>
      <c r="C116" s="13" t="s">
        <v>118</v>
      </c>
      <c r="D116" s="13">
        <v>14</v>
      </c>
      <c r="E116" s="22" t="s">
        <v>39</v>
      </c>
      <c r="F116" s="8" t="s">
        <v>155</v>
      </c>
      <c r="G116" s="4"/>
      <c r="H116" s="8"/>
      <c r="I116" s="11"/>
      <c r="J116" s="7"/>
      <c r="K116" s="7"/>
      <c r="L116" s="33" t="str">
        <f t="shared" si="0"/>
        <v/>
      </c>
    </row>
    <row r="117" spans="1:12" s="33" customFormat="1" x14ac:dyDescent="0.25">
      <c r="A117" s="17">
        <v>41113</v>
      </c>
      <c r="B117" s="13" t="s">
        <v>12</v>
      </c>
      <c r="C117" s="13" t="s">
        <v>118</v>
      </c>
      <c r="D117" s="13">
        <v>14</v>
      </c>
      <c r="E117" s="22" t="s">
        <v>39</v>
      </c>
      <c r="F117" s="8" t="s">
        <v>155</v>
      </c>
      <c r="G117" s="4"/>
      <c r="H117" s="8"/>
      <c r="I117" s="11"/>
      <c r="J117" s="7"/>
      <c r="K117" s="7"/>
      <c r="L117" s="33" t="str">
        <f t="shared" si="0"/>
        <v/>
      </c>
    </row>
    <row r="118" spans="1:12" s="33" customFormat="1" x14ac:dyDescent="0.25">
      <c r="A118" s="17">
        <v>41112</v>
      </c>
      <c r="B118" s="13" t="s">
        <v>12</v>
      </c>
      <c r="C118" s="13" t="s">
        <v>118</v>
      </c>
      <c r="D118" s="13">
        <v>14</v>
      </c>
      <c r="E118" s="22" t="s">
        <v>39</v>
      </c>
      <c r="F118" s="8" t="s">
        <v>155</v>
      </c>
      <c r="G118" s="4"/>
      <c r="H118" s="8"/>
      <c r="I118" s="11"/>
      <c r="J118" s="7"/>
      <c r="K118" s="7"/>
      <c r="L118" s="33" t="str">
        <f t="shared" si="0"/>
        <v/>
      </c>
    </row>
    <row r="119" spans="1:12" s="33" customFormat="1" x14ac:dyDescent="0.25">
      <c r="A119" s="17">
        <v>41111</v>
      </c>
      <c r="B119" s="13" t="s">
        <v>12</v>
      </c>
      <c r="C119" s="13" t="s">
        <v>118</v>
      </c>
      <c r="D119" s="13">
        <v>15</v>
      </c>
      <c r="E119" s="22" t="s">
        <v>39</v>
      </c>
      <c r="F119" s="8" t="s">
        <v>155</v>
      </c>
      <c r="G119" s="4"/>
      <c r="H119" s="8"/>
      <c r="I119" s="11"/>
      <c r="J119" s="7"/>
      <c r="K119" s="7"/>
      <c r="L119" s="33" t="str">
        <f t="shared" ref="L119:L182" si="1">IF(C89="PEM040-001 - Resthaven",D89,"")</f>
        <v/>
      </c>
    </row>
    <row r="120" spans="1:12" s="33" customFormat="1" x14ac:dyDescent="0.25">
      <c r="A120" s="17">
        <v>41111</v>
      </c>
      <c r="B120" s="13" t="s">
        <v>12</v>
      </c>
      <c r="C120" s="13" t="s">
        <v>118</v>
      </c>
      <c r="D120" s="13">
        <v>15</v>
      </c>
      <c r="E120" s="22" t="s">
        <v>39</v>
      </c>
      <c r="F120" s="8" t="s">
        <v>197</v>
      </c>
      <c r="G120" s="4"/>
      <c r="H120" s="8"/>
      <c r="I120" s="11"/>
      <c r="J120" s="7"/>
      <c r="K120" s="7"/>
      <c r="L120" s="33" t="str">
        <f t="shared" si="1"/>
        <v/>
      </c>
    </row>
    <row r="121" spans="1:12" s="33" customFormat="1" x14ac:dyDescent="0.25">
      <c r="A121" s="17">
        <v>41110</v>
      </c>
      <c r="B121" s="13" t="s">
        <v>12</v>
      </c>
      <c r="C121" s="13" t="s">
        <v>118</v>
      </c>
      <c r="D121" s="13">
        <v>16</v>
      </c>
      <c r="E121" s="22" t="s">
        <v>39</v>
      </c>
      <c r="F121" s="8" t="s">
        <v>196</v>
      </c>
      <c r="G121" s="4"/>
      <c r="H121" s="8"/>
      <c r="I121" s="11"/>
      <c r="J121" s="7"/>
      <c r="K121" s="7"/>
      <c r="L121" s="33" t="str">
        <f t="shared" si="1"/>
        <v/>
      </c>
    </row>
    <row r="122" spans="1:12" s="33" customFormat="1" x14ac:dyDescent="0.25">
      <c r="A122" s="17">
        <v>41109</v>
      </c>
      <c r="B122" s="13" t="s">
        <v>12</v>
      </c>
      <c r="C122" s="13" t="s">
        <v>118</v>
      </c>
      <c r="D122" s="13">
        <v>15</v>
      </c>
      <c r="E122" s="22" t="s">
        <v>39</v>
      </c>
      <c r="F122" s="8" t="s">
        <v>195</v>
      </c>
      <c r="G122" s="4"/>
      <c r="H122" s="8"/>
      <c r="I122" s="11"/>
      <c r="J122" s="7"/>
      <c r="K122" s="7"/>
      <c r="L122" s="33" t="str">
        <f t="shared" si="1"/>
        <v/>
      </c>
    </row>
    <row r="123" spans="1:12" s="33" customFormat="1" x14ac:dyDescent="0.25">
      <c r="A123" s="17">
        <v>41108</v>
      </c>
      <c r="B123" s="13" t="s">
        <v>12</v>
      </c>
      <c r="C123" s="13" t="s">
        <v>118</v>
      </c>
      <c r="D123" s="13">
        <v>15</v>
      </c>
      <c r="E123" s="22" t="s">
        <v>64</v>
      </c>
      <c r="F123" s="8"/>
      <c r="G123" s="4"/>
      <c r="H123" s="8"/>
      <c r="I123" s="11"/>
      <c r="J123" s="7"/>
      <c r="K123" s="7"/>
      <c r="L123" s="33" t="str">
        <f t="shared" si="1"/>
        <v/>
      </c>
    </row>
    <row r="124" spans="1:12" s="33" customFormat="1" x14ac:dyDescent="0.25">
      <c r="A124" s="17">
        <v>41107</v>
      </c>
      <c r="B124" s="13" t="s">
        <v>12</v>
      </c>
      <c r="C124" s="13" t="s">
        <v>116</v>
      </c>
      <c r="D124" s="13">
        <v>5</v>
      </c>
      <c r="E124" s="22" t="s">
        <v>171</v>
      </c>
      <c r="F124" s="8" t="s">
        <v>194</v>
      </c>
      <c r="G124" s="4"/>
      <c r="H124" s="8"/>
      <c r="I124" s="11"/>
      <c r="J124" s="7"/>
      <c r="K124" s="7"/>
      <c r="L124" s="33" t="str">
        <f t="shared" si="1"/>
        <v/>
      </c>
    </row>
    <row r="125" spans="1:12" s="33" customFormat="1" x14ac:dyDescent="0.25">
      <c r="A125" s="17">
        <v>41107</v>
      </c>
      <c r="B125" s="13" t="s">
        <v>12</v>
      </c>
      <c r="C125" s="13" t="s">
        <v>120</v>
      </c>
      <c r="D125" s="13">
        <v>4</v>
      </c>
      <c r="E125" s="22" t="s">
        <v>155</v>
      </c>
      <c r="F125" s="8" t="s">
        <v>193</v>
      </c>
      <c r="G125" s="4"/>
      <c r="H125" s="8"/>
      <c r="I125" s="11"/>
      <c r="J125" s="7"/>
      <c r="K125" s="7"/>
      <c r="L125" s="33" t="str">
        <f t="shared" si="1"/>
        <v/>
      </c>
    </row>
    <row r="126" spans="1:12" s="33" customFormat="1" x14ac:dyDescent="0.25">
      <c r="A126" s="17">
        <v>41106</v>
      </c>
      <c r="B126" s="13" t="s">
        <v>12</v>
      </c>
      <c r="C126" s="13" t="s">
        <v>118</v>
      </c>
      <c r="D126" s="13">
        <v>2</v>
      </c>
      <c r="E126" s="22" t="s">
        <v>192</v>
      </c>
      <c r="F126" s="8"/>
      <c r="G126" s="4"/>
      <c r="H126" s="8"/>
      <c r="I126" s="11"/>
      <c r="J126" s="7"/>
      <c r="K126" s="7"/>
      <c r="L126" s="33" t="str">
        <f t="shared" si="1"/>
        <v/>
      </c>
    </row>
    <row r="127" spans="1:12" s="33" customFormat="1" x14ac:dyDescent="0.25">
      <c r="A127" s="17">
        <v>41106</v>
      </c>
      <c r="B127" s="13" t="s">
        <v>12</v>
      </c>
      <c r="C127" s="13" t="s">
        <v>15</v>
      </c>
      <c r="D127" s="13">
        <v>9</v>
      </c>
      <c r="E127" s="22" t="s">
        <v>191</v>
      </c>
      <c r="F127" s="8"/>
      <c r="G127" s="4"/>
      <c r="H127" s="8"/>
      <c r="I127" s="11"/>
      <c r="J127" s="7"/>
      <c r="K127" s="7"/>
      <c r="L127" s="33" t="str">
        <f t="shared" si="1"/>
        <v/>
      </c>
    </row>
    <row r="128" spans="1:12" s="33" customFormat="1" x14ac:dyDescent="0.25">
      <c r="A128" s="17">
        <v>41103</v>
      </c>
      <c r="B128" s="13" t="s">
        <v>12</v>
      </c>
      <c r="C128" s="13" t="s">
        <v>118</v>
      </c>
      <c r="D128" s="13">
        <v>1</v>
      </c>
      <c r="E128" s="22" t="s">
        <v>155</v>
      </c>
      <c r="F128" s="8" t="s">
        <v>190</v>
      </c>
      <c r="G128" s="4"/>
      <c r="H128" s="8"/>
      <c r="I128" s="11"/>
      <c r="J128" s="7"/>
      <c r="K128" s="7"/>
      <c r="L128" s="33" t="str">
        <f t="shared" si="1"/>
        <v/>
      </c>
    </row>
    <row r="129" spans="1:12" s="33" customFormat="1" x14ac:dyDescent="0.25">
      <c r="A129" s="17">
        <v>41103</v>
      </c>
      <c r="B129" s="13" t="s">
        <v>12</v>
      </c>
      <c r="C129" s="13" t="s">
        <v>116</v>
      </c>
      <c r="D129" s="13">
        <v>7</v>
      </c>
      <c r="E129" s="22" t="s">
        <v>189</v>
      </c>
      <c r="F129" s="8"/>
      <c r="G129" s="4"/>
      <c r="H129" s="8"/>
      <c r="I129" s="11"/>
      <c r="J129" s="7"/>
      <c r="K129" s="7"/>
      <c r="L129" s="33" t="str">
        <f t="shared" si="1"/>
        <v/>
      </c>
    </row>
    <row r="130" spans="1:12" s="33" customFormat="1" x14ac:dyDescent="0.25">
      <c r="A130" s="17">
        <v>41102</v>
      </c>
      <c r="B130" s="13" t="s">
        <v>12</v>
      </c>
      <c r="C130" s="13" t="s">
        <v>116</v>
      </c>
      <c r="D130" s="13">
        <v>9</v>
      </c>
      <c r="E130" s="22" t="s">
        <v>189</v>
      </c>
      <c r="F130" s="8"/>
      <c r="G130" s="4"/>
      <c r="H130" s="8"/>
      <c r="I130" s="11"/>
      <c r="J130" s="7"/>
      <c r="K130" s="7"/>
      <c r="L130" s="33" t="str">
        <f t="shared" si="1"/>
        <v/>
      </c>
    </row>
    <row r="131" spans="1:12" s="33" customFormat="1" x14ac:dyDescent="0.25">
      <c r="A131" s="17">
        <v>41101</v>
      </c>
      <c r="B131" s="13" t="s">
        <v>12</v>
      </c>
      <c r="C131" s="13" t="s">
        <v>116</v>
      </c>
      <c r="D131" s="13">
        <v>9</v>
      </c>
      <c r="E131" s="22" t="s">
        <v>155</v>
      </c>
      <c r="F131" s="8" t="s">
        <v>188</v>
      </c>
      <c r="G131" s="4"/>
      <c r="H131" s="8"/>
      <c r="I131" s="11"/>
      <c r="J131" s="7"/>
      <c r="K131" s="7"/>
      <c r="L131" s="33" t="str">
        <f t="shared" si="1"/>
        <v/>
      </c>
    </row>
    <row r="132" spans="1:12" s="33" customFormat="1" x14ac:dyDescent="0.25">
      <c r="A132" s="17">
        <v>41100</v>
      </c>
      <c r="B132" s="13" t="s">
        <v>12</v>
      </c>
      <c r="C132" s="13" t="s">
        <v>116</v>
      </c>
      <c r="D132" s="13">
        <v>9</v>
      </c>
      <c r="E132" s="22" t="s">
        <v>186</v>
      </c>
      <c r="F132" s="8" t="s">
        <v>187</v>
      </c>
      <c r="G132" s="4"/>
      <c r="H132" s="8"/>
      <c r="I132" s="11"/>
      <c r="J132" s="7"/>
      <c r="K132" s="7"/>
      <c r="L132" s="33" t="str">
        <f t="shared" si="1"/>
        <v/>
      </c>
    </row>
    <row r="133" spans="1:12" s="33" customFormat="1" x14ac:dyDescent="0.25">
      <c r="A133" s="17">
        <v>41099</v>
      </c>
      <c r="B133" s="13" t="s">
        <v>12</v>
      </c>
      <c r="C133" s="13" t="s">
        <v>116</v>
      </c>
      <c r="D133" s="13">
        <v>10</v>
      </c>
      <c r="E133" s="22" t="s">
        <v>186</v>
      </c>
      <c r="F133" s="8" t="s">
        <v>187</v>
      </c>
      <c r="G133" s="4"/>
      <c r="H133" s="8"/>
      <c r="I133" s="11"/>
      <c r="J133" s="7"/>
      <c r="K133" s="7"/>
      <c r="L133" s="33" t="str">
        <f t="shared" si="1"/>
        <v/>
      </c>
    </row>
    <row r="134" spans="1:12" s="33" customFormat="1" x14ac:dyDescent="0.25">
      <c r="A134" s="17">
        <v>41095</v>
      </c>
      <c r="B134" s="13" t="s">
        <v>12</v>
      </c>
      <c r="C134" s="13" t="s">
        <v>116</v>
      </c>
      <c r="D134" s="13">
        <v>9</v>
      </c>
      <c r="E134" s="22" t="s">
        <v>155</v>
      </c>
      <c r="F134" s="8"/>
      <c r="G134" s="4"/>
      <c r="H134" s="8"/>
      <c r="I134" s="11"/>
      <c r="J134" s="7"/>
      <c r="K134" s="7"/>
      <c r="L134" s="33" t="str">
        <f t="shared" si="1"/>
        <v/>
      </c>
    </row>
    <row r="135" spans="1:12" s="33" customFormat="1" x14ac:dyDescent="0.25">
      <c r="A135" s="17">
        <v>41094</v>
      </c>
      <c r="B135" s="13" t="s">
        <v>12</v>
      </c>
      <c r="C135" s="13" t="s">
        <v>116</v>
      </c>
      <c r="D135" s="13">
        <v>8</v>
      </c>
      <c r="E135" s="22" t="s">
        <v>155</v>
      </c>
      <c r="F135" s="8" t="s">
        <v>185</v>
      </c>
      <c r="G135" s="4"/>
      <c r="H135" s="8"/>
      <c r="I135" s="10"/>
      <c r="J135" s="7"/>
      <c r="K135" s="7"/>
      <c r="L135" s="33" t="str">
        <f t="shared" si="1"/>
        <v/>
      </c>
    </row>
    <row r="136" spans="1:12" s="33" customFormat="1" x14ac:dyDescent="0.25">
      <c r="A136" s="17">
        <v>41093</v>
      </c>
      <c r="B136" s="13" t="s">
        <v>12</v>
      </c>
      <c r="C136" s="13" t="s">
        <v>116</v>
      </c>
      <c r="D136" s="13">
        <v>9</v>
      </c>
      <c r="E136" s="22" t="s">
        <v>155</v>
      </c>
      <c r="F136" s="8" t="s">
        <v>184</v>
      </c>
      <c r="G136" s="4"/>
      <c r="H136" s="8"/>
      <c r="I136" s="11"/>
      <c r="J136" s="7"/>
      <c r="K136" s="7"/>
      <c r="L136" s="33" t="str">
        <f t="shared" si="1"/>
        <v/>
      </c>
    </row>
    <row r="137" spans="1:12" s="33" customFormat="1" x14ac:dyDescent="0.25">
      <c r="A137" s="30">
        <v>41089</v>
      </c>
      <c r="B137" s="29" t="s">
        <v>12</v>
      </c>
      <c r="C137" s="29" t="s">
        <v>116</v>
      </c>
      <c r="D137" s="29">
        <v>8</v>
      </c>
      <c r="E137" s="32" t="s">
        <v>155</v>
      </c>
      <c r="F137" s="28" t="s">
        <v>183</v>
      </c>
      <c r="G137" s="4"/>
      <c r="H137" s="8" t="str">
        <f>TEXT(DATE(YEAR(A137),MONTH(A137),DAY(A137)),"mmm")&amp;" Total:"</f>
        <v>Jun Total:</v>
      </c>
      <c r="I137" s="10">
        <f>SUM(D137:D166)</f>
        <v>196</v>
      </c>
      <c r="J137" s="7"/>
      <c r="K137" s="7"/>
      <c r="L137" s="33" t="str">
        <f t="shared" si="1"/>
        <v/>
      </c>
    </row>
    <row r="138" spans="1:12" s="33" customFormat="1" x14ac:dyDescent="0.25">
      <c r="A138" s="30">
        <v>41088</v>
      </c>
      <c r="B138" s="29" t="s">
        <v>12</v>
      </c>
      <c r="C138" s="29" t="s">
        <v>116</v>
      </c>
      <c r="D138" s="29">
        <v>9</v>
      </c>
      <c r="E138" s="32" t="s">
        <v>155</v>
      </c>
      <c r="F138" s="28" t="s">
        <v>182</v>
      </c>
      <c r="G138" s="4"/>
      <c r="H138" s="8" t="s">
        <v>8</v>
      </c>
      <c r="I138" s="11">
        <f>K1</f>
        <v>35</v>
      </c>
      <c r="J138" s="7"/>
      <c r="K138" s="7"/>
      <c r="L138" s="33" t="str">
        <f t="shared" si="1"/>
        <v/>
      </c>
    </row>
    <row r="139" spans="1:12" s="33" customFormat="1" x14ac:dyDescent="0.25">
      <c r="A139" s="30">
        <v>41087</v>
      </c>
      <c r="B139" s="29" t="s">
        <v>12</v>
      </c>
      <c r="C139" s="29" t="s">
        <v>116</v>
      </c>
      <c r="D139" s="29">
        <v>5</v>
      </c>
      <c r="E139" s="32" t="s">
        <v>178</v>
      </c>
      <c r="F139" s="28" t="s">
        <v>181</v>
      </c>
      <c r="G139" s="4"/>
      <c r="H139" s="8" t="s">
        <v>9</v>
      </c>
      <c r="I139" s="20">
        <v>0.05</v>
      </c>
      <c r="J139" s="7"/>
      <c r="K139" s="7"/>
      <c r="L139" s="33" t="str">
        <f t="shared" si="1"/>
        <v/>
      </c>
    </row>
    <row r="140" spans="1:12" s="33" customFormat="1" x14ac:dyDescent="0.25">
      <c r="A140" s="30">
        <v>41086</v>
      </c>
      <c r="B140" s="29" t="s">
        <v>12</v>
      </c>
      <c r="C140" s="29" t="s">
        <v>116</v>
      </c>
      <c r="D140" s="29">
        <v>10</v>
      </c>
      <c r="E140" s="32" t="s">
        <v>178</v>
      </c>
      <c r="F140" s="28" t="s">
        <v>181</v>
      </c>
      <c r="G140" s="4"/>
      <c r="H140" s="8" t="s">
        <v>10</v>
      </c>
      <c r="I140" s="11">
        <f>I137*I138*(1+I139)</f>
        <v>7203</v>
      </c>
      <c r="J140" s="7"/>
      <c r="K140" s="24"/>
      <c r="L140" s="33" t="str">
        <f t="shared" si="1"/>
        <v/>
      </c>
    </row>
    <row r="141" spans="1:12" s="33" customFormat="1" x14ac:dyDescent="0.25">
      <c r="A141" s="30">
        <v>41085</v>
      </c>
      <c r="B141" s="29" t="s">
        <v>12</v>
      </c>
      <c r="C141" s="29" t="s">
        <v>116</v>
      </c>
      <c r="D141" s="29">
        <v>10</v>
      </c>
      <c r="E141" s="32" t="s">
        <v>178</v>
      </c>
      <c r="F141" s="28" t="s">
        <v>180</v>
      </c>
      <c r="G141" s="4"/>
      <c r="H141" s="8"/>
      <c r="I141" s="11"/>
      <c r="J141" s="7"/>
      <c r="K141" s="7"/>
      <c r="L141" s="33" t="str">
        <f t="shared" si="1"/>
        <v/>
      </c>
    </row>
    <row r="142" spans="1:12" s="33" customFormat="1" x14ac:dyDescent="0.25">
      <c r="A142" s="30">
        <v>41083</v>
      </c>
      <c r="B142" s="29" t="s">
        <v>12</v>
      </c>
      <c r="C142" s="29" t="s">
        <v>116</v>
      </c>
      <c r="D142" s="29">
        <v>5</v>
      </c>
      <c r="E142" s="32" t="s">
        <v>155</v>
      </c>
      <c r="F142" s="28" t="s">
        <v>179</v>
      </c>
      <c r="G142" s="4"/>
      <c r="H142" s="8"/>
      <c r="I142" s="11"/>
      <c r="J142" s="7"/>
      <c r="K142" s="7"/>
      <c r="L142" s="33" t="str">
        <f t="shared" si="1"/>
        <v/>
      </c>
    </row>
    <row r="143" spans="1:12" s="33" customFormat="1" x14ac:dyDescent="0.25">
      <c r="A143" s="30">
        <v>41082</v>
      </c>
      <c r="B143" s="29" t="s">
        <v>12</v>
      </c>
      <c r="C143" s="29" t="s">
        <v>116</v>
      </c>
      <c r="D143" s="29">
        <v>8</v>
      </c>
      <c r="E143" s="32" t="s">
        <v>178</v>
      </c>
      <c r="F143" s="28" t="s">
        <v>96</v>
      </c>
      <c r="G143" s="4"/>
      <c r="H143" s="8"/>
      <c r="I143" s="11"/>
      <c r="J143" s="7"/>
      <c r="K143" s="7"/>
      <c r="L143" s="33" t="str">
        <f t="shared" si="1"/>
        <v/>
      </c>
    </row>
    <row r="144" spans="1:12" s="33" customFormat="1" x14ac:dyDescent="0.25">
      <c r="A144" s="30">
        <v>41081</v>
      </c>
      <c r="B144" s="29" t="s">
        <v>12</v>
      </c>
      <c r="C144" s="29" t="s">
        <v>126</v>
      </c>
      <c r="D144" s="29">
        <v>9</v>
      </c>
      <c r="E144" s="32" t="s">
        <v>105</v>
      </c>
      <c r="F144" s="28"/>
      <c r="G144" s="4"/>
      <c r="H144" s="8"/>
      <c r="I144" s="11"/>
      <c r="J144" s="7"/>
      <c r="K144" s="7"/>
      <c r="L144" s="33" t="str">
        <f t="shared" si="1"/>
        <v/>
      </c>
    </row>
    <row r="145" spans="1:12" s="33" customFormat="1" x14ac:dyDescent="0.25">
      <c r="A145" s="30">
        <v>41080</v>
      </c>
      <c r="B145" s="29" t="s">
        <v>12</v>
      </c>
      <c r="C145" s="29" t="s">
        <v>116</v>
      </c>
      <c r="D145" s="29">
        <v>10</v>
      </c>
      <c r="E145" s="32" t="s">
        <v>155</v>
      </c>
      <c r="F145" s="28"/>
      <c r="G145" s="4"/>
      <c r="H145" s="8"/>
      <c r="I145" s="11"/>
      <c r="J145" s="7"/>
      <c r="K145" s="7"/>
      <c r="L145" s="33" t="str">
        <f t="shared" si="1"/>
        <v/>
      </c>
    </row>
    <row r="146" spans="1:12" s="33" customFormat="1" x14ac:dyDescent="0.25">
      <c r="A146" s="30">
        <v>41079</v>
      </c>
      <c r="B146" s="29" t="s">
        <v>12</v>
      </c>
      <c r="C146" s="29" t="s">
        <v>116</v>
      </c>
      <c r="D146" s="29">
        <v>10</v>
      </c>
      <c r="E146" s="32" t="s">
        <v>155</v>
      </c>
      <c r="F146" s="28"/>
      <c r="G146" s="4"/>
      <c r="H146" s="8"/>
      <c r="I146" s="11"/>
      <c r="J146" s="7"/>
      <c r="K146" s="7"/>
      <c r="L146" s="33" t="str">
        <f t="shared" si="1"/>
        <v/>
      </c>
    </row>
    <row r="147" spans="1:12" s="33" customFormat="1" x14ac:dyDescent="0.25">
      <c r="A147" s="30">
        <v>41078</v>
      </c>
      <c r="B147" s="29" t="s">
        <v>12</v>
      </c>
      <c r="C147" s="29" t="s">
        <v>116</v>
      </c>
      <c r="D147" s="29">
        <v>9</v>
      </c>
      <c r="E147" s="32" t="s">
        <v>155</v>
      </c>
      <c r="F147" s="28"/>
      <c r="G147" s="4"/>
      <c r="H147" s="8"/>
      <c r="I147" s="11"/>
      <c r="J147" s="7"/>
      <c r="K147" s="7"/>
      <c r="L147" s="33" t="str">
        <f t="shared" si="1"/>
        <v/>
      </c>
    </row>
    <row r="148" spans="1:12" s="33" customFormat="1" x14ac:dyDescent="0.25">
      <c r="A148" s="30">
        <v>41078</v>
      </c>
      <c r="B148" s="29" t="s">
        <v>74</v>
      </c>
      <c r="C148" s="29" t="s">
        <v>86</v>
      </c>
      <c r="D148" s="29">
        <v>1</v>
      </c>
      <c r="E148" s="32" t="s">
        <v>176</v>
      </c>
      <c r="F148" s="28" t="s">
        <v>177</v>
      </c>
      <c r="G148" s="4"/>
      <c r="H148" s="8"/>
      <c r="I148" s="11"/>
      <c r="J148" s="7"/>
      <c r="K148" s="7"/>
      <c r="L148" s="33" t="str">
        <f t="shared" si="1"/>
        <v/>
      </c>
    </row>
    <row r="149" spans="1:12" s="33" customFormat="1" x14ac:dyDescent="0.25">
      <c r="A149" s="30">
        <v>41077</v>
      </c>
      <c r="B149" s="29" t="s">
        <v>12</v>
      </c>
      <c r="C149" s="29" t="s">
        <v>117</v>
      </c>
      <c r="D149" s="29">
        <v>3</v>
      </c>
      <c r="E149" s="32" t="s">
        <v>174</v>
      </c>
      <c r="F149" s="28" t="s">
        <v>175</v>
      </c>
      <c r="G149" s="4"/>
      <c r="H149" s="8"/>
      <c r="I149" s="11"/>
      <c r="J149" s="7"/>
      <c r="K149" s="7"/>
      <c r="L149" s="33" t="str">
        <f t="shared" si="1"/>
        <v/>
      </c>
    </row>
    <row r="150" spans="1:12" s="33" customFormat="1" x14ac:dyDescent="0.25">
      <c r="A150" s="30">
        <v>41075</v>
      </c>
      <c r="B150" s="29" t="s">
        <v>12</v>
      </c>
      <c r="C150" s="29" t="s">
        <v>117</v>
      </c>
      <c r="D150" s="29">
        <v>8</v>
      </c>
      <c r="E150" s="32" t="s">
        <v>155</v>
      </c>
      <c r="F150" s="28" t="s">
        <v>173</v>
      </c>
      <c r="G150" s="4"/>
      <c r="H150" s="8"/>
      <c r="I150" s="11"/>
      <c r="J150" s="7"/>
      <c r="K150" s="7"/>
      <c r="L150" s="33" t="str">
        <f t="shared" si="1"/>
        <v/>
      </c>
    </row>
    <row r="151" spans="1:12" s="33" customFormat="1" x14ac:dyDescent="0.25">
      <c r="A151" s="30">
        <v>41074</v>
      </c>
      <c r="B151" s="29" t="s">
        <v>12</v>
      </c>
      <c r="C151" s="29" t="s">
        <v>117</v>
      </c>
      <c r="D151" s="29">
        <v>10</v>
      </c>
      <c r="E151" s="32" t="s">
        <v>155</v>
      </c>
      <c r="F151" s="28" t="s">
        <v>172</v>
      </c>
      <c r="G151" s="4"/>
      <c r="H151" s="8"/>
      <c r="I151" s="11"/>
      <c r="J151" s="7"/>
      <c r="K151" s="7"/>
      <c r="L151" s="33" t="str">
        <f t="shared" si="1"/>
        <v/>
      </c>
    </row>
    <row r="152" spans="1:12" s="33" customFormat="1" x14ac:dyDescent="0.25">
      <c r="A152" s="30">
        <v>41073</v>
      </c>
      <c r="B152" s="29" t="s">
        <v>12</v>
      </c>
      <c r="C152" s="29" t="s">
        <v>117</v>
      </c>
      <c r="D152" s="29">
        <v>6</v>
      </c>
      <c r="E152" s="32" t="s">
        <v>171</v>
      </c>
      <c r="F152" s="28"/>
      <c r="G152" s="4"/>
      <c r="H152" s="8"/>
      <c r="I152" s="11"/>
      <c r="J152" s="7"/>
      <c r="K152" s="7"/>
      <c r="L152" s="33" t="str">
        <f t="shared" si="1"/>
        <v/>
      </c>
    </row>
    <row r="153" spans="1:12" s="33" customFormat="1" x14ac:dyDescent="0.25">
      <c r="A153" s="30">
        <v>41073</v>
      </c>
      <c r="B153" s="29" t="s">
        <v>12</v>
      </c>
      <c r="C153" s="29" t="s">
        <v>117</v>
      </c>
      <c r="D153" s="29">
        <v>4</v>
      </c>
      <c r="E153" s="32" t="s">
        <v>155</v>
      </c>
      <c r="F153" s="28" t="s">
        <v>170</v>
      </c>
      <c r="G153" s="4"/>
      <c r="H153" s="8"/>
      <c r="I153" s="11"/>
      <c r="J153" s="7"/>
      <c r="K153" s="7"/>
      <c r="L153" s="33" t="str">
        <f t="shared" si="1"/>
        <v/>
      </c>
    </row>
    <row r="154" spans="1:12" s="33" customFormat="1" x14ac:dyDescent="0.25">
      <c r="A154" s="30">
        <v>41072</v>
      </c>
      <c r="B154" s="29" t="s">
        <v>12</v>
      </c>
      <c r="C154" s="29" t="s">
        <v>117</v>
      </c>
      <c r="D154" s="29">
        <v>3</v>
      </c>
      <c r="E154" s="32" t="s">
        <v>155</v>
      </c>
      <c r="F154" s="28" t="s">
        <v>169</v>
      </c>
      <c r="G154" s="4"/>
      <c r="H154" s="8"/>
      <c r="I154" s="11"/>
      <c r="J154" s="7"/>
      <c r="K154" s="7"/>
      <c r="L154" s="33" t="str">
        <f t="shared" si="1"/>
        <v/>
      </c>
    </row>
    <row r="155" spans="1:12" s="33" customFormat="1" x14ac:dyDescent="0.25">
      <c r="A155" s="30">
        <v>41072</v>
      </c>
      <c r="B155" s="29" t="s">
        <v>12</v>
      </c>
      <c r="C155" s="29" t="s">
        <v>117</v>
      </c>
      <c r="D155" s="29">
        <v>6</v>
      </c>
      <c r="E155" s="32" t="s">
        <v>166</v>
      </c>
      <c r="F155" s="28" t="s">
        <v>168</v>
      </c>
      <c r="G155" s="4"/>
      <c r="H155" s="8"/>
      <c r="I155" s="11"/>
      <c r="J155" s="7"/>
      <c r="K155" s="7"/>
      <c r="L155" s="33" t="str">
        <f t="shared" si="1"/>
        <v/>
      </c>
    </row>
    <row r="156" spans="1:12" s="33" customFormat="1" x14ac:dyDescent="0.25">
      <c r="A156" s="30">
        <v>41071</v>
      </c>
      <c r="B156" s="29" t="s">
        <v>74</v>
      </c>
      <c r="C156" s="29" t="s">
        <v>86</v>
      </c>
      <c r="D156" s="29">
        <v>1</v>
      </c>
      <c r="E156" s="32" t="s">
        <v>159</v>
      </c>
      <c r="F156" s="28" t="s">
        <v>167</v>
      </c>
      <c r="G156" s="4"/>
      <c r="H156" s="8"/>
      <c r="I156" s="11"/>
      <c r="J156" s="7"/>
      <c r="K156" s="7"/>
      <c r="L156" s="33" t="str">
        <f t="shared" si="1"/>
        <v/>
      </c>
    </row>
    <row r="157" spans="1:12" s="33" customFormat="1" x14ac:dyDescent="0.25">
      <c r="A157" s="30">
        <v>41071</v>
      </c>
      <c r="B157" s="29" t="s">
        <v>12</v>
      </c>
      <c r="C157" s="29" t="s">
        <v>117</v>
      </c>
      <c r="D157" s="29">
        <v>5</v>
      </c>
      <c r="E157" s="32" t="s">
        <v>155</v>
      </c>
      <c r="F157" s="28"/>
      <c r="G157" s="4"/>
      <c r="H157" s="8"/>
      <c r="I157" s="11"/>
      <c r="J157" s="7"/>
      <c r="K157" s="7"/>
      <c r="L157" s="33" t="str">
        <f t="shared" si="1"/>
        <v/>
      </c>
    </row>
    <row r="158" spans="1:12" s="33" customFormat="1" x14ac:dyDescent="0.25">
      <c r="A158" s="30">
        <v>41071</v>
      </c>
      <c r="B158" s="29" t="s">
        <v>12</v>
      </c>
      <c r="C158" s="29" t="s">
        <v>117</v>
      </c>
      <c r="D158" s="29">
        <v>4</v>
      </c>
      <c r="E158" s="32" t="s">
        <v>166</v>
      </c>
      <c r="F158" s="28"/>
      <c r="G158" s="4"/>
      <c r="H158" s="8"/>
      <c r="I158" s="11"/>
      <c r="J158" s="7"/>
      <c r="K158" s="7"/>
      <c r="L158" s="33" t="str">
        <f t="shared" si="1"/>
        <v/>
      </c>
    </row>
    <row r="159" spans="1:12" s="33" customFormat="1" x14ac:dyDescent="0.25">
      <c r="A159" s="30">
        <v>41068</v>
      </c>
      <c r="B159" s="29" t="s">
        <v>74</v>
      </c>
      <c r="C159" s="29" t="s">
        <v>86</v>
      </c>
      <c r="D159" s="29">
        <v>4</v>
      </c>
      <c r="E159" s="32" t="s">
        <v>159</v>
      </c>
      <c r="F159" s="28" t="s">
        <v>165</v>
      </c>
      <c r="G159" s="4"/>
      <c r="H159" s="8"/>
      <c r="I159" s="11"/>
      <c r="J159" s="7"/>
      <c r="K159" s="7"/>
      <c r="L159" s="33" t="str">
        <f t="shared" si="1"/>
        <v/>
      </c>
    </row>
    <row r="160" spans="1:12" s="33" customFormat="1" x14ac:dyDescent="0.25">
      <c r="A160" s="30">
        <v>41068</v>
      </c>
      <c r="B160" s="29" t="s">
        <v>12</v>
      </c>
      <c r="C160" s="29" t="s">
        <v>117</v>
      </c>
      <c r="D160" s="29">
        <v>5</v>
      </c>
      <c r="E160" s="32" t="s">
        <v>155</v>
      </c>
      <c r="F160" s="28" t="s">
        <v>160</v>
      </c>
      <c r="G160" s="4"/>
      <c r="H160" s="8"/>
      <c r="I160" s="20"/>
      <c r="J160" s="7"/>
      <c r="K160" s="7"/>
      <c r="L160" s="33" t="str">
        <f t="shared" si="1"/>
        <v/>
      </c>
    </row>
    <row r="161" spans="1:12" s="33" customFormat="1" x14ac:dyDescent="0.25">
      <c r="A161" s="30">
        <v>41067</v>
      </c>
      <c r="B161" s="29" t="s">
        <v>12</v>
      </c>
      <c r="C161" s="29" t="s">
        <v>117</v>
      </c>
      <c r="D161" s="29">
        <v>10</v>
      </c>
      <c r="E161" s="32" t="s">
        <v>155</v>
      </c>
      <c r="F161" s="28" t="s">
        <v>160</v>
      </c>
      <c r="G161" s="4"/>
      <c r="H161" s="8"/>
      <c r="I161" s="11"/>
      <c r="J161" s="7"/>
      <c r="K161" s="7"/>
      <c r="L161" s="33" t="str">
        <f t="shared" si="1"/>
        <v/>
      </c>
    </row>
    <row r="162" spans="1:12" s="33" customFormat="1" x14ac:dyDescent="0.25">
      <c r="A162" s="30">
        <v>41066</v>
      </c>
      <c r="B162" s="29" t="s">
        <v>12</v>
      </c>
      <c r="C162" s="29" t="s">
        <v>117</v>
      </c>
      <c r="D162" s="29">
        <v>3</v>
      </c>
      <c r="E162" s="32" t="s">
        <v>155</v>
      </c>
      <c r="F162" s="28" t="s">
        <v>161</v>
      </c>
      <c r="G162" s="4"/>
      <c r="H162" s="8"/>
      <c r="I162" s="11"/>
      <c r="J162" s="7"/>
      <c r="K162" s="7"/>
      <c r="L162" s="33" t="str">
        <f t="shared" si="1"/>
        <v/>
      </c>
    </row>
    <row r="163" spans="1:12" s="33" customFormat="1" x14ac:dyDescent="0.25">
      <c r="A163" s="30">
        <v>41065</v>
      </c>
      <c r="B163" s="29" t="s">
        <v>12</v>
      </c>
      <c r="C163" s="29" t="s">
        <v>162</v>
      </c>
      <c r="D163" s="29">
        <v>7</v>
      </c>
      <c r="E163" s="32" t="s">
        <v>105</v>
      </c>
      <c r="F163" s="28" t="s">
        <v>163</v>
      </c>
      <c r="G163" s="4"/>
      <c r="H163" s="8"/>
      <c r="I163" s="11"/>
      <c r="J163" s="7"/>
      <c r="K163" s="7"/>
      <c r="L163" s="33" t="str">
        <f t="shared" si="1"/>
        <v/>
      </c>
    </row>
    <row r="164" spans="1:12" s="33" customFormat="1" x14ac:dyDescent="0.25">
      <c r="A164" s="30">
        <v>41065</v>
      </c>
      <c r="B164" s="29" t="s">
        <v>12</v>
      </c>
      <c r="C164" s="29" t="s">
        <v>117</v>
      </c>
      <c r="D164" s="29">
        <v>10</v>
      </c>
      <c r="E164" s="32" t="s">
        <v>155</v>
      </c>
      <c r="F164" s="28" t="s">
        <v>161</v>
      </c>
      <c r="G164" s="4"/>
      <c r="H164" s="8"/>
      <c r="I164" s="10"/>
      <c r="J164" s="7"/>
      <c r="K164" s="7"/>
      <c r="L164" s="33" t="str">
        <f t="shared" si="1"/>
        <v/>
      </c>
    </row>
    <row r="165" spans="1:12" s="33" customFormat="1" x14ac:dyDescent="0.25">
      <c r="A165" s="30">
        <v>41064</v>
      </c>
      <c r="B165" s="29" t="s">
        <v>12</v>
      </c>
      <c r="C165" s="29" t="s">
        <v>117</v>
      </c>
      <c r="D165" s="29">
        <v>11</v>
      </c>
      <c r="E165" s="32" t="s">
        <v>155</v>
      </c>
      <c r="F165" s="28" t="s">
        <v>164</v>
      </c>
      <c r="G165" s="4"/>
      <c r="H165" s="8"/>
      <c r="I165" s="10"/>
      <c r="J165" s="7"/>
      <c r="K165" s="7"/>
      <c r="L165" s="33" t="str">
        <f t="shared" si="1"/>
        <v/>
      </c>
    </row>
    <row r="166" spans="1:12" s="33" customFormat="1" x14ac:dyDescent="0.25">
      <c r="A166" s="30">
        <v>41061</v>
      </c>
      <c r="B166" s="29" t="s">
        <v>12</v>
      </c>
      <c r="C166" s="29" t="s">
        <v>116</v>
      </c>
      <c r="D166" s="29">
        <v>2</v>
      </c>
      <c r="E166" s="32" t="s">
        <v>158</v>
      </c>
      <c r="F166" s="28"/>
      <c r="G166" s="4"/>
      <c r="H166" s="8"/>
      <c r="I166" s="11"/>
      <c r="J166" s="7"/>
      <c r="K166" s="7"/>
      <c r="L166" s="33" t="str">
        <f t="shared" si="1"/>
        <v/>
      </c>
    </row>
    <row r="167" spans="1:12" s="33" customFormat="1" x14ac:dyDescent="0.25">
      <c r="A167" s="17">
        <v>41060</v>
      </c>
      <c r="B167" s="13" t="s">
        <v>12</v>
      </c>
      <c r="C167" s="13" t="s">
        <v>116</v>
      </c>
      <c r="D167" s="13">
        <v>8</v>
      </c>
      <c r="E167" s="22" t="s">
        <v>157</v>
      </c>
      <c r="F167" s="8"/>
      <c r="G167" s="4"/>
      <c r="H167" s="8" t="str">
        <f>TEXT(DATE(YEAR(A167),MONTH(A167),DAY(A167)),"mmm")&amp;" Total:"</f>
        <v>May Total:</v>
      </c>
      <c r="I167" s="10">
        <f>SUM(D167:D200)</f>
        <v>215</v>
      </c>
      <c r="J167" s="7"/>
      <c r="K167" s="7"/>
      <c r="L167" s="33" t="str">
        <f t="shared" si="1"/>
        <v/>
      </c>
    </row>
    <row r="168" spans="1:12" s="33" customFormat="1" x14ac:dyDescent="0.25">
      <c r="A168" s="17">
        <v>41059</v>
      </c>
      <c r="B168" s="13" t="s">
        <v>12</v>
      </c>
      <c r="C168" s="13" t="s">
        <v>116</v>
      </c>
      <c r="D168" s="13">
        <v>9</v>
      </c>
      <c r="E168" s="22" t="s">
        <v>155</v>
      </c>
      <c r="F168" s="8"/>
      <c r="G168" s="4"/>
      <c r="H168" s="8" t="s">
        <v>8</v>
      </c>
      <c r="I168" s="11">
        <f>K1</f>
        <v>35</v>
      </c>
      <c r="J168" s="7"/>
      <c r="K168" s="7"/>
      <c r="L168" s="33" t="str">
        <f t="shared" si="1"/>
        <v/>
      </c>
    </row>
    <row r="169" spans="1:12" s="33" customFormat="1" x14ac:dyDescent="0.25">
      <c r="A169" s="17">
        <v>41058</v>
      </c>
      <c r="B169" s="13" t="s">
        <v>12</v>
      </c>
      <c r="C169" s="13" t="s">
        <v>116</v>
      </c>
      <c r="D169" s="13">
        <v>9</v>
      </c>
      <c r="E169" s="22" t="s">
        <v>156</v>
      </c>
      <c r="F169" s="8"/>
      <c r="G169" s="4"/>
      <c r="H169" s="8" t="s">
        <v>9</v>
      </c>
      <c r="I169" s="20">
        <v>0.05</v>
      </c>
      <c r="J169" s="7"/>
      <c r="K169" s="7"/>
      <c r="L169" s="33" t="str">
        <f t="shared" si="1"/>
        <v/>
      </c>
    </row>
    <row r="170" spans="1:12" s="33" customFormat="1" x14ac:dyDescent="0.25">
      <c r="A170" s="17">
        <v>41057</v>
      </c>
      <c r="B170" s="13" t="s">
        <v>12</v>
      </c>
      <c r="C170" s="13" t="s">
        <v>116</v>
      </c>
      <c r="D170" s="13">
        <v>8</v>
      </c>
      <c r="E170" s="22" t="s">
        <v>155</v>
      </c>
      <c r="F170" s="8"/>
      <c r="G170" s="4"/>
      <c r="H170" s="8" t="s">
        <v>10</v>
      </c>
      <c r="I170" s="11">
        <f>I167*I168*(1+I169)</f>
        <v>7901.25</v>
      </c>
      <c r="J170" s="24"/>
      <c r="K170" s="7"/>
      <c r="L170" s="33" t="str">
        <f t="shared" si="1"/>
        <v/>
      </c>
    </row>
    <row r="171" spans="1:12" s="33" customFormat="1" x14ac:dyDescent="0.25">
      <c r="A171" s="17">
        <v>41055</v>
      </c>
      <c r="B171" s="13" t="s">
        <v>74</v>
      </c>
      <c r="C171" s="13" t="s">
        <v>86</v>
      </c>
      <c r="D171" s="13">
        <v>3</v>
      </c>
      <c r="E171" s="22" t="s">
        <v>154</v>
      </c>
      <c r="F171" s="8"/>
      <c r="G171" s="4"/>
      <c r="H171" s="8"/>
      <c r="I171" s="11"/>
      <c r="J171" s="7"/>
      <c r="K171" s="7"/>
      <c r="L171" s="33" t="str">
        <f t="shared" si="1"/>
        <v/>
      </c>
    </row>
    <row r="172" spans="1:12" s="33" customFormat="1" x14ac:dyDescent="0.25">
      <c r="A172" s="17">
        <v>41054</v>
      </c>
      <c r="B172" s="13" t="s">
        <v>74</v>
      </c>
      <c r="C172" s="13" t="s">
        <v>86</v>
      </c>
      <c r="D172" s="13">
        <v>1</v>
      </c>
      <c r="E172" s="22" t="s">
        <v>153</v>
      </c>
      <c r="F172" s="8"/>
      <c r="G172" s="4"/>
      <c r="H172" s="8"/>
      <c r="I172" s="11"/>
      <c r="J172" s="7"/>
      <c r="K172" s="7"/>
      <c r="L172" s="33" t="str">
        <f t="shared" si="1"/>
        <v/>
      </c>
    </row>
    <row r="173" spans="1:12" s="33" customFormat="1" x14ac:dyDescent="0.25">
      <c r="A173" s="17">
        <v>41054</v>
      </c>
      <c r="B173" s="13" t="s">
        <v>12</v>
      </c>
      <c r="C173" s="13" t="s">
        <v>130</v>
      </c>
      <c r="D173" s="13">
        <v>3</v>
      </c>
      <c r="E173" s="22" t="s">
        <v>151</v>
      </c>
      <c r="F173" s="8" t="s">
        <v>152</v>
      </c>
      <c r="G173" s="4"/>
      <c r="H173" s="8"/>
      <c r="I173" s="11"/>
      <c r="J173" s="7"/>
      <c r="K173" s="7"/>
      <c r="L173" s="33" t="str">
        <f t="shared" si="1"/>
        <v/>
      </c>
    </row>
    <row r="174" spans="1:12" s="33" customFormat="1" x14ac:dyDescent="0.25">
      <c r="A174" s="17">
        <v>41054</v>
      </c>
      <c r="B174" s="13" t="s">
        <v>12</v>
      </c>
      <c r="C174" s="13" t="s">
        <v>116</v>
      </c>
      <c r="D174" s="13">
        <v>6</v>
      </c>
      <c r="E174" s="22" t="s">
        <v>60</v>
      </c>
      <c r="F174" s="8"/>
      <c r="G174" s="4"/>
      <c r="H174" s="8"/>
      <c r="I174" s="11"/>
      <c r="J174" s="7"/>
      <c r="K174" s="7"/>
      <c r="L174" s="33" t="str">
        <f t="shared" si="1"/>
        <v/>
      </c>
    </row>
    <row r="175" spans="1:12" s="33" customFormat="1" x14ac:dyDescent="0.25">
      <c r="A175" s="17">
        <v>41053</v>
      </c>
      <c r="B175" s="13" t="s">
        <v>12</v>
      </c>
      <c r="C175" s="13" t="s">
        <v>116</v>
      </c>
      <c r="D175" s="13">
        <v>10</v>
      </c>
      <c r="E175" s="22" t="s">
        <v>60</v>
      </c>
      <c r="F175" s="8"/>
      <c r="G175" s="4"/>
      <c r="H175" s="8"/>
      <c r="I175" s="11"/>
      <c r="J175" s="7"/>
      <c r="K175" s="7"/>
      <c r="L175" s="33" t="str">
        <f t="shared" si="1"/>
        <v/>
      </c>
    </row>
    <row r="176" spans="1:12" s="33" customFormat="1" x14ac:dyDescent="0.25">
      <c r="A176" s="17">
        <v>41052</v>
      </c>
      <c r="B176" s="13" t="s">
        <v>12</v>
      </c>
      <c r="C176" s="13" t="s">
        <v>116</v>
      </c>
      <c r="D176" s="13">
        <v>9</v>
      </c>
      <c r="E176" s="22" t="s">
        <v>60</v>
      </c>
      <c r="F176" s="8"/>
      <c r="G176" s="4"/>
      <c r="H176" s="8"/>
      <c r="I176" s="11"/>
      <c r="J176" s="7"/>
      <c r="K176" s="7"/>
      <c r="L176" s="33" t="str">
        <f t="shared" si="1"/>
        <v/>
      </c>
    </row>
    <row r="177" spans="1:12" s="33" customFormat="1" x14ac:dyDescent="0.25">
      <c r="A177" s="17">
        <v>41051</v>
      </c>
      <c r="B177" s="13" t="s">
        <v>12</v>
      </c>
      <c r="C177" s="13" t="s">
        <v>116</v>
      </c>
      <c r="D177" s="13">
        <v>10</v>
      </c>
      <c r="E177" s="22" t="s">
        <v>60</v>
      </c>
      <c r="F177" s="8"/>
      <c r="G177" s="4"/>
      <c r="H177" s="8"/>
      <c r="I177" s="11"/>
      <c r="J177" s="7"/>
      <c r="K177" s="7"/>
      <c r="L177" s="33" t="str">
        <f t="shared" si="1"/>
        <v/>
      </c>
    </row>
    <row r="178" spans="1:12" s="33" customFormat="1" x14ac:dyDescent="0.25">
      <c r="A178" s="17">
        <v>41047</v>
      </c>
      <c r="B178" s="13" t="s">
        <v>12</v>
      </c>
      <c r="C178" s="13" t="s">
        <v>116</v>
      </c>
      <c r="D178" s="13">
        <v>10</v>
      </c>
      <c r="E178" s="22" t="s">
        <v>60</v>
      </c>
      <c r="F178" s="8" t="s">
        <v>150</v>
      </c>
      <c r="G178" s="4"/>
      <c r="H178" s="8"/>
      <c r="I178" s="11"/>
      <c r="J178" s="7"/>
      <c r="K178" s="7"/>
      <c r="L178" s="33" t="str">
        <f t="shared" si="1"/>
        <v/>
      </c>
    </row>
    <row r="179" spans="1:12" s="33" customFormat="1" x14ac:dyDescent="0.25">
      <c r="A179" s="17">
        <v>41046</v>
      </c>
      <c r="B179" s="13" t="s">
        <v>12</v>
      </c>
      <c r="C179" s="13" t="s">
        <v>141</v>
      </c>
      <c r="D179" s="13">
        <v>3</v>
      </c>
      <c r="E179" s="22" t="s">
        <v>105</v>
      </c>
      <c r="F179" s="8"/>
      <c r="G179" s="4"/>
      <c r="H179" s="8"/>
      <c r="I179" s="11"/>
      <c r="J179" s="7"/>
      <c r="K179" s="7"/>
      <c r="L179" s="33" t="str">
        <f t="shared" si="1"/>
        <v/>
      </c>
    </row>
    <row r="180" spans="1:12" s="33" customFormat="1" x14ac:dyDescent="0.25">
      <c r="A180" s="17">
        <v>41046</v>
      </c>
      <c r="B180" s="13" t="s">
        <v>12</v>
      </c>
      <c r="C180" s="13" t="s">
        <v>116</v>
      </c>
      <c r="D180" s="13">
        <v>7</v>
      </c>
      <c r="E180" s="22" t="s">
        <v>60</v>
      </c>
      <c r="F180" s="8" t="s">
        <v>149</v>
      </c>
      <c r="G180" s="4"/>
      <c r="H180" s="8"/>
      <c r="I180" s="11"/>
      <c r="J180" s="7"/>
      <c r="K180" s="7"/>
      <c r="L180" s="33" t="str">
        <f t="shared" si="1"/>
        <v/>
      </c>
    </row>
    <row r="181" spans="1:12" s="33" customFormat="1" x14ac:dyDescent="0.25">
      <c r="A181" s="17">
        <v>41045</v>
      </c>
      <c r="B181" s="13" t="s">
        <v>12</v>
      </c>
      <c r="C181" s="13" t="s">
        <v>116</v>
      </c>
      <c r="D181" s="13">
        <v>8</v>
      </c>
      <c r="E181" s="22" t="s">
        <v>60</v>
      </c>
      <c r="F181" s="8" t="s">
        <v>148</v>
      </c>
      <c r="G181" s="4"/>
      <c r="H181" s="8"/>
      <c r="I181" s="11"/>
      <c r="J181" s="7"/>
      <c r="K181" s="7"/>
      <c r="L181" s="33" t="str">
        <f t="shared" si="1"/>
        <v/>
      </c>
    </row>
    <row r="182" spans="1:12" s="33" customFormat="1" x14ac:dyDescent="0.25">
      <c r="A182" s="17">
        <v>41044</v>
      </c>
      <c r="B182" s="13" t="s">
        <v>12</v>
      </c>
      <c r="C182" s="13" t="s">
        <v>116</v>
      </c>
      <c r="D182" s="13">
        <v>5</v>
      </c>
      <c r="E182" s="22" t="s">
        <v>60</v>
      </c>
      <c r="F182" s="8"/>
      <c r="G182" s="4"/>
      <c r="H182" s="8"/>
      <c r="I182" s="11"/>
      <c r="J182" s="7"/>
      <c r="K182" s="7"/>
      <c r="L182" s="33" t="str">
        <f t="shared" si="1"/>
        <v/>
      </c>
    </row>
    <row r="183" spans="1:12" s="33" customFormat="1" x14ac:dyDescent="0.25">
      <c r="A183" s="17">
        <v>41044</v>
      </c>
      <c r="B183" s="13" t="s">
        <v>12</v>
      </c>
      <c r="C183" s="13" t="s">
        <v>141</v>
      </c>
      <c r="D183" s="13">
        <v>6</v>
      </c>
      <c r="E183" s="22" t="s">
        <v>105</v>
      </c>
      <c r="F183" s="8"/>
      <c r="G183" s="4"/>
      <c r="H183" s="8"/>
      <c r="I183" s="11"/>
      <c r="J183" s="7"/>
      <c r="K183" s="7"/>
      <c r="L183" s="33" t="str">
        <f t="shared" ref="L183:L195" si="2">IF(C153="PEM040-001 - Resthaven",D153,"")</f>
        <v/>
      </c>
    </row>
    <row r="184" spans="1:12" s="33" customFormat="1" x14ac:dyDescent="0.25">
      <c r="A184" s="17">
        <v>41043</v>
      </c>
      <c r="B184" s="13" t="s">
        <v>12</v>
      </c>
      <c r="C184" s="13" t="s">
        <v>116</v>
      </c>
      <c r="D184" s="13">
        <v>11</v>
      </c>
      <c r="E184" s="22" t="s">
        <v>60</v>
      </c>
      <c r="F184" s="8" t="s">
        <v>102</v>
      </c>
      <c r="G184" s="4"/>
      <c r="H184" s="8"/>
      <c r="I184" s="11"/>
      <c r="J184" s="7"/>
      <c r="K184" s="7"/>
      <c r="L184" s="33" t="str">
        <f t="shared" si="2"/>
        <v/>
      </c>
    </row>
    <row r="185" spans="1:12" s="33" customFormat="1" x14ac:dyDescent="0.25">
      <c r="A185" s="17">
        <v>41040</v>
      </c>
      <c r="B185" s="13" t="s">
        <v>12</v>
      </c>
      <c r="C185" s="13" t="s">
        <v>130</v>
      </c>
      <c r="D185" s="13">
        <v>1</v>
      </c>
      <c r="E185" s="22" t="s">
        <v>147</v>
      </c>
      <c r="F185" s="8"/>
      <c r="G185" s="4"/>
      <c r="H185" s="8"/>
      <c r="I185" s="11"/>
      <c r="J185" s="7"/>
      <c r="K185" s="7"/>
      <c r="L185" s="33" t="str">
        <f t="shared" si="2"/>
        <v/>
      </c>
    </row>
    <row r="186" spans="1:12" s="33" customFormat="1" x14ac:dyDescent="0.25">
      <c r="A186" s="17">
        <v>41040</v>
      </c>
      <c r="B186" s="13" t="s">
        <v>12</v>
      </c>
      <c r="C186" s="13" t="s">
        <v>116</v>
      </c>
      <c r="D186" s="13">
        <v>3</v>
      </c>
      <c r="E186" s="22" t="s">
        <v>146</v>
      </c>
      <c r="F186" s="8"/>
      <c r="G186" s="4"/>
      <c r="H186" s="8"/>
      <c r="I186" s="11"/>
      <c r="J186" s="7"/>
      <c r="K186" s="7"/>
      <c r="L186" s="33" t="str">
        <f t="shared" si="2"/>
        <v/>
      </c>
    </row>
    <row r="187" spans="1:12" s="33" customFormat="1" x14ac:dyDescent="0.25">
      <c r="A187" s="17">
        <v>41040</v>
      </c>
      <c r="B187" s="13" t="s">
        <v>74</v>
      </c>
      <c r="C187" s="13" t="s">
        <v>84</v>
      </c>
      <c r="D187" s="13">
        <v>5</v>
      </c>
      <c r="E187" s="22" t="s">
        <v>145</v>
      </c>
      <c r="F187" s="8" t="s">
        <v>144</v>
      </c>
      <c r="G187" s="4"/>
      <c r="H187" s="8"/>
      <c r="I187" s="11"/>
      <c r="J187" s="7"/>
      <c r="K187" s="7"/>
      <c r="L187" s="33" t="str">
        <f t="shared" si="2"/>
        <v/>
      </c>
    </row>
    <row r="188" spans="1:12" s="33" customFormat="1" x14ac:dyDescent="0.25">
      <c r="A188" s="17">
        <v>41039</v>
      </c>
      <c r="B188" s="13" t="s">
        <v>74</v>
      </c>
      <c r="C188" s="13" t="s">
        <v>84</v>
      </c>
      <c r="D188" s="13">
        <v>5</v>
      </c>
      <c r="E188" s="22" t="s">
        <v>143</v>
      </c>
      <c r="F188" s="8" t="s">
        <v>144</v>
      </c>
      <c r="G188" s="4"/>
      <c r="H188" s="8"/>
      <c r="I188" s="11"/>
      <c r="J188" s="7"/>
      <c r="K188" s="7"/>
      <c r="L188" s="33" t="str">
        <f t="shared" si="2"/>
        <v/>
      </c>
    </row>
    <row r="189" spans="1:12" s="33" customFormat="1" x14ac:dyDescent="0.25">
      <c r="A189" s="17">
        <v>41039</v>
      </c>
      <c r="B189" s="13" t="s">
        <v>12</v>
      </c>
      <c r="C189" s="13" t="s">
        <v>116</v>
      </c>
      <c r="D189" s="13">
        <v>5</v>
      </c>
      <c r="E189" s="22" t="s">
        <v>60</v>
      </c>
      <c r="F189" s="8"/>
      <c r="G189" s="4"/>
      <c r="H189" s="8"/>
      <c r="I189" s="11"/>
      <c r="J189" s="7"/>
      <c r="K189" s="7"/>
      <c r="L189" s="33" t="str">
        <f t="shared" si="2"/>
        <v/>
      </c>
    </row>
    <row r="190" spans="1:12" s="33" customFormat="1" x14ac:dyDescent="0.25">
      <c r="A190" s="17">
        <v>41038</v>
      </c>
      <c r="B190" s="13" t="s">
        <v>12</v>
      </c>
      <c r="C190" s="13" t="s">
        <v>116</v>
      </c>
      <c r="D190" s="13">
        <v>10</v>
      </c>
      <c r="E190" s="22" t="s">
        <v>60</v>
      </c>
      <c r="F190" s="8"/>
      <c r="G190" s="4"/>
      <c r="H190" s="8"/>
      <c r="I190" s="11"/>
      <c r="J190" s="7"/>
      <c r="K190" s="7"/>
      <c r="L190" s="33" t="str">
        <f t="shared" si="2"/>
        <v/>
      </c>
    </row>
    <row r="191" spans="1:12" s="33" customFormat="1" x14ac:dyDescent="0.25">
      <c r="A191" s="17">
        <v>41037</v>
      </c>
      <c r="B191" s="13" t="s">
        <v>12</v>
      </c>
      <c r="C191" s="13" t="s">
        <v>116</v>
      </c>
      <c r="D191" s="13">
        <v>11</v>
      </c>
      <c r="E191" s="22" t="s">
        <v>142</v>
      </c>
      <c r="F191" s="8"/>
      <c r="G191" s="4"/>
      <c r="H191" s="8"/>
      <c r="I191" s="11"/>
      <c r="J191" s="7"/>
      <c r="K191" s="7"/>
      <c r="L191" s="33" t="str">
        <f t="shared" si="2"/>
        <v/>
      </c>
    </row>
    <row r="192" spans="1:12" s="33" customFormat="1" x14ac:dyDescent="0.25">
      <c r="A192" s="17">
        <v>41036</v>
      </c>
      <c r="B192" s="13" t="s">
        <v>12</v>
      </c>
      <c r="C192" s="13" t="s">
        <v>116</v>
      </c>
      <c r="D192" s="13">
        <v>10</v>
      </c>
      <c r="E192" s="22" t="s">
        <v>60</v>
      </c>
      <c r="F192" s="8" t="s">
        <v>52</v>
      </c>
      <c r="G192" s="4"/>
      <c r="H192" s="8"/>
      <c r="I192" s="11"/>
      <c r="J192" s="7"/>
      <c r="K192" s="7"/>
      <c r="L192" s="33" t="str">
        <f t="shared" si="2"/>
        <v/>
      </c>
    </row>
    <row r="193" spans="1:12" s="33" customFormat="1" x14ac:dyDescent="0.25">
      <c r="A193" s="17">
        <v>41033</v>
      </c>
      <c r="B193" s="13" t="s">
        <v>12</v>
      </c>
      <c r="C193" s="13" t="s">
        <v>116</v>
      </c>
      <c r="D193" s="13">
        <v>9</v>
      </c>
      <c r="E193" s="22" t="s">
        <v>140</v>
      </c>
      <c r="F193" s="8"/>
      <c r="G193" s="4"/>
      <c r="H193" s="8"/>
      <c r="I193" s="11"/>
      <c r="J193" s="7"/>
      <c r="K193" s="7"/>
      <c r="L193" s="33" t="str">
        <f t="shared" si="2"/>
        <v/>
      </c>
    </row>
    <row r="194" spans="1:12" s="33" customFormat="1" x14ac:dyDescent="0.25">
      <c r="A194" s="17">
        <v>41032</v>
      </c>
      <c r="B194" s="13" t="s">
        <v>12</v>
      </c>
      <c r="C194" s="13" t="s">
        <v>116</v>
      </c>
      <c r="D194" s="13">
        <v>2</v>
      </c>
      <c r="E194" s="22" t="s">
        <v>60</v>
      </c>
      <c r="F194" s="8"/>
      <c r="G194" s="4"/>
      <c r="H194" s="8"/>
      <c r="I194" s="11"/>
      <c r="J194" s="7"/>
      <c r="K194" s="7"/>
      <c r="L194" s="33" t="str">
        <f t="shared" si="2"/>
        <v/>
      </c>
    </row>
    <row r="195" spans="1:12" s="33" customFormat="1" x14ac:dyDescent="0.25">
      <c r="A195" s="17">
        <v>41032</v>
      </c>
      <c r="B195" s="13" t="s">
        <v>12</v>
      </c>
      <c r="C195" s="13" t="s">
        <v>141</v>
      </c>
      <c r="D195" s="13">
        <v>4</v>
      </c>
      <c r="E195" s="22" t="s">
        <v>60</v>
      </c>
      <c r="F195" s="8" t="s">
        <v>139</v>
      </c>
      <c r="G195" s="4"/>
      <c r="H195" s="8"/>
      <c r="I195" s="11"/>
      <c r="J195" s="7"/>
      <c r="K195" s="7"/>
      <c r="L195" s="33" t="str">
        <f t="shared" si="2"/>
        <v/>
      </c>
    </row>
    <row r="196" spans="1:12" s="33" customFormat="1" x14ac:dyDescent="0.25">
      <c r="A196" s="17">
        <v>41032</v>
      </c>
      <c r="B196" s="13" t="s">
        <v>12</v>
      </c>
      <c r="C196" s="13" t="s">
        <v>130</v>
      </c>
      <c r="D196" s="13">
        <v>4</v>
      </c>
      <c r="E196" s="22" t="s">
        <v>138</v>
      </c>
      <c r="F196" s="8" t="s">
        <v>134</v>
      </c>
      <c r="G196" s="4"/>
      <c r="H196" s="8"/>
      <c r="I196" s="11"/>
      <c r="J196" s="7"/>
      <c r="K196" s="7"/>
    </row>
    <row r="197" spans="1:12" s="33" customFormat="1" x14ac:dyDescent="0.25">
      <c r="A197" s="17">
        <v>41031</v>
      </c>
      <c r="B197" s="13" t="s">
        <v>12</v>
      </c>
      <c r="C197" s="13" t="s">
        <v>130</v>
      </c>
      <c r="D197" s="13">
        <v>4</v>
      </c>
      <c r="E197" s="22" t="s">
        <v>133</v>
      </c>
      <c r="F197" s="8"/>
      <c r="G197" s="4"/>
      <c r="H197" s="8"/>
      <c r="I197" s="11"/>
      <c r="J197" s="7"/>
      <c r="K197" s="7"/>
    </row>
    <row r="198" spans="1:12" s="33" customFormat="1" x14ac:dyDescent="0.25">
      <c r="A198" s="17">
        <v>41031</v>
      </c>
      <c r="B198" s="13" t="s">
        <v>12</v>
      </c>
      <c r="C198" s="13" t="s">
        <v>130</v>
      </c>
      <c r="D198" s="13">
        <v>6</v>
      </c>
      <c r="E198" s="22" t="s">
        <v>137</v>
      </c>
      <c r="F198" s="8"/>
      <c r="G198" s="4"/>
      <c r="H198" s="8"/>
      <c r="I198" s="10"/>
      <c r="J198" s="7"/>
      <c r="K198" s="7"/>
    </row>
    <row r="199" spans="1:12" s="33" customFormat="1" x14ac:dyDescent="0.25">
      <c r="A199" s="17">
        <v>41030</v>
      </c>
      <c r="B199" s="13" t="s">
        <v>12</v>
      </c>
      <c r="C199" s="13" t="s">
        <v>116</v>
      </c>
      <c r="D199" s="13">
        <v>2</v>
      </c>
      <c r="E199" s="22" t="s">
        <v>135</v>
      </c>
      <c r="F199" s="8" t="s">
        <v>136</v>
      </c>
      <c r="G199" s="4"/>
      <c r="H199" s="8"/>
      <c r="I199" s="10"/>
      <c r="J199" s="7"/>
      <c r="K199" s="7"/>
    </row>
    <row r="200" spans="1:12" s="33" customFormat="1" x14ac:dyDescent="0.25">
      <c r="A200" s="17">
        <v>41030</v>
      </c>
      <c r="B200" s="13" t="s">
        <v>12</v>
      </c>
      <c r="C200" s="13" t="s">
        <v>130</v>
      </c>
      <c r="D200" s="13">
        <v>8</v>
      </c>
      <c r="E200" s="22" t="s">
        <v>133</v>
      </c>
      <c r="F200" s="8" t="s">
        <v>134</v>
      </c>
      <c r="G200" s="4"/>
      <c r="H200" s="8"/>
      <c r="I200" s="11"/>
      <c r="J200" s="7"/>
      <c r="K200" s="7"/>
    </row>
    <row r="201" spans="1:12" s="33" customFormat="1" x14ac:dyDescent="0.25">
      <c r="A201" s="30">
        <v>41029</v>
      </c>
      <c r="B201" s="29" t="s">
        <v>12</v>
      </c>
      <c r="C201" s="29" t="s">
        <v>130</v>
      </c>
      <c r="D201" s="29">
        <v>10</v>
      </c>
      <c r="E201" s="32" t="s">
        <v>133</v>
      </c>
      <c r="F201" s="28" t="s">
        <v>134</v>
      </c>
      <c r="G201" s="4"/>
      <c r="H201" s="8" t="str">
        <f>TEXT(DATE(YEAR(A201),MONTH(A201),DAY(A201)),"mmm")&amp;" Total:"</f>
        <v>Apr Total:</v>
      </c>
      <c r="I201" s="10">
        <f>SUM(D201:D229)</f>
        <v>176</v>
      </c>
      <c r="J201" s="7"/>
      <c r="K201" s="7"/>
    </row>
    <row r="202" spans="1:12" s="33" customFormat="1" x14ac:dyDescent="0.25">
      <c r="A202" s="30">
        <v>41026</v>
      </c>
      <c r="B202" s="29" t="s">
        <v>12</v>
      </c>
      <c r="C202" s="29" t="s">
        <v>130</v>
      </c>
      <c r="D202" s="29">
        <v>8</v>
      </c>
      <c r="E202" s="32" t="s">
        <v>133</v>
      </c>
      <c r="F202" s="28"/>
      <c r="G202" s="4"/>
      <c r="H202" s="8" t="s">
        <v>8</v>
      </c>
      <c r="I202" s="11">
        <f>K1</f>
        <v>35</v>
      </c>
      <c r="J202" s="7"/>
      <c r="K202" s="7"/>
    </row>
    <row r="203" spans="1:12" s="33" customFormat="1" x14ac:dyDescent="0.25">
      <c r="A203" s="30">
        <v>41025</v>
      </c>
      <c r="B203" s="29" t="s">
        <v>12</v>
      </c>
      <c r="C203" s="29" t="s">
        <v>130</v>
      </c>
      <c r="D203" s="29">
        <v>8</v>
      </c>
      <c r="E203" s="32" t="s">
        <v>133</v>
      </c>
      <c r="F203" s="28"/>
      <c r="G203" s="4"/>
      <c r="H203" s="8" t="s">
        <v>9</v>
      </c>
      <c r="I203" s="20">
        <v>0.05</v>
      </c>
      <c r="J203" s="7"/>
      <c r="K203" s="7"/>
    </row>
    <row r="204" spans="1:12" s="33" customFormat="1" x14ac:dyDescent="0.25">
      <c r="A204" s="30">
        <v>41024</v>
      </c>
      <c r="B204" s="29" t="s">
        <v>12</v>
      </c>
      <c r="C204" s="29" t="s">
        <v>130</v>
      </c>
      <c r="D204" s="29">
        <v>8</v>
      </c>
      <c r="E204" s="32" t="s">
        <v>132</v>
      </c>
      <c r="F204" s="28"/>
      <c r="G204" s="4"/>
      <c r="H204" s="8" t="s">
        <v>10</v>
      </c>
      <c r="I204" s="11">
        <f>I201*I202*(1+I203)</f>
        <v>6468</v>
      </c>
      <c r="J204" s="7"/>
      <c r="K204" s="7"/>
    </row>
    <row r="205" spans="1:12" s="33" customFormat="1" x14ac:dyDescent="0.25">
      <c r="A205" s="30">
        <v>41023</v>
      </c>
      <c r="B205" s="29" t="s">
        <v>12</v>
      </c>
      <c r="C205" s="29" t="s">
        <v>130</v>
      </c>
      <c r="D205" s="29">
        <v>4</v>
      </c>
      <c r="E205" s="32" t="s">
        <v>131</v>
      </c>
      <c r="F205" s="28"/>
      <c r="G205" s="4"/>
      <c r="H205" s="8"/>
      <c r="I205" s="11"/>
      <c r="J205" s="7"/>
      <c r="K205" s="7"/>
    </row>
    <row r="206" spans="1:12" s="33" customFormat="1" x14ac:dyDescent="0.25">
      <c r="A206" s="30">
        <v>41023</v>
      </c>
      <c r="B206" s="29" t="s">
        <v>12</v>
      </c>
      <c r="C206" s="29" t="s">
        <v>118</v>
      </c>
      <c r="D206" s="29">
        <v>3</v>
      </c>
      <c r="E206" s="32" t="s">
        <v>60</v>
      </c>
      <c r="F206" s="28"/>
      <c r="G206" s="4"/>
      <c r="H206" s="8"/>
      <c r="I206" s="11"/>
      <c r="J206" s="7"/>
      <c r="K206" s="7"/>
    </row>
    <row r="207" spans="1:12" s="33" customFormat="1" x14ac:dyDescent="0.25">
      <c r="A207" s="30">
        <v>41022</v>
      </c>
      <c r="B207" s="29" t="s">
        <v>12</v>
      </c>
      <c r="C207" s="29" t="s">
        <v>118</v>
      </c>
      <c r="D207" s="29">
        <v>8</v>
      </c>
      <c r="E207" s="32" t="s">
        <v>60</v>
      </c>
      <c r="F207" s="28"/>
      <c r="G207" s="4"/>
      <c r="H207" s="8"/>
      <c r="I207" s="11"/>
      <c r="J207" s="7"/>
      <c r="K207" s="7"/>
    </row>
    <row r="208" spans="1:12" s="33" customFormat="1" x14ac:dyDescent="0.25">
      <c r="A208" s="30">
        <v>41019</v>
      </c>
      <c r="B208" s="29" t="s">
        <v>12</v>
      </c>
      <c r="C208" s="29" t="s">
        <v>116</v>
      </c>
      <c r="D208" s="29">
        <v>9</v>
      </c>
      <c r="E208" s="32" t="s">
        <v>60</v>
      </c>
      <c r="F208" s="28" t="s">
        <v>115</v>
      </c>
      <c r="G208" s="4"/>
      <c r="H208" s="8"/>
      <c r="I208" s="11"/>
      <c r="J208" s="7"/>
      <c r="K208" s="7"/>
    </row>
    <row r="209" spans="1:11" s="33" customFormat="1" x14ac:dyDescent="0.25">
      <c r="A209" s="30">
        <v>41018</v>
      </c>
      <c r="B209" s="29" t="s">
        <v>12</v>
      </c>
      <c r="C209" s="29" t="s">
        <v>116</v>
      </c>
      <c r="D209" s="29">
        <v>8</v>
      </c>
      <c r="E209" s="32" t="s">
        <v>60</v>
      </c>
      <c r="F209" s="28" t="s">
        <v>114</v>
      </c>
      <c r="G209" s="4"/>
      <c r="H209" s="8"/>
      <c r="I209" s="11"/>
      <c r="J209" s="7"/>
      <c r="K209" s="7"/>
    </row>
    <row r="210" spans="1:11" s="33" customFormat="1" x14ac:dyDescent="0.25">
      <c r="A210" s="30">
        <v>41017</v>
      </c>
      <c r="B210" s="29" t="s">
        <v>5</v>
      </c>
      <c r="C210" s="29" t="s">
        <v>14</v>
      </c>
      <c r="D210" s="29">
        <v>8</v>
      </c>
      <c r="E210" s="32" t="s">
        <v>109</v>
      </c>
      <c r="F210" s="28" t="s">
        <v>113</v>
      </c>
      <c r="G210" s="4"/>
      <c r="H210" s="8"/>
      <c r="I210" s="11"/>
      <c r="J210" s="7"/>
      <c r="K210" s="7"/>
    </row>
    <row r="211" spans="1:11" s="33" customFormat="1" x14ac:dyDescent="0.25">
      <c r="A211" s="30">
        <v>41016</v>
      </c>
      <c r="B211" s="29" t="s">
        <v>12</v>
      </c>
      <c r="C211" s="29" t="s">
        <v>117</v>
      </c>
      <c r="D211" s="29">
        <v>1</v>
      </c>
      <c r="E211" s="32" t="s">
        <v>111</v>
      </c>
      <c r="F211" s="28" t="s">
        <v>112</v>
      </c>
      <c r="G211" s="4"/>
      <c r="H211" s="8"/>
      <c r="I211" s="11"/>
      <c r="J211" s="7"/>
      <c r="K211" s="7"/>
    </row>
    <row r="212" spans="1:11" s="33" customFormat="1" x14ac:dyDescent="0.25">
      <c r="A212" s="30">
        <v>41016</v>
      </c>
      <c r="B212" s="29" t="s">
        <v>5</v>
      </c>
      <c r="C212" s="29" t="s">
        <v>14</v>
      </c>
      <c r="D212" s="29">
        <v>8</v>
      </c>
      <c r="E212" s="32" t="s">
        <v>109</v>
      </c>
      <c r="F212" s="28" t="s">
        <v>110</v>
      </c>
      <c r="G212" s="4"/>
      <c r="H212" s="8"/>
      <c r="I212" s="11"/>
      <c r="J212" s="7"/>
      <c r="K212" s="7"/>
    </row>
    <row r="213" spans="1:11" s="33" customFormat="1" x14ac:dyDescent="0.25">
      <c r="A213" s="30">
        <v>41015</v>
      </c>
      <c r="B213" s="29" t="s">
        <v>74</v>
      </c>
      <c r="C213" s="29" t="s">
        <v>84</v>
      </c>
      <c r="D213" s="29">
        <v>6</v>
      </c>
      <c r="E213" s="32" t="s">
        <v>108</v>
      </c>
      <c r="F213" s="28"/>
      <c r="G213" s="4"/>
      <c r="H213" s="8"/>
      <c r="I213" s="11"/>
      <c r="J213" s="7"/>
      <c r="K213" s="7"/>
    </row>
    <row r="214" spans="1:11" s="33" customFormat="1" x14ac:dyDescent="0.25">
      <c r="A214" s="30">
        <v>41015</v>
      </c>
      <c r="B214" s="29" t="s">
        <v>5</v>
      </c>
      <c r="C214" s="29" t="s">
        <v>14</v>
      </c>
      <c r="D214" s="29">
        <v>3</v>
      </c>
      <c r="E214" s="32" t="s">
        <v>102</v>
      </c>
      <c r="F214" s="28" t="s">
        <v>107</v>
      </c>
      <c r="G214" s="4"/>
      <c r="H214" s="8"/>
      <c r="I214" s="11"/>
      <c r="J214" s="7"/>
      <c r="K214" s="7"/>
    </row>
    <row r="215" spans="1:11" s="33" customFormat="1" x14ac:dyDescent="0.25">
      <c r="A215" s="30">
        <v>41012</v>
      </c>
      <c r="B215" s="29" t="s">
        <v>74</v>
      </c>
      <c r="C215" s="29" t="s">
        <v>84</v>
      </c>
      <c r="D215" s="29">
        <v>8</v>
      </c>
      <c r="E215" s="32" t="s">
        <v>60</v>
      </c>
      <c r="F215" s="28"/>
      <c r="G215" s="4"/>
      <c r="H215" s="8"/>
      <c r="I215" s="11"/>
      <c r="J215" s="7"/>
      <c r="K215" s="7"/>
    </row>
    <row r="216" spans="1:11" s="33" customFormat="1" x14ac:dyDescent="0.25">
      <c r="A216" s="30">
        <v>41011</v>
      </c>
      <c r="B216" s="29" t="s">
        <v>12</v>
      </c>
      <c r="C216" s="29" t="s">
        <v>116</v>
      </c>
      <c r="D216" s="29">
        <v>8</v>
      </c>
      <c r="E216" s="32" t="s">
        <v>105</v>
      </c>
      <c r="F216" s="28"/>
      <c r="G216" s="4"/>
      <c r="H216" s="8"/>
      <c r="I216" s="11"/>
      <c r="J216" s="7"/>
      <c r="K216" s="7"/>
    </row>
    <row r="217" spans="1:11" s="33" customFormat="1" x14ac:dyDescent="0.25">
      <c r="A217" s="30">
        <v>41010</v>
      </c>
      <c r="B217" s="29" t="s">
        <v>74</v>
      </c>
      <c r="C217" s="29" t="s">
        <v>84</v>
      </c>
      <c r="D217" s="29">
        <v>3</v>
      </c>
      <c r="E217" s="32" t="s">
        <v>106</v>
      </c>
      <c r="F217" s="28"/>
      <c r="G217" s="4"/>
      <c r="H217" s="8"/>
      <c r="I217" s="11"/>
      <c r="J217" s="7"/>
      <c r="K217" s="7"/>
    </row>
    <row r="218" spans="1:11" s="33" customFormat="1" x14ac:dyDescent="0.25">
      <c r="A218" s="30">
        <v>41010</v>
      </c>
      <c r="B218" s="29" t="s">
        <v>12</v>
      </c>
      <c r="C218" s="29" t="s">
        <v>116</v>
      </c>
      <c r="D218" s="29">
        <v>5</v>
      </c>
      <c r="E218" s="32" t="s">
        <v>105</v>
      </c>
      <c r="F218" s="28"/>
      <c r="G218" s="4"/>
      <c r="H218" s="8"/>
      <c r="I218" s="11"/>
      <c r="J218" s="7"/>
      <c r="K218" s="7"/>
    </row>
    <row r="219" spans="1:11" s="33" customFormat="1" x14ac:dyDescent="0.25">
      <c r="A219" s="30">
        <v>41009</v>
      </c>
      <c r="B219" s="29" t="s">
        <v>5</v>
      </c>
      <c r="C219" s="29" t="s">
        <v>14</v>
      </c>
      <c r="D219" s="29">
        <v>8</v>
      </c>
      <c r="E219" s="32" t="s">
        <v>102</v>
      </c>
      <c r="F219" s="28" t="s">
        <v>101</v>
      </c>
      <c r="G219" s="4"/>
      <c r="H219" s="8"/>
      <c r="I219" s="11"/>
      <c r="J219" s="7"/>
      <c r="K219" s="7"/>
    </row>
    <row r="220" spans="1:11" s="33" customFormat="1" x14ac:dyDescent="0.25">
      <c r="A220" s="30">
        <v>41008</v>
      </c>
      <c r="B220" s="29" t="s">
        <v>5</v>
      </c>
      <c r="C220" s="29" t="s">
        <v>14</v>
      </c>
      <c r="D220" s="29">
        <v>3</v>
      </c>
      <c r="E220" s="32" t="s">
        <v>102</v>
      </c>
      <c r="F220" s="28" t="s">
        <v>101</v>
      </c>
      <c r="G220" s="4"/>
      <c r="H220" s="8"/>
      <c r="I220" s="11"/>
      <c r="J220" s="7"/>
      <c r="K220" s="7"/>
    </row>
    <row r="221" spans="1:11" s="33" customFormat="1" x14ac:dyDescent="0.25">
      <c r="A221" s="30">
        <v>41008</v>
      </c>
      <c r="B221" s="29" t="s">
        <v>74</v>
      </c>
      <c r="C221" s="29" t="s">
        <v>84</v>
      </c>
      <c r="D221" s="29">
        <v>6</v>
      </c>
      <c r="E221" s="32" t="s">
        <v>104</v>
      </c>
      <c r="F221" s="28" t="s">
        <v>103</v>
      </c>
      <c r="G221" s="4"/>
      <c r="H221" s="8"/>
      <c r="I221" s="11"/>
      <c r="J221" s="7"/>
      <c r="K221" s="7"/>
    </row>
    <row r="222" spans="1:11" s="33" customFormat="1" x14ac:dyDescent="0.25">
      <c r="A222" s="30">
        <v>41005</v>
      </c>
      <c r="B222" s="29" t="s">
        <v>74</v>
      </c>
      <c r="C222" s="29" t="s">
        <v>84</v>
      </c>
      <c r="D222" s="29">
        <v>6</v>
      </c>
      <c r="E222" s="32" t="s">
        <v>100</v>
      </c>
      <c r="F222" s="28"/>
      <c r="G222" s="4"/>
      <c r="H222" s="8"/>
      <c r="I222" s="11"/>
      <c r="J222" s="7"/>
      <c r="K222" s="7"/>
    </row>
    <row r="223" spans="1:11" s="33" customFormat="1" x14ac:dyDescent="0.25">
      <c r="A223" s="30">
        <v>41004</v>
      </c>
      <c r="B223" s="29" t="s">
        <v>74</v>
      </c>
      <c r="C223" s="41" t="s">
        <v>85</v>
      </c>
      <c r="D223" s="29">
        <v>8</v>
      </c>
      <c r="E223" s="32" t="s">
        <v>88</v>
      </c>
      <c r="F223" s="28"/>
      <c r="G223" s="4"/>
      <c r="H223" s="8"/>
      <c r="I223" s="11"/>
      <c r="J223" s="7"/>
      <c r="K223" s="7"/>
    </row>
    <row r="224" spans="1:11" s="33" customFormat="1" x14ac:dyDescent="0.25">
      <c r="A224" s="30">
        <v>41003</v>
      </c>
      <c r="B224" s="29" t="s">
        <v>74</v>
      </c>
      <c r="C224" s="29" t="s">
        <v>85</v>
      </c>
      <c r="D224" s="29">
        <v>1</v>
      </c>
      <c r="E224" s="32" t="s">
        <v>98</v>
      </c>
      <c r="F224" s="28" t="s">
        <v>99</v>
      </c>
      <c r="G224" s="4"/>
      <c r="H224" s="8"/>
      <c r="I224" s="11"/>
      <c r="J224" s="7"/>
      <c r="K224" s="7"/>
    </row>
    <row r="225" spans="1:11" s="33" customFormat="1" x14ac:dyDescent="0.25">
      <c r="A225" s="30">
        <v>41003</v>
      </c>
      <c r="B225" s="29" t="s">
        <v>74</v>
      </c>
      <c r="C225" s="29" t="s">
        <v>84</v>
      </c>
      <c r="D225" s="29">
        <v>3</v>
      </c>
      <c r="E225" s="32" t="s">
        <v>60</v>
      </c>
      <c r="F225" s="28" t="s">
        <v>97</v>
      </c>
      <c r="G225" s="4"/>
      <c r="H225" s="8"/>
      <c r="I225" s="11"/>
      <c r="J225" s="7"/>
      <c r="K225" s="7"/>
    </row>
    <row r="226" spans="1:11" s="33" customFormat="1" x14ac:dyDescent="0.25">
      <c r="A226" s="30">
        <v>41003</v>
      </c>
      <c r="B226" s="29" t="s">
        <v>12</v>
      </c>
      <c r="C226" s="29" t="s">
        <v>116</v>
      </c>
      <c r="D226" s="29">
        <v>4</v>
      </c>
      <c r="E226" s="32" t="s">
        <v>95</v>
      </c>
      <c r="F226" s="28" t="s">
        <v>96</v>
      </c>
      <c r="G226" s="4"/>
      <c r="H226" s="47"/>
      <c r="I226" s="49"/>
      <c r="J226" s="7"/>
      <c r="K226" s="7"/>
    </row>
    <row r="227" spans="1:11" s="33" customFormat="1" x14ac:dyDescent="0.25">
      <c r="A227" s="30">
        <v>41002</v>
      </c>
      <c r="B227" s="29" t="s">
        <v>74</v>
      </c>
      <c r="C227" s="29" t="s">
        <v>84</v>
      </c>
      <c r="D227" s="29">
        <v>9</v>
      </c>
      <c r="E227" s="32" t="s">
        <v>93</v>
      </c>
      <c r="F227" s="28" t="s">
        <v>94</v>
      </c>
      <c r="G227" s="4"/>
      <c r="H227" s="47"/>
      <c r="I227" s="52"/>
      <c r="J227" s="7"/>
      <c r="K227" s="7"/>
    </row>
    <row r="228" spans="1:11" s="33" customFormat="1" x14ac:dyDescent="0.25">
      <c r="A228" s="30">
        <v>41001</v>
      </c>
      <c r="B228" s="29" t="s">
        <v>74</v>
      </c>
      <c r="C228" s="29" t="s">
        <v>84</v>
      </c>
      <c r="D228" s="29">
        <v>8</v>
      </c>
      <c r="E228" s="32" t="s">
        <v>90</v>
      </c>
      <c r="F228" s="28" t="s">
        <v>91</v>
      </c>
      <c r="G228" s="4"/>
      <c r="H228" s="47"/>
      <c r="I228" s="52"/>
      <c r="J228" s="7"/>
      <c r="K228" s="7"/>
    </row>
    <row r="229" spans="1:11" s="51" customFormat="1" x14ac:dyDescent="0.25">
      <c r="A229" s="40">
        <v>41000</v>
      </c>
      <c r="B229" s="41" t="s">
        <v>74</v>
      </c>
      <c r="C229" s="41" t="s">
        <v>84</v>
      </c>
      <c r="D229" s="41">
        <v>4</v>
      </c>
      <c r="E229" s="42" t="s">
        <v>88</v>
      </c>
      <c r="F229" s="43" t="s">
        <v>89</v>
      </c>
      <c r="G229" s="48"/>
      <c r="H229" s="47"/>
      <c r="I229" s="49"/>
      <c r="J229" s="50"/>
      <c r="K229" s="50"/>
    </row>
    <row r="230" spans="1:11" s="51" customFormat="1" x14ac:dyDescent="0.25">
      <c r="A230" s="45">
        <v>40998</v>
      </c>
      <c r="B230" s="44" t="s">
        <v>74</v>
      </c>
      <c r="C230" s="44" t="s">
        <v>85</v>
      </c>
      <c r="D230" s="44">
        <v>8</v>
      </c>
      <c r="E230" s="46" t="s">
        <v>60</v>
      </c>
      <c r="F230" s="47" t="s">
        <v>87</v>
      </c>
      <c r="G230" s="48"/>
      <c r="H230" s="47" t="str">
        <f>TEXT(DATE(YEAR(A230),MONTH(A230),DAY(A230)),"mmm")&amp;" Total:"</f>
        <v>Mar Total:</v>
      </c>
      <c r="I230" s="10">
        <f>SUM(D230:D257)</f>
        <v>237</v>
      </c>
      <c r="J230" s="50"/>
      <c r="K230" s="50"/>
    </row>
    <row r="231" spans="1:11" s="51" customFormat="1" x14ac:dyDescent="0.25">
      <c r="A231" s="45">
        <v>40997</v>
      </c>
      <c r="B231" s="44" t="s">
        <v>74</v>
      </c>
      <c r="C231" s="44" t="s">
        <v>85</v>
      </c>
      <c r="D231" s="44">
        <v>8</v>
      </c>
      <c r="E231" s="46" t="s">
        <v>60</v>
      </c>
      <c r="F231" s="47" t="s">
        <v>83</v>
      </c>
      <c r="G231" s="48"/>
      <c r="H231" s="47" t="s">
        <v>8</v>
      </c>
      <c r="I231" s="11">
        <f>K1</f>
        <v>35</v>
      </c>
      <c r="J231" s="50"/>
      <c r="K231" s="50"/>
    </row>
    <row r="232" spans="1:11" s="51" customFormat="1" x14ac:dyDescent="0.25">
      <c r="A232" s="45">
        <v>40996</v>
      </c>
      <c r="B232" s="44" t="s">
        <v>74</v>
      </c>
      <c r="C232" s="44" t="s">
        <v>85</v>
      </c>
      <c r="D232" s="44">
        <v>8</v>
      </c>
      <c r="E232" s="46" t="s">
        <v>60</v>
      </c>
      <c r="F232" s="47" t="s">
        <v>82</v>
      </c>
      <c r="G232" s="48"/>
      <c r="H232" s="47" t="s">
        <v>9</v>
      </c>
      <c r="I232" s="20">
        <v>0.05</v>
      </c>
      <c r="J232" s="50"/>
      <c r="K232" s="50"/>
    </row>
    <row r="233" spans="1:11" s="51" customFormat="1" x14ac:dyDescent="0.25">
      <c r="A233" s="45">
        <v>40995</v>
      </c>
      <c r="B233" s="44" t="s">
        <v>74</v>
      </c>
      <c r="C233" s="44" t="s">
        <v>85</v>
      </c>
      <c r="D233" s="44">
        <v>8</v>
      </c>
      <c r="E233" s="46" t="s">
        <v>60</v>
      </c>
      <c r="F233" s="47" t="s">
        <v>81</v>
      </c>
      <c r="G233" s="48"/>
      <c r="H233" s="47" t="s">
        <v>10</v>
      </c>
      <c r="I233" s="11">
        <f>I230*I231*(1+I232)</f>
        <v>8709.75</v>
      </c>
      <c r="J233" s="50"/>
      <c r="K233" s="50"/>
    </row>
    <row r="234" spans="1:11" s="51" customFormat="1" x14ac:dyDescent="0.25">
      <c r="A234" s="45">
        <v>40994</v>
      </c>
      <c r="B234" s="44" t="s">
        <v>12</v>
      </c>
      <c r="C234" s="44" t="s">
        <v>118</v>
      </c>
      <c r="D234" s="44">
        <v>8</v>
      </c>
      <c r="E234" s="46" t="s">
        <v>60</v>
      </c>
      <c r="F234" s="47"/>
      <c r="G234" s="48"/>
      <c r="H234" s="47"/>
      <c r="I234" s="47"/>
      <c r="J234" s="50"/>
      <c r="K234" s="50"/>
    </row>
    <row r="235" spans="1:11" s="51" customFormat="1" x14ac:dyDescent="0.25">
      <c r="A235" s="55">
        <v>40992</v>
      </c>
      <c r="B235" s="56" t="s">
        <v>12</v>
      </c>
      <c r="C235" s="44" t="s">
        <v>118</v>
      </c>
      <c r="D235" s="56">
        <v>8</v>
      </c>
      <c r="E235" s="57" t="s">
        <v>80</v>
      </c>
      <c r="F235" s="47"/>
      <c r="G235" s="48"/>
      <c r="H235" s="47"/>
      <c r="I235" s="47"/>
      <c r="J235" s="50"/>
      <c r="K235" s="50"/>
    </row>
    <row r="236" spans="1:11" s="51" customFormat="1" x14ac:dyDescent="0.25">
      <c r="A236" s="45">
        <v>40991</v>
      </c>
      <c r="B236" s="44" t="s">
        <v>12</v>
      </c>
      <c r="C236" s="44" t="s">
        <v>118</v>
      </c>
      <c r="D236" s="44">
        <v>8</v>
      </c>
      <c r="E236" s="46" t="s">
        <v>60</v>
      </c>
      <c r="F236" s="47" t="s">
        <v>79</v>
      </c>
      <c r="G236" s="48"/>
      <c r="H236" s="47"/>
      <c r="I236" s="47"/>
      <c r="J236" s="50"/>
      <c r="K236" s="50"/>
    </row>
    <row r="237" spans="1:11" s="51" customFormat="1" x14ac:dyDescent="0.25">
      <c r="A237" s="45">
        <v>40990</v>
      </c>
      <c r="B237" s="44" t="s">
        <v>12</v>
      </c>
      <c r="C237" s="44" t="s">
        <v>118</v>
      </c>
      <c r="D237" s="44">
        <v>6</v>
      </c>
      <c r="E237" s="46" t="s">
        <v>60</v>
      </c>
      <c r="F237" s="47" t="s">
        <v>78</v>
      </c>
      <c r="G237" s="48"/>
      <c r="H237" s="47"/>
      <c r="I237" s="47"/>
      <c r="J237" s="50"/>
      <c r="K237" s="50"/>
    </row>
    <row r="238" spans="1:11" s="51" customFormat="1" x14ac:dyDescent="0.25">
      <c r="A238" s="45">
        <v>40989</v>
      </c>
      <c r="B238" s="44" t="s">
        <v>5</v>
      </c>
      <c r="C238" s="44" t="s">
        <v>14</v>
      </c>
      <c r="D238" s="44">
        <v>1</v>
      </c>
      <c r="E238" s="46" t="s">
        <v>71</v>
      </c>
      <c r="F238" s="47" t="s">
        <v>72</v>
      </c>
      <c r="G238" s="48"/>
      <c r="H238" s="47"/>
      <c r="I238" s="47"/>
      <c r="J238" s="50"/>
      <c r="K238" s="50"/>
    </row>
    <row r="239" spans="1:11" s="51" customFormat="1" x14ac:dyDescent="0.25">
      <c r="A239" s="45">
        <v>40989</v>
      </c>
      <c r="B239" s="44" t="s">
        <v>12</v>
      </c>
      <c r="C239" s="44" t="s">
        <v>118</v>
      </c>
      <c r="D239" s="44">
        <v>8</v>
      </c>
      <c r="E239" s="46" t="s">
        <v>69</v>
      </c>
      <c r="F239" s="47"/>
      <c r="G239" s="48"/>
      <c r="H239" s="47"/>
      <c r="I239" s="47"/>
      <c r="J239" s="50"/>
      <c r="K239" s="50"/>
    </row>
    <row r="240" spans="1:11" s="51" customFormat="1" x14ac:dyDescent="0.25">
      <c r="A240" s="45">
        <v>40988</v>
      </c>
      <c r="B240" s="44" t="s">
        <v>12</v>
      </c>
      <c r="C240" s="44" t="s">
        <v>118</v>
      </c>
      <c r="D240" s="44">
        <v>9</v>
      </c>
      <c r="E240" s="46" t="s">
        <v>60</v>
      </c>
      <c r="F240" s="47"/>
      <c r="G240" s="48"/>
      <c r="H240" s="47"/>
      <c r="I240" s="47"/>
      <c r="J240" s="50"/>
      <c r="K240" s="50"/>
    </row>
    <row r="241" spans="1:11" s="51" customFormat="1" x14ac:dyDescent="0.25">
      <c r="A241" s="45">
        <v>40987</v>
      </c>
      <c r="B241" s="44" t="s">
        <v>12</v>
      </c>
      <c r="C241" s="44" t="s">
        <v>118</v>
      </c>
      <c r="D241" s="44">
        <v>6</v>
      </c>
      <c r="E241" s="46" t="s">
        <v>60</v>
      </c>
      <c r="F241" s="47"/>
      <c r="G241" s="48"/>
      <c r="H241" s="47"/>
      <c r="I241" s="47"/>
      <c r="J241" s="50"/>
      <c r="K241" s="50"/>
    </row>
    <row r="242" spans="1:11" s="51" customFormat="1" x14ac:dyDescent="0.25">
      <c r="A242" s="45">
        <v>40986</v>
      </c>
      <c r="B242" s="44" t="s">
        <v>5</v>
      </c>
      <c r="C242" s="44" t="s">
        <v>14</v>
      </c>
      <c r="D242" s="44">
        <v>14</v>
      </c>
      <c r="E242" s="46" t="s">
        <v>68</v>
      </c>
      <c r="F242" s="47"/>
      <c r="G242" s="48"/>
      <c r="H242" s="47"/>
      <c r="I242" s="47"/>
      <c r="J242" s="50"/>
      <c r="K242" s="50"/>
    </row>
    <row r="243" spans="1:11" s="51" customFormat="1" x14ac:dyDescent="0.25">
      <c r="A243" s="45">
        <v>40985</v>
      </c>
      <c r="B243" s="44" t="s">
        <v>5</v>
      </c>
      <c r="C243" s="44" t="s">
        <v>14</v>
      </c>
      <c r="D243" s="44">
        <v>15</v>
      </c>
      <c r="E243" s="46" t="s">
        <v>67</v>
      </c>
      <c r="F243" s="47"/>
      <c r="G243" s="48"/>
      <c r="H243" s="47"/>
      <c r="I243" s="47"/>
      <c r="J243" s="50"/>
      <c r="K243" s="50"/>
    </row>
    <row r="244" spans="1:11" s="51" customFormat="1" x14ac:dyDescent="0.25">
      <c r="A244" s="45">
        <v>40984</v>
      </c>
      <c r="B244" s="44" t="s">
        <v>5</v>
      </c>
      <c r="C244" s="44" t="s">
        <v>14</v>
      </c>
      <c r="D244" s="44">
        <v>16</v>
      </c>
      <c r="E244" s="46" t="s">
        <v>65</v>
      </c>
      <c r="F244" s="47"/>
      <c r="G244" s="48"/>
      <c r="H244" s="47"/>
      <c r="I244" s="47"/>
      <c r="J244" s="50"/>
      <c r="K244" s="50"/>
    </row>
    <row r="245" spans="1:11" s="51" customFormat="1" x14ac:dyDescent="0.25">
      <c r="A245" s="45">
        <v>40983</v>
      </c>
      <c r="B245" s="44" t="s">
        <v>5</v>
      </c>
      <c r="C245" s="44" t="s">
        <v>14</v>
      </c>
      <c r="D245" s="44">
        <v>15</v>
      </c>
      <c r="E245" s="46" t="s">
        <v>65</v>
      </c>
      <c r="F245" s="47"/>
      <c r="G245" s="48"/>
      <c r="H245" s="47"/>
      <c r="I245" s="47"/>
      <c r="J245" s="50"/>
      <c r="K245" s="50"/>
    </row>
    <row r="246" spans="1:11" s="51" customFormat="1" x14ac:dyDescent="0.25">
      <c r="A246" s="45">
        <v>40982</v>
      </c>
      <c r="B246" s="44" t="s">
        <v>5</v>
      </c>
      <c r="C246" s="44" t="s">
        <v>14</v>
      </c>
      <c r="D246" s="44">
        <v>15</v>
      </c>
      <c r="E246" s="46" t="s">
        <v>66</v>
      </c>
      <c r="F246" s="47"/>
      <c r="G246" s="48"/>
      <c r="H246" s="47"/>
      <c r="I246" s="47"/>
      <c r="J246" s="50"/>
      <c r="K246" s="50"/>
    </row>
    <row r="247" spans="1:11" s="51" customFormat="1" x14ac:dyDescent="0.25">
      <c r="A247" s="45">
        <v>40981</v>
      </c>
      <c r="B247" s="44" t="s">
        <v>5</v>
      </c>
      <c r="C247" s="44" t="s">
        <v>14</v>
      </c>
      <c r="D247" s="44">
        <v>16</v>
      </c>
      <c r="E247" s="46" t="s">
        <v>64</v>
      </c>
      <c r="F247" s="47"/>
      <c r="G247" s="48"/>
      <c r="H247" s="47"/>
      <c r="I247" s="47"/>
      <c r="J247" s="50"/>
      <c r="K247" s="50"/>
    </row>
    <row r="248" spans="1:11" s="51" customFormat="1" x14ac:dyDescent="0.25">
      <c r="A248" s="55">
        <v>40980</v>
      </c>
      <c r="B248" s="56" t="s">
        <v>12</v>
      </c>
      <c r="C248" s="44" t="s">
        <v>118</v>
      </c>
      <c r="D248" s="56">
        <v>0</v>
      </c>
      <c r="E248" s="57" t="s">
        <v>92</v>
      </c>
      <c r="F248" s="47"/>
      <c r="G248" s="48"/>
      <c r="H248" s="47"/>
      <c r="I248" s="47"/>
      <c r="J248" s="50"/>
      <c r="K248" s="50"/>
    </row>
    <row r="249" spans="1:11" s="51" customFormat="1" x14ac:dyDescent="0.25">
      <c r="A249" s="45">
        <v>40977</v>
      </c>
      <c r="B249" s="44" t="s">
        <v>12</v>
      </c>
      <c r="C249" s="44" t="s">
        <v>118</v>
      </c>
      <c r="D249" s="44">
        <v>7</v>
      </c>
      <c r="E249" s="46" t="s">
        <v>60</v>
      </c>
      <c r="F249" s="47"/>
      <c r="G249" s="48"/>
      <c r="H249" s="47"/>
      <c r="I249" s="47"/>
      <c r="J249" s="50"/>
      <c r="K249" s="50"/>
    </row>
    <row r="250" spans="1:11" s="51" customFormat="1" x14ac:dyDescent="0.25">
      <c r="A250" s="45">
        <v>40976</v>
      </c>
      <c r="B250" s="44" t="s">
        <v>12</v>
      </c>
      <c r="C250" s="44" t="s">
        <v>118</v>
      </c>
      <c r="D250" s="44">
        <v>8</v>
      </c>
      <c r="E250" s="46" t="s">
        <v>60</v>
      </c>
      <c r="F250" s="47"/>
      <c r="G250" s="48"/>
      <c r="H250" s="47"/>
      <c r="I250" s="47"/>
      <c r="J250" s="50"/>
      <c r="K250" s="50"/>
    </row>
    <row r="251" spans="1:11" s="51" customFormat="1" x14ac:dyDescent="0.25">
      <c r="A251" s="45">
        <v>40975</v>
      </c>
      <c r="B251" s="44" t="s">
        <v>12</v>
      </c>
      <c r="C251" s="44" t="s">
        <v>116</v>
      </c>
      <c r="D251" s="44">
        <v>5</v>
      </c>
      <c r="E251" s="46" t="s">
        <v>63</v>
      </c>
      <c r="F251" s="47"/>
      <c r="G251" s="48"/>
      <c r="H251" s="47"/>
      <c r="I251" s="47"/>
      <c r="J251" s="50"/>
      <c r="K251" s="50"/>
    </row>
    <row r="252" spans="1:11" s="51" customFormat="1" x14ac:dyDescent="0.25">
      <c r="A252" s="45">
        <v>40975</v>
      </c>
      <c r="B252" s="44" t="s">
        <v>12</v>
      </c>
      <c r="C252" s="44" t="s">
        <v>118</v>
      </c>
      <c r="D252" s="44">
        <v>4</v>
      </c>
      <c r="E252" s="46" t="s">
        <v>60</v>
      </c>
      <c r="F252" s="47"/>
      <c r="G252" s="48"/>
      <c r="H252" s="47"/>
      <c r="I252" s="47"/>
      <c r="J252" s="50"/>
      <c r="K252" s="50"/>
    </row>
    <row r="253" spans="1:11" s="51" customFormat="1" x14ac:dyDescent="0.25">
      <c r="A253" s="45">
        <v>40974</v>
      </c>
      <c r="B253" s="44" t="s">
        <v>12</v>
      </c>
      <c r="C253" s="44" t="s">
        <v>118</v>
      </c>
      <c r="D253" s="44">
        <v>8</v>
      </c>
      <c r="E253" s="46" t="s">
        <v>62</v>
      </c>
      <c r="F253" s="47"/>
      <c r="G253" s="48"/>
      <c r="H253" s="47"/>
      <c r="I253" s="49"/>
      <c r="J253" s="50"/>
      <c r="K253" s="50"/>
    </row>
    <row r="254" spans="1:11" s="51" customFormat="1" x14ac:dyDescent="0.25">
      <c r="A254" s="45">
        <v>40973</v>
      </c>
      <c r="B254" s="44" t="s">
        <v>12</v>
      </c>
      <c r="C254" s="44" t="s">
        <v>118</v>
      </c>
      <c r="D254" s="44">
        <v>8</v>
      </c>
      <c r="E254" s="46" t="s">
        <v>62</v>
      </c>
      <c r="F254" s="47"/>
      <c r="G254" s="48"/>
      <c r="H254" s="47"/>
      <c r="I254" s="49"/>
      <c r="J254" s="50"/>
      <c r="K254" s="50"/>
    </row>
    <row r="255" spans="1:11" s="51" customFormat="1" x14ac:dyDescent="0.25">
      <c r="A255" s="55">
        <v>40973</v>
      </c>
      <c r="B255" s="56" t="s">
        <v>12</v>
      </c>
      <c r="C255" s="56" t="s">
        <v>128</v>
      </c>
      <c r="D255" s="56">
        <v>4</v>
      </c>
      <c r="E255" s="57" t="s">
        <v>61</v>
      </c>
      <c r="F255" s="58"/>
      <c r="G255" s="48"/>
      <c r="H255" s="47"/>
      <c r="I255" s="52"/>
      <c r="J255" s="50"/>
      <c r="K255" s="50"/>
    </row>
    <row r="256" spans="1:11" s="51" customFormat="1" x14ac:dyDescent="0.25">
      <c r="A256" s="45">
        <v>40970</v>
      </c>
      <c r="B256" s="44" t="s">
        <v>12</v>
      </c>
      <c r="C256" s="44" t="s">
        <v>118</v>
      </c>
      <c r="D256" s="44">
        <v>8</v>
      </c>
      <c r="E256" s="46" t="s">
        <v>60</v>
      </c>
      <c r="F256" s="47"/>
      <c r="G256" s="48"/>
      <c r="H256" s="47"/>
      <c r="I256" s="52"/>
      <c r="J256" s="50"/>
      <c r="K256" s="50"/>
    </row>
    <row r="257" spans="1:11" s="51" customFormat="1" x14ac:dyDescent="0.25">
      <c r="A257" s="45">
        <v>40969</v>
      </c>
      <c r="B257" s="44" t="s">
        <v>12</v>
      </c>
      <c r="C257" s="44" t="s">
        <v>118</v>
      </c>
      <c r="D257" s="44">
        <v>8</v>
      </c>
      <c r="E257" s="46" t="s">
        <v>60</v>
      </c>
      <c r="F257" s="47"/>
      <c r="G257" s="48"/>
      <c r="H257" s="47"/>
      <c r="I257" s="49"/>
      <c r="J257" s="50"/>
      <c r="K257" s="54"/>
    </row>
    <row r="258" spans="1:11" s="51" customFormat="1" x14ac:dyDescent="0.25">
      <c r="A258" s="40">
        <v>40968</v>
      </c>
      <c r="B258" s="41" t="s">
        <v>12</v>
      </c>
      <c r="C258" s="41" t="s">
        <v>118</v>
      </c>
      <c r="D258" s="41">
        <v>8</v>
      </c>
      <c r="E258" s="42" t="s">
        <v>60</v>
      </c>
      <c r="F258" s="43"/>
      <c r="G258" s="48"/>
      <c r="H258" s="47" t="str">
        <f>TEXT(DATE(YEAR(A258),MONTH(A258),DAY(A258)),"mmm")&amp;" Total:"</f>
        <v>Feb Total:</v>
      </c>
      <c r="I258" s="52">
        <f>SUM(D258:D289)</f>
        <v>156</v>
      </c>
      <c r="J258" s="50"/>
      <c r="K258" s="50"/>
    </row>
    <row r="259" spans="1:11" s="51" customFormat="1" x14ac:dyDescent="0.25">
      <c r="A259" s="40">
        <v>40967</v>
      </c>
      <c r="B259" s="41" t="s">
        <v>12</v>
      </c>
      <c r="C259" s="41" t="s">
        <v>118</v>
      </c>
      <c r="D259" s="41">
        <v>8</v>
      </c>
      <c r="E259" s="42" t="s">
        <v>59</v>
      </c>
      <c r="F259" s="43"/>
      <c r="G259" s="48"/>
      <c r="H259" s="47" t="s">
        <v>8</v>
      </c>
      <c r="I259" s="49">
        <f>K1</f>
        <v>35</v>
      </c>
      <c r="J259" s="50"/>
      <c r="K259" s="50"/>
    </row>
    <row r="260" spans="1:11" s="51" customFormat="1" x14ac:dyDescent="0.25">
      <c r="A260" s="40">
        <v>40966</v>
      </c>
      <c r="B260" s="41" t="s">
        <v>12</v>
      </c>
      <c r="C260" s="41" t="s">
        <v>118</v>
      </c>
      <c r="D260" s="41">
        <v>9</v>
      </c>
      <c r="E260" s="42" t="s">
        <v>57</v>
      </c>
      <c r="F260" s="43"/>
      <c r="G260" s="48"/>
      <c r="H260" s="47" t="s">
        <v>9</v>
      </c>
      <c r="I260" s="53">
        <v>0.05</v>
      </c>
      <c r="J260" s="54"/>
      <c r="K260" s="50"/>
    </row>
    <row r="261" spans="1:11" s="51" customFormat="1" x14ac:dyDescent="0.25">
      <c r="A261" s="40">
        <v>40963</v>
      </c>
      <c r="B261" s="41" t="s">
        <v>12</v>
      </c>
      <c r="C261" s="41" t="s">
        <v>118</v>
      </c>
      <c r="D261" s="41">
        <v>7</v>
      </c>
      <c r="E261" s="42" t="s">
        <v>57</v>
      </c>
      <c r="F261" s="43"/>
      <c r="G261" s="48"/>
      <c r="H261" s="8" t="s">
        <v>10</v>
      </c>
      <c r="I261" s="11">
        <f>I258*I259*(1+I260)</f>
        <v>5733</v>
      </c>
      <c r="J261" s="50"/>
      <c r="K261" s="50"/>
    </row>
    <row r="262" spans="1:11" s="51" customFormat="1" x14ac:dyDescent="0.25">
      <c r="A262" s="40">
        <v>40962</v>
      </c>
      <c r="B262" s="41" t="s">
        <v>12</v>
      </c>
      <c r="C262" s="41" t="s">
        <v>118</v>
      </c>
      <c r="D262" s="41">
        <v>8</v>
      </c>
      <c r="E262" s="42" t="s">
        <v>54</v>
      </c>
      <c r="F262" s="43"/>
      <c r="G262" s="48"/>
      <c r="H262" s="8"/>
      <c r="I262" s="11"/>
      <c r="J262" s="50"/>
      <c r="K262" s="50"/>
    </row>
    <row r="263" spans="1:11" s="51" customFormat="1" x14ac:dyDescent="0.25">
      <c r="A263" s="40">
        <v>40961</v>
      </c>
      <c r="B263" s="41" t="s">
        <v>12</v>
      </c>
      <c r="C263" s="41" t="s">
        <v>118</v>
      </c>
      <c r="D263" s="41">
        <v>4</v>
      </c>
      <c r="E263" s="42" t="s">
        <v>52</v>
      </c>
      <c r="F263" s="43"/>
      <c r="G263" s="48"/>
      <c r="H263" s="8"/>
      <c r="I263" s="11"/>
      <c r="J263" s="50"/>
      <c r="K263" s="50"/>
    </row>
    <row r="264" spans="1:11" x14ac:dyDescent="0.25">
      <c r="A264" s="30">
        <v>40961</v>
      </c>
      <c r="B264" s="29" t="s">
        <v>5</v>
      </c>
      <c r="C264" s="29" t="s">
        <v>48</v>
      </c>
      <c r="D264" s="29">
        <v>2</v>
      </c>
      <c r="E264" s="32" t="s">
        <v>53</v>
      </c>
      <c r="F264" s="28"/>
      <c r="G264" s="48"/>
      <c r="I264" s="11"/>
    </row>
    <row r="265" spans="1:11" x14ac:dyDescent="0.25">
      <c r="A265" s="30">
        <v>40960</v>
      </c>
      <c r="B265" s="29" t="s">
        <v>5</v>
      </c>
      <c r="C265" s="29" t="s">
        <v>48</v>
      </c>
      <c r="D265" s="29">
        <v>7</v>
      </c>
      <c r="E265" s="32" t="s">
        <v>51</v>
      </c>
      <c r="F265" s="28"/>
      <c r="G265" s="48"/>
      <c r="I265" s="11"/>
    </row>
    <row r="266" spans="1:11" x14ac:dyDescent="0.25">
      <c r="A266" s="30">
        <v>40960</v>
      </c>
      <c r="B266" s="29" t="s">
        <v>5</v>
      </c>
      <c r="C266" s="29" t="s">
        <v>48</v>
      </c>
      <c r="D266" s="29">
        <v>2</v>
      </c>
      <c r="E266" s="32" t="s">
        <v>50</v>
      </c>
      <c r="F266" s="28"/>
      <c r="G266" s="48"/>
      <c r="I266" s="11"/>
    </row>
    <row r="267" spans="1:11" x14ac:dyDescent="0.25">
      <c r="A267" s="30">
        <v>40958</v>
      </c>
      <c r="B267" s="29" t="s">
        <v>5</v>
      </c>
      <c r="C267" s="29" t="s">
        <v>48</v>
      </c>
      <c r="D267" s="29">
        <v>1</v>
      </c>
      <c r="E267" s="32" t="s">
        <v>47</v>
      </c>
      <c r="F267" s="28"/>
      <c r="G267" s="48"/>
      <c r="I267" s="11"/>
    </row>
    <row r="268" spans="1:11" x14ac:dyDescent="0.25">
      <c r="A268" s="30">
        <v>40956</v>
      </c>
      <c r="B268" s="29" t="s">
        <v>5</v>
      </c>
      <c r="C268" s="29" t="s">
        <v>48</v>
      </c>
      <c r="D268" s="29">
        <v>2</v>
      </c>
      <c r="E268" s="32" t="s">
        <v>46</v>
      </c>
      <c r="F268" s="28"/>
      <c r="G268" s="48"/>
      <c r="I268" s="11"/>
    </row>
    <row r="269" spans="1:11" x14ac:dyDescent="0.25">
      <c r="A269" s="30">
        <v>40956</v>
      </c>
      <c r="B269" s="29" t="s">
        <v>12</v>
      </c>
      <c r="C269" s="29" t="s">
        <v>118</v>
      </c>
      <c r="D269" s="29">
        <v>3</v>
      </c>
      <c r="E269" s="32" t="s">
        <v>45</v>
      </c>
      <c r="F269" s="28"/>
      <c r="G269" s="48"/>
      <c r="I269" s="11"/>
    </row>
    <row r="270" spans="1:11" x14ac:dyDescent="0.25">
      <c r="A270" s="30">
        <v>40956</v>
      </c>
      <c r="B270" s="29" t="s">
        <v>12</v>
      </c>
      <c r="C270" s="29" t="s">
        <v>116</v>
      </c>
      <c r="D270" s="29">
        <v>5</v>
      </c>
      <c r="E270" s="32" t="s">
        <v>16</v>
      </c>
      <c r="F270" s="28"/>
      <c r="G270" s="48"/>
      <c r="I270" s="11"/>
    </row>
    <row r="271" spans="1:11" x14ac:dyDescent="0.25">
      <c r="A271" s="30">
        <v>40955</v>
      </c>
      <c r="B271" s="29" t="s">
        <v>5</v>
      </c>
      <c r="C271" s="29" t="s">
        <v>48</v>
      </c>
      <c r="D271" s="29">
        <v>1</v>
      </c>
      <c r="E271" s="32" t="s">
        <v>47</v>
      </c>
      <c r="F271" s="28"/>
      <c r="G271" s="48"/>
      <c r="I271" s="11"/>
    </row>
    <row r="272" spans="1:11" x14ac:dyDescent="0.25">
      <c r="A272" s="30">
        <v>40955</v>
      </c>
      <c r="B272" s="29" t="s">
        <v>12</v>
      </c>
      <c r="C272" s="29" t="s">
        <v>116</v>
      </c>
      <c r="D272" s="29">
        <v>6</v>
      </c>
      <c r="E272" s="32" t="s">
        <v>16</v>
      </c>
      <c r="F272" s="28"/>
      <c r="G272" s="48"/>
      <c r="I272" s="11"/>
    </row>
    <row r="273" spans="1:9" x14ac:dyDescent="0.25">
      <c r="A273" s="30">
        <v>40954</v>
      </c>
      <c r="B273" s="29" t="s">
        <v>12</v>
      </c>
      <c r="C273" s="29" t="s">
        <v>116</v>
      </c>
      <c r="D273" s="29">
        <v>6</v>
      </c>
      <c r="E273" s="32" t="s">
        <v>16</v>
      </c>
      <c r="F273" s="28"/>
      <c r="G273" s="48"/>
      <c r="I273" s="11"/>
    </row>
    <row r="274" spans="1:9" x14ac:dyDescent="0.25">
      <c r="A274" s="30">
        <v>40954</v>
      </c>
      <c r="B274" s="29" t="s">
        <v>5</v>
      </c>
      <c r="C274" s="29" t="s">
        <v>14</v>
      </c>
      <c r="D274" s="29">
        <v>2</v>
      </c>
      <c r="E274" s="32" t="s">
        <v>49</v>
      </c>
      <c r="F274" s="28"/>
      <c r="G274" s="48"/>
      <c r="I274" s="11"/>
    </row>
    <row r="275" spans="1:9" x14ac:dyDescent="0.25">
      <c r="A275" s="30">
        <v>40953</v>
      </c>
      <c r="B275" s="29" t="s">
        <v>5</v>
      </c>
      <c r="C275" s="29" t="s">
        <v>48</v>
      </c>
      <c r="D275" s="29">
        <v>1</v>
      </c>
      <c r="E275" s="32" t="s">
        <v>18</v>
      </c>
      <c r="F275" s="28"/>
      <c r="G275" s="48"/>
      <c r="I275" s="11"/>
    </row>
    <row r="276" spans="1:9" x14ac:dyDescent="0.25">
      <c r="A276" s="30">
        <v>40953</v>
      </c>
      <c r="B276" s="29" t="s">
        <v>5</v>
      </c>
      <c r="C276" s="29" t="s">
        <v>48</v>
      </c>
      <c r="D276" s="29">
        <v>1</v>
      </c>
      <c r="E276" s="32" t="s">
        <v>19</v>
      </c>
      <c r="F276" s="28"/>
      <c r="G276" s="48"/>
      <c r="H276" s="26"/>
      <c r="I276" s="11"/>
    </row>
    <row r="277" spans="1:9" x14ac:dyDescent="0.25">
      <c r="A277" s="30">
        <v>40953</v>
      </c>
      <c r="B277" s="29" t="s">
        <v>5</v>
      </c>
      <c r="C277" s="29" t="s">
        <v>14</v>
      </c>
      <c r="D277" s="29">
        <v>6</v>
      </c>
      <c r="E277" s="32" t="s">
        <v>20</v>
      </c>
      <c r="F277" s="28"/>
      <c r="G277" s="48"/>
      <c r="H277" s="27"/>
      <c r="I277" s="27"/>
    </row>
    <row r="278" spans="1:9" x14ac:dyDescent="0.25">
      <c r="A278" s="30">
        <v>40952</v>
      </c>
      <c r="B278" s="29" t="s">
        <v>5</v>
      </c>
      <c r="C278" s="29" t="s">
        <v>14</v>
      </c>
      <c r="D278" s="29">
        <v>4</v>
      </c>
      <c r="E278" s="32" t="s">
        <v>21</v>
      </c>
      <c r="F278" s="28"/>
      <c r="G278" s="48"/>
      <c r="H278" s="27"/>
      <c r="I278" s="27"/>
    </row>
    <row r="279" spans="1:9" x14ac:dyDescent="0.25">
      <c r="A279" s="30">
        <v>40952</v>
      </c>
      <c r="B279" s="29" t="s">
        <v>12</v>
      </c>
      <c r="C279" s="29" t="s">
        <v>116</v>
      </c>
      <c r="D279" s="29">
        <v>4</v>
      </c>
      <c r="E279" s="32" t="s">
        <v>7</v>
      </c>
      <c r="F279" s="28"/>
      <c r="G279" s="48"/>
      <c r="H279" s="27"/>
      <c r="I279" s="27"/>
    </row>
    <row r="280" spans="1:9" x14ac:dyDescent="0.25">
      <c r="A280" s="30">
        <v>40949</v>
      </c>
      <c r="B280" s="29" t="s">
        <v>5</v>
      </c>
      <c r="C280" s="29" t="s">
        <v>14</v>
      </c>
      <c r="D280" s="29">
        <v>8</v>
      </c>
      <c r="E280" s="32" t="s">
        <v>20</v>
      </c>
      <c r="F280" s="28"/>
      <c r="G280" s="48"/>
      <c r="H280" s="27"/>
      <c r="I280" s="27"/>
    </row>
    <row r="281" spans="1:9" x14ac:dyDescent="0.25">
      <c r="A281" s="30">
        <v>40948</v>
      </c>
      <c r="B281" s="29" t="s">
        <v>5</v>
      </c>
      <c r="C281" s="29" t="s">
        <v>14</v>
      </c>
      <c r="D281" s="29">
        <v>8</v>
      </c>
      <c r="E281" s="32" t="s">
        <v>20</v>
      </c>
      <c r="F281" s="28"/>
      <c r="G281" s="48"/>
      <c r="H281" s="27"/>
      <c r="I281" s="27"/>
    </row>
    <row r="282" spans="1:9" x14ac:dyDescent="0.25">
      <c r="A282" s="30">
        <v>40947</v>
      </c>
      <c r="B282" s="29" t="s">
        <v>5</v>
      </c>
      <c r="C282" s="29" t="s">
        <v>14</v>
      </c>
      <c r="D282" s="29">
        <v>8</v>
      </c>
      <c r="E282" s="32" t="s">
        <v>20</v>
      </c>
      <c r="F282" s="28"/>
      <c r="G282" s="48"/>
      <c r="I282" s="11"/>
    </row>
    <row r="283" spans="1:9" s="7" customFormat="1" x14ac:dyDescent="0.25">
      <c r="A283" s="37">
        <v>40946</v>
      </c>
      <c r="B283" s="38" t="s">
        <v>12</v>
      </c>
      <c r="C283" s="38" t="s">
        <v>128</v>
      </c>
      <c r="D283" s="38">
        <v>0</v>
      </c>
      <c r="E283" s="39" t="s">
        <v>58</v>
      </c>
      <c r="F283" s="59"/>
      <c r="G283" s="48"/>
      <c r="H283" s="8"/>
      <c r="I283" s="20"/>
    </row>
    <row r="284" spans="1:9" x14ac:dyDescent="0.25">
      <c r="A284" s="30">
        <v>40946</v>
      </c>
      <c r="B284" s="29" t="s">
        <v>12</v>
      </c>
      <c r="C284" s="29" t="s">
        <v>116</v>
      </c>
      <c r="D284" s="29">
        <v>4</v>
      </c>
      <c r="E284" s="32" t="s">
        <v>7</v>
      </c>
      <c r="F284" s="28"/>
      <c r="G284" s="48"/>
      <c r="H284" s="25"/>
      <c r="I284" s="10"/>
    </row>
    <row r="285" spans="1:9" x14ac:dyDescent="0.25">
      <c r="A285" s="30">
        <v>40945</v>
      </c>
      <c r="B285" s="29" t="s">
        <v>12</v>
      </c>
      <c r="C285" s="29" t="s">
        <v>116</v>
      </c>
      <c r="D285" s="29">
        <v>8</v>
      </c>
      <c r="E285" s="32" t="s">
        <v>7</v>
      </c>
      <c r="F285" s="28"/>
      <c r="G285" s="48"/>
      <c r="H285" s="26"/>
      <c r="I285" s="11"/>
    </row>
    <row r="286" spans="1:9" x14ac:dyDescent="0.25">
      <c r="A286" s="30">
        <v>40942</v>
      </c>
      <c r="B286" s="29" t="s">
        <v>12</v>
      </c>
      <c r="C286" s="29" t="s">
        <v>116</v>
      </c>
      <c r="D286" s="29">
        <v>7</v>
      </c>
      <c r="E286" s="32" t="s">
        <v>22</v>
      </c>
      <c r="F286" s="28"/>
      <c r="G286" s="48"/>
      <c r="H286" s="27"/>
      <c r="I286" s="20"/>
    </row>
    <row r="287" spans="1:9" x14ac:dyDescent="0.25">
      <c r="A287" s="30">
        <v>40941</v>
      </c>
      <c r="B287" s="29" t="s">
        <v>12</v>
      </c>
      <c r="C287" s="29" t="s">
        <v>116</v>
      </c>
      <c r="D287" s="29">
        <v>8</v>
      </c>
      <c r="E287" s="32" t="s">
        <v>7</v>
      </c>
      <c r="F287" s="28"/>
      <c r="G287" s="48"/>
      <c r="H287" s="26"/>
      <c r="I287" s="10"/>
    </row>
    <row r="288" spans="1:9" x14ac:dyDescent="0.25">
      <c r="A288" s="30">
        <v>40940</v>
      </c>
      <c r="B288" s="29" t="s">
        <v>12</v>
      </c>
      <c r="C288" s="29" t="s">
        <v>119</v>
      </c>
      <c r="D288" s="29">
        <v>5</v>
      </c>
      <c r="E288" s="32" t="s">
        <v>7</v>
      </c>
      <c r="F288" s="28"/>
      <c r="G288" s="48"/>
      <c r="I288" s="10"/>
    </row>
    <row r="289" spans="1:13" x14ac:dyDescent="0.25">
      <c r="A289" s="30">
        <v>40940</v>
      </c>
      <c r="B289" s="29" t="s">
        <v>12</v>
      </c>
      <c r="C289" s="29" t="s">
        <v>116</v>
      </c>
      <c r="D289" s="29">
        <v>3</v>
      </c>
      <c r="E289" s="32" t="s">
        <v>23</v>
      </c>
      <c r="F289" s="28"/>
      <c r="G289" s="48"/>
      <c r="I289" s="11"/>
    </row>
    <row r="290" spans="1:13" x14ac:dyDescent="0.25">
      <c r="A290" s="17">
        <v>40939</v>
      </c>
      <c r="B290" s="13" t="s">
        <v>12</v>
      </c>
      <c r="C290" s="13" t="s">
        <v>116</v>
      </c>
      <c r="D290" s="13">
        <v>6</v>
      </c>
      <c r="E290" s="22" t="s">
        <v>23</v>
      </c>
      <c r="F290" s="8"/>
      <c r="G290" s="48"/>
      <c r="H290" s="8" t="str">
        <f>TEXT(DATE(YEAR(A290),MONTH(A290),DAY(A290)),"mmm")&amp;" Total:"</f>
        <v>Jan Total:</v>
      </c>
      <c r="I290" s="10">
        <f>SUM(D290:D303)</f>
        <v>88</v>
      </c>
    </row>
    <row r="291" spans="1:13" x14ac:dyDescent="0.25">
      <c r="A291" s="17">
        <v>40938</v>
      </c>
      <c r="B291" s="13" t="s">
        <v>13</v>
      </c>
      <c r="C291" s="13" t="s">
        <v>15</v>
      </c>
      <c r="D291" s="13">
        <v>3</v>
      </c>
      <c r="E291" s="22" t="s">
        <v>24</v>
      </c>
      <c r="F291" s="8"/>
      <c r="G291" s="48"/>
      <c r="H291" s="3" t="s">
        <v>8</v>
      </c>
      <c r="I291" s="11">
        <f>K1</f>
        <v>35</v>
      </c>
      <c r="J291" s="24"/>
    </row>
    <row r="292" spans="1:13" x14ac:dyDescent="0.25">
      <c r="A292" s="17">
        <v>40938</v>
      </c>
      <c r="B292" s="13" t="s">
        <v>12</v>
      </c>
      <c r="C292" s="13" t="s">
        <v>118</v>
      </c>
      <c r="D292" s="13">
        <v>5</v>
      </c>
      <c r="E292" s="22" t="s">
        <v>23</v>
      </c>
      <c r="F292" s="8"/>
      <c r="G292" s="48"/>
      <c r="H292" s="3" t="s">
        <v>9</v>
      </c>
      <c r="I292" s="20">
        <v>0.05</v>
      </c>
    </row>
    <row r="293" spans="1:13" x14ac:dyDescent="0.25">
      <c r="A293" s="17">
        <v>40935</v>
      </c>
      <c r="B293" s="13" t="s">
        <v>12</v>
      </c>
      <c r="C293" s="13" t="s">
        <v>118</v>
      </c>
      <c r="D293" s="13">
        <v>8</v>
      </c>
      <c r="E293" s="22" t="s">
        <v>25</v>
      </c>
      <c r="F293" s="8"/>
      <c r="G293" s="48"/>
      <c r="H293" s="8" t="s">
        <v>10</v>
      </c>
      <c r="I293" s="11">
        <f>I290*I291*(1+I292)</f>
        <v>3234</v>
      </c>
    </row>
    <row r="294" spans="1:13" x14ac:dyDescent="0.25">
      <c r="A294" s="17">
        <v>40932</v>
      </c>
      <c r="B294" s="13" t="s">
        <v>5</v>
      </c>
      <c r="C294" s="13" t="s">
        <v>14</v>
      </c>
      <c r="D294" s="13">
        <v>4</v>
      </c>
      <c r="E294" s="22" t="s">
        <v>26</v>
      </c>
      <c r="F294" s="8"/>
      <c r="G294" s="48"/>
      <c r="I294" s="10"/>
      <c r="M294" s="2"/>
    </row>
    <row r="295" spans="1:13" x14ac:dyDescent="0.25">
      <c r="A295" s="17">
        <v>40931</v>
      </c>
      <c r="B295" s="13" t="s">
        <v>5</v>
      </c>
      <c r="C295" s="13" t="s">
        <v>14</v>
      </c>
      <c r="D295" s="13">
        <v>8</v>
      </c>
      <c r="E295" s="22" t="s">
        <v>27</v>
      </c>
      <c r="F295" s="8"/>
      <c r="G295" s="48"/>
      <c r="I295" s="11"/>
      <c r="M295" s="2"/>
    </row>
    <row r="296" spans="1:13" x14ac:dyDescent="0.25">
      <c r="A296" s="17">
        <v>40928</v>
      </c>
      <c r="B296" s="13" t="s">
        <v>5</v>
      </c>
      <c r="C296" s="13" t="s">
        <v>14</v>
      </c>
      <c r="D296" s="13">
        <v>6</v>
      </c>
      <c r="E296" s="22" t="s">
        <v>28</v>
      </c>
      <c r="F296" s="8"/>
      <c r="G296" s="48"/>
      <c r="I296" s="20"/>
    </row>
    <row r="297" spans="1:13" x14ac:dyDescent="0.25">
      <c r="A297" s="17">
        <v>40927</v>
      </c>
      <c r="B297" s="13" t="s">
        <v>5</v>
      </c>
      <c r="C297" s="13" t="s">
        <v>14</v>
      </c>
      <c r="D297" s="13">
        <v>7</v>
      </c>
      <c r="E297" s="22" t="s">
        <v>29</v>
      </c>
      <c r="F297" s="8"/>
      <c r="G297" s="48"/>
      <c r="I297" s="11"/>
    </row>
    <row r="298" spans="1:13" x14ac:dyDescent="0.25">
      <c r="A298" s="17">
        <v>40926</v>
      </c>
      <c r="B298" s="13" t="s">
        <v>5</v>
      </c>
      <c r="C298" s="13" t="s">
        <v>14</v>
      </c>
      <c r="D298" s="13">
        <v>7</v>
      </c>
      <c r="E298" s="22" t="s">
        <v>30</v>
      </c>
      <c r="F298" s="8"/>
      <c r="G298" s="48"/>
    </row>
    <row r="299" spans="1:13" x14ac:dyDescent="0.25">
      <c r="A299" s="17">
        <v>40925</v>
      </c>
      <c r="B299" s="13" t="s">
        <v>5</v>
      </c>
      <c r="C299" s="13" t="s">
        <v>14</v>
      </c>
      <c r="D299" s="13">
        <v>8</v>
      </c>
      <c r="E299" s="22" t="s">
        <v>30</v>
      </c>
      <c r="F299" s="8"/>
      <c r="G299" s="48"/>
      <c r="H299" s="25"/>
      <c r="I299" s="10"/>
    </row>
    <row r="300" spans="1:13" x14ac:dyDescent="0.25">
      <c r="A300" s="17">
        <v>40924</v>
      </c>
      <c r="B300" s="13" t="s">
        <v>5</v>
      </c>
      <c r="C300" s="13" t="s">
        <v>14</v>
      </c>
      <c r="D300" s="13">
        <v>8</v>
      </c>
      <c r="E300" s="22" t="s">
        <v>30</v>
      </c>
      <c r="F300" s="8"/>
      <c r="G300" s="48"/>
      <c r="H300" s="26"/>
      <c r="I300" s="11"/>
    </row>
    <row r="301" spans="1:13" x14ac:dyDescent="0.25">
      <c r="A301" s="17">
        <v>40921</v>
      </c>
      <c r="B301" s="13" t="s">
        <v>5</v>
      </c>
      <c r="C301" s="13" t="s">
        <v>14</v>
      </c>
      <c r="D301" s="13">
        <v>6</v>
      </c>
      <c r="E301" s="22" t="s">
        <v>31</v>
      </c>
      <c r="F301" s="8"/>
      <c r="G301" s="48"/>
      <c r="H301" s="27"/>
      <c r="I301" s="10"/>
    </row>
    <row r="302" spans="1:13" x14ac:dyDescent="0.25">
      <c r="A302" s="17">
        <v>40920</v>
      </c>
      <c r="B302" s="13" t="s">
        <v>5</v>
      </c>
      <c r="C302" s="13" t="s">
        <v>14</v>
      </c>
      <c r="D302" s="13">
        <v>8</v>
      </c>
      <c r="E302" s="22" t="s">
        <v>31</v>
      </c>
      <c r="F302" s="8"/>
      <c r="G302" s="48"/>
      <c r="I302" s="10"/>
    </row>
    <row r="303" spans="1:13" x14ac:dyDescent="0.25">
      <c r="A303" s="17">
        <v>40917</v>
      </c>
      <c r="B303" s="13" t="s">
        <v>5</v>
      </c>
      <c r="C303" s="13" t="s">
        <v>14</v>
      </c>
      <c r="D303" s="13">
        <v>4</v>
      </c>
      <c r="E303" s="22" t="s">
        <v>32</v>
      </c>
      <c r="F303" s="8"/>
      <c r="G303" s="48"/>
      <c r="I303" s="11"/>
    </row>
    <row r="304" spans="1:13" x14ac:dyDescent="0.25">
      <c r="A304" s="30">
        <v>40896</v>
      </c>
      <c r="B304" s="29" t="s">
        <v>5</v>
      </c>
      <c r="C304" s="29" t="s">
        <v>14</v>
      </c>
      <c r="D304" s="29">
        <v>5</v>
      </c>
      <c r="E304" s="32" t="s">
        <v>33</v>
      </c>
      <c r="F304" s="28"/>
      <c r="G304" s="48"/>
      <c r="H304" s="8" t="str">
        <f>TEXT(DATE(YEAR(A304),MONTH(A304),DAY(A304)),"mmm")&amp;" Total:"</f>
        <v>Dec Total:</v>
      </c>
      <c r="I304" s="10">
        <f>SUM(D304:D321)</f>
        <v>195</v>
      </c>
    </row>
    <row r="305" spans="1:15" x14ac:dyDescent="0.25">
      <c r="A305" s="30">
        <v>40893</v>
      </c>
      <c r="B305" s="29" t="s">
        <v>5</v>
      </c>
      <c r="C305" s="29" t="s">
        <v>14</v>
      </c>
      <c r="D305" s="29">
        <v>7</v>
      </c>
      <c r="E305" s="32" t="s">
        <v>34</v>
      </c>
      <c r="F305" s="28"/>
      <c r="G305" s="48"/>
      <c r="H305" s="8" t="s">
        <v>8</v>
      </c>
      <c r="I305" s="11">
        <f>K1</f>
        <v>35</v>
      </c>
    </row>
    <row r="306" spans="1:15" x14ac:dyDescent="0.25">
      <c r="A306" s="30">
        <v>40892</v>
      </c>
      <c r="B306" s="29" t="s">
        <v>12</v>
      </c>
      <c r="C306" s="29" t="s">
        <v>129</v>
      </c>
      <c r="D306" s="29">
        <v>3</v>
      </c>
      <c r="E306" s="32" t="s">
        <v>35</v>
      </c>
      <c r="F306" s="28"/>
      <c r="G306" s="48"/>
      <c r="H306" s="8" t="s">
        <v>9</v>
      </c>
      <c r="I306" s="20">
        <v>0.05</v>
      </c>
    </row>
    <row r="307" spans="1:15" x14ac:dyDescent="0.25">
      <c r="A307" s="30">
        <v>40892</v>
      </c>
      <c r="B307" s="29" t="s">
        <v>5</v>
      </c>
      <c r="C307" s="29" t="s">
        <v>14</v>
      </c>
      <c r="D307" s="29">
        <v>7</v>
      </c>
      <c r="E307" s="32" t="s">
        <v>36</v>
      </c>
      <c r="F307" s="28"/>
      <c r="G307" s="48"/>
      <c r="H307" s="8" t="s">
        <v>10</v>
      </c>
      <c r="I307" s="11">
        <f>I304*I305*(1+I306)</f>
        <v>7166.25</v>
      </c>
    </row>
    <row r="308" spans="1:15" x14ac:dyDescent="0.25">
      <c r="A308" s="30">
        <v>40891</v>
      </c>
      <c r="B308" s="29" t="s">
        <v>12</v>
      </c>
      <c r="C308" s="29" t="s">
        <v>129</v>
      </c>
      <c r="D308" s="29">
        <v>8</v>
      </c>
      <c r="E308" s="32" t="s">
        <v>35</v>
      </c>
      <c r="F308" s="28"/>
      <c r="G308" s="48"/>
      <c r="H308" s="3"/>
      <c r="I308" s="20"/>
    </row>
    <row r="309" spans="1:15" x14ac:dyDescent="0.25">
      <c r="A309" s="30">
        <v>40890</v>
      </c>
      <c r="B309" s="29" t="s">
        <v>12</v>
      </c>
      <c r="C309" s="29" t="s">
        <v>129</v>
      </c>
      <c r="D309" s="29">
        <v>3</v>
      </c>
      <c r="E309" s="32" t="s">
        <v>35</v>
      </c>
      <c r="F309" s="28"/>
      <c r="G309" s="48"/>
      <c r="H309" s="3"/>
      <c r="I309" s="11"/>
    </row>
    <row r="310" spans="1:15" x14ac:dyDescent="0.25">
      <c r="A310" s="30">
        <v>40890</v>
      </c>
      <c r="B310" s="29" t="s">
        <v>5</v>
      </c>
      <c r="C310" s="29" t="s">
        <v>14</v>
      </c>
      <c r="D310" s="29">
        <v>4</v>
      </c>
      <c r="E310" s="32" t="s">
        <v>37</v>
      </c>
      <c r="F310" s="28"/>
      <c r="G310" s="48"/>
      <c r="I310" s="12"/>
    </row>
    <row r="311" spans="1:15" x14ac:dyDescent="0.25">
      <c r="A311" s="30">
        <v>40889</v>
      </c>
      <c r="B311" s="29" t="s">
        <v>5</v>
      </c>
      <c r="C311" s="29" t="s">
        <v>14</v>
      </c>
      <c r="D311" s="29">
        <v>7</v>
      </c>
      <c r="E311" s="32" t="s">
        <v>37</v>
      </c>
      <c r="F311" s="28"/>
      <c r="G311" s="48"/>
      <c r="I311" s="10"/>
    </row>
    <row r="312" spans="1:15" x14ac:dyDescent="0.25">
      <c r="A312" s="30">
        <v>40887</v>
      </c>
      <c r="B312" s="29" t="s">
        <v>5</v>
      </c>
      <c r="C312" s="29" t="s">
        <v>14</v>
      </c>
      <c r="D312" s="29">
        <v>14</v>
      </c>
      <c r="E312" s="32" t="s">
        <v>38</v>
      </c>
      <c r="F312" s="28"/>
      <c r="G312" s="48"/>
      <c r="I312" s="11"/>
    </row>
    <row r="313" spans="1:15" x14ac:dyDescent="0.25">
      <c r="A313" s="30">
        <v>40886</v>
      </c>
      <c r="B313" s="29" t="s">
        <v>5</v>
      </c>
      <c r="C313" s="29" t="s">
        <v>14</v>
      </c>
      <c r="D313" s="29">
        <v>15</v>
      </c>
      <c r="E313" s="32" t="s">
        <v>39</v>
      </c>
      <c r="F313" s="28"/>
      <c r="G313" s="48"/>
      <c r="I313" s="20"/>
    </row>
    <row r="314" spans="1:15" x14ac:dyDescent="0.25">
      <c r="A314" s="30">
        <v>40885</v>
      </c>
      <c r="B314" s="29" t="s">
        <v>5</v>
      </c>
      <c r="C314" s="29" t="s">
        <v>14</v>
      </c>
      <c r="D314" s="29">
        <v>16</v>
      </c>
      <c r="E314" s="32" t="s">
        <v>39</v>
      </c>
      <c r="F314" s="28"/>
      <c r="G314" s="48"/>
      <c r="I314" s="11"/>
    </row>
    <row r="315" spans="1:15" x14ac:dyDescent="0.25">
      <c r="A315" s="30">
        <v>40884</v>
      </c>
      <c r="B315" s="29" t="s">
        <v>5</v>
      </c>
      <c r="C315" s="29" t="s">
        <v>14</v>
      </c>
      <c r="D315" s="29">
        <v>17</v>
      </c>
      <c r="E315" s="32" t="s">
        <v>39</v>
      </c>
      <c r="F315" s="28"/>
      <c r="G315" s="48"/>
    </row>
    <row r="316" spans="1:15" x14ac:dyDescent="0.25">
      <c r="A316" s="30">
        <v>40883</v>
      </c>
      <c r="B316" s="29" t="s">
        <v>5</v>
      </c>
      <c r="C316" s="29" t="s">
        <v>14</v>
      </c>
      <c r="D316" s="29">
        <v>16</v>
      </c>
      <c r="E316" s="32" t="s">
        <v>39</v>
      </c>
      <c r="F316" s="28"/>
      <c r="G316" s="48"/>
      <c r="H316" s="25"/>
      <c r="I316" s="10"/>
    </row>
    <row r="317" spans="1:15" x14ac:dyDescent="0.25">
      <c r="A317" s="30">
        <v>40882</v>
      </c>
      <c r="B317" s="29" t="s">
        <v>5</v>
      </c>
      <c r="C317" s="29" t="s">
        <v>14</v>
      </c>
      <c r="D317" s="29">
        <v>15</v>
      </c>
      <c r="E317" s="32" t="s">
        <v>39</v>
      </c>
      <c r="F317" s="28"/>
      <c r="G317" s="48"/>
      <c r="H317" s="26"/>
      <c r="I317" s="11"/>
    </row>
    <row r="318" spans="1:15" x14ac:dyDescent="0.25">
      <c r="A318" s="30">
        <v>40881</v>
      </c>
      <c r="B318" s="29" t="s">
        <v>5</v>
      </c>
      <c r="C318" s="29" t="s">
        <v>14</v>
      </c>
      <c r="D318" s="29">
        <v>16</v>
      </c>
      <c r="E318" s="32" t="s">
        <v>39</v>
      </c>
      <c r="F318" s="28"/>
      <c r="G318" s="48"/>
      <c r="H318" s="27"/>
      <c r="I318" s="20"/>
    </row>
    <row r="319" spans="1:15" x14ac:dyDescent="0.25">
      <c r="A319" s="30">
        <v>40880</v>
      </c>
      <c r="B319" s="29" t="s">
        <v>5</v>
      </c>
      <c r="C319" s="29" t="s">
        <v>14</v>
      </c>
      <c r="D319" s="29">
        <v>15</v>
      </c>
      <c r="E319" s="32" t="s">
        <v>39</v>
      </c>
      <c r="F319" s="28"/>
      <c r="G319" s="48"/>
      <c r="H319" s="26"/>
      <c r="I319" s="10"/>
      <c r="O319">
        <f>1678*30</f>
        <v>50340</v>
      </c>
    </row>
    <row r="320" spans="1:15" x14ac:dyDescent="0.25">
      <c r="A320" s="30">
        <v>40879</v>
      </c>
      <c r="B320" s="29" t="s">
        <v>5</v>
      </c>
      <c r="C320" s="29" t="s">
        <v>14</v>
      </c>
      <c r="D320" s="29">
        <v>14</v>
      </c>
      <c r="E320" s="32" t="s">
        <v>39</v>
      </c>
      <c r="F320" s="28"/>
      <c r="G320" s="48"/>
      <c r="I320" s="10"/>
    </row>
    <row r="321" spans="1:11" x14ac:dyDescent="0.25">
      <c r="A321" s="30">
        <v>40878</v>
      </c>
      <c r="B321" s="29" t="s">
        <v>5</v>
      </c>
      <c r="C321" s="29" t="s">
        <v>14</v>
      </c>
      <c r="D321" s="29">
        <v>13</v>
      </c>
      <c r="E321" s="32" t="s">
        <v>39</v>
      </c>
      <c r="F321" s="28"/>
      <c r="G321" s="48"/>
      <c r="I321" s="11"/>
    </row>
    <row r="322" spans="1:11" x14ac:dyDescent="0.25">
      <c r="A322" s="17">
        <v>40877</v>
      </c>
      <c r="B322" s="13" t="s">
        <v>5</v>
      </c>
      <c r="C322" s="13" t="s">
        <v>14</v>
      </c>
      <c r="D322" s="13">
        <v>8</v>
      </c>
      <c r="E322" s="22" t="s">
        <v>39</v>
      </c>
      <c r="F322" s="8"/>
      <c r="G322" s="48"/>
      <c r="H322" s="8" t="str">
        <f>TEXT(DATE(YEAR(A322),MONTH(A322),DAY(A322)),"mmm")&amp;" Total:"</f>
        <v>Nov Total:</v>
      </c>
      <c r="I322" s="10">
        <f>SUM(D322:D341)</f>
        <v>154</v>
      </c>
    </row>
    <row r="323" spans="1:11" x14ac:dyDescent="0.25">
      <c r="A323" s="17">
        <v>40876</v>
      </c>
      <c r="B323" s="13" t="s">
        <v>5</v>
      </c>
      <c r="C323" s="13" t="s">
        <v>14</v>
      </c>
      <c r="D323" s="13">
        <v>14</v>
      </c>
      <c r="E323" s="22" t="s">
        <v>38</v>
      </c>
      <c r="F323" s="8"/>
      <c r="G323" s="48"/>
      <c r="H323" s="8" t="s">
        <v>8</v>
      </c>
      <c r="I323" s="11">
        <f>K1</f>
        <v>35</v>
      </c>
    </row>
    <row r="324" spans="1:11" x14ac:dyDescent="0.25">
      <c r="A324" s="17">
        <v>40875</v>
      </c>
      <c r="B324" s="13" t="s">
        <v>5</v>
      </c>
      <c r="C324" s="13" t="s">
        <v>14</v>
      </c>
      <c r="D324" s="13">
        <v>4</v>
      </c>
      <c r="E324" s="22"/>
      <c r="F324" s="8"/>
      <c r="G324" s="48"/>
      <c r="H324" s="8" t="s">
        <v>9</v>
      </c>
      <c r="I324" s="20">
        <v>0.05</v>
      </c>
    </row>
    <row r="325" spans="1:11" x14ac:dyDescent="0.25">
      <c r="A325" s="17">
        <v>40872</v>
      </c>
      <c r="B325" s="13" t="s">
        <v>5</v>
      </c>
      <c r="C325" s="13" t="s">
        <v>14</v>
      </c>
      <c r="D325" s="13">
        <v>7</v>
      </c>
      <c r="E325" s="22" t="s">
        <v>40</v>
      </c>
      <c r="F325" s="8"/>
      <c r="G325" s="48"/>
      <c r="H325" s="8" t="s">
        <v>10</v>
      </c>
      <c r="I325" s="11">
        <f>I322*I323*(1+I324)</f>
        <v>5659.5</v>
      </c>
    </row>
    <row r="326" spans="1:11" x14ac:dyDescent="0.25">
      <c r="A326" s="17">
        <v>40871</v>
      </c>
      <c r="B326" s="13" t="s">
        <v>5</v>
      </c>
      <c r="C326" s="13" t="s">
        <v>14</v>
      </c>
      <c r="D326" s="13">
        <v>8</v>
      </c>
      <c r="E326" s="22" t="s">
        <v>41</v>
      </c>
      <c r="F326" s="8"/>
      <c r="G326" s="48"/>
      <c r="I326" s="11"/>
    </row>
    <row r="327" spans="1:11" x14ac:dyDescent="0.25">
      <c r="A327" s="17">
        <v>40870</v>
      </c>
      <c r="B327" s="13" t="s">
        <v>5</v>
      </c>
      <c r="C327" s="13" t="s">
        <v>14</v>
      </c>
      <c r="D327" s="13">
        <v>8</v>
      </c>
      <c r="E327" s="22" t="s">
        <v>41</v>
      </c>
      <c r="F327" s="8"/>
      <c r="G327" s="48"/>
      <c r="H327" s="3"/>
      <c r="I327" s="20"/>
    </row>
    <row r="328" spans="1:11" x14ac:dyDescent="0.25">
      <c r="A328" s="17">
        <v>40869</v>
      </c>
      <c r="B328" s="13" t="s">
        <v>5</v>
      </c>
      <c r="C328" s="13" t="s">
        <v>14</v>
      </c>
      <c r="D328" s="13">
        <v>9</v>
      </c>
      <c r="E328" s="22" t="s">
        <v>41</v>
      </c>
      <c r="F328" s="8"/>
      <c r="G328" s="48"/>
      <c r="H328" s="3"/>
      <c r="I328" s="11"/>
    </row>
    <row r="329" spans="1:11" x14ac:dyDescent="0.25">
      <c r="A329" s="17">
        <v>40864</v>
      </c>
      <c r="B329" s="13" t="s">
        <v>12</v>
      </c>
      <c r="C329" s="13" t="s">
        <v>129</v>
      </c>
      <c r="D329" s="13">
        <v>4</v>
      </c>
      <c r="E329" s="22" t="s">
        <v>17</v>
      </c>
      <c r="F329" s="8"/>
      <c r="G329" s="48"/>
      <c r="I329" s="12"/>
    </row>
    <row r="330" spans="1:11" x14ac:dyDescent="0.25">
      <c r="A330" s="17">
        <v>40863</v>
      </c>
      <c r="B330" s="13" t="s">
        <v>12</v>
      </c>
      <c r="C330" s="13" t="s">
        <v>129</v>
      </c>
      <c r="D330" s="13">
        <v>8</v>
      </c>
      <c r="E330" s="22" t="s">
        <v>17</v>
      </c>
      <c r="F330" s="8"/>
      <c r="G330" s="48"/>
      <c r="I330" s="10"/>
    </row>
    <row r="331" spans="1:11" x14ac:dyDescent="0.25">
      <c r="A331" s="17">
        <v>40862</v>
      </c>
      <c r="B331" s="13" t="s">
        <v>12</v>
      </c>
      <c r="C331" s="13" t="s">
        <v>129</v>
      </c>
      <c r="D331" s="13">
        <v>9</v>
      </c>
      <c r="E331" s="22" t="s">
        <v>17</v>
      </c>
      <c r="F331" s="8"/>
      <c r="G331" s="48"/>
      <c r="I331" s="11"/>
    </row>
    <row r="332" spans="1:11" x14ac:dyDescent="0.25">
      <c r="A332" s="17">
        <v>40861</v>
      </c>
      <c r="B332" s="13" t="s">
        <v>12</v>
      </c>
      <c r="C332" s="13" t="s">
        <v>129</v>
      </c>
      <c r="D332" s="13">
        <v>8</v>
      </c>
      <c r="E332" s="22" t="s">
        <v>17</v>
      </c>
      <c r="F332" s="8"/>
      <c r="G332" s="48"/>
      <c r="I332" s="20"/>
    </row>
    <row r="333" spans="1:11" x14ac:dyDescent="0.25">
      <c r="A333" s="17">
        <v>40858</v>
      </c>
      <c r="B333" s="13" t="s">
        <v>12</v>
      </c>
      <c r="C333" s="13" t="s">
        <v>129</v>
      </c>
      <c r="D333" s="13">
        <v>6</v>
      </c>
      <c r="E333" s="22" t="s">
        <v>17</v>
      </c>
      <c r="F333" s="8"/>
      <c r="G333" s="48"/>
      <c r="I333" s="11"/>
    </row>
    <row r="334" spans="1:11" x14ac:dyDescent="0.25">
      <c r="A334" s="17">
        <v>40857</v>
      </c>
      <c r="B334" s="13" t="s">
        <v>12</v>
      </c>
      <c r="C334" s="13" t="s">
        <v>129</v>
      </c>
      <c r="D334" s="13">
        <v>8</v>
      </c>
      <c r="E334" s="22" t="s">
        <v>17</v>
      </c>
      <c r="F334" s="8"/>
      <c r="G334" s="48"/>
      <c r="K334"/>
    </row>
    <row r="335" spans="1:11" x14ac:dyDescent="0.25">
      <c r="A335" s="17">
        <v>40856</v>
      </c>
      <c r="B335" s="13" t="s">
        <v>12</v>
      </c>
      <c r="C335" s="13" t="s">
        <v>129</v>
      </c>
      <c r="D335" s="13">
        <v>8</v>
      </c>
      <c r="E335" s="22" t="s">
        <v>17</v>
      </c>
      <c r="F335" s="8"/>
      <c r="G335" s="48"/>
      <c r="H335" s="25"/>
      <c r="I335" s="10"/>
      <c r="K335"/>
    </row>
    <row r="336" spans="1:11" x14ac:dyDescent="0.25">
      <c r="A336" s="17">
        <v>40855</v>
      </c>
      <c r="B336" s="13" t="s">
        <v>12</v>
      </c>
      <c r="C336" s="13" t="s">
        <v>129</v>
      </c>
      <c r="D336" s="13">
        <v>4</v>
      </c>
      <c r="E336" s="22" t="s">
        <v>17</v>
      </c>
      <c r="F336" s="8"/>
      <c r="G336" s="48"/>
      <c r="H336" s="26"/>
      <c r="I336" s="11"/>
    </row>
    <row r="337" spans="1:9" x14ac:dyDescent="0.25">
      <c r="A337" s="17">
        <v>40854</v>
      </c>
      <c r="B337" s="13" t="s">
        <v>12</v>
      </c>
      <c r="C337" s="13" t="s">
        <v>129</v>
      </c>
      <c r="D337" s="13">
        <v>7</v>
      </c>
      <c r="E337" s="22" t="s">
        <v>17</v>
      </c>
      <c r="F337" s="8"/>
      <c r="G337" s="48"/>
      <c r="H337" s="27"/>
      <c r="I337" s="20"/>
    </row>
    <row r="338" spans="1:9" x14ac:dyDescent="0.25">
      <c r="A338" s="17">
        <v>40851</v>
      </c>
      <c r="B338" s="13" t="s">
        <v>12</v>
      </c>
      <c r="C338" s="13" t="s">
        <v>129</v>
      </c>
      <c r="D338" s="13">
        <v>8</v>
      </c>
      <c r="E338" s="22" t="s">
        <v>17</v>
      </c>
      <c r="F338" s="8"/>
      <c r="G338" s="48"/>
      <c r="H338" s="26"/>
      <c r="I338" s="11"/>
    </row>
    <row r="339" spans="1:9" x14ac:dyDescent="0.25">
      <c r="A339" s="17">
        <v>40850</v>
      </c>
      <c r="B339" s="13" t="s">
        <v>12</v>
      </c>
      <c r="C339" s="13" t="s">
        <v>129</v>
      </c>
      <c r="D339" s="13">
        <v>8</v>
      </c>
      <c r="E339" s="22" t="s">
        <v>17</v>
      </c>
      <c r="F339" s="8"/>
      <c r="G339" s="48"/>
      <c r="I339" s="10"/>
    </row>
    <row r="340" spans="1:9" x14ac:dyDescent="0.25">
      <c r="A340" s="17">
        <v>40849</v>
      </c>
      <c r="B340" s="13" t="s">
        <v>6</v>
      </c>
      <c r="C340" s="13">
        <v>2994.0189999999998</v>
      </c>
      <c r="D340" s="13">
        <v>9</v>
      </c>
      <c r="E340" s="22" t="s">
        <v>7</v>
      </c>
      <c r="F340" s="8"/>
      <c r="G340" s="48"/>
      <c r="I340" s="10"/>
    </row>
    <row r="341" spans="1:9" x14ac:dyDescent="0.25">
      <c r="A341" s="17">
        <v>40848</v>
      </c>
      <c r="B341" s="13" t="s">
        <v>6</v>
      </c>
      <c r="C341" s="13">
        <v>2994.0189999999998</v>
      </c>
      <c r="D341" s="13">
        <v>9</v>
      </c>
      <c r="E341" s="22" t="s">
        <v>7</v>
      </c>
      <c r="F341" s="8"/>
      <c r="G341" s="48"/>
      <c r="I341" s="11"/>
    </row>
    <row r="342" spans="1:9" x14ac:dyDescent="0.25">
      <c r="A342" s="30">
        <v>40847</v>
      </c>
      <c r="B342" s="29" t="s">
        <v>6</v>
      </c>
      <c r="C342" s="29">
        <v>2994.0189999999998</v>
      </c>
      <c r="D342" s="29">
        <v>8</v>
      </c>
      <c r="E342" s="32" t="s">
        <v>7</v>
      </c>
      <c r="F342" s="28"/>
      <c r="G342" s="48"/>
      <c r="H342" s="8" t="str">
        <f>TEXT(DATE(YEAR(A342),MONTH(A342),DAY(A342)),"mmm")&amp;" Total:"</f>
        <v>Oct Total:</v>
      </c>
      <c r="I342" s="10">
        <f>SUM(D342:D361)</f>
        <v>221.5</v>
      </c>
    </row>
    <row r="343" spans="1:9" x14ac:dyDescent="0.25">
      <c r="A343" s="30">
        <v>40844</v>
      </c>
      <c r="B343" s="29" t="s">
        <v>6</v>
      </c>
      <c r="C343" s="29">
        <v>2994.0189999999998</v>
      </c>
      <c r="D343" s="29">
        <v>8</v>
      </c>
      <c r="E343" s="32" t="s">
        <v>7</v>
      </c>
      <c r="F343" s="28"/>
      <c r="G343" s="48"/>
      <c r="H343" s="8" t="s">
        <v>8</v>
      </c>
      <c r="I343" s="11">
        <f>K1</f>
        <v>35</v>
      </c>
    </row>
    <row r="344" spans="1:9" x14ac:dyDescent="0.25">
      <c r="A344" s="30">
        <v>40843</v>
      </c>
      <c r="B344" s="29" t="s">
        <v>6</v>
      </c>
      <c r="C344" s="29">
        <v>2994.0189999999998</v>
      </c>
      <c r="D344" s="29">
        <v>8</v>
      </c>
      <c r="E344" s="32" t="s">
        <v>7</v>
      </c>
      <c r="F344" s="28"/>
      <c r="G344" s="48"/>
      <c r="H344" s="8" t="s">
        <v>9</v>
      </c>
      <c r="I344" s="20">
        <v>0.05</v>
      </c>
    </row>
    <row r="345" spans="1:9" x14ac:dyDescent="0.25">
      <c r="A345" s="30">
        <v>40842</v>
      </c>
      <c r="B345" s="29" t="s">
        <v>6</v>
      </c>
      <c r="C345" s="29">
        <v>2994.0189999999998</v>
      </c>
      <c r="D345" s="29">
        <v>8</v>
      </c>
      <c r="E345" s="32" t="s">
        <v>7</v>
      </c>
      <c r="F345" s="28"/>
      <c r="G345" s="4"/>
      <c r="H345" s="8" t="s">
        <v>10</v>
      </c>
      <c r="I345" s="24">
        <f>I342*I343*(1+I344)</f>
        <v>8140.125</v>
      </c>
    </row>
    <row r="346" spans="1:9" x14ac:dyDescent="0.25">
      <c r="A346" s="30">
        <v>40841</v>
      </c>
      <c r="B346" s="29" t="s">
        <v>6</v>
      </c>
      <c r="C346" s="29">
        <v>2994.0189999999998</v>
      </c>
      <c r="D346" s="29">
        <v>8</v>
      </c>
      <c r="E346" s="32" t="s">
        <v>7</v>
      </c>
      <c r="F346" s="28"/>
      <c r="G346" s="4"/>
      <c r="H346" s="9"/>
      <c r="I346" s="7"/>
    </row>
    <row r="347" spans="1:9" x14ac:dyDescent="0.25">
      <c r="A347" s="30">
        <v>40839</v>
      </c>
      <c r="B347" s="29" t="s">
        <v>6</v>
      </c>
      <c r="C347" s="29">
        <v>2994.0189999999998</v>
      </c>
      <c r="D347" s="29">
        <v>12</v>
      </c>
      <c r="E347" s="32" t="s">
        <v>38</v>
      </c>
      <c r="F347" s="28"/>
      <c r="G347" s="4"/>
    </row>
    <row r="348" spans="1:9" x14ac:dyDescent="0.25">
      <c r="A348" s="30">
        <v>40838</v>
      </c>
      <c r="B348" s="29" t="s">
        <v>6</v>
      </c>
      <c r="C348" s="29">
        <v>2994.0189999999998</v>
      </c>
      <c r="D348" s="29">
        <v>15</v>
      </c>
      <c r="E348" s="32" t="s">
        <v>39</v>
      </c>
      <c r="F348" s="28"/>
      <c r="G348" s="4"/>
    </row>
    <row r="349" spans="1:9" x14ac:dyDescent="0.25">
      <c r="A349" s="30">
        <v>40837</v>
      </c>
      <c r="B349" s="29" t="s">
        <v>6</v>
      </c>
      <c r="C349" s="29">
        <v>2994.0189999999998</v>
      </c>
      <c r="D349" s="29">
        <v>16</v>
      </c>
      <c r="E349" s="32" t="s">
        <v>39</v>
      </c>
      <c r="F349" s="28"/>
      <c r="G349" s="4"/>
    </row>
    <row r="350" spans="1:9" x14ac:dyDescent="0.25">
      <c r="A350" s="30">
        <v>40836</v>
      </c>
      <c r="B350" s="29" t="s">
        <v>6</v>
      </c>
      <c r="C350" s="29">
        <v>2994.0189999999998</v>
      </c>
      <c r="D350" s="29">
        <v>15</v>
      </c>
      <c r="E350" s="32" t="s">
        <v>39</v>
      </c>
      <c r="F350" s="28"/>
      <c r="G350" s="4"/>
    </row>
    <row r="351" spans="1:9" x14ac:dyDescent="0.25">
      <c r="A351" s="30">
        <v>40835</v>
      </c>
      <c r="B351" s="29" t="s">
        <v>6</v>
      </c>
      <c r="C351" s="29">
        <v>2994.0189999999998</v>
      </c>
      <c r="D351" s="29">
        <v>16</v>
      </c>
      <c r="E351" s="32" t="s">
        <v>39</v>
      </c>
      <c r="F351" s="28"/>
      <c r="G351" s="4"/>
    </row>
    <row r="352" spans="1:9" x14ac:dyDescent="0.25">
      <c r="A352" s="30">
        <v>40834</v>
      </c>
      <c r="B352" s="29" t="s">
        <v>6</v>
      </c>
      <c r="C352" s="29">
        <v>2994.0189999999998</v>
      </c>
      <c r="D352" s="29">
        <v>16</v>
      </c>
      <c r="E352" s="32" t="s">
        <v>39</v>
      </c>
      <c r="F352" s="28"/>
      <c r="G352" s="4"/>
    </row>
    <row r="353" spans="1:9" x14ac:dyDescent="0.25">
      <c r="A353" s="30">
        <v>40833</v>
      </c>
      <c r="B353" s="29" t="s">
        <v>6</v>
      </c>
      <c r="C353" s="29">
        <v>2994.0189999999998</v>
      </c>
      <c r="D353" s="29">
        <v>16</v>
      </c>
      <c r="E353" s="32" t="s">
        <v>39</v>
      </c>
      <c r="F353" s="28"/>
      <c r="G353" s="4"/>
    </row>
    <row r="354" spans="1:9" x14ac:dyDescent="0.25">
      <c r="A354" s="30">
        <v>40832</v>
      </c>
      <c r="B354" s="29" t="s">
        <v>6</v>
      </c>
      <c r="C354" s="29">
        <v>2994.0189999999998</v>
      </c>
      <c r="D354" s="29">
        <v>15</v>
      </c>
      <c r="E354" s="32" t="s">
        <v>39</v>
      </c>
      <c r="F354" s="28"/>
      <c r="G354" s="4"/>
    </row>
    <row r="355" spans="1:9" x14ac:dyDescent="0.25">
      <c r="A355" s="30">
        <v>40831</v>
      </c>
      <c r="B355" s="29" t="s">
        <v>6</v>
      </c>
      <c r="C355" s="29">
        <v>2994.0189999999998</v>
      </c>
      <c r="D355" s="29">
        <v>13</v>
      </c>
      <c r="E355" s="32" t="s">
        <v>38</v>
      </c>
      <c r="F355" s="28"/>
      <c r="G355" s="4"/>
    </row>
    <row r="356" spans="1:9" x14ac:dyDescent="0.25">
      <c r="A356" s="30">
        <v>40829</v>
      </c>
      <c r="B356" s="29" t="s">
        <v>6</v>
      </c>
      <c r="C356" s="29">
        <v>2994.0189999999998</v>
      </c>
      <c r="D356" s="29">
        <v>6</v>
      </c>
      <c r="E356" s="32" t="s">
        <v>42</v>
      </c>
      <c r="F356" s="28"/>
      <c r="G356" s="4"/>
    </row>
    <row r="357" spans="1:9" x14ac:dyDescent="0.25">
      <c r="A357" s="30">
        <v>40828</v>
      </c>
      <c r="B357" s="29" t="s">
        <v>6</v>
      </c>
      <c r="C357" s="29">
        <v>2994.0189999999998</v>
      </c>
      <c r="D357" s="29">
        <v>8</v>
      </c>
      <c r="E357" s="32" t="s">
        <v>42</v>
      </c>
      <c r="F357" s="28"/>
      <c r="G357" s="4"/>
    </row>
    <row r="358" spans="1:9" x14ac:dyDescent="0.25">
      <c r="A358" s="30">
        <v>40827</v>
      </c>
      <c r="B358" s="29" t="s">
        <v>6</v>
      </c>
      <c r="C358" s="29">
        <v>2994.0189999999998</v>
      </c>
      <c r="D358" s="29">
        <v>7.5</v>
      </c>
      <c r="E358" s="32" t="s">
        <v>42</v>
      </c>
      <c r="F358" s="28"/>
      <c r="G358" s="4"/>
    </row>
    <row r="359" spans="1:9" x14ac:dyDescent="0.25">
      <c r="A359" s="30">
        <v>40825</v>
      </c>
      <c r="B359" s="29" t="s">
        <v>6</v>
      </c>
      <c r="C359" s="29">
        <v>2994.0189999999998</v>
      </c>
      <c r="D359" s="29">
        <v>8</v>
      </c>
      <c r="E359" s="32" t="s">
        <v>43</v>
      </c>
      <c r="F359" s="28"/>
      <c r="G359" s="4"/>
    </row>
    <row r="360" spans="1:9" x14ac:dyDescent="0.25">
      <c r="A360" s="30">
        <v>40823</v>
      </c>
      <c r="B360" s="29" t="s">
        <v>6</v>
      </c>
      <c r="C360" s="29">
        <v>2994.0189999999998</v>
      </c>
      <c r="D360" s="29">
        <v>8.5</v>
      </c>
      <c r="E360" s="32" t="s">
        <v>44</v>
      </c>
      <c r="F360" s="28"/>
      <c r="G360" s="4"/>
    </row>
    <row r="361" spans="1:9" x14ac:dyDescent="0.25">
      <c r="A361" s="30">
        <v>40822</v>
      </c>
      <c r="B361" s="29" t="s">
        <v>6</v>
      </c>
      <c r="C361" s="29">
        <v>2994.0189999999998</v>
      </c>
      <c r="D361" s="29">
        <v>9.5</v>
      </c>
      <c r="E361" s="32" t="s">
        <v>42</v>
      </c>
      <c r="F361" s="28"/>
      <c r="G361" s="4"/>
      <c r="I361" s="10"/>
    </row>
    <row r="362" spans="1:9" x14ac:dyDescent="0.25">
      <c r="A362" s="4"/>
      <c r="B362" s="4"/>
      <c r="C362" s="4"/>
      <c r="D362" s="4"/>
      <c r="E362" s="6"/>
      <c r="F362" s="4"/>
      <c r="G362" s="4"/>
      <c r="I362" s="11"/>
    </row>
    <row r="363" spans="1:9" x14ac:dyDescent="0.25">
      <c r="G363" s="8"/>
      <c r="I363" s="20"/>
    </row>
    <row r="364" spans="1:9" x14ac:dyDescent="0.25">
      <c r="I364" s="11"/>
    </row>
    <row r="365" spans="1:9" x14ac:dyDescent="0.25">
      <c r="I365" s="11"/>
    </row>
    <row r="383" spans="9:9" x14ac:dyDescent="0.25">
      <c r="I383" s="10"/>
    </row>
    <row r="384" spans="9:9" x14ac:dyDescent="0.25">
      <c r="I384" s="11"/>
    </row>
    <row r="385" spans="9:9" x14ac:dyDescent="0.25">
      <c r="I385" s="20"/>
    </row>
    <row r="386" spans="9:9" x14ac:dyDescent="0.25">
      <c r="I386" s="11"/>
    </row>
    <row r="387" spans="9:9" x14ac:dyDescent="0.25">
      <c r="I387" s="11"/>
    </row>
    <row r="399" spans="9:9" x14ac:dyDescent="0.25">
      <c r="I399" s="10"/>
    </row>
    <row r="400" spans="9:9" x14ac:dyDescent="0.25">
      <c r="I400" s="11"/>
    </row>
    <row r="401" spans="9:9" x14ac:dyDescent="0.25">
      <c r="I401" s="20"/>
    </row>
    <row r="402" spans="9:9" x14ac:dyDescent="0.25">
      <c r="I402" s="11"/>
    </row>
    <row r="403" spans="9:9" x14ac:dyDescent="0.25">
      <c r="I403" s="11"/>
    </row>
    <row r="423" spans="9:9" x14ac:dyDescent="0.25">
      <c r="I423" s="10"/>
    </row>
    <row r="424" spans="9:9" x14ac:dyDescent="0.25">
      <c r="I424" s="11"/>
    </row>
    <row r="425" spans="9:9" x14ac:dyDescent="0.25">
      <c r="I425" s="20"/>
    </row>
    <row r="426" spans="9:9" x14ac:dyDescent="0.25">
      <c r="I426" s="11"/>
    </row>
    <row r="427" spans="9:9" x14ac:dyDescent="0.25">
      <c r="I427" s="11"/>
    </row>
    <row r="449" spans="8:11" x14ac:dyDescent="0.25">
      <c r="H449" s="9"/>
      <c r="I449" s="7"/>
    </row>
    <row r="452" spans="8:11" x14ac:dyDescent="0.25">
      <c r="K452"/>
    </row>
  </sheetData>
  <sortState ref="A5:E11">
    <sortCondition descending="1" ref="A5"/>
  </sortState>
  <dataValidations count="2">
    <dataValidation type="list" allowBlank="1" showInputMessage="1" showErrorMessage="1" sqref="B2">
      <formula1>Clients</formula1>
    </dataValidation>
    <dataValidation type="list" allowBlank="1" showInputMessage="1" showErrorMessage="1" sqref="C2">
      <formula1>SelectDetails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NewHours">
                <anchor moveWithCells="1" siz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38100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AddJob">
                <anchor moveWithCells="1" sizeWithCells="1">
                  <from>
                    <xdr:col>7</xdr:col>
                    <xdr:colOff>28575</xdr:colOff>
                    <xdr:row>1</xdr:row>
                    <xdr:rowOff>85725</xdr:rowOff>
                  </from>
                  <to>
                    <xdr:col>8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Clients &amp; Job #'s</vt:lpstr>
      <vt:lpstr>Data Entry</vt:lpstr>
      <vt:lpstr>Clients</vt:lpstr>
    </vt:vector>
  </TitlesOfParts>
  <Company>RN Engineering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</dc:creator>
  <cp:lastModifiedBy>Travis</cp:lastModifiedBy>
  <dcterms:created xsi:type="dcterms:W3CDTF">2012-01-30T20:46:34Z</dcterms:created>
  <dcterms:modified xsi:type="dcterms:W3CDTF">2012-11-16T01:58:21Z</dcterms:modified>
</cp:coreProperties>
</file>