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fileSharing readOnlyRecommended="1"/>
  <workbookPr codeName="ThisWorkbook" autoCompressPictures="0" defaultThemeVersion="124226"/>
  <bookViews>
    <workbookView xWindow="915" yWindow="195" windowWidth="27900" windowHeight="14145" tabRatio="602"/>
  </bookViews>
  <sheets>
    <sheet name="Source" sheetId="29" r:id="rId1"/>
    <sheet name="Title Page" sheetId="3" r:id="rId2"/>
    <sheet name="SD Key Page 1" sheetId="77" r:id="rId3"/>
    <sheet name="SD Key Page 2" sheetId="445" r:id="rId4"/>
    <sheet name="SD Key Page 3" sheetId="446" r:id="rId5"/>
    <sheet name="SD Key Page 4" sheetId="447" r:id="rId6"/>
    <sheet name="SD Key Page 5" sheetId="448" r:id="rId7"/>
    <sheet name="SD Key Page 6" sheetId="449" r:id="rId8"/>
  </sheets>
  <definedNames>
    <definedName name="_xlnm._FilterDatabase" localSheetId="0" hidden="1">Source!$A$1:$BM$9</definedName>
    <definedName name="_xlnm.Print_Area" localSheetId="2">'SD Key Page 1'!$A$1:$CM$69</definedName>
    <definedName name="_xlnm.Print_Area" localSheetId="3">'SD Key Page 2'!$A$1:$CM$69</definedName>
    <definedName name="_xlnm.Print_Area" localSheetId="4">'SD Key Page 3'!$A$1:$CM$69</definedName>
    <definedName name="_xlnm.Print_Area" localSheetId="5">'SD Key Page 4'!$A$1:$CM$69</definedName>
    <definedName name="_xlnm.Print_Area" localSheetId="6">'SD Key Page 5'!$A$1:$CM$69</definedName>
    <definedName name="_xlnm.Print_Area" localSheetId="7">'SD Key Page 6'!$A$1:$CM$69</definedName>
    <definedName name="_xlnm.Print_Area" localSheetId="0">Source!$A$1:$CH$9</definedName>
    <definedName name="_xlnm.Print_Area" localSheetId="1">'Title Page'!$A$1:$V$26</definedName>
  </definedNames>
  <calcPr calcId="144525"/>
</workbook>
</file>

<file path=xl/calcChain.xml><?xml version="1.0" encoding="utf-8"?>
<calcChain xmlns="http://schemas.openxmlformats.org/spreadsheetml/2006/main">
  <c r="A61" i="29" l="1"/>
  <c r="A62" i="29"/>
  <c r="K69" i="449" l="1"/>
  <c r="J69" i="449"/>
  <c r="I69" i="449"/>
  <c r="H69" i="449"/>
  <c r="E69" i="449"/>
  <c r="A69" i="449"/>
  <c r="CL68" i="449"/>
  <c r="BY68" i="449"/>
  <c r="BV68" i="449"/>
  <c r="BF68" i="449"/>
  <c r="K68" i="449"/>
  <c r="J68" i="449"/>
  <c r="I68" i="449"/>
  <c r="H68" i="449"/>
  <c r="E68" i="449"/>
  <c r="A68" i="449"/>
  <c r="K67" i="449"/>
  <c r="J67" i="449"/>
  <c r="I67" i="449"/>
  <c r="H67" i="449"/>
  <c r="E67" i="449"/>
  <c r="A67" i="449"/>
  <c r="K66" i="449"/>
  <c r="J66" i="449"/>
  <c r="I66" i="449"/>
  <c r="H66" i="449"/>
  <c r="E66" i="449"/>
  <c r="A66" i="449"/>
  <c r="K65" i="449"/>
  <c r="J65" i="449"/>
  <c r="I65" i="449"/>
  <c r="H65" i="449"/>
  <c r="E65" i="449"/>
  <c r="A65" i="449"/>
  <c r="BV64" i="449"/>
  <c r="K64" i="449"/>
  <c r="J64" i="449"/>
  <c r="I64" i="449"/>
  <c r="H64" i="449"/>
  <c r="E64" i="449"/>
  <c r="A64" i="449"/>
  <c r="K63" i="449"/>
  <c r="J63" i="449"/>
  <c r="I63" i="449"/>
  <c r="H63" i="449"/>
  <c r="E63" i="449"/>
  <c r="A63" i="449"/>
  <c r="K62" i="449"/>
  <c r="J62" i="449"/>
  <c r="I62" i="449"/>
  <c r="H62" i="449"/>
  <c r="E62" i="449"/>
  <c r="A62" i="449"/>
  <c r="K69" i="448"/>
  <c r="J69" i="448"/>
  <c r="I69" i="448"/>
  <c r="H69" i="448"/>
  <c r="E69" i="448"/>
  <c r="A69" i="448"/>
  <c r="CL68" i="448"/>
  <c r="BY68" i="448"/>
  <c r="BV68" i="448"/>
  <c r="BF68" i="448"/>
  <c r="K68" i="448"/>
  <c r="J68" i="448"/>
  <c r="I68" i="448"/>
  <c r="H68" i="448"/>
  <c r="E68" i="448"/>
  <c r="A68" i="448"/>
  <c r="K67" i="448"/>
  <c r="J67" i="448"/>
  <c r="I67" i="448"/>
  <c r="H67" i="448"/>
  <c r="E67" i="448"/>
  <c r="A67" i="448"/>
  <c r="K66" i="448"/>
  <c r="J66" i="448"/>
  <c r="I66" i="448"/>
  <c r="H66" i="448"/>
  <c r="E66" i="448"/>
  <c r="A66" i="448"/>
  <c r="K65" i="448"/>
  <c r="J65" i="448"/>
  <c r="I65" i="448"/>
  <c r="H65" i="448"/>
  <c r="E65" i="448"/>
  <c r="A65" i="448"/>
  <c r="BV64" i="448"/>
  <c r="K64" i="448"/>
  <c r="J64" i="448"/>
  <c r="I64" i="448"/>
  <c r="H64" i="448"/>
  <c r="E64" i="448"/>
  <c r="A64" i="448"/>
  <c r="K63" i="448"/>
  <c r="J63" i="448"/>
  <c r="I63" i="448"/>
  <c r="H63" i="448"/>
  <c r="E63" i="448"/>
  <c r="A63" i="448"/>
  <c r="K62" i="448"/>
  <c r="J62" i="448"/>
  <c r="I62" i="448"/>
  <c r="H62" i="448"/>
  <c r="E62" i="448"/>
  <c r="A62" i="448"/>
  <c r="K69" i="447"/>
  <c r="J69" i="447"/>
  <c r="I69" i="447"/>
  <c r="H69" i="447"/>
  <c r="E69" i="447"/>
  <c r="A69" i="447"/>
  <c r="CL68" i="447"/>
  <c r="BV68" i="447"/>
  <c r="BF68" i="447"/>
  <c r="BY68" i="447" s="1"/>
  <c r="K68" i="447"/>
  <c r="J68" i="447"/>
  <c r="I68" i="447"/>
  <c r="H68" i="447"/>
  <c r="E68" i="447"/>
  <c r="A68" i="447"/>
  <c r="K67" i="447"/>
  <c r="J67" i="447"/>
  <c r="I67" i="447"/>
  <c r="H67" i="447"/>
  <c r="E67" i="447"/>
  <c r="A67" i="447"/>
  <c r="K66" i="447"/>
  <c r="J66" i="447"/>
  <c r="I66" i="447"/>
  <c r="H66" i="447"/>
  <c r="E66" i="447"/>
  <c r="A66" i="447"/>
  <c r="K65" i="447"/>
  <c r="J65" i="447"/>
  <c r="I65" i="447"/>
  <c r="H65" i="447"/>
  <c r="E65" i="447"/>
  <c r="A65" i="447"/>
  <c r="BV64" i="447"/>
  <c r="K64" i="447"/>
  <c r="J64" i="447"/>
  <c r="I64" i="447"/>
  <c r="H64" i="447"/>
  <c r="E64" i="447"/>
  <c r="A64" i="447"/>
  <c r="K63" i="447"/>
  <c r="J63" i="447"/>
  <c r="I63" i="447"/>
  <c r="H63" i="447"/>
  <c r="E63" i="447"/>
  <c r="A63" i="447"/>
  <c r="K62" i="447"/>
  <c r="J62" i="447"/>
  <c r="I62" i="447"/>
  <c r="H62" i="447"/>
  <c r="E62" i="447"/>
  <c r="A62" i="447"/>
  <c r="K69" i="446"/>
  <c r="J69" i="446"/>
  <c r="I69" i="446"/>
  <c r="H69" i="446"/>
  <c r="E69" i="446"/>
  <c r="A69" i="446"/>
  <c r="CL68" i="446"/>
  <c r="BV68" i="446"/>
  <c r="BF68" i="446"/>
  <c r="BY68" i="446" s="1"/>
  <c r="K68" i="446"/>
  <c r="J68" i="446"/>
  <c r="I68" i="446"/>
  <c r="H68" i="446"/>
  <c r="E68" i="446"/>
  <c r="A68" i="446"/>
  <c r="K67" i="446"/>
  <c r="J67" i="446"/>
  <c r="I67" i="446"/>
  <c r="H67" i="446"/>
  <c r="E67" i="446"/>
  <c r="A67" i="446"/>
  <c r="K66" i="446"/>
  <c r="J66" i="446"/>
  <c r="I66" i="446"/>
  <c r="H66" i="446"/>
  <c r="E66" i="446"/>
  <c r="A66" i="446"/>
  <c r="K65" i="446"/>
  <c r="J65" i="446"/>
  <c r="I65" i="446"/>
  <c r="H65" i="446"/>
  <c r="E65" i="446"/>
  <c r="A65" i="446"/>
  <c r="BV64" i="446"/>
  <c r="K64" i="446"/>
  <c r="J64" i="446"/>
  <c r="I64" i="446"/>
  <c r="H64" i="446"/>
  <c r="E64" i="446"/>
  <c r="A64" i="446"/>
  <c r="K63" i="446"/>
  <c r="J63" i="446"/>
  <c r="I63" i="446"/>
  <c r="H63" i="446"/>
  <c r="E63" i="446"/>
  <c r="A63" i="446"/>
  <c r="K62" i="446"/>
  <c r="J62" i="446"/>
  <c r="I62" i="446"/>
  <c r="H62" i="446"/>
  <c r="E62" i="446"/>
  <c r="A62" i="446"/>
  <c r="K69" i="445"/>
  <c r="J69" i="445"/>
  <c r="I69" i="445"/>
  <c r="H69" i="445"/>
  <c r="E69" i="445"/>
  <c r="A69" i="445"/>
  <c r="CL68" i="445"/>
  <c r="BV68" i="445"/>
  <c r="BF68" i="445"/>
  <c r="BY68" i="445" s="1"/>
  <c r="K68" i="445"/>
  <c r="J68" i="445"/>
  <c r="I68" i="445"/>
  <c r="H68" i="445"/>
  <c r="E68" i="445"/>
  <c r="A68" i="445"/>
  <c r="K67" i="445"/>
  <c r="J67" i="445"/>
  <c r="I67" i="445"/>
  <c r="H67" i="445"/>
  <c r="E67" i="445"/>
  <c r="A67" i="445"/>
  <c r="K66" i="445"/>
  <c r="J66" i="445"/>
  <c r="I66" i="445"/>
  <c r="H66" i="445"/>
  <c r="E66" i="445"/>
  <c r="A66" i="445"/>
  <c r="K65" i="445"/>
  <c r="J65" i="445"/>
  <c r="I65" i="445"/>
  <c r="H65" i="445"/>
  <c r="E65" i="445"/>
  <c r="A65" i="445"/>
  <c r="BV64" i="445"/>
  <c r="K64" i="445"/>
  <c r="J64" i="445"/>
  <c r="I64" i="445"/>
  <c r="H64" i="445"/>
  <c r="E64" i="445"/>
  <c r="A64" i="445"/>
  <c r="K63" i="445"/>
  <c r="J63" i="445"/>
  <c r="I63" i="445"/>
  <c r="H63" i="445"/>
  <c r="E63" i="445"/>
  <c r="A63" i="445"/>
  <c r="K62" i="445"/>
  <c r="J62" i="445"/>
  <c r="I62" i="445"/>
  <c r="H62" i="445"/>
  <c r="E62" i="445"/>
  <c r="A62" i="445"/>
  <c r="A16" i="29" l="1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51" i="29"/>
  <c r="A52" i="29"/>
  <c r="A53" i="29"/>
  <c r="A54" i="29"/>
  <c r="A55" i="29"/>
  <c r="A56" i="29"/>
  <c r="A57" i="29"/>
  <c r="A58" i="29"/>
  <c r="A59" i="29"/>
  <c r="A60" i="29"/>
  <c r="A63" i="29"/>
  <c r="A64" i="29"/>
  <c r="A65" i="29"/>
  <c r="A66" i="29"/>
  <c r="A67" i="29"/>
  <c r="A68" i="29"/>
  <c r="A69" i="29"/>
  <c r="A70" i="29"/>
  <c r="A71" i="29"/>
  <c r="A72" i="29"/>
  <c r="A73" i="29"/>
  <c r="A74" i="29"/>
  <c r="A75" i="29"/>
  <c r="A76" i="29"/>
  <c r="A77" i="29"/>
  <c r="A78" i="29"/>
  <c r="A79" i="29"/>
  <c r="A80" i="29"/>
  <c r="A81" i="29"/>
  <c r="A82" i="29"/>
  <c r="A83" i="29"/>
  <c r="A84" i="29"/>
  <c r="A85" i="29"/>
  <c r="A86" i="29"/>
  <c r="A87" i="29"/>
  <c r="A88" i="29"/>
  <c r="A89" i="29"/>
  <c r="A90" i="29"/>
  <c r="A91" i="29"/>
  <c r="A92" i="29"/>
  <c r="A93" i="29"/>
  <c r="A94" i="29"/>
  <c r="A95" i="29"/>
  <c r="A96" i="29"/>
  <c r="A97" i="29"/>
  <c r="A98" i="29"/>
  <c r="A99" i="29"/>
  <c r="A100" i="29"/>
  <c r="A101" i="29"/>
  <c r="A102" i="29"/>
  <c r="A103" i="29"/>
  <c r="A104" i="29"/>
  <c r="A105" i="29"/>
  <c r="A106" i="29"/>
  <c r="A107" i="29"/>
  <c r="A108" i="29"/>
  <c r="A109" i="29"/>
  <c r="A110" i="29"/>
  <c r="A111" i="29"/>
  <c r="A112" i="29"/>
  <c r="A113" i="29"/>
  <c r="A114" i="29"/>
  <c r="A115" i="29"/>
  <c r="A116" i="29"/>
  <c r="A117" i="29"/>
  <c r="A118" i="29"/>
  <c r="A119" i="29"/>
  <c r="A120" i="29"/>
  <c r="A121" i="29"/>
  <c r="A122" i="29"/>
  <c r="A123" i="29"/>
  <c r="A124" i="29"/>
  <c r="A125" i="29"/>
  <c r="A126" i="29"/>
  <c r="A127" i="29"/>
  <c r="A128" i="29"/>
  <c r="A129" i="29"/>
  <c r="A130" i="29"/>
  <c r="A131" i="29"/>
  <c r="A132" i="29"/>
  <c r="A133" i="29"/>
  <c r="A134" i="29"/>
  <c r="A135" i="29"/>
  <c r="A136" i="29"/>
  <c r="A137" i="29"/>
  <c r="A138" i="29"/>
  <c r="A139" i="29"/>
  <c r="A140" i="29"/>
  <c r="A141" i="29"/>
  <c r="A142" i="29"/>
  <c r="A143" i="29"/>
  <c r="A144" i="29"/>
  <c r="A145" i="29"/>
  <c r="A146" i="29"/>
  <c r="A147" i="29"/>
  <c r="A148" i="29"/>
  <c r="A149" i="29"/>
  <c r="A150" i="29"/>
  <c r="A151" i="29"/>
  <c r="A152" i="29"/>
  <c r="A153" i="29"/>
  <c r="A154" i="29"/>
  <c r="A155" i="29"/>
  <c r="A156" i="29"/>
  <c r="A157" i="29"/>
  <c r="A158" i="29"/>
  <c r="A159" i="29"/>
  <c r="A160" i="29"/>
  <c r="A161" i="29"/>
  <c r="A162" i="29"/>
  <c r="A163" i="29"/>
  <c r="A164" i="29"/>
  <c r="A165" i="29"/>
  <c r="A166" i="29"/>
  <c r="A167" i="29"/>
  <c r="A168" i="29"/>
  <c r="A169" i="29"/>
  <c r="A170" i="29"/>
  <c r="A171" i="29"/>
  <c r="A172" i="29"/>
  <c r="A173" i="29"/>
  <c r="A174" i="29"/>
  <c r="A175" i="29"/>
  <c r="A176" i="29"/>
  <c r="A177" i="29"/>
  <c r="A178" i="29"/>
  <c r="A179" i="29"/>
  <c r="A180" i="29"/>
  <c r="A181" i="29"/>
  <c r="A182" i="29"/>
  <c r="A183" i="29"/>
  <c r="A184" i="29"/>
  <c r="A185" i="29"/>
  <c r="A186" i="29"/>
  <c r="A187" i="29"/>
  <c r="A188" i="29"/>
  <c r="A189" i="29"/>
  <c r="A190" i="29"/>
  <c r="A191" i="29"/>
  <c r="A192" i="29"/>
  <c r="A193" i="29"/>
  <c r="A194" i="29"/>
  <c r="A195" i="29"/>
  <c r="A196" i="29"/>
  <c r="A197" i="29"/>
  <c r="A198" i="29"/>
  <c r="A199" i="29"/>
  <c r="A200" i="29"/>
  <c r="A201" i="29"/>
  <c r="A202" i="29"/>
  <c r="A203" i="29"/>
  <c r="A204" i="29"/>
  <c r="A205" i="29"/>
  <c r="A206" i="29"/>
  <c r="A207" i="29"/>
  <c r="A208" i="29"/>
  <c r="A209" i="29"/>
  <c r="A210" i="29"/>
  <c r="A211" i="29"/>
  <c r="A212" i="29"/>
  <c r="A213" i="29"/>
  <c r="A214" i="29"/>
  <c r="A215" i="29"/>
  <c r="A216" i="29"/>
  <c r="A217" i="29"/>
  <c r="A218" i="29"/>
  <c r="A219" i="29"/>
  <c r="A220" i="29"/>
  <c r="A221" i="29"/>
  <c r="A222" i="29"/>
  <c r="A223" i="29"/>
  <c r="A224" i="29"/>
  <c r="A225" i="29"/>
  <c r="A226" i="29"/>
  <c r="A227" i="29"/>
  <c r="A228" i="29"/>
  <c r="A229" i="29"/>
  <c r="A230" i="29"/>
  <c r="A231" i="29"/>
  <c r="A232" i="29"/>
  <c r="A233" i="29"/>
  <c r="A234" i="29"/>
  <c r="A235" i="29"/>
  <c r="A236" i="29"/>
  <c r="A237" i="29"/>
  <c r="A238" i="29"/>
  <c r="A239" i="29"/>
  <c r="A240" i="29"/>
  <c r="A241" i="29"/>
  <c r="A242" i="29"/>
  <c r="A243" i="29"/>
  <c r="A244" i="29"/>
  <c r="A245" i="29"/>
  <c r="A246" i="29"/>
  <c r="A247" i="29"/>
  <c r="A248" i="29"/>
  <c r="A249" i="29"/>
  <c r="A250" i="29"/>
  <c r="A251" i="29"/>
  <c r="A252" i="29"/>
  <c r="A253" i="29"/>
  <c r="A254" i="29"/>
  <c r="A255" i="29"/>
  <c r="A256" i="29"/>
  <c r="A257" i="29"/>
  <c r="A258" i="29"/>
  <c r="A259" i="29"/>
  <c r="A260" i="29"/>
  <c r="A261" i="29"/>
  <c r="A262" i="29"/>
  <c r="A263" i="29"/>
  <c r="A264" i="29"/>
  <c r="A265" i="29"/>
  <c r="A266" i="29"/>
  <c r="A267" i="29"/>
  <c r="A268" i="29"/>
  <c r="A269" i="29"/>
  <c r="A270" i="29"/>
  <c r="A271" i="29"/>
  <c r="A272" i="29"/>
  <c r="A273" i="29"/>
  <c r="A274" i="29"/>
  <c r="A275" i="29"/>
  <c r="A276" i="29"/>
  <c r="A277" i="29"/>
  <c r="A278" i="29"/>
  <c r="A279" i="29"/>
  <c r="A280" i="29"/>
  <c r="A281" i="29"/>
  <c r="A282" i="29"/>
  <c r="A283" i="29"/>
  <c r="A284" i="29"/>
  <c r="A285" i="29"/>
  <c r="A286" i="29"/>
  <c r="A287" i="29"/>
  <c r="A288" i="29"/>
  <c r="A289" i="29"/>
  <c r="A290" i="29"/>
  <c r="A291" i="29"/>
  <c r="A292" i="29"/>
  <c r="A293" i="29"/>
  <c r="N1" i="29" l="1"/>
  <c r="O1" i="29"/>
  <c r="P1" i="29"/>
  <c r="Q1" i="29"/>
  <c r="R1" i="29"/>
  <c r="S1" i="29"/>
  <c r="T1" i="29"/>
  <c r="U1" i="29"/>
  <c r="V1" i="29"/>
  <c r="W1" i="29"/>
  <c r="X1" i="29"/>
  <c r="Y1" i="29"/>
  <c r="Z1" i="29"/>
  <c r="AA1" i="29"/>
  <c r="AB1" i="29"/>
  <c r="AC1" i="29"/>
  <c r="AD1" i="29"/>
  <c r="AE1" i="29"/>
  <c r="AF1" i="29"/>
  <c r="AG1" i="29"/>
  <c r="AH1" i="29"/>
  <c r="AI1" i="29"/>
  <c r="AJ1" i="29"/>
  <c r="AK1" i="29"/>
  <c r="AL1" i="29"/>
  <c r="AM1" i="29"/>
  <c r="AN1" i="29"/>
  <c r="AO1" i="29"/>
  <c r="AP1" i="29"/>
  <c r="AQ1" i="29"/>
  <c r="AR1" i="29"/>
  <c r="AS1" i="29"/>
  <c r="AT1" i="29"/>
  <c r="AU1" i="29"/>
  <c r="AV1" i="29"/>
  <c r="AW1" i="29"/>
  <c r="AX1" i="29"/>
  <c r="AY1" i="29"/>
  <c r="AZ1" i="29"/>
  <c r="BA1" i="29"/>
  <c r="BB1" i="29"/>
  <c r="BC1" i="29"/>
  <c r="BD1" i="29"/>
  <c r="BE1" i="29"/>
  <c r="BF1" i="29"/>
  <c r="BG1" i="29"/>
  <c r="BH1" i="29"/>
  <c r="BI1" i="29"/>
  <c r="BJ1" i="29"/>
  <c r="BK1" i="29"/>
  <c r="BL1" i="29"/>
  <c r="BM1" i="29"/>
  <c r="BN1" i="29"/>
  <c r="BO1" i="29"/>
  <c r="BP1" i="29"/>
  <c r="BQ1" i="29"/>
  <c r="BR1" i="29"/>
  <c r="BS1" i="29"/>
  <c r="BT1" i="29"/>
  <c r="BU1" i="29"/>
  <c r="BV1" i="29"/>
  <c r="BW1" i="29"/>
  <c r="BX1" i="29"/>
  <c r="BY1" i="29"/>
  <c r="BZ1" i="29"/>
  <c r="CA1" i="29"/>
  <c r="CB1" i="29"/>
  <c r="CC1" i="29"/>
  <c r="CD1" i="29"/>
  <c r="CE1" i="29"/>
  <c r="CF1" i="29"/>
  <c r="CG1" i="29"/>
  <c r="CH1" i="29"/>
  <c r="CI1" i="29"/>
  <c r="CJ1" i="29"/>
  <c r="CK1" i="29"/>
  <c r="CL1" i="29"/>
  <c r="CM1" i="29"/>
  <c r="A12" i="29"/>
  <c r="A13" i="29"/>
  <c r="A14" i="29"/>
  <c r="A15" i="29"/>
  <c r="BY68" i="77" l="1"/>
  <c r="A11" i="29" l="1"/>
  <c r="A10" i="29"/>
  <c r="M1" i="29"/>
  <c r="L1" i="29"/>
  <c r="K69" i="77" l="1"/>
  <c r="J69" i="77"/>
  <c r="I69" i="77"/>
  <c r="H69" i="77"/>
  <c r="E69" i="77"/>
  <c r="A69" i="77"/>
  <c r="CL68" i="77"/>
  <c r="BV68" i="77"/>
  <c r="BF68" i="77"/>
  <c r="K68" i="77"/>
  <c r="J68" i="77"/>
  <c r="I68" i="77"/>
  <c r="H68" i="77"/>
  <c r="E68" i="77"/>
  <c r="A68" i="77"/>
  <c r="K67" i="77"/>
  <c r="J67" i="77"/>
  <c r="I67" i="77"/>
  <c r="H67" i="77"/>
  <c r="E67" i="77"/>
  <c r="A67" i="77"/>
  <c r="K66" i="77"/>
  <c r="J66" i="77"/>
  <c r="I66" i="77"/>
  <c r="H66" i="77"/>
  <c r="E66" i="77"/>
  <c r="A66" i="77"/>
  <c r="K65" i="77"/>
  <c r="J65" i="77"/>
  <c r="I65" i="77"/>
  <c r="H65" i="77"/>
  <c r="E65" i="77"/>
  <c r="A65" i="77"/>
  <c r="BV64" i="77"/>
  <c r="K64" i="77"/>
  <c r="J64" i="77"/>
  <c r="I64" i="77"/>
  <c r="H64" i="77"/>
  <c r="E64" i="77"/>
  <c r="A64" i="77"/>
  <c r="K63" i="77"/>
  <c r="J63" i="77"/>
  <c r="I63" i="77"/>
  <c r="H63" i="77"/>
  <c r="E63" i="77"/>
  <c r="A63" i="77"/>
  <c r="K62" i="77"/>
  <c r="J62" i="77"/>
  <c r="I62" i="77"/>
  <c r="H62" i="77"/>
  <c r="E62" i="77"/>
  <c r="A62" i="77"/>
  <c r="AB40" i="3" l="1"/>
  <c r="AB39" i="3"/>
  <c r="AB37" i="3"/>
  <c r="AB34" i="3"/>
  <c r="AB33" i="3"/>
  <c r="AB32" i="3"/>
  <c r="AB30" i="3"/>
  <c r="AB29" i="3"/>
  <c r="AB28" i="3"/>
  <c r="AB26" i="3"/>
  <c r="AB25" i="3"/>
  <c r="AB24" i="3"/>
  <c r="AB22" i="3"/>
  <c r="AB21" i="3"/>
  <c r="AB41" i="3"/>
  <c r="X41" i="3"/>
  <c r="Z41" i="3"/>
  <c r="X42" i="3"/>
  <c r="Z42" i="3"/>
  <c r="X43" i="3"/>
  <c r="Z43" i="3"/>
  <c r="X44" i="3"/>
  <c r="Z44" i="3"/>
  <c r="X45" i="3"/>
  <c r="Z45" i="3"/>
  <c r="X46" i="3"/>
  <c r="Z46" i="3"/>
  <c r="AB46" i="3"/>
  <c r="X47" i="3"/>
  <c r="Z47" i="3"/>
  <c r="X48" i="3"/>
  <c r="Z48" i="3"/>
  <c r="X49" i="3"/>
  <c r="Z49" i="3"/>
  <c r="X50" i="3"/>
  <c r="Z50" i="3"/>
  <c r="AB50" i="3"/>
  <c r="AB48" i="3"/>
  <c r="AB44" i="3"/>
  <c r="AB49" i="3"/>
  <c r="AB47" i="3"/>
  <c r="AB45" i="3"/>
  <c r="AB43" i="3"/>
  <c r="X22" i="3"/>
  <c r="Z22" i="3"/>
  <c r="X23" i="3"/>
  <c r="Z23" i="3"/>
  <c r="X24" i="3"/>
  <c r="Z24" i="3"/>
  <c r="X25" i="3"/>
  <c r="Z25" i="3"/>
  <c r="X26" i="3"/>
  <c r="Z26" i="3"/>
  <c r="X27" i="3"/>
  <c r="Z27" i="3"/>
  <c r="X28" i="3"/>
  <c r="Z28" i="3"/>
  <c r="X29" i="3"/>
  <c r="Z29" i="3"/>
  <c r="X30" i="3"/>
  <c r="Z30" i="3"/>
  <c r="X31" i="3"/>
  <c r="X32" i="3"/>
  <c r="X33" i="3"/>
  <c r="X34" i="3"/>
  <c r="X35" i="3"/>
  <c r="X36" i="3"/>
  <c r="X37" i="3"/>
  <c r="X38" i="3"/>
  <c r="X39" i="3"/>
  <c r="X40" i="3"/>
  <c r="Z40" i="3"/>
  <c r="Z39" i="3"/>
  <c r="Z38" i="3"/>
  <c r="Z37" i="3"/>
  <c r="Z36" i="3"/>
  <c r="Z35" i="3"/>
  <c r="Z34" i="3"/>
  <c r="Z33" i="3"/>
  <c r="Z32" i="3"/>
  <c r="Z31" i="3"/>
  <c r="AB42" i="3" l="1"/>
  <c r="AB23" i="3"/>
  <c r="AB27" i="3"/>
  <c r="AB31" i="3"/>
  <c r="AB35" i="3"/>
  <c r="AB36" i="3"/>
  <c r="AB38" i="3"/>
</calcChain>
</file>

<file path=xl/comments1.xml><?xml version="1.0" encoding="utf-8"?>
<comments xmlns="http://schemas.openxmlformats.org/spreadsheetml/2006/main">
  <authors>
    <author>Travis J Gall</author>
  </authors>
  <commentList>
    <comment ref="I196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Alarm?
</t>
        </r>
      </text>
    </comment>
    <comment ref="I198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Alarm?</t>
        </r>
      </text>
    </comment>
  </commentList>
</comments>
</file>

<file path=xl/sharedStrings.xml><?xml version="1.0" encoding="utf-8"?>
<sst xmlns="http://schemas.openxmlformats.org/spreadsheetml/2006/main" count="6618" uniqueCount="1219">
  <si>
    <t>COLUMN</t>
  </si>
  <si>
    <t>P&amp;ID</t>
  </si>
  <si>
    <t>FAILURE</t>
  </si>
  <si>
    <t>ROW</t>
  </si>
  <si>
    <t>RESET</t>
  </si>
  <si>
    <t>NOTE</t>
  </si>
  <si>
    <t>BY</t>
  </si>
  <si>
    <t>DATE</t>
  </si>
  <si>
    <t>SCALE</t>
  </si>
  <si>
    <t>DRAWING NUMBER</t>
  </si>
  <si>
    <t>REV.</t>
  </si>
  <si>
    <t>DESCRIPTION</t>
  </si>
  <si>
    <t>PCS TAG</t>
  </si>
  <si>
    <t>REV</t>
  </si>
  <si>
    <t>EQUIPMT TAG</t>
  </si>
  <si>
    <t>APP</t>
  </si>
  <si>
    <t>REVISION ISSUED FOR</t>
  </si>
  <si>
    <t>CLIENT:</t>
  </si>
  <si>
    <t>SHUTDOWN KEY</t>
  </si>
  <si>
    <t>REV #</t>
  </si>
  <si>
    <t>CHK BY</t>
  </si>
  <si>
    <t>PROJ ENG</t>
  </si>
  <si>
    <t>SETPOINT</t>
  </si>
  <si>
    <t>IO DETAIL</t>
  </si>
  <si>
    <t>CAUSE</t>
  </si>
  <si>
    <t>EFFECT</t>
  </si>
  <si>
    <t xml:space="preserve">PROJECT NUMBER: </t>
  </si>
  <si>
    <t>Sheet #</t>
  </si>
  <si>
    <t>Project #</t>
  </si>
  <si>
    <t>Scale</t>
  </si>
  <si>
    <t>Dwg #</t>
  </si>
  <si>
    <t>Current Rev</t>
  </si>
  <si>
    <t>None</t>
  </si>
  <si>
    <t xml:space="preserve">To edit following pages with </t>
  </si>
  <si>
    <t>macro, go to page and do a Ctrl 'E'</t>
  </si>
  <si>
    <t>P&amp;ID NUMBER</t>
  </si>
  <si>
    <t>ELEC NUMBER</t>
  </si>
  <si>
    <t>EQUIPMENT TAG</t>
  </si>
  <si>
    <t>REVISION</t>
  </si>
  <si>
    <t>Pembina</t>
  </si>
  <si>
    <t>A</t>
  </si>
  <si>
    <t>SCADA</t>
  </si>
  <si>
    <t>HMI</t>
  </si>
  <si>
    <t>INTAKE/EXHAUST FANS</t>
  </si>
  <si>
    <t>FKOD</t>
  </si>
  <si>
    <t>SCADA ALARM/ HOST ALARM</t>
  </si>
  <si>
    <t>UV-070-OP</t>
  </si>
  <si>
    <t>UV-070-CL</t>
  </si>
  <si>
    <t>ESDV-051-OP</t>
  </si>
  <si>
    <t>ESDV-051-CL</t>
  </si>
  <si>
    <t>ESDV-061-OP</t>
  </si>
  <si>
    <t>PY-061</t>
  </si>
  <si>
    <t>UV-211-OP</t>
  </si>
  <si>
    <t>UV-211-CL</t>
  </si>
  <si>
    <t>UV-212-OP</t>
  </si>
  <si>
    <t>UV-212-CL</t>
  </si>
  <si>
    <t>UV-221-OP</t>
  </si>
  <si>
    <t>UV-221-CL</t>
  </si>
  <si>
    <t>UV-222-OP</t>
  </si>
  <si>
    <t>UV-222-CL</t>
  </si>
  <si>
    <t>PLC-ESD</t>
  </si>
  <si>
    <t>PLC-FAIL</t>
  </si>
  <si>
    <t>ALARM</t>
  </si>
  <si>
    <t>Edmonton Control Room Remote ESD</t>
  </si>
  <si>
    <t>L</t>
  </si>
  <si>
    <t>AT-211</t>
  </si>
  <si>
    <t>AT-221</t>
  </si>
  <si>
    <t>PIT-060</t>
  </si>
  <si>
    <t>PIT-061</t>
  </si>
  <si>
    <t>PIT-062</t>
  </si>
  <si>
    <t>ZSO/C-070</t>
  </si>
  <si>
    <t>ZSO/C-051</t>
  </si>
  <si>
    <t>ZSO/C-061</t>
  </si>
  <si>
    <t>ZSO/C-211</t>
  </si>
  <si>
    <t>HS-212</t>
  </si>
  <si>
    <t>ZSO/C-212</t>
  </si>
  <si>
    <t>PIT-211</t>
  </si>
  <si>
    <t>PIT-212</t>
  </si>
  <si>
    <t>TIT-213</t>
  </si>
  <si>
    <t>VT-211</t>
  </si>
  <si>
    <t>VT-212</t>
  </si>
  <si>
    <t>VT-213</t>
  </si>
  <si>
    <t>VT-214</t>
  </si>
  <si>
    <t>HS-213</t>
  </si>
  <si>
    <t>PIT-230</t>
  </si>
  <si>
    <t>LSLL-211</t>
  </si>
  <si>
    <t>PIT-240</t>
  </si>
  <si>
    <t>LSLL-212</t>
  </si>
  <si>
    <t>LSHH-212</t>
  </si>
  <si>
    <t>ZSO/C-221</t>
  </si>
  <si>
    <t>HS-222</t>
  </si>
  <si>
    <t>PIT-221</t>
  </si>
  <si>
    <t>PIT-222</t>
  </si>
  <si>
    <t>VT-221</t>
  </si>
  <si>
    <t>VT-222</t>
  </si>
  <si>
    <t>VT-223</t>
  </si>
  <si>
    <t>VT-224</t>
  </si>
  <si>
    <t>HS-223</t>
  </si>
  <si>
    <t>PIT-250</t>
  </si>
  <si>
    <t>LSLL-221</t>
  </si>
  <si>
    <t>PIT-260</t>
  </si>
  <si>
    <t>LSLL-222</t>
  </si>
  <si>
    <t>LSHH-222</t>
  </si>
  <si>
    <t>FSH-260</t>
  </si>
  <si>
    <t>LIT-750</t>
  </si>
  <si>
    <t>2,3</t>
  </si>
  <si>
    <t>LIT-752</t>
  </si>
  <si>
    <t>PIT-751</t>
  </si>
  <si>
    <t>ZS-054</t>
  </si>
  <si>
    <t>ZS-064</t>
  </si>
  <si>
    <t>FB002_CPR_1</t>
  </si>
  <si>
    <t>FB002_SEL_AUXT</t>
  </si>
  <si>
    <t>FB002_SEL_CF</t>
  </si>
  <si>
    <t>VFD1_ML_ALARM</t>
  </si>
  <si>
    <t>FB003_CPR_1</t>
  </si>
  <si>
    <t>FB003_SEL_AUXT</t>
  </si>
  <si>
    <t>FB003_SEL_CF</t>
  </si>
  <si>
    <t>VFD2_ML_ALARM</t>
  </si>
  <si>
    <t>EN</t>
  </si>
  <si>
    <t>DE</t>
  </si>
  <si>
    <t>SD</t>
  </si>
  <si>
    <t>CL</t>
  </si>
  <si>
    <t>X</t>
  </si>
  <si>
    <t>ST</t>
  </si>
  <si>
    <t>SP</t>
  </si>
  <si>
    <t>ESD Mode 1</t>
  </si>
  <si>
    <t>ESD Mode 2</t>
  </si>
  <si>
    <t>ESD Mode 3</t>
  </si>
  <si>
    <t>ESD Mode 4</t>
  </si>
  <si>
    <t>ESD Mode 5</t>
  </si>
  <si>
    <t>ESD Mode 1 - Site ESD and Shutin</t>
  </si>
  <si>
    <t>ESD Mode 2 - Shutdown rotating equipment</t>
  </si>
  <si>
    <t>ESD Mode 3 - 5kV/480V Equipment Shutdown</t>
  </si>
  <si>
    <t>ESD Mode 4 - Pump 101 Shutdown</t>
  </si>
  <si>
    <t>ESD Mode 5 - Pump 102 Shutdown</t>
  </si>
  <si>
    <t>MCC</t>
  </si>
  <si>
    <t>RACK:2 SLOT:13 I/O:3</t>
  </si>
  <si>
    <t>RACK:2 SLOT:13 I/O:7</t>
  </si>
  <si>
    <t>RACK:2 SLOT:13 I/O:14</t>
  </si>
  <si>
    <t>RACK:2 SLOT:7 I/O:3</t>
  </si>
  <si>
    <t>RACK:2 SLOT:13 I/O:8</t>
  </si>
  <si>
    <t>RACK:2 SLOT:13 I/O:6</t>
  </si>
  <si>
    <t>RACK:2 SLOT:13 I/O:15</t>
  </si>
  <si>
    <t>RACK:3 SLOT:7 I/O:3</t>
  </si>
  <si>
    <t>RACK:3 SLOT:6 I/O:1</t>
  </si>
  <si>
    <t>RACK:3 SLOT:6 I/O:2</t>
  </si>
  <si>
    <t>RACK:3 SLOT:12 I/O:1</t>
  </si>
  <si>
    <t>RACK:3 SLOT:12 I/O:2</t>
  </si>
  <si>
    <t>RACK:2 SLOT:13 I/O:25</t>
  </si>
  <si>
    <t>RACK:2 SLOT:14 I/O:9</t>
  </si>
  <si>
    <t>RACK:2 SLOT:14 I/O:17</t>
  </si>
  <si>
    <t>RACK:2 SLOT:14 I/O:18</t>
  </si>
  <si>
    <t>RACK:2 SLOT:14 I/O:19</t>
  </si>
  <si>
    <t>RACK:2 SLOT:14 I/O:20</t>
  </si>
  <si>
    <t>RACK:2 SLOT:14 I/O:21</t>
  </si>
  <si>
    <t>RACK:2 SLOT:14 I/O:22</t>
  </si>
  <si>
    <t>RACK:2 SLOT:7 I/O:2</t>
  </si>
  <si>
    <t>RACK:2 SLOT:13 I/O:17</t>
  </si>
  <si>
    <t>RACK:2 SLOT:13 I/O:18</t>
  </si>
  <si>
    <t>RACK:2 SLOT:13 I/O:22</t>
  </si>
  <si>
    <t>RACK:2 SLOT:13 I/O:21</t>
  </si>
  <si>
    <t>RACK:2 SLOT:13 I/O:23</t>
  </si>
  <si>
    <t>RACK:2 SLOT:7 I/O:1</t>
  </si>
  <si>
    <t>RACK:2 SLOT:13 I/O:26</t>
  </si>
  <si>
    <t>RACK:2 SLOT:13 I/O:27</t>
  </si>
  <si>
    <t>RACK:2 SLOT:13 I/O:28</t>
  </si>
  <si>
    <t>RACK:2 SLOT:13 I/O:29</t>
  </si>
  <si>
    <t>RACK:2 SLOT:14 I/O:1</t>
  </si>
  <si>
    <t>RACK:2 SLOT:14 I/O:2</t>
  </si>
  <si>
    <t>RACK:2 SLOT:14 I/O:6</t>
  </si>
  <si>
    <t>RACK:2 SLOT:14 I/O:5</t>
  </si>
  <si>
    <t>RACK:2 SLOT:14 I/O:7</t>
  </si>
  <si>
    <t>RACK:3 SLOT:7 I/O:1</t>
  </si>
  <si>
    <t>RACK:2 SLOT:14 I/O:10</t>
  </si>
  <si>
    <t>RACK:2 SLOT:14 I/O:11</t>
  </si>
  <si>
    <t>RACK:2 SLOT:14 I/O:12</t>
  </si>
  <si>
    <t>RACK:2 SLOT:14 I/O:13</t>
  </si>
  <si>
    <t>RACK:2 SLOT:13 I/O:5</t>
  </si>
  <si>
    <t>RACK:2 SLOT:13 I/O:9</t>
  </si>
  <si>
    <t>RACK:2 SLOT:13 I/O:10</t>
  </si>
  <si>
    <t>RACK:2 SLOT:13 I/O:12</t>
  </si>
  <si>
    <t>RACK:2 SLOT:13 I/O:13</t>
  </si>
  <si>
    <t>RACK:2 SLOT:13 I/O:1</t>
  </si>
  <si>
    <t>RACK:2 SLOT:13 I/O:2</t>
  </si>
  <si>
    <t>E-House HVAC Panel Fire Suppression</t>
  </si>
  <si>
    <t>E-House IF-230 Intake Fan SDWN/CTRL</t>
  </si>
  <si>
    <t>E-House IF-230 Intake Fan Speed CTRL</t>
  </si>
  <si>
    <t>E-House IF-231 Intake Fan SDWN/CTRL</t>
  </si>
  <si>
    <t>E-House IF-231 Duct Heater Shutdown/CTRL</t>
  </si>
  <si>
    <t>E-House IF-231 Intake Fan Speed CTRL</t>
  </si>
  <si>
    <t>E-House VFD1 Exhaust Damper</t>
  </si>
  <si>
    <t>E-House VFD1 Recirc. Damper</t>
  </si>
  <si>
    <t>E-House VFD2 Exhaust Damper</t>
  </si>
  <si>
    <t>E-House VFD2 Recirc. Damper</t>
  </si>
  <si>
    <t>Outlet UV-070 Valve Open</t>
  </si>
  <si>
    <t>Outlet UV-070 Valve Close</t>
  </si>
  <si>
    <t>to Main Line Pump Suct. ESDV-051 Valve Open</t>
  </si>
  <si>
    <t>to Main Line Pump Suct. ESDV-051 Valve Close</t>
  </si>
  <si>
    <t>to Main Line Pump Disch. ESDV-061 Valve Open</t>
  </si>
  <si>
    <t>to Main Line Pump Disch. ESDV-061 Valve Close</t>
  </si>
  <si>
    <t>Main Line Pumps Discharge PVC-061 Valve CTRL</t>
  </si>
  <si>
    <t>5KV SWGR1 VFD1 BKR FB-002 Remote Trip</t>
  </si>
  <si>
    <t>5KV SWGR1 VFD1 BKR FB-002 Remote Close</t>
  </si>
  <si>
    <t>5KV MCC 1 VFD1  Remote Start</t>
  </si>
  <si>
    <t>5KV MCC 1 VFD1  Remote Stop</t>
  </si>
  <si>
    <t>5KV MCC 1 VFD1  Remote Reset</t>
  </si>
  <si>
    <t>5KV VFD1 Speed CTRL</t>
  </si>
  <si>
    <t>5KV SWGR1 VFD2 BKR FB-003 Remote Trip</t>
  </si>
  <si>
    <t>5KV SWGR1 VFD2 BKR FB-003 Remote Close</t>
  </si>
  <si>
    <t>5KV MCC 1 VFD2  Remote Start</t>
  </si>
  <si>
    <t>5KV MCC 1 VFD2  Remote Stop</t>
  </si>
  <si>
    <t>5KV VFD2 Speed CTRL</t>
  </si>
  <si>
    <t>FKOD HTR-753 Immersion Heater SDWN/CTRL</t>
  </si>
  <si>
    <t>5KV SWGR 1 Main Breaker MB-0001 Remote Trip</t>
  </si>
  <si>
    <t>5KV SWGR 1 Main Breaker MB-001 Remote Close</t>
  </si>
  <si>
    <t>5KV SWGR1 TR2 BKR FB-001 Remote Trip</t>
  </si>
  <si>
    <t>5KV SWGR1 TR2 BKR FB-001 Remote Close</t>
  </si>
  <si>
    <t>PLC  ESD Status</t>
  </si>
  <si>
    <t>PLC  Fail Status</t>
  </si>
  <si>
    <t>Blue Tree Dial Up Modem</t>
  </si>
  <si>
    <t>HVAC-PNL-FIRE-SUPP</t>
  </si>
  <si>
    <t>XS-230</t>
  </si>
  <si>
    <t>XC-230</t>
  </si>
  <si>
    <t>SY-230</t>
  </si>
  <si>
    <t>XS-231-A</t>
  </si>
  <si>
    <t>XS-231-B</t>
  </si>
  <si>
    <t>XC-231</t>
  </si>
  <si>
    <t>SY-231</t>
  </si>
  <si>
    <t>ZY-251</t>
  </si>
  <si>
    <t>ZY-252</t>
  </si>
  <si>
    <t>ZY-261</t>
  </si>
  <si>
    <t>ZY-262</t>
  </si>
  <si>
    <t>M101-HTR</t>
  </si>
  <si>
    <t>M102-HTR</t>
  </si>
  <si>
    <t>ESDV-061-CL</t>
  </si>
  <si>
    <t>FB002-RT</t>
  </si>
  <si>
    <t>FB002-RC</t>
  </si>
  <si>
    <t>XS-213-ST</t>
  </si>
  <si>
    <t>XS-213-SP</t>
  </si>
  <si>
    <t>XS-213-RST</t>
  </si>
  <si>
    <t>SY-213</t>
  </si>
  <si>
    <t>FB003-RT</t>
  </si>
  <si>
    <t>FB003-RC</t>
  </si>
  <si>
    <t>XS-223-ST</t>
  </si>
  <si>
    <t>XS-223-SP</t>
  </si>
  <si>
    <t>XS-223-RST</t>
  </si>
  <si>
    <t>SY-223</t>
  </si>
  <si>
    <t>XS-753</t>
  </si>
  <si>
    <t>FB001_RT</t>
  </si>
  <si>
    <t>BT-DIALUP-MODEM</t>
  </si>
  <si>
    <t>1,2</t>
  </si>
  <si>
    <t>RACK:2 SLOT:8 I/O:2</t>
  </si>
  <si>
    <t>BU-003 MCP1 Plant  Reset</t>
  </si>
  <si>
    <t>PLANT-RESET</t>
  </si>
  <si>
    <t>RACK:2 SLOT:8 I/O:1</t>
  </si>
  <si>
    <t>BU-003 MCP1 ESD String</t>
  </si>
  <si>
    <t>ESD-STRING</t>
  </si>
  <si>
    <t>RACK:2 SLOT:8 I/O:17</t>
  </si>
  <si>
    <t>Manual ESD E-House Control Panel  Door</t>
  </si>
  <si>
    <t>ESD-215</t>
  </si>
  <si>
    <t>Manual ESD E-House Bldg. Doors</t>
  </si>
  <si>
    <t>RACK:2 SLOT:8 I/O:3</t>
  </si>
  <si>
    <t>BU-003 E-House Control Area Smoke Detector</t>
  </si>
  <si>
    <t>ASH-241</t>
  </si>
  <si>
    <t>BU-003 E-House SWGR Area Smoke Detector</t>
  </si>
  <si>
    <t>10,13</t>
  </si>
  <si>
    <t>BU-003 E-House SWGR Area Heat Detector</t>
  </si>
  <si>
    <t>RACK:2 SLOT:4 I/O:3</t>
  </si>
  <si>
    <t>19.5 mA</t>
  </si>
  <si>
    <t>RACK:3 SLOT:2 I/O:3</t>
  </si>
  <si>
    <t>RACK:2 SLOT:8 I/O:9</t>
  </si>
  <si>
    <t>BU-003 E-House CTRL Room Door Intrusion Switch Alarm</t>
  </si>
  <si>
    <t>ZS-215</t>
  </si>
  <si>
    <t>RACK:2 SLOT:8 I/O:10/11/12</t>
  </si>
  <si>
    <t>ZS-216/217/218</t>
  </si>
  <si>
    <t>DPIT-230</t>
  </si>
  <si>
    <t>RACK:3 SLOT:10 I/O:17</t>
  </si>
  <si>
    <t>US-230</t>
  </si>
  <si>
    <t>RACK:3 SLOT:10 I/O:18</t>
  </si>
  <si>
    <t>YS-230</t>
  </si>
  <si>
    <t>RACK:2 SLOT:11 I/O:11/12</t>
  </si>
  <si>
    <t>DPIT-231</t>
  </si>
  <si>
    <t>RACK:3 SLOT:10 I/O:19</t>
  </si>
  <si>
    <t>US-231</t>
  </si>
  <si>
    <t>RACK:3 SLOT:10 I/O:20</t>
  </si>
  <si>
    <t>YS-231</t>
  </si>
  <si>
    <t>US-231-HTR</t>
  </si>
  <si>
    <t>RACK:3 SLOT:9 I/O:11/12</t>
  </si>
  <si>
    <t>RACK:2 SLOT:11 I/O:13/14</t>
  </si>
  <si>
    <t>RACK:2 SLOT:11 I/O:15/16</t>
  </si>
  <si>
    <t>RACK:3 SLOT:9 I/O:13/14</t>
  </si>
  <si>
    <t>RACK:3 SLOT:9 I/O:15/16</t>
  </si>
  <si>
    <t>RACK:2 SLOT:2 I/O:4</t>
  </si>
  <si>
    <t>RACK:2 SLOT:2 I/O:7</t>
  </si>
  <si>
    <t>RACK:2 SLOT:2 I/O:8</t>
  </si>
  <si>
    <t>RACK:3 SLOT:9 I/O:20/21</t>
  </si>
  <si>
    <t>UV-070 NGL Outlet Valve Position Fault</t>
  </si>
  <si>
    <t>RACK:3 SLOT:9 I/O:23/24</t>
  </si>
  <si>
    <t>RACK:3 SLOT:9 I/O:26/27</t>
  </si>
  <si>
    <t>RACK:2 SLOT:11 I/O:2/3</t>
  </si>
  <si>
    <t>RACK:2 SLOT:11 I/O:4</t>
  </si>
  <si>
    <t>RACK:2 SLOT:11 I/O:5/6</t>
  </si>
  <si>
    <t>RACK:2 SLOT:4 I/O:4</t>
  </si>
  <si>
    <t>RACK:2 SLOT:4 I/O:5</t>
  </si>
  <si>
    <t>RACK:2 SLOT:5 I/O:1</t>
  </si>
  <si>
    <t>RACK:2 SLOT:4 I/O:7</t>
  </si>
  <si>
    <t>RACK:2 SLOT:4 I/O:8</t>
  </si>
  <si>
    <t>RACK:2 SLOT:5 I/O:2</t>
  </si>
  <si>
    <t>RACK:2 SLOT:5 I/O:3</t>
  </si>
  <si>
    <t>RACK:2 SLOT:11 I/O:9</t>
  </si>
  <si>
    <t>RACK:2 SLOT:10 I/O:22</t>
  </si>
  <si>
    <t>RACK:2 SLOT:10 I/O:24</t>
  </si>
  <si>
    <t>YS-213</t>
  </si>
  <si>
    <t>RACK:2 SLOT:4 I/O:6</t>
  </si>
  <si>
    <t>PDIT-210</t>
  </si>
  <si>
    <t>RACK:2 SLOT:5 I/O:4</t>
  </si>
  <si>
    <t>RACK:2 SLOT:11 I/O:17</t>
  </si>
  <si>
    <t>RACK:2 SLOT:11 I/O:18</t>
  </si>
  <si>
    <t xml:space="preserve">LSHH-211 </t>
  </si>
  <si>
    <t>RACK:2 SLOT:5 I/O:5</t>
  </si>
  <si>
    <t>RACK:2 SLOT:11 I/O:19</t>
  </si>
  <si>
    <t>RACK:2 SLOT:11 I/O:20</t>
  </si>
  <si>
    <t>RACK:3 SLOT:9 I/O:2/3</t>
  </si>
  <si>
    <t>RACK:3 SLOT:9 I/O:4</t>
  </si>
  <si>
    <t>RACK:3 SLOT:9 I/O:5/6</t>
  </si>
  <si>
    <t>RACK:3 SLOT:2 I/O:4</t>
  </si>
  <si>
    <t>RACK:3 SLOT:2 I/O:5</t>
  </si>
  <si>
    <t>RACK:3 SLOT:3 I/O:1</t>
  </si>
  <si>
    <t>RACK:3 SLOT:2 I/O:7</t>
  </si>
  <si>
    <t>RACK:3 SLOT:2 I/O:8</t>
  </si>
  <si>
    <t>RACK:3 SLOT:3 I/O:2</t>
  </si>
  <si>
    <t>RACK:3 SLOT:3 I/O:3</t>
  </si>
  <si>
    <t>RACK:3 SLOT:9 I/O:9</t>
  </si>
  <si>
    <t>RACK:3 SLOT:8 I/O:22</t>
  </si>
  <si>
    <t>RACK:3 SLOT:8 I/O:24</t>
  </si>
  <si>
    <t>YS-223</t>
  </si>
  <si>
    <t>RACK:3 SLOT:2 I/O:6</t>
  </si>
  <si>
    <t>PDIT-220</t>
  </si>
  <si>
    <t>RACK:3 SLOT:3 I/O:4</t>
  </si>
  <si>
    <t>RACK:3 SLOT:9 I/O:28</t>
  </si>
  <si>
    <t>V-121 Sealpot Level LOLO Alarm</t>
  </si>
  <si>
    <t>RACK:3 SLOT:9 I/O:29</t>
  </si>
  <si>
    <t>V-121 Sealpot Level HIHI Alarm</t>
  </si>
  <si>
    <t xml:space="preserve">LSHH-221 </t>
  </si>
  <si>
    <t>RACK:3 SLOT:3 I/O:5</t>
  </si>
  <si>
    <t>RACK:3 SLOT:9 I/O:30</t>
  </si>
  <si>
    <t>V-122 Sealpot Level LOLO Alarm</t>
  </si>
  <si>
    <t>RACK:3 SLOT:9 I/O:31</t>
  </si>
  <si>
    <t>V-122 Sealpot Level HIHI Alarm</t>
  </si>
  <si>
    <t>RACK:3 SLOT:9 I/O:32</t>
  </si>
  <si>
    <t>Drain Header to FKOD Flow High Alarm</t>
  </si>
  <si>
    <t>RACK:2 SLOT:3 I/O:1</t>
  </si>
  <si>
    <t>FKOD V-221 Level HIHI Alarm</t>
  </si>
  <si>
    <t>FKOD V-221 Level High Alarm</t>
  </si>
  <si>
    <t>FKOD V-221 Level Low Alarm</t>
  </si>
  <si>
    <t>RACK:2 SLOT:3 I/O:2</t>
  </si>
  <si>
    <t>RACK:2 SLOT:3 I/O:3</t>
  </si>
  <si>
    <t>FKOD V-221 Pressure High Alarm</t>
  </si>
  <si>
    <t>RACK:3 SLOT:9 I/O:17</t>
  </si>
  <si>
    <t>RACK:3 SLOT:9 I/O:18</t>
  </si>
  <si>
    <t>BUILDING TEMPS</t>
  </si>
  <si>
    <t>RACK:2 SLOT:3 I/O:6</t>
  </si>
  <si>
    <t>BU-003 E-House MCP Room Ambient Temp HIHI Alarm</t>
  </si>
  <si>
    <t>TIT-231</t>
  </si>
  <si>
    <t>BU-003 E-House MCP Room Ambient Temp High Alarm</t>
  </si>
  <si>
    <t>BU-003 E-House MCP Room Ambient Temp Low Alarm</t>
  </si>
  <si>
    <t>5°C</t>
  </si>
  <si>
    <t>BU-003 E-House MCP Room Ambient Temp LOLO Alarm</t>
  </si>
  <si>
    <t>0°C</t>
  </si>
  <si>
    <t>RACK:2 SLOT:3 I/O:7</t>
  </si>
  <si>
    <t>BU-003 E-House SWGR Room Ambient Temp HIHI Alarm</t>
  </si>
  <si>
    <t>38°C</t>
  </si>
  <si>
    <t>TIT-232</t>
  </si>
  <si>
    <t>BU-003 E-House SWGR Room Ambient Temp High Alarm</t>
  </si>
  <si>
    <t>BU-003 E-House SWGR Room Ambient Temp Low Alarm</t>
  </si>
  <si>
    <t>BU-003 E-House SWGR Room Ambient Temp LOLO Alarm</t>
  </si>
  <si>
    <t>RACK:3 SLOT:4 I/O:1</t>
  </si>
  <si>
    <t>BU-003 E-House 5KV VFD1 Plenum Air Temp HIHI Alarm</t>
  </si>
  <si>
    <t>TIT-233</t>
  </si>
  <si>
    <t>BU-003 E-House 5KV VFD1 Plenum Air Temp High Alarm</t>
  </si>
  <si>
    <t>BU-003 E-House 5KV VFD1 Plenum Air Temp Low Alarm</t>
  </si>
  <si>
    <t>BU-003 E-House 5KV VFD1 Plenum Air Temp LOLO Alarm</t>
  </si>
  <si>
    <t>RACK:3 SLOT:5 I/O:1</t>
  </si>
  <si>
    <t>BU-003 E-House 5KV VFD2 Plenum Air Temp HIHI Alarm</t>
  </si>
  <si>
    <t>TIT-234</t>
  </si>
  <si>
    <t>BU-003 E-House 5KV VFD2 Plenum Air Temp High Alarm</t>
  </si>
  <si>
    <t>BU-003 E-House 5KV VFD2 Plenum Air Temp Low Alarm</t>
  </si>
  <si>
    <t>BU-003 E-House 5KV VFD2 Plenum Air Temp LOLO Alarm</t>
  </si>
  <si>
    <t>RACK:3 SLOT:10 I/O:1</t>
  </si>
  <si>
    <t>480V MCC3 Main BRK Startco SE325 Ground MALF</t>
  </si>
  <si>
    <t>MB-GND-FLT</t>
  </si>
  <si>
    <t>RACK:3 SLOT:10 I/O:2</t>
  </si>
  <si>
    <t>480V MCC3 Main BRK Startco SE325 NGR Fail</t>
  </si>
  <si>
    <t>MB-NGR-FAIL</t>
  </si>
  <si>
    <t>RACK:3 SLOT:10 I/O:3</t>
  </si>
  <si>
    <t>480V MCC3 Main BRK Multilin PQM Undervolts</t>
  </si>
  <si>
    <t>480V-UVOLTS</t>
  </si>
  <si>
    <t>14,15</t>
  </si>
  <si>
    <t>RACK:3 SLOT:10 I/O:4</t>
  </si>
  <si>
    <t>480V MCC3 Main BRK Multilin PQM Phase Rev</t>
  </si>
  <si>
    <t>480V-PH-REV</t>
  </si>
  <si>
    <t>RACK:3 SLOT:10 I/O:5</t>
  </si>
  <si>
    <t>480V MCC3 Main BRK Multilin PQM Phase Unbal</t>
  </si>
  <si>
    <t>480V-PH-UBAL</t>
  </si>
  <si>
    <t>RACK:3 SLOT:10 I/O:6</t>
  </si>
  <si>
    <t>BC-1-FAIL</t>
  </si>
  <si>
    <t>RACK:3 SLOT:10 I/O:7</t>
  </si>
  <si>
    <t>125VDC BC-1 Battery Charger DC End of Dischg</t>
  </si>
  <si>
    <t>BC-1-EOD</t>
  </si>
  <si>
    <t>RACK:3 SLOT:10 I/O:9</t>
  </si>
  <si>
    <t>BC-2-FAIL</t>
  </si>
  <si>
    <t>RACK:3 SLOT:10 I/O:10</t>
  </si>
  <si>
    <t>24VDC BC-2 Battery Charger DC End of Dischg</t>
  </si>
  <si>
    <t>BC-2-EOD</t>
  </si>
  <si>
    <t>RACK:3 SLOT:10 I/O:11</t>
  </si>
  <si>
    <t>Hayley 120VAC UPS1 Transfer SW Alarm</t>
  </si>
  <si>
    <t>TRAN-SW-ALARM</t>
  </si>
  <si>
    <t>RACK:3 SLOT:10 I/O:12</t>
  </si>
  <si>
    <t>Hayley 120VAC UPS1 Inverter Fail</t>
  </si>
  <si>
    <t>INV1-FAIL</t>
  </si>
  <si>
    <t>RACK:3 SLOT:10 I/O:13</t>
  </si>
  <si>
    <t>Hayley 120VAC UPS1 Sync Fail</t>
  </si>
  <si>
    <t>INV1-SYNC-FAIL</t>
  </si>
  <si>
    <t>RACK:3 SLOT:10 I/O:14</t>
  </si>
  <si>
    <t>Hayley 120VAC UPS1 Service SW Alarm</t>
  </si>
  <si>
    <t>INV1-SERVICE</t>
  </si>
  <si>
    <t>RACK:3 SLOT:10 I/O:15</t>
  </si>
  <si>
    <t>Hayley 120VAC UPS1 Battery Charger Low Volts</t>
  </si>
  <si>
    <t>RACK:3 SLOT:10 I/O:16</t>
  </si>
  <si>
    <t>Hayley 120VAC UPS1 Battery Charger EOD</t>
  </si>
  <si>
    <t>UPS1-BC-EOD</t>
  </si>
  <si>
    <t>RACK:2 SLOT:9 I/O:2</t>
  </si>
  <si>
    <t>5KV Main BRK MB-001 Trip CCT CTRL Power Available</t>
  </si>
  <si>
    <t>MB001_CPR_2</t>
  </si>
  <si>
    <t>RACK:2 SLOT:9 I/O:5</t>
  </si>
  <si>
    <t>MB001_B_TEST</t>
  </si>
  <si>
    <t>RACK:2 SLOT:9 I/O:6</t>
  </si>
  <si>
    <t>MB001_TR</t>
  </si>
  <si>
    <t>RACK:2 SLOT:9 I/O:8</t>
  </si>
  <si>
    <t>5KV Main BRK MB-001 86 Relay Trip</t>
  </si>
  <si>
    <t>MB001_RT</t>
  </si>
  <si>
    <t>RACK:2 SLOT:9 I/O:11</t>
  </si>
  <si>
    <t>5KV Main BRK MB-001 SEL-751A Auxillary Trip</t>
  </si>
  <si>
    <t>MB001_SEL_AUXT</t>
  </si>
  <si>
    <t>RACK:2 SLOT:9 I/O:12</t>
  </si>
  <si>
    <t>5KV Main BRK MB-001 SEL-751A Critical Fail Relay</t>
  </si>
  <si>
    <t>MB001_SEL_CF</t>
  </si>
  <si>
    <t>RACK:2 SLOT:9 I/O:13</t>
  </si>
  <si>
    <t>5KV Main BRK MB-001 Startco SE-330 Critcal Fail Relay</t>
  </si>
  <si>
    <t>MB001_330_CF</t>
  </si>
  <si>
    <t>RACK:2 SLOT:9 I/O:14</t>
  </si>
  <si>
    <t>MB001_330_GF</t>
  </si>
  <si>
    <t>RACK:2 SLOT:9 I/O:15</t>
  </si>
  <si>
    <t>5KV Main BRK MB-001 Startco SE-330 NGR Fail</t>
  </si>
  <si>
    <t>MB001_330_NGR</t>
  </si>
  <si>
    <t>RACK:2 SLOT:9 I/O:17</t>
  </si>
  <si>
    <t>5KV TR2 BKR FB-001 Close CCT CTRL Power Available</t>
  </si>
  <si>
    <t>FB001_CPR_1</t>
  </si>
  <si>
    <t>RACK:2 SLOT:9 I/O:18</t>
  </si>
  <si>
    <t>5KV TR2 BKR FB-001 Trip CCT CTRL Power Available</t>
  </si>
  <si>
    <t>FB001_CPR_2</t>
  </si>
  <si>
    <t>RACK:2 SLOT:9 I/O:19</t>
  </si>
  <si>
    <t>5KV TR2 BKR FB-001 Relay CCT CTRL Power Available</t>
  </si>
  <si>
    <t>FB001_CPR_3</t>
  </si>
  <si>
    <t>RACK:2 SLOT:9 I/O:20</t>
  </si>
  <si>
    <t>5KV TR2 BKR FB-001 Carriage Position Connected</t>
  </si>
  <si>
    <t>FB001_A_CON</t>
  </si>
  <si>
    <t>RACK:2 SLOT:9 I/O:22</t>
  </si>
  <si>
    <t>FB001_TR</t>
  </si>
  <si>
    <t>RACK:2 SLOT:9 I/O:23</t>
  </si>
  <si>
    <t>5KV TR2 BKR FB-001 86 Relay Status</t>
  </si>
  <si>
    <t>FB001_RS</t>
  </si>
  <si>
    <t>RACK:2 SLOT:9 I/O:24</t>
  </si>
  <si>
    <t>5KV TR2 BKR FB-001 86 Relay Trip</t>
  </si>
  <si>
    <t>RACK:2 SLOT:9 I/O:25</t>
  </si>
  <si>
    <t>5KV TR2 BKR FB-001 Local/Remote In Local</t>
  </si>
  <si>
    <t>FB001_LO</t>
  </si>
  <si>
    <t>RACK:2 SLOT:9 I/O:27</t>
  </si>
  <si>
    <t>5KV TR2 BKR FB-001 SEL-751A Auxillary Trip</t>
  </si>
  <si>
    <t>FB001_SEL_AUXT</t>
  </si>
  <si>
    <t>RACK:2 SLOT:9 I/O:28</t>
  </si>
  <si>
    <t>5KV TR2 BKR FB-001 SEL-751A Critical Fail Relay</t>
  </si>
  <si>
    <t>FB001_SEL_CF</t>
  </si>
  <si>
    <t>RACK:2 SLOT:10 I/O:1</t>
  </si>
  <si>
    <t>5KV VFD1 BKR FB-002 Close CCT CTRL Power Available</t>
  </si>
  <si>
    <t>RACK:2 SLOT:10 I/O:2</t>
  </si>
  <si>
    <t>5KV VFD1 BKR FB-002 Trip CCT CTRL Power Available</t>
  </si>
  <si>
    <t>FB002_CPR_2</t>
  </si>
  <si>
    <t>RACK:2 SLOT:10 I/O:3</t>
  </si>
  <si>
    <t>5KV VFD1 BKR FB-002 Relay CCT CTRL Power Available</t>
  </si>
  <si>
    <t>FB002_CPR_3</t>
  </si>
  <si>
    <t>RACK:2 SLOT:10 I/O:5</t>
  </si>
  <si>
    <t>FB002_B_TEST</t>
  </si>
  <si>
    <t>RACK:2 SLOT:10 I/O:6</t>
  </si>
  <si>
    <t>FB002_TR</t>
  </si>
  <si>
    <t>RACK:2 SLOT:10 I/O:8</t>
  </si>
  <si>
    <t>5KV VFD1 BKR FB-002 86 Relay Trip</t>
  </si>
  <si>
    <t>FB002_RT</t>
  </si>
  <si>
    <t>RACK:2 SLOT:10 I/O:9</t>
  </si>
  <si>
    <t>5KV VFD1 BKR FB-002 Local/Remote In Local</t>
  </si>
  <si>
    <t>FB002_LO</t>
  </si>
  <si>
    <t>RACK:2 SLOT:10 I/O:12</t>
  </si>
  <si>
    <t>5KV VFD1 BKR FB-002 SEL-751A Auxillary Trip</t>
  </si>
  <si>
    <t>RACK:2 SLOT:10 I/O:13</t>
  </si>
  <si>
    <t>5KV VFD1 BKR FB-002 SEL-751A Critical Fail Relay</t>
  </si>
  <si>
    <t>RACK:2 SLOT:10 I/O:17</t>
  </si>
  <si>
    <t>5KV VFD1 P-101 Main Pump Multilin Trip</t>
  </si>
  <si>
    <t>VFD1_ML_TRIP</t>
  </si>
  <si>
    <t>RACK:2 SLOT:10 I/O:18</t>
  </si>
  <si>
    <t>5KV VFD1 P-101 Main Pump Multilin Alarm</t>
  </si>
  <si>
    <t>RACK:2 SLOT:10 I/O:19</t>
  </si>
  <si>
    <t>5KV VFD1 P-101 Main Pump Critical Fail Relay</t>
  </si>
  <si>
    <t>VFD1_CFR</t>
  </si>
  <si>
    <t>RACK:2 SLOT:10 I/O:20</t>
  </si>
  <si>
    <t>5KV VFD1 Input Breaker Open/Close</t>
  </si>
  <si>
    <t>VFD1_BS</t>
  </si>
  <si>
    <t>5KV VFD1 Running Status</t>
  </si>
  <si>
    <t>VFD1_RUN_STATUS</t>
  </si>
  <si>
    <t>RACK:2 SLOT:10 I/O:23</t>
  </si>
  <si>
    <t>5KV VFD1 Alarm Status</t>
  </si>
  <si>
    <t>5KV VFD1 Drive Faulted</t>
  </si>
  <si>
    <t>RACK:2 SLOT:10 I/O:25</t>
  </si>
  <si>
    <t>5KV VFD1 Door Mounted ESD Status Push Button</t>
  </si>
  <si>
    <t>VFD1_ESD</t>
  </si>
  <si>
    <t>RACK:2 SLOT:10 I/O:26</t>
  </si>
  <si>
    <t>5KV VFD1 Speed Demand in Local</t>
  </si>
  <si>
    <t>VFD1_LOCAL</t>
  </si>
  <si>
    <t>RACK:2 SLOT:10 I/O:27</t>
  </si>
  <si>
    <t>5KV VFD1 Catastrophic Trip</t>
  </si>
  <si>
    <t>VFD1_TRIP</t>
  </si>
  <si>
    <t>HMI/SCADA</t>
  </si>
  <si>
    <t>VFD1 HMI/SCADA RESET</t>
  </si>
  <si>
    <t>VFD1_RESET</t>
  </si>
  <si>
    <t>RACK:3 SLOT:8 I/O:1</t>
  </si>
  <si>
    <t>5KV VFD2 BKR FB-003 Close CCT CTRL Power Available</t>
  </si>
  <si>
    <t>RACK:3 SLOT:8 I/O:2</t>
  </si>
  <si>
    <t>5KV VFD2 BKR FB-003 Trip CCT CTRL Power Available</t>
  </si>
  <si>
    <t>FB003_CPR_2</t>
  </si>
  <si>
    <t>RACK:3 SLOT:8 I/O:3</t>
  </si>
  <si>
    <t>5KV VFD2 BKR FB-003 Relay CCT CTRL Power Available</t>
  </si>
  <si>
    <t>FB003_CPR_3</t>
  </si>
  <si>
    <t>RACK:3 SLOT:8 I/O:5</t>
  </si>
  <si>
    <t>FB003_B_TEST</t>
  </si>
  <si>
    <t>RACK:3 SLOT:8 I/O:6</t>
  </si>
  <si>
    <t>FB003_TR</t>
  </si>
  <si>
    <t>RACK:3 SLOT:8 I/O:8</t>
  </si>
  <si>
    <t>5KV VFD2 BKR FB-003 86 Relay Trip</t>
  </si>
  <si>
    <t>FB003_RT</t>
  </si>
  <si>
    <t>RACK:3 SLOT:8 I/O:9</t>
  </si>
  <si>
    <t>5KV VFD2 BKR FB-003 Local/Remote In Local</t>
  </si>
  <si>
    <t>FB003_LO</t>
  </si>
  <si>
    <t>RACK:3 SLOT:8 I/O:12</t>
  </si>
  <si>
    <t>5KV VFD2 BKR FB-003 SEL-751A Auxillary Trip</t>
  </si>
  <si>
    <t>RACK:3 SLOT:8 I/O:13</t>
  </si>
  <si>
    <t>5KV VFD2 BKR FB-003 SEL-751A Critical Fail Relay</t>
  </si>
  <si>
    <t>RACK:3 SLOT:8 I/O:17</t>
  </si>
  <si>
    <t>5KV VFD2 P-102 Main Pump Multilin Trip</t>
  </si>
  <si>
    <t>VFD2_ML_TRIP</t>
  </si>
  <si>
    <t>RACK:3 SLOT:8 I/O:18</t>
  </si>
  <si>
    <t>5KV VFD2 P-102 Main Pump Multilin Alarm</t>
  </si>
  <si>
    <t>RACK:3 SLOT:8 I/O:19</t>
  </si>
  <si>
    <t>5KV VFD2 P-102 Main Pump Critical Fail Relay</t>
  </si>
  <si>
    <t>VFD2_CFR</t>
  </si>
  <si>
    <t>RACK:3 SLOT:8 I/O:20</t>
  </si>
  <si>
    <t>5KV VFD2 Input Breaker Open/Close</t>
  </si>
  <si>
    <t>VFD2_BS</t>
  </si>
  <si>
    <t>5KV VFD2 Running Status</t>
  </si>
  <si>
    <t>VFD2_RUN_STATUS</t>
  </si>
  <si>
    <t>RACK:3 SLOT:8 I/O:23</t>
  </si>
  <si>
    <t>5KV VFD2 Alarm Status</t>
  </si>
  <si>
    <t>5KV VFD2 Drive Faulted</t>
  </si>
  <si>
    <t>RACK:3 SLOT:8 I/O:25</t>
  </si>
  <si>
    <t>5KV VFD2 Door Mounted ESD Status Push Button</t>
  </si>
  <si>
    <t>VFD2_ESD</t>
  </si>
  <si>
    <t>RACK:3 SLOT:8 I/O:26</t>
  </si>
  <si>
    <t>5KV VFD2 Speed Demand in Local</t>
  </si>
  <si>
    <t>VFD2_LOCAL</t>
  </si>
  <si>
    <t>RACK:3 SLOT:8 I/O:27</t>
  </si>
  <si>
    <t>5KV VFD2 Catastrophic Trip</t>
  </si>
  <si>
    <t>VFD2_TRIP</t>
  </si>
  <si>
    <t>VFD2_RESET</t>
  </si>
  <si>
    <t>PC</t>
  </si>
  <si>
    <t>TD</t>
  </si>
  <si>
    <t>200 kPag</t>
  </si>
  <si>
    <t>AutoSD_SCADA</t>
  </si>
  <si>
    <t>PIT_060</t>
  </si>
  <si>
    <t>PIT_061</t>
  </si>
  <si>
    <t>PIT_062</t>
  </si>
  <si>
    <t>ZT_061</t>
  </si>
  <si>
    <t>HS_212</t>
  </si>
  <si>
    <t>HS_222</t>
  </si>
  <si>
    <t>HS_223</t>
  </si>
  <si>
    <t>DPIT_754</t>
  </si>
  <si>
    <t>_480V_GND_FAULT</t>
  </si>
  <si>
    <t>_480V_NGR_FAIL</t>
  </si>
  <si>
    <t>BC1_FAIL</t>
  </si>
  <si>
    <t>BC2_FAIL</t>
  </si>
  <si>
    <t>UPS1_TRANS_AL</t>
  </si>
  <si>
    <t>UPS1_FAIL</t>
  </si>
  <si>
    <t>UPS1_SYNC_FAIL</t>
  </si>
  <si>
    <t>UPS1_SERV_AL</t>
  </si>
  <si>
    <t>UPS1_EOD</t>
  </si>
  <si>
    <t>MB001_CPR2</t>
  </si>
  <si>
    <t>FB001_CPR1</t>
  </si>
  <si>
    <t>FB001_CPR2</t>
  </si>
  <si>
    <t>FB001_CPR3</t>
  </si>
  <si>
    <t>FB002_CPR1</t>
  </si>
  <si>
    <t>FB002_CPR3</t>
  </si>
  <si>
    <t>VFD1_ALARM</t>
  </si>
  <si>
    <t>FB003_CPR1</t>
  </si>
  <si>
    <t>FB003_CPR3</t>
  </si>
  <si>
    <t>VFD2_ALARM</t>
  </si>
  <si>
    <t>US_230</t>
  </si>
  <si>
    <t>UA_230</t>
  </si>
  <si>
    <t>ZSO/C_250</t>
  </si>
  <si>
    <t>ZSO/C_260</t>
  </si>
  <si>
    <t>ZSO/C_251</t>
  </si>
  <si>
    <t>ZSO/C_252</t>
  </si>
  <si>
    <t>ZSO/C_261</t>
  </si>
  <si>
    <t>ZSO/C_262</t>
  </si>
  <si>
    <t>ZS_054</t>
  </si>
  <si>
    <t>ZS_064</t>
  </si>
  <si>
    <t>RACK:2 SLOT:13 I/O:20</t>
  </si>
  <si>
    <t>RACK:2 SLOT:13 I/O:4</t>
  </si>
  <si>
    <t>E-House Intake Fan IF-230 Damper Control</t>
  </si>
  <si>
    <t>E-House Intake Fan IF-231 Damper Control</t>
  </si>
  <si>
    <t>5KV MCC 1 M002 Space Heater CTRL</t>
  </si>
  <si>
    <t>5KV MCC 1 M001 Space Heater CTRL</t>
  </si>
  <si>
    <t>MAINLINE</t>
  </si>
  <si>
    <t>PUMP 001</t>
  </si>
  <si>
    <t>P-001 UV-211 Suction Valve Open</t>
  </si>
  <si>
    <t>P-001 UV-211 Suction Valve Close</t>
  </si>
  <si>
    <t>P-001 UV-212 Discharge Valve Open</t>
  </si>
  <si>
    <t>P-001 UV-212 Discharge Valve Close</t>
  </si>
  <si>
    <t>PUMP 002</t>
  </si>
  <si>
    <t>5KV MCC 1 VFD2  Remote Reset</t>
  </si>
  <si>
    <t>P-002 UV-221 Suction Valve Open</t>
  </si>
  <si>
    <t>P-002 UV-221 Suction Valve Close</t>
  </si>
  <si>
    <t>P-002 UV-222 Discharge Valve Open</t>
  </si>
  <si>
    <t>P-002 UV-222 Discharge Valve Close</t>
  </si>
  <si>
    <t>SWITCHGEAR</t>
  </si>
  <si>
    <t>ALARMING</t>
  </si>
  <si>
    <t>E House Beacon Red</t>
  </si>
  <si>
    <t>HMI ALARM</t>
  </si>
  <si>
    <t>MB001-RT</t>
  </si>
  <si>
    <t>MB001-RC</t>
  </si>
  <si>
    <t>FB001-RT</t>
  </si>
  <si>
    <t>FB001-RC</t>
  </si>
  <si>
    <t>XA-216</t>
  </si>
  <si>
    <t>Edmonton Control Room Site Permissive</t>
  </si>
  <si>
    <t>SCADA-PERM</t>
  </si>
  <si>
    <t>SCADA-ESD</t>
  </si>
  <si>
    <t>RACK:2 SLOT:8 I/O:18/19/20/21</t>
  </si>
  <si>
    <t>ESD-216/217/218/219</t>
  </si>
  <si>
    <t>FIRE, GAS and INTRUSION</t>
  </si>
  <si>
    <t>RACK:2 SLOT:8 I/O:4</t>
  </si>
  <si>
    <t>ASH-251</t>
  </si>
  <si>
    <t>RACK:2 SLOT:8 I/O:5</t>
  </si>
  <si>
    <t>ASH-261</t>
  </si>
  <si>
    <t>RACK:2 SLOT:8 I/O:6</t>
  </si>
  <si>
    <t>ASH-271</t>
  </si>
  <si>
    <t>RACK:2 SLOT:8 I/O:7</t>
  </si>
  <si>
    <t>ASH-281</t>
  </si>
  <si>
    <t>P-001 Main Pump Fire Detector HI HI Alarm</t>
  </si>
  <si>
    <t>P-002 Main Pump Fire Detector HI HI Alarm</t>
  </si>
  <si>
    <t>ZA_215</t>
  </si>
  <si>
    <t>BU-003 E-House SWGR Room Door Intrusion Switch Alarm</t>
  </si>
  <si>
    <t>ZA_216/217/218</t>
  </si>
  <si>
    <t>BU-002 E-House Intake Fan IF-230 Differential Pressure</t>
  </si>
  <si>
    <t>PDIT_230</t>
  </si>
  <si>
    <t>BU-002 E-House Intake Fan IF-230 Run Status</t>
  </si>
  <si>
    <t>BU-002 E-House Intake Fan IF-230 Fault Status</t>
  </si>
  <si>
    <t>BU-002 E-House Intake Fan IF-230 Open/Closed Status</t>
  </si>
  <si>
    <t>ZS0/C-250</t>
  </si>
  <si>
    <t>BU-002 E-House Intake Fan IF-231 Differential Pressure</t>
  </si>
  <si>
    <t>DPIT_231</t>
  </si>
  <si>
    <t>BU-002 E-House Intake Fan IF-231 Run Status</t>
  </si>
  <si>
    <t>US_231</t>
  </si>
  <si>
    <t>BU-002 E-House Intake Fan IF-231 Fault Status</t>
  </si>
  <si>
    <t>UA_231</t>
  </si>
  <si>
    <t>RACK:3 SLOT:10 I/O:24</t>
  </si>
  <si>
    <t>BU-002 E-House DH-231 Duct Heater Status</t>
  </si>
  <si>
    <t>DH_231</t>
  </si>
  <si>
    <t>BU-002 E-House Intake Fan IF-231 Open/Closed Status</t>
  </si>
  <si>
    <t>ZS0/C-260</t>
  </si>
  <si>
    <t>BU-002 E-House VFD1 Exhaust Fan Open/Closed Status</t>
  </si>
  <si>
    <t>ZS0/C-251</t>
  </si>
  <si>
    <t>BU-002 E-House VFD1 Recirc Fan Open/Closed Status</t>
  </si>
  <si>
    <t>ZS0/C-252</t>
  </si>
  <si>
    <t>BU-002 E-House VFD2 Exhaust Fan Open/Closed Status</t>
  </si>
  <si>
    <t>ZS0/C-261</t>
  </si>
  <si>
    <t>BU-002 E-House VFD2 Recirc Fan Open/Closed Status</t>
  </si>
  <si>
    <t>ZS0/C-262</t>
  </si>
  <si>
    <t>3200 kPag</t>
  </si>
  <si>
    <t>5000 kPag</t>
  </si>
  <si>
    <t>4200 kPag</t>
  </si>
  <si>
    <t>7200 kPag</t>
  </si>
  <si>
    <t>8000 kPag</t>
  </si>
  <si>
    <t>2500 kPag</t>
  </si>
  <si>
    <t>RACK:2 SLOT:2 I/O:5</t>
  </si>
  <si>
    <t>ZT-061</t>
  </si>
  <si>
    <t>ZSO/C_070</t>
  </si>
  <si>
    <t>ESDV-051 NGL To Pipeline Pumps Suct. Valve Position Fault</t>
  </si>
  <si>
    <t>ZSO/C_051</t>
  </si>
  <si>
    <t>ESDV-061 NGL To Pipeline Pumps Disc. Valve Position Fault</t>
  </si>
  <si>
    <t>ZSO/C_061</t>
  </si>
  <si>
    <t>P-001 Main Pump Suction Valve UV-211 Position Fault</t>
  </si>
  <si>
    <t>ZSO/C_211</t>
  </si>
  <si>
    <t>P-001 Main Pump Discharge Valve Hand Switch In Local</t>
  </si>
  <si>
    <t>P-001 Main Pump Discharge Valve UV-212 Position Fault</t>
  </si>
  <si>
    <t>ZSO/C_212</t>
  </si>
  <si>
    <t>P-001 Main Pump Suction Pressure Low Alarm</t>
  </si>
  <si>
    <t>P-001 Main Pump Suction Pressure LOLO Alarm</t>
  </si>
  <si>
    <t>P-001 Main Pump Discharge Pressure MALF Alarm</t>
  </si>
  <si>
    <t>3.5 mA</t>
  </si>
  <si>
    <t>P-001 Main Pump Discharge Pressure HIHI Alarm</t>
  </si>
  <si>
    <t>9930 kPag</t>
  </si>
  <si>
    <t>P-001 Main Pump Discharge Pressure High Alarm</t>
  </si>
  <si>
    <t>9430 kPag</t>
  </si>
  <si>
    <t>P-001 Main Pump Case Temp HIHI Alarm</t>
  </si>
  <si>
    <t>P-001 Main Pump Case Temp High Alarm</t>
  </si>
  <si>
    <t>P-001 Pump Non-Drive End Vibration HIHI Alarm</t>
  </si>
  <si>
    <t>P-001 Pump Non-Drive End Vibration High Alarm</t>
  </si>
  <si>
    <t>P-001 Pump Drive End Vibration HIHI Alarm</t>
  </si>
  <si>
    <t>P-001 Pump Drive End Vibration High Alarm</t>
  </si>
  <si>
    <t>P-001 Motor Non-Drive End Vibration HIHI Alarm</t>
  </si>
  <si>
    <t>P-001 Motor Non-Drive End Vibration High Alarm</t>
  </si>
  <si>
    <t>P-001 Motor Drive End Vibration HIHI Alarm</t>
  </si>
  <si>
    <t>P-001 Motor Drive End Vibration High Alarm</t>
  </si>
  <si>
    <t>P-001 Main Pump Control Station Handswitch Status</t>
  </si>
  <si>
    <t>P-001 Motor Filter Pressure DP High Alarm</t>
  </si>
  <si>
    <t>V-011 Sealpot Level LOLO Alarm</t>
  </si>
  <si>
    <t>V-011 Sealpot Level HIHI Alarm</t>
  </si>
  <si>
    <t>V-012 Sealpot Pressure HIHI Alarm</t>
  </si>
  <si>
    <t>V-012 Sealpot Level LOLO Alarm</t>
  </si>
  <si>
    <t>V-012 Sealpot Level HIHI Alarm</t>
  </si>
  <si>
    <t>P-002 Main Pump Suction Valve UV-221 Position Fault</t>
  </si>
  <si>
    <t>ZSO/C_221</t>
  </si>
  <si>
    <t>P-002 Main Pump Discharge Valve Hand Switch In Local</t>
  </si>
  <si>
    <t>P-002 Main Pump Discharge Valve UV-222 Position Fault</t>
  </si>
  <si>
    <t>ZSO/C-222</t>
  </si>
  <si>
    <t>ZSO/C_222</t>
  </si>
  <si>
    <t>P-002 Main Pump Suction Pressure Low Alarm</t>
  </si>
  <si>
    <t>P-002 Main Pump Suction Pressure LOLO Alarm</t>
  </si>
  <si>
    <t>P-002 Main Pump Discharge Pressure HIHI Alarm</t>
  </si>
  <si>
    <t>P-002 Main Pump Discharge Pressure High Alarm</t>
  </si>
  <si>
    <t>P-002 Main Pump Case Temp HIHI Alarm</t>
  </si>
  <si>
    <t>P-002 Main Pump Case Temp High Alarm</t>
  </si>
  <si>
    <t>P-002 Pump Non-Drive End Vibration HIHI Alarm</t>
  </si>
  <si>
    <t>P-002 Pump Non-Drive End Vibration High Alarm</t>
  </si>
  <si>
    <t>P-002 Pump Drive End Vibration HIHI Alarm</t>
  </si>
  <si>
    <t>P-002 Pump Drive End Vibration High Alarm</t>
  </si>
  <si>
    <t>P-002 Motor Non-Drive End Vibration HIHI Alarm</t>
  </si>
  <si>
    <t>P-002 Motor Non-Drive End Vibration High Alarm</t>
  </si>
  <si>
    <t>P-002 Motor Drive End Vibration High Alarm</t>
  </si>
  <si>
    <t>P-002 Motor Drive End Vibration HIHI Alarm</t>
  </si>
  <si>
    <t>P-002 Main Pump Control Station Handswitch Status</t>
  </si>
  <si>
    <t>P-002 Motor Filter Pressure DP High Alarm</t>
  </si>
  <si>
    <t>P-002 V-122 Sealpot Pressure HIHI Alarm</t>
  </si>
  <si>
    <t>RACK:3 SLOT:10 I/O:21</t>
  </si>
  <si>
    <t>HTR-753 FKOD Immersion Heater Status</t>
  </si>
  <si>
    <t>US-753</t>
  </si>
  <si>
    <t>HTR_753</t>
  </si>
  <si>
    <t>900 mm</t>
  </si>
  <si>
    <t>600 mm</t>
  </si>
  <si>
    <t>380 mm</t>
  </si>
  <si>
    <t>CALCULATE</t>
  </si>
  <si>
    <t>DPI-754</t>
  </si>
  <si>
    <t>PIG SIGNALS</t>
  </si>
  <si>
    <t>Main-Line Incoming Pig Signal Status</t>
  </si>
  <si>
    <t>Main-Line Outgoing Pig Signal Status</t>
  </si>
  <si>
    <t>125VDC BC-1 Battery Charger AC Fail</t>
  </si>
  <si>
    <t>24VDC BC-2 Battery Charger AC Fail</t>
  </si>
  <si>
    <t>UPS1-BC-LV</t>
  </si>
  <si>
    <t>5KV Main BRK MB-001 Carriage Position Connected Test</t>
  </si>
  <si>
    <t>5KV Main BRK MB-001 Breaker Open/Close</t>
  </si>
  <si>
    <t>5KV Main BRK MB-001 Startco SE-330 Ground Fault</t>
  </si>
  <si>
    <t>5KV TR2 BKR FB-001 Trip Status</t>
  </si>
  <si>
    <t>5KV VFD1 BKR FB-002 Carriage Position Connected Test</t>
  </si>
  <si>
    <t>5KV VFD1 BKR FB-002 Trip Status</t>
  </si>
  <si>
    <t>US-213</t>
  </si>
  <si>
    <t>5KV VFD2 BKR FB-003 Carriage Position Connected Test</t>
  </si>
  <si>
    <t>5KV VFD2 BKR FB-003 Trip Status</t>
  </si>
  <si>
    <t>US-223</t>
  </si>
  <si>
    <t>VFD2 HMI/SCADA RESET</t>
  </si>
  <si>
    <t/>
  </si>
  <si>
    <t>ESD_SCD.Alarm</t>
  </si>
  <si>
    <t>ESD.Alarm</t>
  </si>
  <si>
    <t>ESD_215.Alarm</t>
  </si>
  <si>
    <t>ESD_216/217/218/219.Alarm</t>
  </si>
  <si>
    <t>ASH_241.Alarm</t>
  </si>
  <si>
    <t>ASH_251.Alarm</t>
  </si>
  <si>
    <t>ASH_261.Alarm</t>
  </si>
  <si>
    <t>ASH_271.Alarm</t>
  </si>
  <si>
    <t>ASH_281.Alarm</t>
  </si>
  <si>
    <t>AT_211.AHH</t>
  </si>
  <si>
    <t>AT_221.AHH</t>
  </si>
  <si>
    <t>PIT_060.AHH</t>
  </si>
  <si>
    <t>PIT_060.AH</t>
  </si>
  <si>
    <t>PIT_060.ALL</t>
  </si>
  <si>
    <t>PIT_061.AHH</t>
  </si>
  <si>
    <t>PIT_061.AH</t>
  </si>
  <si>
    <t>PIT_062.AHH</t>
  </si>
  <si>
    <t>PIT_062.AH</t>
  </si>
  <si>
    <t>PIT_062.AL</t>
  </si>
  <si>
    <t>PIT_211.AL</t>
  </si>
  <si>
    <t>PIT_211.ALL</t>
  </si>
  <si>
    <t>PIT_212.AHH</t>
  </si>
  <si>
    <t>PIT_212.AH</t>
  </si>
  <si>
    <t>TIT_213.AHH</t>
  </si>
  <si>
    <t>TIT_213.AH</t>
  </si>
  <si>
    <t>VT_211.AHH</t>
  </si>
  <si>
    <t>VT_211.AH</t>
  </si>
  <si>
    <t>VT_212.AHH</t>
  </si>
  <si>
    <t>VT_212.AH</t>
  </si>
  <si>
    <t>VT_213.AHH</t>
  </si>
  <si>
    <t>VT_213.AH</t>
  </si>
  <si>
    <t>VT_214.AHH</t>
  </si>
  <si>
    <t>VT_214.AH</t>
  </si>
  <si>
    <t>PDIT_210.AH</t>
  </si>
  <si>
    <t>LSLL_211.Alarm</t>
  </si>
  <si>
    <t>LSHH_211.Alarm</t>
  </si>
  <si>
    <t>PIT_240.AHH</t>
  </si>
  <si>
    <t>LSLL_212.Alarm</t>
  </si>
  <si>
    <t>LSHH_212.Alarm</t>
  </si>
  <si>
    <t>PIT_221.AL</t>
  </si>
  <si>
    <t>PIT_221.ALL</t>
  </si>
  <si>
    <t>PIT_222.AHH</t>
  </si>
  <si>
    <t>PIT_222.AH</t>
  </si>
  <si>
    <t>TIT_223.AHH</t>
  </si>
  <si>
    <t>TIT_223.AH</t>
  </si>
  <si>
    <t>VT_221.AHH</t>
  </si>
  <si>
    <t>VT_221.AH</t>
  </si>
  <si>
    <t>VT_222.AHH</t>
  </si>
  <si>
    <t>VT_222.AH</t>
  </si>
  <si>
    <t>VT_223.AHH</t>
  </si>
  <si>
    <t>VT_223.AH</t>
  </si>
  <si>
    <t>VT_224.AH</t>
  </si>
  <si>
    <t>VT_224.AHH</t>
  </si>
  <si>
    <t>PDIT_220.AH</t>
  </si>
  <si>
    <t>LSLL_221.Alarm</t>
  </si>
  <si>
    <t>LSHH_221.Alarm</t>
  </si>
  <si>
    <t>PIT_260.AHH</t>
  </si>
  <si>
    <t>LSLL_222.Alarm</t>
  </si>
  <si>
    <t>LSHH_222.Alarm</t>
  </si>
  <si>
    <t>FSH_260.Alarm</t>
  </si>
  <si>
    <t>LIT_750.AHH</t>
  </si>
  <si>
    <t>LIT_750.AH</t>
  </si>
  <si>
    <t>LIT_750.AL</t>
  </si>
  <si>
    <t>LIT_752.AHH</t>
  </si>
  <si>
    <t>LIT_752.AH</t>
  </si>
  <si>
    <t>LIT_752.AL</t>
  </si>
  <si>
    <t>PIT_751.AH</t>
  </si>
  <si>
    <t>TIT_231.AHH</t>
  </si>
  <si>
    <t>TIT_231.AH</t>
  </si>
  <si>
    <t>TIT_231.AL</t>
  </si>
  <si>
    <t>TIT_231.ALL</t>
  </si>
  <si>
    <t>TIT_232.AHH</t>
  </si>
  <si>
    <t>TIT_232.AH</t>
  </si>
  <si>
    <t>TIT_232.AL</t>
  </si>
  <si>
    <t>TIT_232.ALL</t>
  </si>
  <si>
    <t>TIT_233.AHH</t>
  </si>
  <si>
    <t>TIT_233.ALL</t>
  </si>
  <si>
    <t>TIT_233.AH</t>
  </si>
  <si>
    <t>TIT_233.AL</t>
  </si>
  <si>
    <t>TIT_234.AHH</t>
  </si>
  <si>
    <t>TIT_234.ALL</t>
  </si>
  <si>
    <t>TIT_234.AH</t>
  </si>
  <si>
    <t>TIT_234.AL</t>
  </si>
  <si>
    <t>_480V_UV.Alarm</t>
  </si>
  <si>
    <t>_480V_PH_REV.Alarm</t>
  </si>
  <si>
    <t>_480V_UNBALANCED.Alarm</t>
  </si>
  <si>
    <t>UPS1V</t>
  </si>
  <si>
    <t>FB001O</t>
  </si>
  <si>
    <t>FB002O</t>
  </si>
  <si>
    <t>VFD1_ML_TRIP.Alarm</t>
  </si>
  <si>
    <t>VFD1_CFR.Alarm</t>
  </si>
  <si>
    <t>VFD1_FAULTED.Alarm</t>
  </si>
  <si>
    <t>VFD1_ESD.Alarm</t>
  </si>
  <si>
    <t>VFD1OCAL</t>
  </si>
  <si>
    <t>VFD1_TRIP.Alarm</t>
  </si>
  <si>
    <t>FB003O</t>
  </si>
  <si>
    <t>VFD2_ML_TRIP.Alarm</t>
  </si>
  <si>
    <t>VFD2_CFR.Alarm</t>
  </si>
  <si>
    <t>VFD2_FAULTED.Alarm</t>
  </si>
  <si>
    <t>VFD2_ESD.Alarm</t>
  </si>
  <si>
    <t>VFD2OCAL</t>
  </si>
  <si>
    <t>VFD2_TRIP.Alarm</t>
  </si>
  <si>
    <t>IFC - Issued for Construction</t>
  </si>
  <si>
    <t>HS_213.Alarm</t>
  </si>
  <si>
    <t>HMI/SCD_VFD1_RST</t>
  </si>
  <si>
    <t>HMI/SCD_VFD2_RST</t>
  </si>
  <si>
    <t>M101_FTR.Alarm</t>
  </si>
  <si>
    <t>M101_FTS.Alarm</t>
  </si>
  <si>
    <t>M101_FTP.Alarm</t>
  </si>
  <si>
    <t>M101_FTR</t>
  </si>
  <si>
    <t>M101_FTS</t>
  </si>
  <si>
    <t>M101_FTP</t>
  </si>
  <si>
    <t>Pump 101 Fail to Run</t>
  </si>
  <si>
    <t>Pump 101 Fail to Stop</t>
  </si>
  <si>
    <t>Pump 101 Fail to Pressure</t>
  </si>
  <si>
    <t>Pump 102 Fail to Run</t>
  </si>
  <si>
    <t>M102_FTR</t>
  </si>
  <si>
    <t>M102_FTR.Alarm</t>
  </si>
  <si>
    <t>Pump 102 Fail to Stop</t>
  </si>
  <si>
    <t>M102_FTS</t>
  </si>
  <si>
    <t>M102_FTS.Alarm</t>
  </si>
  <si>
    <t>Pump 102 Fail to Pressure</t>
  </si>
  <si>
    <t>M102_FTP</t>
  </si>
  <si>
    <t>M102_FTP.Alarm</t>
  </si>
  <si>
    <t>1,18</t>
  </si>
  <si>
    <t>RESET_PB</t>
  </si>
  <si>
    <t>BC1_EOD</t>
  </si>
  <si>
    <t>BC2_EOD</t>
  </si>
  <si>
    <t>FB002_CPR2</t>
  </si>
  <si>
    <t>FB003_CPR2</t>
  </si>
  <si>
    <t>Issued For Construction, Concise Job # PEM029-001</t>
  </si>
  <si>
    <t>Chickadee</t>
  </si>
  <si>
    <t>PEM029-001</t>
  </si>
  <si>
    <t>XS-232-A</t>
  </si>
  <si>
    <t>XS-232-B</t>
  </si>
  <si>
    <t>RACK:2 SLOT:13 I/O:32</t>
  </si>
  <si>
    <t>RACK:2 SLOT:14 I/O:25</t>
  </si>
  <si>
    <t>Chickadee Creek Pump Station 04-22-061-15 W5M
Pembina Pipeline Corporation                                                                                                                                                                                                                                                                                                                                                                                                                                                                                                                     SHUTDOWN KEY</t>
  </si>
  <si>
    <t>PROJECT #:</t>
  </si>
  <si>
    <t>APEGA Stamp</t>
  </si>
  <si>
    <t>PIT_211.MALF</t>
  </si>
  <si>
    <t>PIT_212.MALF</t>
  </si>
  <si>
    <t>P-001 Main Pump Case Temp MALF Alarm</t>
  </si>
  <si>
    <t>TIT_213.MALF</t>
  </si>
  <si>
    <t>P-001 Pump Non-Drive End Vibration MALF Alarm</t>
  </si>
  <si>
    <t>VT_211.MALF</t>
  </si>
  <si>
    <t>P-001 Pump Drive End Vibration MALF Alarm</t>
  </si>
  <si>
    <t>VT_212.MALF</t>
  </si>
  <si>
    <t>P-001 Motor Non-Drive End Vibration MALF Alarm</t>
  </si>
  <si>
    <t>VT_213.MALF</t>
  </si>
  <si>
    <t>P-001 Motor Drive End Vibration MALF Alarm</t>
  </si>
  <si>
    <t>VT_214.MALF</t>
  </si>
  <si>
    <t>P-002 Main Pump Suction Pressure MALF Alarm</t>
  </si>
  <si>
    <t>PIT_221.MALF</t>
  </si>
  <si>
    <t>PIT_222.MALF</t>
  </si>
  <si>
    <t>P-002 Main Pump Case Temp MALF Alarm</t>
  </si>
  <si>
    <t>TIT_223.MALF</t>
  </si>
  <si>
    <t>P-002 Pump Non-Drive End Vibration MALF Alarm</t>
  </si>
  <si>
    <t>VT_221.MALF</t>
  </si>
  <si>
    <t>P-002 Pump Drive End Vibration MALF Alarm</t>
  </si>
  <si>
    <t>VT_222.MALF</t>
  </si>
  <si>
    <t>P-002 Motor Non-Drive End Vibration MALF Alarm</t>
  </si>
  <si>
    <t>VT_223.MALF</t>
  </si>
  <si>
    <t>P-002 Motor Drive End Vibration  MALF Alarm</t>
  </si>
  <si>
    <t>VT_224.MALF</t>
  </si>
  <si>
    <t>P-002 V-121 Sealpot Pressure HIgh Alarm</t>
  </si>
  <si>
    <t>E-House IF-232 Intake Fan SDWN/CTRL</t>
  </si>
  <si>
    <t>E-House IF-232 Duct Heater Shutdown/CTRL</t>
  </si>
  <si>
    <t>PIT_250.AHH</t>
  </si>
  <si>
    <t>RACK:2 SLOT:3 I/O:8</t>
  </si>
  <si>
    <t>BU-002 E-House Pressure</t>
  </si>
  <si>
    <t>PIT-232</t>
  </si>
  <si>
    <t>PIT_232</t>
  </si>
  <si>
    <t>RACK:3 SLOT:10 I/O:27</t>
  </si>
  <si>
    <t>US-232-HTR</t>
  </si>
  <si>
    <t>DH_232</t>
  </si>
  <si>
    <t>RACK:2 SLOT:2 I/O:6</t>
  </si>
  <si>
    <t>TIT-061</t>
  </si>
  <si>
    <t>TIT_061</t>
  </si>
  <si>
    <t>RACK:3 SLOT:9 I/O:19</t>
  </si>
  <si>
    <t>UV-070 NGL Outlet Hand Switch In Local</t>
  </si>
  <si>
    <t>HS-070</t>
  </si>
  <si>
    <t>HS_070</t>
  </si>
  <si>
    <t>RACK:3 SLOT:9 I/O:22</t>
  </si>
  <si>
    <t>ESDV-051 NGL To Pipeline Pumps Suct. Hand Switch in Local</t>
  </si>
  <si>
    <t>HS-051</t>
  </si>
  <si>
    <t>HS_051</t>
  </si>
  <si>
    <t>RACK:3 SLOT:9 I/O:25</t>
  </si>
  <si>
    <t>ESDV-061 NGL To Pipeline Pumps Disc. Hand Switch in Local</t>
  </si>
  <si>
    <t>HS-061</t>
  </si>
  <si>
    <t>HS_061</t>
  </si>
  <si>
    <t>RACK:2 SLOT:11 I/O:1</t>
  </si>
  <si>
    <t>P-001 Main Pump Suction Valve Hand Switch In Local</t>
  </si>
  <si>
    <t>HS-211</t>
  </si>
  <si>
    <t>HS_211</t>
  </si>
  <si>
    <t>RACK:3 SLOT:9 I/O:1</t>
  </si>
  <si>
    <t>P-002 Main Pump Suction Valve Hand Switch In Local</t>
  </si>
  <si>
    <t>HS-221</t>
  </si>
  <si>
    <t>RACK:2 SLOT:9 I/O:1</t>
  </si>
  <si>
    <t>5KV Main BRK MB-001 Close CCT CTRL Power Available</t>
  </si>
  <si>
    <t>MB001_CPR_1</t>
  </si>
  <si>
    <t>MB001_CPR1</t>
  </si>
  <si>
    <t>RACK:2 SLOT:9 I/O:3</t>
  </si>
  <si>
    <t>5KV Main BRK MB-001 Relay  CCT CTRL Power Available</t>
  </si>
  <si>
    <t>MB001_CPR_3</t>
  </si>
  <si>
    <t>MB001_CPR3</t>
  </si>
  <si>
    <t>RACK:2 SLOT:9 I/O:4</t>
  </si>
  <si>
    <t>5KV Main BRK MB-001 Carriage Position Connected</t>
  </si>
  <si>
    <t>MB001_A_CON</t>
  </si>
  <si>
    <t>RACK:2 SLOT:9 I/O:7</t>
  </si>
  <si>
    <t>5KV Main BRK MB-001 86 Relay Status</t>
  </si>
  <si>
    <t>MB001_RS</t>
  </si>
  <si>
    <t>RACK:2 SLOT:9 I/O:9</t>
  </si>
  <si>
    <t>5KV Main BRK MB-001 Local/Remote In Local</t>
  </si>
  <si>
    <t>MB001_LO</t>
  </si>
  <si>
    <t>MB001O</t>
  </si>
  <si>
    <t>RACK:2 SLOT:9 I/O:10</t>
  </si>
  <si>
    <t>5KV Main BRK MB-001 Local/Remote In Remote</t>
  </si>
  <si>
    <t>MB001_RM</t>
  </si>
  <si>
    <t>RACK:2 SLOT:9 I/O:21</t>
  </si>
  <si>
    <t>5KV TR2 BKR FB-001 Carriage Position Connected Test</t>
  </si>
  <si>
    <t>FB001_B_TEST</t>
  </si>
  <si>
    <t>RACK:2 SLOT:9 I/O:26</t>
  </si>
  <si>
    <t>5KV TR2 BKR FB-001 Loca/Remote In Remote</t>
  </si>
  <si>
    <t>FB001_RM</t>
  </si>
  <si>
    <t>RACK:2 SLOT:10 I/O:4</t>
  </si>
  <si>
    <t>5KV VFD1 BKR FB-002 Carriage Position Connected</t>
  </si>
  <si>
    <t>FB002_A_CON</t>
  </si>
  <si>
    <t>RACK:2 SLOT:10 I/O:7</t>
  </si>
  <si>
    <t>5KV VFD1 BKR FB-002 86 Relay Status</t>
  </si>
  <si>
    <t>FB002_RS</t>
  </si>
  <si>
    <t>RACK:2 SLOT:10 I/O:10</t>
  </si>
  <si>
    <t>5KV VFD1 BKR FB-002 Local/Remote In Remote</t>
  </si>
  <si>
    <t>FB002_RM</t>
  </si>
  <si>
    <t>RACK:2 SLOT:10 I/O:21</t>
  </si>
  <si>
    <t>5KV VFD1 Drive Ready To Run</t>
  </si>
  <si>
    <t>VFD1_DRIVE_READY</t>
  </si>
  <si>
    <t>RACK:3 SLOT:8 I/O:4</t>
  </si>
  <si>
    <t>5KV VFD2 BKR FB-003 Carriage Position Connected</t>
  </si>
  <si>
    <t>FB003_A_CON</t>
  </si>
  <si>
    <t>RACK:3 SLOT:8 I/O:7</t>
  </si>
  <si>
    <t>5KV VFD2 BKR FB-003 86 Relay Status</t>
  </si>
  <si>
    <t>FB003_RS</t>
  </si>
  <si>
    <t>RACK:3 SLOT:8 I/O:10</t>
  </si>
  <si>
    <t>5KV VFD2 BKR FB-003 Local/Remote In Remote</t>
  </si>
  <si>
    <t>FB003_RM</t>
  </si>
  <si>
    <t>RACK:3 SLOT:8 I/O:21</t>
  </si>
  <si>
    <t>5KV VFD2 Drive Ready To Run</t>
  </si>
  <si>
    <t>VFD2_DRIVE_READY</t>
  </si>
  <si>
    <t>RACK:3 SLOT:10 I/O:8</t>
  </si>
  <si>
    <t>125VDC BC-1 Battery Charger Ground Fault</t>
  </si>
  <si>
    <t>BC-1-GF</t>
  </si>
  <si>
    <t>BC1_GF</t>
  </si>
  <si>
    <t>MHS</t>
  </si>
  <si>
    <t>CTR</t>
  </si>
  <si>
    <t>P&amp;ID Sheet No.</t>
  </si>
  <si>
    <t>100 kPag</t>
  </si>
  <si>
    <t>PROJECT:</t>
  </si>
  <si>
    <t>-</t>
  </si>
  <si>
    <t>RACK:2 SLOT:3 I/O:4</t>
  </si>
  <si>
    <t>RACK:2 SLOT:3 I/O:5</t>
  </si>
  <si>
    <t>XC-232</t>
  </si>
  <si>
    <t>E-House Intake Fan IF-232 Damper Control</t>
  </si>
  <si>
    <t>RACK:2 SLOT:13 I/O:16</t>
  </si>
  <si>
    <t>ZSO/C-253</t>
  </si>
  <si>
    <t>BU-002 E-House Intake Fan IF-232 Open/Closed Status</t>
  </si>
  <si>
    <t>RACK:2 SLOT:11 I/O:21/22</t>
  </si>
  <si>
    <t>RACK:3 SLOT:10 I/O:22</t>
  </si>
  <si>
    <t>125VDC BC-1 Battery Charger Battery Disconnected</t>
  </si>
  <si>
    <t>BC1-DISCON</t>
  </si>
  <si>
    <t>BC1_DISCON</t>
  </si>
  <si>
    <t>FKOD Detonation Arrestor Differential Pressures (PIT-754 - PIT-755)</t>
  </si>
  <si>
    <t>TJG</t>
  </si>
  <si>
    <t>Any Transmitter Malfunction (Unless Otherwise Mentioned)</t>
  </si>
  <si>
    <t>RACK:2 SLOT:8 I/O:13</t>
  </si>
  <si>
    <t>BU-002 E-House Intake Fan IF-232 Run Status</t>
  </si>
  <si>
    <t>US-232</t>
  </si>
  <si>
    <t>US_232</t>
  </si>
  <si>
    <t>RACK:2 SLOT:2 I/O:2</t>
  </si>
  <si>
    <t>NGL P/L Riser Pressure</t>
  </si>
  <si>
    <t>PIT-051</t>
  </si>
  <si>
    <t>PIT_051</t>
  </si>
  <si>
    <t>RACK:2 SLOT:2 I/O:3</t>
  </si>
  <si>
    <t>NGL P/L Riser Temp</t>
  </si>
  <si>
    <t>TIT-051</t>
  </si>
  <si>
    <t>TIT_051</t>
  </si>
  <si>
    <t>RACK:3 SLOT:4 I/O:8</t>
  </si>
  <si>
    <t>BU-002 E-House Intake Fan IF-232 Differential Pressure</t>
  </si>
  <si>
    <t>DPIT-232</t>
  </si>
  <si>
    <t>PDIT_232</t>
  </si>
  <si>
    <t>RACK:3 SLOT:4 I/O:2</t>
  </si>
  <si>
    <t>RACK:3 SLOT:4 I/O:3</t>
  </si>
  <si>
    <t>5kV VFD1 Motor Speed Ref.</t>
  </si>
  <si>
    <t>SY_213</t>
  </si>
  <si>
    <t>DT-213</t>
  </si>
  <si>
    <t>DT_213</t>
  </si>
  <si>
    <t>5kV VFD1 Motor Torque</t>
  </si>
  <si>
    <t>SY_223</t>
  </si>
  <si>
    <t>DT-223</t>
  </si>
  <si>
    <t>DT_223</t>
  </si>
  <si>
    <t>RACK:3 SLOT:5 I/O:2</t>
  </si>
  <si>
    <t>RACK:3 SLOT:5 I/O:3</t>
  </si>
  <si>
    <t>CHK</t>
  </si>
  <si>
    <t>HS_221</t>
  </si>
  <si>
    <t>PIT_230.AHH</t>
  </si>
  <si>
    <t>V-011 Sealpot Pressure HIHI Alarm</t>
  </si>
  <si>
    <t>Pump Suction Pressure Control</t>
  </si>
  <si>
    <t>Pump Suction Pressure HiHi Alarm</t>
  </si>
  <si>
    <t>Pump Suction Pressure High Alarm</t>
  </si>
  <si>
    <t>Pump Suction Pressure LOLO Alarm</t>
  </si>
  <si>
    <t>Pumps Discharge Pressure Control</t>
  </si>
  <si>
    <t>Pumps Discharge Pressure HIHI Alarm</t>
  </si>
  <si>
    <t>Pumps Discharge Pressure High Alarm</t>
  </si>
  <si>
    <t>Pipeline Discharge Pressure</t>
  </si>
  <si>
    <t>Pipeline Discharge Pressure HIHI Alarm</t>
  </si>
  <si>
    <t>Pipeline Discharge Pressure High Alarm</t>
  </si>
  <si>
    <t>Pipeline Discharge Pressure Low Alarm</t>
  </si>
  <si>
    <t>2800 kPag</t>
  </si>
  <si>
    <t>2900 kPag</t>
  </si>
  <si>
    <t>66 °C</t>
  </si>
  <si>
    <t>58 °C</t>
  </si>
  <si>
    <t>18 mm/sec</t>
  </si>
  <si>
    <t>7.5 mm/sec</t>
  </si>
  <si>
    <t>8 mm/sec</t>
  </si>
  <si>
    <t>6 mm/sec</t>
  </si>
  <si>
    <t>137.8 kPag</t>
  </si>
  <si>
    <t>TIT-223</t>
  </si>
  <si>
    <t>20 °C</t>
  </si>
  <si>
    <t>2 inch WC</t>
  </si>
  <si>
    <t>Pipeline Discharge Temp</t>
  </si>
  <si>
    <t>Pipeline Discharge PCV-061 Control Valve Position</t>
  </si>
  <si>
    <t>ESD1</t>
  </si>
  <si>
    <t>ESD2</t>
  </si>
  <si>
    <t>ESD3</t>
  </si>
  <si>
    <t>ESD4</t>
  </si>
  <si>
    <t>ESD5</t>
  </si>
  <si>
    <t>3.5/20.5 mA</t>
  </si>
  <si>
    <t>MALF</t>
  </si>
  <si>
    <t>ZSO/C-250</t>
  </si>
  <si>
    <t>ZSO/C-260</t>
  </si>
  <si>
    <t>ZSO/C-251</t>
  </si>
  <si>
    <t>ZSO/C-252</t>
  </si>
  <si>
    <t>ZSO/C-261</t>
  </si>
  <si>
    <t>ZSO/C-262</t>
  </si>
  <si>
    <t>BU-002 E-House Intake Fan IF-232 Duct Heater Status</t>
  </si>
  <si>
    <t>P-001 5kV VFD1 Motor Speed Ref.</t>
  </si>
  <si>
    <t>P-001 5kV VFD1 Motor Torque</t>
  </si>
  <si>
    <t>P-002 5kV VFD1 Motor Speed Ref.</t>
  </si>
  <si>
    <t>P-002 5kV VFD1 Motor Torque</t>
  </si>
  <si>
    <t>P-002 V-121 Sealpot Pressure HIHI Alarm</t>
  </si>
  <si>
    <t>HMI_ALARM</t>
  </si>
  <si>
    <t>SCADA_ALARM</t>
  </si>
  <si>
    <t>ZSO/C_253</t>
  </si>
  <si>
    <t>DPIT_754.AH</t>
  </si>
  <si>
    <t>BC-1-DISCON</t>
  </si>
  <si>
    <t>Pump Suction Pressure Low Alarm</t>
  </si>
  <si>
    <t>PIT_060.AL</t>
  </si>
  <si>
    <t>VFD1_ML_Alarm</t>
  </si>
  <si>
    <t>VFD1_LOCAL.Alarm</t>
  </si>
  <si>
    <t>VFD1_ALARM.Alarm</t>
  </si>
  <si>
    <t>VFD1_BS.Alarm</t>
  </si>
  <si>
    <t>FB002_LO.Alarm</t>
  </si>
  <si>
    <t>FB002_B_TEST.Alarm</t>
  </si>
  <si>
    <t>FB002_TR.Alarm</t>
  </si>
  <si>
    <t>FB002_RT.Alarm</t>
  </si>
  <si>
    <t>FB002_CPR3.Alarm</t>
  </si>
  <si>
    <t>FB002_CPR2.Alarm</t>
  </si>
  <si>
    <t>FB002_CPR1.Alarm</t>
  </si>
  <si>
    <t>VFD2_LOCAL.Alarm</t>
  </si>
  <si>
    <t>VFD2_ALARM.Alarm</t>
  </si>
  <si>
    <t>VFD2_BS.Alarm</t>
  </si>
  <si>
    <t>VFD2_ML_ALARM.Alarm</t>
  </si>
  <si>
    <t>FB003_SEL_CF.Alarm</t>
  </si>
  <si>
    <t>FB003_SEL_AUXT.Alarm</t>
  </si>
  <si>
    <t>FB003_LO.Alarm</t>
  </si>
  <si>
    <t>FB003_RT.Alarm</t>
  </si>
  <si>
    <t>FB003_TR.Alarm</t>
  </si>
  <si>
    <t>FB003_B_TEST.Alarm</t>
  </si>
  <si>
    <t>FB003_CPR3.Alarm</t>
  </si>
  <si>
    <t>FB003_CPR2.Alarm</t>
  </si>
  <si>
    <t>FB003_CPR1.Alarm</t>
  </si>
  <si>
    <t>FB002_SEL_CF.Alarm</t>
  </si>
  <si>
    <t>FB002_SEL_AUXT.Alarm</t>
  </si>
  <si>
    <t>FB001_SEL_CF.Alarm</t>
  </si>
  <si>
    <t>FB001_SEL_AUXT.Alarm</t>
  </si>
  <si>
    <t>FB001_LO.Alarm</t>
  </si>
  <si>
    <t>FB001_RT.Alarm</t>
  </si>
  <si>
    <t>FB001_RS.Alarm</t>
  </si>
  <si>
    <t>FB001_TR.Alarm</t>
  </si>
  <si>
    <t>FB001_A_CON.Alarm</t>
  </si>
  <si>
    <t>FB001_CPR3.Alarm</t>
  </si>
  <si>
    <t>FB001_CPR2.Alarm</t>
  </si>
  <si>
    <t>FB001_CPR1.Alarm</t>
  </si>
  <si>
    <t>MB001_330_NGR.Alarm</t>
  </si>
  <si>
    <t>MB001_330_GF.Alarm</t>
  </si>
  <si>
    <t>MB001_330_CF.Alarm</t>
  </si>
  <si>
    <t>MB001_SEL_CF.Alarm</t>
  </si>
  <si>
    <t>MB001_SEL_AUXT.Alarm</t>
  </si>
  <si>
    <t>MB001_RT.Alarm</t>
  </si>
  <si>
    <t>MB001_TR.Alarm</t>
  </si>
  <si>
    <t>MB001_B_TEST.Alarm</t>
  </si>
  <si>
    <t>MB001_CPR3.Alarm</t>
  </si>
  <si>
    <t>MB001_CPR2.Alarm</t>
  </si>
  <si>
    <t>UPS1_EOD.Alarm</t>
  </si>
  <si>
    <t>UPS1_BC_LV.Alarm</t>
  </si>
  <si>
    <t>UPS1_SERV_AL.Alarm</t>
  </si>
  <si>
    <t>UPS1_SYNC_FAIL.Alarm</t>
  </si>
  <si>
    <t>UPS1_FAIL.Alarm</t>
  </si>
  <si>
    <t>UPS1_TRANS_AL.Alarm</t>
  </si>
  <si>
    <t>BC2_EOD.Alarm</t>
  </si>
  <si>
    <t>BC2_FAIL.Alarm</t>
  </si>
  <si>
    <t>BC1_GF.Alarm</t>
  </si>
  <si>
    <t>BC1_EOD.Alarm</t>
  </si>
  <si>
    <t>BC1_FAIL.Alarm</t>
  </si>
  <si>
    <t>_480V_NGR_FAIL.Alarm</t>
  </si>
  <si>
    <t>_480V_GND_FAULT.Alarm</t>
  </si>
  <si>
    <t>ZS_064.Alarm</t>
  </si>
  <si>
    <t>ZS_054.Alarm</t>
  </si>
  <si>
    <t>HTR_753.Alarm</t>
  </si>
  <si>
    <t>HS_223.Alarm</t>
  </si>
  <si>
    <t>HS_222.Alarm</t>
  </si>
  <si>
    <t>HS_221.Alarm</t>
  </si>
  <si>
    <t>HS_212.Alarm</t>
  </si>
  <si>
    <t>HS_211.Alarm</t>
  </si>
  <si>
    <t>HS_061.Alarm</t>
  </si>
  <si>
    <t>HS_051.Alarm</t>
  </si>
  <si>
    <t>HS_070.Alarm</t>
  </si>
  <si>
    <t>NGL P/L Riser Pressure Low Alarm</t>
  </si>
  <si>
    <t>NGL P/L Riser Pressure LOLO Alarm</t>
  </si>
  <si>
    <t>PIT_051.AL</t>
  </si>
  <si>
    <t>PIT_051.ALL</t>
  </si>
  <si>
    <t>3000 kPag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</si>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</sst>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;[Red]0"/>
    <numFmt numFmtId="165" formatCode="0.0;[Red]0.0"/>
    <numFmt numFmtId="166" formatCode="0.0"/>
  </numFmts>
  <fonts count="19" x14ac:knownFonts="1">
    <font>
      <sz val="10"/>
      <name val="Arial"/>
    </font>
    <font>
      <b/>
      <sz val="12"/>
      <name val="Arial"/>
      <family val="2"/>
    </font>
    <font>
      <sz val="10"/>
      <name val="Tahoma"/>
      <family val="2"/>
    </font>
    <font>
      <sz val="20"/>
      <name val="Tahoma"/>
      <family val="2"/>
    </font>
    <font>
      <b/>
      <sz val="20"/>
      <name val="Tahoma"/>
      <family val="2"/>
    </font>
    <font>
      <b/>
      <sz val="24"/>
      <name val="Tahoma"/>
      <family val="2"/>
    </font>
    <font>
      <sz val="8"/>
      <name val="Tahoma"/>
      <family val="2"/>
    </font>
    <font>
      <sz val="12"/>
      <name val="Tahoma"/>
      <family val="2"/>
    </font>
    <font>
      <sz val="12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0"/>
      <color rgb="FF000000"/>
      <name val="Arial"/>
      <family val="2"/>
    </font>
    <font>
      <sz val="11"/>
      <color rgb="FF9C0006"/>
      <name val="Calibri"/>
      <family val="2"/>
      <scheme val="minor"/>
    </font>
    <font>
      <b/>
      <u/>
      <sz val="12"/>
      <name val="Arial"/>
      <family val="2"/>
    </font>
    <font>
      <sz val="11"/>
      <color rgb="FF006100"/>
      <name val="Calibri"/>
      <family val="2"/>
      <scheme val="minor"/>
    </font>
    <font>
      <sz val="12"/>
      <color rgb="FF9C0006"/>
      <name val="Arial"/>
      <family val="2"/>
    </font>
    <font>
      <sz val="12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63">
    <border>
      <left/>
      <right/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/>
      <diagonal/>
    </border>
  </borders>
  <cellStyleXfs count="33123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2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4" fillId="3" borderId="0" applyNumberFormat="0" applyBorder="0" applyAlignment="0" applyProtection="0"/>
  </cellStyleXfs>
  <cellXfs count="719">
    <xf numFmtId="0" fontId="0" fillId="0" borderId="0" xfId="0"/>
    <xf numFmtId="0" fontId="3" fillId="0" borderId="13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0" xfId="0" applyFont="1"/>
    <xf numFmtId="0" fontId="3" fillId="0" borderId="14" xfId="0" applyFont="1" applyBorder="1"/>
    <xf numFmtId="0" fontId="3" fillId="0" borderId="0" xfId="0" applyFont="1" applyBorder="1"/>
    <xf numFmtId="0" fontId="3" fillId="0" borderId="7" xfId="0" applyFont="1" applyBorder="1"/>
    <xf numFmtId="0" fontId="4" fillId="0" borderId="0" xfId="0" applyFont="1" applyBorder="1"/>
    <xf numFmtId="0" fontId="3" fillId="0" borderId="14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2" fillId="0" borderId="23" xfId="0" applyFont="1" applyBorder="1" applyAlignment="1">
      <alignment horizontal="center"/>
    </xf>
    <xf numFmtId="0" fontId="2" fillId="0" borderId="22" xfId="0" applyFont="1" applyBorder="1"/>
    <xf numFmtId="0" fontId="2" fillId="0" borderId="22" xfId="0" applyFont="1" applyBorder="1" applyAlignment="1">
      <alignment horizontal="center"/>
    </xf>
    <xf numFmtId="0" fontId="2" fillId="0" borderId="23" xfId="0" applyFont="1" applyFill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14" xfId="0" applyFont="1" applyBorder="1"/>
    <xf numFmtId="0" fontId="2" fillId="0" borderId="0" xfId="0" applyFont="1" applyBorder="1"/>
    <xf numFmtId="0" fontId="2" fillId="0" borderId="26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0" xfId="0" applyFont="1"/>
    <xf numFmtId="0" fontId="3" fillId="0" borderId="3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8" xfId="0" applyFont="1" applyBorder="1"/>
    <xf numFmtId="0" fontId="3" fillId="0" borderId="9" xfId="0" applyFont="1" applyBorder="1"/>
    <xf numFmtId="0" fontId="3" fillId="0" borderId="11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16" xfId="0" applyFont="1" applyBorder="1" applyAlignment="1">
      <alignment horizontal="left"/>
    </xf>
    <xf numFmtId="0" fontId="3" fillId="0" borderId="32" xfId="0" applyFont="1" applyBorder="1" applyAlignment="1">
      <alignment horizontal="center"/>
    </xf>
    <xf numFmtId="0" fontId="3" fillId="0" borderId="33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6" fillId="0" borderId="13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14" xfId="0" applyFont="1" applyBorder="1"/>
    <xf numFmtId="0" fontId="6" fillId="0" borderId="0" xfId="0" applyFont="1" applyBorder="1"/>
    <xf numFmtId="0" fontId="6" fillId="0" borderId="7" xfId="0" applyFont="1" applyBorder="1"/>
    <xf numFmtId="0" fontId="6" fillId="0" borderId="8" xfId="0" applyFont="1" applyBorder="1"/>
    <xf numFmtId="0" fontId="6" fillId="0" borderId="9" xfId="0" applyFont="1" applyBorder="1"/>
    <xf numFmtId="0" fontId="6" fillId="0" borderId="10" xfId="0" applyFont="1" applyBorder="1"/>
    <xf numFmtId="0" fontId="7" fillId="0" borderId="9" xfId="0" applyFont="1" applyBorder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4" xfId="0" applyFont="1" applyFill="1" applyBorder="1" applyAlignment="1">
      <alignment horizontal="center"/>
    </xf>
    <xf numFmtId="166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Border="1" applyAlignment="1">
      <alignment vertical="center"/>
    </xf>
    <xf numFmtId="49" fontId="2" fillId="0" borderId="0" xfId="0" applyNumberFormat="1" applyFont="1" applyAlignment="1">
      <alignment horizontal="center"/>
    </xf>
    <xf numFmtId="0" fontId="5" fillId="0" borderId="0" xfId="0" applyFont="1" applyBorder="1"/>
    <xf numFmtId="0" fontId="3" fillId="0" borderId="0" xfId="0" applyFont="1" applyBorder="1"/>
    <xf numFmtId="49" fontId="3" fillId="0" borderId="0" xfId="0" applyNumberFormat="1" applyFont="1" applyBorder="1"/>
    <xf numFmtId="15" fontId="2" fillId="0" borderId="4" xfId="0" applyNumberFormat="1" applyFont="1" applyBorder="1" applyAlignment="1">
      <alignment horizontal="center"/>
    </xf>
    <xf numFmtId="0" fontId="2" fillId="0" borderId="26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15" xfId="0" applyFont="1" applyBorder="1" applyAlignment="1">
      <alignment horizontal="left"/>
    </xf>
    <xf numFmtId="0" fontId="2" fillId="0" borderId="33" xfId="0" applyFont="1" applyBorder="1" applyAlignment="1">
      <alignment horizontal="center"/>
    </xf>
    <xf numFmtId="0" fontId="2" fillId="0" borderId="16" xfId="0" applyFont="1" applyBorder="1" applyAlignment="1">
      <alignment horizontal="left"/>
    </xf>
    <xf numFmtId="15" fontId="2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38" xfId="0" applyFont="1" applyBorder="1" applyAlignment="1">
      <alignment horizontal="left"/>
    </xf>
    <xf numFmtId="0" fontId="2" fillId="0" borderId="9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15" fontId="2" fillId="0" borderId="46" xfId="0" applyNumberFormat="1" applyFont="1" applyBorder="1" applyAlignment="1">
      <alignment horizontal="center"/>
    </xf>
    <xf numFmtId="0" fontId="2" fillId="0" borderId="46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8" fillId="0" borderId="3" xfId="0" applyNumberFormat="1" applyFont="1" applyFill="1" applyBorder="1" applyAlignment="1">
      <alignment horizontal="center" vertical="center"/>
    </xf>
    <xf numFmtId="0" fontId="8" fillId="0" borderId="11" xfId="0" applyNumberFormat="1" applyFont="1" applyFill="1" applyBorder="1" applyAlignment="1">
      <alignment horizontal="center" vertical="center"/>
    </xf>
    <xf numFmtId="0" fontId="8" fillId="0" borderId="11" xfId="0" applyNumberFormat="1" applyFont="1" applyFill="1" applyBorder="1" applyAlignment="1" applyProtection="1">
      <alignment horizontal="center" vertical="center"/>
      <protection locked="0"/>
    </xf>
    <xf numFmtId="0" fontId="8" fillId="0" borderId="4" xfId="0" applyNumberFormat="1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3" xfId="0" applyNumberFormat="1" applyFont="1" applyFill="1" applyBorder="1" applyAlignment="1" applyProtection="1">
      <alignment vertical="center"/>
      <protection locked="0"/>
    </xf>
    <xf numFmtId="0" fontId="8" fillId="0" borderId="16" xfId="0" applyNumberFormat="1" applyFont="1" applyFill="1" applyBorder="1" applyAlignment="1">
      <alignment horizontal="center" vertical="center"/>
    </xf>
    <xf numFmtId="0" fontId="8" fillId="0" borderId="3" xfId="0" applyNumberFormat="1" applyFont="1" applyFill="1" applyBorder="1" applyAlignment="1" applyProtection="1">
      <alignment horizontal="center" vertical="center"/>
      <protection locked="0"/>
    </xf>
    <xf numFmtId="0" fontId="8" fillId="0" borderId="3" xfId="0" applyNumberFormat="1" applyFont="1" applyFill="1" applyBorder="1" applyAlignment="1">
      <alignment vertical="center"/>
    </xf>
    <xf numFmtId="0" fontId="8" fillId="0" borderId="16" xfId="0" applyFont="1" applyFill="1" applyBorder="1" applyAlignment="1">
      <alignment horizontal="center" vertical="center"/>
    </xf>
    <xf numFmtId="0" fontId="8" fillId="0" borderId="21" xfId="0" applyNumberFormat="1" applyFont="1" applyFill="1" applyBorder="1" applyAlignment="1">
      <alignment horizontal="center" vertical="center"/>
    </xf>
    <xf numFmtId="0" fontId="8" fillId="0" borderId="21" xfId="0" applyNumberFormat="1" applyFont="1" applyFill="1" applyBorder="1" applyAlignment="1">
      <alignment vertical="center"/>
    </xf>
    <xf numFmtId="0" fontId="8" fillId="0" borderId="30" xfId="0" applyNumberFormat="1" applyFont="1" applyFill="1" applyBorder="1" applyAlignment="1">
      <alignment horizontal="center" vertical="center"/>
    </xf>
    <xf numFmtId="0" fontId="8" fillId="0" borderId="12" xfId="0" applyNumberFormat="1" applyFont="1" applyFill="1" applyBorder="1" applyAlignment="1">
      <alignment horizontal="center" vertical="center"/>
    </xf>
    <xf numFmtId="0" fontId="8" fillId="0" borderId="18" xfId="0" applyNumberFormat="1" applyFont="1" applyFill="1" applyBorder="1" applyAlignment="1">
      <alignment horizontal="center" vertical="center"/>
    </xf>
    <xf numFmtId="0" fontId="8" fillId="0" borderId="12" xfId="0" applyNumberFormat="1" applyFont="1" applyFill="1" applyBorder="1" applyAlignment="1" applyProtection="1">
      <alignment horizontal="center" vertical="center"/>
      <protection locked="0"/>
    </xf>
    <xf numFmtId="0" fontId="8" fillId="0" borderId="3" xfId="16477" applyNumberFormat="1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/>
    </xf>
    <xf numFmtId="0" fontId="8" fillId="0" borderId="11" xfId="0" applyNumberFormat="1" applyFont="1" applyFill="1" applyBorder="1" applyAlignment="1">
      <alignment vertical="center"/>
    </xf>
    <xf numFmtId="0" fontId="8" fillId="0" borderId="17" xfId="0" applyNumberFormat="1" applyFont="1" applyFill="1" applyBorder="1" applyAlignment="1">
      <alignment horizontal="center" vertical="center"/>
    </xf>
    <xf numFmtId="0" fontId="8" fillId="0" borderId="4" xfId="0" applyNumberFormat="1" applyFont="1" applyFill="1" applyBorder="1" applyAlignment="1" applyProtection="1">
      <alignment horizontal="center" vertical="center"/>
      <protection locked="0"/>
    </xf>
    <xf numFmtId="0" fontId="8" fillId="0" borderId="4" xfId="0" applyNumberFormat="1" applyFont="1" applyFill="1" applyBorder="1" applyAlignment="1" applyProtection="1">
      <alignment vertical="center"/>
      <protection locked="0"/>
    </xf>
    <xf numFmtId="0" fontId="8" fillId="0" borderId="15" xfId="0" applyNumberFormat="1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/>
    </xf>
    <xf numFmtId="0" fontId="8" fillId="0" borderId="3" xfId="0" applyFont="1" applyFill="1" applyBorder="1"/>
    <xf numFmtId="0" fontId="8" fillId="0" borderId="16" xfId="0" applyFont="1" applyFill="1" applyBorder="1" applyAlignment="1">
      <alignment horizontal="center"/>
    </xf>
    <xf numFmtId="0" fontId="13" fillId="0" borderId="3" xfId="0" applyNumberFormat="1" applyFont="1" applyFill="1" applyBorder="1" applyAlignment="1" applyProtection="1">
      <alignment horizontal="center" vertical="center"/>
      <protection locked="0"/>
    </xf>
    <xf numFmtId="0" fontId="8" fillId="0" borderId="21" xfId="0" applyFont="1" applyFill="1" applyBorder="1" applyAlignment="1">
      <alignment horizontal="center" vertical="center"/>
    </xf>
    <xf numFmtId="0" fontId="8" fillId="0" borderId="21" xfId="0" applyFont="1" applyFill="1" applyBorder="1"/>
    <xf numFmtId="0" fontId="8" fillId="0" borderId="21" xfId="0" applyFont="1" applyFill="1" applyBorder="1" applyAlignment="1">
      <alignment horizontal="center"/>
    </xf>
    <xf numFmtId="0" fontId="8" fillId="0" borderId="30" xfId="0" applyFont="1" applyFill="1" applyBorder="1" applyAlignment="1">
      <alignment horizontal="center"/>
    </xf>
    <xf numFmtId="0" fontId="8" fillId="0" borderId="12" xfId="0" applyFont="1" applyFill="1" applyBorder="1" applyAlignment="1">
      <alignment horizontal="center" vertical="center"/>
    </xf>
    <xf numFmtId="0" fontId="8" fillId="0" borderId="12" xfId="0" applyFont="1" applyFill="1" applyBorder="1"/>
    <xf numFmtId="0" fontId="8" fillId="0" borderId="12" xfId="0" applyFont="1" applyFill="1" applyBorder="1" applyAlignment="1">
      <alignment horizontal="center"/>
    </xf>
    <xf numFmtId="0" fontId="8" fillId="0" borderId="18" xfId="0" applyFont="1" applyFill="1" applyBorder="1" applyAlignment="1">
      <alignment horizontal="center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8" fillId="0" borderId="11" xfId="0" applyFont="1" applyFill="1" applyBorder="1" applyAlignment="1">
      <alignment vertical="center"/>
    </xf>
    <xf numFmtId="0" fontId="8" fillId="0" borderId="11" xfId="0" applyFont="1" applyFill="1" applyBorder="1" applyAlignment="1" applyProtection="1">
      <alignment horizontal="center" vertical="center"/>
      <protection locked="0"/>
    </xf>
    <xf numFmtId="0" fontId="8" fillId="0" borderId="17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>
      <alignment vertical="center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15" xfId="0" applyNumberFormat="1" applyFont="1" applyFill="1" applyBorder="1" applyAlignment="1" applyProtection="1">
      <alignment horizontal="center" vertical="center"/>
      <protection locked="0"/>
    </xf>
    <xf numFmtId="0" fontId="8" fillId="0" borderId="3" xfId="16477" applyFont="1" applyFill="1" applyBorder="1"/>
    <xf numFmtId="0" fontId="8" fillId="0" borderId="3" xfId="16477" applyFont="1" applyFill="1" applyBorder="1" applyAlignment="1">
      <alignment horizontal="center"/>
    </xf>
    <xf numFmtId="0" fontId="8" fillId="0" borderId="16" xfId="16477" applyFont="1" applyFill="1" applyBorder="1" applyAlignment="1">
      <alignment horizontal="center"/>
    </xf>
    <xf numFmtId="0" fontId="8" fillId="0" borderId="21" xfId="0" applyNumberFormat="1" applyFont="1" applyFill="1" applyBorder="1" applyAlignment="1" applyProtection="1">
      <alignment vertical="center"/>
      <protection locked="0"/>
    </xf>
    <xf numFmtId="0" fontId="8" fillId="0" borderId="21" xfId="0" applyFont="1" applyFill="1" applyBorder="1" applyAlignment="1" applyProtection="1">
      <alignment horizontal="center" vertical="center"/>
      <protection locked="0"/>
    </xf>
    <xf numFmtId="0" fontId="8" fillId="0" borderId="21" xfId="16477" applyFont="1" applyFill="1" applyBorder="1" applyAlignment="1">
      <alignment horizontal="center"/>
    </xf>
    <xf numFmtId="0" fontId="8" fillId="0" borderId="30" xfId="16477" applyFont="1" applyFill="1" applyBorder="1" applyAlignment="1">
      <alignment horizontal="center"/>
    </xf>
    <xf numFmtId="0" fontId="13" fillId="0" borderId="12" xfId="0" applyNumberFormat="1" applyFont="1" applyFill="1" applyBorder="1" applyAlignment="1" applyProtection="1">
      <alignment horizontal="center" vertical="center"/>
      <protection locked="0"/>
    </xf>
    <xf numFmtId="0" fontId="8" fillId="0" borderId="12" xfId="0" applyFont="1" applyFill="1" applyBorder="1" applyAlignment="1" applyProtection="1">
      <alignment horizontal="center" vertical="center"/>
      <protection locked="0"/>
    </xf>
    <xf numFmtId="0" fontId="8" fillId="0" borderId="12" xfId="16477" applyFont="1" applyFill="1" applyBorder="1" applyAlignment="1">
      <alignment horizontal="center"/>
    </xf>
    <xf numFmtId="0" fontId="8" fillId="0" borderId="18" xfId="16477" applyFont="1" applyFill="1" applyBorder="1" applyAlignment="1">
      <alignment horizontal="center"/>
    </xf>
    <xf numFmtId="0" fontId="8" fillId="0" borderId="11" xfId="0" applyFont="1" applyFill="1" applyBorder="1" applyAlignment="1">
      <alignment horizontal="center"/>
    </xf>
    <xf numFmtId="0" fontId="8" fillId="0" borderId="11" xfId="0" applyNumberFormat="1" applyFont="1" applyFill="1" applyBorder="1" applyAlignment="1" applyProtection="1">
      <alignment vertical="center"/>
      <protection locked="0"/>
    </xf>
    <xf numFmtId="0" fontId="8" fillId="0" borderId="11" xfId="16477" applyFont="1" applyFill="1" applyBorder="1" applyAlignment="1">
      <alignment horizontal="center"/>
    </xf>
    <xf numFmtId="0" fontId="8" fillId="0" borderId="17" xfId="16477" applyFont="1" applyFill="1" applyBorder="1" applyAlignment="1">
      <alignment horizontal="center"/>
    </xf>
    <xf numFmtId="0" fontId="8" fillId="0" borderId="4" xfId="0" applyFont="1" applyFill="1" applyBorder="1" applyAlignment="1">
      <alignment horizontal="center"/>
    </xf>
    <xf numFmtId="0" fontId="8" fillId="0" borderId="4" xfId="0" applyFont="1" applyFill="1" applyBorder="1" applyAlignment="1">
      <alignment horizontal="center" vertical="center"/>
    </xf>
    <xf numFmtId="0" fontId="8" fillId="0" borderId="4" xfId="16477" applyFont="1" applyFill="1" applyBorder="1" applyAlignment="1">
      <alignment horizontal="center"/>
    </xf>
    <xf numFmtId="0" fontId="8" fillId="0" borderId="15" xfId="16477" applyFont="1" applyFill="1" applyBorder="1" applyAlignment="1">
      <alignment horizontal="center"/>
    </xf>
    <xf numFmtId="0" fontId="8" fillId="0" borderId="12" xfId="0" applyNumberFormat="1" applyFont="1" applyFill="1" applyBorder="1" applyAlignment="1" applyProtection="1">
      <alignment vertical="center"/>
      <protection locked="0"/>
    </xf>
    <xf numFmtId="0" fontId="8" fillId="0" borderId="16" xfId="0" applyNumberFormat="1" applyFont="1" applyFill="1" applyBorder="1" applyAlignment="1" applyProtection="1">
      <alignment horizontal="center" vertical="center"/>
      <protection locked="0"/>
    </xf>
    <xf numFmtId="0" fontId="8" fillId="0" borderId="17" xfId="0" applyNumberFormat="1" applyFont="1" applyFill="1" applyBorder="1" applyAlignment="1" applyProtection="1">
      <alignment horizontal="center" vertical="center"/>
      <protection locked="0"/>
    </xf>
    <xf numFmtId="0" fontId="8" fillId="0" borderId="1" xfId="0" applyFont="1" applyFill="1" applyBorder="1" applyAlignment="1">
      <alignment horizontal="center" vertical="center"/>
    </xf>
    <xf numFmtId="0" fontId="8" fillId="0" borderId="52" xfId="0" applyFont="1" applyFill="1" applyBorder="1" applyAlignment="1">
      <alignment horizontal="center" vertical="center"/>
    </xf>
    <xf numFmtId="0" fontId="8" fillId="0" borderId="18" xfId="0" applyFont="1" applyFill="1" applyBorder="1" applyAlignment="1">
      <alignment horizontal="center" vertical="center"/>
    </xf>
    <xf numFmtId="0" fontId="8" fillId="0" borderId="49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2" xfId="0" applyFont="1" applyFill="1" applyBorder="1" applyAlignment="1">
      <alignment horizontal="center" vertical="center"/>
    </xf>
    <xf numFmtId="0" fontId="8" fillId="0" borderId="26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 textRotation="90"/>
    </xf>
    <xf numFmtId="0" fontId="8" fillId="0" borderId="3" xfId="0" applyFont="1" applyFill="1" applyBorder="1" applyAlignment="1">
      <alignment horizontal="center" vertical="center" textRotation="90"/>
    </xf>
    <xf numFmtId="0" fontId="8" fillId="0" borderId="42" xfId="0" applyFont="1" applyFill="1" applyBorder="1" applyAlignment="1">
      <alignment horizontal="center" vertical="center" textRotation="90"/>
    </xf>
    <xf numFmtId="0" fontId="8" fillId="0" borderId="3" xfId="0" applyNumberFormat="1" applyFont="1" applyFill="1" applyBorder="1" applyAlignment="1" applyProtection="1">
      <alignment horizontal="center" vertical="center" textRotation="90"/>
      <protection locked="0"/>
    </xf>
    <xf numFmtId="0" fontId="8" fillId="0" borderId="26" xfId="0" applyNumberFormat="1" applyFont="1" applyFill="1" applyBorder="1" applyAlignment="1" applyProtection="1">
      <alignment horizontal="center" vertical="center" textRotation="90"/>
      <protection locked="0"/>
    </xf>
    <xf numFmtId="0" fontId="8" fillId="0" borderId="42" xfId="0" applyNumberFormat="1" applyFont="1" applyFill="1" applyBorder="1" applyAlignment="1" applyProtection="1">
      <alignment horizontal="center" vertical="center" textRotation="90"/>
      <protection locked="0"/>
    </xf>
    <xf numFmtId="0" fontId="8" fillId="0" borderId="2" xfId="0" applyNumberFormat="1" applyFont="1" applyFill="1" applyBorder="1" applyAlignment="1" applyProtection="1">
      <alignment horizontal="center" vertical="center" textRotation="90"/>
      <protection locked="0"/>
    </xf>
    <xf numFmtId="0" fontId="8" fillId="0" borderId="16" xfId="0" applyNumberFormat="1" applyFont="1" applyFill="1" applyBorder="1" applyAlignment="1" applyProtection="1">
      <alignment horizontal="center" vertical="center" textRotation="90"/>
      <protection locked="0"/>
    </xf>
    <xf numFmtId="0" fontId="8" fillId="0" borderId="3" xfId="0" applyNumberFormat="1" applyFont="1" applyFill="1" applyBorder="1" applyAlignment="1">
      <alignment horizontal="center" textRotation="90"/>
    </xf>
    <xf numFmtId="0" fontId="13" fillId="0" borderId="3" xfId="0" quotePrefix="1" applyNumberFormat="1" applyFont="1" applyFill="1" applyBorder="1" applyAlignment="1">
      <alignment horizontal="center" vertical="center" textRotation="90"/>
    </xf>
    <xf numFmtId="0" fontId="8" fillId="0" borderId="16" xfId="0" applyNumberFormat="1" applyFont="1" applyFill="1" applyBorder="1" applyAlignment="1">
      <alignment horizontal="center" textRotation="90"/>
    </xf>
    <xf numFmtId="0" fontId="8" fillId="0" borderId="26" xfId="0" applyNumberFormat="1" applyFont="1" applyFill="1" applyBorder="1" applyAlignment="1">
      <alignment horizontal="center" textRotation="90"/>
    </xf>
    <xf numFmtId="0" fontId="8" fillId="0" borderId="42" xfId="0" applyNumberFormat="1" applyFont="1" applyFill="1" applyBorder="1" applyAlignment="1">
      <alignment horizontal="center" textRotation="90"/>
    </xf>
    <xf numFmtId="0" fontId="8" fillId="0" borderId="2" xfId="0" applyNumberFormat="1" applyFont="1" applyFill="1" applyBorder="1" applyAlignment="1">
      <alignment horizontal="center" textRotation="90"/>
    </xf>
    <xf numFmtId="0" fontId="8" fillId="0" borderId="16" xfId="0" quotePrefix="1" applyNumberFormat="1" applyFont="1" applyFill="1" applyBorder="1" applyAlignment="1">
      <alignment horizontal="center" textRotation="90"/>
    </xf>
    <xf numFmtId="0" fontId="8" fillId="0" borderId="3" xfId="0" quotePrefix="1" applyNumberFormat="1" applyFont="1" applyFill="1" applyBorder="1" applyAlignment="1">
      <alignment horizontal="center" textRotation="90"/>
    </xf>
    <xf numFmtId="0" fontId="8" fillId="0" borderId="3" xfId="0" applyNumberFormat="1" applyFont="1" applyFill="1" applyBorder="1" applyAlignment="1" applyProtection="1">
      <alignment horizontal="center" textRotation="90"/>
      <protection locked="0"/>
    </xf>
    <xf numFmtId="0" fontId="13" fillId="0" borderId="2" xfId="0" quotePrefix="1" applyNumberFormat="1" applyFont="1" applyFill="1" applyBorder="1" applyAlignment="1">
      <alignment horizontal="center" vertical="center" textRotation="90"/>
    </xf>
    <xf numFmtId="0" fontId="13" fillId="0" borderId="42" xfId="0" quotePrefix="1" applyNumberFormat="1" applyFont="1" applyFill="1" applyBorder="1" applyAlignment="1">
      <alignment horizontal="center" vertical="center" textRotation="90"/>
    </xf>
    <xf numFmtId="0" fontId="8" fillId="0" borderId="42" xfId="0" quotePrefix="1" applyNumberFormat="1" applyFont="1" applyFill="1" applyBorder="1" applyAlignment="1">
      <alignment horizontal="center" textRotation="90"/>
    </xf>
    <xf numFmtId="0" fontId="8" fillId="0" borderId="26" xfId="0" quotePrefix="1" applyNumberFormat="1" applyFont="1" applyFill="1" applyBorder="1" applyAlignment="1">
      <alignment horizontal="center" textRotation="90"/>
    </xf>
    <xf numFmtId="0" fontId="8" fillId="0" borderId="2" xfId="0" quotePrefix="1" applyNumberFormat="1" applyFont="1" applyFill="1" applyBorder="1" applyAlignment="1">
      <alignment horizontal="center" textRotation="90"/>
    </xf>
    <xf numFmtId="0" fontId="8" fillId="0" borderId="26" xfId="0" applyNumberFormat="1" applyFont="1" applyFill="1" applyBorder="1" applyAlignment="1" applyProtection="1">
      <alignment horizontal="center" textRotation="90"/>
      <protection locked="0"/>
    </xf>
    <xf numFmtId="0" fontId="8" fillId="0" borderId="37" xfId="0" applyFont="1" applyFill="1" applyBorder="1" applyAlignment="1">
      <alignment horizontal="center" vertical="center" textRotation="90"/>
    </xf>
    <xf numFmtId="0" fontId="8" fillId="0" borderId="21" xfId="0" applyFont="1" applyFill="1" applyBorder="1" applyAlignment="1">
      <alignment horizontal="center" vertical="center" textRotation="90"/>
    </xf>
    <xf numFmtId="0" fontId="8" fillId="0" borderId="54" xfId="0" applyFont="1" applyFill="1" applyBorder="1" applyAlignment="1">
      <alignment horizontal="center" vertical="center" textRotation="90"/>
    </xf>
    <xf numFmtId="0" fontId="8" fillId="0" borderId="21" xfId="0" applyNumberFormat="1" applyFont="1" applyFill="1" applyBorder="1" applyAlignment="1" applyProtection="1">
      <alignment horizontal="center" vertical="center" textRotation="90"/>
      <protection locked="0"/>
    </xf>
    <xf numFmtId="0" fontId="8" fillId="0" borderId="30" xfId="0" applyNumberFormat="1" applyFont="1" applyFill="1" applyBorder="1" applyAlignment="1" applyProtection="1">
      <alignment horizontal="center" vertical="center" textRotation="90"/>
      <protection locked="0"/>
    </xf>
    <xf numFmtId="0" fontId="8" fillId="0" borderId="47" xfId="0" applyNumberFormat="1" applyFont="1" applyFill="1" applyBorder="1" applyAlignment="1" applyProtection="1">
      <alignment horizontal="center" vertical="center" textRotation="90"/>
      <protection locked="0"/>
    </xf>
    <xf numFmtId="0" fontId="8" fillId="0" borderId="54" xfId="0" applyNumberFormat="1" applyFont="1" applyFill="1" applyBorder="1" applyAlignment="1" applyProtection="1">
      <alignment horizontal="center" vertical="center" textRotation="90"/>
      <protection locked="0"/>
    </xf>
    <xf numFmtId="0" fontId="8" fillId="0" borderId="37" xfId="0" applyNumberFormat="1" applyFont="1" applyFill="1" applyBorder="1" applyAlignment="1" applyProtection="1">
      <alignment horizontal="center" vertical="center" textRotation="90"/>
      <protection locked="0"/>
    </xf>
    <xf numFmtId="0" fontId="8" fillId="0" borderId="21" xfId="0" applyNumberFormat="1" applyFont="1" applyFill="1" applyBorder="1" applyAlignment="1">
      <alignment horizontal="center" textRotation="90"/>
    </xf>
    <xf numFmtId="0" fontId="8" fillId="0" borderId="42" xfId="0" applyNumberFormat="1" applyFont="1" applyFill="1" applyBorder="1" applyAlignment="1">
      <alignment horizontal="center" vertical="center"/>
    </xf>
    <xf numFmtId="0" fontId="8" fillId="0" borderId="42" xfId="0" applyFont="1" applyFill="1" applyBorder="1" applyAlignment="1">
      <alignment horizontal="center"/>
    </xf>
    <xf numFmtId="0" fontId="8" fillId="0" borderId="3" xfId="0" applyFont="1" applyFill="1" applyBorder="1" applyAlignment="1">
      <alignment vertical="center"/>
    </xf>
    <xf numFmtId="0" fontId="8" fillId="0" borderId="42" xfId="0" applyNumberFormat="1" applyFont="1" applyFill="1" applyBorder="1" applyAlignment="1" applyProtection="1">
      <alignment horizontal="center" vertical="center"/>
      <protection locked="0"/>
    </xf>
    <xf numFmtId="0" fontId="8" fillId="0" borderId="16" xfId="0" applyFont="1" applyFill="1" applyBorder="1"/>
    <xf numFmtId="0" fontId="8" fillId="0" borderId="42" xfId="16477" applyFont="1" applyFill="1" applyBorder="1" applyAlignment="1">
      <alignment horizontal="center"/>
    </xf>
    <xf numFmtId="0" fontId="8" fillId="0" borderId="15" xfId="0" applyFont="1" applyFill="1" applyBorder="1" applyAlignment="1">
      <alignment horizontal="center"/>
    </xf>
    <xf numFmtId="0" fontId="8" fillId="0" borderId="58" xfId="0" applyFont="1" applyFill="1" applyBorder="1" applyAlignment="1">
      <alignment horizontal="center"/>
    </xf>
    <xf numFmtId="0" fontId="8" fillId="0" borderId="3" xfId="0" applyNumberFormat="1" applyFont="1" applyFill="1" applyBorder="1" applyAlignment="1">
      <alignment horizontal="left" vertical="center"/>
    </xf>
    <xf numFmtId="0" fontId="8" fillId="0" borderId="14" xfId="0" applyFont="1" applyFill="1" applyBorder="1" applyAlignment="1">
      <alignment horizontal="center" vertical="center"/>
    </xf>
    <xf numFmtId="0" fontId="8" fillId="0" borderId="59" xfId="0" applyFont="1" applyFill="1" applyBorder="1" applyAlignment="1">
      <alignment horizontal="center" vertical="center"/>
    </xf>
    <xf numFmtId="0" fontId="8" fillId="0" borderId="44" xfId="0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 textRotation="90"/>
    </xf>
    <xf numFmtId="0" fontId="8" fillId="0" borderId="11" xfId="0" applyNumberFormat="1" applyFont="1" applyFill="1" applyBorder="1" applyAlignment="1" applyProtection="1">
      <alignment horizontal="center" vertical="center" textRotation="90"/>
      <protection locked="0"/>
    </xf>
    <xf numFmtId="0" fontId="8" fillId="0" borderId="11" xfId="0" applyNumberFormat="1" applyFont="1" applyFill="1" applyBorder="1" applyAlignment="1">
      <alignment horizontal="center" textRotation="90"/>
    </xf>
    <xf numFmtId="0" fontId="8" fillId="0" borderId="21" xfId="0" applyNumberFormat="1" applyFont="1" applyFill="1" applyBorder="1" applyAlignment="1" applyProtection="1">
      <alignment horizontal="center" vertical="center"/>
      <protection locked="0"/>
    </xf>
    <xf numFmtId="0" fontId="13" fillId="0" borderId="4" xfId="0" applyNumberFormat="1" applyFont="1" applyFill="1" applyBorder="1" applyAlignment="1" applyProtection="1">
      <alignment horizontal="center" vertical="center"/>
      <protection locked="0"/>
    </xf>
    <xf numFmtId="0" fontId="8" fillId="0" borderId="4" xfId="0" applyNumberFormat="1" applyFont="1" applyFill="1" applyBorder="1" applyAlignment="1">
      <alignment vertical="center"/>
    </xf>
    <xf numFmtId="0" fontId="8" fillId="0" borderId="12" xfId="0" applyNumberFormat="1" applyFont="1" applyFill="1" applyBorder="1" applyAlignment="1">
      <alignment vertical="center"/>
    </xf>
    <xf numFmtId="0" fontId="8" fillId="0" borderId="18" xfId="0" applyNumberFormat="1" applyFont="1" applyFill="1" applyBorder="1" applyAlignment="1" applyProtection="1">
      <alignment horizontal="center" vertical="center"/>
      <protection locked="0"/>
    </xf>
    <xf numFmtId="0" fontId="8" fillId="0" borderId="30" xfId="0" applyNumberFormat="1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/>
    <xf numFmtId="0" fontId="8" fillId="0" borderId="11" xfId="0" applyFont="1" applyFill="1" applyBorder="1"/>
    <xf numFmtId="0" fontId="8" fillId="0" borderId="17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 vertical="center"/>
    </xf>
    <xf numFmtId="0" fontId="1" fillId="0" borderId="42" xfId="0" applyFont="1" applyFill="1" applyBorder="1" applyAlignment="1">
      <alignment horizontal="center" vertical="center"/>
    </xf>
    <xf numFmtId="0" fontId="1" fillId="0" borderId="2" xfId="0" applyNumberFormat="1" applyFont="1" applyFill="1" applyBorder="1" applyAlignment="1" applyProtection="1">
      <alignment horizontal="center" vertical="center"/>
      <protection locked="0"/>
    </xf>
    <xf numFmtId="0" fontId="1" fillId="0" borderId="3" xfId="0" applyNumberFormat="1" applyFont="1" applyFill="1" applyBorder="1" applyAlignment="1" applyProtection="1">
      <alignment horizontal="center" vertical="center"/>
      <protection locked="0"/>
    </xf>
    <xf numFmtId="0" fontId="1" fillId="0" borderId="42" xfId="0" applyNumberFormat="1" applyFont="1" applyFill="1" applyBorder="1" applyAlignment="1" applyProtection="1">
      <alignment horizontal="center" vertical="center"/>
      <protection locked="0"/>
    </xf>
    <xf numFmtId="0" fontId="1" fillId="0" borderId="11" xfId="0" applyFont="1" applyFill="1" applyBorder="1" applyAlignment="1">
      <alignment horizontal="center" vertical="center"/>
    </xf>
    <xf numFmtId="0" fontId="1" fillId="0" borderId="53" xfId="0" applyFont="1" applyFill="1" applyBorder="1" applyAlignment="1">
      <alignment horizontal="center" vertical="center"/>
    </xf>
    <xf numFmtId="0" fontId="1" fillId="0" borderId="11" xfId="0" applyNumberFormat="1" applyFont="1" applyFill="1" applyBorder="1" applyAlignment="1" applyProtection="1">
      <alignment horizontal="center" vertical="center"/>
      <protection locked="0"/>
    </xf>
    <xf numFmtId="0" fontId="1" fillId="0" borderId="53" xfId="0" applyNumberFormat="1" applyFont="1" applyFill="1" applyBorder="1" applyAlignment="1" applyProtection="1">
      <alignment horizontal="center" vertical="center"/>
      <protection locked="0"/>
    </xf>
    <xf numFmtId="0" fontId="1" fillId="0" borderId="4" xfId="0" applyFont="1" applyFill="1" applyBorder="1" applyAlignment="1">
      <alignment horizontal="center" vertical="center"/>
    </xf>
    <xf numFmtId="0" fontId="1" fillId="0" borderId="50" xfId="0" applyNumberFormat="1" applyFont="1" applyFill="1" applyBorder="1" applyAlignment="1" applyProtection="1">
      <alignment horizontal="center" vertical="center"/>
      <protection locked="0"/>
    </xf>
    <xf numFmtId="0" fontId="1" fillId="0" borderId="4" xfId="0" applyNumberFormat="1" applyFont="1" applyFill="1" applyBorder="1" applyAlignment="1" applyProtection="1">
      <alignment horizontal="center" vertical="center"/>
      <protection locked="0"/>
    </xf>
    <xf numFmtId="0" fontId="1" fillId="0" borderId="55" xfId="0" applyNumberFormat="1" applyFont="1" applyFill="1" applyBorder="1" applyAlignment="1" applyProtection="1">
      <alignment horizontal="center" vertical="center"/>
      <protection locked="0"/>
    </xf>
    <xf numFmtId="0" fontId="1" fillId="0" borderId="21" xfId="0" applyFont="1" applyFill="1" applyBorder="1" applyAlignment="1">
      <alignment horizontal="center" vertical="center"/>
    </xf>
    <xf numFmtId="0" fontId="1" fillId="0" borderId="21" xfId="0" applyNumberFormat="1" applyFont="1" applyFill="1" applyBorder="1" applyAlignment="1" applyProtection="1">
      <alignment horizontal="center" vertical="center"/>
      <protection locked="0"/>
    </xf>
    <xf numFmtId="0" fontId="1" fillId="0" borderId="54" xfId="0" applyNumberFormat="1" applyFont="1" applyFill="1" applyBorder="1" applyAlignment="1" applyProtection="1">
      <alignment horizontal="center" vertical="center"/>
      <protection locked="0"/>
    </xf>
    <xf numFmtId="0" fontId="1" fillId="0" borderId="12" xfId="0" applyFont="1" applyFill="1" applyBorder="1" applyAlignment="1">
      <alignment horizontal="center" vertical="center"/>
    </xf>
    <xf numFmtId="0" fontId="1" fillId="0" borderId="52" xfId="0" applyFont="1" applyFill="1" applyBorder="1" applyAlignment="1">
      <alignment horizontal="center" vertical="center"/>
    </xf>
    <xf numFmtId="0" fontId="1" fillId="0" borderId="12" xfId="0" applyNumberFormat="1" applyFont="1" applyFill="1" applyBorder="1" applyAlignment="1" applyProtection="1">
      <alignment horizontal="center" vertical="center"/>
      <protection locked="0"/>
    </xf>
    <xf numFmtId="0" fontId="1" fillId="0" borderId="52" xfId="0" applyNumberFormat="1" applyFont="1" applyFill="1" applyBorder="1" applyAlignment="1" applyProtection="1">
      <alignment horizontal="center" vertical="center"/>
      <protection locked="0"/>
    </xf>
    <xf numFmtId="0" fontId="1" fillId="0" borderId="2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/>
    </xf>
    <xf numFmtId="0" fontId="8" fillId="0" borderId="0" xfId="0" applyFont="1" applyFill="1" applyBorder="1"/>
    <xf numFmtId="1" fontId="8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 textRotation="90"/>
    </xf>
    <xf numFmtId="0" fontId="8" fillId="0" borderId="0" xfId="0" applyFont="1" applyFill="1"/>
    <xf numFmtId="0" fontId="8" fillId="0" borderId="0" xfId="0" applyFont="1" applyFill="1" applyBorder="1" applyAlignment="1">
      <alignment horizontal="left" vertical="center" wrapText="1"/>
    </xf>
    <xf numFmtId="0" fontId="8" fillId="0" borderId="0" xfId="0" applyFont="1" applyFill="1" applyAlignment="1"/>
    <xf numFmtId="0" fontId="8" fillId="0" borderId="9" xfId="0" applyFont="1" applyFill="1" applyBorder="1" applyAlignment="1">
      <alignment horizontal="center" vertical="center"/>
    </xf>
    <xf numFmtId="1" fontId="8" fillId="0" borderId="9" xfId="0" applyNumberFormat="1" applyFont="1" applyFill="1" applyBorder="1" applyAlignment="1">
      <alignment horizontal="center" vertical="center"/>
    </xf>
    <xf numFmtId="0" fontId="1" fillId="0" borderId="50" xfId="0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 applyProtection="1">
      <alignment horizontal="center" vertical="center"/>
      <protection locked="0"/>
    </xf>
    <xf numFmtId="0" fontId="8" fillId="0" borderId="2" xfId="0" applyFont="1" applyFill="1" applyBorder="1"/>
    <xf numFmtId="0" fontId="8" fillId="0" borderId="37" xfId="0" applyFont="1" applyFill="1" applyBorder="1"/>
    <xf numFmtId="0" fontId="8" fillId="0" borderId="1" xfId="0" applyFont="1" applyFill="1" applyBorder="1"/>
    <xf numFmtId="0" fontId="8" fillId="0" borderId="32" xfId="0" applyFont="1" applyFill="1" applyBorder="1"/>
    <xf numFmtId="0" fontId="8" fillId="0" borderId="50" xfId="0" applyFont="1" applyFill="1" applyBorder="1"/>
    <xf numFmtId="0" fontId="8" fillId="0" borderId="26" xfId="0" applyFont="1" applyFill="1" applyBorder="1"/>
    <xf numFmtId="0" fontId="8" fillId="0" borderId="47" xfId="0" applyFont="1" applyFill="1" applyBorder="1"/>
    <xf numFmtId="0" fontId="8" fillId="0" borderId="49" xfId="0" applyFont="1" applyFill="1" applyBorder="1"/>
    <xf numFmtId="0" fontId="8" fillId="0" borderId="28" xfId="0" applyFont="1" applyFill="1" applyBorder="1"/>
    <xf numFmtId="0" fontId="8" fillId="0" borderId="48" xfId="0" applyFont="1" applyFill="1" applyBorder="1"/>
    <xf numFmtId="0" fontId="8" fillId="0" borderId="42" xfId="0" applyFont="1" applyFill="1" applyBorder="1"/>
    <xf numFmtId="0" fontId="8" fillId="0" borderId="54" xfId="0" applyFont="1" applyFill="1" applyBorder="1"/>
    <xf numFmtId="0" fontId="8" fillId="0" borderId="52" xfId="0" applyFont="1" applyFill="1" applyBorder="1"/>
    <xf numFmtId="0" fontId="8" fillId="0" borderId="53" xfId="0" applyFont="1" applyFill="1" applyBorder="1"/>
    <xf numFmtId="0" fontId="8" fillId="0" borderId="55" xfId="0" applyFont="1" applyFill="1" applyBorder="1"/>
    <xf numFmtId="0" fontId="8" fillId="0" borderId="30" xfId="0" applyFont="1" applyFill="1" applyBorder="1"/>
    <xf numFmtId="0" fontId="8" fillId="0" borderId="18" xfId="0" applyFont="1" applyFill="1" applyBorder="1"/>
    <xf numFmtId="0" fontId="8" fillId="0" borderId="17" xfId="0" applyFont="1" applyFill="1" applyBorder="1"/>
    <xf numFmtId="0" fontId="8" fillId="0" borderId="15" xfId="0" applyFont="1" applyFill="1" applyBorder="1"/>
    <xf numFmtId="0" fontId="8" fillId="0" borderId="3" xfId="0" quotePrefix="1" applyFont="1" applyFill="1" applyBorder="1" applyAlignment="1">
      <alignment horizontal="center" vertical="center"/>
    </xf>
    <xf numFmtId="0" fontId="8" fillId="0" borderId="11" xfId="0" quotePrefix="1" applyFont="1" applyFill="1" applyBorder="1" applyAlignment="1">
      <alignment horizontal="center" vertical="center"/>
    </xf>
    <xf numFmtId="0" fontId="8" fillId="0" borderId="13" xfId="0" applyFont="1" applyFill="1" applyBorder="1" applyAlignment="1">
      <alignment horizontal="center" vertical="center"/>
    </xf>
    <xf numFmtId="0" fontId="8" fillId="0" borderId="47" xfId="0" applyFont="1" applyFill="1" applyBorder="1" applyAlignment="1">
      <alignment horizontal="center" vertical="center"/>
    </xf>
    <xf numFmtId="0" fontId="8" fillId="0" borderId="48" xfId="0" applyNumberFormat="1" applyFont="1" applyFill="1" applyBorder="1" applyAlignment="1" applyProtection="1">
      <alignment horizontal="center" vertical="center"/>
      <protection locked="0"/>
    </xf>
    <xf numFmtId="0" fontId="8" fillId="0" borderId="48" xfId="0" applyFont="1" applyFill="1" applyBorder="1" applyAlignment="1">
      <alignment horizontal="center" vertical="center"/>
    </xf>
    <xf numFmtId="0" fontId="8" fillId="0" borderId="55" xfId="0" applyFont="1" applyFill="1" applyBorder="1" applyAlignment="1">
      <alignment horizontal="center" vertical="center"/>
    </xf>
    <xf numFmtId="0" fontId="8" fillId="0" borderId="26" xfId="0" applyNumberFormat="1" applyFont="1" applyFill="1" applyBorder="1" applyAlignment="1" applyProtection="1">
      <alignment horizontal="center" vertical="center"/>
      <protection locked="0"/>
    </xf>
    <xf numFmtId="0" fontId="8" fillId="0" borderId="57" xfId="0" applyFont="1" applyFill="1" applyBorder="1" applyAlignment="1">
      <alignment horizontal="center" vertical="center"/>
    </xf>
    <xf numFmtId="0" fontId="8" fillId="0" borderId="62" xfId="0" applyFont="1" applyFill="1" applyBorder="1" applyAlignment="1">
      <alignment horizontal="center" vertical="center"/>
    </xf>
    <xf numFmtId="0" fontId="8" fillId="0" borderId="54" xfId="0" applyFont="1" applyFill="1" applyBorder="1" applyAlignment="1">
      <alignment horizontal="center" vertical="center"/>
    </xf>
    <xf numFmtId="0" fontId="8" fillId="0" borderId="42" xfId="0" quotePrefix="1" applyFont="1" applyFill="1" applyBorder="1" applyAlignment="1">
      <alignment horizontal="center" vertical="center"/>
    </xf>
    <xf numFmtId="0" fontId="8" fillId="0" borderId="32" xfId="0" quotePrefix="1" applyFont="1" applyFill="1" applyBorder="1" applyAlignment="1">
      <alignment horizontal="center" vertical="center"/>
    </xf>
    <xf numFmtId="0" fontId="8" fillId="0" borderId="53" xfId="0" quotePrefix="1" applyFont="1" applyFill="1" applyBorder="1" applyAlignment="1">
      <alignment horizontal="center" vertical="center"/>
    </xf>
    <xf numFmtId="0" fontId="8" fillId="0" borderId="17" xfId="0" applyFont="1" applyFill="1" applyBorder="1" applyAlignment="1">
      <alignment horizontal="center" vertical="center"/>
    </xf>
    <xf numFmtId="0" fontId="8" fillId="0" borderId="28" xfId="0" applyFont="1" applyFill="1" applyBorder="1" applyAlignment="1">
      <alignment horizontal="center" vertical="center"/>
    </xf>
    <xf numFmtId="0" fontId="8" fillId="0" borderId="53" xfId="0" applyFont="1" applyFill="1" applyBorder="1" applyAlignment="1">
      <alignment horizontal="center" vertical="center"/>
    </xf>
    <xf numFmtId="0" fontId="8" fillId="0" borderId="32" xfId="0" applyFont="1" applyFill="1" applyBorder="1" applyAlignment="1">
      <alignment horizontal="center" vertical="center"/>
    </xf>
    <xf numFmtId="0" fontId="8" fillId="0" borderId="50" xfId="0" applyNumberFormat="1" applyFont="1" applyFill="1" applyBorder="1" applyAlignment="1" applyProtection="1">
      <alignment horizontal="center" vertical="center"/>
      <protection locked="0"/>
    </xf>
    <xf numFmtId="0" fontId="8" fillId="0" borderId="55" xfId="0" applyNumberFormat="1" applyFont="1" applyFill="1" applyBorder="1" applyAlignment="1" applyProtection="1">
      <alignment horizontal="center" vertical="center"/>
      <protection locked="0"/>
    </xf>
    <xf numFmtId="0" fontId="8" fillId="0" borderId="2" xfId="0" applyNumberFormat="1" applyFont="1" applyFill="1" applyBorder="1" applyAlignment="1" applyProtection="1">
      <alignment horizontal="center" vertical="center"/>
      <protection locked="0"/>
    </xf>
    <xf numFmtId="0" fontId="8" fillId="0" borderId="32" xfId="0" applyNumberFormat="1" applyFont="1" applyFill="1" applyBorder="1" applyAlignment="1" applyProtection="1">
      <alignment horizontal="center" vertical="center"/>
      <protection locked="0"/>
    </xf>
    <xf numFmtId="0" fontId="8" fillId="0" borderId="53" xfId="0" applyNumberFormat="1" applyFont="1" applyFill="1" applyBorder="1" applyAlignment="1" applyProtection="1">
      <alignment horizontal="center" vertical="center"/>
      <protection locked="0"/>
    </xf>
    <xf numFmtId="0" fontId="8" fillId="0" borderId="28" xfId="0" applyNumberFormat="1" applyFont="1" applyFill="1" applyBorder="1" applyAlignment="1" applyProtection="1">
      <alignment horizontal="center" vertical="center"/>
      <protection locked="0"/>
    </xf>
    <xf numFmtId="0" fontId="8" fillId="0" borderId="37" xfId="0" applyNumberFormat="1" applyFont="1" applyFill="1" applyBorder="1" applyAlignment="1" applyProtection="1">
      <alignment horizontal="center" vertical="center"/>
      <protection locked="0"/>
    </xf>
    <xf numFmtId="0" fontId="8" fillId="0" borderId="54" xfId="0" applyNumberFormat="1" applyFont="1" applyFill="1" applyBorder="1" applyAlignment="1" applyProtection="1">
      <alignment horizontal="center" vertical="center"/>
      <protection locked="0"/>
    </xf>
    <xf numFmtId="0" fontId="8" fillId="0" borderId="47" xfId="0" applyNumberFormat="1" applyFont="1" applyFill="1" applyBorder="1" applyAlignment="1" applyProtection="1">
      <alignment horizontal="center" vertical="center"/>
      <protection locked="0"/>
    </xf>
    <xf numFmtId="0" fontId="8" fillId="0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52" xfId="0" applyNumberFormat="1" applyFont="1" applyFill="1" applyBorder="1" applyAlignment="1" applyProtection="1">
      <alignment horizontal="center" vertical="center"/>
      <protection locked="0"/>
    </xf>
    <xf numFmtId="0" fontId="8" fillId="0" borderId="49" xfId="0" applyNumberFormat="1" applyFont="1" applyFill="1" applyBorder="1" applyAlignment="1" applyProtection="1">
      <alignment horizontal="center" vertical="center"/>
      <protection locked="0"/>
    </xf>
    <xf numFmtId="0" fontId="8" fillId="4" borderId="16" xfId="0" applyNumberFormat="1" applyFont="1" applyFill="1" applyBorder="1" applyAlignment="1" applyProtection="1">
      <alignment horizontal="center" vertical="center"/>
      <protection locked="0"/>
    </xf>
    <xf numFmtId="0" fontId="8" fillId="4" borderId="26" xfId="0" applyNumberFormat="1" applyFont="1" applyFill="1" applyBorder="1" applyAlignment="1" applyProtection="1">
      <alignment horizontal="center" vertical="center"/>
      <protection locked="0"/>
    </xf>
    <xf numFmtId="0" fontId="8" fillId="0" borderId="30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0" borderId="3" xfId="16477" applyNumberFormat="1" applyFont="1" applyFill="1" applyBorder="1" applyAlignment="1" applyProtection="1">
      <alignment horizontal="center" vertical="center" textRotation="90"/>
      <protection locked="0"/>
    </xf>
    <xf numFmtId="0" fontId="8" fillId="0" borderId="3" xfId="0" applyFont="1" applyFill="1" applyBorder="1" applyAlignment="1">
      <alignment horizontal="center" wrapText="1"/>
    </xf>
    <xf numFmtId="1" fontId="8" fillId="0" borderId="3" xfId="0" applyNumberFormat="1" applyFont="1" applyFill="1" applyBorder="1" applyAlignment="1">
      <alignment horizontal="center" wrapText="1"/>
    </xf>
    <xf numFmtId="0" fontId="8" fillId="0" borderId="3" xfId="0" applyFont="1" applyFill="1" applyBorder="1" applyAlignment="1">
      <alignment horizontal="left" wrapText="1"/>
    </xf>
    <xf numFmtId="0" fontId="8" fillId="0" borderId="3" xfId="0" applyFont="1" applyFill="1" applyBorder="1" applyAlignment="1">
      <alignment wrapText="1"/>
    </xf>
    <xf numFmtId="0" fontId="8" fillId="0" borderId="16" xfId="0" applyFont="1" applyFill="1" applyBorder="1" applyAlignment="1">
      <alignment horizontal="center" wrapText="1"/>
    </xf>
    <xf numFmtId="0" fontId="8" fillId="0" borderId="42" xfId="0" applyFont="1" applyFill="1" applyBorder="1" applyAlignment="1">
      <alignment horizontal="center" wrapText="1"/>
    </xf>
    <xf numFmtId="0" fontId="8" fillId="0" borderId="3" xfId="16477" applyFont="1" applyFill="1" applyBorder="1" applyAlignment="1" applyProtection="1">
      <alignment horizontal="center" vertical="center"/>
      <protection locked="0"/>
    </xf>
    <xf numFmtId="0" fontId="8" fillId="0" borderId="3" xfId="16477" applyFont="1" applyFill="1" applyBorder="1" applyAlignment="1">
      <alignment horizontal="center" vertical="center"/>
    </xf>
    <xf numFmtId="0" fontId="8" fillId="0" borderId="3" xfId="16477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Alignment="1">
      <alignment vertical="center"/>
    </xf>
    <xf numFmtId="0" fontId="1" fillId="0" borderId="0" xfId="0" applyFont="1" applyFill="1" applyAlignment="1"/>
    <xf numFmtId="0" fontId="1" fillId="0" borderId="0" xfId="0" applyFont="1" applyFill="1" applyBorder="1" applyAlignment="1">
      <alignment horizontal="left" vertical="center"/>
    </xf>
    <xf numFmtId="0" fontId="1" fillId="0" borderId="5" xfId="0" applyFont="1" applyFill="1" applyBorder="1" applyAlignment="1" applyProtection="1">
      <alignment horizontal="center" vertical="center" wrapText="1"/>
      <protection hidden="1"/>
    </xf>
    <xf numFmtId="0" fontId="1" fillId="0" borderId="5" xfId="0" applyFont="1" applyFill="1" applyBorder="1" applyAlignment="1">
      <alignment horizontal="left" vertical="center"/>
    </xf>
    <xf numFmtId="0" fontId="1" fillId="0" borderId="13" xfId="0" applyFont="1" applyFill="1" applyBorder="1" applyAlignment="1">
      <alignment horizontal="left" vertical="center"/>
    </xf>
    <xf numFmtId="0" fontId="8" fillId="0" borderId="4" xfId="33122" applyNumberFormat="1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/>
    <xf numFmtId="0" fontId="8" fillId="0" borderId="26" xfId="33122" applyNumberFormat="1" applyFont="1" applyFill="1" applyBorder="1" applyAlignment="1" applyProtection="1">
      <alignment horizontal="center" vertical="center"/>
      <protection locked="0"/>
    </xf>
    <xf numFmtId="0" fontId="8" fillId="0" borderId="3" xfId="33122" applyNumberFormat="1" applyFont="1" applyFill="1" applyBorder="1" applyAlignment="1" applyProtection="1">
      <alignment horizontal="center" vertical="center"/>
      <protection locked="0"/>
    </xf>
    <xf numFmtId="0" fontId="8" fillId="0" borderId="50" xfId="33122" applyNumberFormat="1" applyFont="1" applyFill="1" applyBorder="1" applyAlignment="1" applyProtection="1">
      <alignment horizontal="center" vertical="center"/>
      <protection locked="0"/>
    </xf>
    <xf numFmtId="0" fontId="8" fillId="0" borderId="61" xfId="0" applyFont="1" applyFill="1" applyBorder="1"/>
    <xf numFmtId="0" fontId="8" fillId="0" borderId="3" xfId="33122" applyFont="1" applyFill="1" applyBorder="1" applyAlignment="1">
      <alignment horizontal="center" vertical="center"/>
    </xf>
    <xf numFmtId="0" fontId="8" fillId="0" borderId="31" xfId="0" applyFont="1" applyFill="1" applyBorder="1"/>
    <xf numFmtId="0" fontId="15" fillId="0" borderId="3" xfId="16477" applyFont="1" applyFill="1" applyBorder="1" applyAlignment="1">
      <alignment horizontal="center" vertical="center"/>
    </xf>
    <xf numFmtId="0" fontId="15" fillId="0" borderId="3" xfId="16477" applyNumberFormat="1" applyFont="1" applyFill="1" applyBorder="1" applyAlignment="1">
      <alignment horizontal="center" vertical="center"/>
    </xf>
    <xf numFmtId="0" fontId="8" fillId="0" borderId="3" xfId="33122" applyFont="1" applyFill="1" applyBorder="1"/>
    <xf numFmtId="1" fontId="8" fillId="0" borderId="0" xfId="0" applyNumberFormat="1" applyFont="1" applyFill="1" applyBorder="1" applyAlignment="1">
      <alignment horizontal="center"/>
    </xf>
    <xf numFmtId="0" fontId="1" fillId="0" borderId="0" xfId="0" applyFont="1" applyFill="1" applyBorder="1"/>
    <xf numFmtId="0" fontId="8" fillId="0" borderId="16" xfId="16477" applyNumberFormat="1" applyFont="1" applyFill="1" applyBorder="1" applyAlignment="1" applyProtection="1">
      <alignment horizontal="center" vertical="center" textRotation="90"/>
      <protection locked="0"/>
    </xf>
    <xf numFmtId="0" fontId="8" fillId="0" borderId="48" xfId="0" applyFont="1" applyFill="1" applyBorder="1" applyAlignment="1">
      <alignment horizontal="center" wrapText="1"/>
    </xf>
    <xf numFmtId="1" fontId="8" fillId="0" borderId="4" xfId="0" applyNumberFormat="1" applyFont="1" applyFill="1" applyBorder="1" applyAlignment="1">
      <alignment horizontal="center" wrapText="1"/>
    </xf>
    <xf numFmtId="0" fontId="8" fillId="0" borderId="4" xfId="0" applyFont="1" applyFill="1" applyBorder="1" applyAlignment="1">
      <alignment horizontal="center" wrapText="1"/>
    </xf>
    <xf numFmtId="0" fontId="8" fillId="0" borderId="4" xfId="0" applyFont="1" applyFill="1" applyBorder="1" applyAlignment="1">
      <alignment horizontal="left" wrapText="1"/>
    </xf>
    <xf numFmtId="0" fontId="8" fillId="0" borderId="4" xfId="0" applyFont="1" applyFill="1" applyBorder="1" applyAlignment="1">
      <alignment wrapText="1"/>
    </xf>
    <xf numFmtId="0" fontId="8" fillId="0" borderId="15" xfId="0" applyFont="1" applyFill="1" applyBorder="1" applyAlignment="1">
      <alignment horizontal="center" wrapText="1"/>
    </xf>
    <xf numFmtId="0" fontId="8" fillId="0" borderId="26" xfId="0" applyFont="1" applyFill="1" applyBorder="1" applyAlignment="1">
      <alignment horizontal="center" wrapText="1"/>
    </xf>
    <xf numFmtId="0" fontId="8" fillId="0" borderId="28" xfId="0" applyFont="1" applyFill="1" applyBorder="1" applyAlignment="1">
      <alignment horizontal="center" wrapText="1"/>
    </xf>
    <xf numFmtId="1" fontId="8" fillId="0" borderId="11" xfId="0" applyNumberFormat="1" applyFont="1" applyFill="1" applyBorder="1" applyAlignment="1">
      <alignment horizontal="center" wrapText="1"/>
    </xf>
    <xf numFmtId="0" fontId="8" fillId="0" borderId="11" xfId="0" applyFont="1" applyFill="1" applyBorder="1" applyAlignment="1">
      <alignment horizontal="center" wrapText="1"/>
    </xf>
    <xf numFmtId="0" fontId="8" fillId="0" borderId="11" xfId="0" applyFont="1" applyFill="1" applyBorder="1" applyAlignment="1">
      <alignment horizontal="left" wrapText="1"/>
    </xf>
    <xf numFmtId="0" fontId="8" fillId="0" borderId="11" xfId="0" applyFont="1" applyFill="1" applyBorder="1" applyAlignment="1">
      <alignment wrapText="1"/>
    </xf>
    <xf numFmtId="0" fontId="8" fillId="0" borderId="17" xfId="0" applyFont="1" applyFill="1" applyBorder="1" applyAlignment="1">
      <alignment horizontal="center" wrapText="1"/>
    </xf>
    <xf numFmtId="0" fontId="8" fillId="0" borderId="47" xfId="0" applyFont="1" applyFill="1" applyBorder="1" applyAlignment="1">
      <alignment horizontal="center" wrapText="1"/>
    </xf>
    <xf numFmtId="0" fontId="8" fillId="0" borderId="49" xfId="0" applyFont="1" applyFill="1" applyBorder="1" applyAlignment="1">
      <alignment horizontal="center" wrapText="1"/>
    </xf>
    <xf numFmtId="0" fontId="8" fillId="0" borderId="4" xfId="16477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/>
    </xf>
    <xf numFmtId="0" fontId="8" fillId="0" borderId="49" xfId="0" applyFont="1" applyFill="1" applyBorder="1" applyAlignment="1" applyProtection="1">
      <alignment horizontal="center" vertical="center" wrapText="1"/>
      <protection hidden="1"/>
    </xf>
    <xf numFmtId="0" fontId="1" fillId="0" borderId="12" xfId="0" applyFont="1" applyFill="1" applyBorder="1" applyAlignment="1" applyProtection="1">
      <alignment horizontal="center"/>
      <protection hidden="1"/>
    </xf>
    <xf numFmtId="0" fontId="8" fillId="0" borderId="52" xfId="0" applyFont="1" applyFill="1" applyBorder="1" applyAlignment="1" applyProtection="1">
      <alignment horizontal="center" vertical="center" wrapText="1"/>
      <protection hidden="1"/>
    </xf>
    <xf numFmtId="0" fontId="8" fillId="0" borderId="0" xfId="0" applyFont="1" applyFill="1" applyBorder="1" applyAlignment="1"/>
    <xf numFmtId="0" fontId="1" fillId="0" borderId="47" xfId="0" applyFont="1" applyFill="1" applyBorder="1" applyAlignment="1" applyProtection="1">
      <alignment horizontal="center" vertical="center"/>
      <protection hidden="1"/>
    </xf>
    <xf numFmtId="0" fontId="1" fillId="0" borderId="21" xfId="0" applyFont="1" applyFill="1" applyBorder="1" applyAlignment="1" applyProtection="1">
      <alignment horizontal="center" vertical="center"/>
      <protection hidden="1"/>
    </xf>
    <xf numFmtId="0" fontId="1" fillId="0" borderId="54" xfId="0" applyFont="1" applyFill="1" applyBorder="1" applyAlignment="1" applyProtection="1">
      <alignment horizontal="center" vertical="center"/>
      <protection hidden="1"/>
    </xf>
    <xf numFmtId="0" fontId="8" fillId="0" borderId="0" xfId="0" applyNumberFormat="1" applyFont="1" applyFill="1" applyBorder="1" applyAlignment="1" applyProtection="1">
      <alignment horizontal="center" vertical="center" textRotation="90"/>
      <protection locked="0"/>
    </xf>
    <xf numFmtId="0" fontId="8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horizontal="right" vertical="center" textRotation="90"/>
    </xf>
    <xf numFmtId="0" fontId="8" fillId="0" borderId="0" xfId="0" applyNumberFormat="1" applyFont="1" applyFill="1" applyBorder="1" applyAlignment="1">
      <alignment horizontal="center" textRotation="90"/>
    </xf>
    <xf numFmtId="0" fontId="8" fillId="0" borderId="0" xfId="0" applyFont="1" applyFill="1" applyBorder="1" applyAlignment="1">
      <alignment horizontal="center" textRotation="90"/>
    </xf>
    <xf numFmtId="0" fontId="8" fillId="0" borderId="0" xfId="0" quotePrefix="1" applyFont="1" applyFill="1" applyBorder="1" applyAlignment="1">
      <alignment horizontal="center" textRotation="90"/>
    </xf>
    <xf numFmtId="0" fontId="8" fillId="0" borderId="0" xfId="0" applyFont="1" applyFill="1" applyBorder="1" applyAlignment="1">
      <alignment horizontal="center" vertical="center" textRotation="90"/>
    </xf>
    <xf numFmtId="0" fontId="8" fillId="0" borderId="0" xfId="0" quotePrefix="1" applyFont="1" applyFill="1" applyBorder="1" applyAlignment="1">
      <alignment horizontal="center" vertical="center" textRotation="90"/>
    </xf>
    <xf numFmtId="0" fontId="8" fillId="0" borderId="0" xfId="0" applyFont="1" applyFill="1" applyBorder="1" applyAlignment="1">
      <alignment vertical="center" textRotation="90"/>
    </xf>
    <xf numFmtId="0" fontId="8" fillId="0" borderId="0" xfId="0" quotePrefix="1" applyFont="1" applyFill="1" applyBorder="1" applyAlignment="1">
      <alignment vertical="center" textRotation="90"/>
    </xf>
    <xf numFmtId="0" fontId="8" fillId="0" borderId="0" xfId="0" applyNumberFormat="1" applyFont="1" applyFill="1" applyBorder="1" applyAlignment="1">
      <alignment vertical="center" textRotation="90"/>
    </xf>
    <xf numFmtId="0" fontId="8" fillId="0" borderId="0" xfId="0" applyNumberFormat="1" applyFont="1" applyFill="1" applyBorder="1" applyAlignment="1" applyProtection="1">
      <alignment vertical="center" textRotation="90"/>
      <protection locked="0"/>
    </xf>
    <xf numFmtId="0" fontId="8" fillId="0" borderId="0" xfId="0" applyFont="1" applyFill="1" applyBorder="1" applyAlignment="1" applyProtection="1">
      <alignment horizontal="center" vertical="center" textRotation="90"/>
      <protection locked="0"/>
    </xf>
    <xf numFmtId="0" fontId="8" fillId="0" borderId="20" xfId="0" applyFont="1" applyFill="1" applyBorder="1" applyAlignment="1">
      <alignment horizontal="center" vertical="center"/>
    </xf>
    <xf numFmtId="0" fontId="8" fillId="0" borderId="46" xfId="0" applyFont="1" applyFill="1" applyBorder="1" applyAlignment="1">
      <alignment horizontal="center" vertical="center"/>
    </xf>
    <xf numFmtId="0" fontId="8" fillId="4" borderId="50" xfId="16477" applyNumberFormat="1" applyFont="1" applyFill="1" applyBorder="1" applyAlignment="1" applyProtection="1">
      <alignment horizontal="center" vertical="center"/>
      <protection locked="0"/>
    </xf>
    <xf numFmtId="0" fontId="8" fillId="0" borderId="55" xfId="33122" applyNumberFormat="1" applyFont="1" applyFill="1" applyBorder="1" applyAlignment="1" applyProtection="1">
      <alignment horizontal="center" vertical="center"/>
      <protection locked="0"/>
    </xf>
    <xf numFmtId="0" fontId="8" fillId="4" borderId="4" xfId="33122" applyNumberFormat="1" applyFont="1" applyFill="1" applyBorder="1" applyAlignment="1" applyProtection="1">
      <alignment horizontal="center" vertical="center"/>
      <protection locked="0"/>
    </xf>
    <xf numFmtId="0" fontId="8" fillId="0" borderId="15" xfId="33122" applyNumberFormat="1" applyFont="1" applyFill="1" applyBorder="1" applyAlignment="1" applyProtection="1">
      <alignment horizontal="center" vertical="center"/>
      <protection locked="0"/>
    </xf>
    <xf numFmtId="0" fontId="8" fillId="0" borderId="48" xfId="33122" applyNumberFormat="1" applyFont="1" applyFill="1" applyBorder="1" applyAlignment="1" applyProtection="1">
      <alignment horizontal="center" vertical="center"/>
      <protection locked="0"/>
    </xf>
    <xf numFmtId="0" fontId="8" fillId="4" borderId="15" xfId="33122" applyNumberFormat="1" applyFont="1" applyFill="1" applyBorder="1" applyAlignment="1" applyProtection="1">
      <alignment horizontal="center" vertical="center"/>
      <protection locked="0"/>
    </xf>
    <xf numFmtId="0" fontId="8" fillId="4" borderId="48" xfId="33122" applyNumberFormat="1" applyFont="1" applyFill="1" applyBorder="1" applyAlignment="1" applyProtection="1">
      <alignment horizontal="center" vertical="center"/>
      <protection locked="0"/>
    </xf>
    <xf numFmtId="0" fontId="8" fillId="4" borderId="55" xfId="33122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Border="1" applyAlignment="1" applyProtection="1">
      <alignment horizontal="center" wrapText="1"/>
      <protection locked="0"/>
    </xf>
    <xf numFmtId="0" fontId="8" fillId="0" borderId="2" xfId="33122" applyNumberFormat="1" applyFont="1" applyFill="1" applyBorder="1" applyAlignment="1" applyProtection="1">
      <alignment horizontal="center" vertical="center"/>
      <protection locked="0"/>
    </xf>
    <xf numFmtId="0" fontId="8" fillId="4" borderId="3" xfId="16477" applyNumberFormat="1" applyFont="1" applyFill="1" applyBorder="1" applyAlignment="1" applyProtection="1">
      <alignment horizontal="center" vertical="center"/>
      <protection locked="0"/>
    </xf>
    <xf numFmtId="0" fontId="8" fillId="0" borderId="42" xfId="33122" applyNumberFormat="1" applyFont="1" applyFill="1" applyBorder="1" applyAlignment="1" applyProtection="1">
      <alignment horizontal="center" vertical="center"/>
      <protection locked="0"/>
    </xf>
    <xf numFmtId="0" fontId="8" fillId="0" borderId="16" xfId="33122" applyNumberFormat="1" applyFont="1" applyFill="1" applyBorder="1" applyAlignment="1" applyProtection="1">
      <alignment horizontal="center" vertical="center"/>
      <protection locked="0"/>
    </xf>
    <xf numFmtId="0" fontId="8" fillId="4" borderId="3" xfId="33122" applyNumberFormat="1" applyFont="1" applyFill="1" applyBorder="1" applyAlignment="1" applyProtection="1">
      <alignment horizontal="center" vertical="center"/>
      <protection locked="0"/>
    </xf>
    <xf numFmtId="0" fontId="8" fillId="4" borderId="42" xfId="33122" applyNumberFormat="1" applyFont="1" applyFill="1" applyBorder="1" applyAlignment="1" applyProtection="1">
      <alignment horizontal="center" vertical="center"/>
      <protection locked="0"/>
    </xf>
    <xf numFmtId="0" fontId="8" fillId="4" borderId="26" xfId="33122" applyNumberFormat="1" applyFont="1" applyFill="1" applyBorder="1" applyAlignment="1" applyProtection="1">
      <alignment horizontal="center" vertical="center"/>
      <protection locked="0"/>
    </xf>
    <xf numFmtId="0" fontId="8" fillId="4" borderId="16" xfId="33122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Border="1" applyAlignment="1" applyProtection="1">
      <alignment horizontal="center" vertical="center" wrapText="1"/>
      <protection locked="0"/>
    </xf>
    <xf numFmtId="0" fontId="8" fillId="0" borderId="32" xfId="16477" applyNumberFormat="1" applyFont="1" applyFill="1" applyBorder="1" applyAlignment="1" applyProtection="1">
      <alignment horizontal="center" vertical="center"/>
      <protection locked="0"/>
    </xf>
    <xf numFmtId="0" fontId="8" fillId="0" borderId="11" xfId="16477" applyNumberFormat="1" applyFont="1" applyFill="1" applyBorder="1" applyAlignment="1" applyProtection="1">
      <alignment horizontal="center" vertical="center"/>
      <protection locked="0"/>
    </xf>
    <xf numFmtId="0" fontId="8" fillId="4" borderId="53" xfId="33122" applyNumberFormat="1" applyFont="1" applyFill="1" applyBorder="1" applyAlignment="1" applyProtection="1">
      <alignment horizontal="center" vertical="center"/>
      <protection locked="0"/>
    </xf>
    <xf numFmtId="0" fontId="8" fillId="0" borderId="11" xfId="33122" applyNumberFormat="1" applyFont="1" applyFill="1" applyBorder="1" applyAlignment="1" applyProtection="1">
      <alignment horizontal="center" vertical="center"/>
      <protection locked="0"/>
    </xf>
    <xf numFmtId="0" fontId="8" fillId="0" borderId="17" xfId="33122" applyNumberFormat="1" applyFont="1" applyFill="1" applyBorder="1" applyAlignment="1" applyProtection="1">
      <alignment horizontal="center" vertical="center"/>
      <protection locked="0"/>
    </xf>
    <xf numFmtId="0" fontId="8" fillId="0" borderId="28" xfId="33122" applyNumberFormat="1" applyFont="1" applyFill="1" applyBorder="1" applyAlignment="1" applyProtection="1">
      <alignment horizontal="center" vertical="center"/>
      <protection locked="0"/>
    </xf>
    <xf numFmtId="0" fontId="8" fillId="0" borderId="53" xfId="33122" applyNumberFormat="1" applyFont="1" applyFill="1" applyBorder="1" applyAlignment="1" applyProtection="1">
      <alignment horizontal="center" vertical="center"/>
      <protection locked="0"/>
    </xf>
    <xf numFmtId="0" fontId="8" fillId="0" borderId="32" xfId="33122" applyNumberFormat="1" applyFont="1" applyFill="1" applyBorder="1" applyAlignment="1" applyProtection="1">
      <alignment horizontal="center" vertical="center"/>
      <protection locked="0"/>
    </xf>
    <xf numFmtId="0" fontId="8" fillId="4" borderId="28" xfId="33122" applyNumberFormat="1" applyFont="1" applyFill="1" applyBorder="1" applyAlignment="1" applyProtection="1">
      <alignment horizontal="center" vertical="center"/>
      <protection locked="0"/>
    </xf>
    <xf numFmtId="0" fontId="8" fillId="4" borderId="11" xfId="33122" applyNumberFormat="1" applyFont="1" applyFill="1" applyBorder="1" applyAlignment="1" applyProtection="1">
      <alignment horizontal="center" vertical="center"/>
      <protection locked="0"/>
    </xf>
    <xf numFmtId="0" fontId="8" fillId="4" borderId="17" xfId="33122" applyNumberFormat="1" applyFont="1" applyFill="1" applyBorder="1" applyAlignment="1" applyProtection="1">
      <alignment horizontal="center" vertical="center"/>
      <protection locked="0"/>
    </xf>
    <xf numFmtId="0" fontId="8" fillId="4" borderId="3" xfId="33122" applyFont="1" applyFill="1" applyBorder="1" applyAlignment="1">
      <alignment horizontal="center" vertical="center"/>
    </xf>
    <xf numFmtId="0" fontId="8" fillId="4" borderId="2" xfId="33122" applyNumberFormat="1" applyFont="1" applyFill="1" applyBorder="1" applyAlignment="1" applyProtection="1">
      <alignment horizontal="center" vertical="center"/>
      <protection locked="0"/>
    </xf>
    <xf numFmtId="0" fontId="8" fillId="4" borderId="37" xfId="16477" applyNumberFormat="1" applyFont="1" applyFill="1" applyBorder="1" applyAlignment="1" applyProtection="1">
      <alignment horizontal="center" vertical="center"/>
      <protection locked="0"/>
    </xf>
    <xf numFmtId="0" fontId="8" fillId="0" borderId="21" xfId="33122" applyNumberFormat="1" applyFont="1" applyFill="1" applyBorder="1" applyAlignment="1" applyProtection="1">
      <alignment horizontal="center" vertical="center"/>
      <protection locked="0"/>
    </xf>
    <xf numFmtId="0" fontId="8" fillId="0" borderId="54" xfId="33122" applyNumberFormat="1" applyFont="1" applyFill="1" applyBorder="1" applyAlignment="1" applyProtection="1">
      <alignment horizontal="center" vertical="center"/>
      <protection locked="0"/>
    </xf>
    <xf numFmtId="0" fontId="8" fillId="4" borderId="21" xfId="33122" applyNumberFormat="1" applyFont="1" applyFill="1" applyBorder="1" applyAlignment="1" applyProtection="1">
      <alignment horizontal="center" vertical="center"/>
      <protection locked="0"/>
    </xf>
    <xf numFmtId="0" fontId="8" fillId="0" borderId="30" xfId="33122" applyNumberFormat="1" applyFont="1" applyFill="1" applyBorder="1" applyAlignment="1" applyProtection="1">
      <alignment horizontal="center" vertical="center"/>
      <protection locked="0"/>
    </xf>
    <xf numFmtId="0" fontId="8" fillId="0" borderId="47" xfId="33122" applyNumberFormat="1" applyFont="1" applyFill="1" applyBorder="1" applyAlignment="1" applyProtection="1">
      <alignment horizontal="center" vertical="center"/>
      <protection locked="0"/>
    </xf>
    <xf numFmtId="0" fontId="8" fillId="0" borderId="37" xfId="33122" applyNumberFormat="1" applyFont="1" applyFill="1" applyBorder="1" applyAlignment="1" applyProtection="1">
      <alignment horizontal="center" vertical="center"/>
      <protection locked="0"/>
    </xf>
    <xf numFmtId="0" fontId="8" fillId="4" borderId="30" xfId="33122" applyNumberFormat="1" applyFont="1" applyFill="1" applyBorder="1" applyAlignment="1" applyProtection="1">
      <alignment horizontal="center" vertical="center"/>
      <protection locked="0"/>
    </xf>
    <xf numFmtId="0" fontId="8" fillId="4" borderId="47" xfId="33122" applyNumberFormat="1" applyFont="1" applyFill="1" applyBorder="1" applyAlignment="1" applyProtection="1">
      <alignment horizontal="center" vertical="center"/>
      <protection locked="0"/>
    </xf>
    <xf numFmtId="0" fontId="8" fillId="4" borderId="54" xfId="33122" applyNumberFormat="1" applyFont="1" applyFill="1" applyBorder="1" applyAlignment="1" applyProtection="1">
      <alignment horizontal="center" vertical="center"/>
      <protection locked="0"/>
    </xf>
    <xf numFmtId="0" fontId="8" fillId="4" borderId="2" xfId="16477" applyNumberFormat="1" applyFont="1" applyFill="1" applyBorder="1" applyAlignment="1" applyProtection="1">
      <alignment horizontal="center" vertical="center"/>
      <protection locked="0"/>
    </xf>
    <xf numFmtId="0" fontId="8" fillId="4" borderId="32" xfId="16477" applyNumberFormat="1" applyFont="1" applyFill="1" applyBorder="1" applyAlignment="1" applyProtection="1">
      <alignment horizontal="center" vertical="center"/>
      <protection locked="0"/>
    </xf>
    <xf numFmtId="0" fontId="8" fillId="4" borderId="1" xfId="16477" applyNumberFormat="1" applyFont="1" applyFill="1" applyBorder="1" applyAlignment="1" applyProtection="1">
      <alignment horizontal="center" vertical="center"/>
      <protection locked="0"/>
    </xf>
    <xf numFmtId="0" fontId="8" fillId="0" borderId="12" xfId="33122" applyNumberFormat="1" applyFont="1" applyFill="1" applyBorder="1" applyAlignment="1" applyProtection="1">
      <alignment horizontal="center" vertical="center"/>
      <protection locked="0"/>
    </xf>
    <xf numFmtId="0" fontId="8" fillId="0" borderId="52" xfId="33122" applyNumberFormat="1" applyFont="1" applyFill="1" applyBorder="1" applyAlignment="1" applyProtection="1">
      <alignment horizontal="center" vertical="center"/>
      <protection locked="0"/>
    </xf>
    <xf numFmtId="0" fontId="8" fillId="4" borderId="12" xfId="33122" applyNumberFormat="1" applyFont="1" applyFill="1" applyBorder="1" applyAlignment="1" applyProtection="1">
      <alignment horizontal="center" vertical="center"/>
      <protection locked="0"/>
    </xf>
    <xf numFmtId="0" fontId="8" fillId="0" borderId="18" xfId="33122" applyNumberFormat="1" applyFont="1" applyFill="1" applyBorder="1" applyAlignment="1" applyProtection="1">
      <alignment horizontal="center" vertical="center"/>
      <protection locked="0"/>
    </xf>
    <xf numFmtId="0" fontId="8" fillId="0" borderId="49" xfId="33122" applyNumberFormat="1" applyFont="1" applyFill="1" applyBorder="1" applyAlignment="1" applyProtection="1">
      <alignment horizontal="center" vertical="center"/>
      <protection locked="0"/>
    </xf>
    <xf numFmtId="0" fontId="8" fillId="0" borderId="1" xfId="33122" applyNumberFormat="1" applyFont="1" applyFill="1" applyBorder="1" applyAlignment="1" applyProtection="1">
      <alignment horizontal="center" vertical="center"/>
      <protection locked="0"/>
    </xf>
    <xf numFmtId="0" fontId="8" fillId="4" borderId="18" xfId="33122" applyNumberFormat="1" applyFont="1" applyFill="1" applyBorder="1" applyAlignment="1" applyProtection="1">
      <alignment horizontal="center" vertical="center"/>
      <protection locked="0"/>
    </xf>
    <xf numFmtId="0" fontId="8" fillId="4" borderId="49" xfId="33122" applyNumberFormat="1" applyFont="1" applyFill="1" applyBorder="1" applyAlignment="1" applyProtection="1">
      <alignment horizontal="center" vertical="center"/>
      <protection locked="0"/>
    </xf>
    <xf numFmtId="0" fontId="8" fillId="4" borderId="52" xfId="33122" applyNumberFormat="1" applyFont="1" applyFill="1" applyBorder="1" applyAlignment="1" applyProtection="1">
      <alignment horizontal="center" vertical="center"/>
      <protection locked="0"/>
    </xf>
    <xf numFmtId="0" fontId="8" fillId="0" borderId="42" xfId="33122" applyFont="1" applyFill="1" applyBorder="1" applyAlignment="1">
      <alignment horizontal="center" vertical="center"/>
    </xf>
    <xf numFmtId="0" fontId="8" fillId="0" borderId="16" xfId="33122" applyFont="1" applyFill="1" applyBorder="1" applyAlignment="1">
      <alignment horizontal="center" vertical="center"/>
    </xf>
    <xf numFmtId="0" fontId="8" fillId="0" borderId="26" xfId="33122" applyFont="1" applyFill="1" applyBorder="1" applyAlignment="1">
      <alignment horizontal="center" vertical="center"/>
    </xf>
    <xf numFmtId="0" fontId="8" fillId="0" borderId="11" xfId="33122" applyFont="1" applyFill="1" applyBorder="1" applyAlignment="1">
      <alignment horizontal="center" vertical="center"/>
    </xf>
    <xf numFmtId="0" fontId="8" fillId="0" borderId="53" xfId="33122" applyFont="1" applyFill="1" applyBorder="1" applyAlignment="1">
      <alignment horizontal="center" vertical="center"/>
    </xf>
    <xf numFmtId="0" fontId="8" fillId="0" borderId="17" xfId="33122" applyFont="1" applyFill="1" applyBorder="1" applyAlignment="1">
      <alignment horizontal="center" vertical="center"/>
    </xf>
    <xf numFmtId="0" fontId="8" fillId="0" borderId="28" xfId="33122" applyFont="1" applyFill="1" applyBorder="1" applyAlignment="1">
      <alignment horizontal="center" vertical="center"/>
    </xf>
    <xf numFmtId="0" fontId="8" fillId="0" borderId="4" xfId="33122" applyFont="1" applyFill="1" applyBorder="1" applyAlignment="1">
      <alignment horizontal="center" vertical="center"/>
    </xf>
    <xf numFmtId="0" fontId="8" fillId="0" borderId="55" xfId="33122" applyFont="1" applyFill="1" applyBorder="1" applyAlignment="1">
      <alignment horizontal="center" vertical="center"/>
    </xf>
    <xf numFmtId="0" fontId="8" fillId="0" borderId="15" xfId="33122" applyFont="1" applyFill="1" applyBorder="1" applyAlignment="1">
      <alignment horizontal="center" vertical="center"/>
    </xf>
    <xf numFmtId="0" fontId="8" fillId="0" borderId="48" xfId="33122" applyFont="1" applyFill="1" applyBorder="1" applyAlignment="1">
      <alignment horizontal="center" vertical="center"/>
    </xf>
    <xf numFmtId="0" fontId="8" fillId="0" borderId="21" xfId="33122" applyFont="1" applyFill="1" applyBorder="1" applyAlignment="1">
      <alignment horizontal="center" vertical="center"/>
    </xf>
    <xf numFmtId="0" fontId="8" fillId="0" borderId="54" xfId="33122" applyFont="1" applyFill="1" applyBorder="1" applyAlignment="1">
      <alignment horizontal="center" vertical="center"/>
    </xf>
    <xf numFmtId="0" fontId="8" fillId="0" borderId="30" xfId="33122" applyFont="1" applyFill="1" applyBorder="1" applyAlignment="1">
      <alignment horizontal="center" vertical="center"/>
    </xf>
    <xf numFmtId="0" fontId="8" fillId="0" borderId="47" xfId="33122" applyFont="1" applyFill="1" applyBorder="1" applyAlignment="1">
      <alignment horizontal="center" vertical="center"/>
    </xf>
    <xf numFmtId="0" fontId="8" fillId="0" borderId="12" xfId="33122" applyFont="1" applyFill="1" applyBorder="1" applyAlignment="1">
      <alignment horizontal="center" vertical="center"/>
    </xf>
    <xf numFmtId="0" fontId="8" fillId="0" borderId="52" xfId="33122" applyFont="1" applyFill="1" applyBorder="1" applyAlignment="1">
      <alignment horizontal="center" vertical="center"/>
    </xf>
    <xf numFmtId="0" fontId="8" fillId="0" borderId="18" xfId="33122" applyFont="1" applyFill="1" applyBorder="1" applyAlignment="1">
      <alignment horizontal="center" vertical="center"/>
    </xf>
    <xf numFmtId="0" fontId="8" fillId="0" borderId="49" xfId="33122" applyFont="1" applyFill="1" applyBorder="1" applyAlignment="1">
      <alignment horizontal="center" vertical="center"/>
    </xf>
    <xf numFmtId="0" fontId="16" fillId="0" borderId="58" xfId="0" applyFont="1" applyFill="1" applyBorder="1" applyAlignment="1">
      <alignment horizontal="center" wrapText="1"/>
    </xf>
    <xf numFmtId="0" fontId="8" fillId="0" borderId="9" xfId="0" applyNumberFormat="1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22" xfId="0" applyFont="1" applyFill="1" applyBorder="1" applyAlignment="1">
      <alignment horizontal="center" vertical="center"/>
    </xf>
    <xf numFmtId="0" fontId="1" fillId="0" borderId="19" xfId="0" applyFont="1" applyFill="1" applyBorder="1" applyAlignment="1">
      <alignment horizontal="center" vertical="center"/>
    </xf>
    <xf numFmtId="0" fontId="1" fillId="0" borderId="23" xfId="0" applyFont="1" applyFill="1" applyBorder="1" applyAlignment="1">
      <alignment horizontal="center" vertical="center"/>
    </xf>
    <xf numFmtId="15" fontId="8" fillId="0" borderId="4" xfId="0" applyNumberFormat="1" applyFont="1" applyFill="1" applyBorder="1" applyAlignment="1">
      <alignment horizontal="center" vertical="center"/>
    </xf>
    <xf numFmtId="15" fontId="8" fillId="0" borderId="15" xfId="0" applyNumberFormat="1" applyFont="1" applyFill="1" applyBorder="1" applyAlignment="1">
      <alignment horizontal="center" vertical="center"/>
    </xf>
    <xf numFmtId="164" fontId="8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/>
    </xf>
    <xf numFmtId="0" fontId="1" fillId="0" borderId="0" xfId="0" applyFont="1" applyFill="1"/>
    <xf numFmtId="0" fontId="8" fillId="0" borderId="14" xfId="0" applyFont="1" applyFill="1" applyBorder="1"/>
    <xf numFmtId="0" fontId="8" fillId="0" borderId="13" xfId="0" applyFont="1" applyFill="1" applyBorder="1"/>
    <xf numFmtId="0" fontId="8" fillId="0" borderId="7" xfId="0" applyFont="1" applyFill="1" applyBorder="1"/>
    <xf numFmtId="0" fontId="8" fillId="0" borderId="37" xfId="16477" applyNumberFormat="1" applyFont="1" applyFill="1" applyBorder="1" applyAlignment="1" applyProtection="1">
      <alignment horizontal="center" vertical="center"/>
      <protection locked="0"/>
    </xf>
    <xf numFmtId="0" fontId="8" fillId="0" borderId="2" xfId="16477" applyNumberFormat="1" applyFont="1" applyFill="1" applyBorder="1" applyAlignment="1" applyProtection="1">
      <alignment horizontal="center" vertical="center"/>
      <protection locked="0"/>
    </xf>
    <xf numFmtId="0" fontId="8" fillId="0" borderId="1" xfId="16477" applyNumberFormat="1" applyFont="1" applyFill="1" applyBorder="1" applyAlignment="1" applyProtection="1">
      <alignment horizontal="center" vertical="center"/>
      <protection locked="0"/>
    </xf>
    <xf numFmtId="0" fontId="8" fillId="0" borderId="50" xfId="0" applyFont="1" applyFill="1" applyBorder="1" applyAlignment="1">
      <alignment horizontal="center"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37" xfId="0" applyFont="1" applyFill="1" applyBorder="1" applyAlignment="1">
      <alignment horizontal="center" vertical="center"/>
    </xf>
    <xf numFmtId="0" fontId="8" fillId="4" borderId="3" xfId="0" applyNumberFormat="1" applyFont="1" applyFill="1" applyBorder="1" applyAlignment="1" applyProtection="1">
      <alignment horizontal="center" vertical="center"/>
      <protection locked="0"/>
    </xf>
    <xf numFmtId="0" fontId="8" fillId="4" borderId="12" xfId="16477" applyNumberFormat="1" applyFont="1" applyFill="1" applyBorder="1" applyAlignment="1" applyProtection="1">
      <alignment horizontal="center" vertical="center"/>
      <protection locked="0"/>
    </xf>
    <xf numFmtId="0" fontId="8" fillId="4" borderId="21" xfId="16477" applyNumberFormat="1" applyFont="1" applyFill="1" applyBorder="1" applyAlignment="1" applyProtection="1">
      <alignment horizontal="center" vertical="center"/>
      <protection locked="0"/>
    </xf>
    <xf numFmtId="0" fontId="8" fillId="4" borderId="11" xfId="16477" applyNumberFormat="1" applyFont="1" applyFill="1" applyBorder="1" applyAlignment="1" applyProtection="1">
      <alignment horizontal="center" vertical="center"/>
      <protection locked="0"/>
    </xf>
    <xf numFmtId="0" fontId="8" fillId="4" borderId="4" xfId="16477" applyNumberFormat="1" applyFont="1" applyFill="1" applyBorder="1" applyAlignment="1" applyProtection="1">
      <alignment horizontal="center" vertical="center"/>
      <protection locked="0"/>
    </xf>
    <xf numFmtId="0" fontId="8" fillId="4" borderId="1" xfId="33122" applyNumberFormat="1" applyFont="1" applyFill="1" applyBorder="1" applyAlignment="1" applyProtection="1">
      <alignment horizontal="center" vertical="center"/>
      <protection locked="0"/>
    </xf>
    <xf numFmtId="0" fontId="8" fillId="4" borderId="32" xfId="33122" applyNumberFormat="1" applyFont="1" applyFill="1" applyBorder="1" applyAlignment="1" applyProtection="1">
      <alignment horizontal="center" vertical="center"/>
      <protection locked="0"/>
    </xf>
    <xf numFmtId="0" fontId="8" fillId="4" borderId="37" xfId="33122" applyNumberFormat="1" applyFont="1" applyFill="1" applyBorder="1" applyAlignment="1" applyProtection="1">
      <alignment horizontal="center" vertical="center"/>
      <protection locked="0"/>
    </xf>
    <xf numFmtId="0" fontId="8" fillId="4" borderId="42" xfId="0" applyNumberFormat="1" applyFont="1" applyFill="1" applyBorder="1" applyAlignment="1" applyProtection="1">
      <alignment horizontal="center" vertical="center"/>
      <protection locked="0"/>
    </xf>
    <xf numFmtId="0" fontId="8" fillId="4" borderId="12" xfId="0" applyNumberFormat="1" applyFont="1" applyFill="1" applyBorder="1" applyAlignment="1" applyProtection="1">
      <alignment horizontal="center" vertical="center"/>
      <protection locked="0"/>
    </xf>
    <xf numFmtId="0" fontId="8" fillId="4" borderId="49" xfId="0" applyNumberFormat="1" applyFont="1" applyFill="1" applyBorder="1" applyAlignment="1" applyProtection="1">
      <alignment horizontal="center" vertical="center"/>
      <protection locked="0"/>
    </xf>
    <xf numFmtId="0" fontId="8" fillId="0" borderId="12" xfId="16477" applyNumberFormat="1" applyFont="1" applyFill="1" applyBorder="1" applyAlignment="1" applyProtection="1">
      <alignment horizontal="center" vertical="center"/>
      <protection locked="0"/>
    </xf>
    <xf numFmtId="0" fontId="8" fillId="0" borderId="21" xfId="16477" applyNumberFormat="1" applyFont="1" applyFill="1" applyBorder="1" applyAlignment="1" applyProtection="1">
      <alignment horizontal="center" vertical="center"/>
      <protection locked="0"/>
    </xf>
    <xf numFmtId="0" fontId="8" fillId="4" borderId="52" xfId="0" applyNumberFormat="1" applyFont="1" applyFill="1" applyBorder="1" applyAlignment="1" applyProtection="1">
      <alignment horizontal="center" vertical="center"/>
      <protection locked="0"/>
    </xf>
    <xf numFmtId="0" fontId="8" fillId="4" borderId="17" xfId="33122" applyFont="1" applyFill="1" applyBorder="1" applyAlignment="1">
      <alignment horizontal="center" vertical="center"/>
    </xf>
    <xf numFmtId="0" fontId="8" fillId="4" borderId="28" xfId="33122" applyFont="1" applyFill="1" applyBorder="1" applyAlignment="1">
      <alignment horizontal="center" vertical="center"/>
    </xf>
    <xf numFmtId="0" fontId="8" fillId="4" borderId="4" xfId="33122" applyFont="1" applyFill="1" applyBorder="1" applyAlignment="1">
      <alignment horizontal="center" vertical="center"/>
    </xf>
    <xf numFmtId="0" fontId="8" fillId="4" borderId="15" xfId="33122" applyFont="1" applyFill="1" applyBorder="1" applyAlignment="1">
      <alignment horizontal="center" vertical="center"/>
    </xf>
    <xf numFmtId="0" fontId="8" fillId="4" borderId="48" xfId="33122" applyFont="1" applyFill="1" applyBorder="1" applyAlignment="1">
      <alignment horizontal="center" vertical="center"/>
    </xf>
    <xf numFmtId="0" fontId="8" fillId="4" borderId="16" xfId="33122" applyFont="1" applyFill="1" applyBorder="1" applyAlignment="1">
      <alignment horizontal="center" vertical="center"/>
    </xf>
    <xf numFmtId="0" fontId="8" fillId="4" borderId="26" xfId="33122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16" xfId="0" applyFont="1" applyFill="1" applyBorder="1" applyAlignment="1">
      <alignment horizontal="center" vertical="center"/>
    </xf>
    <xf numFmtId="0" fontId="8" fillId="4" borderId="26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 vertical="center"/>
    </xf>
    <xf numFmtId="0" fontId="8" fillId="5" borderId="21" xfId="0" applyFont="1" applyFill="1" applyBorder="1" applyAlignment="1">
      <alignment horizontal="center" vertical="center"/>
    </xf>
    <xf numFmtId="0" fontId="8" fillId="5" borderId="12" xfId="0" applyFont="1" applyFill="1" applyBorder="1" applyAlignment="1">
      <alignment horizontal="center" vertical="center"/>
    </xf>
    <xf numFmtId="0" fontId="8" fillId="0" borderId="11" xfId="16477" applyFont="1" applyFill="1" applyBorder="1" applyAlignment="1">
      <alignment horizontal="center" vertical="center"/>
    </xf>
    <xf numFmtId="0" fontId="8" fillId="0" borderId="4" xfId="16477" applyFont="1" applyFill="1" applyBorder="1" applyAlignment="1">
      <alignment horizontal="center" vertical="center"/>
    </xf>
    <xf numFmtId="0" fontId="8" fillId="0" borderId="12" xfId="16477" applyFont="1" applyFill="1" applyBorder="1" applyAlignment="1">
      <alignment horizontal="center" vertical="center"/>
    </xf>
    <xf numFmtId="0" fontId="8" fillId="0" borderId="32" xfId="33122" applyFont="1" applyFill="1" applyBorder="1" applyAlignment="1">
      <alignment horizontal="center" vertical="center"/>
    </xf>
    <xf numFmtId="0" fontId="8" fillId="0" borderId="50" xfId="33122" applyFont="1" applyFill="1" applyBorder="1" applyAlignment="1">
      <alignment horizontal="center" vertical="center"/>
    </xf>
    <xf numFmtId="0" fontId="8" fillId="0" borderId="1" xfId="33122" applyFont="1" applyFill="1" applyBorder="1" applyAlignment="1">
      <alignment horizontal="center" vertical="center"/>
    </xf>
    <xf numFmtId="0" fontId="8" fillId="0" borderId="2" xfId="33122" applyFont="1" applyFill="1" applyBorder="1" applyAlignment="1">
      <alignment horizontal="center" vertical="center"/>
    </xf>
    <xf numFmtId="0" fontId="8" fillId="4" borderId="47" xfId="33122" applyFont="1" applyFill="1" applyBorder="1" applyAlignment="1">
      <alignment horizontal="center" vertical="center"/>
    </xf>
    <xf numFmtId="0" fontId="8" fillId="4" borderId="49" xfId="33122" applyFont="1" applyFill="1" applyBorder="1" applyAlignment="1">
      <alignment horizontal="center" vertical="center"/>
    </xf>
    <xf numFmtId="0" fontId="8" fillId="4" borderId="30" xfId="33122" applyFont="1" applyFill="1" applyBorder="1" applyAlignment="1">
      <alignment horizontal="center" vertical="center"/>
    </xf>
    <xf numFmtId="0" fontId="8" fillId="4" borderId="18" xfId="33122" applyFont="1" applyFill="1" applyBorder="1" applyAlignment="1">
      <alignment horizontal="center" vertical="center"/>
    </xf>
    <xf numFmtId="0" fontId="8" fillId="0" borderId="4" xfId="16477" applyNumberFormat="1" applyFont="1" applyFill="1" applyBorder="1" applyAlignment="1">
      <alignment horizontal="center" vertical="center"/>
    </xf>
    <xf numFmtId="0" fontId="8" fillId="0" borderId="37" xfId="33122" applyFont="1" applyFill="1" applyBorder="1" applyAlignment="1">
      <alignment horizontal="center" vertical="center"/>
    </xf>
    <xf numFmtId="0" fontId="13" fillId="0" borderId="21" xfId="0" applyNumberFormat="1" applyFont="1" applyFill="1" applyBorder="1" applyAlignment="1" applyProtection="1">
      <alignment horizontal="center" vertical="center"/>
      <protection locked="0"/>
    </xf>
    <xf numFmtId="0" fontId="15" fillId="0" borderId="11" xfId="16477" applyFont="1" applyFill="1" applyBorder="1" applyAlignment="1">
      <alignment horizontal="center" vertical="center"/>
    </xf>
    <xf numFmtId="0" fontId="15" fillId="0" borderId="21" xfId="16477" applyFont="1" applyFill="1" applyBorder="1" applyAlignment="1">
      <alignment horizontal="center" vertical="center"/>
    </xf>
    <xf numFmtId="0" fontId="15" fillId="0" borderId="4" xfId="16477" applyNumberFormat="1" applyFont="1" applyFill="1" applyBorder="1" applyAlignment="1">
      <alignment horizontal="center" vertical="center"/>
    </xf>
    <xf numFmtId="0" fontId="15" fillId="0" borderId="12" xfId="16477" applyFont="1" applyFill="1" applyBorder="1" applyAlignment="1">
      <alignment horizontal="center" vertical="center"/>
    </xf>
    <xf numFmtId="0" fontId="15" fillId="0" borderId="11" xfId="16477" applyNumberFormat="1" applyFont="1" applyFill="1" applyBorder="1" applyAlignment="1">
      <alignment horizontal="center" vertical="center"/>
    </xf>
    <xf numFmtId="0" fontId="15" fillId="0" borderId="21" xfId="16477" applyNumberFormat="1" applyFont="1" applyFill="1" applyBorder="1" applyAlignment="1">
      <alignment horizontal="center" vertical="center"/>
    </xf>
    <xf numFmtId="0" fontId="8" fillId="0" borderId="42" xfId="33122" applyFont="1" applyFill="1" applyBorder="1"/>
    <xf numFmtId="0" fontId="8" fillId="0" borderId="16" xfId="0" applyFont="1" applyFill="1" applyBorder="1" applyAlignment="1" applyProtection="1">
      <alignment horizontal="center" vertical="center"/>
      <protection locked="0"/>
    </xf>
    <xf numFmtId="0" fontId="8" fillId="4" borderId="12" xfId="0" applyFont="1" applyFill="1" applyBorder="1" applyAlignment="1">
      <alignment horizontal="center" vertical="center"/>
    </xf>
    <xf numFmtId="0" fontId="8" fillId="4" borderId="18" xfId="0" applyFont="1" applyFill="1" applyBorder="1" applyAlignment="1">
      <alignment horizontal="center" vertical="center"/>
    </xf>
    <xf numFmtId="0" fontId="8" fillId="4" borderId="49" xfId="0" applyFont="1" applyFill="1" applyBorder="1" applyAlignment="1">
      <alignment horizontal="center" vertical="center"/>
    </xf>
    <xf numFmtId="0" fontId="8" fillId="4" borderId="42" xfId="0" applyFont="1" applyFill="1" applyBorder="1" applyAlignment="1">
      <alignment horizontal="center" vertical="center"/>
    </xf>
    <xf numFmtId="1" fontId="8" fillId="0" borderId="4" xfId="0" applyNumberFormat="1" applyFont="1" applyFill="1" applyBorder="1" applyAlignment="1">
      <alignment horizontal="center"/>
    </xf>
    <xf numFmtId="1" fontId="8" fillId="0" borderId="3" xfId="0" applyNumberFormat="1" applyFont="1" applyFill="1" applyBorder="1" applyAlignment="1">
      <alignment horizontal="center"/>
    </xf>
    <xf numFmtId="0" fontId="8" fillId="0" borderId="26" xfId="0" applyFont="1" applyFill="1" applyBorder="1" applyAlignment="1">
      <alignment horizontal="center"/>
    </xf>
    <xf numFmtId="0" fontId="8" fillId="0" borderId="28" xfId="0" applyFont="1" applyFill="1" applyBorder="1" applyAlignment="1">
      <alignment horizontal="center"/>
    </xf>
    <xf numFmtId="1" fontId="8" fillId="0" borderId="11" xfId="0" applyNumberFormat="1" applyFont="1" applyFill="1" applyBorder="1" applyAlignment="1">
      <alignment horizontal="center"/>
    </xf>
    <xf numFmtId="1" fontId="8" fillId="0" borderId="21" xfId="0" applyNumberFormat="1" applyFont="1" applyFill="1" applyBorder="1" applyAlignment="1">
      <alignment horizontal="center"/>
    </xf>
    <xf numFmtId="1" fontId="8" fillId="0" borderId="12" xfId="0" applyNumberFormat="1" applyFont="1" applyFill="1" applyBorder="1" applyAlignment="1">
      <alignment horizontal="center"/>
    </xf>
    <xf numFmtId="0" fontId="1" fillId="0" borderId="53" xfId="0" applyFont="1" applyFill="1" applyBorder="1"/>
    <xf numFmtId="0" fontId="1" fillId="0" borderId="55" xfId="0" applyFont="1" applyFill="1" applyBorder="1"/>
    <xf numFmtId="0" fontId="1" fillId="0" borderId="42" xfId="0" applyFont="1" applyFill="1" applyBorder="1"/>
    <xf numFmtId="0" fontId="1" fillId="0" borderId="54" xfId="0" applyFont="1" applyFill="1" applyBorder="1"/>
    <xf numFmtId="0" fontId="1" fillId="0" borderId="52" xfId="0" applyFont="1" applyFill="1" applyBorder="1"/>
    <xf numFmtId="0" fontId="8" fillId="0" borderId="3" xfId="16477" applyNumberFormat="1" applyFont="1" applyFill="1" applyBorder="1" applyAlignment="1" applyProtection="1">
      <alignment vertical="center"/>
      <protection locked="0"/>
    </xf>
    <xf numFmtId="0" fontId="8" fillId="0" borderId="3" xfId="0" applyFont="1" applyFill="1" applyBorder="1" applyAlignment="1">
      <alignment horizontal="center" vertical="center" wrapText="1"/>
    </xf>
    <xf numFmtId="0" fontId="8" fillId="0" borderId="14" xfId="33122" applyFont="1" applyFill="1" applyBorder="1" applyAlignment="1">
      <alignment horizontal="center" vertical="center"/>
    </xf>
    <xf numFmtId="0" fontId="8" fillId="0" borderId="26" xfId="33122" applyFont="1" applyFill="1" applyBorder="1" applyAlignment="1">
      <alignment horizontal="center" vertical="center" textRotation="90"/>
    </xf>
    <xf numFmtId="0" fontId="8" fillId="0" borderId="3" xfId="33122" applyFont="1" applyFill="1" applyBorder="1" applyAlignment="1">
      <alignment horizontal="center" vertical="center" textRotation="90"/>
    </xf>
    <xf numFmtId="0" fontId="8" fillId="0" borderId="28" xfId="33122" applyFont="1" applyFill="1" applyBorder="1" applyAlignment="1">
      <alignment horizontal="center" vertical="center" textRotation="90"/>
    </xf>
    <xf numFmtId="0" fontId="8" fillId="0" borderId="11" xfId="33122" applyFont="1" applyFill="1" applyBorder="1" applyAlignment="1">
      <alignment horizontal="center" vertical="center" textRotation="90"/>
    </xf>
    <xf numFmtId="0" fontId="8" fillId="0" borderId="28" xfId="33122" quotePrefix="1" applyFont="1" applyFill="1" applyBorder="1" applyAlignment="1">
      <alignment horizontal="center" vertical="center"/>
    </xf>
    <xf numFmtId="0" fontId="8" fillId="0" borderId="11" xfId="33122" quotePrefix="1" applyFont="1" applyFill="1" applyBorder="1" applyAlignment="1">
      <alignment horizontal="center" vertical="center"/>
    </xf>
    <xf numFmtId="0" fontId="8" fillId="0" borderId="16" xfId="33122" applyNumberFormat="1" applyFont="1" applyFill="1" applyBorder="1" applyAlignment="1">
      <alignment horizontal="center" vertical="center"/>
    </xf>
    <xf numFmtId="0" fontId="8" fillId="0" borderId="3" xfId="33122" applyNumberFormat="1" applyFont="1" applyFill="1" applyBorder="1" applyAlignment="1" applyProtection="1">
      <alignment vertical="center"/>
      <protection locked="0"/>
    </xf>
    <xf numFmtId="0" fontId="8" fillId="0" borderId="3" xfId="33122" applyNumberFormat="1" applyFont="1" applyFill="1" applyBorder="1" applyAlignment="1">
      <alignment horizontal="center" vertical="center"/>
    </xf>
    <xf numFmtId="0" fontId="8" fillId="0" borderId="3" xfId="16477" applyFont="1" applyFill="1" applyBorder="1" applyAlignment="1">
      <alignment horizontal="center" wrapText="1"/>
    </xf>
    <xf numFmtId="0" fontId="8" fillId="0" borderId="42" xfId="33122" applyFont="1" applyFill="1" applyBorder="1" applyAlignment="1">
      <alignment horizontal="center"/>
    </xf>
    <xf numFmtId="0" fontId="8" fillId="0" borderId="3" xfId="33122" applyFont="1" applyFill="1" applyBorder="1" applyAlignment="1" applyProtection="1">
      <alignment horizontal="center" vertical="center"/>
      <protection locked="0"/>
    </xf>
    <xf numFmtId="0" fontId="8" fillId="0" borderId="16" xfId="33122" applyFont="1" applyFill="1" applyBorder="1" applyAlignment="1">
      <alignment horizontal="center"/>
    </xf>
    <xf numFmtId="0" fontId="8" fillId="0" borderId="15" xfId="33122" applyFont="1" applyFill="1" applyBorder="1" applyAlignment="1">
      <alignment horizontal="center"/>
    </xf>
    <xf numFmtId="0" fontId="8" fillId="0" borderId="30" xfId="33122" applyNumberFormat="1" applyFont="1" applyFill="1" applyBorder="1" applyAlignment="1">
      <alignment horizontal="center" vertical="center"/>
    </xf>
    <xf numFmtId="0" fontId="8" fillId="0" borderId="3" xfId="33122" applyFont="1" applyFill="1" applyBorder="1" applyAlignment="1">
      <alignment horizontal="center"/>
    </xf>
    <xf numFmtId="0" fontId="1" fillId="0" borderId="43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/>
    </xf>
    <xf numFmtId="0" fontId="1" fillId="0" borderId="37" xfId="0" applyFont="1" applyFill="1" applyBorder="1" applyAlignment="1">
      <alignment horizontal="center" vertical="center"/>
    </xf>
    <xf numFmtId="0" fontId="8" fillId="0" borderId="33" xfId="33122" applyFont="1" applyFill="1" applyBorder="1" applyAlignment="1">
      <alignment horizontal="center" textRotation="90"/>
    </xf>
    <xf numFmtId="0" fontId="8" fillId="0" borderId="3" xfId="33122" applyFont="1" applyFill="1" applyBorder="1" applyAlignment="1">
      <alignment horizontal="center" textRotation="90"/>
    </xf>
    <xf numFmtId="0" fontId="8" fillId="0" borderId="2" xfId="33122" applyFont="1" applyFill="1" applyBorder="1" applyAlignment="1">
      <alignment horizontal="center" textRotation="90"/>
    </xf>
    <xf numFmtId="0" fontId="14" fillId="3" borderId="12" xfId="33122" applyBorder="1" applyAlignment="1">
      <alignment horizontal="center" wrapText="1"/>
    </xf>
    <xf numFmtId="0" fontId="14" fillId="3" borderId="60" xfId="33122" applyNumberFormat="1" applyBorder="1" applyAlignment="1">
      <alignment horizontal="center" vertical="center"/>
    </xf>
    <xf numFmtId="1" fontId="12" fillId="2" borderId="12" xfId="16477" applyNumberFormat="1" applyBorder="1" applyAlignment="1">
      <alignment horizontal="center" wrapText="1"/>
    </xf>
    <xf numFmtId="0" fontId="12" fillId="2" borderId="12" xfId="16477" applyBorder="1" applyAlignment="1">
      <alignment horizontal="center" wrapText="1"/>
    </xf>
    <xf numFmtId="0" fontId="14" fillId="3" borderId="12" xfId="33122" applyBorder="1" applyAlignment="1">
      <alignment horizontal="left" wrapText="1"/>
    </xf>
    <xf numFmtId="0" fontId="12" fillId="2" borderId="12" xfId="16477" applyBorder="1" applyAlignment="1">
      <alignment horizontal="center" vertical="center" wrapText="1"/>
    </xf>
    <xf numFmtId="0" fontId="14" fillId="3" borderId="18" xfId="33122" applyBorder="1" applyAlignment="1">
      <alignment horizontal="center" wrapText="1"/>
    </xf>
    <xf numFmtId="0" fontId="14" fillId="3" borderId="13" xfId="33122" applyBorder="1" applyAlignment="1">
      <alignment horizontal="center" vertical="center"/>
    </xf>
    <xf numFmtId="0" fontId="14" fillId="3" borderId="60" xfId="33122" applyBorder="1" applyAlignment="1">
      <alignment horizontal="center" vertical="center"/>
    </xf>
    <xf numFmtId="0" fontId="14" fillId="3" borderId="18" xfId="33122" applyBorder="1" applyAlignment="1">
      <alignment horizontal="center" vertical="center"/>
    </xf>
    <xf numFmtId="0" fontId="14" fillId="3" borderId="3" xfId="33122" applyBorder="1" applyAlignment="1">
      <alignment horizontal="center" vertical="center"/>
    </xf>
    <xf numFmtId="0" fontId="14" fillId="3" borderId="2" xfId="33122" applyBorder="1" applyAlignment="1">
      <alignment horizontal="center" vertical="center"/>
    </xf>
    <xf numFmtId="0" fontId="12" fillId="2" borderId="3" xfId="16477" applyNumberFormat="1" applyBorder="1" applyAlignment="1" applyProtection="1">
      <alignment horizontal="center" vertical="center" textRotation="90"/>
      <protection locked="0"/>
    </xf>
    <xf numFmtId="0" fontId="14" fillId="3" borderId="3" xfId="33122" applyNumberFormat="1" applyBorder="1" applyAlignment="1" applyProtection="1">
      <alignment horizontal="center" vertical="center" textRotation="90"/>
      <protection locked="0"/>
    </xf>
    <xf numFmtId="0" fontId="14" fillId="3" borderId="3" xfId="33122" applyNumberFormat="1" applyBorder="1" applyAlignment="1">
      <alignment horizontal="center" textRotation="90"/>
    </xf>
    <xf numFmtId="0" fontId="14" fillId="3" borderId="11" xfId="33122" applyNumberFormat="1" applyBorder="1" applyAlignment="1" applyProtection="1">
      <alignment horizontal="center" vertical="center" textRotation="90"/>
      <protection locked="0"/>
    </xf>
    <xf numFmtId="0" fontId="14" fillId="3" borderId="12" xfId="33122" applyBorder="1" applyAlignment="1">
      <alignment horizontal="center" vertical="center"/>
    </xf>
    <xf numFmtId="0" fontId="14" fillId="3" borderId="11" xfId="33122" applyBorder="1" applyAlignment="1">
      <alignment horizontal="center" vertical="center"/>
    </xf>
    <xf numFmtId="0" fontId="14" fillId="3" borderId="4" xfId="33122" applyNumberFormat="1" applyBorder="1" applyAlignment="1" applyProtection="1">
      <alignment horizontal="center" vertical="center"/>
      <protection locked="0"/>
    </xf>
    <xf numFmtId="0" fontId="12" fillId="2" borderId="2" xfId="16477" applyBorder="1" applyAlignment="1">
      <alignment horizontal="center" vertical="center"/>
    </xf>
    <xf numFmtId="0" fontId="12" fillId="2" borderId="4" xfId="16477" applyNumberFormat="1" applyBorder="1" applyAlignment="1" applyProtection="1">
      <alignment horizontal="center" vertical="center"/>
      <protection locked="0"/>
    </xf>
    <xf numFmtId="0" fontId="12" fillId="2" borderId="3" xfId="16477" applyBorder="1" applyAlignment="1">
      <alignment horizontal="center" vertical="center"/>
    </xf>
    <xf numFmtId="0" fontId="12" fillId="2" borderId="3" xfId="16477" applyNumberFormat="1" applyBorder="1" applyAlignment="1">
      <alignment horizontal="center" textRotation="90"/>
    </xf>
    <xf numFmtId="0" fontId="14" fillId="3" borderId="3" xfId="33122" quotePrefix="1" applyNumberFormat="1" applyBorder="1" applyAlignment="1">
      <alignment horizontal="center" textRotation="90"/>
    </xf>
    <xf numFmtId="0" fontId="14" fillId="3" borderId="3" xfId="33122" quotePrefix="1" applyBorder="1" applyAlignment="1">
      <alignment horizontal="center" vertical="center"/>
    </xf>
    <xf numFmtId="0" fontId="14" fillId="3" borderId="2" xfId="33122" applyNumberFormat="1" applyBorder="1" applyAlignment="1" applyProtection="1">
      <alignment horizontal="center" vertical="center" textRotation="90"/>
      <protection locked="0"/>
    </xf>
    <xf numFmtId="0" fontId="14" fillId="3" borderId="2" xfId="33122" quotePrefix="1" applyNumberFormat="1" applyBorder="1" applyAlignment="1">
      <alignment horizontal="center" textRotation="90"/>
    </xf>
    <xf numFmtId="0" fontId="14" fillId="3" borderId="32" xfId="33122" applyNumberFormat="1" applyBorder="1" applyAlignment="1" applyProtection="1">
      <alignment horizontal="center" vertical="center" textRotation="90"/>
      <protection locked="0"/>
    </xf>
    <xf numFmtId="0" fontId="14" fillId="3" borderId="11" xfId="33122" quotePrefix="1" applyBorder="1" applyAlignment="1">
      <alignment horizontal="center" vertical="center"/>
    </xf>
    <xf numFmtId="0" fontId="14" fillId="3" borderId="3" xfId="33122" applyNumberFormat="1" applyBorder="1" applyAlignment="1" applyProtection="1">
      <alignment horizontal="center" textRotation="90"/>
      <protection locked="0"/>
    </xf>
    <xf numFmtId="0" fontId="14" fillId="3" borderId="3" xfId="33122" applyBorder="1" applyAlignment="1">
      <alignment horizontal="center" wrapText="1"/>
    </xf>
    <xf numFmtId="1" fontId="12" fillId="2" borderId="3" xfId="16477" applyNumberFormat="1" applyBorder="1" applyAlignment="1">
      <alignment horizontal="center" wrapText="1"/>
    </xf>
    <xf numFmtId="0" fontId="12" fillId="2" borderId="3" xfId="16477" applyBorder="1" applyAlignment="1">
      <alignment horizontal="center" wrapText="1"/>
    </xf>
    <xf numFmtId="0" fontId="14" fillId="3" borderId="3" xfId="33122" applyBorder="1" applyAlignment="1">
      <alignment horizontal="left" wrapText="1"/>
    </xf>
    <xf numFmtId="0" fontId="12" fillId="2" borderId="3" xfId="16477" applyBorder="1" applyAlignment="1">
      <alignment horizontal="center" vertical="center" wrapText="1"/>
    </xf>
    <xf numFmtId="0" fontId="14" fillId="3" borderId="16" xfId="33122" applyBorder="1" applyAlignment="1">
      <alignment horizontal="center" wrapText="1"/>
    </xf>
    <xf numFmtId="0" fontId="14" fillId="3" borderId="47" xfId="33122" applyBorder="1" applyAlignment="1">
      <alignment horizontal="center" vertical="center"/>
    </xf>
    <xf numFmtId="0" fontId="14" fillId="3" borderId="21" xfId="33122" applyBorder="1" applyAlignment="1">
      <alignment horizontal="center" vertical="center"/>
    </xf>
    <xf numFmtId="0" fontId="14" fillId="3" borderId="16" xfId="33122" applyBorder="1" applyAlignment="1">
      <alignment horizontal="center" vertical="center"/>
    </xf>
    <xf numFmtId="0" fontId="14" fillId="3" borderId="3" xfId="33122" applyNumberFormat="1" applyBorder="1" applyAlignment="1" applyProtection="1">
      <alignment horizontal="center" vertical="center"/>
      <protection locked="0"/>
    </xf>
    <xf numFmtId="0" fontId="12" fillId="2" borderId="3" xfId="16477" applyNumberFormat="1" applyBorder="1" applyAlignment="1" applyProtection="1">
      <alignment horizontal="center" vertical="center"/>
      <protection locked="0"/>
    </xf>
    <xf numFmtId="0" fontId="14" fillId="3" borderId="50" xfId="33122" applyNumberFormat="1" applyBorder="1" applyAlignment="1" applyProtection="1">
      <alignment horizontal="center" vertical="center"/>
      <protection locked="0"/>
    </xf>
    <xf numFmtId="0" fontId="14" fillId="3" borderId="16" xfId="33122" applyNumberFormat="1" applyBorder="1" applyAlignment="1">
      <alignment horizontal="center" vertical="center"/>
    </xf>
    <xf numFmtId="0" fontId="14" fillId="3" borderId="3" xfId="33122" applyNumberFormat="1" applyBorder="1" applyAlignment="1" applyProtection="1">
      <alignment vertical="center"/>
      <protection locked="0"/>
    </xf>
    <xf numFmtId="0" fontId="12" fillId="2" borderId="3" xfId="16477" applyNumberFormat="1" applyBorder="1" applyAlignment="1">
      <alignment horizontal="center" vertical="center"/>
    </xf>
    <xf numFmtId="0" fontId="14" fillId="3" borderId="3" xfId="33122" applyNumberFormat="1" applyBorder="1" applyAlignment="1">
      <alignment horizontal="center" vertical="center"/>
    </xf>
    <xf numFmtId="0" fontId="14" fillId="3" borderId="42" xfId="33122" applyNumberFormat="1" applyBorder="1" applyAlignment="1">
      <alignment horizontal="center" vertical="center"/>
    </xf>
    <xf numFmtId="0" fontId="14" fillId="3" borderId="26" xfId="33122" applyBorder="1" applyAlignment="1">
      <alignment horizontal="center" vertical="center"/>
    </xf>
    <xf numFmtId="0" fontId="14" fillId="3" borderId="42" xfId="33122" applyBorder="1" applyAlignment="1">
      <alignment horizontal="center" vertical="center"/>
    </xf>
    <xf numFmtId="0" fontId="14" fillId="3" borderId="3" xfId="33122" applyNumberFormat="1" applyBorder="1" applyAlignment="1">
      <alignment vertical="center"/>
    </xf>
    <xf numFmtId="0" fontId="14" fillId="3" borderId="15" xfId="33122" applyNumberFormat="1" applyBorder="1" applyAlignment="1">
      <alignment horizontal="center" vertical="center"/>
    </xf>
    <xf numFmtId="0" fontId="14" fillId="3" borderId="3" xfId="33122" applyBorder="1"/>
    <xf numFmtId="0" fontId="12" fillId="2" borderId="3" xfId="16477" applyBorder="1" applyAlignment="1" applyProtection="1">
      <alignment horizontal="center" vertical="center"/>
      <protection locked="0"/>
    </xf>
    <xf numFmtId="0" fontId="14" fillId="3" borderId="42" xfId="33122" applyBorder="1" applyAlignment="1">
      <alignment horizontal="center"/>
    </xf>
    <xf numFmtId="0" fontId="14" fillId="3" borderId="3" xfId="33122" applyBorder="1" applyAlignment="1">
      <alignment vertical="center"/>
    </xf>
    <xf numFmtId="0" fontId="14" fillId="3" borderId="3" xfId="33122" applyBorder="1" applyAlignment="1" applyProtection="1">
      <alignment horizontal="center" vertical="center"/>
      <protection locked="0"/>
    </xf>
    <xf numFmtId="0" fontId="14" fillId="3" borderId="42" xfId="33122" applyBorder="1" applyAlignment="1" applyProtection="1">
      <alignment horizontal="center" vertical="center"/>
      <protection locked="0"/>
    </xf>
    <xf numFmtId="0" fontId="14" fillId="3" borderId="42" xfId="33122" applyNumberFormat="1" applyBorder="1" applyAlignment="1" applyProtection="1">
      <alignment horizontal="center" vertical="center"/>
      <protection locked="0"/>
    </xf>
    <xf numFmtId="0" fontId="14" fillId="3" borderId="16" xfId="33122" applyBorder="1" applyAlignment="1">
      <alignment horizontal="center"/>
    </xf>
    <xf numFmtId="0" fontId="12" fillId="2" borderId="26" xfId="16477" applyBorder="1" applyAlignment="1">
      <alignment horizontal="center" vertical="center"/>
    </xf>
    <xf numFmtId="0" fontId="14" fillId="3" borderId="15" xfId="33122" applyBorder="1" applyAlignment="1">
      <alignment horizontal="center"/>
    </xf>
    <xf numFmtId="0" fontId="14" fillId="3" borderId="48" xfId="33122" applyBorder="1" applyAlignment="1">
      <alignment horizontal="center" vertical="center"/>
    </xf>
    <xf numFmtId="0" fontId="14" fillId="3" borderId="4" xfId="33122" applyBorder="1" applyAlignment="1">
      <alignment horizontal="center" vertical="center"/>
    </xf>
    <xf numFmtId="0" fontId="14" fillId="3" borderId="55" xfId="33122" applyBorder="1" applyAlignment="1">
      <alignment horizontal="center" vertical="center"/>
    </xf>
    <xf numFmtId="0" fontId="12" fillId="2" borderId="48" xfId="16477" applyBorder="1" applyAlignment="1">
      <alignment horizontal="center" vertical="center"/>
    </xf>
    <xf numFmtId="0" fontId="14" fillId="3" borderId="30" xfId="33122" applyNumberFormat="1" applyBorder="1" applyAlignment="1">
      <alignment horizontal="center" vertical="center"/>
    </xf>
    <xf numFmtId="0" fontId="14" fillId="3" borderId="3" xfId="33122" applyBorder="1" applyAlignment="1">
      <alignment horizontal="center"/>
    </xf>
    <xf numFmtId="0" fontId="12" fillId="2" borderId="3" xfId="16477" applyNumberFormat="1" applyBorder="1" applyAlignment="1" applyProtection="1">
      <alignment vertical="center"/>
      <protection locked="0"/>
    </xf>
    <xf numFmtId="0" fontId="12" fillId="2" borderId="54" xfId="16477" applyBorder="1" applyAlignment="1">
      <alignment horizontal="center" vertical="center"/>
    </xf>
    <xf numFmtId="0" fontId="12" fillId="2" borderId="47" xfId="16477" applyBorder="1" applyAlignment="1">
      <alignment horizontal="center" vertical="center"/>
    </xf>
    <xf numFmtId="0" fontId="14" fillId="3" borderId="54" xfId="33122" applyBorder="1" applyAlignment="1">
      <alignment horizontal="center" vertical="center"/>
    </xf>
    <xf numFmtId="0" fontId="14" fillId="3" borderId="16" xfId="33122" applyNumberFormat="1" applyBorder="1" applyAlignment="1" applyProtection="1">
      <alignment horizontal="center" vertical="center"/>
      <protection locked="0"/>
    </xf>
    <xf numFmtId="0" fontId="12" fillId="2" borderId="42" xfId="16477" applyBorder="1" applyAlignment="1">
      <alignment horizontal="center" vertical="center"/>
    </xf>
    <xf numFmtId="0" fontId="14" fillId="3" borderId="3" xfId="33122" applyNumberFormat="1" applyBorder="1" applyAlignment="1">
      <alignment horizontal="left" vertical="center"/>
    </xf>
    <xf numFmtId="0" fontId="1" fillId="0" borderId="45" xfId="0" applyFont="1" applyFill="1" applyBorder="1" applyAlignment="1">
      <alignment horizontal="center" vertical="center"/>
    </xf>
    <xf numFmtId="0" fontId="1" fillId="0" borderId="43" xfId="0" applyFont="1" applyFill="1" applyBorder="1" applyAlignment="1">
      <alignment horizontal="center" vertical="center"/>
    </xf>
    <xf numFmtId="0" fontId="1" fillId="0" borderId="51" xfId="0" applyFont="1" applyFill="1" applyBorder="1" applyAlignment="1">
      <alignment horizontal="center" vertical="center"/>
    </xf>
    <xf numFmtId="0" fontId="1" fillId="0" borderId="45" xfId="0" applyFont="1" applyFill="1" applyBorder="1" applyAlignment="1">
      <alignment horizontal="center" vertical="center" wrapText="1"/>
    </xf>
    <xf numFmtId="0" fontId="1" fillId="0" borderId="43" xfId="0" applyFont="1" applyFill="1" applyBorder="1" applyAlignment="1">
      <alignment horizontal="center" vertical="center" wrapText="1"/>
    </xf>
    <xf numFmtId="0" fontId="1" fillId="0" borderId="51" xfId="0" applyFont="1" applyFill="1" applyBorder="1" applyAlignment="1">
      <alignment horizontal="center" vertical="center" wrapText="1"/>
    </xf>
    <xf numFmtId="0" fontId="1" fillId="0" borderId="19" xfId="0" applyFont="1" applyFill="1" applyBorder="1" applyAlignment="1" applyProtection="1">
      <alignment horizontal="center" vertical="center" wrapText="1"/>
      <protection hidden="1"/>
    </xf>
    <xf numFmtId="0" fontId="1" fillId="0" borderId="22" xfId="0" applyFont="1" applyFill="1" applyBorder="1" applyAlignment="1" applyProtection="1">
      <alignment horizontal="center" vertical="center" wrapText="1"/>
      <protection hidden="1"/>
    </xf>
    <xf numFmtId="0" fontId="1" fillId="0" borderId="24" xfId="0" applyFont="1" applyFill="1" applyBorder="1" applyAlignment="1" applyProtection="1">
      <alignment horizontal="center" vertical="center" wrapText="1"/>
      <protection hidden="1"/>
    </xf>
    <xf numFmtId="0" fontId="1" fillId="0" borderId="19" xfId="0" applyFont="1" applyFill="1" applyBorder="1" applyAlignment="1" applyProtection="1">
      <alignment horizontal="center" vertical="center" textRotation="90" wrapText="1"/>
      <protection hidden="1"/>
    </xf>
    <xf numFmtId="0" fontId="1" fillId="0" borderId="22" xfId="0" applyFont="1" applyFill="1" applyBorder="1" applyAlignment="1" applyProtection="1">
      <alignment horizontal="center" vertical="center" textRotation="90" wrapText="1"/>
      <protection hidden="1"/>
    </xf>
    <xf numFmtId="0" fontId="1" fillId="0" borderId="24" xfId="0" applyFont="1" applyFill="1" applyBorder="1" applyAlignment="1" applyProtection="1">
      <alignment horizontal="center" vertical="center" textRotation="90" wrapText="1"/>
      <protection hidden="1"/>
    </xf>
    <xf numFmtId="0" fontId="3" fillId="0" borderId="19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1" fillId="0" borderId="13" xfId="0" applyFont="1" applyFill="1" applyBorder="1" applyAlignment="1">
      <alignment horizontal="center" vertical="center" wrapText="1"/>
    </xf>
    <xf numFmtId="0" fontId="1" fillId="0" borderId="5" xfId="0" applyFont="1" applyFill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14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1" fillId="0" borderId="9" xfId="0" applyFont="1" applyFill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 wrapText="1"/>
    </xf>
    <xf numFmtId="0" fontId="1" fillId="0" borderId="49" xfId="0" applyFont="1" applyFill="1" applyBorder="1" applyAlignment="1" applyProtection="1">
      <alignment horizontal="center" vertical="center" textRotation="90" wrapText="1"/>
      <protection hidden="1"/>
    </xf>
    <xf numFmtId="0" fontId="1" fillId="0" borderId="12" xfId="0" applyFont="1" applyFill="1" applyBorder="1" applyAlignment="1" applyProtection="1">
      <alignment horizontal="center" vertical="center" textRotation="90" wrapText="1"/>
      <protection hidden="1"/>
    </xf>
    <xf numFmtId="0" fontId="1" fillId="0" borderId="52" xfId="0" applyFont="1" applyFill="1" applyBorder="1" applyAlignment="1" applyProtection="1">
      <alignment horizontal="center" vertical="center" textRotation="90" wrapText="1"/>
      <protection hidden="1"/>
    </xf>
    <xf numFmtId="0" fontId="1" fillId="0" borderId="26" xfId="0" applyFont="1" applyFill="1" applyBorder="1" applyAlignment="1" applyProtection="1">
      <alignment horizontal="center" vertical="center" textRotation="90" wrapText="1"/>
      <protection hidden="1"/>
    </xf>
    <xf numFmtId="0" fontId="1" fillId="0" borderId="3" xfId="0" applyFont="1" applyFill="1" applyBorder="1" applyAlignment="1" applyProtection="1">
      <alignment horizontal="center" vertical="center" textRotation="90" wrapText="1"/>
      <protection hidden="1"/>
    </xf>
    <xf numFmtId="0" fontId="1" fillId="0" borderId="42" xfId="0" applyFont="1" applyFill="1" applyBorder="1" applyAlignment="1" applyProtection="1">
      <alignment horizontal="center" vertical="center" textRotation="90" wrapText="1"/>
      <protection hidden="1"/>
    </xf>
    <xf numFmtId="0" fontId="1" fillId="0" borderId="30" xfId="0" applyFont="1" applyFill="1" applyBorder="1" applyAlignment="1">
      <alignment horizontal="center" vertical="center"/>
    </xf>
    <xf numFmtId="0" fontId="1" fillId="0" borderId="36" xfId="0" applyFont="1" applyFill="1" applyBorder="1" applyAlignment="1">
      <alignment horizontal="center" vertical="center"/>
    </xf>
    <xf numFmtId="0" fontId="1" fillId="0" borderId="38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165" fontId="8" fillId="0" borderId="26" xfId="0" applyNumberFormat="1" applyFont="1" applyFill="1" applyBorder="1" applyAlignment="1">
      <alignment horizontal="center" vertical="center"/>
    </xf>
    <xf numFmtId="165" fontId="8" fillId="0" borderId="3" xfId="0" applyNumberFormat="1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left" vertical="center"/>
    </xf>
    <xf numFmtId="0" fontId="8" fillId="0" borderId="34" xfId="0" applyFont="1" applyFill="1" applyBorder="1" applyAlignment="1">
      <alignment horizontal="center" vertical="center"/>
    </xf>
    <xf numFmtId="0" fontId="8" fillId="0" borderId="35" xfId="0" applyFont="1" applyFill="1" applyBorder="1" applyAlignment="1">
      <alignment horizontal="center" vertical="center"/>
    </xf>
    <xf numFmtId="0" fontId="8" fillId="0" borderId="4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8" xfId="0" applyFont="1" applyFill="1" applyBorder="1" applyAlignment="1">
      <alignment horizontal="center" vertical="center"/>
    </xf>
    <xf numFmtId="0" fontId="1" fillId="0" borderId="31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1" fillId="0" borderId="40" xfId="0" applyFont="1" applyFill="1" applyBorder="1" applyAlignment="1">
      <alignment horizontal="center" vertical="center"/>
    </xf>
    <xf numFmtId="0" fontId="1" fillId="0" borderId="37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39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13" xfId="0" applyFont="1" applyFill="1" applyBorder="1" applyAlignment="1">
      <alignment horizontal="center" vertical="center"/>
    </xf>
    <xf numFmtId="0" fontId="1" fillId="0" borderId="14" xfId="0" applyFont="1" applyFill="1" applyBorder="1" applyAlignment="1">
      <alignment horizontal="center" vertical="center"/>
    </xf>
    <xf numFmtId="164" fontId="8" fillId="0" borderId="26" xfId="0" applyNumberFormat="1" applyFont="1" applyFill="1" applyBorder="1" applyAlignment="1">
      <alignment horizontal="center" vertical="center"/>
    </xf>
    <xf numFmtId="164" fontId="8" fillId="0" borderId="3" xfId="0" applyNumberFormat="1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/>
    </xf>
    <xf numFmtId="0" fontId="8" fillId="0" borderId="6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8" fillId="0" borderId="7" xfId="0" applyFont="1" applyFill="1" applyBorder="1" applyAlignment="1">
      <alignment horizontal="center"/>
    </xf>
    <xf numFmtId="0" fontId="8" fillId="0" borderId="9" xfId="0" applyFont="1" applyFill="1" applyBorder="1" applyAlignment="1">
      <alignment horizontal="center"/>
    </xf>
    <xf numFmtId="0" fontId="8" fillId="0" borderId="10" xfId="0" applyFont="1" applyFill="1" applyBorder="1" applyAlignment="1">
      <alignment horizontal="center"/>
    </xf>
    <xf numFmtId="164" fontId="1" fillId="0" borderId="19" xfId="0" applyNumberFormat="1" applyFont="1" applyFill="1" applyBorder="1" applyAlignment="1">
      <alignment horizontal="center" vertical="center"/>
    </xf>
    <xf numFmtId="0" fontId="1" fillId="0" borderId="22" xfId="0" applyFont="1" applyFill="1" applyBorder="1" applyAlignment="1">
      <alignment horizontal="center" vertical="center"/>
    </xf>
    <xf numFmtId="0" fontId="1" fillId="0" borderId="24" xfId="0" applyFont="1" applyFill="1" applyBorder="1" applyAlignment="1">
      <alignment horizontal="center" vertical="center"/>
    </xf>
    <xf numFmtId="0" fontId="1" fillId="0" borderId="19" xfId="0" applyFont="1" applyFill="1" applyBorder="1" applyAlignment="1">
      <alignment horizontal="center" vertical="center"/>
    </xf>
    <xf numFmtId="0" fontId="8" fillId="0" borderId="5" xfId="0" applyFont="1" applyFill="1" applyBorder="1" applyAlignment="1"/>
    <xf numFmtId="0" fontId="8" fillId="0" borderId="6" xfId="0" applyFont="1" applyFill="1" applyBorder="1" applyAlignment="1"/>
    <xf numFmtId="0" fontId="8" fillId="0" borderId="14" xfId="0" applyFont="1" applyFill="1" applyBorder="1" applyAlignment="1"/>
    <xf numFmtId="0" fontId="8" fillId="0" borderId="0" xfId="0" applyFont="1" applyFill="1" applyBorder="1" applyAlignment="1"/>
    <xf numFmtId="0" fontId="8" fillId="0" borderId="7" xfId="0" applyFont="1" applyFill="1" applyBorder="1" applyAlignment="1"/>
    <xf numFmtId="0" fontId="8" fillId="0" borderId="8" xfId="0" applyFont="1" applyFill="1" applyBorder="1" applyAlignment="1"/>
    <xf numFmtId="0" fontId="8" fillId="0" borderId="9" xfId="0" applyFont="1" applyFill="1" applyBorder="1" applyAlignment="1"/>
    <xf numFmtId="0" fontId="8" fillId="0" borderId="10" xfId="0" applyFont="1" applyFill="1" applyBorder="1" applyAlignment="1"/>
    <xf numFmtId="0" fontId="1" fillId="0" borderId="26" xfId="0" applyFont="1" applyFill="1" applyBorder="1" applyAlignment="1">
      <alignment horizontal="center" vertical="center" textRotation="90" wrapText="1"/>
    </xf>
    <xf numFmtId="0" fontId="1" fillId="0" borderId="3" xfId="0" applyFont="1" applyFill="1" applyBorder="1" applyAlignment="1">
      <alignment horizontal="center" vertical="center" textRotation="90" wrapText="1"/>
    </xf>
    <xf numFmtId="0" fontId="1" fillId="0" borderId="42" xfId="0" applyFont="1" applyFill="1" applyBorder="1" applyAlignment="1">
      <alignment horizontal="center" vertical="center" textRotation="90" wrapText="1"/>
    </xf>
    <xf numFmtId="0" fontId="1" fillId="0" borderId="47" xfId="0" applyFont="1" applyFill="1" applyBorder="1" applyAlignment="1">
      <alignment horizontal="center" vertical="center" textRotation="90" wrapText="1"/>
    </xf>
    <xf numFmtId="0" fontId="1" fillId="0" borderId="21" xfId="0" applyFont="1" applyFill="1" applyBorder="1" applyAlignment="1">
      <alignment horizontal="center" vertical="center" textRotation="90" wrapText="1"/>
    </xf>
    <xf numFmtId="0" fontId="1" fillId="0" borderId="54" xfId="0" applyFont="1" applyFill="1" applyBorder="1" applyAlignment="1">
      <alignment horizontal="center" vertical="center" textRotation="90" wrapText="1"/>
    </xf>
    <xf numFmtId="164" fontId="1" fillId="0" borderId="49" xfId="0" applyNumberFormat="1" applyFont="1" applyFill="1" applyBorder="1" applyAlignment="1">
      <alignment horizontal="center" vertical="center"/>
    </xf>
    <xf numFmtId="0" fontId="1" fillId="0" borderId="26" xfId="0" applyFont="1" applyFill="1" applyBorder="1" applyAlignment="1">
      <alignment horizontal="center" vertical="center"/>
    </xf>
    <xf numFmtId="0" fontId="1" fillId="0" borderId="28" xfId="0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center" vertical="center"/>
    </xf>
    <xf numFmtId="0" fontId="1" fillId="0" borderId="18" xfId="0" applyFont="1" applyFill="1" applyBorder="1" applyAlignment="1">
      <alignment horizontal="center" vertical="center"/>
    </xf>
    <xf numFmtId="0" fontId="1" fillId="0" borderId="16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horizontal="center" vertical="center"/>
    </xf>
    <xf numFmtId="0" fontId="1" fillId="0" borderId="56" xfId="0" applyFont="1" applyFill="1" applyBorder="1" applyAlignment="1">
      <alignment horizontal="left" vertical="center"/>
    </xf>
    <xf numFmtId="0" fontId="1" fillId="0" borderId="12" xfId="0" applyFont="1" applyFill="1" applyBorder="1" applyAlignment="1">
      <alignment horizontal="left" vertical="center"/>
    </xf>
    <xf numFmtId="0" fontId="1" fillId="0" borderId="52" xfId="0" applyFont="1" applyFill="1" applyBorder="1" applyAlignment="1">
      <alignment horizontal="left" vertical="center"/>
    </xf>
    <xf numFmtId="0" fontId="1" fillId="0" borderId="21" xfId="0" applyFont="1" applyFill="1" applyBorder="1" applyAlignment="1">
      <alignment horizontal="left" vertical="center"/>
    </xf>
    <xf numFmtId="0" fontId="1" fillId="0" borderId="42" xfId="0" applyFont="1" applyFill="1" applyBorder="1" applyAlignment="1">
      <alignment horizontal="left" vertical="center"/>
    </xf>
    <xf numFmtId="0" fontId="12" fillId="2" borderId="3" xfId="16477" quotePrefix="1" applyNumberFormat="1" applyBorder="1" applyAlignment="1">
      <alignment horizontal="center" textRotation="90"/>
    </xf>
    <xf numFmtId="0" fontId="12" fillId="2" borderId="3" xfId="16477" applyNumberFormat="1" applyBorder="1" applyAlignment="1" applyProtection="1">
      <alignment horizontal="center" textRotation="90"/>
      <protection locked="0"/>
    </xf>
    <xf numFmtId="0" fontId="14" fillId="3" borderId="16" xfId="33122" applyNumberFormat="1" applyBorder="1" applyAlignment="1" applyProtection="1">
      <alignment horizontal="center" vertical="center" textRotation="90"/>
      <protection locked="0"/>
    </xf>
    <xf numFmtId="0" fontId="14" fillId="3" borderId="16" xfId="33122" applyNumberFormat="1" applyBorder="1" applyAlignment="1">
      <alignment horizontal="center" textRotation="90"/>
    </xf>
    <xf numFmtId="0" fontId="14" fillId="3" borderId="17" xfId="33122" applyNumberFormat="1" applyBorder="1" applyAlignment="1" applyProtection="1">
      <alignment horizontal="center" vertical="center" textRotation="90"/>
      <protection locked="0"/>
    </xf>
  </cellXfs>
  <cellStyles count="33123">
    <cellStyle name="Bad" xfId="16477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78" builtinId="9" hidden="1"/>
    <cellStyle name="Followed Hyperlink" xfId="67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61" builtinId="9" hidden="1"/>
    <cellStyle name="Followed Hyperlink" xfId="64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79" builtinId="9" hidden="1"/>
    <cellStyle name="Followed Hyperlink" xfId="92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91" builtinId="9" hidden="1"/>
    <cellStyle name="Followed Hyperlink" xfId="58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63" builtinId="9" hidden="1"/>
    <cellStyle name="Followed Hyperlink" xfId="94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97" builtinId="9" hidden="1"/>
    <cellStyle name="Followed Hyperlink" xfId="62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89" builtinId="9" hidden="1"/>
    <cellStyle name="Followed Hyperlink" xfId="69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71" builtinId="9" hidden="1"/>
    <cellStyle name="Followed Hyperlink" xfId="93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86" builtinId="9" hidden="1"/>
    <cellStyle name="Followed Hyperlink" xfId="66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77" builtinId="9" hidden="1"/>
    <cellStyle name="Followed Hyperlink" xfId="10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75" builtinId="9" hidden="1"/>
    <cellStyle name="Followed Hyperlink" xfId="74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73" builtinId="9" hidden="1"/>
    <cellStyle name="Followed Hyperlink" xfId="95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4" builtinId="9" hidden="1"/>
    <cellStyle name="Followed Hyperlink" xfId="286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395" builtinId="9" hidden="1"/>
    <cellStyle name="Followed Hyperlink" xfId="384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378" builtinId="9" hidden="1"/>
    <cellStyle name="Followed Hyperlink" xfId="381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396" builtinId="9" hidden="1"/>
    <cellStyle name="Followed Hyperlink" xfId="409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08" builtinId="9" hidden="1"/>
    <cellStyle name="Followed Hyperlink" xfId="375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380" builtinId="9" hidden="1"/>
    <cellStyle name="Followed Hyperlink" xfId="411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14" builtinId="9" hidden="1"/>
    <cellStyle name="Followed Hyperlink" xfId="379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06" builtinId="9" hidden="1"/>
    <cellStyle name="Followed Hyperlink" xfId="386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388" builtinId="9" hidden="1"/>
    <cellStyle name="Followed Hyperlink" xfId="410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03" builtinId="9" hidden="1"/>
    <cellStyle name="Followed Hyperlink" xfId="383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394" builtinId="9" hidden="1"/>
    <cellStyle name="Followed Hyperlink" xfId="41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392" builtinId="9" hidden="1"/>
    <cellStyle name="Followed Hyperlink" xfId="391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390" builtinId="9" hidden="1"/>
    <cellStyle name="Followed Hyperlink" xfId="412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299" builtinId="9" hidden="1"/>
    <cellStyle name="Followed Hyperlink" xfId="246" builtinId="9" hidden="1"/>
    <cellStyle name="Followed Hyperlink" xfId="301" builtinId="9" hidden="1"/>
    <cellStyle name="Followed Hyperlink" xfId="252" builtinId="9" hidden="1"/>
    <cellStyle name="Followed Hyperlink" xfId="357" builtinId="9" hidden="1"/>
    <cellStyle name="Followed Hyperlink" xfId="237" builtinId="9" hidden="1"/>
    <cellStyle name="Followed Hyperlink" xfId="290" builtinId="9" hidden="1"/>
    <cellStyle name="Followed Hyperlink" xfId="240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6" builtinId="9" hidden="1"/>
    <cellStyle name="Followed Hyperlink" xfId="538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63" builtinId="9" hidden="1"/>
    <cellStyle name="Followed Hyperlink" xfId="552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546" builtinId="9" hidden="1"/>
    <cellStyle name="Followed Hyperlink" xfId="549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564" builtinId="9" hidden="1"/>
    <cellStyle name="Followed Hyperlink" xfId="577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576" builtinId="9" hidden="1"/>
    <cellStyle name="Followed Hyperlink" xfId="543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548" builtinId="9" hidden="1"/>
    <cellStyle name="Followed Hyperlink" xfId="579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582" builtinId="9" hidden="1"/>
    <cellStyle name="Followed Hyperlink" xfId="547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574" builtinId="9" hidden="1"/>
    <cellStyle name="Followed Hyperlink" xfId="554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556" builtinId="9" hidden="1"/>
    <cellStyle name="Followed Hyperlink" xfId="578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571" builtinId="9" hidden="1"/>
    <cellStyle name="Followed Hyperlink" xfId="551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562" builtinId="9" hidden="1"/>
    <cellStyle name="Followed Hyperlink" xfId="58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560" builtinId="9" hidden="1"/>
    <cellStyle name="Followed Hyperlink" xfId="559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558" builtinId="9" hidden="1"/>
    <cellStyle name="Followed Hyperlink" xfId="580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25" builtinId="9" hidden="1"/>
    <cellStyle name="Followed Hyperlink" xfId="340" builtinId="9" hidden="1"/>
    <cellStyle name="Followed Hyperlink" xfId="525" builtinId="9" hidden="1"/>
    <cellStyle name="Followed Hyperlink" xfId="238" builtinId="9" hidden="1"/>
    <cellStyle name="Followed Hyperlink" xfId="295" builtinId="9" hidden="1"/>
    <cellStyle name="Followed Hyperlink" xfId="251" builtinId="9" hidden="1"/>
    <cellStyle name="Followed Hyperlink" xfId="287" builtinId="9" hidden="1"/>
    <cellStyle name="Followed Hyperlink" xfId="268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36" builtinId="9" hidden="1"/>
    <cellStyle name="Followed Hyperlink" xfId="725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19" builtinId="9" hidden="1"/>
    <cellStyle name="Followed Hyperlink" xfId="722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37" builtinId="9" hidden="1"/>
    <cellStyle name="Followed Hyperlink" xfId="750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49" builtinId="9" hidden="1"/>
    <cellStyle name="Followed Hyperlink" xfId="716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721" builtinId="9" hidden="1"/>
    <cellStyle name="Followed Hyperlink" xfId="752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755" builtinId="9" hidden="1"/>
    <cellStyle name="Followed Hyperlink" xfId="720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747" builtinId="9" hidden="1"/>
    <cellStyle name="Followed Hyperlink" xfId="727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729" builtinId="9" hidden="1"/>
    <cellStyle name="Followed Hyperlink" xfId="751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744" builtinId="9" hidden="1"/>
    <cellStyle name="Followed Hyperlink" xfId="724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735" builtinId="9" hidden="1"/>
    <cellStyle name="Followed Hyperlink" xfId="75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733" builtinId="9" hidden="1"/>
    <cellStyle name="Followed Hyperlink" xfId="732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731" builtinId="9" hidden="1"/>
    <cellStyle name="Followed Hyperlink" xfId="753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349" builtinId="9" hidden="1"/>
    <cellStyle name="Followed Hyperlink" xfId="244" builtinId="9" hidden="1"/>
    <cellStyle name="Followed Hyperlink" xfId="315" builtinId="9" hidden="1"/>
    <cellStyle name="Followed Hyperlink" xfId="317" builtinId="9" hidden="1"/>
    <cellStyle name="Followed Hyperlink" xfId="697" builtinId="9" hidden="1"/>
    <cellStyle name="Followed Hyperlink" xfId="263" builtinId="9" hidden="1"/>
    <cellStyle name="Followed Hyperlink" xfId="269" builtinId="9" hidden="1"/>
    <cellStyle name="Followed Hyperlink" xfId="245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06" builtinId="9" hidden="1"/>
    <cellStyle name="Followed Hyperlink" xfId="895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889" builtinId="9" hidden="1"/>
    <cellStyle name="Followed Hyperlink" xfId="892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07" builtinId="9" hidden="1"/>
    <cellStyle name="Followed Hyperlink" xfId="920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19" builtinId="9" hidden="1"/>
    <cellStyle name="Followed Hyperlink" xfId="886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891" builtinId="9" hidden="1"/>
    <cellStyle name="Followed Hyperlink" xfId="922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25" builtinId="9" hidden="1"/>
    <cellStyle name="Followed Hyperlink" xfId="890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17" builtinId="9" hidden="1"/>
    <cellStyle name="Followed Hyperlink" xfId="897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899" builtinId="9" hidden="1"/>
    <cellStyle name="Followed Hyperlink" xfId="921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914" builtinId="9" hidden="1"/>
    <cellStyle name="Followed Hyperlink" xfId="894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905" builtinId="9" hidden="1"/>
    <cellStyle name="Followed Hyperlink" xfId="92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903" builtinId="9" hidden="1"/>
    <cellStyle name="Followed Hyperlink" xfId="902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901" builtinId="9" hidden="1"/>
    <cellStyle name="Followed Hyperlink" xfId="923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235" builtinId="9" hidden="1"/>
    <cellStyle name="Followed Hyperlink" xfId="316" builtinId="9" hidden="1"/>
    <cellStyle name="Followed Hyperlink" xfId="305" builtinId="9" hidden="1"/>
    <cellStyle name="Followed Hyperlink" xfId="264" builtinId="9" hidden="1"/>
    <cellStyle name="Followed Hyperlink" xfId="867" builtinId="9" hidden="1"/>
    <cellStyle name="Followed Hyperlink" xfId="258" builtinId="9" hidden="1"/>
    <cellStyle name="Followed Hyperlink" xfId="294" builtinId="9" hidden="1"/>
    <cellStyle name="Followed Hyperlink" xfId="243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075" builtinId="9" hidden="1"/>
    <cellStyle name="Followed Hyperlink" xfId="1064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058" builtinId="9" hidden="1"/>
    <cellStyle name="Followed Hyperlink" xfId="1061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076" builtinId="9" hidden="1"/>
    <cellStyle name="Followed Hyperlink" xfId="1089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088" builtinId="9" hidden="1"/>
    <cellStyle name="Followed Hyperlink" xfId="1055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060" builtinId="9" hidden="1"/>
    <cellStyle name="Followed Hyperlink" xfId="1091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094" builtinId="9" hidden="1"/>
    <cellStyle name="Followed Hyperlink" xfId="1059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086" builtinId="9" hidden="1"/>
    <cellStyle name="Followed Hyperlink" xfId="1066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068" builtinId="9" hidden="1"/>
    <cellStyle name="Followed Hyperlink" xfId="1090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083" builtinId="9" hidden="1"/>
    <cellStyle name="Followed Hyperlink" xfId="1063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074" builtinId="9" hidden="1"/>
    <cellStyle name="Followed Hyperlink" xfId="109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072" builtinId="9" hidden="1"/>
    <cellStyle name="Followed Hyperlink" xfId="1071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070" builtinId="9" hidden="1"/>
    <cellStyle name="Followed Hyperlink" xfId="1092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221" builtinId="9" hidden="1"/>
    <cellStyle name="Followed Hyperlink" xfId="338" builtinId="9" hidden="1"/>
    <cellStyle name="Followed Hyperlink" xfId="348" builtinId="9" hidden="1"/>
    <cellStyle name="Followed Hyperlink" xfId="228" builtinId="9" hidden="1"/>
    <cellStyle name="Followed Hyperlink" xfId="1036" builtinId="9" hidden="1"/>
    <cellStyle name="Followed Hyperlink" xfId="292" builtinId="9" hidden="1"/>
    <cellStyle name="Followed Hyperlink" xfId="339" builtinId="9" hidden="1"/>
    <cellStyle name="Followed Hyperlink" xfId="254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44" builtinId="9" hidden="1"/>
    <cellStyle name="Followed Hyperlink" xfId="1233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27" builtinId="9" hidden="1"/>
    <cellStyle name="Followed Hyperlink" xfId="1230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45" builtinId="9" hidden="1"/>
    <cellStyle name="Followed Hyperlink" xfId="1258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257" builtinId="9" hidden="1"/>
    <cellStyle name="Followed Hyperlink" xfId="1224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229" builtinId="9" hidden="1"/>
    <cellStyle name="Followed Hyperlink" xfId="1260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263" builtinId="9" hidden="1"/>
    <cellStyle name="Followed Hyperlink" xfId="1228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255" builtinId="9" hidden="1"/>
    <cellStyle name="Followed Hyperlink" xfId="1235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237" builtinId="9" hidden="1"/>
    <cellStyle name="Followed Hyperlink" xfId="1259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252" builtinId="9" hidden="1"/>
    <cellStyle name="Followed Hyperlink" xfId="1232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243" builtinId="9" hidden="1"/>
    <cellStyle name="Followed Hyperlink" xfId="126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241" builtinId="9" hidden="1"/>
    <cellStyle name="Followed Hyperlink" xfId="1240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239" builtinId="9" hidden="1"/>
    <cellStyle name="Followed Hyperlink" xfId="1261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327" builtinId="9" hidden="1"/>
    <cellStyle name="Followed Hyperlink" xfId="353" builtinId="9" hidden="1"/>
    <cellStyle name="Followed Hyperlink" xfId="523" builtinId="9" hidden="1"/>
    <cellStyle name="Followed Hyperlink" xfId="212" builtinId="9" hidden="1"/>
    <cellStyle name="Followed Hyperlink" xfId="1205" builtinId="9" hidden="1"/>
    <cellStyle name="Followed Hyperlink" xfId="334" builtinId="9" hidden="1"/>
    <cellStyle name="Followed Hyperlink" xfId="289" builtinId="9" hidden="1"/>
    <cellStyle name="Followed Hyperlink" xfId="699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11" builtinId="9" hidden="1"/>
    <cellStyle name="Followed Hyperlink" xfId="1400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394" builtinId="9" hidden="1"/>
    <cellStyle name="Followed Hyperlink" xfId="1397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12" builtinId="9" hidden="1"/>
    <cellStyle name="Followed Hyperlink" xfId="1425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24" builtinId="9" hidden="1"/>
    <cellStyle name="Followed Hyperlink" xfId="1391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396" builtinId="9" hidden="1"/>
    <cellStyle name="Followed Hyperlink" xfId="1427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30" builtinId="9" hidden="1"/>
    <cellStyle name="Followed Hyperlink" xfId="1395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22" builtinId="9" hidden="1"/>
    <cellStyle name="Followed Hyperlink" xfId="1402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404" builtinId="9" hidden="1"/>
    <cellStyle name="Followed Hyperlink" xfId="1426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419" builtinId="9" hidden="1"/>
    <cellStyle name="Followed Hyperlink" xfId="1399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410" builtinId="9" hidden="1"/>
    <cellStyle name="Followed Hyperlink" xfId="143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408" builtinId="9" hidden="1"/>
    <cellStyle name="Followed Hyperlink" xfId="1407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406" builtinId="9" hidden="1"/>
    <cellStyle name="Followed Hyperlink" xfId="1428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239" builtinId="9" hidden="1"/>
    <cellStyle name="Followed Hyperlink" xfId="216" builtinId="9" hidden="1"/>
    <cellStyle name="Followed Hyperlink" xfId="319" builtinId="9" hidden="1"/>
    <cellStyle name="Followed Hyperlink" xfId="333" builtinId="9" hidden="1"/>
    <cellStyle name="Followed Hyperlink" xfId="1372" builtinId="9" hidden="1"/>
    <cellStyle name="Followed Hyperlink" xfId="231" builtinId="9" hidden="1"/>
    <cellStyle name="Followed Hyperlink" xfId="311" builtinId="9" hidden="1"/>
    <cellStyle name="Followed Hyperlink" xfId="869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578" builtinId="9" hidden="1"/>
    <cellStyle name="Followed Hyperlink" xfId="1567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561" builtinId="9" hidden="1"/>
    <cellStyle name="Followed Hyperlink" xfId="1564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579" builtinId="9" hidden="1"/>
    <cellStyle name="Followed Hyperlink" xfId="1592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591" builtinId="9" hidden="1"/>
    <cellStyle name="Followed Hyperlink" xfId="1558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563" builtinId="9" hidden="1"/>
    <cellStyle name="Followed Hyperlink" xfId="1594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597" builtinId="9" hidden="1"/>
    <cellStyle name="Followed Hyperlink" xfId="1562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589" builtinId="9" hidden="1"/>
    <cellStyle name="Followed Hyperlink" xfId="1569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571" builtinId="9" hidden="1"/>
    <cellStyle name="Followed Hyperlink" xfId="1593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586" builtinId="9" hidden="1"/>
    <cellStyle name="Followed Hyperlink" xfId="1566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577" builtinId="9" hidden="1"/>
    <cellStyle name="Followed Hyperlink" xfId="160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575" builtinId="9" hidden="1"/>
    <cellStyle name="Followed Hyperlink" xfId="1574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573" builtinId="9" hidden="1"/>
    <cellStyle name="Followed Hyperlink" xfId="1595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322" builtinId="9" hidden="1"/>
    <cellStyle name="Followed Hyperlink" xfId="696" builtinId="9" hidden="1"/>
    <cellStyle name="Followed Hyperlink" xfId="692" builtinId="9" hidden="1"/>
    <cellStyle name="Followed Hyperlink" xfId="256" builtinId="9" hidden="1"/>
    <cellStyle name="Followed Hyperlink" xfId="1539" builtinId="9" hidden="1"/>
    <cellStyle name="Followed Hyperlink" xfId="262" builtinId="9" hidden="1"/>
    <cellStyle name="Followed Hyperlink" xfId="296" builtinId="9" hidden="1"/>
    <cellStyle name="Followed Hyperlink" xfId="1038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43" builtinId="9" hidden="1"/>
    <cellStyle name="Followed Hyperlink" xfId="1732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26" builtinId="9" hidden="1"/>
    <cellStyle name="Followed Hyperlink" xfId="1729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44" builtinId="9" hidden="1"/>
    <cellStyle name="Followed Hyperlink" xfId="1757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756" builtinId="9" hidden="1"/>
    <cellStyle name="Followed Hyperlink" xfId="1723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728" builtinId="9" hidden="1"/>
    <cellStyle name="Followed Hyperlink" xfId="1759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762" builtinId="9" hidden="1"/>
    <cellStyle name="Followed Hyperlink" xfId="1727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754" builtinId="9" hidden="1"/>
    <cellStyle name="Followed Hyperlink" xfId="1734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736" builtinId="9" hidden="1"/>
    <cellStyle name="Followed Hyperlink" xfId="1758" builtinId="9" hidden="1"/>
    <cellStyle name="Followed Hyperlink" xfId="1832" builtinId="9" hidden="1"/>
    <cellStyle name="Followed Hyperlink" xfId="1834" builtinId="9" hidden="1"/>
    <cellStyle name="Followed Hyperlink" xfId="1836" builtinId="9" hidden="1"/>
    <cellStyle name="Followed Hyperlink" xfId="1838" builtinId="9" hidden="1"/>
    <cellStyle name="Followed Hyperlink" xfId="1751" builtinId="9" hidden="1"/>
    <cellStyle name="Followed Hyperlink" xfId="1731" builtinId="9" hidden="1"/>
    <cellStyle name="Followed Hyperlink" xfId="1840" builtinId="9" hidden="1"/>
    <cellStyle name="Followed Hyperlink" xfId="1842" builtinId="9" hidden="1"/>
    <cellStyle name="Followed Hyperlink" xfId="1844" builtinId="9" hidden="1"/>
    <cellStyle name="Followed Hyperlink" xfId="1846" builtinId="9" hidden="1"/>
    <cellStyle name="Followed Hyperlink" xfId="1742" builtinId="9" hidden="1"/>
    <cellStyle name="Followed Hyperlink" xfId="1766" builtinId="9" hidden="1"/>
    <cellStyle name="Followed Hyperlink" xfId="1848" builtinId="9" hidden="1"/>
    <cellStyle name="Followed Hyperlink" xfId="1850" builtinId="9" hidden="1"/>
    <cellStyle name="Followed Hyperlink" xfId="1852" builtinId="9" hidden="1"/>
    <cellStyle name="Followed Hyperlink" xfId="1854" builtinId="9" hidden="1"/>
    <cellStyle name="Followed Hyperlink" xfId="1740" builtinId="9" hidden="1"/>
    <cellStyle name="Followed Hyperlink" xfId="1739" builtinId="9" hidden="1"/>
    <cellStyle name="Followed Hyperlink" xfId="1856" builtinId="9" hidden="1"/>
    <cellStyle name="Followed Hyperlink" xfId="1858" builtinId="9" hidden="1"/>
    <cellStyle name="Followed Hyperlink" xfId="1860" builtinId="9" hidden="1"/>
    <cellStyle name="Followed Hyperlink" xfId="1862" builtinId="9" hidden="1"/>
    <cellStyle name="Followed Hyperlink" xfId="1738" builtinId="9" hidden="1"/>
    <cellStyle name="Followed Hyperlink" xfId="1760" builtinId="9" hidden="1"/>
    <cellStyle name="Followed Hyperlink" xfId="1864" builtinId="9" hidden="1"/>
    <cellStyle name="Followed Hyperlink" xfId="1866" builtinId="9" hidden="1"/>
    <cellStyle name="Followed Hyperlink" xfId="1868" builtinId="9" hidden="1"/>
    <cellStyle name="Followed Hyperlink" xfId="1870" builtinId="9" hidden="1"/>
    <cellStyle name="Followed Hyperlink" xfId="306" builtinId="9" hidden="1"/>
    <cellStyle name="Followed Hyperlink" xfId="866" builtinId="9" hidden="1"/>
    <cellStyle name="Followed Hyperlink" xfId="337" builtinId="9" hidden="1"/>
    <cellStyle name="Followed Hyperlink" xfId="247" builtinId="9" hidden="1"/>
    <cellStyle name="Followed Hyperlink" xfId="1706" builtinId="9" hidden="1"/>
    <cellStyle name="Followed Hyperlink" xfId="226" builtinId="9" hidden="1"/>
    <cellStyle name="Followed Hyperlink" xfId="341" builtinId="9" hidden="1"/>
    <cellStyle name="Followed Hyperlink" xfId="1207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08" builtinId="9" hidden="1"/>
    <cellStyle name="Followed Hyperlink" xfId="1897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891" builtinId="9" hidden="1"/>
    <cellStyle name="Followed Hyperlink" xfId="1894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09" builtinId="9" hidden="1"/>
    <cellStyle name="Followed Hyperlink" xfId="1922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21" builtinId="9" hidden="1"/>
    <cellStyle name="Followed Hyperlink" xfId="1888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893" builtinId="9" hidden="1"/>
    <cellStyle name="Followed Hyperlink" xfId="1924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27" builtinId="9" hidden="1"/>
    <cellStyle name="Followed Hyperlink" xfId="1892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19" builtinId="9" hidden="1"/>
    <cellStyle name="Followed Hyperlink" xfId="1899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01" builtinId="9" hidden="1"/>
    <cellStyle name="Followed Hyperlink" xfId="1923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1916" builtinId="9" hidden="1"/>
    <cellStyle name="Followed Hyperlink" xfId="1896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1907" builtinId="9" hidden="1"/>
    <cellStyle name="Followed Hyperlink" xfId="193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1905" builtinId="9" hidden="1"/>
    <cellStyle name="Followed Hyperlink" xfId="1904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1903" builtinId="9" hidden="1"/>
    <cellStyle name="Followed Hyperlink" xfId="1925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32" builtinId="9" hidden="1"/>
    <cellStyle name="Followed Hyperlink" xfId="1035" builtinId="9" hidden="1"/>
    <cellStyle name="Followed Hyperlink" xfId="313" builtinId="9" hidden="1"/>
    <cellStyle name="Followed Hyperlink" xfId="345" builtinId="9" hidden="1"/>
    <cellStyle name="Followed Hyperlink" xfId="1871" builtinId="9" hidden="1"/>
    <cellStyle name="Followed Hyperlink" xfId="223" builtinId="9" hidden="1"/>
    <cellStyle name="Followed Hyperlink" xfId="309" builtinId="9" hidden="1"/>
    <cellStyle name="Followed Hyperlink" xfId="1374" builtinId="9" hidden="1"/>
    <cellStyle name="Followed Hyperlink" xfId="2038" builtinId="9" hidden="1"/>
    <cellStyle name="Followed Hyperlink" xfId="2040" builtinId="9" hidden="1"/>
    <cellStyle name="Followed Hyperlink" xfId="2042" builtinId="9" hidden="1"/>
    <cellStyle name="Followed Hyperlink" xfId="2044" builtinId="9" hidden="1"/>
    <cellStyle name="Followed Hyperlink" xfId="2046" builtinId="9" hidden="1"/>
    <cellStyle name="Followed Hyperlink" xfId="2048" builtinId="9" hidden="1"/>
    <cellStyle name="Followed Hyperlink" xfId="2098" builtinId="9" hidden="1"/>
    <cellStyle name="Followed Hyperlink" xfId="2100" builtinId="9" hidden="1"/>
    <cellStyle name="Followed Hyperlink" xfId="2102" builtinId="9" hidden="1"/>
    <cellStyle name="Followed Hyperlink" xfId="2104" builtinId="9" hidden="1"/>
    <cellStyle name="Followed Hyperlink" xfId="2073" builtinId="9" hidden="1"/>
    <cellStyle name="Followed Hyperlink" xfId="2062" builtinId="9" hidden="1"/>
    <cellStyle name="Followed Hyperlink" xfId="2106" builtinId="9" hidden="1"/>
    <cellStyle name="Followed Hyperlink" xfId="2108" builtinId="9" hidden="1"/>
    <cellStyle name="Followed Hyperlink" xfId="2110" builtinId="9" hidden="1"/>
    <cellStyle name="Followed Hyperlink" xfId="2112" builtinId="9" hidden="1"/>
    <cellStyle name="Followed Hyperlink" xfId="2056" builtinId="9" hidden="1"/>
    <cellStyle name="Followed Hyperlink" xfId="2059" builtinId="9" hidden="1"/>
    <cellStyle name="Followed Hyperlink" xfId="2114" builtinId="9" hidden="1"/>
    <cellStyle name="Followed Hyperlink" xfId="2116" builtinId="9" hidden="1"/>
    <cellStyle name="Followed Hyperlink" xfId="2118" builtinId="9" hidden="1"/>
    <cellStyle name="Followed Hyperlink" xfId="2120" builtinId="9" hidden="1"/>
    <cellStyle name="Followed Hyperlink" xfId="2074" builtinId="9" hidden="1"/>
    <cellStyle name="Followed Hyperlink" xfId="2087" builtinId="9" hidden="1"/>
    <cellStyle name="Followed Hyperlink" xfId="2122" builtinId="9" hidden="1"/>
    <cellStyle name="Followed Hyperlink" xfId="2124" builtinId="9" hidden="1"/>
    <cellStyle name="Followed Hyperlink" xfId="2126" builtinId="9" hidden="1"/>
    <cellStyle name="Followed Hyperlink" xfId="2128" builtinId="9" hidden="1"/>
    <cellStyle name="Followed Hyperlink" xfId="2086" builtinId="9" hidden="1"/>
    <cellStyle name="Followed Hyperlink" xfId="2053" builtinId="9" hidden="1"/>
    <cellStyle name="Followed Hyperlink" xfId="2130" builtinId="9" hidden="1"/>
    <cellStyle name="Followed Hyperlink" xfId="2132" builtinId="9" hidden="1"/>
    <cellStyle name="Followed Hyperlink" xfId="2134" builtinId="9" hidden="1"/>
    <cellStyle name="Followed Hyperlink" xfId="2136" builtinId="9" hidden="1"/>
    <cellStyle name="Followed Hyperlink" xfId="2058" builtinId="9" hidden="1"/>
    <cellStyle name="Followed Hyperlink" xfId="2089" builtinId="9" hidden="1"/>
    <cellStyle name="Followed Hyperlink" xfId="2138" builtinId="9" hidden="1"/>
    <cellStyle name="Followed Hyperlink" xfId="2140" builtinId="9" hidden="1"/>
    <cellStyle name="Followed Hyperlink" xfId="2142" builtinId="9" hidden="1"/>
    <cellStyle name="Followed Hyperlink" xfId="2144" builtinId="9" hidden="1"/>
    <cellStyle name="Followed Hyperlink" xfId="2092" builtinId="9" hidden="1"/>
    <cellStyle name="Followed Hyperlink" xfId="2057" builtinId="9" hidden="1"/>
    <cellStyle name="Followed Hyperlink" xfId="2146" builtinId="9" hidden="1"/>
    <cellStyle name="Followed Hyperlink" xfId="2148" builtinId="9" hidden="1"/>
    <cellStyle name="Followed Hyperlink" xfId="2150" builtinId="9" hidden="1"/>
    <cellStyle name="Followed Hyperlink" xfId="2152" builtinId="9" hidden="1"/>
    <cellStyle name="Followed Hyperlink" xfId="2084" builtinId="9" hidden="1"/>
    <cellStyle name="Followed Hyperlink" xfId="2064" builtinId="9" hidden="1"/>
    <cellStyle name="Followed Hyperlink" xfId="2154" builtinId="9" hidden="1"/>
    <cellStyle name="Followed Hyperlink" xfId="2156" builtinId="9" hidden="1"/>
    <cellStyle name="Followed Hyperlink" xfId="2158" builtinId="9" hidden="1"/>
    <cellStyle name="Followed Hyperlink" xfId="2160" builtinId="9" hidden="1"/>
    <cellStyle name="Followed Hyperlink" xfId="2066" builtinId="9" hidden="1"/>
    <cellStyle name="Followed Hyperlink" xfId="2088" builtinId="9" hidden="1"/>
    <cellStyle name="Followed Hyperlink" xfId="2162" builtinId="9" hidden="1"/>
    <cellStyle name="Followed Hyperlink" xfId="2164" builtinId="9" hidden="1"/>
    <cellStyle name="Followed Hyperlink" xfId="2166" builtinId="9" hidden="1"/>
    <cellStyle name="Followed Hyperlink" xfId="2168" builtinId="9" hidden="1"/>
    <cellStyle name="Followed Hyperlink" xfId="2081" builtinId="9" hidden="1"/>
    <cellStyle name="Followed Hyperlink" xfId="2061" builtinId="9" hidden="1"/>
    <cellStyle name="Followed Hyperlink" xfId="2170" builtinId="9" hidden="1"/>
    <cellStyle name="Followed Hyperlink" xfId="2172" builtinId="9" hidden="1"/>
    <cellStyle name="Followed Hyperlink" xfId="2174" builtinId="9" hidden="1"/>
    <cellStyle name="Followed Hyperlink" xfId="2176" builtinId="9" hidden="1"/>
    <cellStyle name="Followed Hyperlink" xfId="2072" builtinId="9" hidden="1"/>
    <cellStyle name="Followed Hyperlink" xfId="2096" builtinId="9" hidden="1"/>
    <cellStyle name="Followed Hyperlink" xfId="2178" builtinId="9" hidden="1"/>
    <cellStyle name="Followed Hyperlink" xfId="2180" builtinId="9" hidden="1"/>
    <cellStyle name="Followed Hyperlink" xfId="2182" builtinId="9" hidden="1"/>
    <cellStyle name="Followed Hyperlink" xfId="2184" builtinId="9" hidden="1"/>
    <cellStyle name="Followed Hyperlink" xfId="2070" builtinId="9" hidden="1"/>
    <cellStyle name="Followed Hyperlink" xfId="2069" builtinId="9" hidden="1"/>
    <cellStyle name="Followed Hyperlink" xfId="2186" builtinId="9" hidden="1"/>
    <cellStyle name="Followed Hyperlink" xfId="2188" builtinId="9" hidden="1"/>
    <cellStyle name="Followed Hyperlink" xfId="2190" builtinId="9" hidden="1"/>
    <cellStyle name="Followed Hyperlink" xfId="2192" builtinId="9" hidden="1"/>
    <cellStyle name="Followed Hyperlink" xfId="2068" builtinId="9" hidden="1"/>
    <cellStyle name="Followed Hyperlink" xfId="2090" builtinId="9" hidden="1"/>
    <cellStyle name="Followed Hyperlink" xfId="2194" builtinId="9" hidden="1"/>
    <cellStyle name="Followed Hyperlink" xfId="2196" builtinId="9" hidden="1"/>
    <cellStyle name="Followed Hyperlink" xfId="2198" builtinId="9" hidden="1"/>
    <cellStyle name="Followed Hyperlink" xfId="2200" builtinId="9" hidden="1"/>
    <cellStyle name="Followed Hyperlink" xfId="303" builtinId="9" hidden="1"/>
    <cellStyle name="Followed Hyperlink" xfId="1204" builtinId="9" hidden="1"/>
    <cellStyle name="Followed Hyperlink" xfId="358" builtinId="9" hidden="1"/>
    <cellStyle name="Followed Hyperlink" xfId="347" builtinId="9" hidden="1"/>
    <cellStyle name="Followed Hyperlink" xfId="2036" builtinId="9" hidden="1"/>
    <cellStyle name="Followed Hyperlink" xfId="324" builtinId="9" hidden="1"/>
    <cellStyle name="Followed Hyperlink" xfId="225" builtinId="9" hidden="1"/>
    <cellStyle name="Followed Hyperlink" xfId="1541" builtinId="9" hidden="1"/>
    <cellStyle name="Followed Hyperlink" xfId="2202" builtinId="9" hidden="1"/>
    <cellStyle name="Followed Hyperlink" xfId="2204" builtinId="9" hidden="1"/>
    <cellStyle name="Followed Hyperlink" xfId="2206" builtinId="9" hidden="1"/>
    <cellStyle name="Followed Hyperlink" xfId="2208" builtinId="9" hidden="1"/>
    <cellStyle name="Followed Hyperlink" xfId="2210" builtinId="9" hidden="1"/>
    <cellStyle name="Followed Hyperlink" xfId="2212" builtinId="9" hidden="1"/>
    <cellStyle name="Followed Hyperlink" xfId="2262" builtinId="9" hidden="1"/>
    <cellStyle name="Followed Hyperlink" xfId="2264" builtinId="9" hidden="1"/>
    <cellStyle name="Followed Hyperlink" xfId="2266" builtinId="9" hidden="1"/>
    <cellStyle name="Followed Hyperlink" xfId="2268" builtinId="9" hidden="1"/>
    <cellStyle name="Followed Hyperlink" xfId="2237" builtinId="9" hidden="1"/>
    <cellStyle name="Followed Hyperlink" xfId="2226" builtinId="9" hidden="1"/>
    <cellStyle name="Followed Hyperlink" xfId="2270" builtinId="9" hidden="1"/>
    <cellStyle name="Followed Hyperlink" xfId="2272" builtinId="9" hidden="1"/>
    <cellStyle name="Followed Hyperlink" xfId="2274" builtinId="9" hidden="1"/>
    <cellStyle name="Followed Hyperlink" xfId="2276" builtinId="9" hidden="1"/>
    <cellStyle name="Followed Hyperlink" xfId="2220" builtinId="9" hidden="1"/>
    <cellStyle name="Followed Hyperlink" xfId="2223" builtinId="9" hidden="1"/>
    <cellStyle name="Followed Hyperlink" xfId="2278" builtinId="9" hidden="1"/>
    <cellStyle name="Followed Hyperlink" xfId="2280" builtinId="9" hidden="1"/>
    <cellStyle name="Followed Hyperlink" xfId="2282" builtinId="9" hidden="1"/>
    <cellStyle name="Followed Hyperlink" xfId="2284" builtinId="9" hidden="1"/>
    <cellStyle name="Followed Hyperlink" xfId="2238" builtinId="9" hidden="1"/>
    <cellStyle name="Followed Hyperlink" xfId="2251" builtinId="9" hidden="1"/>
    <cellStyle name="Followed Hyperlink" xfId="2286" builtinId="9" hidden="1"/>
    <cellStyle name="Followed Hyperlink" xfId="2288" builtinId="9" hidden="1"/>
    <cellStyle name="Followed Hyperlink" xfId="2290" builtinId="9" hidden="1"/>
    <cellStyle name="Followed Hyperlink" xfId="2292" builtinId="9" hidden="1"/>
    <cellStyle name="Followed Hyperlink" xfId="2250" builtinId="9" hidden="1"/>
    <cellStyle name="Followed Hyperlink" xfId="2217" builtinId="9" hidden="1"/>
    <cellStyle name="Followed Hyperlink" xfId="2294" builtinId="9" hidden="1"/>
    <cellStyle name="Followed Hyperlink" xfId="2296" builtinId="9" hidden="1"/>
    <cellStyle name="Followed Hyperlink" xfId="2298" builtinId="9" hidden="1"/>
    <cellStyle name="Followed Hyperlink" xfId="2300" builtinId="9" hidden="1"/>
    <cellStyle name="Followed Hyperlink" xfId="2222" builtinId="9" hidden="1"/>
    <cellStyle name="Followed Hyperlink" xfId="2253" builtinId="9" hidden="1"/>
    <cellStyle name="Followed Hyperlink" xfId="2302" builtinId="9" hidden="1"/>
    <cellStyle name="Followed Hyperlink" xfId="2304" builtinId="9" hidden="1"/>
    <cellStyle name="Followed Hyperlink" xfId="2306" builtinId="9" hidden="1"/>
    <cellStyle name="Followed Hyperlink" xfId="2308" builtinId="9" hidden="1"/>
    <cellStyle name="Followed Hyperlink" xfId="2256" builtinId="9" hidden="1"/>
    <cellStyle name="Followed Hyperlink" xfId="2221" builtinId="9" hidden="1"/>
    <cellStyle name="Followed Hyperlink" xfId="2310" builtinId="9" hidden="1"/>
    <cellStyle name="Followed Hyperlink" xfId="2312" builtinId="9" hidden="1"/>
    <cellStyle name="Followed Hyperlink" xfId="2314" builtinId="9" hidden="1"/>
    <cellStyle name="Followed Hyperlink" xfId="2316" builtinId="9" hidden="1"/>
    <cellStyle name="Followed Hyperlink" xfId="2248" builtinId="9" hidden="1"/>
    <cellStyle name="Followed Hyperlink" xfId="2228" builtinId="9" hidden="1"/>
    <cellStyle name="Followed Hyperlink" xfId="2318" builtinId="9" hidden="1"/>
    <cellStyle name="Followed Hyperlink" xfId="2320" builtinId="9" hidden="1"/>
    <cellStyle name="Followed Hyperlink" xfId="2322" builtinId="9" hidden="1"/>
    <cellStyle name="Followed Hyperlink" xfId="2324" builtinId="9" hidden="1"/>
    <cellStyle name="Followed Hyperlink" xfId="2230" builtinId="9" hidden="1"/>
    <cellStyle name="Followed Hyperlink" xfId="2252" builtinId="9" hidden="1"/>
    <cellStyle name="Followed Hyperlink" xfId="2326" builtinId="9" hidden="1"/>
    <cellStyle name="Followed Hyperlink" xfId="2328" builtinId="9" hidden="1"/>
    <cellStyle name="Followed Hyperlink" xfId="2330" builtinId="9" hidden="1"/>
    <cellStyle name="Followed Hyperlink" xfId="2332" builtinId="9" hidden="1"/>
    <cellStyle name="Followed Hyperlink" xfId="2245" builtinId="9" hidden="1"/>
    <cellStyle name="Followed Hyperlink" xfId="2225" builtinId="9" hidden="1"/>
    <cellStyle name="Followed Hyperlink" xfId="2334" builtinId="9" hidden="1"/>
    <cellStyle name="Followed Hyperlink" xfId="2336" builtinId="9" hidden="1"/>
    <cellStyle name="Followed Hyperlink" xfId="2338" builtinId="9" hidden="1"/>
    <cellStyle name="Followed Hyperlink" xfId="2340" builtinId="9" hidden="1"/>
    <cellStyle name="Followed Hyperlink" xfId="2236" builtinId="9" hidden="1"/>
    <cellStyle name="Followed Hyperlink" xfId="2260" builtinId="9" hidden="1"/>
    <cellStyle name="Followed Hyperlink" xfId="2342" builtinId="9" hidden="1"/>
    <cellStyle name="Followed Hyperlink" xfId="2344" builtinId="9" hidden="1"/>
    <cellStyle name="Followed Hyperlink" xfId="2346" builtinId="9" hidden="1"/>
    <cellStyle name="Followed Hyperlink" xfId="2348" builtinId="9" hidden="1"/>
    <cellStyle name="Followed Hyperlink" xfId="2234" builtinId="9" hidden="1"/>
    <cellStyle name="Followed Hyperlink" xfId="2233" builtinId="9" hidden="1"/>
    <cellStyle name="Followed Hyperlink" xfId="2350" builtinId="9" hidden="1"/>
    <cellStyle name="Followed Hyperlink" xfId="2352" builtinId="9" hidden="1"/>
    <cellStyle name="Followed Hyperlink" xfId="2354" builtinId="9" hidden="1"/>
    <cellStyle name="Followed Hyperlink" xfId="2356" builtinId="9" hidden="1"/>
    <cellStyle name="Followed Hyperlink" xfId="2232" builtinId="9" hidden="1"/>
    <cellStyle name="Followed Hyperlink" xfId="2254" builtinId="9" hidden="1"/>
    <cellStyle name="Followed Hyperlink" xfId="2358" builtinId="9" hidden="1"/>
    <cellStyle name="Followed Hyperlink" xfId="2360" builtinId="9" hidden="1"/>
    <cellStyle name="Followed Hyperlink" xfId="2362" builtinId="9" hidden="1"/>
    <cellStyle name="Followed Hyperlink" xfId="2364" builtinId="9" hidden="1"/>
    <cellStyle name="Followed Hyperlink" xfId="2366" builtinId="9" hidden="1"/>
    <cellStyle name="Followed Hyperlink" xfId="2368" builtinId="9" hidden="1"/>
    <cellStyle name="Followed Hyperlink" xfId="2416" builtinId="9" hidden="1"/>
    <cellStyle name="Followed Hyperlink" xfId="2418" builtinId="9" hidden="1"/>
    <cellStyle name="Followed Hyperlink" xfId="2420" builtinId="9" hidden="1"/>
    <cellStyle name="Followed Hyperlink" xfId="2422" builtinId="9" hidden="1"/>
    <cellStyle name="Followed Hyperlink" xfId="2425" builtinId="9" hidden="1"/>
    <cellStyle name="Followed Hyperlink" xfId="2427" builtinId="9" hidden="1"/>
    <cellStyle name="Followed Hyperlink" xfId="2472" builtinId="9" hidden="1"/>
    <cellStyle name="Followed Hyperlink" xfId="2474" builtinId="9" hidden="1"/>
    <cellStyle name="Followed Hyperlink" xfId="2476" builtinId="9" hidden="1"/>
    <cellStyle name="Followed Hyperlink" xfId="2478" builtinId="9" hidden="1"/>
    <cellStyle name="Followed Hyperlink" xfId="2480" builtinId="9" hidden="1"/>
    <cellStyle name="Followed Hyperlink" xfId="2482" builtinId="9" hidden="1"/>
    <cellStyle name="Followed Hyperlink" xfId="2524" builtinId="9" hidden="1"/>
    <cellStyle name="Followed Hyperlink" xfId="2526" builtinId="9" hidden="1"/>
    <cellStyle name="Followed Hyperlink" xfId="2528" builtinId="9" hidden="1"/>
    <cellStyle name="Followed Hyperlink" xfId="2530" builtinId="9" hidden="1"/>
    <cellStyle name="Followed Hyperlink" xfId="2533" builtinId="9" hidden="1"/>
    <cellStyle name="Followed Hyperlink" xfId="2535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60" builtinId="9" hidden="1"/>
    <cellStyle name="Followed Hyperlink" xfId="2549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543" builtinId="9" hidden="1"/>
    <cellStyle name="Followed Hyperlink" xfId="2546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561" builtinId="9" hidden="1"/>
    <cellStyle name="Followed Hyperlink" xfId="2574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573" builtinId="9" hidden="1"/>
    <cellStyle name="Followed Hyperlink" xfId="2540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545" builtinId="9" hidden="1"/>
    <cellStyle name="Followed Hyperlink" xfId="2576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579" builtinId="9" hidden="1"/>
    <cellStyle name="Followed Hyperlink" xfId="2544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571" builtinId="9" hidden="1"/>
    <cellStyle name="Followed Hyperlink" xfId="2551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553" builtinId="9" hidden="1"/>
    <cellStyle name="Followed Hyperlink" xfId="2575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568" builtinId="9" hidden="1"/>
    <cellStyle name="Followed Hyperlink" xfId="2548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559" builtinId="9" hidden="1"/>
    <cellStyle name="Followed Hyperlink" xfId="258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557" builtinId="9" hidden="1"/>
    <cellStyle name="Followed Hyperlink" xfId="2556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555" builtinId="9" hidden="1"/>
    <cellStyle name="Followed Hyperlink" xfId="2577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6" builtinId="9" hidden="1"/>
    <cellStyle name="Followed Hyperlink" xfId="2768" builtinId="9" hidden="1"/>
    <cellStyle name="Followed Hyperlink" xfId="2842" builtinId="9" hidden="1"/>
    <cellStyle name="Followed Hyperlink" xfId="2844" builtinId="9" hidden="1"/>
    <cellStyle name="Followed Hyperlink" xfId="2846" builtinId="9" hidden="1"/>
    <cellStyle name="Followed Hyperlink" xfId="2848" builtinId="9" hidden="1"/>
    <cellStyle name="Followed Hyperlink" xfId="2850" builtinId="9" hidden="1"/>
    <cellStyle name="Followed Hyperlink" xfId="2852" builtinId="9" hidden="1"/>
    <cellStyle name="Followed Hyperlink" xfId="2902" builtinId="9" hidden="1"/>
    <cellStyle name="Followed Hyperlink" xfId="2904" builtinId="9" hidden="1"/>
    <cellStyle name="Followed Hyperlink" xfId="2906" builtinId="9" hidden="1"/>
    <cellStyle name="Followed Hyperlink" xfId="2908" builtinId="9" hidden="1"/>
    <cellStyle name="Followed Hyperlink" xfId="2877" builtinId="9" hidden="1"/>
    <cellStyle name="Followed Hyperlink" xfId="2866" builtinId="9" hidden="1"/>
    <cellStyle name="Followed Hyperlink" xfId="2910" builtinId="9" hidden="1"/>
    <cellStyle name="Followed Hyperlink" xfId="2912" builtinId="9" hidden="1"/>
    <cellStyle name="Followed Hyperlink" xfId="2914" builtinId="9" hidden="1"/>
    <cellStyle name="Followed Hyperlink" xfId="2916" builtinId="9" hidden="1"/>
    <cellStyle name="Followed Hyperlink" xfId="2860" builtinId="9" hidden="1"/>
    <cellStyle name="Followed Hyperlink" xfId="2863" builtinId="9" hidden="1"/>
    <cellStyle name="Followed Hyperlink" xfId="2918" builtinId="9" hidden="1"/>
    <cellStyle name="Followed Hyperlink" xfId="2920" builtinId="9" hidden="1"/>
    <cellStyle name="Followed Hyperlink" xfId="2922" builtinId="9" hidden="1"/>
    <cellStyle name="Followed Hyperlink" xfId="2924" builtinId="9" hidden="1"/>
    <cellStyle name="Followed Hyperlink" xfId="2878" builtinId="9" hidden="1"/>
    <cellStyle name="Followed Hyperlink" xfId="2891" builtinId="9" hidden="1"/>
    <cellStyle name="Followed Hyperlink" xfId="2926" builtinId="9" hidden="1"/>
    <cellStyle name="Followed Hyperlink" xfId="2928" builtinId="9" hidden="1"/>
    <cellStyle name="Followed Hyperlink" xfId="2930" builtinId="9" hidden="1"/>
    <cellStyle name="Followed Hyperlink" xfId="2932" builtinId="9" hidden="1"/>
    <cellStyle name="Followed Hyperlink" xfId="2890" builtinId="9" hidden="1"/>
    <cellStyle name="Followed Hyperlink" xfId="2857" builtinId="9" hidden="1"/>
    <cellStyle name="Followed Hyperlink" xfId="2934" builtinId="9" hidden="1"/>
    <cellStyle name="Followed Hyperlink" xfId="2936" builtinId="9" hidden="1"/>
    <cellStyle name="Followed Hyperlink" xfId="2938" builtinId="9" hidden="1"/>
    <cellStyle name="Followed Hyperlink" xfId="2940" builtinId="9" hidden="1"/>
    <cellStyle name="Followed Hyperlink" xfId="2862" builtinId="9" hidden="1"/>
    <cellStyle name="Followed Hyperlink" xfId="2893" builtinId="9" hidden="1"/>
    <cellStyle name="Followed Hyperlink" xfId="2942" builtinId="9" hidden="1"/>
    <cellStyle name="Followed Hyperlink" xfId="2944" builtinId="9" hidden="1"/>
    <cellStyle name="Followed Hyperlink" xfId="2946" builtinId="9" hidden="1"/>
    <cellStyle name="Followed Hyperlink" xfId="2948" builtinId="9" hidden="1"/>
    <cellStyle name="Followed Hyperlink" xfId="2896" builtinId="9" hidden="1"/>
    <cellStyle name="Followed Hyperlink" xfId="2861" builtinId="9" hidden="1"/>
    <cellStyle name="Followed Hyperlink" xfId="2950" builtinId="9" hidden="1"/>
    <cellStyle name="Followed Hyperlink" xfId="2952" builtinId="9" hidden="1"/>
    <cellStyle name="Followed Hyperlink" xfId="2954" builtinId="9" hidden="1"/>
    <cellStyle name="Followed Hyperlink" xfId="2956" builtinId="9" hidden="1"/>
    <cellStyle name="Followed Hyperlink" xfId="2888" builtinId="9" hidden="1"/>
    <cellStyle name="Followed Hyperlink" xfId="2868" builtinId="9" hidden="1"/>
    <cellStyle name="Followed Hyperlink" xfId="2958" builtinId="9" hidden="1"/>
    <cellStyle name="Followed Hyperlink" xfId="2960" builtinId="9" hidden="1"/>
    <cellStyle name="Followed Hyperlink" xfId="2962" builtinId="9" hidden="1"/>
    <cellStyle name="Followed Hyperlink" xfId="2964" builtinId="9" hidden="1"/>
    <cellStyle name="Followed Hyperlink" xfId="2870" builtinId="9" hidden="1"/>
    <cellStyle name="Followed Hyperlink" xfId="2892" builtinId="9" hidden="1"/>
    <cellStyle name="Followed Hyperlink" xfId="2966" builtinId="9" hidden="1"/>
    <cellStyle name="Followed Hyperlink" xfId="2968" builtinId="9" hidden="1"/>
    <cellStyle name="Followed Hyperlink" xfId="2970" builtinId="9" hidden="1"/>
    <cellStyle name="Followed Hyperlink" xfId="2972" builtinId="9" hidden="1"/>
    <cellStyle name="Followed Hyperlink" xfId="2885" builtinId="9" hidden="1"/>
    <cellStyle name="Followed Hyperlink" xfId="2865" builtinId="9" hidden="1"/>
    <cellStyle name="Followed Hyperlink" xfId="2974" builtinId="9" hidden="1"/>
    <cellStyle name="Followed Hyperlink" xfId="2976" builtinId="9" hidden="1"/>
    <cellStyle name="Followed Hyperlink" xfId="2978" builtinId="9" hidden="1"/>
    <cellStyle name="Followed Hyperlink" xfId="2980" builtinId="9" hidden="1"/>
    <cellStyle name="Followed Hyperlink" xfId="2876" builtinId="9" hidden="1"/>
    <cellStyle name="Followed Hyperlink" xfId="2900" builtinId="9" hidden="1"/>
    <cellStyle name="Followed Hyperlink" xfId="2982" builtinId="9" hidden="1"/>
    <cellStyle name="Followed Hyperlink" xfId="2984" builtinId="9" hidden="1"/>
    <cellStyle name="Followed Hyperlink" xfId="2986" builtinId="9" hidden="1"/>
    <cellStyle name="Followed Hyperlink" xfId="2988" builtinId="9" hidden="1"/>
    <cellStyle name="Followed Hyperlink" xfId="2874" builtinId="9" hidden="1"/>
    <cellStyle name="Followed Hyperlink" xfId="2873" builtinId="9" hidden="1"/>
    <cellStyle name="Followed Hyperlink" xfId="2990" builtinId="9" hidden="1"/>
    <cellStyle name="Followed Hyperlink" xfId="2992" builtinId="9" hidden="1"/>
    <cellStyle name="Followed Hyperlink" xfId="2994" builtinId="9" hidden="1"/>
    <cellStyle name="Followed Hyperlink" xfId="2996" builtinId="9" hidden="1"/>
    <cellStyle name="Followed Hyperlink" xfId="2872" builtinId="9" hidden="1"/>
    <cellStyle name="Followed Hyperlink" xfId="2894" builtinId="9" hidden="1"/>
    <cellStyle name="Followed Hyperlink" xfId="2998" builtinId="9" hidden="1"/>
    <cellStyle name="Followed Hyperlink" xfId="3000" builtinId="9" hidden="1"/>
    <cellStyle name="Followed Hyperlink" xfId="3002" builtinId="9" hidden="1"/>
    <cellStyle name="Followed Hyperlink" xfId="3004" builtinId="9" hidden="1"/>
    <cellStyle name="Followed Hyperlink" xfId="2781" builtinId="9" hidden="1"/>
    <cellStyle name="Followed Hyperlink" xfId="2728" builtinId="9" hidden="1"/>
    <cellStyle name="Followed Hyperlink" xfId="2783" builtinId="9" hidden="1"/>
    <cellStyle name="Followed Hyperlink" xfId="2734" builtinId="9" hidden="1"/>
    <cellStyle name="Followed Hyperlink" xfId="2839" builtinId="9" hidden="1"/>
    <cellStyle name="Followed Hyperlink" xfId="2719" builtinId="9" hidden="1"/>
    <cellStyle name="Followed Hyperlink" xfId="2772" builtinId="9" hidden="1"/>
    <cellStyle name="Followed Hyperlink" xfId="2722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8" builtinId="9" hidden="1"/>
    <cellStyle name="Followed Hyperlink" xfId="3020" builtinId="9" hidden="1"/>
    <cellStyle name="Followed Hyperlink" xfId="3070" builtinId="9" hidden="1"/>
    <cellStyle name="Followed Hyperlink" xfId="3072" builtinId="9" hidden="1"/>
    <cellStyle name="Followed Hyperlink" xfId="3074" builtinId="9" hidden="1"/>
    <cellStyle name="Followed Hyperlink" xfId="3076" builtinId="9" hidden="1"/>
    <cellStyle name="Followed Hyperlink" xfId="3045" builtinId="9" hidden="1"/>
    <cellStyle name="Followed Hyperlink" xfId="3034" builtinId="9" hidden="1"/>
    <cellStyle name="Followed Hyperlink" xfId="3078" builtinId="9" hidden="1"/>
    <cellStyle name="Followed Hyperlink" xfId="3080" builtinId="9" hidden="1"/>
    <cellStyle name="Followed Hyperlink" xfId="3082" builtinId="9" hidden="1"/>
    <cellStyle name="Followed Hyperlink" xfId="3084" builtinId="9" hidden="1"/>
    <cellStyle name="Followed Hyperlink" xfId="3028" builtinId="9" hidden="1"/>
    <cellStyle name="Followed Hyperlink" xfId="3031" builtinId="9" hidden="1"/>
    <cellStyle name="Followed Hyperlink" xfId="3086" builtinId="9" hidden="1"/>
    <cellStyle name="Followed Hyperlink" xfId="3088" builtinId="9" hidden="1"/>
    <cellStyle name="Followed Hyperlink" xfId="3090" builtinId="9" hidden="1"/>
    <cellStyle name="Followed Hyperlink" xfId="3092" builtinId="9" hidden="1"/>
    <cellStyle name="Followed Hyperlink" xfId="3046" builtinId="9" hidden="1"/>
    <cellStyle name="Followed Hyperlink" xfId="3059" builtinId="9" hidden="1"/>
    <cellStyle name="Followed Hyperlink" xfId="3094" builtinId="9" hidden="1"/>
    <cellStyle name="Followed Hyperlink" xfId="3096" builtinId="9" hidden="1"/>
    <cellStyle name="Followed Hyperlink" xfId="3098" builtinId="9" hidden="1"/>
    <cellStyle name="Followed Hyperlink" xfId="3100" builtinId="9" hidden="1"/>
    <cellStyle name="Followed Hyperlink" xfId="3058" builtinId="9" hidden="1"/>
    <cellStyle name="Followed Hyperlink" xfId="3025" builtinId="9" hidden="1"/>
    <cellStyle name="Followed Hyperlink" xfId="3102" builtinId="9" hidden="1"/>
    <cellStyle name="Followed Hyperlink" xfId="3104" builtinId="9" hidden="1"/>
    <cellStyle name="Followed Hyperlink" xfId="3106" builtinId="9" hidden="1"/>
    <cellStyle name="Followed Hyperlink" xfId="3108" builtinId="9" hidden="1"/>
    <cellStyle name="Followed Hyperlink" xfId="3030" builtinId="9" hidden="1"/>
    <cellStyle name="Followed Hyperlink" xfId="3061" builtinId="9" hidden="1"/>
    <cellStyle name="Followed Hyperlink" xfId="3110" builtinId="9" hidden="1"/>
    <cellStyle name="Followed Hyperlink" xfId="3112" builtinId="9" hidden="1"/>
    <cellStyle name="Followed Hyperlink" xfId="3114" builtinId="9" hidden="1"/>
    <cellStyle name="Followed Hyperlink" xfId="3116" builtinId="9" hidden="1"/>
    <cellStyle name="Followed Hyperlink" xfId="3064" builtinId="9" hidden="1"/>
    <cellStyle name="Followed Hyperlink" xfId="3029" builtinId="9" hidden="1"/>
    <cellStyle name="Followed Hyperlink" xfId="3118" builtinId="9" hidden="1"/>
    <cellStyle name="Followed Hyperlink" xfId="3120" builtinId="9" hidden="1"/>
    <cellStyle name="Followed Hyperlink" xfId="3122" builtinId="9" hidden="1"/>
    <cellStyle name="Followed Hyperlink" xfId="3124" builtinId="9" hidden="1"/>
    <cellStyle name="Followed Hyperlink" xfId="3056" builtinId="9" hidden="1"/>
    <cellStyle name="Followed Hyperlink" xfId="3036" builtinId="9" hidden="1"/>
    <cellStyle name="Followed Hyperlink" xfId="3126" builtinId="9" hidden="1"/>
    <cellStyle name="Followed Hyperlink" xfId="3128" builtinId="9" hidden="1"/>
    <cellStyle name="Followed Hyperlink" xfId="3130" builtinId="9" hidden="1"/>
    <cellStyle name="Followed Hyperlink" xfId="3132" builtinId="9" hidden="1"/>
    <cellStyle name="Followed Hyperlink" xfId="3038" builtinId="9" hidden="1"/>
    <cellStyle name="Followed Hyperlink" xfId="3060" builtinId="9" hidden="1"/>
    <cellStyle name="Followed Hyperlink" xfId="3134" builtinId="9" hidden="1"/>
    <cellStyle name="Followed Hyperlink" xfId="3136" builtinId="9" hidden="1"/>
    <cellStyle name="Followed Hyperlink" xfId="3138" builtinId="9" hidden="1"/>
    <cellStyle name="Followed Hyperlink" xfId="3140" builtinId="9" hidden="1"/>
    <cellStyle name="Followed Hyperlink" xfId="3053" builtinId="9" hidden="1"/>
    <cellStyle name="Followed Hyperlink" xfId="3033" builtinId="9" hidden="1"/>
    <cellStyle name="Followed Hyperlink" xfId="3142" builtinId="9" hidden="1"/>
    <cellStyle name="Followed Hyperlink" xfId="3144" builtinId="9" hidden="1"/>
    <cellStyle name="Followed Hyperlink" xfId="3146" builtinId="9" hidden="1"/>
    <cellStyle name="Followed Hyperlink" xfId="3148" builtinId="9" hidden="1"/>
    <cellStyle name="Followed Hyperlink" xfId="3044" builtinId="9" hidden="1"/>
    <cellStyle name="Followed Hyperlink" xfId="3068" builtinId="9" hidden="1"/>
    <cellStyle name="Followed Hyperlink" xfId="3150" builtinId="9" hidden="1"/>
    <cellStyle name="Followed Hyperlink" xfId="3152" builtinId="9" hidden="1"/>
    <cellStyle name="Followed Hyperlink" xfId="3154" builtinId="9" hidden="1"/>
    <cellStyle name="Followed Hyperlink" xfId="3156" builtinId="9" hidden="1"/>
    <cellStyle name="Followed Hyperlink" xfId="3042" builtinId="9" hidden="1"/>
    <cellStyle name="Followed Hyperlink" xfId="3041" builtinId="9" hidden="1"/>
    <cellStyle name="Followed Hyperlink" xfId="3158" builtinId="9" hidden="1"/>
    <cellStyle name="Followed Hyperlink" xfId="3160" builtinId="9" hidden="1"/>
    <cellStyle name="Followed Hyperlink" xfId="3162" builtinId="9" hidden="1"/>
    <cellStyle name="Followed Hyperlink" xfId="3164" builtinId="9" hidden="1"/>
    <cellStyle name="Followed Hyperlink" xfId="3040" builtinId="9" hidden="1"/>
    <cellStyle name="Followed Hyperlink" xfId="3062" builtinId="9" hidden="1"/>
    <cellStyle name="Followed Hyperlink" xfId="3166" builtinId="9" hidden="1"/>
    <cellStyle name="Followed Hyperlink" xfId="3168" builtinId="9" hidden="1"/>
    <cellStyle name="Followed Hyperlink" xfId="3170" builtinId="9" hidden="1"/>
    <cellStyle name="Followed Hyperlink" xfId="3172" builtinId="9" hidden="1"/>
    <cellStyle name="Followed Hyperlink" xfId="2423" builtinId="9" hidden="1"/>
    <cellStyle name="Followed Hyperlink" xfId="2822" builtinId="9" hidden="1"/>
    <cellStyle name="Followed Hyperlink" xfId="3007" builtinId="9" hidden="1"/>
    <cellStyle name="Followed Hyperlink" xfId="2720" builtinId="9" hidden="1"/>
    <cellStyle name="Followed Hyperlink" xfId="2777" builtinId="9" hidden="1"/>
    <cellStyle name="Followed Hyperlink" xfId="2733" builtinId="9" hidden="1"/>
    <cellStyle name="Followed Hyperlink" xfId="2769" builtinId="9" hidden="1"/>
    <cellStyle name="Followed Hyperlink" xfId="2750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18" builtinId="9" hidden="1"/>
    <cellStyle name="Followed Hyperlink" xfId="3207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01" builtinId="9" hidden="1"/>
    <cellStyle name="Followed Hyperlink" xfId="3204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19" builtinId="9" hidden="1"/>
    <cellStyle name="Followed Hyperlink" xfId="3232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31" builtinId="9" hidden="1"/>
    <cellStyle name="Followed Hyperlink" xfId="3198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03" builtinId="9" hidden="1"/>
    <cellStyle name="Followed Hyperlink" xfId="3234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37" builtinId="9" hidden="1"/>
    <cellStyle name="Followed Hyperlink" xfId="3202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29" builtinId="9" hidden="1"/>
    <cellStyle name="Followed Hyperlink" xfId="3209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211" builtinId="9" hidden="1"/>
    <cellStyle name="Followed Hyperlink" xfId="3233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226" builtinId="9" hidden="1"/>
    <cellStyle name="Followed Hyperlink" xfId="3206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217" builtinId="9" hidden="1"/>
    <cellStyle name="Followed Hyperlink" xfId="324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215" builtinId="9" hidden="1"/>
    <cellStyle name="Followed Hyperlink" xfId="3214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213" builtinId="9" hidden="1"/>
    <cellStyle name="Followed Hyperlink" xfId="3235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2831" builtinId="9" hidden="1"/>
    <cellStyle name="Followed Hyperlink" xfId="2726" builtinId="9" hidden="1"/>
    <cellStyle name="Followed Hyperlink" xfId="2797" builtinId="9" hidden="1"/>
    <cellStyle name="Followed Hyperlink" xfId="2799" builtinId="9" hidden="1"/>
    <cellStyle name="Followed Hyperlink" xfId="3179" builtinId="9" hidden="1"/>
    <cellStyle name="Followed Hyperlink" xfId="2745" builtinId="9" hidden="1"/>
    <cellStyle name="Followed Hyperlink" xfId="2751" builtinId="9" hidden="1"/>
    <cellStyle name="Followed Hyperlink" xfId="2727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388" builtinId="9" hidden="1"/>
    <cellStyle name="Followed Hyperlink" xfId="3377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371" builtinId="9" hidden="1"/>
    <cellStyle name="Followed Hyperlink" xfId="3374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389" builtinId="9" hidden="1"/>
    <cellStyle name="Followed Hyperlink" xfId="3402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01" builtinId="9" hidden="1"/>
    <cellStyle name="Followed Hyperlink" xfId="3368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373" builtinId="9" hidden="1"/>
    <cellStyle name="Followed Hyperlink" xfId="3404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07" builtinId="9" hidden="1"/>
    <cellStyle name="Followed Hyperlink" xfId="3372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399" builtinId="9" hidden="1"/>
    <cellStyle name="Followed Hyperlink" xfId="3379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381" builtinId="9" hidden="1"/>
    <cellStyle name="Followed Hyperlink" xfId="3403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396" builtinId="9" hidden="1"/>
    <cellStyle name="Followed Hyperlink" xfId="3376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387" builtinId="9" hidden="1"/>
    <cellStyle name="Followed Hyperlink" xfId="341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385" builtinId="9" hidden="1"/>
    <cellStyle name="Followed Hyperlink" xfId="3384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383" builtinId="9" hidden="1"/>
    <cellStyle name="Followed Hyperlink" xfId="3405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2717" builtinId="9" hidden="1"/>
    <cellStyle name="Followed Hyperlink" xfId="2798" builtinId="9" hidden="1"/>
    <cellStyle name="Followed Hyperlink" xfId="2787" builtinId="9" hidden="1"/>
    <cellStyle name="Followed Hyperlink" xfId="2746" builtinId="9" hidden="1"/>
    <cellStyle name="Followed Hyperlink" xfId="3349" builtinId="9" hidden="1"/>
    <cellStyle name="Followed Hyperlink" xfId="2740" builtinId="9" hidden="1"/>
    <cellStyle name="Followed Hyperlink" xfId="2776" builtinId="9" hidden="1"/>
    <cellStyle name="Followed Hyperlink" xfId="2725" builtinId="9" hidden="1"/>
    <cellStyle name="Followed Hyperlink" xfId="3522" builtinId="9" hidden="1"/>
    <cellStyle name="Followed Hyperlink" xfId="3524" builtinId="9" hidden="1"/>
    <cellStyle name="Followed Hyperlink" xfId="3526" builtinId="9" hidden="1"/>
    <cellStyle name="Followed Hyperlink" xfId="3528" builtinId="9" hidden="1"/>
    <cellStyle name="Followed Hyperlink" xfId="3530" builtinId="9" hidden="1"/>
    <cellStyle name="Followed Hyperlink" xfId="3532" builtinId="9" hidden="1"/>
    <cellStyle name="Followed Hyperlink" xfId="3582" builtinId="9" hidden="1"/>
    <cellStyle name="Followed Hyperlink" xfId="3584" builtinId="9" hidden="1"/>
    <cellStyle name="Followed Hyperlink" xfId="3586" builtinId="9" hidden="1"/>
    <cellStyle name="Followed Hyperlink" xfId="3588" builtinId="9" hidden="1"/>
    <cellStyle name="Followed Hyperlink" xfId="3557" builtinId="9" hidden="1"/>
    <cellStyle name="Followed Hyperlink" xfId="3546" builtinId="9" hidden="1"/>
    <cellStyle name="Followed Hyperlink" xfId="3590" builtinId="9" hidden="1"/>
    <cellStyle name="Followed Hyperlink" xfId="3592" builtinId="9" hidden="1"/>
    <cellStyle name="Followed Hyperlink" xfId="3594" builtinId="9" hidden="1"/>
    <cellStyle name="Followed Hyperlink" xfId="3596" builtinId="9" hidden="1"/>
    <cellStyle name="Followed Hyperlink" xfId="3540" builtinId="9" hidden="1"/>
    <cellStyle name="Followed Hyperlink" xfId="3543" builtinId="9" hidden="1"/>
    <cellStyle name="Followed Hyperlink" xfId="3598" builtinId="9" hidden="1"/>
    <cellStyle name="Followed Hyperlink" xfId="3600" builtinId="9" hidden="1"/>
    <cellStyle name="Followed Hyperlink" xfId="3602" builtinId="9" hidden="1"/>
    <cellStyle name="Followed Hyperlink" xfId="3604" builtinId="9" hidden="1"/>
    <cellStyle name="Followed Hyperlink" xfId="3558" builtinId="9" hidden="1"/>
    <cellStyle name="Followed Hyperlink" xfId="3571" builtinId="9" hidden="1"/>
    <cellStyle name="Followed Hyperlink" xfId="3606" builtinId="9" hidden="1"/>
    <cellStyle name="Followed Hyperlink" xfId="3608" builtinId="9" hidden="1"/>
    <cellStyle name="Followed Hyperlink" xfId="3610" builtinId="9" hidden="1"/>
    <cellStyle name="Followed Hyperlink" xfId="3612" builtinId="9" hidden="1"/>
    <cellStyle name="Followed Hyperlink" xfId="3570" builtinId="9" hidden="1"/>
    <cellStyle name="Followed Hyperlink" xfId="3537" builtinId="9" hidden="1"/>
    <cellStyle name="Followed Hyperlink" xfId="3614" builtinId="9" hidden="1"/>
    <cellStyle name="Followed Hyperlink" xfId="3616" builtinId="9" hidden="1"/>
    <cellStyle name="Followed Hyperlink" xfId="3618" builtinId="9" hidden="1"/>
    <cellStyle name="Followed Hyperlink" xfId="3620" builtinId="9" hidden="1"/>
    <cellStyle name="Followed Hyperlink" xfId="3542" builtinId="9" hidden="1"/>
    <cellStyle name="Followed Hyperlink" xfId="3573" builtinId="9" hidden="1"/>
    <cellStyle name="Followed Hyperlink" xfId="3622" builtinId="9" hidden="1"/>
    <cellStyle name="Followed Hyperlink" xfId="3624" builtinId="9" hidden="1"/>
    <cellStyle name="Followed Hyperlink" xfId="3626" builtinId="9" hidden="1"/>
    <cellStyle name="Followed Hyperlink" xfId="3628" builtinId="9" hidden="1"/>
    <cellStyle name="Followed Hyperlink" xfId="3576" builtinId="9" hidden="1"/>
    <cellStyle name="Followed Hyperlink" xfId="3541" builtinId="9" hidden="1"/>
    <cellStyle name="Followed Hyperlink" xfId="3630" builtinId="9" hidden="1"/>
    <cellStyle name="Followed Hyperlink" xfId="3632" builtinId="9" hidden="1"/>
    <cellStyle name="Followed Hyperlink" xfId="3634" builtinId="9" hidden="1"/>
    <cellStyle name="Followed Hyperlink" xfId="3636" builtinId="9" hidden="1"/>
    <cellStyle name="Followed Hyperlink" xfId="3568" builtinId="9" hidden="1"/>
    <cellStyle name="Followed Hyperlink" xfId="3548" builtinId="9" hidden="1"/>
    <cellStyle name="Followed Hyperlink" xfId="3638" builtinId="9" hidden="1"/>
    <cellStyle name="Followed Hyperlink" xfId="3640" builtinId="9" hidden="1"/>
    <cellStyle name="Followed Hyperlink" xfId="3642" builtinId="9" hidden="1"/>
    <cellStyle name="Followed Hyperlink" xfId="3644" builtinId="9" hidden="1"/>
    <cellStyle name="Followed Hyperlink" xfId="3550" builtinId="9" hidden="1"/>
    <cellStyle name="Followed Hyperlink" xfId="3572" builtinId="9" hidden="1"/>
    <cellStyle name="Followed Hyperlink" xfId="3646" builtinId="9" hidden="1"/>
    <cellStyle name="Followed Hyperlink" xfId="3648" builtinId="9" hidden="1"/>
    <cellStyle name="Followed Hyperlink" xfId="3650" builtinId="9" hidden="1"/>
    <cellStyle name="Followed Hyperlink" xfId="3652" builtinId="9" hidden="1"/>
    <cellStyle name="Followed Hyperlink" xfId="3565" builtinId="9" hidden="1"/>
    <cellStyle name="Followed Hyperlink" xfId="3545" builtinId="9" hidden="1"/>
    <cellStyle name="Followed Hyperlink" xfId="3654" builtinId="9" hidden="1"/>
    <cellStyle name="Followed Hyperlink" xfId="3656" builtinId="9" hidden="1"/>
    <cellStyle name="Followed Hyperlink" xfId="3658" builtinId="9" hidden="1"/>
    <cellStyle name="Followed Hyperlink" xfId="3660" builtinId="9" hidden="1"/>
    <cellStyle name="Followed Hyperlink" xfId="3556" builtinId="9" hidden="1"/>
    <cellStyle name="Followed Hyperlink" xfId="3580" builtinId="9" hidden="1"/>
    <cellStyle name="Followed Hyperlink" xfId="3662" builtinId="9" hidden="1"/>
    <cellStyle name="Followed Hyperlink" xfId="3664" builtinId="9" hidden="1"/>
    <cellStyle name="Followed Hyperlink" xfId="3666" builtinId="9" hidden="1"/>
    <cellStyle name="Followed Hyperlink" xfId="3668" builtinId="9" hidden="1"/>
    <cellStyle name="Followed Hyperlink" xfId="3554" builtinId="9" hidden="1"/>
    <cellStyle name="Followed Hyperlink" xfId="3553" builtinId="9" hidden="1"/>
    <cellStyle name="Followed Hyperlink" xfId="3670" builtinId="9" hidden="1"/>
    <cellStyle name="Followed Hyperlink" xfId="3672" builtinId="9" hidden="1"/>
    <cellStyle name="Followed Hyperlink" xfId="3674" builtinId="9" hidden="1"/>
    <cellStyle name="Followed Hyperlink" xfId="3676" builtinId="9" hidden="1"/>
    <cellStyle name="Followed Hyperlink" xfId="3552" builtinId="9" hidden="1"/>
    <cellStyle name="Followed Hyperlink" xfId="3574" builtinId="9" hidden="1"/>
    <cellStyle name="Followed Hyperlink" xfId="3678" builtinId="9" hidden="1"/>
    <cellStyle name="Followed Hyperlink" xfId="3680" builtinId="9" hidden="1"/>
    <cellStyle name="Followed Hyperlink" xfId="3682" builtinId="9" hidden="1"/>
    <cellStyle name="Followed Hyperlink" xfId="3684" builtinId="9" hidden="1"/>
    <cellStyle name="Followed Hyperlink" xfId="2703" builtinId="9" hidden="1"/>
    <cellStyle name="Followed Hyperlink" xfId="2820" builtinId="9" hidden="1"/>
    <cellStyle name="Followed Hyperlink" xfId="2830" builtinId="9" hidden="1"/>
    <cellStyle name="Followed Hyperlink" xfId="2710" builtinId="9" hidden="1"/>
    <cellStyle name="Followed Hyperlink" xfId="3518" builtinId="9" hidden="1"/>
    <cellStyle name="Followed Hyperlink" xfId="2774" builtinId="9" hidden="1"/>
    <cellStyle name="Followed Hyperlink" xfId="2821" builtinId="9" hidden="1"/>
    <cellStyle name="Followed Hyperlink" xfId="2736" builtinId="9" hidden="1"/>
    <cellStyle name="Followed Hyperlink" xfId="3691" builtinId="9" hidden="1"/>
    <cellStyle name="Followed Hyperlink" xfId="3693" builtinId="9" hidden="1"/>
    <cellStyle name="Followed Hyperlink" xfId="3695" builtinId="9" hidden="1"/>
    <cellStyle name="Followed Hyperlink" xfId="3697" builtinId="9" hidden="1"/>
    <cellStyle name="Followed Hyperlink" xfId="3699" builtinId="9" hidden="1"/>
    <cellStyle name="Followed Hyperlink" xfId="3701" builtinId="9" hidden="1"/>
    <cellStyle name="Followed Hyperlink" xfId="3751" builtinId="9" hidden="1"/>
    <cellStyle name="Followed Hyperlink" xfId="3753" builtinId="9" hidden="1"/>
    <cellStyle name="Followed Hyperlink" xfId="3755" builtinId="9" hidden="1"/>
    <cellStyle name="Followed Hyperlink" xfId="3757" builtinId="9" hidden="1"/>
    <cellStyle name="Followed Hyperlink" xfId="3726" builtinId="9" hidden="1"/>
    <cellStyle name="Followed Hyperlink" xfId="3715" builtinId="9" hidden="1"/>
    <cellStyle name="Followed Hyperlink" xfId="3759" builtinId="9" hidden="1"/>
    <cellStyle name="Followed Hyperlink" xfId="3761" builtinId="9" hidden="1"/>
    <cellStyle name="Followed Hyperlink" xfId="3763" builtinId="9" hidden="1"/>
    <cellStyle name="Followed Hyperlink" xfId="3765" builtinId="9" hidden="1"/>
    <cellStyle name="Followed Hyperlink" xfId="3709" builtinId="9" hidden="1"/>
    <cellStyle name="Followed Hyperlink" xfId="3712" builtinId="9" hidden="1"/>
    <cellStyle name="Followed Hyperlink" xfId="3767" builtinId="9" hidden="1"/>
    <cellStyle name="Followed Hyperlink" xfId="3769" builtinId="9" hidden="1"/>
    <cellStyle name="Followed Hyperlink" xfId="3771" builtinId="9" hidden="1"/>
    <cellStyle name="Followed Hyperlink" xfId="3773" builtinId="9" hidden="1"/>
    <cellStyle name="Followed Hyperlink" xfId="3727" builtinId="9" hidden="1"/>
    <cellStyle name="Followed Hyperlink" xfId="3740" builtinId="9" hidden="1"/>
    <cellStyle name="Followed Hyperlink" xfId="3775" builtinId="9" hidden="1"/>
    <cellStyle name="Followed Hyperlink" xfId="3777" builtinId="9" hidden="1"/>
    <cellStyle name="Followed Hyperlink" xfId="3779" builtinId="9" hidden="1"/>
    <cellStyle name="Followed Hyperlink" xfId="3781" builtinId="9" hidden="1"/>
    <cellStyle name="Followed Hyperlink" xfId="3739" builtinId="9" hidden="1"/>
    <cellStyle name="Followed Hyperlink" xfId="3706" builtinId="9" hidden="1"/>
    <cellStyle name="Followed Hyperlink" xfId="3783" builtinId="9" hidden="1"/>
    <cellStyle name="Followed Hyperlink" xfId="3785" builtinId="9" hidden="1"/>
    <cellStyle name="Followed Hyperlink" xfId="3787" builtinId="9" hidden="1"/>
    <cellStyle name="Followed Hyperlink" xfId="3789" builtinId="9" hidden="1"/>
    <cellStyle name="Followed Hyperlink" xfId="3711" builtinId="9" hidden="1"/>
    <cellStyle name="Followed Hyperlink" xfId="3742" builtinId="9" hidden="1"/>
    <cellStyle name="Followed Hyperlink" xfId="3791" builtinId="9" hidden="1"/>
    <cellStyle name="Followed Hyperlink" xfId="3793" builtinId="9" hidden="1"/>
    <cellStyle name="Followed Hyperlink" xfId="3795" builtinId="9" hidden="1"/>
    <cellStyle name="Followed Hyperlink" xfId="3797" builtinId="9" hidden="1"/>
    <cellStyle name="Followed Hyperlink" xfId="3745" builtinId="9" hidden="1"/>
    <cellStyle name="Followed Hyperlink" xfId="3710" builtinId="9" hidden="1"/>
    <cellStyle name="Followed Hyperlink" xfId="3799" builtinId="9" hidden="1"/>
    <cellStyle name="Followed Hyperlink" xfId="3801" builtinId="9" hidden="1"/>
    <cellStyle name="Followed Hyperlink" xfId="3803" builtinId="9" hidden="1"/>
    <cellStyle name="Followed Hyperlink" xfId="3805" builtinId="9" hidden="1"/>
    <cellStyle name="Followed Hyperlink" xfId="3737" builtinId="9" hidden="1"/>
    <cellStyle name="Followed Hyperlink" xfId="3717" builtinId="9" hidden="1"/>
    <cellStyle name="Followed Hyperlink" xfId="3807" builtinId="9" hidden="1"/>
    <cellStyle name="Followed Hyperlink" xfId="3809" builtinId="9" hidden="1"/>
    <cellStyle name="Followed Hyperlink" xfId="3811" builtinId="9" hidden="1"/>
    <cellStyle name="Followed Hyperlink" xfId="3813" builtinId="9" hidden="1"/>
    <cellStyle name="Followed Hyperlink" xfId="3719" builtinId="9" hidden="1"/>
    <cellStyle name="Followed Hyperlink" xfId="3741" builtinId="9" hidden="1"/>
    <cellStyle name="Followed Hyperlink" xfId="3815" builtinId="9" hidden="1"/>
    <cellStyle name="Followed Hyperlink" xfId="3817" builtinId="9" hidden="1"/>
    <cellStyle name="Followed Hyperlink" xfId="3819" builtinId="9" hidden="1"/>
    <cellStyle name="Followed Hyperlink" xfId="3821" builtinId="9" hidden="1"/>
    <cellStyle name="Followed Hyperlink" xfId="3734" builtinId="9" hidden="1"/>
    <cellStyle name="Followed Hyperlink" xfId="3714" builtinId="9" hidden="1"/>
    <cellStyle name="Followed Hyperlink" xfId="3823" builtinId="9" hidden="1"/>
    <cellStyle name="Followed Hyperlink" xfId="3825" builtinId="9" hidden="1"/>
    <cellStyle name="Followed Hyperlink" xfId="3827" builtinId="9" hidden="1"/>
    <cellStyle name="Followed Hyperlink" xfId="3829" builtinId="9" hidden="1"/>
    <cellStyle name="Followed Hyperlink" xfId="3725" builtinId="9" hidden="1"/>
    <cellStyle name="Followed Hyperlink" xfId="3749" builtinId="9" hidden="1"/>
    <cellStyle name="Followed Hyperlink" xfId="3831" builtinId="9" hidden="1"/>
    <cellStyle name="Followed Hyperlink" xfId="3833" builtinId="9" hidden="1"/>
    <cellStyle name="Followed Hyperlink" xfId="3835" builtinId="9" hidden="1"/>
    <cellStyle name="Followed Hyperlink" xfId="3837" builtinId="9" hidden="1"/>
    <cellStyle name="Followed Hyperlink" xfId="3723" builtinId="9" hidden="1"/>
    <cellStyle name="Followed Hyperlink" xfId="3722" builtinId="9" hidden="1"/>
    <cellStyle name="Followed Hyperlink" xfId="3839" builtinId="9" hidden="1"/>
    <cellStyle name="Followed Hyperlink" xfId="3841" builtinId="9" hidden="1"/>
    <cellStyle name="Followed Hyperlink" xfId="3843" builtinId="9" hidden="1"/>
    <cellStyle name="Followed Hyperlink" xfId="3845" builtinId="9" hidden="1"/>
    <cellStyle name="Followed Hyperlink" xfId="3721" builtinId="9" hidden="1"/>
    <cellStyle name="Followed Hyperlink" xfId="3743" builtinId="9" hidden="1"/>
    <cellStyle name="Followed Hyperlink" xfId="3847" builtinId="9" hidden="1"/>
    <cellStyle name="Followed Hyperlink" xfId="3849" builtinId="9" hidden="1"/>
    <cellStyle name="Followed Hyperlink" xfId="3851" builtinId="9" hidden="1"/>
    <cellStyle name="Followed Hyperlink" xfId="3853" builtinId="9" hidden="1"/>
    <cellStyle name="Followed Hyperlink" xfId="2809" builtinId="9" hidden="1"/>
    <cellStyle name="Followed Hyperlink" xfId="2835" builtinId="9" hidden="1"/>
    <cellStyle name="Followed Hyperlink" xfId="3005" builtinId="9" hidden="1"/>
    <cellStyle name="Followed Hyperlink" xfId="2694" builtinId="9" hidden="1"/>
    <cellStyle name="Followed Hyperlink" xfId="3687" builtinId="9" hidden="1"/>
    <cellStyle name="Followed Hyperlink" xfId="2816" builtinId="9" hidden="1"/>
    <cellStyle name="Followed Hyperlink" xfId="2771" builtinId="9" hidden="1"/>
    <cellStyle name="Followed Hyperlink" xfId="3181" builtinId="9" hidden="1"/>
    <cellStyle name="Followed Hyperlink" xfId="3858" builtinId="9" hidden="1"/>
    <cellStyle name="Followed Hyperlink" xfId="3860" builtinId="9" hidden="1"/>
    <cellStyle name="Followed Hyperlink" xfId="3862" builtinId="9" hidden="1"/>
    <cellStyle name="Followed Hyperlink" xfId="3864" builtinId="9" hidden="1"/>
    <cellStyle name="Followed Hyperlink" xfId="3866" builtinId="9" hidden="1"/>
    <cellStyle name="Followed Hyperlink" xfId="3868" builtinId="9" hidden="1"/>
    <cellStyle name="Followed Hyperlink" xfId="3918" builtinId="9" hidden="1"/>
    <cellStyle name="Followed Hyperlink" xfId="3920" builtinId="9" hidden="1"/>
    <cellStyle name="Followed Hyperlink" xfId="3922" builtinId="9" hidden="1"/>
    <cellStyle name="Followed Hyperlink" xfId="3924" builtinId="9" hidden="1"/>
    <cellStyle name="Followed Hyperlink" xfId="3893" builtinId="9" hidden="1"/>
    <cellStyle name="Followed Hyperlink" xfId="3882" builtinId="9" hidden="1"/>
    <cellStyle name="Followed Hyperlink" xfId="3926" builtinId="9" hidden="1"/>
    <cellStyle name="Followed Hyperlink" xfId="3928" builtinId="9" hidden="1"/>
    <cellStyle name="Followed Hyperlink" xfId="3930" builtinId="9" hidden="1"/>
    <cellStyle name="Followed Hyperlink" xfId="3932" builtinId="9" hidden="1"/>
    <cellStyle name="Followed Hyperlink" xfId="3876" builtinId="9" hidden="1"/>
    <cellStyle name="Followed Hyperlink" xfId="3879" builtinId="9" hidden="1"/>
    <cellStyle name="Followed Hyperlink" xfId="3934" builtinId="9" hidden="1"/>
    <cellStyle name="Followed Hyperlink" xfId="3936" builtinId="9" hidden="1"/>
    <cellStyle name="Followed Hyperlink" xfId="3938" builtinId="9" hidden="1"/>
    <cellStyle name="Followed Hyperlink" xfId="3940" builtinId="9" hidden="1"/>
    <cellStyle name="Followed Hyperlink" xfId="3894" builtinId="9" hidden="1"/>
    <cellStyle name="Followed Hyperlink" xfId="3907" builtinId="9" hidden="1"/>
    <cellStyle name="Followed Hyperlink" xfId="3942" builtinId="9" hidden="1"/>
    <cellStyle name="Followed Hyperlink" xfId="3944" builtinId="9" hidden="1"/>
    <cellStyle name="Followed Hyperlink" xfId="3946" builtinId="9" hidden="1"/>
    <cellStyle name="Followed Hyperlink" xfId="3948" builtinId="9" hidden="1"/>
    <cellStyle name="Followed Hyperlink" xfId="3906" builtinId="9" hidden="1"/>
    <cellStyle name="Followed Hyperlink" xfId="3873" builtinId="9" hidden="1"/>
    <cellStyle name="Followed Hyperlink" xfId="3950" builtinId="9" hidden="1"/>
    <cellStyle name="Followed Hyperlink" xfId="3952" builtinId="9" hidden="1"/>
    <cellStyle name="Followed Hyperlink" xfId="3954" builtinId="9" hidden="1"/>
    <cellStyle name="Followed Hyperlink" xfId="3956" builtinId="9" hidden="1"/>
    <cellStyle name="Followed Hyperlink" xfId="3878" builtinId="9" hidden="1"/>
    <cellStyle name="Followed Hyperlink" xfId="3909" builtinId="9" hidden="1"/>
    <cellStyle name="Followed Hyperlink" xfId="3958" builtinId="9" hidden="1"/>
    <cellStyle name="Followed Hyperlink" xfId="3960" builtinId="9" hidden="1"/>
    <cellStyle name="Followed Hyperlink" xfId="3962" builtinId="9" hidden="1"/>
    <cellStyle name="Followed Hyperlink" xfId="3964" builtinId="9" hidden="1"/>
    <cellStyle name="Followed Hyperlink" xfId="3912" builtinId="9" hidden="1"/>
    <cellStyle name="Followed Hyperlink" xfId="3877" builtinId="9" hidden="1"/>
    <cellStyle name="Followed Hyperlink" xfId="3966" builtinId="9" hidden="1"/>
    <cellStyle name="Followed Hyperlink" xfId="3968" builtinId="9" hidden="1"/>
    <cellStyle name="Followed Hyperlink" xfId="3970" builtinId="9" hidden="1"/>
    <cellStyle name="Followed Hyperlink" xfId="3972" builtinId="9" hidden="1"/>
    <cellStyle name="Followed Hyperlink" xfId="3904" builtinId="9" hidden="1"/>
    <cellStyle name="Followed Hyperlink" xfId="3884" builtinId="9" hidden="1"/>
    <cellStyle name="Followed Hyperlink" xfId="3974" builtinId="9" hidden="1"/>
    <cellStyle name="Followed Hyperlink" xfId="3976" builtinId="9" hidden="1"/>
    <cellStyle name="Followed Hyperlink" xfId="3978" builtinId="9" hidden="1"/>
    <cellStyle name="Followed Hyperlink" xfId="3980" builtinId="9" hidden="1"/>
    <cellStyle name="Followed Hyperlink" xfId="3886" builtinId="9" hidden="1"/>
    <cellStyle name="Followed Hyperlink" xfId="3908" builtinId="9" hidden="1"/>
    <cellStyle name="Followed Hyperlink" xfId="3982" builtinId="9" hidden="1"/>
    <cellStyle name="Followed Hyperlink" xfId="3984" builtinId="9" hidden="1"/>
    <cellStyle name="Followed Hyperlink" xfId="3986" builtinId="9" hidden="1"/>
    <cellStyle name="Followed Hyperlink" xfId="3988" builtinId="9" hidden="1"/>
    <cellStyle name="Followed Hyperlink" xfId="3901" builtinId="9" hidden="1"/>
    <cellStyle name="Followed Hyperlink" xfId="3881" builtinId="9" hidden="1"/>
    <cellStyle name="Followed Hyperlink" xfId="3990" builtinId="9" hidden="1"/>
    <cellStyle name="Followed Hyperlink" xfId="3992" builtinId="9" hidden="1"/>
    <cellStyle name="Followed Hyperlink" xfId="3994" builtinId="9" hidden="1"/>
    <cellStyle name="Followed Hyperlink" xfId="3996" builtinId="9" hidden="1"/>
    <cellStyle name="Followed Hyperlink" xfId="3892" builtinId="9" hidden="1"/>
    <cellStyle name="Followed Hyperlink" xfId="3916" builtinId="9" hidden="1"/>
    <cellStyle name="Followed Hyperlink" xfId="3998" builtinId="9" hidden="1"/>
    <cellStyle name="Followed Hyperlink" xfId="4000" builtinId="9" hidden="1"/>
    <cellStyle name="Followed Hyperlink" xfId="4002" builtinId="9" hidden="1"/>
    <cellStyle name="Followed Hyperlink" xfId="4004" builtinId="9" hidden="1"/>
    <cellStyle name="Followed Hyperlink" xfId="3890" builtinId="9" hidden="1"/>
    <cellStyle name="Followed Hyperlink" xfId="3889" builtinId="9" hidden="1"/>
    <cellStyle name="Followed Hyperlink" xfId="4006" builtinId="9" hidden="1"/>
    <cellStyle name="Followed Hyperlink" xfId="4008" builtinId="9" hidden="1"/>
    <cellStyle name="Followed Hyperlink" xfId="4010" builtinId="9" hidden="1"/>
    <cellStyle name="Followed Hyperlink" xfId="4012" builtinId="9" hidden="1"/>
    <cellStyle name="Followed Hyperlink" xfId="3888" builtinId="9" hidden="1"/>
    <cellStyle name="Followed Hyperlink" xfId="3910" builtinId="9" hidden="1"/>
    <cellStyle name="Followed Hyperlink" xfId="4014" builtinId="9" hidden="1"/>
    <cellStyle name="Followed Hyperlink" xfId="4016" builtinId="9" hidden="1"/>
    <cellStyle name="Followed Hyperlink" xfId="4018" builtinId="9" hidden="1"/>
    <cellStyle name="Followed Hyperlink" xfId="4020" builtinId="9" hidden="1"/>
    <cellStyle name="Followed Hyperlink" xfId="2721" builtinId="9" hidden="1"/>
    <cellStyle name="Followed Hyperlink" xfId="2698" builtinId="9" hidden="1"/>
    <cellStyle name="Followed Hyperlink" xfId="2801" builtinId="9" hidden="1"/>
    <cellStyle name="Followed Hyperlink" xfId="2815" builtinId="9" hidden="1"/>
    <cellStyle name="Followed Hyperlink" xfId="3854" builtinId="9" hidden="1"/>
    <cellStyle name="Followed Hyperlink" xfId="2713" builtinId="9" hidden="1"/>
    <cellStyle name="Followed Hyperlink" xfId="2793" builtinId="9" hidden="1"/>
    <cellStyle name="Followed Hyperlink" xfId="3351" builtinId="9" hidden="1"/>
    <cellStyle name="Followed Hyperlink" xfId="4025" builtinId="9" hidden="1"/>
    <cellStyle name="Followed Hyperlink" xfId="4027" builtinId="9" hidden="1"/>
    <cellStyle name="Followed Hyperlink" xfId="4029" builtinId="9" hidden="1"/>
    <cellStyle name="Followed Hyperlink" xfId="4031" builtinId="9" hidden="1"/>
    <cellStyle name="Followed Hyperlink" xfId="4033" builtinId="9" hidden="1"/>
    <cellStyle name="Followed Hyperlink" xfId="4035" builtinId="9" hidden="1"/>
    <cellStyle name="Followed Hyperlink" xfId="4085" builtinId="9" hidden="1"/>
    <cellStyle name="Followed Hyperlink" xfId="4087" builtinId="9" hidden="1"/>
    <cellStyle name="Followed Hyperlink" xfId="4089" builtinId="9" hidden="1"/>
    <cellStyle name="Followed Hyperlink" xfId="4091" builtinId="9" hidden="1"/>
    <cellStyle name="Followed Hyperlink" xfId="4060" builtinId="9" hidden="1"/>
    <cellStyle name="Followed Hyperlink" xfId="4049" builtinId="9" hidden="1"/>
    <cellStyle name="Followed Hyperlink" xfId="4093" builtinId="9" hidden="1"/>
    <cellStyle name="Followed Hyperlink" xfId="4095" builtinId="9" hidden="1"/>
    <cellStyle name="Followed Hyperlink" xfId="4097" builtinId="9" hidden="1"/>
    <cellStyle name="Followed Hyperlink" xfId="4099" builtinId="9" hidden="1"/>
    <cellStyle name="Followed Hyperlink" xfId="4043" builtinId="9" hidden="1"/>
    <cellStyle name="Followed Hyperlink" xfId="4046" builtinId="9" hidden="1"/>
    <cellStyle name="Followed Hyperlink" xfId="4101" builtinId="9" hidden="1"/>
    <cellStyle name="Followed Hyperlink" xfId="4103" builtinId="9" hidden="1"/>
    <cellStyle name="Followed Hyperlink" xfId="4105" builtinId="9" hidden="1"/>
    <cellStyle name="Followed Hyperlink" xfId="4107" builtinId="9" hidden="1"/>
    <cellStyle name="Followed Hyperlink" xfId="4061" builtinId="9" hidden="1"/>
    <cellStyle name="Followed Hyperlink" xfId="4074" builtinId="9" hidden="1"/>
    <cellStyle name="Followed Hyperlink" xfId="4109" builtinId="9" hidden="1"/>
    <cellStyle name="Followed Hyperlink" xfId="4111" builtinId="9" hidden="1"/>
    <cellStyle name="Followed Hyperlink" xfId="4113" builtinId="9" hidden="1"/>
    <cellStyle name="Followed Hyperlink" xfId="4115" builtinId="9" hidden="1"/>
    <cellStyle name="Followed Hyperlink" xfId="4073" builtinId="9" hidden="1"/>
    <cellStyle name="Followed Hyperlink" xfId="4040" builtinId="9" hidden="1"/>
    <cellStyle name="Followed Hyperlink" xfId="4117" builtinId="9" hidden="1"/>
    <cellStyle name="Followed Hyperlink" xfId="4119" builtinId="9" hidden="1"/>
    <cellStyle name="Followed Hyperlink" xfId="4121" builtinId="9" hidden="1"/>
    <cellStyle name="Followed Hyperlink" xfId="4123" builtinId="9" hidden="1"/>
    <cellStyle name="Followed Hyperlink" xfId="4045" builtinId="9" hidden="1"/>
    <cellStyle name="Followed Hyperlink" xfId="4076" builtinId="9" hidden="1"/>
    <cellStyle name="Followed Hyperlink" xfId="4125" builtinId="9" hidden="1"/>
    <cellStyle name="Followed Hyperlink" xfId="4127" builtinId="9" hidden="1"/>
    <cellStyle name="Followed Hyperlink" xfId="4129" builtinId="9" hidden="1"/>
    <cellStyle name="Followed Hyperlink" xfId="4131" builtinId="9" hidden="1"/>
    <cellStyle name="Followed Hyperlink" xfId="4079" builtinId="9" hidden="1"/>
    <cellStyle name="Followed Hyperlink" xfId="4044" builtinId="9" hidden="1"/>
    <cellStyle name="Followed Hyperlink" xfId="4133" builtinId="9" hidden="1"/>
    <cellStyle name="Followed Hyperlink" xfId="4135" builtinId="9" hidden="1"/>
    <cellStyle name="Followed Hyperlink" xfId="4137" builtinId="9" hidden="1"/>
    <cellStyle name="Followed Hyperlink" xfId="4139" builtinId="9" hidden="1"/>
    <cellStyle name="Followed Hyperlink" xfId="4071" builtinId="9" hidden="1"/>
    <cellStyle name="Followed Hyperlink" xfId="4051" builtinId="9" hidden="1"/>
    <cellStyle name="Followed Hyperlink" xfId="4141" builtinId="9" hidden="1"/>
    <cellStyle name="Followed Hyperlink" xfId="4143" builtinId="9" hidden="1"/>
    <cellStyle name="Followed Hyperlink" xfId="4145" builtinId="9" hidden="1"/>
    <cellStyle name="Followed Hyperlink" xfId="4147" builtinId="9" hidden="1"/>
    <cellStyle name="Followed Hyperlink" xfId="4053" builtinId="9" hidden="1"/>
    <cellStyle name="Followed Hyperlink" xfId="4075" builtinId="9" hidden="1"/>
    <cellStyle name="Followed Hyperlink" xfId="4149" builtinId="9" hidden="1"/>
    <cellStyle name="Followed Hyperlink" xfId="4151" builtinId="9" hidden="1"/>
    <cellStyle name="Followed Hyperlink" xfId="4153" builtinId="9" hidden="1"/>
    <cellStyle name="Followed Hyperlink" xfId="4155" builtinId="9" hidden="1"/>
    <cellStyle name="Followed Hyperlink" xfId="4068" builtinId="9" hidden="1"/>
    <cellStyle name="Followed Hyperlink" xfId="4048" builtinId="9" hidden="1"/>
    <cellStyle name="Followed Hyperlink" xfId="4157" builtinId="9" hidden="1"/>
    <cellStyle name="Followed Hyperlink" xfId="4159" builtinId="9" hidden="1"/>
    <cellStyle name="Followed Hyperlink" xfId="4161" builtinId="9" hidden="1"/>
    <cellStyle name="Followed Hyperlink" xfId="4163" builtinId="9" hidden="1"/>
    <cellStyle name="Followed Hyperlink" xfId="4059" builtinId="9" hidden="1"/>
    <cellStyle name="Followed Hyperlink" xfId="4083" builtinId="9" hidden="1"/>
    <cellStyle name="Followed Hyperlink" xfId="4165" builtinId="9" hidden="1"/>
    <cellStyle name="Followed Hyperlink" xfId="4167" builtinId="9" hidden="1"/>
    <cellStyle name="Followed Hyperlink" xfId="4169" builtinId="9" hidden="1"/>
    <cellStyle name="Followed Hyperlink" xfId="4171" builtinId="9" hidden="1"/>
    <cellStyle name="Followed Hyperlink" xfId="4057" builtinId="9" hidden="1"/>
    <cellStyle name="Followed Hyperlink" xfId="4056" builtinId="9" hidden="1"/>
    <cellStyle name="Followed Hyperlink" xfId="4173" builtinId="9" hidden="1"/>
    <cellStyle name="Followed Hyperlink" xfId="4175" builtinId="9" hidden="1"/>
    <cellStyle name="Followed Hyperlink" xfId="4177" builtinId="9" hidden="1"/>
    <cellStyle name="Followed Hyperlink" xfId="4179" builtinId="9" hidden="1"/>
    <cellStyle name="Followed Hyperlink" xfId="4055" builtinId="9" hidden="1"/>
    <cellStyle name="Followed Hyperlink" xfId="4077" builtinId="9" hidden="1"/>
    <cellStyle name="Followed Hyperlink" xfId="4181" builtinId="9" hidden="1"/>
    <cellStyle name="Followed Hyperlink" xfId="4183" builtinId="9" hidden="1"/>
    <cellStyle name="Followed Hyperlink" xfId="4185" builtinId="9" hidden="1"/>
    <cellStyle name="Followed Hyperlink" xfId="4187" builtinId="9" hidden="1"/>
    <cellStyle name="Followed Hyperlink" xfId="2804" builtinId="9" hidden="1"/>
    <cellStyle name="Followed Hyperlink" xfId="3178" builtinId="9" hidden="1"/>
    <cellStyle name="Followed Hyperlink" xfId="3174" builtinId="9" hidden="1"/>
    <cellStyle name="Followed Hyperlink" xfId="2738" builtinId="9" hidden="1"/>
    <cellStyle name="Followed Hyperlink" xfId="4021" builtinId="9" hidden="1"/>
    <cellStyle name="Followed Hyperlink" xfId="2744" builtinId="9" hidden="1"/>
    <cellStyle name="Followed Hyperlink" xfId="2778" builtinId="9" hidden="1"/>
    <cellStyle name="Followed Hyperlink" xfId="3520" builtinId="9" hidden="1"/>
    <cellStyle name="Followed Hyperlink" xfId="4190" builtinId="9" hidden="1"/>
    <cellStyle name="Followed Hyperlink" xfId="4192" builtinId="9" hidden="1"/>
    <cellStyle name="Followed Hyperlink" xfId="4194" builtinId="9" hidden="1"/>
    <cellStyle name="Followed Hyperlink" xfId="4196" builtinId="9" hidden="1"/>
    <cellStyle name="Followed Hyperlink" xfId="4198" builtinId="9" hidden="1"/>
    <cellStyle name="Followed Hyperlink" xfId="4200" builtinId="9" hidden="1"/>
    <cellStyle name="Followed Hyperlink" xfId="4250" builtinId="9" hidden="1"/>
    <cellStyle name="Followed Hyperlink" xfId="4252" builtinId="9" hidden="1"/>
    <cellStyle name="Followed Hyperlink" xfId="4254" builtinId="9" hidden="1"/>
    <cellStyle name="Followed Hyperlink" xfId="4256" builtinId="9" hidden="1"/>
    <cellStyle name="Followed Hyperlink" xfId="4225" builtinId="9" hidden="1"/>
    <cellStyle name="Followed Hyperlink" xfId="4214" builtinId="9" hidden="1"/>
    <cellStyle name="Followed Hyperlink" xfId="4258" builtinId="9" hidden="1"/>
    <cellStyle name="Followed Hyperlink" xfId="4260" builtinId="9" hidden="1"/>
    <cellStyle name="Followed Hyperlink" xfId="4262" builtinId="9" hidden="1"/>
    <cellStyle name="Followed Hyperlink" xfId="4264" builtinId="9" hidden="1"/>
    <cellStyle name="Followed Hyperlink" xfId="4208" builtinId="9" hidden="1"/>
    <cellStyle name="Followed Hyperlink" xfId="4211" builtinId="9" hidden="1"/>
    <cellStyle name="Followed Hyperlink" xfId="4266" builtinId="9" hidden="1"/>
    <cellStyle name="Followed Hyperlink" xfId="4268" builtinId="9" hidden="1"/>
    <cellStyle name="Followed Hyperlink" xfId="4270" builtinId="9" hidden="1"/>
    <cellStyle name="Followed Hyperlink" xfId="4272" builtinId="9" hidden="1"/>
    <cellStyle name="Followed Hyperlink" xfId="4226" builtinId="9" hidden="1"/>
    <cellStyle name="Followed Hyperlink" xfId="4239" builtinId="9" hidden="1"/>
    <cellStyle name="Followed Hyperlink" xfId="4274" builtinId="9" hidden="1"/>
    <cellStyle name="Followed Hyperlink" xfId="4276" builtinId="9" hidden="1"/>
    <cellStyle name="Followed Hyperlink" xfId="4278" builtinId="9" hidden="1"/>
    <cellStyle name="Followed Hyperlink" xfId="4280" builtinId="9" hidden="1"/>
    <cellStyle name="Followed Hyperlink" xfId="4238" builtinId="9" hidden="1"/>
    <cellStyle name="Followed Hyperlink" xfId="4205" builtinId="9" hidden="1"/>
    <cellStyle name="Followed Hyperlink" xfId="4282" builtinId="9" hidden="1"/>
    <cellStyle name="Followed Hyperlink" xfId="4284" builtinId="9" hidden="1"/>
    <cellStyle name="Followed Hyperlink" xfId="4286" builtinId="9" hidden="1"/>
    <cellStyle name="Followed Hyperlink" xfId="4288" builtinId="9" hidden="1"/>
    <cellStyle name="Followed Hyperlink" xfId="4210" builtinId="9" hidden="1"/>
    <cellStyle name="Followed Hyperlink" xfId="4241" builtinId="9" hidden="1"/>
    <cellStyle name="Followed Hyperlink" xfId="4290" builtinId="9" hidden="1"/>
    <cellStyle name="Followed Hyperlink" xfId="4292" builtinId="9" hidden="1"/>
    <cellStyle name="Followed Hyperlink" xfId="4294" builtinId="9" hidden="1"/>
    <cellStyle name="Followed Hyperlink" xfId="4296" builtinId="9" hidden="1"/>
    <cellStyle name="Followed Hyperlink" xfId="4244" builtinId="9" hidden="1"/>
    <cellStyle name="Followed Hyperlink" xfId="4209" builtinId="9" hidden="1"/>
    <cellStyle name="Followed Hyperlink" xfId="4298" builtinId="9" hidden="1"/>
    <cellStyle name="Followed Hyperlink" xfId="4300" builtinId="9" hidden="1"/>
    <cellStyle name="Followed Hyperlink" xfId="4302" builtinId="9" hidden="1"/>
    <cellStyle name="Followed Hyperlink" xfId="4304" builtinId="9" hidden="1"/>
    <cellStyle name="Followed Hyperlink" xfId="4236" builtinId="9" hidden="1"/>
    <cellStyle name="Followed Hyperlink" xfId="4216" builtinId="9" hidden="1"/>
    <cellStyle name="Followed Hyperlink" xfId="4306" builtinId="9" hidden="1"/>
    <cellStyle name="Followed Hyperlink" xfId="4308" builtinId="9" hidden="1"/>
    <cellStyle name="Followed Hyperlink" xfId="4310" builtinId="9" hidden="1"/>
    <cellStyle name="Followed Hyperlink" xfId="4312" builtinId="9" hidden="1"/>
    <cellStyle name="Followed Hyperlink" xfId="4218" builtinId="9" hidden="1"/>
    <cellStyle name="Followed Hyperlink" xfId="4240" builtinId="9" hidden="1"/>
    <cellStyle name="Followed Hyperlink" xfId="4314" builtinId="9" hidden="1"/>
    <cellStyle name="Followed Hyperlink" xfId="4316" builtinId="9" hidden="1"/>
    <cellStyle name="Followed Hyperlink" xfId="4318" builtinId="9" hidden="1"/>
    <cellStyle name="Followed Hyperlink" xfId="4320" builtinId="9" hidden="1"/>
    <cellStyle name="Followed Hyperlink" xfId="4233" builtinId="9" hidden="1"/>
    <cellStyle name="Followed Hyperlink" xfId="4213" builtinId="9" hidden="1"/>
    <cellStyle name="Followed Hyperlink" xfId="4322" builtinId="9" hidden="1"/>
    <cellStyle name="Followed Hyperlink" xfId="4324" builtinId="9" hidden="1"/>
    <cellStyle name="Followed Hyperlink" xfId="4326" builtinId="9" hidden="1"/>
    <cellStyle name="Followed Hyperlink" xfId="4328" builtinId="9" hidden="1"/>
    <cellStyle name="Followed Hyperlink" xfId="4224" builtinId="9" hidden="1"/>
    <cellStyle name="Followed Hyperlink" xfId="4248" builtinId="9" hidden="1"/>
    <cellStyle name="Followed Hyperlink" xfId="4330" builtinId="9" hidden="1"/>
    <cellStyle name="Followed Hyperlink" xfId="4332" builtinId="9" hidden="1"/>
    <cellStyle name="Followed Hyperlink" xfId="4334" builtinId="9" hidden="1"/>
    <cellStyle name="Followed Hyperlink" xfId="4336" builtinId="9" hidden="1"/>
    <cellStyle name="Followed Hyperlink" xfId="4222" builtinId="9" hidden="1"/>
    <cellStyle name="Followed Hyperlink" xfId="4221" builtinId="9" hidden="1"/>
    <cellStyle name="Followed Hyperlink" xfId="4338" builtinId="9" hidden="1"/>
    <cellStyle name="Followed Hyperlink" xfId="4340" builtinId="9" hidden="1"/>
    <cellStyle name="Followed Hyperlink" xfId="4342" builtinId="9" hidden="1"/>
    <cellStyle name="Followed Hyperlink" xfId="4344" builtinId="9" hidden="1"/>
    <cellStyle name="Followed Hyperlink" xfId="4220" builtinId="9" hidden="1"/>
    <cellStyle name="Followed Hyperlink" xfId="4242" builtinId="9" hidden="1"/>
    <cellStyle name="Followed Hyperlink" xfId="4346" builtinId="9" hidden="1"/>
    <cellStyle name="Followed Hyperlink" xfId="4348" builtinId="9" hidden="1"/>
    <cellStyle name="Followed Hyperlink" xfId="4350" builtinId="9" hidden="1"/>
    <cellStyle name="Followed Hyperlink" xfId="4352" builtinId="9" hidden="1"/>
    <cellStyle name="Followed Hyperlink" xfId="2788" builtinId="9" hidden="1"/>
    <cellStyle name="Followed Hyperlink" xfId="3348" builtinId="9" hidden="1"/>
    <cellStyle name="Followed Hyperlink" xfId="2819" builtinId="9" hidden="1"/>
    <cellStyle name="Followed Hyperlink" xfId="2729" builtinId="9" hidden="1"/>
    <cellStyle name="Followed Hyperlink" xfId="4188" builtinId="9" hidden="1"/>
    <cellStyle name="Followed Hyperlink" xfId="2708" builtinId="9" hidden="1"/>
    <cellStyle name="Followed Hyperlink" xfId="2823" builtinId="9" hidden="1"/>
    <cellStyle name="Followed Hyperlink" xfId="3689" builtinId="9" hidden="1"/>
    <cellStyle name="Followed Hyperlink" xfId="4355" builtinId="9" hidden="1"/>
    <cellStyle name="Followed Hyperlink" xfId="4357" builtinId="9" hidden="1"/>
    <cellStyle name="Followed Hyperlink" xfId="4359" builtinId="9" hidden="1"/>
    <cellStyle name="Followed Hyperlink" xfId="4361" builtinId="9" hidden="1"/>
    <cellStyle name="Followed Hyperlink" xfId="4363" builtinId="9" hidden="1"/>
    <cellStyle name="Followed Hyperlink" xfId="4365" builtinId="9" hidden="1"/>
    <cellStyle name="Followed Hyperlink" xfId="4415" builtinId="9" hidden="1"/>
    <cellStyle name="Followed Hyperlink" xfId="4417" builtinId="9" hidden="1"/>
    <cellStyle name="Followed Hyperlink" xfId="4419" builtinId="9" hidden="1"/>
    <cellStyle name="Followed Hyperlink" xfId="4421" builtinId="9" hidden="1"/>
    <cellStyle name="Followed Hyperlink" xfId="4390" builtinId="9" hidden="1"/>
    <cellStyle name="Followed Hyperlink" xfId="4379" builtinId="9" hidden="1"/>
    <cellStyle name="Followed Hyperlink" xfId="4423" builtinId="9" hidden="1"/>
    <cellStyle name="Followed Hyperlink" xfId="4425" builtinId="9" hidden="1"/>
    <cellStyle name="Followed Hyperlink" xfId="4427" builtinId="9" hidden="1"/>
    <cellStyle name="Followed Hyperlink" xfId="4429" builtinId="9" hidden="1"/>
    <cellStyle name="Followed Hyperlink" xfId="4373" builtinId="9" hidden="1"/>
    <cellStyle name="Followed Hyperlink" xfId="4376" builtinId="9" hidden="1"/>
    <cellStyle name="Followed Hyperlink" xfId="4431" builtinId="9" hidden="1"/>
    <cellStyle name="Followed Hyperlink" xfId="4433" builtinId="9" hidden="1"/>
    <cellStyle name="Followed Hyperlink" xfId="4435" builtinId="9" hidden="1"/>
    <cellStyle name="Followed Hyperlink" xfId="4437" builtinId="9" hidden="1"/>
    <cellStyle name="Followed Hyperlink" xfId="4391" builtinId="9" hidden="1"/>
    <cellStyle name="Followed Hyperlink" xfId="4404" builtinId="9" hidden="1"/>
    <cellStyle name="Followed Hyperlink" xfId="4439" builtinId="9" hidden="1"/>
    <cellStyle name="Followed Hyperlink" xfId="4441" builtinId="9" hidden="1"/>
    <cellStyle name="Followed Hyperlink" xfId="4443" builtinId="9" hidden="1"/>
    <cellStyle name="Followed Hyperlink" xfId="4445" builtinId="9" hidden="1"/>
    <cellStyle name="Followed Hyperlink" xfId="4403" builtinId="9" hidden="1"/>
    <cellStyle name="Followed Hyperlink" xfId="4370" builtinId="9" hidden="1"/>
    <cellStyle name="Followed Hyperlink" xfId="4447" builtinId="9" hidden="1"/>
    <cellStyle name="Followed Hyperlink" xfId="4449" builtinId="9" hidden="1"/>
    <cellStyle name="Followed Hyperlink" xfId="4451" builtinId="9" hidden="1"/>
    <cellStyle name="Followed Hyperlink" xfId="4453" builtinId="9" hidden="1"/>
    <cellStyle name="Followed Hyperlink" xfId="4375" builtinId="9" hidden="1"/>
    <cellStyle name="Followed Hyperlink" xfId="4406" builtinId="9" hidden="1"/>
    <cellStyle name="Followed Hyperlink" xfId="4455" builtinId="9" hidden="1"/>
    <cellStyle name="Followed Hyperlink" xfId="4457" builtinId="9" hidden="1"/>
    <cellStyle name="Followed Hyperlink" xfId="4459" builtinId="9" hidden="1"/>
    <cellStyle name="Followed Hyperlink" xfId="4461" builtinId="9" hidden="1"/>
    <cellStyle name="Followed Hyperlink" xfId="4409" builtinId="9" hidden="1"/>
    <cellStyle name="Followed Hyperlink" xfId="4374" builtinId="9" hidden="1"/>
    <cellStyle name="Followed Hyperlink" xfId="4463" builtinId="9" hidden="1"/>
    <cellStyle name="Followed Hyperlink" xfId="4465" builtinId="9" hidden="1"/>
    <cellStyle name="Followed Hyperlink" xfId="4467" builtinId="9" hidden="1"/>
    <cellStyle name="Followed Hyperlink" xfId="4469" builtinId="9" hidden="1"/>
    <cellStyle name="Followed Hyperlink" xfId="4401" builtinId="9" hidden="1"/>
    <cellStyle name="Followed Hyperlink" xfId="4381" builtinId="9" hidden="1"/>
    <cellStyle name="Followed Hyperlink" xfId="4471" builtinId="9" hidden="1"/>
    <cellStyle name="Followed Hyperlink" xfId="4473" builtinId="9" hidden="1"/>
    <cellStyle name="Followed Hyperlink" xfId="4475" builtinId="9" hidden="1"/>
    <cellStyle name="Followed Hyperlink" xfId="4477" builtinId="9" hidden="1"/>
    <cellStyle name="Followed Hyperlink" xfId="4383" builtinId="9" hidden="1"/>
    <cellStyle name="Followed Hyperlink" xfId="4405" builtinId="9" hidden="1"/>
    <cellStyle name="Followed Hyperlink" xfId="4479" builtinId="9" hidden="1"/>
    <cellStyle name="Followed Hyperlink" xfId="4481" builtinId="9" hidden="1"/>
    <cellStyle name="Followed Hyperlink" xfId="4483" builtinId="9" hidden="1"/>
    <cellStyle name="Followed Hyperlink" xfId="4485" builtinId="9" hidden="1"/>
    <cellStyle name="Followed Hyperlink" xfId="4398" builtinId="9" hidden="1"/>
    <cellStyle name="Followed Hyperlink" xfId="4378" builtinId="9" hidden="1"/>
    <cellStyle name="Followed Hyperlink" xfId="4487" builtinId="9" hidden="1"/>
    <cellStyle name="Followed Hyperlink" xfId="4489" builtinId="9" hidden="1"/>
    <cellStyle name="Followed Hyperlink" xfId="4491" builtinId="9" hidden="1"/>
    <cellStyle name="Followed Hyperlink" xfId="4493" builtinId="9" hidden="1"/>
    <cellStyle name="Followed Hyperlink" xfId="4389" builtinId="9" hidden="1"/>
    <cellStyle name="Followed Hyperlink" xfId="4413" builtinId="9" hidden="1"/>
    <cellStyle name="Followed Hyperlink" xfId="4495" builtinId="9" hidden="1"/>
    <cellStyle name="Followed Hyperlink" xfId="4497" builtinId="9" hidden="1"/>
    <cellStyle name="Followed Hyperlink" xfId="4499" builtinId="9" hidden="1"/>
    <cellStyle name="Followed Hyperlink" xfId="4501" builtinId="9" hidden="1"/>
    <cellStyle name="Followed Hyperlink" xfId="4387" builtinId="9" hidden="1"/>
    <cellStyle name="Followed Hyperlink" xfId="4386" builtinId="9" hidden="1"/>
    <cellStyle name="Followed Hyperlink" xfId="4503" builtinId="9" hidden="1"/>
    <cellStyle name="Followed Hyperlink" xfId="4505" builtinId="9" hidden="1"/>
    <cellStyle name="Followed Hyperlink" xfId="4507" builtinId="9" hidden="1"/>
    <cellStyle name="Followed Hyperlink" xfId="4509" builtinId="9" hidden="1"/>
    <cellStyle name="Followed Hyperlink" xfId="4385" builtinId="9" hidden="1"/>
    <cellStyle name="Followed Hyperlink" xfId="4407" builtinId="9" hidden="1"/>
    <cellStyle name="Followed Hyperlink" xfId="4511" builtinId="9" hidden="1"/>
    <cellStyle name="Followed Hyperlink" xfId="4513" builtinId="9" hidden="1"/>
    <cellStyle name="Followed Hyperlink" xfId="4515" builtinId="9" hidden="1"/>
    <cellStyle name="Followed Hyperlink" xfId="4517" builtinId="9" hidden="1"/>
    <cellStyle name="Followed Hyperlink" xfId="2714" builtinId="9" hidden="1"/>
    <cellStyle name="Followed Hyperlink" xfId="3517" builtinId="9" hidden="1"/>
    <cellStyle name="Followed Hyperlink" xfId="2795" builtinId="9" hidden="1"/>
    <cellStyle name="Followed Hyperlink" xfId="2827" builtinId="9" hidden="1"/>
    <cellStyle name="Followed Hyperlink" xfId="4353" builtinId="9" hidden="1"/>
    <cellStyle name="Followed Hyperlink" xfId="2705" builtinId="9" hidden="1"/>
    <cellStyle name="Followed Hyperlink" xfId="2791" builtinId="9" hidden="1"/>
    <cellStyle name="Followed Hyperlink" xfId="3856" builtinId="9" hidden="1"/>
    <cellStyle name="Followed Hyperlink" xfId="4520" builtinId="9" hidden="1"/>
    <cellStyle name="Followed Hyperlink" xfId="4522" builtinId="9" hidden="1"/>
    <cellStyle name="Followed Hyperlink" xfId="4524" builtinId="9" hidden="1"/>
    <cellStyle name="Followed Hyperlink" xfId="4526" builtinId="9" hidden="1"/>
    <cellStyle name="Followed Hyperlink" xfId="4528" builtinId="9" hidden="1"/>
    <cellStyle name="Followed Hyperlink" xfId="4530" builtinId="9" hidden="1"/>
    <cellStyle name="Followed Hyperlink" xfId="4580" builtinId="9" hidden="1"/>
    <cellStyle name="Followed Hyperlink" xfId="4582" builtinId="9" hidden="1"/>
    <cellStyle name="Followed Hyperlink" xfId="4584" builtinId="9" hidden="1"/>
    <cellStyle name="Followed Hyperlink" xfId="4586" builtinId="9" hidden="1"/>
    <cellStyle name="Followed Hyperlink" xfId="4555" builtinId="9" hidden="1"/>
    <cellStyle name="Followed Hyperlink" xfId="4544" builtinId="9" hidden="1"/>
    <cellStyle name="Followed Hyperlink" xfId="4588" builtinId="9" hidden="1"/>
    <cellStyle name="Followed Hyperlink" xfId="4590" builtinId="9" hidden="1"/>
    <cellStyle name="Followed Hyperlink" xfId="4592" builtinId="9" hidden="1"/>
    <cellStyle name="Followed Hyperlink" xfId="4594" builtinId="9" hidden="1"/>
    <cellStyle name="Followed Hyperlink" xfId="4538" builtinId="9" hidden="1"/>
    <cellStyle name="Followed Hyperlink" xfId="4541" builtinId="9" hidden="1"/>
    <cellStyle name="Followed Hyperlink" xfId="4596" builtinId="9" hidden="1"/>
    <cellStyle name="Followed Hyperlink" xfId="4598" builtinId="9" hidden="1"/>
    <cellStyle name="Followed Hyperlink" xfId="4600" builtinId="9" hidden="1"/>
    <cellStyle name="Followed Hyperlink" xfId="4602" builtinId="9" hidden="1"/>
    <cellStyle name="Followed Hyperlink" xfId="4556" builtinId="9" hidden="1"/>
    <cellStyle name="Followed Hyperlink" xfId="4569" builtinId="9" hidden="1"/>
    <cellStyle name="Followed Hyperlink" xfId="4604" builtinId="9" hidden="1"/>
    <cellStyle name="Followed Hyperlink" xfId="4606" builtinId="9" hidden="1"/>
    <cellStyle name="Followed Hyperlink" xfId="4608" builtinId="9" hidden="1"/>
    <cellStyle name="Followed Hyperlink" xfId="4610" builtinId="9" hidden="1"/>
    <cellStyle name="Followed Hyperlink" xfId="4568" builtinId="9" hidden="1"/>
    <cellStyle name="Followed Hyperlink" xfId="4535" builtinId="9" hidden="1"/>
    <cellStyle name="Followed Hyperlink" xfId="4612" builtinId="9" hidden="1"/>
    <cellStyle name="Followed Hyperlink" xfId="4614" builtinId="9" hidden="1"/>
    <cellStyle name="Followed Hyperlink" xfId="4616" builtinId="9" hidden="1"/>
    <cellStyle name="Followed Hyperlink" xfId="4618" builtinId="9" hidden="1"/>
    <cellStyle name="Followed Hyperlink" xfId="4540" builtinId="9" hidden="1"/>
    <cellStyle name="Followed Hyperlink" xfId="4571" builtinId="9" hidden="1"/>
    <cellStyle name="Followed Hyperlink" xfId="4620" builtinId="9" hidden="1"/>
    <cellStyle name="Followed Hyperlink" xfId="4622" builtinId="9" hidden="1"/>
    <cellStyle name="Followed Hyperlink" xfId="4624" builtinId="9" hidden="1"/>
    <cellStyle name="Followed Hyperlink" xfId="4626" builtinId="9" hidden="1"/>
    <cellStyle name="Followed Hyperlink" xfId="4574" builtinId="9" hidden="1"/>
    <cellStyle name="Followed Hyperlink" xfId="4539" builtinId="9" hidden="1"/>
    <cellStyle name="Followed Hyperlink" xfId="4628" builtinId="9" hidden="1"/>
    <cellStyle name="Followed Hyperlink" xfId="4630" builtinId="9" hidden="1"/>
    <cellStyle name="Followed Hyperlink" xfId="4632" builtinId="9" hidden="1"/>
    <cellStyle name="Followed Hyperlink" xfId="4634" builtinId="9" hidden="1"/>
    <cellStyle name="Followed Hyperlink" xfId="4566" builtinId="9" hidden="1"/>
    <cellStyle name="Followed Hyperlink" xfId="4546" builtinId="9" hidden="1"/>
    <cellStyle name="Followed Hyperlink" xfId="4636" builtinId="9" hidden="1"/>
    <cellStyle name="Followed Hyperlink" xfId="4638" builtinId="9" hidden="1"/>
    <cellStyle name="Followed Hyperlink" xfId="4640" builtinId="9" hidden="1"/>
    <cellStyle name="Followed Hyperlink" xfId="4642" builtinId="9" hidden="1"/>
    <cellStyle name="Followed Hyperlink" xfId="4548" builtinId="9" hidden="1"/>
    <cellStyle name="Followed Hyperlink" xfId="4570" builtinId="9" hidden="1"/>
    <cellStyle name="Followed Hyperlink" xfId="4644" builtinId="9" hidden="1"/>
    <cellStyle name="Followed Hyperlink" xfId="4646" builtinId="9" hidden="1"/>
    <cellStyle name="Followed Hyperlink" xfId="4648" builtinId="9" hidden="1"/>
    <cellStyle name="Followed Hyperlink" xfId="4650" builtinId="9" hidden="1"/>
    <cellStyle name="Followed Hyperlink" xfId="4563" builtinId="9" hidden="1"/>
    <cellStyle name="Followed Hyperlink" xfId="4543" builtinId="9" hidden="1"/>
    <cellStyle name="Followed Hyperlink" xfId="4652" builtinId="9" hidden="1"/>
    <cellStyle name="Followed Hyperlink" xfId="4654" builtinId="9" hidden="1"/>
    <cellStyle name="Followed Hyperlink" xfId="4656" builtinId="9" hidden="1"/>
    <cellStyle name="Followed Hyperlink" xfId="4658" builtinId="9" hidden="1"/>
    <cellStyle name="Followed Hyperlink" xfId="4554" builtinId="9" hidden="1"/>
    <cellStyle name="Followed Hyperlink" xfId="4578" builtinId="9" hidden="1"/>
    <cellStyle name="Followed Hyperlink" xfId="4660" builtinId="9" hidden="1"/>
    <cellStyle name="Followed Hyperlink" xfId="4662" builtinId="9" hidden="1"/>
    <cellStyle name="Followed Hyperlink" xfId="4664" builtinId="9" hidden="1"/>
    <cellStyle name="Followed Hyperlink" xfId="4666" builtinId="9" hidden="1"/>
    <cellStyle name="Followed Hyperlink" xfId="4552" builtinId="9" hidden="1"/>
    <cellStyle name="Followed Hyperlink" xfId="4551" builtinId="9" hidden="1"/>
    <cellStyle name="Followed Hyperlink" xfId="4668" builtinId="9" hidden="1"/>
    <cellStyle name="Followed Hyperlink" xfId="4670" builtinId="9" hidden="1"/>
    <cellStyle name="Followed Hyperlink" xfId="4672" builtinId="9" hidden="1"/>
    <cellStyle name="Followed Hyperlink" xfId="4674" builtinId="9" hidden="1"/>
    <cellStyle name="Followed Hyperlink" xfId="4550" builtinId="9" hidden="1"/>
    <cellStyle name="Followed Hyperlink" xfId="4572" builtinId="9" hidden="1"/>
    <cellStyle name="Followed Hyperlink" xfId="4676" builtinId="9" hidden="1"/>
    <cellStyle name="Followed Hyperlink" xfId="4678" builtinId="9" hidden="1"/>
    <cellStyle name="Followed Hyperlink" xfId="4680" builtinId="9" hidden="1"/>
    <cellStyle name="Followed Hyperlink" xfId="4682" builtinId="9" hidden="1"/>
    <cellStyle name="Followed Hyperlink" xfId="2785" builtinId="9" hidden="1"/>
    <cellStyle name="Followed Hyperlink" xfId="3686" builtinId="9" hidden="1"/>
    <cellStyle name="Followed Hyperlink" xfId="2840" builtinId="9" hidden="1"/>
    <cellStyle name="Followed Hyperlink" xfId="2829" builtinId="9" hidden="1"/>
    <cellStyle name="Followed Hyperlink" xfId="4518" builtinId="9" hidden="1"/>
    <cellStyle name="Followed Hyperlink" xfId="2806" builtinId="9" hidden="1"/>
    <cellStyle name="Followed Hyperlink" xfId="2707" builtinId="9" hidden="1"/>
    <cellStyle name="Followed Hyperlink" xfId="4023" builtinId="9" hidden="1"/>
    <cellStyle name="Followed Hyperlink" xfId="4684" builtinId="9" hidden="1"/>
    <cellStyle name="Followed Hyperlink" xfId="4686" builtinId="9" hidden="1"/>
    <cellStyle name="Followed Hyperlink" xfId="4688" builtinId="9" hidden="1"/>
    <cellStyle name="Followed Hyperlink" xfId="4690" builtinId="9" hidden="1"/>
    <cellStyle name="Followed Hyperlink" xfId="4692" builtinId="9" hidden="1"/>
    <cellStyle name="Followed Hyperlink" xfId="4694" builtinId="9" hidden="1"/>
    <cellStyle name="Followed Hyperlink" xfId="4744" builtinId="9" hidden="1"/>
    <cellStyle name="Followed Hyperlink" xfId="4746" builtinId="9" hidden="1"/>
    <cellStyle name="Followed Hyperlink" xfId="4748" builtinId="9" hidden="1"/>
    <cellStyle name="Followed Hyperlink" xfId="4750" builtinId="9" hidden="1"/>
    <cellStyle name="Followed Hyperlink" xfId="4719" builtinId="9" hidden="1"/>
    <cellStyle name="Followed Hyperlink" xfId="4708" builtinId="9" hidden="1"/>
    <cellStyle name="Followed Hyperlink" xfId="4752" builtinId="9" hidden="1"/>
    <cellStyle name="Followed Hyperlink" xfId="4754" builtinId="9" hidden="1"/>
    <cellStyle name="Followed Hyperlink" xfId="4756" builtinId="9" hidden="1"/>
    <cellStyle name="Followed Hyperlink" xfId="4758" builtinId="9" hidden="1"/>
    <cellStyle name="Followed Hyperlink" xfId="4702" builtinId="9" hidden="1"/>
    <cellStyle name="Followed Hyperlink" xfId="4705" builtinId="9" hidden="1"/>
    <cellStyle name="Followed Hyperlink" xfId="4760" builtinId="9" hidden="1"/>
    <cellStyle name="Followed Hyperlink" xfId="4762" builtinId="9" hidden="1"/>
    <cellStyle name="Followed Hyperlink" xfId="4764" builtinId="9" hidden="1"/>
    <cellStyle name="Followed Hyperlink" xfId="4766" builtinId="9" hidden="1"/>
    <cellStyle name="Followed Hyperlink" xfId="4720" builtinId="9" hidden="1"/>
    <cellStyle name="Followed Hyperlink" xfId="4733" builtinId="9" hidden="1"/>
    <cellStyle name="Followed Hyperlink" xfId="4768" builtinId="9" hidden="1"/>
    <cellStyle name="Followed Hyperlink" xfId="4770" builtinId="9" hidden="1"/>
    <cellStyle name="Followed Hyperlink" xfId="4772" builtinId="9" hidden="1"/>
    <cellStyle name="Followed Hyperlink" xfId="4774" builtinId="9" hidden="1"/>
    <cellStyle name="Followed Hyperlink" xfId="4732" builtinId="9" hidden="1"/>
    <cellStyle name="Followed Hyperlink" xfId="4699" builtinId="9" hidden="1"/>
    <cellStyle name="Followed Hyperlink" xfId="4776" builtinId="9" hidden="1"/>
    <cellStyle name="Followed Hyperlink" xfId="4778" builtinId="9" hidden="1"/>
    <cellStyle name="Followed Hyperlink" xfId="4780" builtinId="9" hidden="1"/>
    <cellStyle name="Followed Hyperlink" xfId="4782" builtinId="9" hidden="1"/>
    <cellStyle name="Followed Hyperlink" xfId="4704" builtinId="9" hidden="1"/>
    <cellStyle name="Followed Hyperlink" xfId="4735" builtinId="9" hidden="1"/>
    <cellStyle name="Followed Hyperlink" xfId="4784" builtinId="9" hidden="1"/>
    <cellStyle name="Followed Hyperlink" xfId="4786" builtinId="9" hidden="1"/>
    <cellStyle name="Followed Hyperlink" xfId="4788" builtinId="9" hidden="1"/>
    <cellStyle name="Followed Hyperlink" xfId="4790" builtinId="9" hidden="1"/>
    <cellStyle name="Followed Hyperlink" xfId="4738" builtinId="9" hidden="1"/>
    <cellStyle name="Followed Hyperlink" xfId="4703" builtinId="9" hidden="1"/>
    <cellStyle name="Followed Hyperlink" xfId="4792" builtinId="9" hidden="1"/>
    <cellStyle name="Followed Hyperlink" xfId="4794" builtinId="9" hidden="1"/>
    <cellStyle name="Followed Hyperlink" xfId="4796" builtinId="9" hidden="1"/>
    <cellStyle name="Followed Hyperlink" xfId="4798" builtinId="9" hidden="1"/>
    <cellStyle name="Followed Hyperlink" xfId="4730" builtinId="9" hidden="1"/>
    <cellStyle name="Followed Hyperlink" xfId="4710" builtinId="9" hidden="1"/>
    <cellStyle name="Followed Hyperlink" xfId="4800" builtinId="9" hidden="1"/>
    <cellStyle name="Followed Hyperlink" xfId="4802" builtinId="9" hidden="1"/>
    <cellStyle name="Followed Hyperlink" xfId="4804" builtinId="9" hidden="1"/>
    <cellStyle name="Followed Hyperlink" xfId="4806" builtinId="9" hidden="1"/>
    <cellStyle name="Followed Hyperlink" xfId="4712" builtinId="9" hidden="1"/>
    <cellStyle name="Followed Hyperlink" xfId="4734" builtinId="9" hidden="1"/>
    <cellStyle name="Followed Hyperlink" xfId="4808" builtinId="9" hidden="1"/>
    <cellStyle name="Followed Hyperlink" xfId="4810" builtinId="9" hidden="1"/>
    <cellStyle name="Followed Hyperlink" xfId="4812" builtinId="9" hidden="1"/>
    <cellStyle name="Followed Hyperlink" xfId="4814" builtinId="9" hidden="1"/>
    <cellStyle name="Followed Hyperlink" xfId="4727" builtinId="9" hidden="1"/>
    <cellStyle name="Followed Hyperlink" xfId="4707" builtinId="9" hidden="1"/>
    <cellStyle name="Followed Hyperlink" xfId="4816" builtinId="9" hidden="1"/>
    <cellStyle name="Followed Hyperlink" xfId="4818" builtinId="9" hidden="1"/>
    <cellStyle name="Followed Hyperlink" xfId="4820" builtinId="9" hidden="1"/>
    <cellStyle name="Followed Hyperlink" xfId="4822" builtinId="9" hidden="1"/>
    <cellStyle name="Followed Hyperlink" xfId="4718" builtinId="9" hidden="1"/>
    <cellStyle name="Followed Hyperlink" xfId="4742" builtinId="9" hidden="1"/>
    <cellStyle name="Followed Hyperlink" xfId="4824" builtinId="9" hidden="1"/>
    <cellStyle name="Followed Hyperlink" xfId="4826" builtinId="9" hidden="1"/>
    <cellStyle name="Followed Hyperlink" xfId="4828" builtinId="9" hidden="1"/>
    <cellStyle name="Followed Hyperlink" xfId="4830" builtinId="9" hidden="1"/>
    <cellStyle name="Followed Hyperlink" xfId="4716" builtinId="9" hidden="1"/>
    <cellStyle name="Followed Hyperlink" xfId="4715" builtinId="9" hidden="1"/>
    <cellStyle name="Followed Hyperlink" xfId="4832" builtinId="9" hidden="1"/>
    <cellStyle name="Followed Hyperlink" xfId="4834" builtinId="9" hidden="1"/>
    <cellStyle name="Followed Hyperlink" xfId="4836" builtinId="9" hidden="1"/>
    <cellStyle name="Followed Hyperlink" xfId="4838" builtinId="9" hidden="1"/>
    <cellStyle name="Followed Hyperlink" xfId="4714" builtinId="9" hidden="1"/>
    <cellStyle name="Followed Hyperlink" xfId="4736" builtinId="9" hidden="1"/>
    <cellStyle name="Followed Hyperlink" xfId="4840" builtinId="9" hidden="1"/>
    <cellStyle name="Followed Hyperlink" xfId="4842" builtinId="9" hidden="1"/>
    <cellStyle name="Followed Hyperlink" xfId="4844" builtinId="9" hidden="1"/>
    <cellStyle name="Followed Hyperlink" xfId="4846" builtinId="9" hidden="1"/>
    <cellStyle name="Followed Hyperlink" xfId="2400" builtinId="9" hidden="1"/>
    <cellStyle name="Followed Hyperlink" xfId="2436" builtinId="9" hidden="1"/>
    <cellStyle name="Followed Hyperlink" xfId="2383" builtinId="9" hidden="1"/>
    <cellStyle name="Followed Hyperlink" xfId="2434" builtinId="9" hidden="1"/>
    <cellStyle name="Followed Hyperlink" xfId="2457" builtinId="9" hidden="1"/>
    <cellStyle name="Followed Hyperlink" xfId="2396" builtinId="9" hidden="1"/>
    <cellStyle name="Followed Hyperlink" xfId="2517" builtinId="9" hidden="1"/>
    <cellStyle name="Followed Hyperlink" xfId="2388" builtinId="9" hidden="1"/>
    <cellStyle name="Followed Hyperlink" xfId="2515" builtinId="9" hidden="1"/>
    <cellStyle name="Followed Hyperlink" xfId="2384" builtinId="9" hidden="1"/>
    <cellStyle name="Followed Hyperlink" xfId="2492" builtinId="9" hidden="1"/>
    <cellStyle name="Followed Hyperlink" xfId="2510" builtinId="9" hidden="1"/>
    <cellStyle name="Followed Hyperlink" xfId="2437" builtinId="9" hidden="1"/>
    <cellStyle name="Followed Hyperlink" xfId="2458" builtinId="9" hidden="1"/>
    <cellStyle name="Followed Hyperlink" xfId="4853" builtinId="9" hidden="1"/>
    <cellStyle name="Followed Hyperlink" xfId="4855" builtinId="9" hidden="1"/>
    <cellStyle name="Followed Hyperlink" xfId="4857" builtinId="9" hidden="1"/>
    <cellStyle name="Followed Hyperlink" xfId="4859" builtinId="9" hidden="1"/>
    <cellStyle name="Followed Hyperlink" xfId="4861" builtinId="9" hidden="1"/>
    <cellStyle name="Followed Hyperlink" xfId="4863" builtinId="9" hidden="1"/>
    <cellStyle name="Followed Hyperlink" xfId="4913" builtinId="9" hidden="1"/>
    <cellStyle name="Followed Hyperlink" xfId="4915" builtinId="9" hidden="1"/>
    <cellStyle name="Followed Hyperlink" xfId="4917" builtinId="9" hidden="1"/>
    <cellStyle name="Followed Hyperlink" xfId="4919" builtinId="9" hidden="1"/>
    <cellStyle name="Followed Hyperlink" xfId="4888" builtinId="9" hidden="1"/>
    <cellStyle name="Followed Hyperlink" xfId="4877" builtinId="9" hidden="1"/>
    <cellStyle name="Followed Hyperlink" xfId="4921" builtinId="9" hidden="1"/>
    <cellStyle name="Followed Hyperlink" xfId="4923" builtinId="9" hidden="1"/>
    <cellStyle name="Followed Hyperlink" xfId="4925" builtinId="9" hidden="1"/>
    <cellStyle name="Followed Hyperlink" xfId="4927" builtinId="9" hidden="1"/>
    <cellStyle name="Followed Hyperlink" xfId="4871" builtinId="9" hidden="1"/>
    <cellStyle name="Followed Hyperlink" xfId="4874" builtinId="9" hidden="1"/>
    <cellStyle name="Followed Hyperlink" xfId="4929" builtinId="9" hidden="1"/>
    <cellStyle name="Followed Hyperlink" xfId="4931" builtinId="9" hidden="1"/>
    <cellStyle name="Followed Hyperlink" xfId="4933" builtinId="9" hidden="1"/>
    <cellStyle name="Followed Hyperlink" xfId="4935" builtinId="9" hidden="1"/>
    <cellStyle name="Followed Hyperlink" xfId="4889" builtinId="9" hidden="1"/>
    <cellStyle name="Followed Hyperlink" xfId="4902" builtinId="9" hidden="1"/>
    <cellStyle name="Followed Hyperlink" xfId="4937" builtinId="9" hidden="1"/>
    <cellStyle name="Followed Hyperlink" xfId="4939" builtinId="9" hidden="1"/>
    <cellStyle name="Followed Hyperlink" xfId="4941" builtinId="9" hidden="1"/>
    <cellStyle name="Followed Hyperlink" xfId="4943" builtinId="9" hidden="1"/>
    <cellStyle name="Followed Hyperlink" xfId="4901" builtinId="9" hidden="1"/>
    <cellStyle name="Followed Hyperlink" xfId="4868" builtinId="9" hidden="1"/>
    <cellStyle name="Followed Hyperlink" xfId="4945" builtinId="9" hidden="1"/>
    <cellStyle name="Followed Hyperlink" xfId="4947" builtinId="9" hidden="1"/>
    <cellStyle name="Followed Hyperlink" xfId="4949" builtinId="9" hidden="1"/>
    <cellStyle name="Followed Hyperlink" xfId="4951" builtinId="9" hidden="1"/>
    <cellStyle name="Followed Hyperlink" xfId="4873" builtinId="9" hidden="1"/>
    <cellStyle name="Followed Hyperlink" xfId="4904" builtinId="9" hidden="1"/>
    <cellStyle name="Followed Hyperlink" xfId="4953" builtinId="9" hidden="1"/>
    <cellStyle name="Followed Hyperlink" xfId="4955" builtinId="9" hidden="1"/>
    <cellStyle name="Followed Hyperlink" xfId="4957" builtinId="9" hidden="1"/>
    <cellStyle name="Followed Hyperlink" xfId="4959" builtinId="9" hidden="1"/>
    <cellStyle name="Followed Hyperlink" xfId="4907" builtinId="9" hidden="1"/>
    <cellStyle name="Followed Hyperlink" xfId="4872" builtinId="9" hidden="1"/>
    <cellStyle name="Followed Hyperlink" xfId="4961" builtinId="9" hidden="1"/>
    <cellStyle name="Followed Hyperlink" xfId="4963" builtinId="9" hidden="1"/>
    <cellStyle name="Followed Hyperlink" xfId="4965" builtinId="9" hidden="1"/>
    <cellStyle name="Followed Hyperlink" xfId="4967" builtinId="9" hidden="1"/>
    <cellStyle name="Followed Hyperlink" xfId="4899" builtinId="9" hidden="1"/>
    <cellStyle name="Followed Hyperlink" xfId="4879" builtinId="9" hidden="1"/>
    <cellStyle name="Followed Hyperlink" xfId="4969" builtinId="9" hidden="1"/>
    <cellStyle name="Followed Hyperlink" xfId="4971" builtinId="9" hidden="1"/>
    <cellStyle name="Followed Hyperlink" xfId="4973" builtinId="9" hidden="1"/>
    <cellStyle name="Followed Hyperlink" xfId="4975" builtinId="9" hidden="1"/>
    <cellStyle name="Followed Hyperlink" xfId="4881" builtinId="9" hidden="1"/>
    <cellStyle name="Followed Hyperlink" xfId="4903" builtinId="9" hidden="1"/>
    <cellStyle name="Followed Hyperlink" xfId="4977" builtinId="9" hidden="1"/>
    <cellStyle name="Followed Hyperlink" xfId="4979" builtinId="9" hidden="1"/>
    <cellStyle name="Followed Hyperlink" xfId="4981" builtinId="9" hidden="1"/>
    <cellStyle name="Followed Hyperlink" xfId="4983" builtinId="9" hidden="1"/>
    <cellStyle name="Followed Hyperlink" xfId="4896" builtinId="9" hidden="1"/>
    <cellStyle name="Followed Hyperlink" xfId="4876" builtinId="9" hidden="1"/>
    <cellStyle name="Followed Hyperlink" xfId="4985" builtinId="9" hidden="1"/>
    <cellStyle name="Followed Hyperlink" xfId="4987" builtinId="9" hidden="1"/>
    <cellStyle name="Followed Hyperlink" xfId="4989" builtinId="9" hidden="1"/>
    <cellStyle name="Followed Hyperlink" xfId="4991" builtinId="9" hidden="1"/>
    <cellStyle name="Followed Hyperlink" xfId="4887" builtinId="9" hidden="1"/>
    <cellStyle name="Followed Hyperlink" xfId="4911" builtinId="9" hidden="1"/>
    <cellStyle name="Followed Hyperlink" xfId="4993" builtinId="9" hidden="1"/>
    <cellStyle name="Followed Hyperlink" xfId="4995" builtinId="9" hidden="1"/>
    <cellStyle name="Followed Hyperlink" xfId="4997" builtinId="9" hidden="1"/>
    <cellStyle name="Followed Hyperlink" xfId="4999" builtinId="9" hidden="1"/>
    <cellStyle name="Followed Hyperlink" xfId="4885" builtinId="9" hidden="1"/>
    <cellStyle name="Followed Hyperlink" xfId="4884" builtinId="9" hidden="1"/>
    <cellStyle name="Followed Hyperlink" xfId="5001" builtinId="9" hidden="1"/>
    <cellStyle name="Followed Hyperlink" xfId="5003" builtinId="9" hidden="1"/>
    <cellStyle name="Followed Hyperlink" xfId="5005" builtinId="9" hidden="1"/>
    <cellStyle name="Followed Hyperlink" xfId="5007" builtinId="9" hidden="1"/>
    <cellStyle name="Followed Hyperlink" xfId="4883" builtinId="9" hidden="1"/>
    <cellStyle name="Followed Hyperlink" xfId="4905" builtinId="9" hidden="1"/>
    <cellStyle name="Followed Hyperlink" xfId="5009" builtinId="9" hidden="1"/>
    <cellStyle name="Followed Hyperlink" xfId="5011" builtinId="9" hidden="1"/>
    <cellStyle name="Followed Hyperlink" xfId="5013" builtinId="9" hidden="1"/>
    <cellStyle name="Followed Hyperlink" xfId="5015" builtinId="9" hidden="1"/>
    <cellStyle name="Followed Hyperlink" xfId="5017" builtinId="9" hidden="1"/>
    <cellStyle name="Followed Hyperlink" xfId="5019" builtinId="9" hidden="1"/>
    <cellStyle name="Followed Hyperlink" xfId="5085" builtinId="9" hidden="1"/>
    <cellStyle name="Followed Hyperlink" xfId="5087" builtinId="9" hidden="1"/>
    <cellStyle name="Followed Hyperlink" xfId="5089" builtinId="9" hidden="1"/>
    <cellStyle name="Followed Hyperlink" xfId="5091" builtinId="9" hidden="1"/>
    <cellStyle name="Followed Hyperlink" xfId="5094" builtinId="9" hidden="1"/>
    <cellStyle name="Followed Hyperlink" xfId="5096" builtinId="9" hidden="1"/>
    <cellStyle name="Followed Hyperlink" xfId="5170" builtinId="9" hidden="1"/>
    <cellStyle name="Followed Hyperlink" xfId="5172" builtinId="9" hidden="1"/>
    <cellStyle name="Followed Hyperlink" xfId="5174" builtinId="9" hidden="1"/>
    <cellStyle name="Followed Hyperlink" xfId="5176" builtinId="9" hidden="1"/>
    <cellStyle name="Followed Hyperlink" xfId="5178" builtinId="9" hidden="1"/>
    <cellStyle name="Followed Hyperlink" xfId="5180" builtinId="9" hidden="1"/>
    <cellStyle name="Followed Hyperlink" xfId="5230" builtinId="9" hidden="1"/>
    <cellStyle name="Followed Hyperlink" xfId="5232" builtinId="9" hidden="1"/>
    <cellStyle name="Followed Hyperlink" xfId="5234" builtinId="9" hidden="1"/>
    <cellStyle name="Followed Hyperlink" xfId="5236" builtinId="9" hidden="1"/>
    <cellStyle name="Followed Hyperlink" xfId="5205" builtinId="9" hidden="1"/>
    <cellStyle name="Followed Hyperlink" xfId="5194" builtinId="9" hidden="1"/>
    <cellStyle name="Followed Hyperlink" xfId="5238" builtinId="9" hidden="1"/>
    <cellStyle name="Followed Hyperlink" xfId="5240" builtinId="9" hidden="1"/>
    <cellStyle name="Followed Hyperlink" xfId="5242" builtinId="9" hidden="1"/>
    <cellStyle name="Followed Hyperlink" xfId="5244" builtinId="9" hidden="1"/>
    <cellStyle name="Followed Hyperlink" xfId="5188" builtinId="9" hidden="1"/>
    <cellStyle name="Followed Hyperlink" xfId="5191" builtinId="9" hidden="1"/>
    <cellStyle name="Followed Hyperlink" xfId="5246" builtinId="9" hidden="1"/>
    <cellStyle name="Followed Hyperlink" xfId="5248" builtinId="9" hidden="1"/>
    <cellStyle name="Followed Hyperlink" xfId="5250" builtinId="9" hidden="1"/>
    <cellStyle name="Followed Hyperlink" xfId="5252" builtinId="9" hidden="1"/>
    <cellStyle name="Followed Hyperlink" xfId="5206" builtinId="9" hidden="1"/>
    <cellStyle name="Followed Hyperlink" xfId="5219" builtinId="9" hidden="1"/>
    <cellStyle name="Followed Hyperlink" xfId="5254" builtinId="9" hidden="1"/>
    <cellStyle name="Followed Hyperlink" xfId="5256" builtinId="9" hidden="1"/>
    <cellStyle name="Followed Hyperlink" xfId="5258" builtinId="9" hidden="1"/>
    <cellStyle name="Followed Hyperlink" xfId="5260" builtinId="9" hidden="1"/>
    <cellStyle name="Followed Hyperlink" xfId="5218" builtinId="9" hidden="1"/>
    <cellStyle name="Followed Hyperlink" xfId="5185" builtinId="9" hidden="1"/>
    <cellStyle name="Followed Hyperlink" xfId="5262" builtinId="9" hidden="1"/>
    <cellStyle name="Followed Hyperlink" xfId="5264" builtinId="9" hidden="1"/>
    <cellStyle name="Followed Hyperlink" xfId="5266" builtinId="9" hidden="1"/>
    <cellStyle name="Followed Hyperlink" xfId="5268" builtinId="9" hidden="1"/>
    <cellStyle name="Followed Hyperlink" xfId="5190" builtinId="9" hidden="1"/>
    <cellStyle name="Followed Hyperlink" xfId="5221" builtinId="9" hidden="1"/>
    <cellStyle name="Followed Hyperlink" xfId="5270" builtinId="9" hidden="1"/>
    <cellStyle name="Followed Hyperlink" xfId="5272" builtinId="9" hidden="1"/>
    <cellStyle name="Followed Hyperlink" xfId="5274" builtinId="9" hidden="1"/>
    <cellStyle name="Followed Hyperlink" xfId="5276" builtinId="9" hidden="1"/>
    <cellStyle name="Followed Hyperlink" xfId="5224" builtinId="9" hidden="1"/>
    <cellStyle name="Followed Hyperlink" xfId="5189" builtinId="9" hidden="1"/>
    <cellStyle name="Followed Hyperlink" xfId="5278" builtinId="9" hidden="1"/>
    <cellStyle name="Followed Hyperlink" xfId="5280" builtinId="9" hidden="1"/>
    <cellStyle name="Followed Hyperlink" xfId="5282" builtinId="9" hidden="1"/>
    <cellStyle name="Followed Hyperlink" xfId="5284" builtinId="9" hidden="1"/>
    <cellStyle name="Followed Hyperlink" xfId="5216" builtinId="9" hidden="1"/>
    <cellStyle name="Followed Hyperlink" xfId="5196" builtinId="9" hidden="1"/>
    <cellStyle name="Followed Hyperlink" xfId="5286" builtinId="9" hidden="1"/>
    <cellStyle name="Followed Hyperlink" xfId="5288" builtinId="9" hidden="1"/>
    <cellStyle name="Followed Hyperlink" xfId="5290" builtinId="9" hidden="1"/>
    <cellStyle name="Followed Hyperlink" xfId="5292" builtinId="9" hidden="1"/>
    <cellStyle name="Followed Hyperlink" xfId="5198" builtinId="9" hidden="1"/>
    <cellStyle name="Followed Hyperlink" xfId="5220" builtinId="9" hidden="1"/>
    <cellStyle name="Followed Hyperlink" xfId="5294" builtinId="9" hidden="1"/>
    <cellStyle name="Followed Hyperlink" xfId="5296" builtinId="9" hidden="1"/>
    <cellStyle name="Followed Hyperlink" xfId="5298" builtinId="9" hidden="1"/>
    <cellStyle name="Followed Hyperlink" xfId="5300" builtinId="9" hidden="1"/>
    <cellStyle name="Followed Hyperlink" xfId="5213" builtinId="9" hidden="1"/>
    <cellStyle name="Followed Hyperlink" xfId="5193" builtinId="9" hidden="1"/>
    <cellStyle name="Followed Hyperlink" xfId="5302" builtinId="9" hidden="1"/>
    <cellStyle name="Followed Hyperlink" xfId="5304" builtinId="9" hidden="1"/>
    <cellStyle name="Followed Hyperlink" xfId="5306" builtinId="9" hidden="1"/>
    <cellStyle name="Followed Hyperlink" xfId="5308" builtinId="9" hidden="1"/>
    <cellStyle name="Followed Hyperlink" xfId="5204" builtinId="9" hidden="1"/>
    <cellStyle name="Followed Hyperlink" xfId="5228" builtinId="9" hidden="1"/>
    <cellStyle name="Followed Hyperlink" xfId="5310" builtinId="9" hidden="1"/>
    <cellStyle name="Followed Hyperlink" xfId="5312" builtinId="9" hidden="1"/>
    <cellStyle name="Followed Hyperlink" xfId="5314" builtinId="9" hidden="1"/>
    <cellStyle name="Followed Hyperlink" xfId="5316" builtinId="9" hidden="1"/>
    <cellStyle name="Followed Hyperlink" xfId="5202" builtinId="9" hidden="1"/>
    <cellStyle name="Followed Hyperlink" xfId="5201" builtinId="9" hidden="1"/>
    <cellStyle name="Followed Hyperlink" xfId="5318" builtinId="9" hidden="1"/>
    <cellStyle name="Followed Hyperlink" xfId="5320" builtinId="9" hidden="1"/>
    <cellStyle name="Followed Hyperlink" xfId="5322" builtinId="9" hidden="1"/>
    <cellStyle name="Followed Hyperlink" xfId="5324" builtinId="9" hidden="1"/>
    <cellStyle name="Followed Hyperlink" xfId="5200" builtinId="9" hidden="1"/>
    <cellStyle name="Followed Hyperlink" xfId="5222" builtinId="9" hidden="1"/>
    <cellStyle name="Followed Hyperlink" xfId="5326" builtinId="9" hidden="1"/>
    <cellStyle name="Followed Hyperlink" xfId="5328" builtinId="9" hidden="1"/>
    <cellStyle name="Followed Hyperlink" xfId="5330" builtinId="9" hidden="1"/>
    <cellStyle name="Followed Hyperlink" xfId="5332" builtinId="9" hidden="1"/>
    <cellStyle name="Followed Hyperlink" xfId="5109" builtinId="9" hidden="1"/>
    <cellStyle name="Followed Hyperlink" xfId="5056" builtinId="9" hidden="1"/>
    <cellStyle name="Followed Hyperlink" xfId="5111" builtinId="9" hidden="1"/>
    <cellStyle name="Followed Hyperlink" xfId="5062" builtinId="9" hidden="1"/>
    <cellStyle name="Followed Hyperlink" xfId="5167" builtinId="9" hidden="1"/>
    <cellStyle name="Followed Hyperlink" xfId="5047" builtinId="9" hidden="1"/>
    <cellStyle name="Followed Hyperlink" xfId="5100" builtinId="9" hidden="1"/>
    <cellStyle name="Followed Hyperlink" xfId="5050" builtinId="9" hidden="1"/>
    <cellStyle name="Followed Hyperlink" xfId="5337" builtinId="9" hidden="1"/>
    <cellStyle name="Followed Hyperlink" xfId="5339" builtinId="9" hidden="1"/>
    <cellStyle name="Followed Hyperlink" xfId="5341" builtinId="9" hidden="1"/>
    <cellStyle name="Followed Hyperlink" xfId="5343" builtinId="9" hidden="1"/>
    <cellStyle name="Followed Hyperlink" xfId="5346" builtinId="9" hidden="1"/>
    <cellStyle name="Followed Hyperlink" xfId="5348" builtinId="9" hidden="1"/>
    <cellStyle name="Followed Hyperlink" xfId="5398" builtinId="9" hidden="1"/>
    <cellStyle name="Followed Hyperlink" xfId="5400" builtinId="9" hidden="1"/>
    <cellStyle name="Followed Hyperlink" xfId="5402" builtinId="9" hidden="1"/>
    <cellStyle name="Followed Hyperlink" xfId="5404" builtinId="9" hidden="1"/>
    <cellStyle name="Followed Hyperlink" xfId="5373" builtinId="9" hidden="1"/>
    <cellStyle name="Followed Hyperlink" xfId="5362" builtinId="9" hidden="1"/>
    <cellStyle name="Followed Hyperlink" xfId="5406" builtinId="9" hidden="1"/>
    <cellStyle name="Followed Hyperlink" xfId="5408" builtinId="9" hidden="1"/>
    <cellStyle name="Followed Hyperlink" xfId="5410" builtinId="9" hidden="1"/>
    <cellStyle name="Followed Hyperlink" xfId="5412" builtinId="9" hidden="1"/>
    <cellStyle name="Followed Hyperlink" xfId="5356" builtinId="9" hidden="1"/>
    <cellStyle name="Followed Hyperlink" xfId="5359" builtinId="9" hidden="1"/>
    <cellStyle name="Followed Hyperlink" xfId="5414" builtinId="9" hidden="1"/>
    <cellStyle name="Followed Hyperlink" xfId="5416" builtinId="9" hidden="1"/>
    <cellStyle name="Followed Hyperlink" xfId="5418" builtinId="9" hidden="1"/>
    <cellStyle name="Followed Hyperlink" xfId="5420" builtinId="9" hidden="1"/>
    <cellStyle name="Followed Hyperlink" xfId="5374" builtinId="9" hidden="1"/>
    <cellStyle name="Followed Hyperlink" xfId="5387" builtinId="9" hidden="1"/>
    <cellStyle name="Followed Hyperlink" xfId="5422" builtinId="9" hidden="1"/>
    <cellStyle name="Followed Hyperlink" xfId="5424" builtinId="9" hidden="1"/>
    <cellStyle name="Followed Hyperlink" xfId="5426" builtinId="9" hidden="1"/>
    <cellStyle name="Followed Hyperlink" xfId="5428" builtinId="9" hidden="1"/>
    <cellStyle name="Followed Hyperlink" xfId="5386" builtinId="9" hidden="1"/>
    <cellStyle name="Followed Hyperlink" xfId="5353" builtinId="9" hidden="1"/>
    <cellStyle name="Followed Hyperlink" xfId="5430" builtinId="9" hidden="1"/>
    <cellStyle name="Followed Hyperlink" xfId="5432" builtinId="9" hidden="1"/>
    <cellStyle name="Followed Hyperlink" xfId="5434" builtinId="9" hidden="1"/>
    <cellStyle name="Followed Hyperlink" xfId="5436" builtinId="9" hidden="1"/>
    <cellStyle name="Followed Hyperlink" xfId="5358" builtinId="9" hidden="1"/>
    <cellStyle name="Followed Hyperlink" xfId="5389" builtinId="9" hidden="1"/>
    <cellStyle name="Followed Hyperlink" xfId="5438" builtinId="9" hidden="1"/>
    <cellStyle name="Followed Hyperlink" xfId="5440" builtinId="9" hidden="1"/>
    <cellStyle name="Followed Hyperlink" xfId="5442" builtinId="9" hidden="1"/>
    <cellStyle name="Followed Hyperlink" xfId="5444" builtinId="9" hidden="1"/>
    <cellStyle name="Followed Hyperlink" xfId="5392" builtinId="9" hidden="1"/>
    <cellStyle name="Followed Hyperlink" xfId="5357" builtinId="9" hidden="1"/>
    <cellStyle name="Followed Hyperlink" xfId="5446" builtinId="9" hidden="1"/>
    <cellStyle name="Followed Hyperlink" xfId="5448" builtinId="9" hidden="1"/>
    <cellStyle name="Followed Hyperlink" xfId="5450" builtinId="9" hidden="1"/>
    <cellStyle name="Followed Hyperlink" xfId="5452" builtinId="9" hidden="1"/>
    <cellStyle name="Followed Hyperlink" xfId="5384" builtinId="9" hidden="1"/>
    <cellStyle name="Followed Hyperlink" xfId="5364" builtinId="9" hidden="1"/>
    <cellStyle name="Followed Hyperlink" xfId="5454" builtinId="9" hidden="1"/>
    <cellStyle name="Followed Hyperlink" xfId="5456" builtinId="9" hidden="1"/>
    <cellStyle name="Followed Hyperlink" xfId="5458" builtinId="9" hidden="1"/>
    <cellStyle name="Followed Hyperlink" xfId="5460" builtinId="9" hidden="1"/>
    <cellStyle name="Followed Hyperlink" xfId="5366" builtinId="9" hidden="1"/>
    <cellStyle name="Followed Hyperlink" xfId="5388" builtinId="9" hidden="1"/>
    <cellStyle name="Followed Hyperlink" xfId="5462" builtinId="9" hidden="1"/>
    <cellStyle name="Followed Hyperlink" xfId="5464" builtinId="9" hidden="1"/>
    <cellStyle name="Followed Hyperlink" xfId="5466" builtinId="9" hidden="1"/>
    <cellStyle name="Followed Hyperlink" xfId="5468" builtinId="9" hidden="1"/>
    <cellStyle name="Followed Hyperlink" xfId="5381" builtinId="9" hidden="1"/>
    <cellStyle name="Followed Hyperlink" xfId="5361" builtinId="9" hidden="1"/>
    <cellStyle name="Followed Hyperlink" xfId="5470" builtinId="9" hidden="1"/>
    <cellStyle name="Followed Hyperlink" xfId="5472" builtinId="9" hidden="1"/>
    <cellStyle name="Followed Hyperlink" xfId="5474" builtinId="9" hidden="1"/>
    <cellStyle name="Followed Hyperlink" xfId="5476" builtinId="9" hidden="1"/>
    <cellStyle name="Followed Hyperlink" xfId="5372" builtinId="9" hidden="1"/>
    <cellStyle name="Followed Hyperlink" xfId="5396" builtinId="9" hidden="1"/>
    <cellStyle name="Followed Hyperlink" xfId="5478" builtinId="9" hidden="1"/>
    <cellStyle name="Followed Hyperlink" xfId="5480" builtinId="9" hidden="1"/>
    <cellStyle name="Followed Hyperlink" xfId="5482" builtinId="9" hidden="1"/>
    <cellStyle name="Followed Hyperlink" xfId="5484" builtinId="9" hidden="1"/>
    <cellStyle name="Followed Hyperlink" xfId="5370" builtinId="9" hidden="1"/>
    <cellStyle name="Followed Hyperlink" xfId="5369" builtinId="9" hidden="1"/>
    <cellStyle name="Followed Hyperlink" xfId="5486" builtinId="9" hidden="1"/>
    <cellStyle name="Followed Hyperlink" xfId="5488" builtinId="9" hidden="1"/>
    <cellStyle name="Followed Hyperlink" xfId="5490" builtinId="9" hidden="1"/>
    <cellStyle name="Followed Hyperlink" xfId="5492" builtinId="9" hidden="1"/>
    <cellStyle name="Followed Hyperlink" xfId="5368" builtinId="9" hidden="1"/>
    <cellStyle name="Followed Hyperlink" xfId="5390" builtinId="9" hidden="1"/>
    <cellStyle name="Followed Hyperlink" xfId="5494" builtinId="9" hidden="1"/>
    <cellStyle name="Followed Hyperlink" xfId="5496" builtinId="9" hidden="1"/>
    <cellStyle name="Followed Hyperlink" xfId="5498" builtinId="9" hidden="1"/>
    <cellStyle name="Followed Hyperlink" xfId="5500" builtinId="9" hidden="1"/>
    <cellStyle name="Followed Hyperlink" xfId="2448" builtinId="9" hidden="1"/>
    <cellStyle name="Followed Hyperlink" xfId="5150" builtinId="9" hidden="1"/>
    <cellStyle name="Followed Hyperlink" xfId="5335" builtinId="9" hidden="1"/>
    <cellStyle name="Followed Hyperlink" xfId="5048" builtinId="9" hidden="1"/>
    <cellStyle name="Followed Hyperlink" xfId="5105" builtinId="9" hidden="1"/>
    <cellStyle name="Followed Hyperlink" xfId="5061" builtinId="9" hidden="1"/>
    <cellStyle name="Followed Hyperlink" xfId="5097" builtinId="9" hidden="1"/>
    <cellStyle name="Followed Hyperlink" xfId="5078" builtinId="9" hidden="1"/>
    <cellStyle name="Followed Hyperlink" xfId="5511" builtinId="9" hidden="1"/>
    <cellStyle name="Followed Hyperlink" xfId="5513" builtinId="9" hidden="1"/>
    <cellStyle name="Followed Hyperlink" xfId="5515" builtinId="9" hidden="1"/>
    <cellStyle name="Followed Hyperlink" xfId="5517" builtinId="9" hidden="1"/>
    <cellStyle name="Followed Hyperlink" xfId="5519" builtinId="9" hidden="1"/>
    <cellStyle name="Followed Hyperlink" xfId="5521" builtinId="9" hidden="1"/>
    <cellStyle name="Followed Hyperlink" xfId="5571" builtinId="9" hidden="1"/>
    <cellStyle name="Followed Hyperlink" xfId="5573" builtinId="9" hidden="1"/>
    <cellStyle name="Followed Hyperlink" xfId="5575" builtinId="9" hidden="1"/>
    <cellStyle name="Followed Hyperlink" xfId="5577" builtinId="9" hidden="1"/>
    <cellStyle name="Followed Hyperlink" xfId="5546" builtinId="9" hidden="1"/>
    <cellStyle name="Followed Hyperlink" xfId="5535" builtinId="9" hidden="1"/>
    <cellStyle name="Followed Hyperlink" xfId="5579" builtinId="9" hidden="1"/>
    <cellStyle name="Followed Hyperlink" xfId="5581" builtinId="9" hidden="1"/>
    <cellStyle name="Followed Hyperlink" xfId="5583" builtinId="9" hidden="1"/>
    <cellStyle name="Followed Hyperlink" xfId="5585" builtinId="9" hidden="1"/>
    <cellStyle name="Followed Hyperlink" xfId="5529" builtinId="9" hidden="1"/>
    <cellStyle name="Followed Hyperlink" xfId="5532" builtinId="9" hidden="1"/>
    <cellStyle name="Followed Hyperlink" xfId="5587" builtinId="9" hidden="1"/>
    <cellStyle name="Followed Hyperlink" xfId="5589" builtinId="9" hidden="1"/>
    <cellStyle name="Followed Hyperlink" xfId="5591" builtinId="9" hidden="1"/>
    <cellStyle name="Followed Hyperlink" xfId="5593" builtinId="9" hidden="1"/>
    <cellStyle name="Followed Hyperlink" xfId="5547" builtinId="9" hidden="1"/>
    <cellStyle name="Followed Hyperlink" xfId="5560" builtinId="9" hidden="1"/>
    <cellStyle name="Followed Hyperlink" xfId="5595" builtinId="9" hidden="1"/>
    <cellStyle name="Followed Hyperlink" xfId="5597" builtinId="9" hidden="1"/>
    <cellStyle name="Followed Hyperlink" xfId="5599" builtinId="9" hidden="1"/>
    <cellStyle name="Followed Hyperlink" xfId="5601" builtinId="9" hidden="1"/>
    <cellStyle name="Followed Hyperlink" xfId="5559" builtinId="9" hidden="1"/>
    <cellStyle name="Followed Hyperlink" xfId="5526" builtinId="9" hidden="1"/>
    <cellStyle name="Followed Hyperlink" xfId="5603" builtinId="9" hidden="1"/>
    <cellStyle name="Followed Hyperlink" xfId="5605" builtinId="9" hidden="1"/>
    <cellStyle name="Followed Hyperlink" xfId="5607" builtinId="9" hidden="1"/>
    <cellStyle name="Followed Hyperlink" xfId="5609" builtinId="9" hidden="1"/>
    <cellStyle name="Followed Hyperlink" xfId="5531" builtinId="9" hidden="1"/>
    <cellStyle name="Followed Hyperlink" xfId="5562" builtinId="9" hidden="1"/>
    <cellStyle name="Followed Hyperlink" xfId="5611" builtinId="9" hidden="1"/>
    <cellStyle name="Followed Hyperlink" xfId="5613" builtinId="9" hidden="1"/>
    <cellStyle name="Followed Hyperlink" xfId="5615" builtinId="9" hidden="1"/>
    <cellStyle name="Followed Hyperlink" xfId="5617" builtinId="9" hidden="1"/>
    <cellStyle name="Followed Hyperlink" xfId="5565" builtinId="9" hidden="1"/>
    <cellStyle name="Followed Hyperlink" xfId="5530" builtinId="9" hidden="1"/>
    <cellStyle name="Followed Hyperlink" xfId="5619" builtinId="9" hidden="1"/>
    <cellStyle name="Followed Hyperlink" xfId="5621" builtinId="9" hidden="1"/>
    <cellStyle name="Followed Hyperlink" xfId="5623" builtinId="9" hidden="1"/>
    <cellStyle name="Followed Hyperlink" xfId="5625" builtinId="9" hidden="1"/>
    <cellStyle name="Followed Hyperlink" xfId="5557" builtinId="9" hidden="1"/>
    <cellStyle name="Followed Hyperlink" xfId="5537" builtinId="9" hidden="1"/>
    <cellStyle name="Followed Hyperlink" xfId="5627" builtinId="9" hidden="1"/>
    <cellStyle name="Followed Hyperlink" xfId="5629" builtinId="9" hidden="1"/>
    <cellStyle name="Followed Hyperlink" xfId="5631" builtinId="9" hidden="1"/>
    <cellStyle name="Followed Hyperlink" xfId="5633" builtinId="9" hidden="1"/>
    <cellStyle name="Followed Hyperlink" xfId="5539" builtinId="9" hidden="1"/>
    <cellStyle name="Followed Hyperlink" xfId="5561" builtinId="9" hidden="1"/>
    <cellStyle name="Followed Hyperlink" xfId="5635" builtinId="9" hidden="1"/>
    <cellStyle name="Followed Hyperlink" xfId="5637" builtinId="9" hidden="1"/>
    <cellStyle name="Followed Hyperlink" xfId="5639" builtinId="9" hidden="1"/>
    <cellStyle name="Followed Hyperlink" xfId="5641" builtinId="9" hidden="1"/>
    <cellStyle name="Followed Hyperlink" xfId="5554" builtinId="9" hidden="1"/>
    <cellStyle name="Followed Hyperlink" xfId="5534" builtinId="9" hidden="1"/>
    <cellStyle name="Followed Hyperlink" xfId="5643" builtinId="9" hidden="1"/>
    <cellStyle name="Followed Hyperlink" xfId="5645" builtinId="9" hidden="1"/>
    <cellStyle name="Followed Hyperlink" xfId="5647" builtinId="9" hidden="1"/>
    <cellStyle name="Followed Hyperlink" xfId="5649" builtinId="9" hidden="1"/>
    <cellStyle name="Followed Hyperlink" xfId="5545" builtinId="9" hidden="1"/>
    <cellStyle name="Followed Hyperlink" xfId="5569" builtinId="9" hidden="1"/>
    <cellStyle name="Followed Hyperlink" xfId="5651" builtinId="9" hidden="1"/>
    <cellStyle name="Followed Hyperlink" xfId="5653" builtinId="9" hidden="1"/>
    <cellStyle name="Followed Hyperlink" xfId="5655" builtinId="9" hidden="1"/>
    <cellStyle name="Followed Hyperlink" xfId="5657" builtinId="9" hidden="1"/>
    <cellStyle name="Followed Hyperlink" xfId="5543" builtinId="9" hidden="1"/>
    <cellStyle name="Followed Hyperlink" xfId="5542" builtinId="9" hidden="1"/>
    <cellStyle name="Followed Hyperlink" xfId="5659" builtinId="9" hidden="1"/>
    <cellStyle name="Followed Hyperlink" xfId="5661" builtinId="9" hidden="1"/>
    <cellStyle name="Followed Hyperlink" xfId="5663" builtinId="9" hidden="1"/>
    <cellStyle name="Followed Hyperlink" xfId="5665" builtinId="9" hidden="1"/>
    <cellStyle name="Followed Hyperlink" xfId="5541" builtinId="9" hidden="1"/>
    <cellStyle name="Followed Hyperlink" xfId="5563" builtinId="9" hidden="1"/>
    <cellStyle name="Followed Hyperlink" xfId="5667" builtinId="9" hidden="1"/>
    <cellStyle name="Followed Hyperlink" xfId="5669" builtinId="9" hidden="1"/>
    <cellStyle name="Followed Hyperlink" xfId="5671" builtinId="9" hidden="1"/>
    <cellStyle name="Followed Hyperlink" xfId="5673" builtinId="9" hidden="1"/>
    <cellStyle name="Followed Hyperlink" xfId="5159" builtinId="9" hidden="1"/>
    <cellStyle name="Followed Hyperlink" xfId="5054" builtinId="9" hidden="1"/>
    <cellStyle name="Followed Hyperlink" xfId="5125" builtinId="9" hidden="1"/>
    <cellStyle name="Followed Hyperlink" xfId="5127" builtinId="9" hidden="1"/>
    <cellStyle name="Followed Hyperlink" xfId="5507" builtinId="9" hidden="1"/>
    <cellStyle name="Followed Hyperlink" xfId="5073" builtinId="9" hidden="1"/>
    <cellStyle name="Followed Hyperlink" xfId="5079" builtinId="9" hidden="1"/>
    <cellStyle name="Followed Hyperlink" xfId="5055" builtinId="9" hidden="1"/>
    <cellStyle name="Followed Hyperlink" xfId="5681" builtinId="9" hidden="1"/>
    <cellStyle name="Followed Hyperlink" xfId="5683" builtinId="9" hidden="1"/>
    <cellStyle name="Followed Hyperlink" xfId="5685" builtinId="9" hidden="1"/>
    <cellStyle name="Followed Hyperlink" xfId="5687" builtinId="9" hidden="1"/>
    <cellStyle name="Followed Hyperlink" xfId="5689" builtinId="9" hidden="1"/>
    <cellStyle name="Followed Hyperlink" xfId="5691" builtinId="9" hidden="1"/>
    <cellStyle name="Followed Hyperlink" xfId="5741" builtinId="9" hidden="1"/>
    <cellStyle name="Followed Hyperlink" xfId="5743" builtinId="9" hidden="1"/>
    <cellStyle name="Followed Hyperlink" xfId="5745" builtinId="9" hidden="1"/>
    <cellStyle name="Followed Hyperlink" xfId="5747" builtinId="9" hidden="1"/>
    <cellStyle name="Followed Hyperlink" xfId="5716" builtinId="9" hidden="1"/>
    <cellStyle name="Followed Hyperlink" xfId="5705" builtinId="9" hidden="1"/>
    <cellStyle name="Followed Hyperlink" xfId="5749" builtinId="9" hidden="1"/>
    <cellStyle name="Followed Hyperlink" xfId="5751" builtinId="9" hidden="1"/>
    <cellStyle name="Followed Hyperlink" xfId="5753" builtinId="9" hidden="1"/>
    <cellStyle name="Followed Hyperlink" xfId="5755" builtinId="9" hidden="1"/>
    <cellStyle name="Followed Hyperlink" xfId="5699" builtinId="9" hidden="1"/>
    <cellStyle name="Followed Hyperlink" xfId="5702" builtinId="9" hidden="1"/>
    <cellStyle name="Followed Hyperlink" xfId="5757" builtinId="9" hidden="1"/>
    <cellStyle name="Followed Hyperlink" xfId="5759" builtinId="9" hidden="1"/>
    <cellStyle name="Followed Hyperlink" xfId="5761" builtinId="9" hidden="1"/>
    <cellStyle name="Followed Hyperlink" xfId="5763" builtinId="9" hidden="1"/>
    <cellStyle name="Followed Hyperlink" xfId="5717" builtinId="9" hidden="1"/>
    <cellStyle name="Followed Hyperlink" xfId="5730" builtinId="9" hidden="1"/>
    <cellStyle name="Followed Hyperlink" xfId="5765" builtinId="9" hidden="1"/>
    <cellStyle name="Followed Hyperlink" xfId="5767" builtinId="9" hidden="1"/>
    <cellStyle name="Followed Hyperlink" xfId="5769" builtinId="9" hidden="1"/>
    <cellStyle name="Followed Hyperlink" xfId="5771" builtinId="9" hidden="1"/>
    <cellStyle name="Followed Hyperlink" xfId="5729" builtinId="9" hidden="1"/>
    <cellStyle name="Followed Hyperlink" xfId="5696" builtinId="9" hidden="1"/>
    <cellStyle name="Followed Hyperlink" xfId="5773" builtinId="9" hidden="1"/>
    <cellStyle name="Followed Hyperlink" xfId="5775" builtinId="9" hidden="1"/>
    <cellStyle name="Followed Hyperlink" xfId="5777" builtinId="9" hidden="1"/>
    <cellStyle name="Followed Hyperlink" xfId="5779" builtinId="9" hidden="1"/>
    <cellStyle name="Followed Hyperlink" xfId="5701" builtinId="9" hidden="1"/>
    <cellStyle name="Followed Hyperlink" xfId="5732" builtinId="9" hidden="1"/>
    <cellStyle name="Followed Hyperlink" xfId="5781" builtinId="9" hidden="1"/>
    <cellStyle name="Followed Hyperlink" xfId="5783" builtinId="9" hidden="1"/>
    <cellStyle name="Followed Hyperlink" xfId="5785" builtinId="9" hidden="1"/>
    <cellStyle name="Followed Hyperlink" xfId="5787" builtinId="9" hidden="1"/>
    <cellStyle name="Followed Hyperlink" xfId="5735" builtinId="9" hidden="1"/>
    <cellStyle name="Followed Hyperlink" xfId="5700" builtinId="9" hidden="1"/>
    <cellStyle name="Followed Hyperlink" xfId="5789" builtinId="9" hidden="1"/>
    <cellStyle name="Followed Hyperlink" xfId="5791" builtinId="9" hidden="1"/>
    <cellStyle name="Followed Hyperlink" xfId="5793" builtinId="9" hidden="1"/>
    <cellStyle name="Followed Hyperlink" xfId="5795" builtinId="9" hidden="1"/>
    <cellStyle name="Followed Hyperlink" xfId="5727" builtinId="9" hidden="1"/>
    <cellStyle name="Followed Hyperlink" xfId="5707" builtinId="9" hidden="1"/>
    <cellStyle name="Followed Hyperlink" xfId="5797" builtinId="9" hidden="1"/>
    <cellStyle name="Followed Hyperlink" xfId="5799" builtinId="9" hidden="1"/>
    <cellStyle name="Followed Hyperlink" xfId="5801" builtinId="9" hidden="1"/>
    <cellStyle name="Followed Hyperlink" xfId="5803" builtinId="9" hidden="1"/>
    <cellStyle name="Followed Hyperlink" xfId="5709" builtinId="9" hidden="1"/>
    <cellStyle name="Followed Hyperlink" xfId="5731" builtinId="9" hidden="1"/>
    <cellStyle name="Followed Hyperlink" xfId="5805" builtinId="9" hidden="1"/>
    <cellStyle name="Followed Hyperlink" xfId="5807" builtinId="9" hidden="1"/>
    <cellStyle name="Followed Hyperlink" xfId="5809" builtinId="9" hidden="1"/>
    <cellStyle name="Followed Hyperlink" xfId="5811" builtinId="9" hidden="1"/>
    <cellStyle name="Followed Hyperlink" xfId="5724" builtinId="9" hidden="1"/>
    <cellStyle name="Followed Hyperlink" xfId="5704" builtinId="9" hidden="1"/>
    <cellStyle name="Followed Hyperlink" xfId="5813" builtinId="9" hidden="1"/>
    <cellStyle name="Followed Hyperlink" xfId="5815" builtinId="9" hidden="1"/>
    <cellStyle name="Followed Hyperlink" xfId="5817" builtinId="9" hidden="1"/>
    <cellStyle name="Followed Hyperlink" xfId="5819" builtinId="9" hidden="1"/>
    <cellStyle name="Followed Hyperlink" xfId="5715" builtinId="9" hidden="1"/>
    <cellStyle name="Followed Hyperlink" xfId="5739" builtinId="9" hidden="1"/>
    <cellStyle name="Followed Hyperlink" xfId="5821" builtinId="9" hidden="1"/>
    <cellStyle name="Followed Hyperlink" xfId="5823" builtinId="9" hidden="1"/>
    <cellStyle name="Followed Hyperlink" xfId="5825" builtinId="9" hidden="1"/>
    <cellStyle name="Followed Hyperlink" xfId="5827" builtinId="9" hidden="1"/>
    <cellStyle name="Followed Hyperlink" xfId="5713" builtinId="9" hidden="1"/>
    <cellStyle name="Followed Hyperlink" xfId="5712" builtinId="9" hidden="1"/>
    <cellStyle name="Followed Hyperlink" xfId="5829" builtinId="9" hidden="1"/>
    <cellStyle name="Followed Hyperlink" xfId="5831" builtinId="9" hidden="1"/>
    <cellStyle name="Followed Hyperlink" xfId="5833" builtinId="9" hidden="1"/>
    <cellStyle name="Followed Hyperlink" xfId="5835" builtinId="9" hidden="1"/>
    <cellStyle name="Followed Hyperlink" xfId="5711" builtinId="9" hidden="1"/>
    <cellStyle name="Followed Hyperlink" xfId="5733" builtinId="9" hidden="1"/>
    <cellStyle name="Followed Hyperlink" xfId="5837" builtinId="9" hidden="1"/>
    <cellStyle name="Followed Hyperlink" xfId="5839" builtinId="9" hidden="1"/>
    <cellStyle name="Followed Hyperlink" xfId="5841" builtinId="9" hidden="1"/>
    <cellStyle name="Followed Hyperlink" xfId="5843" builtinId="9" hidden="1"/>
    <cellStyle name="Followed Hyperlink" xfId="5045" builtinId="9" hidden="1"/>
    <cellStyle name="Followed Hyperlink" xfId="5126" builtinId="9" hidden="1"/>
    <cellStyle name="Followed Hyperlink" xfId="5115" builtinId="9" hidden="1"/>
    <cellStyle name="Followed Hyperlink" xfId="5074" builtinId="9" hidden="1"/>
    <cellStyle name="Followed Hyperlink" xfId="5677" builtinId="9" hidden="1"/>
    <cellStyle name="Followed Hyperlink" xfId="5068" builtinId="9" hidden="1"/>
    <cellStyle name="Followed Hyperlink" xfId="5104" builtinId="9" hidden="1"/>
    <cellStyle name="Followed Hyperlink" xfId="5053" builtinId="9" hidden="1"/>
    <cellStyle name="Followed Hyperlink" xfId="5850" builtinId="9" hidden="1"/>
    <cellStyle name="Followed Hyperlink" xfId="5852" builtinId="9" hidden="1"/>
    <cellStyle name="Followed Hyperlink" xfId="5854" builtinId="9" hidden="1"/>
    <cellStyle name="Followed Hyperlink" xfId="5856" builtinId="9" hidden="1"/>
    <cellStyle name="Followed Hyperlink" xfId="5858" builtinId="9" hidden="1"/>
    <cellStyle name="Followed Hyperlink" xfId="5860" builtinId="9" hidden="1"/>
    <cellStyle name="Followed Hyperlink" xfId="5910" builtinId="9" hidden="1"/>
    <cellStyle name="Followed Hyperlink" xfId="5912" builtinId="9" hidden="1"/>
    <cellStyle name="Followed Hyperlink" xfId="5914" builtinId="9" hidden="1"/>
    <cellStyle name="Followed Hyperlink" xfId="5916" builtinId="9" hidden="1"/>
    <cellStyle name="Followed Hyperlink" xfId="5885" builtinId="9" hidden="1"/>
    <cellStyle name="Followed Hyperlink" xfId="5874" builtinId="9" hidden="1"/>
    <cellStyle name="Followed Hyperlink" xfId="5918" builtinId="9" hidden="1"/>
    <cellStyle name="Followed Hyperlink" xfId="5920" builtinId="9" hidden="1"/>
    <cellStyle name="Followed Hyperlink" xfId="5922" builtinId="9" hidden="1"/>
    <cellStyle name="Followed Hyperlink" xfId="5924" builtinId="9" hidden="1"/>
    <cellStyle name="Followed Hyperlink" xfId="5868" builtinId="9" hidden="1"/>
    <cellStyle name="Followed Hyperlink" xfId="5871" builtinId="9" hidden="1"/>
    <cellStyle name="Followed Hyperlink" xfId="5926" builtinId="9" hidden="1"/>
    <cellStyle name="Followed Hyperlink" xfId="5928" builtinId="9" hidden="1"/>
    <cellStyle name="Followed Hyperlink" xfId="5930" builtinId="9" hidden="1"/>
    <cellStyle name="Followed Hyperlink" xfId="5932" builtinId="9" hidden="1"/>
    <cellStyle name="Followed Hyperlink" xfId="5886" builtinId="9" hidden="1"/>
    <cellStyle name="Followed Hyperlink" xfId="5899" builtinId="9" hidden="1"/>
    <cellStyle name="Followed Hyperlink" xfId="5934" builtinId="9" hidden="1"/>
    <cellStyle name="Followed Hyperlink" xfId="5936" builtinId="9" hidden="1"/>
    <cellStyle name="Followed Hyperlink" xfId="5938" builtinId="9" hidden="1"/>
    <cellStyle name="Followed Hyperlink" xfId="5940" builtinId="9" hidden="1"/>
    <cellStyle name="Followed Hyperlink" xfId="5898" builtinId="9" hidden="1"/>
    <cellStyle name="Followed Hyperlink" xfId="5865" builtinId="9" hidden="1"/>
    <cellStyle name="Followed Hyperlink" xfId="5942" builtinId="9" hidden="1"/>
    <cellStyle name="Followed Hyperlink" xfId="5944" builtinId="9" hidden="1"/>
    <cellStyle name="Followed Hyperlink" xfId="5946" builtinId="9" hidden="1"/>
    <cellStyle name="Followed Hyperlink" xfId="5948" builtinId="9" hidden="1"/>
    <cellStyle name="Followed Hyperlink" xfId="5870" builtinId="9" hidden="1"/>
    <cellStyle name="Followed Hyperlink" xfId="5901" builtinId="9" hidden="1"/>
    <cellStyle name="Followed Hyperlink" xfId="5950" builtinId="9" hidden="1"/>
    <cellStyle name="Followed Hyperlink" xfId="5952" builtinId="9" hidden="1"/>
    <cellStyle name="Followed Hyperlink" xfId="5954" builtinId="9" hidden="1"/>
    <cellStyle name="Followed Hyperlink" xfId="5956" builtinId="9" hidden="1"/>
    <cellStyle name="Followed Hyperlink" xfId="5904" builtinId="9" hidden="1"/>
    <cellStyle name="Followed Hyperlink" xfId="5869" builtinId="9" hidden="1"/>
    <cellStyle name="Followed Hyperlink" xfId="5958" builtinId="9" hidden="1"/>
    <cellStyle name="Followed Hyperlink" xfId="5960" builtinId="9" hidden="1"/>
    <cellStyle name="Followed Hyperlink" xfId="5962" builtinId="9" hidden="1"/>
    <cellStyle name="Followed Hyperlink" xfId="5964" builtinId="9" hidden="1"/>
    <cellStyle name="Followed Hyperlink" xfId="5896" builtinId="9" hidden="1"/>
    <cellStyle name="Followed Hyperlink" xfId="5876" builtinId="9" hidden="1"/>
    <cellStyle name="Followed Hyperlink" xfId="5966" builtinId="9" hidden="1"/>
    <cellStyle name="Followed Hyperlink" xfId="5968" builtinId="9" hidden="1"/>
    <cellStyle name="Followed Hyperlink" xfId="5970" builtinId="9" hidden="1"/>
    <cellStyle name="Followed Hyperlink" xfId="5972" builtinId="9" hidden="1"/>
    <cellStyle name="Followed Hyperlink" xfId="5878" builtinId="9" hidden="1"/>
    <cellStyle name="Followed Hyperlink" xfId="5900" builtinId="9" hidden="1"/>
    <cellStyle name="Followed Hyperlink" xfId="5974" builtinId="9" hidden="1"/>
    <cellStyle name="Followed Hyperlink" xfId="5976" builtinId="9" hidden="1"/>
    <cellStyle name="Followed Hyperlink" xfId="5978" builtinId="9" hidden="1"/>
    <cellStyle name="Followed Hyperlink" xfId="5980" builtinId="9" hidden="1"/>
    <cellStyle name="Followed Hyperlink" xfId="5893" builtinId="9" hidden="1"/>
    <cellStyle name="Followed Hyperlink" xfId="5873" builtinId="9" hidden="1"/>
    <cellStyle name="Followed Hyperlink" xfId="5982" builtinId="9" hidden="1"/>
    <cellStyle name="Followed Hyperlink" xfId="5984" builtinId="9" hidden="1"/>
    <cellStyle name="Followed Hyperlink" xfId="5986" builtinId="9" hidden="1"/>
    <cellStyle name="Followed Hyperlink" xfId="5988" builtinId="9" hidden="1"/>
    <cellStyle name="Followed Hyperlink" xfId="5884" builtinId="9" hidden="1"/>
    <cellStyle name="Followed Hyperlink" xfId="5908" builtinId="9" hidden="1"/>
    <cellStyle name="Followed Hyperlink" xfId="5990" builtinId="9" hidden="1"/>
    <cellStyle name="Followed Hyperlink" xfId="5992" builtinId="9" hidden="1"/>
    <cellStyle name="Followed Hyperlink" xfId="5994" builtinId="9" hidden="1"/>
    <cellStyle name="Followed Hyperlink" xfId="5996" builtinId="9" hidden="1"/>
    <cellStyle name="Followed Hyperlink" xfId="5882" builtinId="9" hidden="1"/>
    <cellStyle name="Followed Hyperlink" xfId="5881" builtinId="9" hidden="1"/>
    <cellStyle name="Followed Hyperlink" xfId="5998" builtinId="9" hidden="1"/>
    <cellStyle name="Followed Hyperlink" xfId="6000" builtinId="9" hidden="1"/>
    <cellStyle name="Followed Hyperlink" xfId="6002" builtinId="9" hidden="1"/>
    <cellStyle name="Followed Hyperlink" xfId="6004" builtinId="9" hidden="1"/>
    <cellStyle name="Followed Hyperlink" xfId="5880" builtinId="9" hidden="1"/>
    <cellStyle name="Followed Hyperlink" xfId="5902" builtinId="9" hidden="1"/>
    <cellStyle name="Followed Hyperlink" xfId="6006" builtinId="9" hidden="1"/>
    <cellStyle name="Followed Hyperlink" xfId="6008" builtinId="9" hidden="1"/>
    <cellStyle name="Followed Hyperlink" xfId="6010" builtinId="9" hidden="1"/>
    <cellStyle name="Followed Hyperlink" xfId="6012" builtinId="9" hidden="1"/>
    <cellStyle name="Followed Hyperlink" xfId="5031" builtinId="9" hidden="1"/>
    <cellStyle name="Followed Hyperlink" xfId="5148" builtinId="9" hidden="1"/>
    <cellStyle name="Followed Hyperlink" xfId="5158" builtinId="9" hidden="1"/>
    <cellStyle name="Followed Hyperlink" xfId="5038" builtinId="9" hidden="1"/>
    <cellStyle name="Followed Hyperlink" xfId="5846" builtinId="9" hidden="1"/>
    <cellStyle name="Followed Hyperlink" xfId="5102" builtinId="9" hidden="1"/>
    <cellStyle name="Followed Hyperlink" xfId="5149" builtinId="9" hidden="1"/>
    <cellStyle name="Followed Hyperlink" xfId="5064" builtinId="9" hidden="1"/>
    <cellStyle name="Followed Hyperlink" xfId="6019" builtinId="9" hidden="1"/>
    <cellStyle name="Followed Hyperlink" xfId="6021" builtinId="9" hidden="1"/>
    <cellStyle name="Followed Hyperlink" xfId="6023" builtinId="9" hidden="1"/>
    <cellStyle name="Followed Hyperlink" xfId="6025" builtinId="9" hidden="1"/>
    <cellStyle name="Followed Hyperlink" xfId="6027" builtinId="9" hidden="1"/>
    <cellStyle name="Followed Hyperlink" xfId="6029" builtinId="9" hidden="1"/>
    <cellStyle name="Followed Hyperlink" xfId="6079" builtinId="9" hidden="1"/>
    <cellStyle name="Followed Hyperlink" xfId="6081" builtinId="9" hidden="1"/>
    <cellStyle name="Followed Hyperlink" xfId="6083" builtinId="9" hidden="1"/>
    <cellStyle name="Followed Hyperlink" xfId="6085" builtinId="9" hidden="1"/>
    <cellStyle name="Followed Hyperlink" xfId="6054" builtinId="9" hidden="1"/>
    <cellStyle name="Followed Hyperlink" xfId="6043" builtinId="9" hidden="1"/>
    <cellStyle name="Followed Hyperlink" xfId="6087" builtinId="9" hidden="1"/>
    <cellStyle name="Followed Hyperlink" xfId="6089" builtinId="9" hidden="1"/>
    <cellStyle name="Followed Hyperlink" xfId="6091" builtinId="9" hidden="1"/>
    <cellStyle name="Followed Hyperlink" xfId="6093" builtinId="9" hidden="1"/>
    <cellStyle name="Followed Hyperlink" xfId="6037" builtinId="9" hidden="1"/>
    <cellStyle name="Followed Hyperlink" xfId="6040" builtinId="9" hidden="1"/>
    <cellStyle name="Followed Hyperlink" xfId="6095" builtinId="9" hidden="1"/>
    <cellStyle name="Followed Hyperlink" xfId="6097" builtinId="9" hidden="1"/>
    <cellStyle name="Followed Hyperlink" xfId="6099" builtinId="9" hidden="1"/>
    <cellStyle name="Followed Hyperlink" xfId="6101" builtinId="9" hidden="1"/>
    <cellStyle name="Followed Hyperlink" xfId="6055" builtinId="9" hidden="1"/>
    <cellStyle name="Followed Hyperlink" xfId="6068" builtinId="9" hidden="1"/>
    <cellStyle name="Followed Hyperlink" xfId="6103" builtinId="9" hidden="1"/>
    <cellStyle name="Followed Hyperlink" xfId="6105" builtinId="9" hidden="1"/>
    <cellStyle name="Followed Hyperlink" xfId="6107" builtinId="9" hidden="1"/>
    <cellStyle name="Followed Hyperlink" xfId="6109" builtinId="9" hidden="1"/>
    <cellStyle name="Followed Hyperlink" xfId="6067" builtinId="9" hidden="1"/>
    <cellStyle name="Followed Hyperlink" xfId="6034" builtinId="9" hidden="1"/>
    <cellStyle name="Followed Hyperlink" xfId="6111" builtinId="9" hidden="1"/>
    <cellStyle name="Followed Hyperlink" xfId="6113" builtinId="9" hidden="1"/>
    <cellStyle name="Followed Hyperlink" xfId="6115" builtinId="9" hidden="1"/>
    <cellStyle name="Followed Hyperlink" xfId="6117" builtinId="9" hidden="1"/>
    <cellStyle name="Followed Hyperlink" xfId="6039" builtinId="9" hidden="1"/>
    <cellStyle name="Followed Hyperlink" xfId="6070" builtinId="9" hidden="1"/>
    <cellStyle name="Followed Hyperlink" xfId="6119" builtinId="9" hidden="1"/>
    <cellStyle name="Followed Hyperlink" xfId="6121" builtinId="9" hidden="1"/>
    <cellStyle name="Followed Hyperlink" xfId="6123" builtinId="9" hidden="1"/>
    <cellStyle name="Followed Hyperlink" xfId="6125" builtinId="9" hidden="1"/>
    <cellStyle name="Followed Hyperlink" xfId="6073" builtinId="9" hidden="1"/>
    <cellStyle name="Followed Hyperlink" xfId="6038" builtinId="9" hidden="1"/>
    <cellStyle name="Followed Hyperlink" xfId="6127" builtinId="9" hidden="1"/>
    <cellStyle name="Followed Hyperlink" xfId="6129" builtinId="9" hidden="1"/>
    <cellStyle name="Followed Hyperlink" xfId="6131" builtinId="9" hidden="1"/>
    <cellStyle name="Followed Hyperlink" xfId="6133" builtinId="9" hidden="1"/>
    <cellStyle name="Followed Hyperlink" xfId="6065" builtinId="9" hidden="1"/>
    <cellStyle name="Followed Hyperlink" xfId="6045" builtinId="9" hidden="1"/>
    <cellStyle name="Followed Hyperlink" xfId="6135" builtinId="9" hidden="1"/>
    <cellStyle name="Followed Hyperlink" xfId="6137" builtinId="9" hidden="1"/>
    <cellStyle name="Followed Hyperlink" xfId="6139" builtinId="9" hidden="1"/>
    <cellStyle name="Followed Hyperlink" xfId="6141" builtinId="9" hidden="1"/>
    <cellStyle name="Followed Hyperlink" xfId="6047" builtinId="9" hidden="1"/>
    <cellStyle name="Followed Hyperlink" xfId="6069" builtinId="9" hidden="1"/>
    <cellStyle name="Followed Hyperlink" xfId="6143" builtinId="9" hidden="1"/>
    <cellStyle name="Followed Hyperlink" xfId="6145" builtinId="9" hidden="1"/>
    <cellStyle name="Followed Hyperlink" xfId="6147" builtinId="9" hidden="1"/>
    <cellStyle name="Followed Hyperlink" xfId="6149" builtinId="9" hidden="1"/>
    <cellStyle name="Followed Hyperlink" xfId="6062" builtinId="9" hidden="1"/>
    <cellStyle name="Followed Hyperlink" xfId="6042" builtinId="9" hidden="1"/>
    <cellStyle name="Followed Hyperlink" xfId="6151" builtinId="9" hidden="1"/>
    <cellStyle name="Followed Hyperlink" xfId="6153" builtinId="9" hidden="1"/>
    <cellStyle name="Followed Hyperlink" xfId="6155" builtinId="9" hidden="1"/>
    <cellStyle name="Followed Hyperlink" xfId="6157" builtinId="9" hidden="1"/>
    <cellStyle name="Followed Hyperlink" xfId="6053" builtinId="9" hidden="1"/>
    <cellStyle name="Followed Hyperlink" xfId="6077" builtinId="9" hidden="1"/>
    <cellStyle name="Followed Hyperlink" xfId="6159" builtinId="9" hidden="1"/>
    <cellStyle name="Followed Hyperlink" xfId="6161" builtinId="9" hidden="1"/>
    <cellStyle name="Followed Hyperlink" xfId="6163" builtinId="9" hidden="1"/>
    <cellStyle name="Followed Hyperlink" xfId="6165" builtinId="9" hidden="1"/>
    <cellStyle name="Followed Hyperlink" xfId="6051" builtinId="9" hidden="1"/>
    <cellStyle name="Followed Hyperlink" xfId="6050" builtinId="9" hidden="1"/>
    <cellStyle name="Followed Hyperlink" xfId="6167" builtinId="9" hidden="1"/>
    <cellStyle name="Followed Hyperlink" xfId="6169" builtinId="9" hidden="1"/>
    <cellStyle name="Followed Hyperlink" xfId="6171" builtinId="9" hidden="1"/>
    <cellStyle name="Followed Hyperlink" xfId="6173" builtinId="9" hidden="1"/>
    <cellStyle name="Followed Hyperlink" xfId="6049" builtinId="9" hidden="1"/>
    <cellStyle name="Followed Hyperlink" xfId="6071" builtinId="9" hidden="1"/>
    <cellStyle name="Followed Hyperlink" xfId="6175" builtinId="9" hidden="1"/>
    <cellStyle name="Followed Hyperlink" xfId="6177" builtinId="9" hidden="1"/>
    <cellStyle name="Followed Hyperlink" xfId="6179" builtinId="9" hidden="1"/>
    <cellStyle name="Followed Hyperlink" xfId="6181" builtinId="9" hidden="1"/>
    <cellStyle name="Followed Hyperlink" xfId="5137" builtinId="9" hidden="1"/>
    <cellStyle name="Followed Hyperlink" xfId="5163" builtinId="9" hidden="1"/>
    <cellStyle name="Followed Hyperlink" xfId="5333" builtinId="9" hidden="1"/>
    <cellStyle name="Followed Hyperlink" xfId="5022" builtinId="9" hidden="1"/>
    <cellStyle name="Followed Hyperlink" xfId="6015" builtinId="9" hidden="1"/>
    <cellStyle name="Followed Hyperlink" xfId="5144" builtinId="9" hidden="1"/>
    <cellStyle name="Followed Hyperlink" xfId="5099" builtinId="9" hidden="1"/>
    <cellStyle name="Followed Hyperlink" xfId="5509" builtinId="9" hidden="1"/>
    <cellStyle name="Followed Hyperlink" xfId="6186" builtinId="9" hidden="1"/>
    <cellStyle name="Followed Hyperlink" xfId="6188" builtinId="9" hidden="1"/>
    <cellStyle name="Followed Hyperlink" xfId="6190" builtinId="9" hidden="1"/>
    <cellStyle name="Followed Hyperlink" xfId="6192" builtinId="9" hidden="1"/>
    <cellStyle name="Followed Hyperlink" xfId="6194" builtinId="9" hidden="1"/>
    <cellStyle name="Followed Hyperlink" xfId="6196" builtinId="9" hidden="1"/>
    <cellStyle name="Followed Hyperlink" xfId="6246" builtinId="9" hidden="1"/>
    <cellStyle name="Followed Hyperlink" xfId="6248" builtinId="9" hidden="1"/>
    <cellStyle name="Followed Hyperlink" xfId="6250" builtinId="9" hidden="1"/>
    <cellStyle name="Followed Hyperlink" xfId="6252" builtinId="9" hidden="1"/>
    <cellStyle name="Followed Hyperlink" xfId="6221" builtinId="9" hidden="1"/>
    <cellStyle name="Followed Hyperlink" xfId="6210" builtinId="9" hidden="1"/>
    <cellStyle name="Followed Hyperlink" xfId="6254" builtinId="9" hidden="1"/>
    <cellStyle name="Followed Hyperlink" xfId="6256" builtinId="9" hidden="1"/>
    <cellStyle name="Followed Hyperlink" xfId="6258" builtinId="9" hidden="1"/>
    <cellStyle name="Followed Hyperlink" xfId="6260" builtinId="9" hidden="1"/>
    <cellStyle name="Followed Hyperlink" xfId="6204" builtinId="9" hidden="1"/>
    <cellStyle name="Followed Hyperlink" xfId="6207" builtinId="9" hidden="1"/>
    <cellStyle name="Followed Hyperlink" xfId="6262" builtinId="9" hidden="1"/>
    <cellStyle name="Followed Hyperlink" xfId="6264" builtinId="9" hidden="1"/>
    <cellStyle name="Followed Hyperlink" xfId="6266" builtinId="9" hidden="1"/>
    <cellStyle name="Followed Hyperlink" xfId="6268" builtinId="9" hidden="1"/>
    <cellStyle name="Followed Hyperlink" xfId="6222" builtinId="9" hidden="1"/>
    <cellStyle name="Followed Hyperlink" xfId="6235" builtinId="9" hidden="1"/>
    <cellStyle name="Followed Hyperlink" xfId="6270" builtinId="9" hidden="1"/>
    <cellStyle name="Followed Hyperlink" xfId="6272" builtinId="9" hidden="1"/>
    <cellStyle name="Followed Hyperlink" xfId="6274" builtinId="9" hidden="1"/>
    <cellStyle name="Followed Hyperlink" xfId="6276" builtinId="9" hidden="1"/>
    <cellStyle name="Followed Hyperlink" xfId="6234" builtinId="9" hidden="1"/>
    <cellStyle name="Followed Hyperlink" xfId="6201" builtinId="9" hidden="1"/>
    <cellStyle name="Followed Hyperlink" xfId="6278" builtinId="9" hidden="1"/>
    <cellStyle name="Followed Hyperlink" xfId="6280" builtinId="9" hidden="1"/>
    <cellStyle name="Followed Hyperlink" xfId="6282" builtinId="9" hidden="1"/>
    <cellStyle name="Followed Hyperlink" xfId="6284" builtinId="9" hidden="1"/>
    <cellStyle name="Followed Hyperlink" xfId="6206" builtinId="9" hidden="1"/>
    <cellStyle name="Followed Hyperlink" xfId="6237" builtinId="9" hidden="1"/>
    <cellStyle name="Followed Hyperlink" xfId="6286" builtinId="9" hidden="1"/>
    <cellStyle name="Followed Hyperlink" xfId="6288" builtinId="9" hidden="1"/>
    <cellStyle name="Followed Hyperlink" xfId="6290" builtinId="9" hidden="1"/>
    <cellStyle name="Followed Hyperlink" xfId="6292" builtinId="9" hidden="1"/>
    <cellStyle name="Followed Hyperlink" xfId="6240" builtinId="9" hidden="1"/>
    <cellStyle name="Followed Hyperlink" xfId="6205" builtinId="9" hidden="1"/>
    <cellStyle name="Followed Hyperlink" xfId="6294" builtinId="9" hidden="1"/>
    <cellStyle name="Followed Hyperlink" xfId="6296" builtinId="9" hidden="1"/>
    <cellStyle name="Followed Hyperlink" xfId="6298" builtinId="9" hidden="1"/>
    <cellStyle name="Followed Hyperlink" xfId="6300" builtinId="9" hidden="1"/>
    <cellStyle name="Followed Hyperlink" xfId="6232" builtinId="9" hidden="1"/>
    <cellStyle name="Followed Hyperlink" xfId="6212" builtinId="9" hidden="1"/>
    <cellStyle name="Followed Hyperlink" xfId="6302" builtinId="9" hidden="1"/>
    <cellStyle name="Followed Hyperlink" xfId="6304" builtinId="9" hidden="1"/>
    <cellStyle name="Followed Hyperlink" xfId="6306" builtinId="9" hidden="1"/>
    <cellStyle name="Followed Hyperlink" xfId="6308" builtinId="9" hidden="1"/>
    <cellStyle name="Followed Hyperlink" xfId="6214" builtinId="9" hidden="1"/>
    <cellStyle name="Followed Hyperlink" xfId="6236" builtinId="9" hidden="1"/>
    <cellStyle name="Followed Hyperlink" xfId="6310" builtinId="9" hidden="1"/>
    <cellStyle name="Followed Hyperlink" xfId="6312" builtinId="9" hidden="1"/>
    <cellStyle name="Followed Hyperlink" xfId="6314" builtinId="9" hidden="1"/>
    <cellStyle name="Followed Hyperlink" xfId="6316" builtinId="9" hidden="1"/>
    <cellStyle name="Followed Hyperlink" xfId="6229" builtinId="9" hidden="1"/>
    <cellStyle name="Followed Hyperlink" xfId="6209" builtinId="9" hidden="1"/>
    <cellStyle name="Followed Hyperlink" xfId="6318" builtinId="9" hidden="1"/>
    <cellStyle name="Followed Hyperlink" xfId="6320" builtinId="9" hidden="1"/>
    <cellStyle name="Followed Hyperlink" xfId="6322" builtinId="9" hidden="1"/>
    <cellStyle name="Followed Hyperlink" xfId="6324" builtinId="9" hidden="1"/>
    <cellStyle name="Followed Hyperlink" xfId="6220" builtinId="9" hidden="1"/>
    <cellStyle name="Followed Hyperlink" xfId="6244" builtinId="9" hidden="1"/>
    <cellStyle name="Followed Hyperlink" xfId="6326" builtinId="9" hidden="1"/>
    <cellStyle name="Followed Hyperlink" xfId="6328" builtinId="9" hidden="1"/>
    <cellStyle name="Followed Hyperlink" xfId="6330" builtinId="9" hidden="1"/>
    <cellStyle name="Followed Hyperlink" xfId="6332" builtinId="9" hidden="1"/>
    <cellStyle name="Followed Hyperlink" xfId="6218" builtinId="9" hidden="1"/>
    <cellStyle name="Followed Hyperlink" xfId="6217" builtinId="9" hidden="1"/>
    <cellStyle name="Followed Hyperlink" xfId="6334" builtinId="9" hidden="1"/>
    <cellStyle name="Followed Hyperlink" xfId="6336" builtinId="9" hidden="1"/>
    <cellStyle name="Followed Hyperlink" xfId="6338" builtinId="9" hidden="1"/>
    <cellStyle name="Followed Hyperlink" xfId="6340" builtinId="9" hidden="1"/>
    <cellStyle name="Followed Hyperlink" xfId="6216" builtinId="9" hidden="1"/>
    <cellStyle name="Followed Hyperlink" xfId="6238" builtinId="9" hidden="1"/>
    <cellStyle name="Followed Hyperlink" xfId="6342" builtinId="9" hidden="1"/>
    <cellStyle name="Followed Hyperlink" xfId="6344" builtinId="9" hidden="1"/>
    <cellStyle name="Followed Hyperlink" xfId="6346" builtinId="9" hidden="1"/>
    <cellStyle name="Followed Hyperlink" xfId="6348" builtinId="9" hidden="1"/>
    <cellStyle name="Followed Hyperlink" xfId="5049" builtinId="9" hidden="1"/>
    <cellStyle name="Followed Hyperlink" xfId="5026" builtinId="9" hidden="1"/>
    <cellStyle name="Followed Hyperlink" xfId="5129" builtinId="9" hidden="1"/>
    <cellStyle name="Followed Hyperlink" xfId="5143" builtinId="9" hidden="1"/>
    <cellStyle name="Followed Hyperlink" xfId="6182" builtinId="9" hidden="1"/>
    <cellStyle name="Followed Hyperlink" xfId="5041" builtinId="9" hidden="1"/>
    <cellStyle name="Followed Hyperlink" xfId="5121" builtinId="9" hidden="1"/>
    <cellStyle name="Followed Hyperlink" xfId="5679" builtinId="9" hidden="1"/>
    <cellStyle name="Followed Hyperlink" xfId="6353" builtinId="9" hidden="1"/>
    <cellStyle name="Followed Hyperlink" xfId="6355" builtinId="9" hidden="1"/>
    <cellStyle name="Followed Hyperlink" xfId="6357" builtinId="9" hidden="1"/>
    <cellStyle name="Followed Hyperlink" xfId="6359" builtinId="9" hidden="1"/>
    <cellStyle name="Followed Hyperlink" xfId="6361" builtinId="9" hidden="1"/>
    <cellStyle name="Followed Hyperlink" xfId="6363" builtinId="9" hidden="1"/>
    <cellStyle name="Followed Hyperlink" xfId="6413" builtinId="9" hidden="1"/>
    <cellStyle name="Followed Hyperlink" xfId="6415" builtinId="9" hidden="1"/>
    <cellStyle name="Followed Hyperlink" xfId="6417" builtinId="9" hidden="1"/>
    <cellStyle name="Followed Hyperlink" xfId="6419" builtinId="9" hidden="1"/>
    <cellStyle name="Followed Hyperlink" xfId="6388" builtinId="9" hidden="1"/>
    <cellStyle name="Followed Hyperlink" xfId="6377" builtinId="9" hidden="1"/>
    <cellStyle name="Followed Hyperlink" xfId="6421" builtinId="9" hidden="1"/>
    <cellStyle name="Followed Hyperlink" xfId="6423" builtinId="9" hidden="1"/>
    <cellStyle name="Followed Hyperlink" xfId="6425" builtinId="9" hidden="1"/>
    <cellStyle name="Followed Hyperlink" xfId="6427" builtinId="9" hidden="1"/>
    <cellStyle name="Followed Hyperlink" xfId="6371" builtinId="9" hidden="1"/>
    <cellStyle name="Followed Hyperlink" xfId="6374" builtinId="9" hidden="1"/>
    <cellStyle name="Followed Hyperlink" xfId="6429" builtinId="9" hidden="1"/>
    <cellStyle name="Followed Hyperlink" xfId="6431" builtinId="9" hidden="1"/>
    <cellStyle name="Followed Hyperlink" xfId="6433" builtinId="9" hidden="1"/>
    <cellStyle name="Followed Hyperlink" xfId="6435" builtinId="9" hidden="1"/>
    <cellStyle name="Followed Hyperlink" xfId="6389" builtinId="9" hidden="1"/>
    <cellStyle name="Followed Hyperlink" xfId="6402" builtinId="9" hidden="1"/>
    <cellStyle name="Followed Hyperlink" xfId="6437" builtinId="9" hidden="1"/>
    <cellStyle name="Followed Hyperlink" xfId="6439" builtinId="9" hidden="1"/>
    <cellStyle name="Followed Hyperlink" xfId="6441" builtinId="9" hidden="1"/>
    <cellStyle name="Followed Hyperlink" xfId="6443" builtinId="9" hidden="1"/>
    <cellStyle name="Followed Hyperlink" xfId="6401" builtinId="9" hidden="1"/>
    <cellStyle name="Followed Hyperlink" xfId="6368" builtinId="9" hidden="1"/>
    <cellStyle name="Followed Hyperlink" xfId="6445" builtinId="9" hidden="1"/>
    <cellStyle name="Followed Hyperlink" xfId="6447" builtinId="9" hidden="1"/>
    <cellStyle name="Followed Hyperlink" xfId="6449" builtinId="9" hidden="1"/>
    <cellStyle name="Followed Hyperlink" xfId="6451" builtinId="9" hidden="1"/>
    <cellStyle name="Followed Hyperlink" xfId="6373" builtinId="9" hidden="1"/>
    <cellStyle name="Followed Hyperlink" xfId="6404" builtinId="9" hidden="1"/>
    <cellStyle name="Followed Hyperlink" xfId="6453" builtinId="9" hidden="1"/>
    <cellStyle name="Followed Hyperlink" xfId="6455" builtinId="9" hidden="1"/>
    <cellStyle name="Followed Hyperlink" xfId="6457" builtinId="9" hidden="1"/>
    <cellStyle name="Followed Hyperlink" xfId="6459" builtinId="9" hidden="1"/>
    <cellStyle name="Followed Hyperlink" xfId="6407" builtinId="9" hidden="1"/>
    <cellStyle name="Followed Hyperlink" xfId="6372" builtinId="9" hidden="1"/>
    <cellStyle name="Followed Hyperlink" xfId="6461" builtinId="9" hidden="1"/>
    <cellStyle name="Followed Hyperlink" xfId="6463" builtinId="9" hidden="1"/>
    <cellStyle name="Followed Hyperlink" xfId="6465" builtinId="9" hidden="1"/>
    <cellStyle name="Followed Hyperlink" xfId="6467" builtinId="9" hidden="1"/>
    <cellStyle name="Followed Hyperlink" xfId="6399" builtinId="9" hidden="1"/>
    <cellStyle name="Followed Hyperlink" xfId="6379" builtinId="9" hidden="1"/>
    <cellStyle name="Followed Hyperlink" xfId="6469" builtinId="9" hidden="1"/>
    <cellStyle name="Followed Hyperlink" xfId="6471" builtinId="9" hidden="1"/>
    <cellStyle name="Followed Hyperlink" xfId="6473" builtinId="9" hidden="1"/>
    <cellStyle name="Followed Hyperlink" xfId="6475" builtinId="9" hidden="1"/>
    <cellStyle name="Followed Hyperlink" xfId="6381" builtinId="9" hidden="1"/>
    <cellStyle name="Followed Hyperlink" xfId="6403" builtinId="9" hidden="1"/>
    <cellStyle name="Followed Hyperlink" xfId="6477" builtinId="9" hidden="1"/>
    <cellStyle name="Followed Hyperlink" xfId="6479" builtinId="9" hidden="1"/>
    <cellStyle name="Followed Hyperlink" xfId="6481" builtinId="9" hidden="1"/>
    <cellStyle name="Followed Hyperlink" xfId="6483" builtinId="9" hidden="1"/>
    <cellStyle name="Followed Hyperlink" xfId="6396" builtinId="9" hidden="1"/>
    <cellStyle name="Followed Hyperlink" xfId="6376" builtinId="9" hidden="1"/>
    <cellStyle name="Followed Hyperlink" xfId="6485" builtinId="9" hidden="1"/>
    <cellStyle name="Followed Hyperlink" xfId="6487" builtinId="9" hidden="1"/>
    <cellStyle name="Followed Hyperlink" xfId="6489" builtinId="9" hidden="1"/>
    <cellStyle name="Followed Hyperlink" xfId="6491" builtinId="9" hidden="1"/>
    <cellStyle name="Followed Hyperlink" xfId="6387" builtinId="9" hidden="1"/>
    <cellStyle name="Followed Hyperlink" xfId="6411" builtinId="9" hidden="1"/>
    <cellStyle name="Followed Hyperlink" xfId="6493" builtinId="9" hidden="1"/>
    <cellStyle name="Followed Hyperlink" xfId="6495" builtinId="9" hidden="1"/>
    <cellStyle name="Followed Hyperlink" xfId="6497" builtinId="9" hidden="1"/>
    <cellStyle name="Followed Hyperlink" xfId="6499" builtinId="9" hidden="1"/>
    <cellStyle name="Followed Hyperlink" xfId="6385" builtinId="9" hidden="1"/>
    <cellStyle name="Followed Hyperlink" xfId="6384" builtinId="9" hidden="1"/>
    <cellStyle name="Followed Hyperlink" xfId="6501" builtinId="9" hidden="1"/>
    <cellStyle name="Followed Hyperlink" xfId="6503" builtinId="9" hidden="1"/>
    <cellStyle name="Followed Hyperlink" xfId="6505" builtinId="9" hidden="1"/>
    <cellStyle name="Followed Hyperlink" xfId="6507" builtinId="9" hidden="1"/>
    <cellStyle name="Followed Hyperlink" xfId="6383" builtinId="9" hidden="1"/>
    <cellStyle name="Followed Hyperlink" xfId="6405" builtinId="9" hidden="1"/>
    <cellStyle name="Followed Hyperlink" xfId="6509" builtinId="9" hidden="1"/>
    <cellStyle name="Followed Hyperlink" xfId="6511" builtinId="9" hidden="1"/>
    <cellStyle name="Followed Hyperlink" xfId="6513" builtinId="9" hidden="1"/>
    <cellStyle name="Followed Hyperlink" xfId="6515" builtinId="9" hidden="1"/>
    <cellStyle name="Followed Hyperlink" xfId="5132" builtinId="9" hidden="1"/>
    <cellStyle name="Followed Hyperlink" xfId="5506" builtinId="9" hidden="1"/>
    <cellStyle name="Followed Hyperlink" xfId="5502" builtinId="9" hidden="1"/>
    <cellStyle name="Followed Hyperlink" xfId="5066" builtinId="9" hidden="1"/>
    <cellStyle name="Followed Hyperlink" xfId="6349" builtinId="9" hidden="1"/>
    <cellStyle name="Followed Hyperlink" xfId="5072" builtinId="9" hidden="1"/>
    <cellStyle name="Followed Hyperlink" xfId="5106" builtinId="9" hidden="1"/>
    <cellStyle name="Followed Hyperlink" xfId="5848" builtinId="9" hidden="1"/>
    <cellStyle name="Followed Hyperlink" xfId="6518" builtinId="9" hidden="1"/>
    <cellStyle name="Followed Hyperlink" xfId="6520" builtinId="9" hidden="1"/>
    <cellStyle name="Followed Hyperlink" xfId="6522" builtinId="9" hidden="1"/>
    <cellStyle name="Followed Hyperlink" xfId="6524" builtinId="9" hidden="1"/>
    <cellStyle name="Followed Hyperlink" xfId="6526" builtinId="9" hidden="1"/>
    <cellStyle name="Followed Hyperlink" xfId="6528" builtinId="9" hidden="1"/>
    <cellStyle name="Followed Hyperlink" xfId="6578" builtinId="9" hidden="1"/>
    <cellStyle name="Followed Hyperlink" xfId="6580" builtinId="9" hidden="1"/>
    <cellStyle name="Followed Hyperlink" xfId="6582" builtinId="9" hidden="1"/>
    <cellStyle name="Followed Hyperlink" xfId="6584" builtinId="9" hidden="1"/>
    <cellStyle name="Followed Hyperlink" xfId="6553" builtinId="9" hidden="1"/>
    <cellStyle name="Followed Hyperlink" xfId="6542" builtinId="9" hidden="1"/>
    <cellStyle name="Followed Hyperlink" xfId="6586" builtinId="9" hidden="1"/>
    <cellStyle name="Followed Hyperlink" xfId="6588" builtinId="9" hidden="1"/>
    <cellStyle name="Followed Hyperlink" xfId="6590" builtinId="9" hidden="1"/>
    <cellStyle name="Followed Hyperlink" xfId="6592" builtinId="9" hidden="1"/>
    <cellStyle name="Followed Hyperlink" xfId="6536" builtinId="9" hidden="1"/>
    <cellStyle name="Followed Hyperlink" xfId="6539" builtinId="9" hidden="1"/>
    <cellStyle name="Followed Hyperlink" xfId="6594" builtinId="9" hidden="1"/>
    <cellStyle name="Followed Hyperlink" xfId="6596" builtinId="9" hidden="1"/>
    <cellStyle name="Followed Hyperlink" xfId="6598" builtinId="9" hidden="1"/>
    <cellStyle name="Followed Hyperlink" xfId="6600" builtinId="9" hidden="1"/>
    <cellStyle name="Followed Hyperlink" xfId="6554" builtinId="9" hidden="1"/>
    <cellStyle name="Followed Hyperlink" xfId="6567" builtinId="9" hidden="1"/>
    <cellStyle name="Followed Hyperlink" xfId="6602" builtinId="9" hidden="1"/>
    <cellStyle name="Followed Hyperlink" xfId="6604" builtinId="9" hidden="1"/>
    <cellStyle name="Followed Hyperlink" xfId="6606" builtinId="9" hidden="1"/>
    <cellStyle name="Followed Hyperlink" xfId="6608" builtinId="9" hidden="1"/>
    <cellStyle name="Followed Hyperlink" xfId="6566" builtinId="9" hidden="1"/>
    <cellStyle name="Followed Hyperlink" xfId="6533" builtinId="9" hidden="1"/>
    <cellStyle name="Followed Hyperlink" xfId="6610" builtinId="9" hidden="1"/>
    <cellStyle name="Followed Hyperlink" xfId="6612" builtinId="9" hidden="1"/>
    <cellStyle name="Followed Hyperlink" xfId="6614" builtinId="9" hidden="1"/>
    <cellStyle name="Followed Hyperlink" xfId="6616" builtinId="9" hidden="1"/>
    <cellStyle name="Followed Hyperlink" xfId="6538" builtinId="9" hidden="1"/>
    <cellStyle name="Followed Hyperlink" xfId="6569" builtinId="9" hidden="1"/>
    <cellStyle name="Followed Hyperlink" xfId="6618" builtinId="9" hidden="1"/>
    <cellStyle name="Followed Hyperlink" xfId="6620" builtinId="9" hidden="1"/>
    <cellStyle name="Followed Hyperlink" xfId="6622" builtinId="9" hidden="1"/>
    <cellStyle name="Followed Hyperlink" xfId="6624" builtinId="9" hidden="1"/>
    <cellStyle name="Followed Hyperlink" xfId="6572" builtinId="9" hidden="1"/>
    <cellStyle name="Followed Hyperlink" xfId="6537" builtinId="9" hidden="1"/>
    <cellStyle name="Followed Hyperlink" xfId="6626" builtinId="9" hidden="1"/>
    <cellStyle name="Followed Hyperlink" xfId="6628" builtinId="9" hidden="1"/>
    <cellStyle name="Followed Hyperlink" xfId="6630" builtinId="9" hidden="1"/>
    <cellStyle name="Followed Hyperlink" xfId="6632" builtinId="9" hidden="1"/>
    <cellStyle name="Followed Hyperlink" xfId="6564" builtinId="9" hidden="1"/>
    <cellStyle name="Followed Hyperlink" xfId="6544" builtinId="9" hidden="1"/>
    <cellStyle name="Followed Hyperlink" xfId="6634" builtinId="9" hidden="1"/>
    <cellStyle name="Followed Hyperlink" xfId="6636" builtinId="9" hidden="1"/>
    <cellStyle name="Followed Hyperlink" xfId="6638" builtinId="9" hidden="1"/>
    <cellStyle name="Followed Hyperlink" xfId="6640" builtinId="9" hidden="1"/>
    <cellStyle name="Followed Hyperlink" xfId="6546" builtinId="9" hidden="1"/>
    <cellStyle name="Followed Hyperlink" xfId="6568" builtinId="9" hidden="1"/>
    <cellStyle name="Followed Hyperlink" xfId="6642" builtinId="9" hidden="1"/>
    <cellStyle name="Followed Hyperlink" xfId="6644" builtinId="9" hidden="1"/>
    <cellStyle name="Followed Hyperlink" xfId="6646" builtinId="9" hidden="1"/>
    <cellStyle name="Followed Hyperlink" xfId="6648" builtinId="9" hidden="1"/>
    <cellStyle name="Followed Hyperlink" xfId="6561" builtinId="9" hidden="1"/>
    <cellStyle name="Followed Hyperlink" xfId="6541" builtinId="9" hidden="1"/>
    <cellStyle name="Followed Hyperlink" xfId="6650" builtinId="9" hidden="1"/>
    <cellStyle name="Followed Hyperlink" xfId="6652" builtinId="9" hidden="1"/>
    <cellStyle name="Followed Hyperlink" xfId="6654" builtinId="9" hidden="1"/>
    <cellStyle name="Followed Hyperlink" xfId="6656" builtinId="9" hidden="1"/>
    <cellStyle name="Followed Hyperlink" xfId="6552" builtinId="9" hidden="1"/>
    <cellStyle name="Followed Hyperlink" xfId="6576" builtinId="9" hidden="1"/>
    <cellStyle name="Followed Hyperlink" xfId="6658" builtinId="9" hidden="1"/>
    <cellStyle name="Followed Hyperlink" xfId="6660" builtinId="9" hidden="1"/>
    <cellStyle name="Followed Hyperlink" xfId="6662" builtinId="9" hidden="1"/>
    <cellStyle name="Followed Hyperlink" xfId="6664" builtinId="9" hidden="1"/>
    <cellStyle name="Followed Hyperlink" xfId="6550" builtinId="9" hidden="1"/>
    <cellStyle name="Followed Hyperlink" xfId="6549" builtinId="9" hidden="1"/>
    <cellStyle name="Followed Hyperlink" xfId="6666" builtinId="9" hidden="1"/>
    <cellStyle name="Followed Hyperlink" xfId="6668" builtinId="9" hidden="1"/>
    <cellStyle name="Followed Hyperlink" xfId="6670" builtinId="9" hidden="1"/>
    <cellStyle name="Followed Hyperlink" xfId="6672" builtinId="9" hidden="1"/>
    <cellStyle name="Followed Hyperlink" xfId="6548" builtinId="9" hidden="1"/>
    <cellStyle name="Followed Hyperlink" xfId="6570" builtinId="9" hidden="1"/>
    <cellStyle name="Followed Hyperlink" xfId="6674" builtinId="9" hidden="1"/>
    <cellStyle name="Followed Hyperlink" xfId="6676" builtinId="9" hidden="1"/>
    <cellStyle name="Followed Hyperlink" xfId="6678" builtinId="9" hidden="1"/>
    <cellStyle name="Followed Hyperlink" xfId="6680" builtinId="9" hidden="1"/>
    <cellStyle name="Followed Hyperlink" xfId="5116" builtinId="9" hidden="1"/>
    <cellStyle name="Followed Hyperlink" xfId="5676" builtinId="9" hidden="1"/>
    <cellStyle name="Followed Hyperlink" xfId="5147" builtinId="9" hidden="1"/>
    <cellStyle name="Followed Hyperlink" xfId="5057" builtinId="9" hidden="1"/>
    <cellStyle name="Followed Hyperlink" xfId="6516" builtinId="9" hidden="1"/>
    <cellStyle name="Followed Hyperlink" xfId="5036" builtinId="9" hidden="1"/>
    <cellStyle name="Followed Hyperlink" xfId="5151" builtinId="9" hidden="1"/>
    <cellStyle name="Followed Hyperlink" xfId="6017" builtinId="9" hidden="1"/>
    <cellStyle name="Followed Hyperlink" xfId="6683" builtinId="9" hidden="1"/>
    <cellStyle name="Followed Hyperlink" xfId="6685" builtinId="9" hidden="1"/>
    <cellStyle name="Followed Hyperlink" xfId="6687" builtinId="9" hidden="1"/>
    <cellStyle name="Followed Hyperlink" xfId="6689" builtinId="9" hidden="1"/>
    <cellStyle name="Followed Hyperlink" xfId="6691" builtinId="9" hidden="1"/>
    <cellStyle name="Followed Hyperlink" xfId="6693" builtinId="9" hidden="1"/>
    <cellStyle name="Followed Hyperlink" xfId="6743" builtinId="9" hidden="1"/>
    <cellStyle name="Followed Hyperlink" xfId="6745" builtinId="9" hidden="1"/>
    <cellStyle name="Followed Hyperlink" xfId="6747" builtinId="9" hidden="1"/>
    <cellStyle name="Followed Hyperlink" xfId="6749" builtinId="9" hidden="1"/>
    <cellStyle name="Followed Hyperlink" xfId="6718" builtinId="9" hidden="1"/>
    <cellStyle name="Followed Hyperlink" xfId="6707" builtinId="9" hidden="1"/>
    <cellStyle name="Followed Hyperlink" xfId="6751" builtinId="9" hidden="1"/>
    <cellStyle name="Followed Hyperlink" xfId="6753" builtinId="9" hidden="1"/>
    <cellStyle name="Followed Hyperlink" xfId="6755" builtinId="9" hidden="1"/>
    <cellStyle name="Followed Hyperlink" xfId="6757" builtinId="9" hidden="1"/>
    <cellStyle name="Followed Hyperlink" xfId="6701" builtinId="9" hidden="1"/>
    <cellStyle name="Followed Hyperlink" xfId="6704" builtinId="9" hidden="1"/>
    <cellStyle name="Followed Hyperlink" xfId="6759" builtinId="9" hidden="1"/>
    <cellStyle name="Followed Hyperlink" xfId="6761" builtinId="9" hidden="1"/>
    <cellStyle name="Followed Hyperlink" xfId="6763" builtinId="9" hidden="1"/>
    <cellStyle name="Followed Hyperlink" xfId="6765" builtinId="9" hidden="1"/>
    <cellStyle name="Followed Hyperlink" xfId="6719" builtinId="9" hidden="1"/>
    <cellStyle name="Followed Hyperlink" xfId="6732" builtinId="9" hidden="1"/>
    <cellStyle name="Followed Hyperlink" xfId="6767" builtinId="9" hidden="1"/>
    <cellStyle name="Followed Hyperlink" xfId="6769" builtinId="9" hidden="1"/>
    <cellStyle name="Followed Hyperlink" xfId="6771" builtinId="9" hidden="1"/>
    <cellStyle name="Followed Hyperlink" xfId="6773" builtinId="9" hidden="1"/>
    <cellStyle name="Followed Hyperlink" xfId="6731" builtinId="9" hidden="1"/>
    <cellStyle name="Followed Hyperlink" xfId="6698" builtinId="9" hidden="1"/>
    <cellStyle name="Followed Hyperlink" xfId="6775" builtinId="9" hidden="1"/>
    <cellStyle name="Followed Hyperlink" xfId="6777" builtinId="9" hidden="1"/>
    <cellStyle name="Followed Hyperlink" xfId="6779" builtinId="9" hidden="1"/>
    <cellStyle name="Followed Hyperlink" xfId="6781" builtinId="9" hidden="1"/>
    <cellStyle name="Followed Hyperlink" xfId="6703" builtinId="9" hidden="1"/>
    <cellStyle name="Followed Hyperlink" xfId="6734" builtinId="9" hidden="1"/>
    <cellStyle name="Followed Hyperlink" xfId="6783" builtinId="9" hidden="1"/>
    <cellStyle name="Followed Hyperlink" xfId="6785" builtinId="9" hidden="1"/>
    <cellStyle name="Followed Hyperlink" xfId="6787" builtinId="9" hidden="1"/>
    <cellStyle name="Followed Hyperlink" xfId="6789" builtinId="9" hidden="1"/>
    <cellStyle name="Followed Hyperlink" xfId="6737" builtinId="9" hidden="1"/>
    <cellStyle name="Followed Hyperlink" xfId="6702" builtinId="9" hidden="1"/>
    <cellStyle name="Followed Hyperlink" xfId="6791" builtinId="9" hidden="1"/>
    <cellStyle name="Followed Hyperlink" xfId="6793" builtinId="9" hidden="1"/>
    <cellStyle name="Followed Hyperlink" xfId="6795" builtinId="9" hidden="1"/>
    <cellStyle name="Followed Hyperlink" xfId="6797" builtinId="9" hidden="1"/>
    <cellStyle name="Followed Hyperlink" xfId="6729" builtinId="9" hidden="1"/>
    <cellStyle name="Followed Hyperlink" xfId="6709" builtinId="9" hidden="1"/>
    <cellStyle name="Followed Hyperlink" xfId="6799" builtinId="9" hidden="1"/>
    <cellStyle name="Followed Hyperlink" xfId="6801" builtinId="9" hidden="1"/>
    <cellStyle name="Followed Hyperlink" xfId="6803" builtinId="9" hidden="1"/>
    <cellStyle name="Followed Hyperlink" xfId="6805" builtinId="9" hidden="1"/>
    <cellStyle name="Followed Hyperlink" xfId="6711" builtinId="9" hidden="1"/>
    <cellStyle name="Followed Hyperlink" xfId="6733" builtinId="9" hidden="1"/>
    <cellStyle name="Followed Hyperlink" xfId="6807" builtinId="9" hidden="1"/>
    <cellStyle name="Followed Hyperlink" xfId="6809" builtinId="9" hidden="1"/>
    <cellStyle name="Followed Hyperlink" xfId="6811" builtinId="9" hidden="1"/>
    <cellStyle name="Followed Hyperlink" xfId="6813" builtinId="9" hidden="1"/>
    <cellStyle name="Followed Hyperlink" xfId="6726" builtinId="9" hidden="1"/>
    <cellStyle name="Followed Hyperlink" xfId="6706" builtinId="9" hidden="1"/>
    <cellStyle name="Followed Hyperlink" xfId="6815" builtinId="9" hidden="1"/>
    <cellStyle name="Followed Hyperlink" xfId="6817" builtinId="9" hidden="1"/>
    <cellStyle name="Followed Hyperlink" xfId="6819" builtinId="9" hidden="1"/>
    <cellStyle name="Followed Hyperlink" xfId="6821" builtinId="9" hidden="1"/>
    <cellStyle name="Followed Hyperlink" xfId="6717" builtinId="9" hidden="1"/>
    <cellStyle name="Followed Hyperlink" xfId="6741" builtinId="9" hidden="1"/>
    <cellStyle name="Followed Hyperlink" xfId="6823" builtinId="9" hidden="1"/>
    <cellStyle name="Followed Hyperlink" xfId="6825" builtinId="9" hidden="1"/>
    <cellStyle name="Followed Hyperlink" xfId="6827" builtinId="9" hidden="1"/>
    <cellStyle name="Followed Hyperlink" xfId="6829" builtinId="9" hidden="1"/>
    <cellStyle name="Followed Hyperlink" xfId="6715" builtinId="9" hidden="1"/>
    <cellStyle name="Followed Hyperlink" xfId="6714" builtinId="9" hidden="1"/>
    <cellStyle name="Followed Hyperlink" xfId="6831" builtinId="9" hidden="1"/>
    <cellStyle name="Followed Hyperlink" xfId="6833" builtinId="9" hidden="1"/>
    <cellStyle name="Followed Hyperlink" xfId="6835" builtinId="9" hidden="1"/>
    <cellStyle name="Followed Hyperlink" xfId="6837" builtinId="9" hidden="1"/>
    <cellStyle name="Followed Hyperlink" xfId="6713" builtinId="9" hidden="1"/>
    <cellStyle name="Followed Hyperlink" xfId="6735" builtinId="9" hidden="1"/>
    <cellStyle name="Followed Hyperlink" xfId="6839" builtinId="9" hidden="1"/>
    <cellStyle name="Followed Hyperlink" xfId="6841" builtinId="9" hidden="1"/>
    <cellStyle name="Followed Hyperlink" xfId="6843" builtinId="9" hidden="1"/>
    <cellStyle name="Followed Hyperlink" xfId="6845" builtinId="9" hidden="1"/>
    <cellStyle name="Followed Hyperlink" xfId="5042" builtinId="9" hidden="1"/>
    <cellStyle name="Followed Hyperlink" xfId="5845" builtinId="9" hidden="1"/>
    <cellStyle name="Followed Hyperlink" xfId="5123" builtinId="9" hidden="1"/>
    <cellStyle name="Followed Hyperlink" xfId="5155" builtinId="9" hidden="1"/>
    <cellStyle name="Followed Hyperlink" xfId="6681" builtinId="9" hidden="1"/>
    <cellStyle name="Followed Hyperlink" xfId="5033" builtinId="9" hidden="1"/>
    <cellStyle name="Followed Hyperlink" xfId="5119" builtinId="9" hidden="1"/>
    <cellStyle name="Followed Hyperlink" xfId="6184" builtinId="9" hidden="1"/>
    <cellStyle name="Followed Hyperlink" xfId="6848" builtinId="9" hidden="1"/>
    <cellStyle name="Followed Hyperlink" xfId="6850" builtinId="9" hidden="1"/>
    <cellStyle name="Followed Hyperlink" xfId="6852" builtinId="9" hidden="1"/>
    <cellStyle name="Followed Hyperlink" xfId="6854" builtinId="9" hidden="1"/>
    <cellStyle name="Followed Hyperlink" xfId="6856" builtinId="9" hidden="1"/>
    <cellStyle name="Followed Hyperlink" xfId="6858" builtinId="9" hidden="1"/>
    <cellStyle name="Followed Hyperlink" xfId="6908" builtinId="9" hidden="1"/>
    <cellStyle name="Followed Hyperlink" xfId="6910" builtinId="9" hidden="1"/>
    <cellStyle name="Followed Hyperlink" xfId="6912" builtinId="9" hidden="1"/>
    <cellStyle name="Followed Hyperlink" xfId="6914" builtinId="9" hidden="1"/>
    <cellStyle name="Followed Hyperlink" xfId="6883" builtinId="9" hidden="1"/>
    <cellStyle name="Followed Hyperlink" xfId="6872" builtinId="9" hidden="1"/>
    <cellStyle name="Followed Hyperlink" xfId="6916" builtinId="9" hidden="1"/>
    <cellStyle name="Followed Hyperlink" xfId="6918" builtinId="9" hidden="1"/>
    <cellStyle name="Followed Hyperlink" xfId="6920" builtinId="9" hidden="1"/>
    <cellStyle name="Followed Hyperlink" xfId="6922" builtinId="9" hidden="1"/>
    <cellStyle name="Followed Hyperlink" xfId="6866" builtinId="9" hidden="1"/>
    <cellStyle name="Followed Hyperlink" xfId="6869" builtinId="9" hidden="1"/>
    <cellStyle name="Followed Hyperlink" xfId="6924" builtinId="9" hidden="1"/>
    <cellStyle name="Followed Hyperlink" xfId="6926" builtinId="9" hidden="1"/>
    <cellStyle name="Followed Hyperlink" xfId="6928" builtinId="9" hidden="1"/>
    <cellStyle name="Followed Hyperlink" xfId="6930" builtinId="9" hidden="1"/>
    <cellStyle name="Followed Hyperlink" xfId="6884" builtinId="9" hidden="1"/>
    <cellStyle name="Followed Hyperlink" xfId="6897" builtinId="9" hidden="1"/>
    <cellStyle name="Followed Hyperlink" xfId="6932" builtinId="9" hidden="1"/>
    <cellStyle name="Followed Hyperlink" xfId="6934" builtinId="9" hidden="1"/>
    <cellStyle name="Followed Hyperlink" xfId="6936" builtinId="9" hidden="1"/>
    <cellStyle name="Followed Hyperlink" xfId="6938" builtinId="9" hidden="1"/>
    <cellStyle name="Followed Hyperlink" xfId="6896" builtinId="9" hidden="1"/>
    <cellStyle name="Followed Hyperlink" xfId="6863" builtinId="9" hidden="1"/>
    <cellStyle name="Followed Hyperlink" xfId="6940" builtinId="9" hidden="1"/>
    <cellStyle name="Followed Hyperlink" xfId="6942" builtinId="9" hidden="1"/>
    <cellStyle name="Followed Hyperlink" xfId="6944" builtinId="9" hidden="1"/>
    <cellStyle name="Followed Hyperlink" xfId="6946" builtinId="9" hidden="1"/>
    <cellStyle name="Followed Hyperlink" xfId="6868" builtinId="9" hidden="1"/>
    <cellStyle name="Followed Hyperlink" xfId="6899" builtinId="9" hidden="1"/>
    <cellStyle name="Followed Hyperlink" xfId="6948" builtinId="9" hidden="1"/>
    <cellStyle name="Followed Hyperlink" xfId="6950" builtinId="9" hidden="1"/>
    <cellStyle name="Followed Hyperlink" xfId="6952" builtinId="9" hidden="1"/>
    <cellStyle name="Followed Hyperlink" xfId="6954" builtinId="9" hidden="1"/>
    <cellStyle name="Followed Hyperlink" xfId="6902" builtinId="9" hidden="1"/>
    <cellStyle name="Followed Hyperlink" xfId="6867" builtinId="9" hidden="1"/>
    <cellStyle name="Followed Hyperlink" xfId="6956" builtinId="9" hidden="1"/>
    <cellStyle name="Followed Hyperlink" xfId="6958" builtinId="9" hidden="1"/>
    <cellStyle name="Followed Hyperlink" xfId="6960" builtinId="9" hidden="1"/>
    <cellStyle name="Followed Hyperlink" xfId="6962" builtinId="9" hidden="1"/>
    <cellStyle name="Followed Hyperlink" xfId="6894" builtinId="9" hidden="1"/>
    <cellStyle name="Followed Hyperlink" xfId="6874" builtinId="9" hidden="1"/>
    <cellStyle name="Followed Hyperlink" xfId="6964" builtinId="9" hidden="1"/>
    <cellStyle name="Followed Hyperlink" xfId="6966" builtinId="9" hidden="1"/>
    <cellStyle name="Followed Hyperlink" xfId="6968" builtinId="9" hidden="1"/>
    <cellStyle name="Followed Hyperlink" xfId="6970" builtinId="9" hidden="1"/>
    <cellStyle name="Followed Hyperlink" xfId="6876" builtinId="9" hidden="1"/>
    <cellStyle name="Followed Hyperlink" xfId="6898" builtinId="9" hidden="1"/>
    <cellStyle name="Followed Hyperlink" xfId="6972" builtinId="9" hidden="1"/>
    <cellStyle name="Followed Hyperlink" xfId="6974" builtinId="9" hidden="1"/>
    <cellStyle name="Followed Hyperlink" xfId="6976" builtinId="9" hidden="1"/>
    <cellStyle name="Followed Hyperlink" xfId="6978" builtinId="9" hidden="1"/>
    <cellStyle name="Followed Hyperlink" xfId="6891" builtinId="9" hidden="1"/>
    <cellStyle name="Followed Hyperlink" xfId="6871" builtinId="9" hidden="1"/>
    <cellStyle name="Followed Hyperlink" xfId="6980" builtinId="9" hidden="1"/>
    <cellStyle name="Followed Hyperlink" xfId="6982" builtinId="9" hidden="1"/>
    <cellStyle name="Followed Hyperlink" xfId="6984" builtinId="9" hidden="1"/>
    <cellStyle name="Followed Hyperlink" xfId="6986" builtinId="9" hidden="1"/>
    <cellStyle name="Followed Hyperlink" xfId="6882" builtinId="9" hidden="1"/>
    <cellStyle name="Followed Hyperlink" xfId="6906" builtinId="9" hidden="1"/>
    <cellStyle name="Followed Hyperlink" xfId="6988" builtinId="9" hidden="1"/>
    <cellStyle name="Followed Hyperlink" xfId="6990" builtinId="9" hidden="1"/>
    <cellStyle name="Followed Hyperlink" xfId="6992" builtinId="9" hidden="1"/>
    <cellStyle name="Followed Hyperlink" xfId="6994" builtinId="9" hidden="1"/>
    <cellStyle name="Followed Hyperlink" xfId="6880" builtinId="9" hidden="1"/>
    <cellStyle name="Followed Hyperlink" xfId="6879" builtinId="9" hidden="1"/>
    <cellStyle name="Followed Hyperlink" xfId="6996" builtinId="9" hidden="1"/>
    <cellStyle name="Followed Hyperlink" xfId="6998" builtinId="9" hidden="1"/>
    <cellStyle name="Followed Hyperlink" xfId="7000" builtinId="9" hidden="1"/>
    <cellStyle name="Followed Hyperlink" xfId="7002" builtinId="9" hidden="1"/>
    <cellStyle name="Followed Hyperlink" xfId="6878" builtinId="9" hidden="1"/>
    <cellStyle name="Followed Hyperlink" xfId="6900" builtinId="9" hidden="1"/>
    <cellStyle name="Followed Hyperlink" xfId="7004" builtinId="9" hidden="1"/>
    <cellStyle name="Followed Hyperlink" xfId="7006" builtinId="9" hidden="1"/>
    <cellStyle name="Followed Hyperlink" xfId="7008" builtinId="9" hidden="1"/>
    <cellStyle name="Followed Hyperlink" xfId="7010" builtinId="9" hidden="1"/>
    <cellStyle name="Followed Hyperlink" xfId="5113" builtinId="9" hidden="1"/>
    <cellStyle name="Followed Hyperlink" xfId="6014" builtinId="9" hidden="1"/>
    <cellStyle name="Followed Hyperlink" xfId="5168" builtinId="9" hidden="1"/>
    <cellStyle name="Followed Hyperlink" xfId="5157" builtinId="9" hidden="1"/>
    <cellStyle name="Followed Hyperlink" xfId="6846" builtinId="9" hidden="1"/>
    <cellStyle name="Followed Hyperlink" xfId="5134" builtinId="9" hidden="1"/>
    <cellStyle name="Followed Hyperlink" xfId="5035" builtinId="9" hidden="1"/>
    <cellStyle name="Followed Hyperlink" xfId="6351" builtinId="9" hidden="1"/>
    <cellStyle name="Followed Hyperlink" xfId="7012" builtinId="9" hidden="1"/>
    <cellStyle name="Followed Hyperlink" xfId="7014" builtinId="9" hidden="1"/>
    <cellStyle name="Followed Hyperlink" xfId="7016" builtinId="9" hidden="1"/>
    <cellStyle name="Followed Hyperlink" xfId="7018" builtinId="9" hidden="1"/>
    <cellStyle name="Followed Hyperlink" xfId="7020" builtinId="9" hidden="1"/>
    <cellStyle name="Followed Hyperlink" xfId="7022" builtinId="9" hidden="1"/>
    <cellStyle name="Followed Hyperlink" xfId="7072" builtinId="9" hidden="1"/>
    <cellStyle name="Followed Hyperlink" xfId="7074" builtinId="9" hidden="1"/>
    <cellStyle name="Followed Hyperlink" xfId="7076" builtinId="9" hidden="1"/>
    <cellStyle name="Followed Hyperlink" xfId="7078" builtinId="9" hidden="1"/>
    <cellStyle name="Followed Hyperlink" xfId="7047" builtinId="9" hidden="1"/>
    <cellStyle name="Followed Hyperlink" xfId="7036" builtinId="9" hidden="1"/>
    <cellStyle name="Followed Hyperlink" xfId="7080" builtinId="9" hidden="1"/>
    <cellStyle name="Followed Hyperlink" xfId="7082" builtinId="9" hidden="1"/>
    <cellStyle name="Followed Hyperlink" xfId="7084" builtinId="9" hidden="1"/>
    <cellStyle name="Followed Hyperlink" xfId="7086" builtinId="9" hidden="1"/>
    <cellStyle name="Followed Hyperlink" xfId="7030" builtinId="9" hidden="1"/>
    <cellStyle name="Followed Hyperlink" xfId="7033" builtinId="9" hidden="1"/>
    <cellStyle name="Followed Hyperlink" xfId="7088" builtinId="9" hidden="1"/>
    <cellStyle name="Followed Hyperlink" xfId="7090" builtinId="9" hidden="1"/>
    <cellStyle name="Followed Hyperlink" xfId="7092" builtinId="9" hidden="1"/>
    <cellStyle name="Followed Hyperlink" xfId="7094" builtinId="9" hidden="1"/>
    <cellStyle name="Followed Hyperlink" xfId="7048" builtinId="9" hidden="1"/>
    <cellStyle name="Followed Hyperlink" xfId="7061" builtinId="9" hidden="1"/>
    <cellStyle name="Followed Hyperlink" xfId="7096" builtinId="9" hidden="1"/>
    <cellStyle name="Followed Hyperlink" xfId="7098" builtinId="9" hidden="1"/>
    <cellStyle name="Followed Hyperlink" xfId="7100" builtinId="9" hidden="1"/>
    <cellStyle name="Followed Hyperlink" xfId="7102" builtinId="9" hidden="1"/>
    <cellStyle name="Followed Hyperlink" xfId="7060" builtinId="9" hidden="1"/>
    <cellStyle name="Followed Hyperlink" xfId="7027" builtinId="9" hidden="1"/>
    <cellStyle name="Followed Hyperlink" xfId="7104" builtinId="9" hidden="1"/>
    <cellStyle name="Followed Hyperlink" xfId="7106" builtinId="9" hidden="1"/>
    <cellStyle name="Followed Hyperlink" xfId="7108" builtinId="9" hidden="1"/>
    <cellStyle name="Followed Hyperlink" xfId="7110" builtinId="9" hidden="1"/>
    <cellStyle name="Followed Hyperlink" xfId="7032" builtinId="9" hidden="1"/>
    <cellStyle name="Followed Hyperlink" xfId="7063" builtinId="9" hidden="1"/>
    <cellStyle name="Followed Hyperlink" xfId="7112" builtinId="9" hidden="1"/>
    <cellStyle name="Followed Hyperlink" xfId="7114" builtinId="9" hidden="1"/>
    <cellStyle name="Followed Hyperlink" xfId="7116" builtinId="9" hidden="1"/>
    <cellStyle name="Followed Hyperlink" xfId="7118" builtinId="9" hidden="1"/>
    <cellStyle name="Followed Hyperlink" xfId="7066" builtinId="9" hidden="1"/>
    <cellStyle name="Followed Hyperlink" xfId="7031" builtinId="9" hidden="1"/>
    <cellStyle name="Followed Hyperlink" xfId="7120" builtinId="9" hidden="1"/>
    <cellStyle name="Followed Hyperlink" xfId="7122" builtinId="9" hidden="1"/>
    <cellStyle name="Followed Hyperlink" xfId="7124" builtinId="9" hidden="1"/>
    <cellStyle name="Followed Hyperlink" xfId="7126" builtinId="9" hidden="1"/>
    <cellStyle name="Followed Hyperlink" xfId="7058" builtinId="9" hidden="1"/>
    <cellStyle name="Followed Hyperlink" xfId="7038" builtinId="9" hidden="1"/>
    <cellStyle name="Followed Hyperlink" xfId="7128" builtinId="9" hidden="1"/>
    <cellStyle name="Followed Hyperlink" xfId="7130" builtinId="9" hidden="1"/>
    <cellStyle name="Followed Hyperlink" xfId="7132" builtinId="9" hidden="1"/>
    <cellStyle name="Followed Hyperlink" xfId="7134" builtinId="9" hidden="1"/>
    <cellStyle name="Followed Hyperlink" xfId="7040" builtinId="9" hidden="1"/>
    <cellStyle name="Followed Hyperlink" xfId="7062" builtinId="9" hidden="1"/>
    <cellStyle name="Followed Hyperlink" xfId="7136" builtinId="9" hidden="1"/>
    <cellStyle name="Followed Hyperlink" xfId="7138" builtinId="9" hidden="1"/>
    <cellStyle name="Followed Hyperlink" xfId="7140" builtinId="9" hidden="1"/>
    <cellStyle name="Followed Hyperlink" xfId="7142" builtinId="9" hidden="1"/>
    <cellStyle name="Followed Hyperlink" xfId="7055" builtinId="9" hidden="1"/>
    <cellStyle name="Followed Hyperlink" xfId="7035" builtinId="9" hidden="1"/>
    <cellStyle name="Followed Hyperlink" xfId="7144" builtinId="9" hidden="1"/>
    <cellStyle name="Followed Hyperlink" xfId="7146" builtinId="9" hidden="1"/>
    <cellStyle name="Followed Hyperlink" xfId="7148" builtinId="9" hidden="1"/>
    <cellStyle name="Followed Hyperlink" xfId="7150" builtinId="9" hidden="1"/>
    <cellStyle name="Followed Hyperlink" xfId="7046" builtinId="9" hidden="1"/>
    <cellStyle name="Followed Hyperlink" xfId="7070" builtinId="9" hidden="1"/>
    <cellStyle name="Followed Hyperlink" xfId="7152" builtinId="9" hidden="1"/>
    <cellStyle name="Followed Hyperlink" xfId="7154" builtinId="9" hidden="1"/>
    <cellStyle name="Followed Hyperlink" xfId="7156" builtinId="9" hidden="1"/>
    <cellStyle name="Followed Hyperlink" xfId="7158" builtinId="9" hidden="1"/>
    <cellStyle name="Followed Hyperlink" xfId="7044" builtinId="9" hidden="1"/>
    <cellStyle name="Followed Hyperlink" xfId="7043" builtinId="9" hidden="1"/>
    <cellStyle name="Followed Hyperlink" xfId="7160" builtinId="9" hidden="1"/>
    <cellStyle name="Followed Hyperlink" xfId="7162" builtinId="9" hidden="1"/>
    <cellStyle name="Followed Hyperlink" xfId="7164" builtinId="9" hidden="1"/>
    <cellStyle name="Followed Hyperlink" xfId="7166" builtinId="9" hidden="1"/>
    <cellStyle name="Followed Hyperlink" xfId="7042" builtinId="9" hidden="1"/>
    <cellStyle name="Followed Hyperlink" xfId="7064" builtinId="9" hidden="1"/>
    <cellStyle name="Followed Hyperlink" xfId="7168" builtinId="9" hidden="1"/>
    <cellStyle name="Followed Hyperlink" xfId="7170" builtinId="9" hidden="1"/>
    <cellStyle name="Followed Hyperlink" xfId="7172" builtinId="9" hidden="1"/>
    <cellStyle name="Followed Hyperlink" xfId="7174" builtinId="9" hidden="1"/>
    <cellStyle name="Followed Hyperlink" xfId="2403" builtinId="9" hidden="1"/>
    <cellStyle name="Followed Hyperlink" xfId="2522" builtinId="9" hidden="1"/>
    <cellStyle name="Followed Hyperlink" xfId="2521" builtinId="9" hidden="1"/>
    <cellStyle name="Followed Hyperlink" xfId="2454" builtinId="9" hidden="1"/>
    <cellStyle name="Followed Hyperlink" xfId="2445" builtinId="9" hidden="1"/>
    <cellStyle name="Followed Hyperlink" xfId="2411" builtinId="9" hidden="1"/>
    <cellStyle name="Followed Hyperlink" xfId="4847" builtinId="9" hidden="1"/>
    <cellStyle name="Followed Hyperlink" xfId="2409" builtinId="9" hidden="1"/>
    <cellStyle name="Followed Hyperlink" xfId="2496" builtinId="9" hidden="1"/>
    <cellStyle name="Followed Hyperlink" xfId="2429" builtinId="9" hidden="1"/>
    <cellStyle name="Followed Hyperlink" xfId="2505" builtinId="9" hidden="1"/>
    <cellStyle name="Followed Hyperlink" xfId="2491" builtinId="9" hidden="1"/>
    <cellStyle name="Followed Hyperlink" xfId="2456" builtinId="9" hidden="1"/>
    <cellStyle name="Followed Hyperlink" xfId="2438" builtinId="9" hidden="1"/>
    <cellStyle name="Followed Hyperlink" xfId="7181" builtinId="9" hidden="1"/>
    <cellStyle name="Followed Hyperlink" xfId="7183" builtinId="9" hidden="1"/>
    <cellStyle name="Followed Hyperlink" xfId="7185" builtinId="9" hidden="1"/>
    <cellStyle name="Followed Hyperlink" xfId="7187" builtinId="9" hidden="1"/>
    <cellStyle name="Followed Hyperlink" xfId="7189" builtinId="9" hidden="1"/>
    <cellStyle name="Followed Hyperlink" xfId="7191" builtinId="9" hidden="1"/>
    <cellStyle name="Followed Hyperlink" xfId="7241" builtinId="9" hidden="1"/>
    <cellStyle name="Followed Hyperlink" xfId="7243" builtinId="9" hidden="1"/>
    <cellStyle name="Followed Hyperlink" xfId="7245" builtinId="9" hidden="1"/>
    <cellStyle name="Followed Hyperlink" xfId="7247" builtinId="9" hidden="1"/>
    <cellStyle name="Followed Hyperlink" xfId="7216" builtinId="9" hidden="1"/>
    <cellStyle name="Followed Hyperlink" xfId="7205" builtinId="9" hidden="1"/>
    <cellStyle name="Followed Hyperlink" xfId="7249" builtinId="9" hidden="1"/>
    <cellStyle name="Followed Hyperlink" xfId="7251" builtinId="9" hidden="1"/>
    <cellStyle name="Followed Hyperlink" xfId="7253" builtinId="9" hidden="1"/>
    <cellStyle name="Followed Hyperlink" xfId="7255" builtinId="9" hidden="1"/>
    <cellStyle name="Followed Hyperlink" xfId="7199" builtinId="9" hidden="1"/>
    <cellStyle name="Followed Hyperlink" xfId="7202" builtinId="9" hidden="1"/>
    <cellStyle name="Followed Hyperlink" xfId="7257" builtinId="9" hidden="1"/>
    <cellStyle name="Followed Hyperlink" xfId="7259" builtinId="9" hidden="1"/>
    <cellStyle name="Followed Hyperlink" xfId="7261" builtinId="9" hidden="1"/>
    <cellStyle name="Followed Hyperlink" xfId="7263" builtinId="9" hidden="1"/>
    <cellStyle name="Followed Hyperlink" xfId="7217" builtinId="9" hidden="1"/>
    <cellStyle name="Followed Hyperlink" xfId="7230" builtinId="9" hidden="1"/>
    <cellStyle name="Followed Hyperlink" xfId="7265" builtinId="9" hidden="1"/>
    <cellStyle name="Followed Hyperlink" xfId="7267" builtinId="9" hidden="1"/>
    <cellStyle name="Followed Hyperlink" xfId="7269" builtinId="9" hidden="1"/>
    <cellStyle name="Followed Hyperlink" xfId="7271" builtinId="9" hidden="1"/>
    <cellStyle name="Followed Hyperlink" xfId="7229" builtinId="9" hidden="1"/>
    <cellStyle name="Followed Hyperlink" xfId="7196" builtinId="9" hidden="1"/>
    <cellStyle name="Followed Hyperlink" xfId="7273" builtinId="9" hidden="1"/>
    <cellStyle name="Followed Hyperlink" xfId="7275" builtinId="9" hidden="1"/>
    <cellStyle name="Followed Hyperlink" xfId="7277" builtinId="9" hidden="1"/>
    <cellStyle name="Followed Hyperlink" xfId="7279" builtinId="9" hidden="1"/>
    <cellStyle name="Followed Hyperlink" xfId="7201" builtinId="9" hidden="1"/>
    <cellStyle name="Followed Hyperlink" xfId="7232" builtinId="9" hidden="1"/>
    <cellStyle name="Followed Hyperlink" xfId="7281" builtinId="9" hidden="1"/>
    <cellStyle name="Followed Hyperlink" xfId="7283" builtinId="9" hidden="1"/>
    <cellStyle name="Followed Hyperlink" xfId="7285" builtinId="9" hidden="1"/>
    <cellStyle name="Followed Hyperlink" xfId="7287" builtinId="9" hidden="1"/>
    <cellStyle name="Followed Hyperlink" xfId="7235" builtinId="9" hidden="1"/>
    <cellStyle name="Followed Hyperlink" xfId="7200" builtinId="9" hidden="1"/>
    <cellStyle name="Followed Hyperlink" xfId="7289" builtinId="9" hidden="1"/>
    <cellStyle name="Followed Hyperlink" xfId="7291" builtinId="9" hidden="1"/>
    <cellStyle name="Followed Hyperlink" xfId="7293" builtinId="9" hidden="1"/>
    <cellStyle name="Followed Hyperlink" xfId="7295" builtinId="9" hidden="1"/>
    <cellStyle name="Followed Hyperlink" xfId="7227" builtinId="9" hidden="1"/>
    <cellStyle name="Followed Hyperlink" xfId="7207" builtinId="9" hidden="1"/>
    <cellStyle name="Followed Hyperlink" xfId="7297" builtinId="9" hidden="1"/>
    <cellStyle name="Followed Hyperlink" xfId="7299" builtinId="9" hidden="1"/>
    <cellStyle name="Followed Hyperlink" xfId="7301" builtinId="9" hidden="1"/>
    <cellStyle name="Followed Hyperlink" xfId="7303" builtinId="9" hidden="1"/>
    <cellStyle name="Followed Hyperlink" xfId="7209" builtinId="9" hidden="1"/>
    <cellStyle name="Followed Hyperlink" xfId="7231" builtinId="9" hidden="1"/>
    <cellStyle name="Followed Hyperlink" xfId="7305" builtinId="9" hidden="1"/>
    <cellStyle name="Followed Hyperlink" xfId="7307" builtinId="9" hidden="1"/>
    <cellStyle name="Followed Hyperlink" xfId="7309" builtinId="9" hidden="1"/>
    <cellStyle name="Followed Hyperlink" xfId="7311" builtinId="9" hidden="1"/>
    <cellStyle name="Followed Hyperlink" xfId="7224" builtinId="9" hidden="1"/>
    <cellStyle name="Followed Hyperlink" xfId="7204" builtinId="9" hidden="1"/>
    <cellStyle name="Followed Hyperlink" xfId="7313" builtinId="9" hidden="1"/>
    <cellStyle name="Followed Hyperlink" xfId="7315" builtinId="9" hidden="1"/>
    <cellStyle name="Followed Hyperlink" xfId="7317" builtinId="9" hidden="1"/>
    <cellStyle name="Followed Hyperlink" xfId="7319" builtinId="9" hidden="1"/>
    <cellStyle name="Followed Hyperlink" xfId="7215" builtinId="9" hidden="1"/>
    <cellStyle name="Followed Hyperlink" xfId="7239" builtinId="9" hidden="1"/>
    <cellStyle name="Followed Hyperlink" xfId="7321" builtinId="9" hidden="1"/>
    <cellStyle name="Followed Hyperlink" xfId="7323" builtinId="9" hidden="1"/>
    <cellStyle name="Followed Hyperlink" xfId="7325" builtinId="9" hidden="1"/>
    <cellStyle name="Followed Hyperlink" xfId="7327" builtinId="9" hidden="1"/>
    <cellStyle name="Followed Hyperlink" xfId="7213" builtinId="9" hidden="1"/>
    <cellStyle name="Followed Hyperlink" xfId="7212" builtinId="9" hidden="1"/>
    <cellStyle name="Followed Hyperlink" xfId="7329" builtinId="9" hidden="1"/>
    <cellStyle name="Followed Hyperlink" xfId="7331" builtinId="9" hidden="1"/>
    <cellStyle name="Followed Hyperlink" xfId="7333" builtinId="9" hidden="1"/>
    <cellStyle name="Followed Hyperlink" xfId="7335" builtinId="9" hidden="1"/>
    <cellStyle name="Followed Hyperlink" xfId="7211" builtinId="9" hidden="1"/>
    <cellStyle name="Followed Hyperlink" xfId="7233" builtinId="9" hidden="1"/>
    <cellStyle name="Followed Hyperlink" xfId="7337" builtinId="9" hidden="1"/>
    <cellStyle name="Followed Hyperlink" xfId="7339" builtinId="9" hidden="1"/>
    <cellStyle name="Followed Hyperlink" xfId="7341" builtinId="9" hidden="1"/>
    <cellStyle name="Followed Hyperlink" xfId="7343" builtinId="9" hidden="1"/>
    <cellStyle name="Followed Hyperlink" xfId="7345" builtinId="9" hidden="1"/>
    <cellStyle name="Followed Hyperlink" xfId="7347" builtinId="9" hidden="1"/>
    <cellStyle name="Followed Hyperlink" xfId="7413" builtinId="9" hidden="1"/>
    <cellStyle name="Followed Hyperlink" xfId="7415" builtinId="9" hidden="1"/>
    <cellStyle name="Followed Hyperlink" xfId="7417" builtinId="9" hidden="1"/>
    <cellStyle name="Followed Hyperlink" xfId="7419" builtinId="9" hidden="1"/>
    <cellStyle name="Followed Hyperlink" xfId="7422" builtinId="9" hidden="1"/>
    <cellStyle name="Followed Hyperlink" xfId="7424" builtinId="9" hidden="1"/>
    <cellStyle name="Followed Hyperlink" xfId="7498" builtinId="9" hidden="1"/>
    <cellStyle name="Followed Hyperlink" xfId="7500" builtinId="9" hidden="1"/>
    <cellStyle name="Followed Hyperlink" xfId="7502" builtinId="9" hidden="1"/>
    <cellStyle name="Followed Hyperlink" xfId="7504" builtinId="9" hidden="1"/>
    <cellStyle name="Followed Hyperlink" xfId="7506" builtinId="9" hidden="1"/>
    <cellStyle name="Followed Hyperlink" xfId="7508" builtinId="9" hidden="1"/>
    <cellStyle name="Followed Hyperlink" xfId="7558" builtinId="9" hidden="1"/>
    <cellStyle name="Followed Hyperlink" xfId="7560" builtinId="9" hidden="1"/>
    <cellStyle name="Followed Hyperlink" xfId="7562" builtinId="9" hidden="1"/>
    <cellStyle name="Followed Hyperlink" xfId="7564" builtinId="9" hidden="1"/>
    <cellStyle name="Followed Hyperlink" xfId="7533" builtinId="9" hidden="1"/>
    <cellStyle name="Followed Hyperlink" xfId="7522" builtinId="9" hidden="1"/>
    <cellStyle name="Followed Hyperlink" xfId="7566" builtinId="9" hidden="1"/>
    <cellStyle name="Followed Hyperlink" xfId="7568" builtinId="9" hidden="1"/>
    <cellStyle name="Followed Hyperlink" xfId="7570" builtinId="9" hidden="1"/>
    <cellStyle name="Followed Hyperlink" xfId="7572" builtinId="9" hidden="1"/>
    <cellStyle name="Followed Hyperlink" xfId="7516" builtinId="9" hidden="1"/>
    <cellStyle name="Followed Hyperlink" xfId="7519" builtinId="9" hidden="1"/>
    <cellStyle name="Followed Hyperlink" xfId="7574" builtinId="9" hidden="1"/>
    <cellStyle name="Followed Hyperlink" xfId="7576" builtinId="9" hidden="1"/>
    <cellStyle name="Followed Hyperlink" xfId="7578" builtinId="9" hidden="1"/>
    <cellStyle name="Followed Hyperlink" xfId="7580" builtinId="9" hidden="1"/>
    <cellStyle name="Followed Hyperlink" xfId="7534" builtinId="9" hidden="1"/>
    <cellStyle name="Followed Hyperlink" xfId="7547" builtinId="9" hidden="1"/>
    <cellStyle name="Followed Hyperlink" xfId="7582" builtinId="9" hidden="1"/>
    <cellStyle name="Followed Hyperlink" xfId="7584" builtinId="9" hidden="1"/>
    <cellStyle name="Followed Hyperlink" xfId="7586" builtinId="9" hidden="1"/>
    <cellStyle name="Followed Hyperlink" xfId="7588" builtinId="9" hidden="1"/>
    <cellStyle name="Followed Hyperlink" xfId="7546" builtinId="9" hidden="1"/>
    <cellStyle name="Followed Hyperlink" xfId="7513" builtinId="9" hidden="1"/>
    <cellStyle name="Followed Hyperlink" xfId="7590" builtinId="9" hidden="1"/>
    <cellStyle name="Followed Hyperlink" xfId="7592" builtinId="9" hidden="1"/>
    <cellStyle name="Followed Hyperlink" xfId="7594" builtinId="9" hidden="1"/>
    <cellStyle name="Followed Hyperlink" xfId="7596" builtinId="9" hidden="1"/>
    <cellStyle name="Followed Hyperlink" xfId="7518" builtinId="9" hidden="1"/>
    <cellStyle name="Followed Hyperlink" xfId="7549" builtinId="9" hidden="1"/>
    <cellStyle name="Followed Hyperlink" xfId="7598" builtinId="9" hidden="1"/>
    <cellStyle name="Followed Hyperlink" xfId="7600" builtinId="9" hidden="1"/>
    <cellStyle name="Followed Hyperlink" xfId="7602" builtinId="9" hidden="1"/>
    <cellStyle name="Followed Hyperlink" xfId="7604" builtinId="9" hidden="1"/>
    <cellStyle name="Followed Hyperlink" xfId="7552" builtinId="9" hidden="1"/>
    <cellStyle name="Followed Hyperlink" xfId="7517" builtinId="9" hidden="1"/>
    <cellStyle name="Followed Hyperlink" xfId="7606" builtinId="9" hidden="1"/>
    <cellStyle name="Followed Hyperlink" xfId="7608" builtinId="9" hidden="1"/>
    <cellStyle name="Followed Hyperlink" xfId="7610" builtinId="9" hidden="1"/>
    <cellStyle name="Followed Hyperlink" xfId="7612" builtinId="9" hidden="1"/>
    <cellStyle name="Followed Hyperlink" xfId="7544" builtinId="9" hidden="1"/>
    <cellStyle name="Followed Hyperlink" xfId="7524" builtinId="9" hidden="1"/>
    <cellStyle name="Followed Hyperlink" xfId="7614" builtinId="9" hidden="1"/>
    <cellStyle name="Followed Hyperlink" xfId="7616" builtinId="9" hidden="1"/>
    <cellStyle name="Followed Hyperlink" xfId="7618" builtinId="9" hidden="1"/>
    <cellStyle name="Followed Hyperlink" xfId="7620" builtinId="9" hidden="1"/>
    <cellStyle name="Followed Hyperlink" xfId="7526" builtinId="9" hidden="1"/>
    <cellStyle name="Followed Hyperlink" xfId="7548" builtinId="9" hidden="1"/>
    <cellStyle name="Followed Hyperlink" xfId="7622" builtinId="9" hidden="1"/>
    <cellStyle name="Followed Hyperlink" xfId="7624" builtinId="9" hidden="1"/>
    <cellStyle name="Followed Hyperlink" xfId="7626" builtinId="9" hidden="1"/>
    <cellStyle name="Followed Hyperlink" xfId="7628" builtinId="9" hidden="1"/>
    <cellStyle name="Followed Hyperlink" xfId="7541" builtinId="9" hidden="1"/>
    <cellStyle name="Followed Hyperlink" xfId="7521" builtinId="9" hidden="1"/>
    <cellStyle name="Followed Hyperlink" xfId="7630" builtinId="9" hidden="1"/>
    <cellStyle name="Followed Hyperlink" xfId="7632" builtinId="9" hidden="1"/>
    <cellStyle name="Followed Hyperlink" xfId="7634" builtinId="9" hidden="1"/>
    <cellStyle name="Followed Hyperlink" xfId="7636" builtinId="9" hidden="1"/>
    <cellStyle name="Followed Hyperlink" xfId="7532" builtinId="9" hidden="1"/>
    <cellStyle name="Followed Hyperlink" xfId="7556" builtinId="9" hidden="1"/>
    <cellStyle name="Followed Hyperlink" xfId="7638" builtinId="9" hidden="1"/>
    <cellStyle name="Followed Hyperlink" xfId="7640" builtinId="9" hidden="1"/>
    <cellStyle name="Followed Hyperlink" xfId="7642" builtinId="9" hidden="1"/>
    <cellStyle name="Followed Hyperlink" xfId="7644" builtinId="9" hidden="1"/>
    <cellStyle name="Followed Hyperlink" xfId="7530" builtinId="9" hidden="1"/>
    <cellStyle name="Followed Hyperlink" xfId="7529" builtinId="9" hidden="1"/>
    <cellStyle name="Followed Hyperlink" xfId="7646" builtinId="9" hidden="1"/>
    <cellStyle name="Followed Hyperlink" xfId="7648" builtinId="9" hidden="1"/>
    <cellStyle name="Followed Hyperlink" xfId="7650" builtinId="9" hidden="1"/>
    <cellStyle name="Followed Hyperlink" xfId="7652" builtinId="9" hidden="1"/>
    <cellStyle name="Followed Hyperlink" xfId="7528" builtinId="9" hidden="1"/>
    <cellStyle name="Followed Hyperlink" xfId="7550" builtinId="9" hidden="1"/>
    <cellStyle name="Followed Hyperlink" xfId="7654" builtinId="9" hidden="1"/>
    <cellStyle name="Followed Hyperlink" xfId="7656" builtinId="9" hidden="1"/>
    <cellStyle name="Followed Hyperlink" xfId="7658" builtinId="9" hidden="1"/>
    <cellStyle name="Followed Hyperlink" xfId="7660" builtinId="9" hidden="1"/>
    <cellStyle name="Followed Hyperlink" xfId="7437" builtinId="9" hidden="1"/>
    <cellStyle name="Followed Hyperlink" xfId="7384" builtinId="9" hidden="1"/>
    <cellStyle name="Followed Hyperlink" xfId="7439" builtinId="9" hidden="1"/>
    <cellStyle name="Followed Hyperlink" xfId="7390" builtinId="9" hidden="1"/>
    <cellStyle name="Followed Hyperlink" xfId="7495" builtinId="9" hidden="1"/>
    <cellStyle name="Followed Hyperlink" xfId="7375" builtinId="9" hidden="1"/>
    <cellStyle name="Followed Hyperlink" xfId="7428" builtinId="9" hidden="1"/>
    <cellStyle name="Followed Hyperlink" xfId="7378" builtinId="9" hidden="1"/>
    <cellStyle name="Followed Hyperlink" xfId="7665" builtinId="9" hidden="1"/>
    <cellStyle name="Followed Hyperlink" xfId="7667" builtinId="9" hidden="1"/>
    <cellStyle name="Followed Hyperlink" xfId="7669" builtinId="9" hidden="1"/>
    <cellStyle name="Followed Hyperlink" xfId="7671" builtinId="9" hidden="1"/>
    <cellStyle name="Followed Hyperlink" xfId="7674" builtinId="9" hidden="1"/>
    <cellStyle name="Followed Hyperlink" xfId="7676" builtinId="9" hidden="1"/>
    <cellStyle name="Followed Hyperlink" xfId="7726" builtinId="9" hidden="1"/>
    <cellStyle name="Followed Hyperlink" xfId="7728" builtinId="9" hidden="1"/>
    <cellStyle name="Followed Hyperlink" xfId="7730" builtinId="9" hidden="1"/>
    <cellStyle name="Followed Hyperlink" xfId="7732" builtinId="9" hidden="1"/>
    <cellStyle name="Followed Hyperlink" xfId="7701" builtinId="9" hidden="1"/>
    <cellStyle name="Followed Hyperlink" xfId="7690" builtinId="9" hidden="1"/>
    <cellStyle name="Followed Hyperlink" xfId="7734" builtinId="9" hidden="1"/>
    <cellStyle name="Followed Hyperlink" xfId="7736" builtinId="9" hidden="1"/>
    <cellStyle name="Followed Hyperlink" xfId="7738" builtinId="9" hidden="1"/>
    <cellStyle name="Followed Hyperlink" xfId="7740" builtinId="9" hidden="1"/>
    <cellStyle name="Followed Hyperlink" xfId="7684" builtinId="9" hidden="1"/>
    <cellStyle name="Followed Hyperlink" xfId="7687" builtinId="9" hidden="1"/>
    <cellStyle name="Followed Hyperlink" xfId="7742" builtinId="9" hidden="1"/>
    <cellStyle name="Followed Hyperlink" xfId="7744" builtinId="9" hidden="1"/>
    <cellStyle name="Followed Hyperlink" xfId="7746" builtinId="9" hidden="1"/>
    <cellStyle name="Followed Hyperlink" xfId="7748" builtinId="9" hidden="1"/>
    <cellStyle name="Followed Hyperlink" xfId="7702" builtinId="9" hidden="1"/>
    <cellStyle name="Followed Hyperlink" xfId="7715" builtinId="9" hidden="1"/>
    <cellStyle name="Followed Hyperlink" xfId="7750" builtinId="9" hidden="1"/>
    <cellStyle name="Followed Hyperlink" xfId="7752" builtinId="9" hidden="1"/>
    <cellStyle name="Followed Hyperlink" xfId="7754" builtinId="9" hidden="1"/>
    <cellStyle name="Followed Hyperlink" xfId="7756" builtinId="9" hidden="1"/>
    <cellStyle name="Followed Hyperlink" xfId="7714" builtinId="9" hidden="1"/>
    <cellStyle name="Followed Hyperlink" xfId="7681" builtinId="9" hidden="1"/>
    <cellStyle name="Followed Hyperlink" xfId="7758" builtinId="9" hidden="1"/>
    <cellStyle name="Followed Hyperlink" xfId="7760" builtinId="9" hidden="1"/>
    <cellStyle name="Followed Hyperlink" xfId="7762" builtinId="9" hidden="1"/>
    <cellStyle name="Followed Hyperlink" xfId="7764" builtinId="9" hidden="1"/>
    <cellStyle name="Followed Hyperlink" xfId="7686" builtinId="9" hidden="1"/>
    <cellStyle name="Followed Hyperlink" xfId="7717" builtinId="9" hidden="1"/>
    <cellStyle name="Followed Hyperlink" xfId="7766" builtinId="9" hidden="1"/>
    <cellStyle name="Followed Hyperlink" xfId="7768" builtinId="9" hidden="1"/>
    <cellStyle name="Followed Hyperlink" xfId="7770" builtinId="9" hidden="1"/>
    <cellStyle name="Followed Hyperlink" xfId="7772" builtinId="9" hidden="1"/>
    <cellStyle name="Followed Hyperlink" xfId="7720" builtinId="9" hidden="1"/>
    <cellStyle name="Followed Hyperlink" xfId="7685" builtinId="9" hidden="1"/>
    <cellStyle name="Followed Hyperlink" xfId="7774" builtinId="9" hidden="1"/>
    <cellStyle name="Followed Hyperlink" xfId="7776" builtinId="9" hidden="1"/>
    <cellStyle name="Followed Hyperlink" xfId="7778" builtinId="9" hidden="1"/>
    <cellStyle name="Followed Hyperlink" xfId="7780" builtinId="9" hidden="1"/>
    <cellStyle name="Followed Hyperlink" xfId="7712" builtinId="9" hidden="1"/>
    <cellStyle name="Followed Hyperlink" xfId="7692" builtinId="9" hidden="1"/>
    <cellStyle name="Followed Hyperlink" xfId="7782" builtinId="9" hidden="1"/>
    <cellStyle name="Followed Hyperlink" xfId="7784" builtinId="9" hidden="1"/>
    <cellStyle name="Followed Hyperlink" xfId="7786" builtinId="9" hidden="1"/>
    <cellStyle name="Followed Hyperlink" xfId="7788" builtinId="9" hidden="1"/>
    <cellStyle name="Followed Hyperlink" xfId="7694" builtinId="9" hidden="1"/>
    <cellStyle name="Followed Hyperlink" xfId="7716" builtinId="9" hidden="1"/>
    <cellStyle name="Followed Hyperlink" xfId="7790" builtinId="9" hidden="1"/>
    <cellStyle name="Followed Hyperlink" xfId="7792" builtinId="9" hidden="1"/>
    <cellStyle name="Followed Hyperlink" xfId="7794" builtinId="9" hidden="1"/>
    <cellStyle name="Followed Hyperlink" xfId="7796" builtinId="9" hidden="1"/>
    <cellStyle name="Followed Hyperlink" xfId="7709" builtinId="9" hidden="1"/>
    <cellStyle name="Followed Hyperlink" xfId="7689" builtinId="9" hidden="1"/>
    <cellStyle name="Followed Hyperlink" xfId="7798" builtinId="9" hidden="1"/>
    <cellStyle name="Followed Hyperlink" xfId="7800" builtinId="9" hidden="1"/>
    <cellStyle name="Followed Hyperlink" xfId="7802" builtinId="9" hidden="1"/>
    <cellStyle name="Followed Hyperlink" xfId="7804" builtinId="9" hidden="1"/>
    <cellStyle name="Followed Hyperlink" xfId="7700" builtinId="9" hidden="1"/>
    <cellStyle name="Followed Hyperlink" xfId="7724" builtinId="9" hidden="1"/>
    <cellStyle name="Followed Hyperlink" xfId="7806" builtinId="9" hidden="1"/>
    <cellStyle name="Followed Hyperlink" xfId="7808" builtinId="9" hidden="1"/>
    <cellStyle name="Followed Hyperlink" xfId="7810" builtinId="9" hidden="1"/>
    <cellStyle name="Followed Hyperlink" xfId="7812" builtinId="9" hidden="1"/>
    <cellStyle name="Followed Hyperlink" xfId="7698" builtinId="9" hidden="1"/>
    <cellStyle name="Followed Hyperlink" xfId="7697" builtinId="9" hidden="1"/>
    <cellStyle name="Followed Hyperlink" xfId="7814" builtinId="9" hidden="1"/>
    <cellStyle name="Followed Hyperlink" xfId="7816" builtinId="9" hidden="1"/>
    <cellStyle name="Followed Hyperlink" xfId="7818" builtinId="9" hidden="1"/>
    <cellStyle name="Followed Hyperlink" xfId="7820" builtinId="9" hidden="1"/>
    <cellStyle name="Followed Hyperlink" xfId="7696" builtinId="9" hidden="1"/>
    <cellStyle name="Followed Hyperlink" xfId="7718" builtinId="9" hidden="1"/>
    <cellStyle name="Followed Hyperlink" xfId="7822" builtinId="9" hidden="1"/>
    <cellStyle name="Followed Hyperlink" xfId="7824" builtinId="9" hidden="1"/>
    <cellStyle name="Followed Hyperlink" xfId="7826" builtinId="9" hidden="1"/>
    <cellStyle name="Followed Hyperlink" xfId="7828" builtinId="9" hidden="1"/>
    <cellStyle name="Followed Hyperlink" xfId="2433" builtinId="9" hidden="1"/>
    <cellStyle name="Followed Hyperlink" xfId="7478" builtinId="9" hidden="1"/>
    <cellStyle name="Followed Hyperlink" xfId="7663" builtinId="9" hidden="1"/>
    <cellStyle name="Followed Hyperlink" xfId="7376" builtinId="9" hidden="1"/>
    <cellStyle name="Followed Hyperlink" xfId="7433" builtinId="9" hidden="1"/>
    <cellStyle name="Followed Hyperlink" xfId="7389" builtinId="9" hidden="1"/>
    <cellStyle name="Followed Hyperlink" xfId="7425" builtinId="9" hidden="1"/>
    <cellStyle name="Followed Hyperlink" xfId="7406" builtinId="9" hidden="1"/>
    <cellStyle name="Followed Hyperlink" xfId="7839" builtinId="9" hidden="1"/>
    <cellStyle name="Followed Hyperlink" xfId="7841" builtinId="9" hidden="1"/>
    <cellStyle name="Followed Hyperlink" xfId="7843" builtinId="9" hidden="1"/>
    <cellStyle name="Followed Hyperlink" xfId="7845" builtinId="9" hidden="1"/>
    <cellStyle name="Followed Hyperlink" xfId="7847" builtinId="9" hidden="1"/>
    <cellStyle name="Followed Hyperlink" xfId="7849" builtinId="9" hidden="1"/>
    <cellStyle name="Followed Hyperlink" xfId="7899" builtinId="9" hidden="1"/>
    <cellStyle name="Followed Hyperlink" xfId="7901" builtinId="9" hidden="1"/>
    <cellStyle name="Followed Hyperlink" xfId="7903" builtinId="9" hidden="1"/>
    <cellStyle name="Followed Hyperlink" xfId="7905" builtinId="9" hidden="1"/>
    <cellStyle name="Followed Hyperlink" xfId="7874" builtinId="9" hidden="1"/>
    <cellStyle name="Followed Hyperlink" xfId="7863" builtinId="9" hidden="1"/>
    <cellStyle name="Followed Hyperlink" xfId="7907" builtinId="9" hidden="1"/>
    <cellStyle name="Followed Hyperlink" xfId="7909" builtinId="9" hidden="1"/>
    <cellStyle name="Followed Hyperlink" xfId="7911" builtinId="9" hidden="1"/>
    <cellStyle name="Followed Hyperlink" xfId="7913" builtinId="9" hidden="1"/>
    <cellStyle name="Followed Hyperlink" xfId="7857" builtinId="9" hidden="1"/>
    <cellStyle name="Followed Hyperlink" xfId="7860" builtinId="9" hidden="1"/>
    <cellStyle name="Followed Hyperlink" xfId="7915" builtinId="9" hidden="1"/>
    <cellStyle name="Followed Hyperlink" xfId="7917" builtinId="9" hidden="1"/>
    <cellStyle name="Followed Hyperlink" xfId="7919" builtinId="9" hidden="1"/>
    <cellStyle name="Followed Hyperlink" xfId="7921" builtinId="9" hidden="1"/>
    <cellStyle name="Followed Hyperlink" xfId="7875" builtinId="9" hidden="1"/>
    <cellStyle name="Followed Hyperlink" xfId="7888" builtinId="9" hidden="1"/>
    <cellStyle name="Followed Hyperlink" xfId="7923" builtinId="9" hidden="1"/>
    <cellStyle name="Followed Hyperlink" xfId="7925" builtinId="9" hidden="1"/>
    <cellStyle name="Followed Hyperlink" xfId="7927" builtinId="9" hidden="1"/>
    <cellStyle name="Followed Hyperlink" xfId="7929" builtinId="9" hidden="1"/>
    <cellStyle name="Followed Hyperlink" xfId="7887" builtinId="9" hidden="1"/>
    <cellStyle name="Followed Hyperlink" xfId="7854" builtinId="9" hidden="1"/>
    <cellStyle name="Followed Hyperlink" xfId="7931" builtinId="9" hidden="1"/>
    <cellStyle name="Followed Hyperlink" xfId="7933" builtinId="9" hidden="1"/>
    <cellStyle name="Followed Hyperlink" xfId="7935" builtinId="9" hidden="1"/>
    <cellStyle name="Followed Hyperlink" xfId="7937" builtinId="9" hidden="1"/>
    <cellStyle name="Followed Hyperlink" xfId="7859" builtinId="9" hidden="1"/>
    <cellStyle name="Followed Hyperlink" xfId="7890" builtinId="9" hidden="1"/>
    <cellStyle name="Followed Hyperlink" xfId="7939" builtinId="9" hidden="1"/>
    <cellStyle name="Followed Hyperlink" xfId="7941" builtinId="9" hidden="1"/>
    <cellStyle name="Followed Hyperlink" xfId="7943" builtinId="9" hidden="1"/>
    <cellStyle name="Followed Hyperlink" xfId="7945" builtinId="9" hidden="1"/>
    <cellStyle name="Followed Hyperlink" xfId="7893" builtinId="9" hidden="1"/>
    <cellStyle name="Followed Hyperlink" xfId="7858" builtinId="9" hidden="1"/>
    <cellStyle name="Followed Hyperlink" xfId="7947" builtinId="9" hidden="1"/>
    <cellStyle name="Followed Hyperlink" xfId="7949" builtinId="9" hidden="1"/>
    <cellStyle name="Followed Hyperlink" xfId="7951" builtinId="9" hidden="1"/>
    <cellStyle name="Followed Hyperlink" xfId="7953" builtinId="9" hidden="1"/>
    <cellStyle name="Followed Hyperlink" xfId="7885" builtinId="9" hidden="1"/>
    <cellStyle name="Followed Hyperlink" xfId="7865" builtinId="9" hidden="1"/>
    <cellStyle name="Followed Hyperlink" xfId="7955" builtinId="9" hidden="1"/>
    <cellStyle name="Followed Hyperlink" xfId="7957" builtinId="9" hidden="1"/>
    <cellStyle name="Followed Hyperlink" xfId="7959" builtinId="9" hidden="1"/>
    <cellStyle name="Followed Hyperlink" xfId="7961" builtinId="9" hidden="1"/>
    <cellStyle name="Followed Hyperlink" xfId="7867" builtinId="9" hidden="1"/>
    <cellStyle name="Followed Hyperlink" xfId="7889" builtinId="9" hidden="1"/>
    <cellStyle name="Followed Hyperlink" xfId="7963" builtinId="9" hidden="1"/>
    <cellStyle name="Followed Hyperlink" xfId="7965" builtinId="9" hidden="1"/>
    <cellStyle name="Followed Hyperlink" xfId="7967" builtinId="9" hidden="1"/>
    <cellStyle name="Followed Hyperlink" xfId="7969" builtinId="9" hidden="1"/>
    <cellStyle name="Followed Hyperlink" xfId="7882" builtinId="9" hidden="1"/>
    <cellStyle name="Followed Hyperlink" xfId="7862" builtinId="9" hidden="1"/>
    <cellStyle name="Followed Hyperlink" xfId="7971" builtinId="9" hidden="1"/>
    <cellStyle name="Followed Hyperlink" xfId="7973" builtinId="9" hidden="1"/>
    <cellStyle name="Followed Hyperlink" xfId="7975" builtinId="9" hidden="1"/>
    <cellStyle name="Followed Hyperlink" xfId="7977" builtinId="9" hidden="1"/>
    <cellStyle name="Followed Hyperlink" xfId="7873" builtinId="9" hidden="1"/>
    <cellStyle name="Followed Hyperlink" xfId="7897" builtinId="9" hidden="1"/>
    <cellStyle name="Followed Hyperlink" xfId="7979" builtinId="9" hidden="1"/>
    <cellStyle name="Followed Hyperlink" xfId="7981" builtinId="9" hidden="1"/>
    <cellStyle name="Followed Hyperlink" xfId="7983" builtinId="9" hidden="1"/>
    <cellStyle name="Followed Hyperlink" xfId="7985" builtinId="9" hidden="1"/>
    <cellStyle name="Followed Hyperlink" xfId="7871" builtinId="9" hidden="1"/>
    <cellStyle name="Followed Hyperlink" xfId="7870" builtinId="9" hidden="1"/>
    <cellStyle name="Followed Hyperlink" xfId="7987" builtinId="9" hidden="1"/>
    <cellStyle name="Followed Hyperlink" xfId="7989" builtinId="9" hidden="1"/>
    <cellStyle name="Followed Hyperlink" xfId="7991" builtinId="9" hidden="1"/>
    <cellStyle name="Followed Hyperlink" xfId="7993" builtinId="9" hidden="1"/>
    <cellStyle name="Followed Hyperlink" xfId="7869" builtinId="9" hidden="1"/>
    <cellStyle name="Followed Hyperlink" xfId="7891" builtinId="9" hidden="1"/>
    <cellStyle name="Followed Hyperlink" xfId="7995" builtinId="9" hidden="1"/>
    <cellStyle name="Followed Hyperlink" xfId="7997" builtinId="9" hidden="1"/>
    <cellStyle name="Followed Hyperlink" xfId="7999" builtinId="9" hidden="1"/>
    <cellStyle name="Followed Hyperlink" xfId="8001" builtinId="9" hidden="1"/>
    <cellStyle name="Followed Hyperlink" xfId="7487" builtinId="9" hidden="1"/>
    <cellStyle name="Followed Hyperlink" xfId="7382" builtinId="9" hidden="1"/>
    <cellStyle name="Followed Hyperlink" xfId="7453" builtinId="9" hidden="1"/>
    <cellStyle name="Followed Hyperlink" xfId="7455" builtinId="9" hidden="1"/>
    <cellStyle name="Followed Hyperlink" xfId="7835" builtinId="9" hidden="1"/>
    <cellStyle name="Followed Hyperlink" xfId="7401" builtinId="9" hidden="1"/>
    <cellStyle name="Followed Hyperlink" xfId="7407" builtinId="9" hidden="1"/>
    <cellStyle name="Followed Hyperlink" xfId="7383" builtinId="9" hidden="1"/>
    <cellStyle name="Followed Hyperlink" xfId="8009" builtinId="9" hidden="1"/>
    <cellStyle name="Followed Hyperlink" xfId="8011" builtinId="9" hidden="1"/>
    <cellStyle name="Followed Hyperlink" xfId="8013" builtinId="9" hidden="1"/>
    <cellStyle name="Followed Hyperlink" xfId="8015" builtinId="9" hidden="1"/>
    <cellStyle name="Followed Hyperlink" xfId="8017" builtinId="9" hidden="1"/>
    <cellStyle name="Followed Hyperlink" xfId="8019" builtinId="9" hidden="1"/>
    <cellStyle name="Followed Hyperlink" xfId="8069" builtinId="9" hidden="1"/>
    <cellStyle name="Followed Hyperlink" xfId="8071" builtinId="9" hidden="1"/>
    <cellStyle name="Followed Hyperlink" xfId="8073" builtinId="9" hidden="1"/>
    <cellStyle name="Followed Hyperlink" xfId="8075" builtinId="9" hidden="1"/>
    <cellStyle name="Followed Hyperlink" xfId="8044" builtinId="9" hidden="1"/>
    <cellStyle name="Followed Hyperlink" xfId="8033" builtinId="9" hidden="1"/>
    <cellStyle name="Followed Hyperlink" xfId="8077" builtinId="9" hidden="1"/>
    <cellStyle name="Followed Hyperlink" xfId="8079" builtinId="9" hidden="1"/>
    <cellStyle name="Followed Hyperlink" xfId="8081" builtinId="9" hidden="1"/>
    <cellStyle name="Followed Hyperlink" xfId="8083" builtinId="9" hidden="1"/>
    <cellStyle name="Followed Hyperlink" xfId="8027" builtinId="9" hidden="1"/>
    <cellStyle name="Followed Hyperlink" xfId="8030" builtinId="9" hidden="1"/>
    <cellStyle name="Followed Hyperlink" xfId="8085" builtinId="9" hidden="1"/>
    <cellStyle name="Followed Hyperlink" xfId="8087" builtinId="9" hidden="1"/>
    <cellStyle name="Followed Hyperlink" xfId="8089" builtinId="9" hidden="1"/>
    <cellStyle name="Followed Hyperlink" xfId="8091" builtinId="9" hidden="1"/>
    <cellStyle name="Followed Hyperlink" xfId="8045" builtinId="9" hidden="1"/>
    <cellStyle name="Followed Hyperlink" xfId="8058" builtinId="9" hidden="1"/>
    <cellStyle name="Followed Hyperlink" xfId="8093" builtinId="9" hidden="1"/>
    <cellStyle name="Followed Hyperlink" xfId="8095" builtinId="9" hidden="1"/>
    <cellStyle name="Followed Hyperlink" xfId="8097" builtinId="9" hidden="1"/>
    <cellStyle name="Followed Hyperlink" xfId="8099" builtinId="9" hidden="1"/>
    <cellStyle name="Followed Hyperlink" xfId="8057" builtinId="9" hidden="1"/>
    <cellStyle name="Followed Hyperlink" xfId="8024" builtinId="9" hidden="1"/>
    <cellStyle name="Followed Hyperlink" xfId="8101" builtinId="9" hidden="1"/>
    <cellStyle name="Followed Hyperlink" xfId="8103" builtinId="9" hidden="1"/>
    <cellStyle name="Followed Hyperlink" xfId="8105" builtinId="9" hidden="1"/>
    <cellStyle name="Followed Hyperlink" xfId="8107" builtinId="9" hidden="1"/>
    <cellStyle name="Followed Hyperlink" xfId="8029" builtinId="9" hidden="1"/>
    <cellStyle name="Followed Hyperlink" xfId="8060" builtinId="9" hidden="1"/>
    <cellStyle name="Followed Hyperlink" xfId="8109" builtinId="9" hidden="1"/>
    <cellStyle name="Followed Hyperlink" xfId="8111" builtinId="9" hidden="1"/>
    <cellStyle name="Followed Hyperlink" xfId="8113" builtinId="9" hidden="1"/>
    <cellStyle name="Followed Hyperlink" xfId="8115" builtinId="9" hidden="1"/>
    <cellStyle name="Followed Hyperlink" xfId="8063" builtinId="9" hidden="1"/>
    <cellStyle name="Followed Hyperlink" xfId="8028" builtinId="9" hidden="1"/>
    <cellStyle name="Followed Hyperlink" xfId="8117" builtinId="9" hidden="1"/>
    <cellStyle name="Followed Hyperlink" xfId="8119" builtinId="9" hidden="1"/>
    <cellStyle name="Followed Hyperlink" xfId="8121" builtinId="9" hidden="1"/>
    <cellStyle name="Followed Hyperlink" xfId="8123" builtinId="9" hidden="1"/>
    <cellStyle name="Followed Hyperlink" xfId="8055" builtinId="9" hidden="1"/>
    <cellStyle name="Followed Hyperlink" xfId="8035" builtinId="9" hidden="1"/>
    <cellStyle name="Followed Hyperlink" xfId="8125" builtinId="9" hidden="1"/>
    <cellStyle name="Followed Hyperlink" xfId="8127" builtinId="9" hidden="1"/>
    <cellStyle name="Followed Hyperlink" xfId="8129" builtinId="9" hidden="1"/>
    <cellStyle name="Followed Hyperlink" xfId="8131" builtinId="9" hidden="1"/>
    <cellStyle name="Followed Hyperlink" xfId="8037" builtinId="9" hidden="1"/>
    <cellStyle name="Followed Hyperlink" xfId="8059" builtinId="9" hidden="1"/>
    <cellStyle name="Followed Hyperlink" xfId="8133" builtinId="9" hidden="1"/>
    <cellStyle name="Followed Hyperlink" xfId="8135" builtinId="9" hidden="1"/>
    <cellStyle name="Followed Hyperlink" xfId="8137" builtinId="9" hidden="1"/>
    <cellStyle name="Followed Hyperlink" xfId="8139" builtinId="9" hidden="1"/>
    <cellStyle name="Followed Hyperlink" xfId="8052" builtinId="9" hidden="1"/>
    <cellStyle name="Followed Hyperlink" xfId="8032" builtinId="9" hidden="1"/>
    <cellStyle name="Followed Hyperlink" xfId="8141" builtinId="9" hidden="1"/>
    <cellStyle name="Followed Hyperlink" xfId="8143" builtinId="9" hidden="1"/>
    <cellStyle name="Followed Hyperlink" xfId="8145" builtinId="9" hidden="1"/>
    <cellStyle name="Followed Hyperlink" xfId="8147" builtinId="9" hidden="1"/>
    <cellStyle name="Followed Hyperlink" xfId="8043" builtinId="9" hidden="1"/>
    <cellStyle name="Followed Hyperlink" xfId="8067" builtinId="9" hidden="1"/>
    <cellStyle name="Followed Hyperlink" xfId="8149" builtinId="9" hidden="1"/>
    <cellStyle name="Followed Hyperlink" xfId="8151" builtinId="9" hidden="1"/>
    <cellStyle name="Followed Hyperlink" xfId="8153" builtinId="9" hidden="1"/>
    <cellStyle name="Followed Hyperlink" xfId="8155" builtinId="9" hidden="1"/>
    <cellStyle name="Followed Hyperlink" xfId="8041" builtinId="9" hidden="1"/>
    <cellStyle name="Followed Hyperlink" xfId="8040" builtinId="9" hidden="1"/>
    <cellStyle name="Followed Hyperlink" xfId="8157" builtinId="9" hidden="1"/>
    <cellStyle name="Followed Hyperlink" xfId="8159" builtinId="9" hidden="1"/>
    <cellStyle name="Followed Hyperlink" xfId="8161" builtinId="9" hidden="1"/>
    <cellStyle name="Followed Hyperlink" xfId="8163" builtinId="9" hidden="1"/>
    <cellStyle name="Followed Hyperlink" xfId="8039" builtinId="9" hidden="1"/>
    <cellStyle name="Followed Hyperlink" xfId="8061" builtinId="9" hidden="1"/>
    <cellStyle name="Followed Hyperlink" xfId="8165" builtinId="9" hidden="1"/>
    <cellStyle name="Followed Hyperlink" xfId="8167" builtinId="9" hidden="1"/>
    <cellStyle name="Followed Hyperlink" xfId="8169" builtinId="9" hidden="1"/>
    <cellStyle name="Followed Hyperlink" xfId="8171" builtinId="9" hidden="1"/>
    <cellStyle name="Followed Hyperlink" xfId="7373" builtinId="9" hidden="1"/>
    <cellStyle name="Followed Hyperlink" xfId="7454" builtinId="9" hidden="1"/>
    <cellStyle name="Followed Hyperlink" xfId="7443" builtinId="9" hidden="1"/>
    <cellStyle name="Followed Hyperlink" xfId="7402" builtinId="9" hidden="1"/>
    <cellStyle name="Followed Hyperlink" xfId="8005" builtinId="9" hidden="1"/>
    <cellStyle name="Followed Hyperlink" xfId="7396" builtinId="9" hidden="1"/>
    <cellStyle name="Followed Hyperlink" xfId="7432" builtinId="9" hidden="1"/>
    <cellStyle name="Followed Hyperlink" xfId="7381" builtinId="9" hidden="1"/>
    <cellStyle name="Followed Hyperlink" xfId="8178" builtinId="9" hidden="1"/>
    <cellStyle name="Followed Hyperlink" xfId="8180" builtinId="9" hidden="1"/>
    <cellStyle name="Followed Hyperlink" xfId="8182" builtinId="9" hidden="1"/>
    <cellStyle name="Followed Hyperlink" xfId="8184" builtinId="9" hidden="1"/>
    <cellStyle name="Followed Hyperlink" xfId="8186" builtinId="9" hidden="1"/>
    <cellStyle name="Followed Hyperlink" xfId="8188" builtinId="9" hidden="1"/>
    <cellStyle name="Followed Hyperlink" xfId="8238" builtinId="9" hidden="1"/>
    <cellStyle name="Followed Hyperlink" xfId="8240" builtinId="9" hidden="1"/>
    <cellStyle name="Followed Hyperlink" xfId="8242" builtinId="9" hidden="1"/>
    <cellStyle name="Followed Hyperlink" xfId="8244" builtinId="9" hidden="1"/>
    <cellStyle name="Followed Hyperlink" xfId="8213" builtinId="9" hidden="1"/>
    <cellStyle name="Followed Hyperlink" xfId="8202" builtinId="9" hidden="1"/>
    <cellStyle name="Followed Hyperlink" xfId="8246" builtinId="9" hidden="1"/>
    <cellStyle name="Followed Hyperlink" xfId="8248" builtinId="9" hidden="1"/>
    <cellStyle name="Followed Hyperlink" xfId="8250" builtinId="9" hidden="1"/>
    <cellStyle name="Followed Hyperlink" xfId="8252" builtinId="9" hidden="1"/>
    <cellStyle name="Followed Hyperlink" xfId="8196" builtinId="9" hidden="1"/>
    <cellStyle name="Followed Hyperlink" xfId="8199" builtinId="9" hidden="1"/>
    <cellStyle name="Followed Hyperlink" xfId="8254" builtinId="9" hidden="1"/>
    <cellStyle name="Followed Hyperlink" xfId="8256" builtinId="9" hidden="1"/>
    <cellStyle name="Followed Hyperlink" xfId="8258" builtinId="9" hidden="1"/>
    <cellStyle name="Followed Hyperlink" xfId="8260" builtinId="9" hidden="1"/>
    <cellStyle name="Followed Hyperlink" xfId="8214" builtinId="9" hidden="1"/>
    <cellStyle name="Followed Hyperlink" xfId="8227" builtinId="9" hidden="1"/>
    <cellStyle name="Followed Hyperlink" xfId="8262" builtinId="9" hidden="1"/>
    <cellStyle name="Followed Hyperlink" xfId="8264" builtinId="9" hidden="1"/>
    <cellStyle name="Followed Hyperlink" xfId="8266" builtinId="9" hidden="1"/>
    <cellStyle name="Followed Hyperlink" xfId="8268" builtinId="9" hidden="1"/>
    <cellStyle name="Followed Hyperlink" xfId="8226" builtinId="9" hidden="1"/>
    <cellStyle name="Followed Hyperlink" xfId="8193" builtinId="9" hidden="1"/>
    <cellStyle name="Followed Hyperlink" xfId="8270" builtinId="9" hidden="1"/>
    <cellStyle name="Followed Hyperlink" xfId="8272" builtinId="9" hidden="1"/>
    <cellStyle name="Followed Hyperlink" xfId="8274" builtinId="9" hidden="1"/>
    <cellStyle name="Followed Hyperlink" xfId="8276" builtinId="9" hidden="1"/>
    <cellStyle name="Followed Hyperlink" xfId="8198" builtinId="9" hidden="1"/>
    <cellStyle name="Followed Hyperlink" xfId="8229" builtinId="9" hidden="1"/>
    <cellStyle name="Followed Hyperlink" xfId="8278" builtinId="9" hidden="1"/>
    <cellStyle name="Followed Hyperlink" xfId="8280" builtinId="9" hidden="1"/>
    <cellStyle name="Followed Hyperlink" xfId="8282" builtinId="9" hidden="1"/>
    <cellStyle name="Followed Hyperlink" xfId="8284" builtinId="9" hidden="1"/>
    <cellStyle name="Followed Hyperlink" xfId="8232" builtinId="9" hidden="1"/>
    <cellStyle name="Followed Hyperlink" xfId="8197" builtinId="9" hidden="1"/>
    <cellStyle name="Followed Hyperlink" xfId="8286" builtinId="9" hidden="1"/>
    <cellStyle name="Followed Hyperlink" xfId="8288" builtinId="9" hidden="1"/>
    <cellStyle name="Followed Hyperlink" xfId="8290" builtinId="9" hidden="1"/>
    <cellStyle name="Followed Hyperlink" xfId="8292" builtinId="9" hidden="1"/>
    <cellStyle name="Followed Hyperlink" xfId="8224" builtinId="9" hidden="1"/>
    <cellStyle name="Followed Hyperlink" xfId="8204" builtinId="9" hidden="1"/>
    <cellStyle name="Followed Hyperlink" xfId="8294" builtinId="9" hidden="1"/>
    <cellStyle name="Followed Hyperlink" xfId="8296" builtinId="9" hidden="1"/>
    <cellStyle name="Followed Hyperlink" xfId="8298" builtinId="9" hidden="1"/>
    <cellStyle name="Followed Hyperlink" xfId="8300" builtinId="9" hidden="1"/>
    <cellStyle name="Followed Hyperlink" xfId="8206" builtinId="9" hidden="1"/>
    <cellStyle name="Followed Hyperlink" xfId="8228" builtinId="9" hidden="1"/>
    <cellStyle name="Followed Hyperlink" xfId="8302" builtinId="9" hidden="1"/>
    <cellStyle name="Followed Hyperlink" xfId="8304" builtinId="9" hidden="1"/>
    <cellStyle name="Followed Hyperlink" xfId="8306" builtinId="9" hidden="1"/>
    <cellStyle name="Followed Hyperlink" xfId="8308" builtinId="9" hidden="1"/>
    <cellStyle name="Followed Hyperlink" xfId="8221" builtinId="9" hidden="1"/>
    <cellStyle name="Followed Hyperlink" xfId="8201" builtinId="9" hidden="1"/>
    <cellStyle name="Followed Hyperlink" xfId="8310" builtinId="9" hidden="1"/>
    <cellStyle name="Followed Hyperlink" xfId="8312" builtinId="9" hidden="1"/>
    <cellStyle name="Followed Hyperlink" xfId="8314" builtinId="9" hidden="1"/>
    <cellStyle name="Followed Hyperlink" xfId="8316" builtinId="9" hidden="1"/>
    <cellStyle name="Followed Hyperlink" xfId="8212" builtinId="9" hidden="1"/>
    <cellStyle name="Followed Hyperlink" xfId="8236" builtinId="9" hidden="1"/>
    <cellStyle name="Followed Hyperlink" xfId="8318" builtinId="9" hidden="1"/>
    <cellStyle name="Followed Hyperlink" xfId="8320" builtinId="9" hidden="1"/>
    <cellStyle name="Followed Hyperlink" xfId="8322" builtinId="9" hidden="1"/>
    <cellStyle name="Followed Hyperlink" xfId="8324" builtinId="9" hidden="1"/>
    <cellStyle name="Followed Hyperlink" xfId="8210" builtinId="9" hidden="1"/>
    <cellStyle name="Followed Hyperlink" xfId="8209" builtinId="9" hidden="1"/>
    <cellStyle name="Followed Hyperlink" xfId="8326" builtinId="9" hidden="1"/>
    <cellStyle name="Followed Hyperlink" xfId="8328" builtinId="9" hidden="1"/>
    <cellStyle name="Followed Hyperlink" xfId="8330" builtinId="9" hidden="1"/>
    <cellStyle name="Followed Hyperlink" xfId="8332" builtinId="9" hidden="1"/>
    <cellStyle name="Followed Hyperlink" xfId="8208" builtinId="9" hidden="1"/>
    <cellStyle name="Followed Hyperlink" xfId="8230" builtinId="9" hidden="1"/>
    <cellStyle name="Followed Hyperlink" xfId="8334" builtinId="9" hidden="1"/>
    <cellStyle name="Followed Hyperlink" xfId="8336" builtinId="9" hidden="1"/>
    <cellStyle name="Followed Hyperlink" xfId="8338" builtinId="9" hidden="1"/>
    <cellStyle name="Followed Hyperlink" xfId="8340" builtinId="9" hidden="1"/>
    <cellStyle name="Followed Hyperlink" xfId="7359" builtinId="9" hidden="1"/>
    <cellStyle name="Followed Hyperlink" xfId="7476" builtinId="9" hidden="1"/>
    <cellStyle name="Followed Hyperlink" xfId="7486" builtinId="9" hidden="1"/>
    <cellStyle name="Followed Hyperlink" xfId="7366" builtinId="9" hidden="1"/>
    <cellStyle name="Followed Hyperlink" xfId="8174" builtinId="9" hidden="1"/>
    <cellStyle name="Followed Hyperlink" xfId="7430" builtinId="9" hidden="1"/>
    <cellStyle name="Followed Hyperlink" xfId="7477" builtinId="9" hidden="1"/>
    <cellStyle name="Followed Hyperlink" xfId="7392" builtinId="9" hidden="1"/>
    <cellStyle name="Followed Hyperlink" xfId="8347" builtinId="9" hidden="1"/>
    <cellStyle name="Followed Hyperlink" xfId="8349" builtinId="9" hidden="1"/>
    <cellStyle name="Followed Hyperlink" xfId="8351" builtinId="9" hidden="1"/>
    <cellStyle name="Followed Hyperlink" xfId="8353" builtinId="9" hidden="1"/>
    <cellStyle name="Followed Hyperlink" xfId="8355" builtinId="9" hidden="1"/>
    <cellStyle name="Followed Hyperlink" xfId="8357" builtinId="9" hidden="1"/>
    <cellStyle name="Followed Hyperlink" xfId="8407" builtinId="9" hidden="1"/>
    <cellStyle name="Followed Hyperlink" xfId="8409" builtinId="9" hidden="1"/>
    <cellStyle name="Followed Hyperlink" xfId="8411" builtinId="9" hidden="1"/>
    <cellStyle name="Followed Hyperlink" xfId="8413" builtinId="9" hidden="1"/>
    <cellStyle name="Followed Hyperlink" xfId="8382" builtinId="9" hidden="1"/>
    <cellStyle name="Followed Hyperlink" xfId="8371" builtinId="9" hidden="1"/>
    <cellStyle name="Followed Hyperlink" xfId="8415" builtinId="9" hidden="1"/>
    <cellStyle name="Followed Hyperlink" xfId="8417" builtinId="9" hidden="1"/>
    <cellStyle name="Followed Hyperlink" xfId="8419" builtinId="9" hidden="1"/>
    <cellStyle name="Followed Hyperlink" xfId="8421" builtinId="9" hidden="1"/>
    <cellStyle name="Followed Hyperlink" xfId="8365" builtinId="9" hidden="1"/>
    <cellStyle name="Followed Hyperlink" xfId="8368" builtinId="9" hidden="1"/>
    <cellStyle name="Followed Hyperlink" xfId="8423" builtinId="9" hidden="1"/>
    <cellStyle name="Followed Hyperlink" xfId="8425" builtinId="9" hidden="1"/>
    <cellStyle name="Followed Hyperlink" xfId="8427" builtinId="9" hidden="1"/>
    <cellStyle name="Followed Hyperlink" xfId="8429" builtinId="9" hidden="1"/>
    <cellStyle name="Followed Hyperlink" xfId="8383" builtinId="9" hidden="1"/>
    <cellStyle name="Followed Hyperlink" xfId="8396" builtinId="9" hidden="1"/>
    <cellStyle name="Followed Hyperlink" xfId="8431" builtinId="9" hidden="1"/>
    <cellStyle name="Followed Hyperlink" xfId="8433" builtinId="9" hidden="1"/>
    <cellStyle name="Followed Hyperlink" xfId="8435" builtinId="9" hidden="1"/>
    <cellStyle name="Followed Hyperlink" xfId="8437" builtinId="9" hidden="1"/>
    <cellStyle name="Followed Hyperlink" xfId="8395" builtinId="9" hidden="1"/>
    <cellStyle name="Followed Hyperlink" xfId="8362" builtinId="9" hidden="1"/>
    <cellStyle name="Followed Hyperlink" xfId="8439" builtinId="9" hidden="1"/>
    <cellStyle name="Followed Hyperlink" xfId="8441" builtinId="9" hidden="1"/>
    <cellStyle name="Followed Hyperlink" xfId="8443" builtinId="9" hidden="1"/>
    <cellStyle name="Followed Hyperlink" xfId="8445" builtinId="9" hidden="1"/>
    <cellStyle name="Followed Hyperlink" xfId="8367" builtinId="9" hidden="1"/>
    <cellStyle name="Followed Hyperlink" xfId="8398" builtinId="9" hidden="1"/>
    <cellStyle name="Followed Hyperlink" xfId="8447" builtinId="9" hidden="1"/>
    <cellStyle name="Followed Hyperlink" xfId="8449" builtinId="9" hidden="1"/>
    <cellStyle name="Followed Hyperlink" xfId="8451" builtinId="9" hidden="1"/>
    <cellStyle name="Followed Hyperlink" xfId="8453" builtinId="9" hidden="1"/>
    <cellStyle name="Followed Hyperlink" xfId="8401" builtinId="9" hidden="1"/>
    <cellStyle name="Followed Hyperlink" xfId="8366" builtinId="9" hidden="1"/>
    <cellStyle name="Followed Hyperlink" xfId="8455" builtinId="9" hidden="1"/>
    <cellStyle name="Followed Hyperlink" xfId="8457" builtinId="9" hidden="1"/>
    <cellStyle name="Followed Hyperlink" xfId="8459" builtinId="9" hidden="1"/>
    <cellStyle name="Followed Hyperlink" xfId="8461" builtinId="9" hidden="1"/>
    <cellStyle name="Followed Hyperlink" xfId="8393" builtinId="9" hidden="1"/>
    <cellStyle name="Followed Hyperlink" xfId="8373" builtinId="9" hidden="1"/>
    <cellStyle name="Followed Hyperlink" xfId="8463" builtinId="9" hidden="1"/>
    <cellStyle name="Followed Hyperlink" xfId="8465" builtinId="9" hidden="1"/>
    <cellStyle name="Followed Hyperlink" xfId="8467" builtinId="9" hidden="1"/>
    <cellStyle name="Followed Hyperlink" xfId="8469" builtinId="9" hidden="1"/>
    <cellStyle name="Followed Hyperlink" xfId="8375" builtinId="9" hidden="1"/>
    <cellStyle name="Followed Hyperlink" xfId="8397" builtinId="9" hidden="1"/>
    <cellStyle name="Followed Hyperlink" xfId="8471" builtinId="9" hidden="1"/>
    <cellStyle name="Followed Hyperlink" xfId="8473" builtinId="9" hidden="1"/>
    <cellStyle name="Followed Hyperlink" xfId="8475" builtinId="9" hidden="1"/>
    <cellStyle name="Followed Hyperlink" xfId="8477" builtinId="9" hidden="1"/>
    <cellStyle name="Followed Hyperlink" xfId="8390" builtinId="9" hidden="1"/>
    <cellStyle name="Followed Hyperlink" xfId="8370" builtinId="9" hidden="1"/>
    <cellStyle name="Followed Hyperlink" xfId="8479" builtinId="9" hidden="1"/>
    <cellStyle name="Followed Hyperlink" xfId="8481" builtinId="9" hidden="1"/>
    <cellStyle name="Followed Hyperlink" xfId="8483" builtinId="9" hidden="1"/>
    <cellStyle name="Followed Hyperlink" xfId="8485" builtinId="9" hidden="1"/>
    <cellStyle name="Followed Hyperlink" xfId="8381" builtinId="9" hidden="1"/>
    <cellStyle name="Followed Hyperlink" xfId="8405" builtinId="9" hidden="1"/>
    <cellStyle name="Followed Hyperlink" xfId="8487" builtinId="9" hidden="1"/>
    <cellStyle name="Followed Hyperlink" xfId="8489" builtinId="9" hidden="1"/>
    <cellStyle name="Followed Hyperlink" xfId="8491" builtinId="9" hidden="1"/>
    <cellStyle name="Followed Hyperlink" xfId="8493" builtinId="9" hidden="1"/>
    <cellStyle name="Followed Hyperlink" xfId="8379" builtinId="9" hidden="1"/>
    <cellStyle name="Followed Hyperlink" xfId="8378" builtinId="9" hidden="1"/>
    <cellStyle name="Followed Hyperlink" xfId="8495" builtinId="9" hidden="1"/>
    <cellStyle name="Followed Hyperlink" xfId="8497" builtinId="9" hidden="1"/>
    <cellStyle name="Followed Hyperlink" xfId="8499" builtinId="9" hidden="1"/>
    <cellStyle name="Followed Hyperlink" xfId="8501" builtinId="9" hidden="1"/>
    <cellStyle name="Followed Hyperlink" xfId="8377" builtinId="9" hidden="1"/>
    <cellStyle name="Followed Hyperlink" xfId="8399" builtinId="9" hidden="1"/>
    <cellStyle name="Followed Hyperlink" xfId="8503" builtinId="9" hidden="1"/>
    <cellStyle name="Followed Hyperlink" xfId="8505" builtinId="9" hidden="1"/>
    <cellStyle name="Followed Hyperlink" xfId="8507" builtinId="9" hidden="1"/>
    <cellStyle name="Followed Hyperlink" xfId="8509" builtinId="9" hidden="1"/>
    <cellStyle name="Followed Hyperlink" xfId="7465" builtinId="9" hidden="1"/>
    <cellStyle name="Followed Hyperlink" xfId="7491" builtinId="9" hidden="1"/>
    <cellStyle name="Followed Hyperlink" xfId="7661" builtinId="9" hidden="1"/>
    <cellStyle name="Followed Hyperlink" xfId="7350" builtinId="9" hidden="1"/>
    <cellStyle name="Followed Hyperlink" xfId="8343" builtinId="9" hidden="1"/>
    <cellStyle name="Followed Hyperlink" xfId="7472" builtinId="9" hidden="1"/>
    <cellStyle name="Followed Hyperlink" xfId="7427" builtinId="9" hidden="1"/>
    <cellStyle name="Followed Hyperlink" xfId="7837" builtinId="9" hidden="1"/>
    <cellStyle name="Followed Hyperlink" xfId="8514" builtinId="9" hidden="1"/>
    <cellStyle name="Followed Hyperlink" xfId="8516" builtinId="9" hidden="1"/>
    <cellStyle name="Followed Hyperlink" xfId="8518" builtinId="9" hidden="1"/>
    <cellStyle name="Followed Hyperlink" xfId="8520" builtinId="9" hidden="1"/>
    <cellStyle name="Followed Hyperlink" xfId="8522" builtinId="9" hidden="1"/>
    <cellStyle name="Followed Hyperlink" xfId="8524" builtinId="9" hidden="1"/>
    <cellStyle name="Followed Hyperlink" xfId="8574" builtinId="9" hidden="1"/>
    <cellStyle name="Followed Hyperlink" xfId="8576" builtinId="9" hidden="1"/>
    <cellStyle name="Followed Hyperlink" xfId="8578" builtinId="9" hidden="1"/>
    <cellStyle name="Followed Hyperlink" xfId="8580" builtinId="9" hidden="1"/>
    <cellStyle name="Followed Hyperlink" xfId="8549" builtinId="9" hidden="1"/>
    <cellStyle name="Followed Hyperlink" xfId="8538" builtinId="9" hidden="1"/>
    <cellStyle name="Followed Hyperlink" xfId="8582" builtinId="9" hidden="1"/>
    <cellStyle name="Followed Hyperlink" xfId="8584" builtinId="9" hidden="1"/>
    <cellStyle name="Followed Hyperlink" xfId="8586" builtinId="9" hidden="1"/>
    <cellStyle name="Followed Hyperlink" xfId="8588" builtinId="9" hidden="1"/>
    <cellStyle name="Followed Hyperlink" xfId="8532" builtinId="9" hidden="1"/>
    <cellStyle name="Followed Hyperlink" xfId="8535" builtinId="9" hidden="1"/>
    <cellStyle name="Followed Hyperlink" xfId="8590" builtinId="9" hidden="1"/>
    <cellStyle name="Followed Hyperlink" xfId="8592" builtinId="9" hidden="1"/>
    <cellStyle name="Followed Hyperlink" xfId="8594" builtinId="9" hidden="1"/>
    <cellStyle name="Followed Hyperlink" xfId="8596" builtinId="9" hidden="1"/>
    <cellStyle name="Followed Hyperlink" xfId="8550" builtinId="9" hidden="1"/>
    <cellStyle name="Followed Hyperlink" xfId="8563" builtinId="9" hidden="1"/>
    <cellStyle name="Followed Hyperlink" xfId="8598" builtinId="9" hidden="1"/>
    <cellStyle name="Followed Hyperlink" xfId="8600" builtinId="9" hidden="1"/>
    <cellStyle name="Followed Hyperlink" xfId="8602" builtinId="9" hidden="1"/>
    <cellStyle name="Followed Hyperlink" xfId="8604" builtinId="9" hidden="1"/>
    <cellStyle name="Followed Hyperlink" xfId="8562" builtinId="9" hidden="1"/>
    <cellStyle name="Followed Hyperlink" xfId="8529" builtinId="9" hidden="1"/>
    <cellStyle name="Followed Hyperlink" xfId="8606" builtinId="9" hidden="1"/>
    <cellStyle name="Followed Hyperlink" xfId="8608" builtinId="9" hidden="1"/>
    <cellStyle name="Followed Hyperlink" xfId="8610" builtinId="9" hidden="1"/>
    <cellStyle name="Followed Hyperlink" xfId="8612" builtinId="9" hidden="1"/>
    <cellStyle name="Followed Hyperlink" xfId="8534" builtinId="9" hidden="1"/>
    <cellStyle name="Followed Hyperlink" xfId="8565" builtinId="9" hidden="1"/>
    <cellStyle name="Followed Hyperlink" xfId="8614" builtinId="9" hidden="1"/>
    <cellStyle name="Followed Hyperlink" xfId="8616" builtinId="9" hidden="1"/>
    <cellStyle name="Followed Hyperlink" xfId="8618" builtinId="9" hidden="1"/>
    <cellStyle name="Followed Hyperlink" xfId="8620" builtinId="9" hidden="1"/>
    <cellStyle name="Followed Hyperlink" xfId="8568" builtinId="9" hidden="1"/>
    <cellStyle name="Followed Hyperlink" xfId="8533" builtinId="9" hidden="1"/>
    <cellStyle name="Followed Hyperlink" xfId="8622" builtinId="9" hidden="1"/>
    <cellStyle name="Followed Hyperlink" xfId="8624" builtinId="9" hidden="1"/>
    <cellStyle name="Followed Hyperlink" xfId="8626" builtinId="9" hidden="1"/>
    <cellStyle name="Followed Hyperlink" xfId="8628" builtinId="9" hidden="1"/>
    <cellStyle name="Followed Hyperlink" xfId="8560" builtinId="9" hidden="1"/>
    <cellStyle name="Followed Hyperlink" xfId="8540" builtinId="9" hidden="1"/>
    <cellStyle name="Followed Hyperlink" xfId="8630" builtinId="9" hidden="1"/>
    <cellStyle name="Followed Hyperlink" xfId="8632" builtinId="9" hidden="1"/>
    <cellStyle name="Followed Hyperlink" xfId="8634" builtinId="9" hidden="1"/>
    <cellStyle name="Followed Hyperlink" xfId="8636" builtinId="9" hidden="1"/>
    <cellStyle name="Followed Hyperlink" xfId="8542" builtinId="9" hidden="1"/>
    <cellStyle name="Followed Hyperlink" xfId="8564" builtinId="9" hidden="1"/>
    <cellStyle name="Followed Hyperlink" xfId="8638" builtinId="9" hidden="1"/>
    <cellStyle name="Followed Hyperlink" xfId="8640" builtinId="9" hidden="1"/>
    <cellStyle name="Followed Hyperlink" xfId="8642" builtinId="9" hidden="1"/>
    <cellStyle name="Followed Hyperlink" xfId="8644" builtinId="9" hidden="1"/>
    <cellStyle name="Followed Hyperlink" xfId="8557" builtinId="9" hidden="1"/>
    <cellStyle name="Followed Hyperlink" xfId="8537" builtinId="9" hidden="1"/>
    <cellStyle name="Followed Hyperlink" xfId="8646" builtinId="9" hidden="1"/>
    <cellStyle name="Followed Hyperlink" xfId="8648" builtinId="9" hidden="1"/>
    <cellStyle name="Followed Hyperlink" xfId="8650" builtinId="9" hidden="1"/>
    <cellStyle name="Followed Hyperlink" xfId="8652" builtinId="9" hidden="1"/>
    <cellStyle name="Followed Hyperlink" xfId="8548" builtinId="9" hidden="1"/>
    <cellStyle name="Followed Hyperlink" xfId="8572" builtinId="9" hidden="1"/>
    <cellStyle name="Followed Hyperlink" xfId="8654" builtinId="9" hidden="1"/>
    <cellStyle name="Followed Hyperlink" xfId="8656" builtinId="9" hidden="1"/>
    <cellStyle name="Followed Hyperlink" xfId="8658" builtinId="9" hidden="1"/>
    <cellStyle name="Followed Hyperlink" xfId="8660" builtinId="9" hidden="1"/>
    <cellStyle name="Followed Hyperlink" xfId="8546" builtinId="9" hidden="1"/>
    <cellStyle name="Followed Hyperlink" xfId="8545" builtinId="9" hidden="1"/>
    <cellStyle name="Followed Hyperlink" xfId="8662" builtinId="9" hidden="1"/>
    <cellStyle name="Followed Hyperlink" xfId="8664" builtinId="9" hidden="1"/>
    <cellStyle name="Followed Hyperlink" xfId="8666" builtinId="9" hidden="1"/>
    <cellStyle name="Followed Hyperlink" xfId="8668" builtinId="9" hidden="1"/>
    <cellStyle name="Followed Hyperlink" xfId="8544" builtinId="9" hidden="1"/>
    <cellStyle name="Followed Hyperlink" xfId="8566" builtinId="9" hidden="1"/>
    <cellStyle name="Followed Hyperlink" xfId="8670" builtinId="9" hidden="1"/>
    <cellStyle name="Followed Hyperlink" xfId="8672" builtinId="9" hidden="1"/>
    <cellStyle name="Followed Hyperlink" xfId="8674" builtinId="9" hidden="1"/>
    <cellStyle name="Followed Hyperlink" xfId="8676" builtinId="9" hidden="1"/>
    <cellStyle name="Followed Hyperlink" xfId="7377" builtinId="9" hidden="1"/>
    <cellStyle name="Followed Hyperlink" xfId="7354" builtinId="9" hidden="1"/>
    <cellStyle name="Followed Hyperlink" xfId="7457" builtinId="9" hidden="1"/>
    <cellStyle name="Followed Hyperlink" xfId="7471" builtinId="9" hidden="1"/>
    <cellStyle name="Followed Hyperlink" xfId="8510" builtinId="9" hidden="1"/>
    <cellStyle name="Followed Hyperlink" xfId="7369" builtinId="9" hidden="1"/>
    <cellStyle name="Followed Hyperlink" xfId="7449" builtinId="9" hidden="1"/>
    <cellStyle name="Followed Hyperlink" xfId="8007" builtinId="9" hidden="1"/>
    <cellStyle name="Followed Hyperlink" xfId="8681" builtinId="9" hidden="1"/>
    <cellStyle name="Followed Hyperlink" xfId="8683" builtinId="9" hidden="1"/>
    <cellStyle name="Followed Hyperlink" xfId="8685" builtinId="9" hidden="1"/>
    <cellStyle name="Followed Hyperlink" xfId="8687" builtinId="9" hidden="1"/>
    <cellStyle name="Followed Hyperlink" xfId="8689" builtinId="9" hidden="1"/>
    <cellStyle name="Followed Hyperlink" xfId="8691" builtinId="9" hidden="1"/>
    <cellStyle name="Followed Hyperlink" xfId="8741" builtinId="9" hidden="1"/>
    <cellStyle name="Followed Hyperlink" xfId="8743" builtinId="9" hidden="1"/>
    <cellStyle name="Followed Hyperlink" xfId="8745" builtinId="9" hidden="1"/>
    <cellStyle name="Followed Hyperlink" xfId="8747" builtinId="9" hidden="1"/>
    <cellStyle name="Followed Hyperlink" xfId="8716" builtinId="9" hidden="1"/>
    <cellStyle name="Followed Hyperlink" xfId="8705" builtinId="9" hidden="1"/>
    <cellStyle name="Followed Hyperlink" xfId="8749" builtinId="9" hidden="1"/>
    <cellStyle name="Followed Hyperlink" xfId="8751" builtinId="9" hidden="1"/>
    <cellStyle name="Followed Hyperlink" xfId="8753" builtinId="9" hidden="1"/>
    <cellStyle name="Followed Hyperlink" xfId="8755" builtinId="9" hidden="1"/>
    <cellStyle name="Followed Hyperlink" xfId="8699" builtinId="9" hidden="1"/>
    <cellStyle name="Followed Hyperlink" xfId="8702" builtinId="9" hidden="1"/>
    <cellStyle name="Followed Hyperlink" xfId="8757" builtinId="9" hidden="1"/>
    <cellStyle name="Followed Hyperlink" xfId="8759" builtinId="9" hidden="1"/>
    <cellStyle name="Followed Hyperlink" xfId="8761" builtinId="9" hidden="1"/>
    <cellStyle name="Followed Hyperlink" xfId="8763" builtinId="9" hidden="1"/>
    <cellStyle name="Followed Hyperlink" xfId="8717" builtinId="9" hidden="1"/>
    <cellStyle name="Followed Hyperlink" xfId="8730" builtinId="9" hidden="1"/>
    <cellStyle name="Followed Hyperlink" xfId="8765" builtinId="9" hidden="1"/>
    <cellStyle name="Followed Hyperlink" xfId="8767" builtinId="9" hidden="1"/>
    <cellStyle name="Followed Hyperlink" xfId="8769" builtinId="9" hidden="1"/>
    <cellStyle name="Followed Hyperlink" xfId="8771" builtinId="9" hidden="1"/>
    <cellStyle name="Followed Hyperlink" xfId="8729" builtinId="9" hidden="1"/>
    <cellStyle name="Followed Hyperlink" xfId="8696" builtinId="9" hidden="1"/>
    <cellStyle name="Followed Hyperlink" xfId="8773" builtinId="9" hidden="1"/>
    <cellStyle name="Followed Hyperlink" xfId="8775" builtinId="9" hidden="1"/>
    <cellStyle name="Followed Hyperlink" xfId="8777" builtinId="9" hidden="1"/>
    <cellStyle name="Followed Hyperlink" xfId="8779" builtinId="9" hidden="1"/>
    <cellStyle name="Followed Hyperlink" xfId="8701" builtinId="9" hidden="1"/>
    <cellStyle name="Followed Hyperlink" xfId="8732" builtinId="9" hidden="1"/>
    <cellStyle name="Followed Hyperlink" xfId="8781" builtinId="9" hidden="1"/>
    <cellStyle name="Followed Hyperlink" xfId="8783" builtinId="9" hidden="1"/>
    <cellStyle name="Followed Hyperlink" xfId="8785" builtinId="9" hidden="1"/>
    <cellStyle name="Followed Hyperlink" xfId="8787" builtinId="9" hidden="1"/>
    <cellStyle name="Followed Hyperlink" xfId="8735" builtinId="9" hidden="1"/>
    <cellStyle name="Followed Hyperlink" xfId="8700" builtinId="9" hidden="1"/>
    <cellStyle name="Followed Hyperlink" xfId="8789" builtinId="9" hidden="1"/>
    <cellStyle name="Followed Hyperlink" xfId="8791" builtinId="9" hidden="1"/>
    <cellStyle name="Followed Hyperlink" xfId="8793" builtinId="9" hidden="1"/>
    <cellStyle name="Followed Hyperlink" xfId="8795" builtinId="9" hidden="1"/>
    <cellStyle name="Followed Hyperlink" xfId="8727" builtinId="9" hidden="1"/>
    <cellStyle name="Followed Hyperlink" xfId="8707" builtinId="9" hidden="1"/>
    <cellStyle name="Followed Hyperlink" xfId="8797" builtinId="9" hidden="1"/>
    <cellStyle name="Followed Hyperlink" xfId="8799" builtinId="9" hidden="1"/>
    <cellStyle name="Followed Hyperlink" xfId="8801" builtinId="9" hidden="1"/>
    <cellStyle name="Followed Hyperlink" xfId="8803" builtinId="9" hidden="1"/>
    <cellStyle name="Followed Hyperlink" xfId="8709" builtinId="9" hidden="1"/>
    <cellStyle name="Followed Hyperlink" xfId="8731" builtinId="9" hidden="1"/>
    <cellStyle name="Followed Hyperlink" xfId="8805" builtinId="9" hidden="1"/>
    <cellStyle name="Followed Hyperlink" xfId="8807" builtinId="9" hidden="1"/>
    <cellStyle name="Followed Hyperlink" xfId="8809" builtinId="9" hidden="1"/>
    <cellStyle name="Followed Hyperlink" xfId="8811" builtinId="9" hidden="1"/>
    <cellStyle name="Followed Hyperlink" xfId="8724" builtinId="9" hidden="1"/>
    <cellStyle name="Followed Hyperlink" xfId="8704" builtinId="9" hidden="1"/>
    <cellStyle name="Followed Hyperlink" xfId="8813" builtinId="9" hidden="1"/>
    <cellStyle name="Followed Hyperlink" xfId="8815" builtinId="9" hidden="1"/>
    <cellStyle name="Followed Hyperlink" xfId="8817" builtinId="9" hidden="1"/>
    <cellStyle name="Followed Hyperlink" xfId="8819" builtinId="9" hidden="1"/>
    <cellStyle name="Followed Hyperlink" xfId="8715" builtinId="9" hidden="1"/>
    <cellStyle name="Followed Hyperlink" xfId="8739" builtinId="9" hidden="1"/>
    <cellStyle name="Followed Hyperlink" xfId="8821" builtinId="9" hidden="1"/>
    <cellStyle name="Followed Hyperlink" xfId="8823" builtinId="9" hidden="1"/>
    <cellStyle name="Followed Hyperlink" xfId="8825" builtinId="9" hidden="1"/>
    <cellStyle name="Followed Hyperlink" xfId="8827" builtinId="9" hidden="1"/>
    <cellStyle name="Followed Hyperlink" xfId="8713" builtinId="9" hidden="1"/>
    <cellStyle name="Followed Hyperlink" xfId="8712" builtinId="9" hidden="1"/>
    <cellStyle name="Followed Hyperlink" xfId="8829" builtinId="9" hidden="1"/>
    <cellStyle name="Followed Hyperlink" xfId="8831" builtinId="9" hidden="1"/>
    <cellStyle name="Followed Hyperlink" xfId="8833" builtinId="9" hidden="1"/>
    <cellStyle name="Followed Hyperlink" xfId="8835" builtinId="9" hidden="1"/>
    <cellStyle name="Followed Hyperlink" xfId="8711" builtinId="9" hidden="1"/>
    <cellStyle name="Followed Hyperlink" xfId="8733" builtinId="9" hidden="1"/>
    <cellStyle name="Followed Hyperlink" xfId="8837" builtinId="9" hidden="1"/>
    <cellStyle name="Followed Hyperlink" xfId="8839" builtinId="9" hidden="1"/>
    <cellStyle name="Followed Hyperlink" xfId="8841" builtinId="9" hidden="1"/>
    <cellStyle name="Followed Hyperlink" xfId="8843" builtinId="9" hidden="1"/>
    <cellStyle name="Followed Hyperlink" xfId="7460" builtinId="9" hidden="1"/>
    <cellStyle name="Followed Hyperlink" xfId="7834" builtinId="9" hidden="1"/>
    <cellStyle name="Followed Hyperlink" xfId="7830" builtinId="9" hidden="1"/>
    <cellStyle name="Followed Hyperlink" xfId="7394" builtinId="9" hidden="1"/>
    <cellStyle name="Followed Hyperlink" xfId="8677" builtinId="9" hidden="1"/>
    <cellStyle name="Followed Hyperlink" xfId="7400" builtinId="9" hidden="1"/>
    <cellStyle name="Followed Hyperlink" xfId="7434" builtinId="9" hidden="1"/>
    <cellStyle name="Followed Hyperlink" xfId="8176" builtinId="9" hidden="1"/>
    <cellStyle name="Followed Hyperlink" xfId="8846" builtinId="9" hidden="1"/>
    <cellStyle name="Followed Hyperlink" xfId="8848" builtinId="9" hidden="1"/>
    <cellStyle name="Followed Hyperlink" xfId="8850" builtinId="9" hidden="1"/>
    <cellStyle name="Followed Hyperlink" xfId="8852" builtinId="9" hidden="1"/>
    <cellStyle name="Followed Hyperlink" xfId="8854" builtinId="9" hidden="1"/>
    <cellStyle name="Followed Hyperlink" xfId="8856" builtinId="9" hidden="1"/>
    <cellStyle name="Followed Hyperlink" xfId="8906" builtinId="9" hidden="1"/>
    <cellStyle name="Followed Hyperlink" xfId="8908" builtinId="9" hidden="1"/>
    <cellStyle name="Followed Hyperlink" xfId="8910" builtinId="9" hidden="1"/>
    <cellStyle name="Followed Hyperlink" xfId="8912" builtinId="9" hidden="1"/>
    <cellStyle name="Followed Hyperlink" xfId="8881" builtinId="9" hidden="1"/>
    <cellStyle name="Followed Hyperlink" xfId="8870" builtinId="9" hidden="1"/>
    <cellStyle name="Followed Hyperlink" xfId="8914" builtinId="9" hidden="1"/>
    <cellStyle name="Followed Hyperlink" xfId="8916" builtinId="9" hidden="1"/>
    <cellStyle name="Followed Hyperlink" xfId="8918" builtinId="9" hidden="1"/>
    <cellStyle name="Followed Hyperlink" xfId="8920" builtinId="9" hidden="1"/>
    <cellStyle name="Followed Hyperlink" xfId="8864" builtinId="9" hidden="1"/>
    <cellStyle name="Followed Hyperlink" xfId="8867" builtinId="9" hidden="1"/>
    <cellStyle name="Followed Hyperlink" xfId="8922" builtinId="9" hidden="1"/>
    <cellStyle name="Followed Hyperlink" xfId="8924" builtinId="9" hidden="1"/>
    <cellStyle name="Followed Hyperlink" xfId="8926" builtinId="9" hidden="1"/>
    <cellStyle name="Followed Hyperlink" xfId="8928" builtinId="9" hidden="1"/>
    <cellStyle name="Followed Hyperlink" xfId="8882" builtinId="9" hidden="1"/>
    <cellStyle name="Followed Hyperlink" xfId="8895" builtinId="9" hidden="1"/>
    <cellStyle name="Followed Hyperlink" xfId="8930" builtinId="9" hidden="1"/>
    <cellStyle name="Followed Hyperlink" xfId="8932" builtinId="9" hidden="1"/>
    <cellStyle name="Followed Hyperlink" xfId="8934" builtinId="9" hidden="1"/>
    <cellStyle name="Followed Hyperlink" xfId="8936" builtinId="9" hidden="1"/>
    <cellStyle name="Followed Hyperlink" xfId="8894" builtinId="9" hidden="1"/>
    <cellStyle name="Followed Hyperlink" xfId="8861" builtinId="9" hidden="1"/>
    <cellStyle name="Followed Hyperlink" xfId="8938" builtinId="9" hidden="1"/>
    <cellStyle name="Followed Hyperlink" xfId="8940" builtinId="9" hidden="1"/>
    <cellStyle name="Followed Hyperlink" xfId="8942" builtinId="9" hidden="1"/>
    <cellStyle name="Followed Hyperlink" xfId="8944" builtinId="9" hidden="1"/>
    <cellStyle name="Followed Hyperlink" xfId="8866" builtinId="9" hidden="1"/>
    <cellStyle name="Followed Hyperlink" xfId="8897" builtinId="9" hidden="1"/>
    <cellStyle name="Followed Hyperlink" xfId="8946" builtinId="9" hidden="1"/>
    <cellStyle name="Followed Hyperlink" xfId="8948" builtinId="9" hidden="1"/>
    <cellStyle name="Followed Hyperlink" xfId="8950" builtinId="9" hidden="1"/>
    <cellStyle name="Followed Hyperlink" xfId="8952" builtinId="9" hidden="1"/>
    <cellStyle name="Followed Hyperlink" xfId="8900" builtinId="9" hidden="1"/>
    <cellStyle name="Followed Hyperlink" xfId="8865" builtinId="9" hidden="1"/>
    <cellStyle name="Followed Hyperlink" xfId="8954" builtinId="9" hidden="1"/>
    <cellStyle name="Followed Hyperlink" xfId="8956" builtinId="9" hidden="1"/>
    <cellStyle name="Followed Hyperlink" xfId="8958" builtinId="9" hidden="1"/>
    <cellStyle name="Followed Hyperlink" xfId="8960" builtinId="9" hidden="1"/>
    <cellStyle name="Followed Hyperlink" xfId="8892" builtinId="9" hidden="1"/>
    <cellStyle name="Followed Hyperlink" xfId="8872" builtinId="9" hidden="1"/>
    <cellStyle name="Followed Hyperlink" xfId="8962" builtinId="9" hidden="1"/>
    <cellStyle name="Followed Hyperlink" xfId="8964" builtinId="9" hidden="1"/>
    <cellStyle name="Followed Hyperlink" xfId="8966" builtinId="9" hidden="1"/>
    <cellStyle name="Followed Hyperlink" xfId="8968" builtinId="9" hidden="1"/>
    <cellStyle name="Followed Hyperlink" xfId="8874" builtinId="9" hidden="1"/>
    <cellStyle name="Followed Hyperlink" xfId="8896" builtinId="9" hidden="1"/>
    <cellStyle name="Followed Hyperlink" xfId="8970" builtinId="9" hidden="1"/>
    <cellStyle name="Followed Hyperlink" xfId="8972" builtinId="9" hidden="1"/>
    <cellStyle name="Followed Hyperlink" xfId="8974" builtinId="9" hidden="1"/>
    <cellStyle name="Followed Hyperlink" xfId="8976" builtinId="9" hidden="1"/>
    <cellStyle name="Followed Hyperlink" xfId="8889" builtinId="9" hidden="1"/>
    <cellStyle name="Followed Hyperlink" xfId="8869" builtinId="9" hidden="1"/>
    <cellStyle name="Followed Hyperlink" xfId="8978" builtinId="9" hidden="1"/>
    <cellStyle name="Followed Hyperlink" xfId="8980" builtinId="9" hidden="1"/>
    <cellStyle name="Followed Hyperlink" xfId="8982" builtinId="9" hidden="1"/>
    <cellStyle name="Followed Hyperlink" xfId="8984" builtinId="9" hidden="1"/>
    <cellStyle name="Followed Hyperlink" xfId="8880" builtinId="9" hidden="1"/>
    <cellStyle name="Followed Hyperlink" xfId="8904" builtinId="9" hidden="1"/>
    <cellStyle name="Followed Hyperlink" xfId="8986" builtinId="9" hidden="1"/>
    <cellStyle name="Followed Hyperlink" xfId="8988" builtinId="9" hidden="1"/>
    <cellStyle name="Followed Hyperlink" xfId="8990" builtinId="9" hidden="1"/>
    <cellStyle name="Followed Hyperlink" xfId="8992" builtinId="9" hidden="1"/>
    <cellStyle name="Followed Hyperlink" xfId="8878" builtinId="9" hidden="1"/>
    <cellStyle name="Followed Hyperlink" xfId="8877" builtinId="9" hidden="1"/>
    <cellStyle name="Followed Hyperlink" xfId="8994" builtinId="9" hidden="1"/>
    <cellStyle name="Followed Hyperlink" xfId="8996" builtinId="9" hidden="1"/>
    <cellStyle name="Followed Hyperlink" xfId="8998" builtinId="9" hidden="1"/>
    <cellStyle name="Followed Hyperlink" xfId="9000" builtinId="9" hidden="1"/>
    <cellStyle name="Followed Hyperlink" xfId="8876" builtinId="9" hidden="1"/>
    <cellStyle name="Followed Hyperlink" xfId="8898" builtinId="9" hidden="1"/>
    <cellStyle name="Followed Hyperlink" xfId="9002" builtinId="9" hidden="1"/>
    <cellStyle name="Followed Hyperlink" xfId="9004" builtinId="9" hidden="1"/>
    <cellStyle name="Followed Hyperlink" xfId="9006" builtinId="9" hidden="1"/>
    <cellStyle name="Followed Hyperlink" xfId="9008" builtinId="9" hidden="1"/>
    <cellStyle name="Followed Hyperlink" xfId="7444" builtinId="9" hidden="1"/>
    <cellStyle name="Followed Hyperlink" xfId="8004" builtinId="9" hidden="1"/>
    <cellStyle name="Followed Hyperlink" xfId="7475" builtinId="9" hidden="1"/>
    <cellStyle name="Followed Hyperlink" xfId="7385" builtinId="9" hidden="1"/>
    <cellStyle name="Followed Hyperlink" xfId="8844" builtinId="9" hidden="1"/>
    <cellStyle name="Followed Hyperlink" xfId="7364" builtinId="9" hidden="1"/>
    <cellStyle name="Followed Hyperlink" xfId="7479" builtinId="9" hidden="1"/>
    <cellStyle name="Followed Hyperlink" xfId="8345" builtinId="9" hidden="1"/>
    <cellStyle name="Followed Hyperlink" xfId="9011" builtinId="9" hidden="1"/>
    <cellStyle name="Followed Hyperlink" xfId="9013" builtinId="9" hidden="1"/>
    <cellStyle name="Followed Hyperlink" xfId="9015" builtinId="9" hidden="1"/>
    <cellStyle name="Followed Hyperlink" xfId="9017" builtinId="9" hidden="1"/>
    <cellStyle name="Followed Hyperlink" xfId="9019" builtinId="9" hidden="1"/>
    <cellStyle name="Followed Hyperlink" xfId="9021" builtinId="9" hidden="1"/>
    <cellStyle name="Followed Hyperlink" xfId="9071" builtinId="9" hidden="1"/>
    <cellStyle name="Followed Hyperlink" xfId="9073" builtinId="9" hidden="1"/>
    <cellStyle name="Followed Hyperlink" xfId="9075" builtinId="9" hidden="1"/>
    <cellStyle name="Followed Hyperlink" xfId="9077" builtinId="9" hidden="1"/>
    <cellStyle name="Followed Hyperlink" xfId="9046" builtinId="9" hidden="1"/>
    <cellStyle name="Followed Hyperlink" xfId="9035" builtinId="9" hidden="1"/>
    <cellStyle name="Followed Hyperlink" xfId="9079" builtinId="9" hidden="1"/>
    <cellStyle name="Followed Hyperlink" xfId="9081" builtinId="9" hidden="1"/>
    <cellStyle name="Followed Hyperlink" xfId="9083" builtinId="9" hidden="1"/>
    <cellStyle name="Followed Hyperlink" xfId="9085" builtinId="9" hidden="1"/>
    <cellStyle name="Followed Hyperlink" xfId="9029" builtinId="9" hidden="1"/>
    <cellStyle name="Followed Hyperlink" xfId="9032" builtinId="9" hidden="1"/>
    <cellStyle name="Followed Hyperlink" xfId="9087" builtinId="9" hidden="1"/>
    <cellStyle name="Followed Hyperlink" xfId="9089" builtinId="9" hidden="1"/>
    <cellStyle name="Followed Hyperlink" xfId="9091" builtinId="9" hidden="1"/>
    <cellStyle name="Followed Hyperlink" xfId="9093" builtinId="9" hidden="1"/>
    <cellStyle name="Followed Hyperlink" xfId="9047" builtinId="9" hidden="1"/>
    <cellStyle name="Followed Hyperlink" xfId="9060" builtinId="9" hidden="1"/>
    <cellStyle name="Followed Hyperlink" xfId="9095" builtinId="9" hidden="1"/>
    <cellStyle name="Followed Hyperlink" xfId="9097" builtinId="9" hidden="1"/>
    <cellStyle name="Followed Hyperlink" xfId="9099" builtinId="9" hidden="1"/>
    <cellStyle name="Followed Hyperlink" xfId="9101" builtinId="9" hidden="1"/>
    <cellStyle name="Followed Hyperlink" xfId="9059" builtinId="9" hidden="1"/>
    <cellStyle name="Followed Hyperlink" xfId="9026" builtinId="9" hidden="1"/>
    <cellStyle name="Followed Hyperlink" xfId="9103" builtinId="9" hidden="1"/>
    <cellStyle name="Followed Hyperlink" xfId="9105" builtinId="9" hidden="1"/>
    <cellStyle name="Followed Hyperlink" xfId="9107" builtinId="9" hidden="1"/>
    <cellStyle name="Followed Hyperlink" xfId="9109" builtinId="9" hidden="1"/>
    <cellStyle name="Followed Hyperlink" xfId="9031" builtinId="9" hidden="1"/>
    <cellStyle name="Followed Hyperlink" xfId="9062" builtinId="9" hidden="1"/>
    <cellStyle name="Followed Hyperlink" xfId="9111" builtinId="9" hidden="1"/>
    <cellStyle name="Followed Hyperlink" xfId="9113" builtinId="9" hidden="1"/>
    <cellStyle name="Followed Hyperlink" xfId="9115" builtinId="9" hidden="1"/>
    <cellStyle name="Followed Hyperlink" xfId="9117" builtinId="9" hidden="1"/>
    <cellStyle name="Followed Hyperlink" xfId="9065" builtinId="9" hidden="1"/>
    <cellStyle name="Followed Hyperlink" xfId="9030" builtinId="9" hidden="1"/>
    <cellStyle name="Followed Hyperlink" xfId="9119" builtinId="9" hidden="1"/>
    <cellStyle name="Followed Hyperlink" xfId="9121" builtinId="9" hidden="1"/>
    <cellStyle name="Followed Hyperlink" xfId="9123" builtinId="9" hidden="1"/>
    <cellStyle name="Followed Hyperlink" xfId="9125" builtinId="9" hidden="1"/>
    <cellStyle name="Followed Hyperlink" xfId="9057" builtinId="9" hidden="1"/>
    <cellStyle name="Followed Hyperlink" xfId="9037" builtinId="9" hidden="1"/>
    <cellStyle name="Followed Hyperlink" xfId="9127" builtinId="9" hidden="1"/>
    <cellStyle name="Followed Hyperlink" xfId="9129" builtinId="9" hidden="1"/>
    <cellStyle name="Followed Hyperlink" xfId="9131" builtinId="9" hidden="1"/>
    <cellStyle name="Followed Hyperlink" xfId="9133" builtinId="9" hidden="1"/>
    <cellStyle name="Followed Hyperlink" xfId="9039" builtinId="9" hidden="1"/>
    <cellStyle name="Followed Hyperlink" xfId="9061" builtinId="9" hidden="1"/>
    <cellStyle name="Followed Hyperlink" xfId="9135" builtinId="9" hidden="1"/>
    <cellStyle name="Followed Hyperlink" xfId="9137" builtinId="9" hidden="1"/>
    <cellStyle name="Followed Hyperlink" xfId="9139" builtinId="9" hidden="1"/>
    <cellStyle name="Followed Hyperlink" xfId="9141" builtinId="9" hidden="1"/>
    <cellStyle name="Followed Hyperlink" xfId="9054" builtinId="9" hidden="1"/>
    <cellStyle name="Followed Hyperlink" xfId="9034" builtinId="9" hidden="1"/>
    <cellStyle name="Followed Hyperlink" xfId="9143" builtinId="9" hidden="1"/>
    <cellStyle name="Followed Hyperlink" xfId="9145" builtinId="9" hidden="1"/>
    <cellStyle name="Followed Hyperlink" xfId="9147" builtinId="9" hidden="1"/>
    <cellStyle name="Followed Hyperlink" xfId="9149" builtinId="9" hidden="1"/>
    <cellStyle name="Followed Hyperlink" xfId="9045" builtinId="9" hidden="1"/>
    <cellStyle name="Followed Hyperlink" xfId="9069" builtinId="9" hidden="1"/>
    <cellStyle name="Followed Hyperlink" xfId="9151" builtinId="9" hidden="1"/>
    <cellStyle name="Followed Hyperlink" xfId="9153" builtinId="9" hidden="1"/>
    <cellStyle name="Followed Hyperlink" xfId="9155" builtinId="9" hidden="1"/>
    <cellStyle name="Followed Hyperlink" xfId="9157" builtinId="9" hidden="1"/>
    <cellStyle name="Followed Hyperlink" xfId="9043" builtinId="9" hidden="1"/>
    <cellStyle name="Followed Hyperlink" xfId="9042" builtinId="9" hidden="1"/>
    <cellStyle name="Followed Hyperlink" xfId="9159" builtinId="9" hidden="1"/>
    <cellStyle name="Followed Hyperlink" xfId="9161" builtinId="9" hidden="1"/>
    <cellStyle name="Followed Hyperlink" xfId="9163" builtinId="9" hidden="1"/>
    <cellStyle name="Followed Hyperlink" xfId="9165" builtinId="9" hidden="1"/>
    <cellStyle name="Followed Hyperlink" xfId="9041" builtinId="9" hidden="1"/>
    <cellStyle name="Followed Hyperlink" xfId="9063" builtinId="9" hidden="1"/>
    <cellStyle name="Followed Hyperlink" xfId="9167" builtinId="9" hidden="1"/>
    <cellStyle name="Followed Hyperlink" xfId="9169" builtinId="9" hidden="1"/>
    <cellStyle name="Followed Hyperlink" xfId="9171" builtinId="9" hidden="1"/>
    <cellStyle name="Followed Hyperlink" xfId="9173" builtinId="9" hidden="1"/>
    <cellStyle name="Followed Hyperlink" xfId="7370" builtinId="9" hidden="1"/>
    <cellStyle name="Followed Hyperlink" xfId="8173" builtinId="9" hidden="1"/>
    <cellStyle name="Followed Hyperlink" xfId="7451" builtinId="9" hidden="1"/>
    <cellStyle name="Followed Hyperlink" xfId="7483" builtinId="9" hidden="1"/>
    <cellStyle name="Followed Hyperlink" xfId="9009" builtinId="9" hidden="1"/>
    <cellStyle name="Followed Hyperlink" xfId="7361" builtinId="9" hidden="1"/>
    <cellStyle name="Followed Hyperlink" xfId="7447" builtinId="9" hidden="1"/>
    <cellStyle name="Followed Hyperlink" xfId="8512" builtinId="9" hidden="1"/>
    <cellStyle name="Followed Hyperlink" xfId="9176" builtinId="9" hidden="1"/>
    <cellStyle name="Followed Hyperlink" xfId="9178" builtinId="9" hidden="1"/>
    <cellStyle name="Followed Hyperlink" xfId="9180" builtinId="9" hidden="1"/>
    <cellStyle name="Followed Hyperlink" xfId="9182" builtinId="9" hidden="1"/>
    <cellStyle name="Followed Hyperlink" xfId="9184" builtinId="9" hidden="1"/>
    <cellStyle name="Followed Hyperlink" xfId="9186" builtinId="9" hidden="1"/>
    <cellStyle name="Followed Hyperlink" xfId="9236" builtinId="9" hidden="1"/>
    <cellStyle name="Followed Hyperlink" xfId="9238" builtinId="9" hidden="1"/>
    <cellStyle name="Followed Hyperlink" xfId="9240" builtinId="9" hidden="1"/>
    <cellStyle name="Followed Hyperlink" xfId="9242" builtinId="9" hidden="1"/>
    <cellStyle name="Followed Hyperlink" xfId="9211" builtinId="9" hidden="1"/>
    <cellStyle name="Followed Hyperlink" xfId="9200" builtinId="9" hidden="1"/>
    <cellStyle name="Followed Hyperlink" xfId="9244" builtinId="9" hidden="1"/>
    <cellStyle name="Followed Hyperlink" xfId="9246" builtinId="9" hidden="1"/>
    <cellStyle name="Followed Hyperlink" xfId="9248" builtinId="9" hidden="1"/>
    <cellStyle name="Followed Hyperlink" xfId="9250" builtinId="9" hidden="1"/>
    <cellStyle name="Followed Hyperlink" xfId="9194" builtinId="9" hidden="1"/>
    <cellStyle name="Followed Hyperlink" xfId="9197" builtinId="9" hidden="1"/>
    <cellStyle name="Followed Hyperlink" xfId="9252" builtinId="9" hidden="1"/>
    <cellStyle name="Followed Hyperlink" xfId="9254" builtinId="9" hidden="1"/>
    <cellStyle name="Followed Hyperlink" xfId="9256" builtinId="9" hidden="1"/>
    <cellStyle name="Followed Hyperlink" xfId="9258" builtinId="9" hidden="1"/>
    <cellStyle name="Followed Hyperlink" xfId="9212" builtinId="9" hidden="1"/>
    <cellStyle name="Followed Hyperlink" xfId="9225" builtinId="9" hidden="1"/>
    <cellStyle name="Followed Hyperlink" xfId="9260" builtinId="9" hidden="1"/>
    <cellStyle name="Followed Hyperlink" xfId="9262" builtinId="9" hidden="1"/>
    <cellStyle name="Followed Hyperlink" xfId="9264" builtinId="9" hidden="1"/>
    <cellStyle name="Followed Hyperlink" xfId="9266" builtinId="9" hidden="1"/>
    <cellStyle name="Followed Hyperlink" xfId="9224" builtinId="9" hidden="1"/>
    <cellStyle name="Followed Hyperlink" xfId="9191" builtinId="9" hidden="1"/>
    <cellStyle name="Followed Hyperlink" xfId="9268" builtinId="9" hidden="1"/>
    <cellStyle name="Followed Hyperlink" xfId="9270" builtinId="9" hidden="1"/>
    <cellStyle name="Followed Hyperlink" xfId="9272" builtinId="9" hidden="1"/>
    <cellStyle name="Followed Hyperlink" xfId="9274" builtinId="9" hidden="1"/>
    <cellStyle name="Followed Hyperlink" xfId="9196" builtinId="9" hidden="1"/>
    <cellStyle name="Followed Hyperlink" xfId="9227" builtinId="9" hidden="1"/>
    <cellStyle name="Followed Hyperlink" xfId="9276" builtinId="9" hidden="1"/>
    <cellStyle name="Followed Hyperlink" xfId="9278" builtinId="9" hidden="1"/>
    <cellStyle name="Followed Hyperlink" xfId="9280" builtinId="9" hidden="1"/>
    <cellStyle name="Followed Hyperlink" xfId="9282" builtinId="9" hidden="1"/>
    <cellStyle name="Followed Hyperlink" xfId="9230" builtinId="9" hidden="1"/>
    <cellStyle name="Followed Hyperlink" xfId="9195" builtinId="9" hidden="1"/>
    <cellStyle name="Followed Hyperlink" xfId="9284" builtinId="9" hidden="1"/>
    <cellStyle name="Followed Hyperlink" xfId="9286" builtinId="9" hidden="1"/>
    <cellStyle name="Followed Hyperlink" xfId="9288" builtinId="9" hidden="1"/>
    <cellStyle name="Followed Hyperlink" xfId="9290" builtinId="9" hidden="1"/>
    <cellStyle name="Followed Hyperlink" xfId="9222" builtinId="9" hidden="1"/>
    <cellStyle name="Followed Hyperlink" xfId="9202" builtinId="9" hidden="1"/>
    <cellStyle name="Followed Hyperlink" xfId="9292" builtinId="9" hidden="1"/>
    <cellStyle name="Followed Hyperlink" xfId="9294" builtinId="9" hidden="1"/>
    <cellStyle name="Followed Hyperlink" xfId="9296" builtinId="9" hidden="1"/>
    <cellStyle name="Followed Hyperlink" xfId="9298" builtinId="9" hidden="1"/>
    <cellStyle name="Followed Hyperlink" xfId="9204" builtinId="9" hidden="1"/>
    <cellStyle name="Followed Hyperlink" xfId="9226" builtinId="9" hidden="1"/>
    <cellStyle name="Followed Hyperlink" xfId="9300" builtinId="9" hidden="1"/>
    <cellStyle name="Followed Hyperlink" xfId="9302" builtinId="9" hidden="1"/>
    <cellStyle name="Followed Hyperlink" xfId="9304" builtinId="9" hidden="1"/>
    <cellStyle name="Followed Hyperlink" xfId="9306" builtinId="9" hidden="1"/>
    <cellStyle name="Followed Hyperlink" xfId="9219" builtinId="9" hidden="1"/>
    <cellStyle name="Followed Hyperlink" xfId="9199" builtinId="9" hidden="1"/>
    <cellStyle name="Followed Hyperlink" xfId="9308" builtinId="9" hidden="1"/>
    <cellStyle name="Followed Hyperlink" xfId="9310" builtinId="9" hidden="1"/>
    <cellStyle name="Followed Hyperlink" xfId="9312" builtinId="9" hidden="1"/>
    <cellStyle name="Followed Hyperlink" xfId="9314" builtinId="9" hidden="1"/>
    <cellStyle name="Followed Hyperlink" xfId="9210" builtinId="9" hidden="1"/>
    <cellStyle name="Followed Hyperlink" xfId="9234" builtinId="9" hidden="1"/>
    <cellStyle name="Followed Hyperlink" xfId="9316" builtinId="9" hidden="1"/>
    <cellStyle name="Followed Hyperlink" xfId="9318" builtinId="9" hidden="1"/>
    <cellStyle name="Followed Hyperlink" xfId="9320" builtinId="9" hidden="1"/>
    <cellStyle name="Followed Hyperlink" xfId="9322" builtinId="9" hidden="1"/>
    <cellStyle name="Followed Hyperlink" xfId="9208" builtinId="9" hidden="1"/>
    <cellStyle name="Followed Hyperlink" xfId="9207" builtinId="9" hidden="1"/>
    <cellStyle name="Followed Hyperlink" xfId="9324" builtinId="9" hidden="1"/>
    <cellStyle name="Followed Hyperlink" xfId="9326" builtinId="9" hidden="1"/>
    <cellStyle name="Followed Hyperlink" xfId="9328" builtinId="9" hidden="1"/>
    <cellStyle name="Followed Hyperlink" xfId="9330" builtinId="9" hidden="1"/>
    <cellStyle name="Followed Hyperlink" xfId="9206" builtinId="9" hidden="1"/>
    <cellStyle name="Followed Hyperlink" xfId="9228" builtinId="9" hidden="1"/>
    <cellStyle name="Followed Hyperlink" xfId="9332" builtinId="9" hidden="1"/>
    <cellStyle name="Followed Hyperlink" xfId="9334" builtinId="9" hidden="1"/>
    <cellStyle name="Followed Hyperlink" xfId="9336" builtinId="9" hidden="1"/>
    <cellStyle name="Followed Hyperlink" xfId="9338" builtinId="9" hidden="1"/>
    <cellStyle name="Followed Hyperlink" xfId="7441" builtinId="9" hidden="1"/>
    <cellStyle name="Followed Hyperlink" xfId="8342" builtinId="9" hidden="1"/>
    <cellStyle name="Followed Hyperlink" xfId="7496" builtinId="9" hidden="1"/>
    <cellStyle name="Followed Hyperlink" xfId="7485" builtinId="9" hidden="1"/>
    <cellStyle name="Followed Hyperlink" xfId="9174" builtinId="9" hidden="1"/>
    <cellStyle name="Followed Hyperlink" xfId="7462" builtinId="9" hidden="1"/>
    <cellStyle name="Followed Hyperlink" xfId="7363" builtinId="9" hidden="1"/>
    <cellStyle name="Followed Hyperlink" xfId="8679" builtinId="9" hidden="1"/>
    <cellStyle name="Followed Hyperlink" xfId="9340" builtinId="9" hidden="1"/>
    <cellStyle name="Followed Hyperlink" xfId="9342" builtinId="9" hidden="1"/>
    <cellStyle name="Followed Hyperlink" xfId="9344" builtinId="9" hidden="1"/>
    <cellStyle name="Followed Hyperlink" xfId="9346" builtinId="9" hidden="1"/>
    <cellStyle name="Followed Hyperlink" xfId="9348" builtinId="9" hidden="1"/>
    <cellStyle name="Followed Hyperlink" xfId="9350" builtinId="9" hidden="1"/>
    <cellStyle name="Followed Hyperlink" xfId="9400" builtinId="9" hidden="1"/>
    <cellStyle name="Followed Hyperlink" xfId="9402" builtinId="9" hidden="1"/>
    <cellStyle name="Followed Hyperlink" xfId="9404" builtinId="9" hidden="1"/>
    <cellStyle name="Followed Hyperlink" xfId="9406" builtinId="9" hidden="1"/>
    <cellStyle name="Followed Hyperlink" xfId="9375" builtinId="9" hidden="1"/>
    <cellStyle name="Followed Hyperlink" xfId="9364" builtinId="9" hidden="1"/>
    <cellStyle name="Followed Hyperlink" xfId="9408" builtinId="9" hidden="1"/>
    <cellStyle name="Followed Hyperlink" xfId="9410" builtinId="9" hidden="1"/>
    <cellStyle name="Followed Hyperlink" xfId="9412" builtinId="9" hidden="1"/>
    <cellStyle name="Followed Hyperlink" xfId="9414" builtinId="9" hidden="1"/>
    <cellStyle name="Followed Hyperlink" xfId="9358" builtinId="9" hidden="1"/>
    <cellStyle name="Followed Hyperlink" xfId="9361" builtinId="9" hidden="1"/>
    <cellStyle name="Followed Hyperlink" xfId="9416" builtinId="9" hidden="1"/>
    <cellStyle name="Followed Hyperlink" xfId="9418" builtinId="9" hidden="1"/>
    <cellStyle name="Followed Hyperlink" xfId="9420" builtinId="9" hidden="1"/>
    <cellStyle name="Followed Hyperlink" xfId="9422" builtinId="9" hidden="1"/>
    <cellStyle name="Followed Hyperlink" xfId="9376" builtinId="9" hidden="1"/>
    <cellStyle name="Followed Hyperlink" xfId="9389" builtinId="9" hidden="1"/>
    <cellStyle name="Followed Hyperlink" xfId="9424" builtinId="9" hidden="1"/>
    <cellStyle name="Followed Hyperlink" xfId="9426" builtinId="9" hidden="1"/>
    <cellStyle name="Followed Hyperlink" xfId="9428" builtinId="9" hidden="1"/>
    <cellStyle name="Followed Hyperlink" xfId="9430" builtinId="9" hidden="1"/>
    <cellStyle name="Followed Hyperlink" xfId="9388" builtinId="9" hidden="1"/>
    <cellStyle name="Followed Hyperlink" xfId="9355" builtinId="9" hidden="1"/>
    <cellStyle name="Followed Hyperlink" xfId="9432" builtinId="9" hidden="1"/>
    <cellStyle name="Followed Hyperlink" xfId="9434" builtinId="9" hidden="1"/>
    <cellStyle name="Followed Hyperlink" xfId="9436" builtinId="9" hidden="1"/>
    <cellStyle name="Followed Hyperlink" xfId="9438" builtinId="9" hidden="1"/>
    <cellStyle name="Followed Hyperlink" xfId="9360" builtinId="9" hidden="1"/>
    <cellStyle name="Followed Hyperlink" xfId="9391" builtinId="9" hidden="1"/>
    <cellStyle name="Followed Hyperlink" xfId="9440" builtinId="9" hidden="1"/>
    <cellStyle name="Followed Hyperlink" xfId="9442" builtinId="9" hidden="1"/>
    <cellStyle name="Followed Hyperlink" xfId="9444" builtinId="9" hidden="1"/>
    <cellStyle name="Followed Hyperlink" xfId="9446" builtinId="9" hidden="1"/>
    <cellStyle name="Followed Hyperlink" xfId="9394" builtinId="9" hidden="1"/>
    <cellStyle name="Followed Hyperlink" xfId="9359" builtinId="9" hidden="1"/>
    <cellStyle name="Followed Hyperlink" xfId="9448" builtinId="9" hidden="1"/>
    <cellStyle name="Followed Hyperlink" xfId="9450" builtinId="9" hidden="1"/>
    <cellStyle name="Followed Hyperlink" xfId="9452" builtinId="9" hidden="1"/>
    <cellStyle name="Followed Hyperlink" xfId="9454" builtinId="9" hidden="1"/>
    <cellStyle name="Followed Hyperlink" xfId="9386" builtinId="9" hidden="1"/>
    <cellStyle name="Followed Hyperlink" xfId="9366" builtinId="9" hidden="1"/>
    <cellStyle name="Followed Hyperlink" xfId="9456" builtinId="9" hidden="1"/>
    <cellStyle name="Followed Hyperlink" xfId="9458" builtinId="9" hidden="1"/>
    <cellStyle name="Followed Hyperlink" xfId="9460" builtinId="9" hidden="1"/>
    <cellStyle name="Followed Hyperlink" xfId="9462" builtinId="9" hidden="1"/>
    <cellStyle name="Followed Hyperlink" xfId="9368" builtinId="9" hidden="1"/>
    <cellStyle name="Followed Hyperlink" xfId="9390" builtinId="9" hidden="1"/>
    <cellStyle name="Followed Hyperlink" xfId="9464" builtinId="9" hidden="1"/>
    <cellStyle name="Followed Hyperlink" xfId="9466" builtinId="9" hidden="1"/>
    <cellStyle name="Followed Hyperlink" xfId="9468" builtinId="9" hidden="1"/>
    <cellStyle name="Followed Hyperlink" xfId="9470" builtinId="9" hidden="1"/>
    <cellStyle name="Followed Hyperlink" xfId="9383" builtinId="9" hidden="1"/>
    <cellStyle name="Followed Hyperlink" xfId="9363" builtinId="9" hidden="1"/>
    <cellStyle name="Followed Hyperlink" xfId="9472" builtinId="9" hidden="1"/>
    <cellStyle name="Followed Hyperlink" xfId="9474" builtinId="9" hidden="1"/>
    <cellStyle name="Followed Hyperlink" xfId="9476" builtinId="9" hidden="1"/>
    <cellStyle name="Followed Hyperlink" xfId="9478" builtinId="9" hidden="1"/>
    <cellStyle name="Followed Hyperlink" xfId="9374" builtinId="9" hidden="1"/>
    <cellStyle name="Followed Hyperlink" xfId="9398" builtinId="9" hidden="1"/>
    <cellStyle name="Followed Hyperlink" xfId="9480" builtinId="9" hidden="1"/>
    <cellStyle name="Followed Hyperlink" xfId="9482" builtinId="9" hidden="1"/>
    <cellStyle name="Followed Hyperlink" xfId="9484" builtinId="9" hidden="1"/>
    <cellStyle name="Followed Hyperlink" xfId="9486" builtinId="9" hidden="1"/>
    <cellStyle name="Followed Hyperlink" xfId="9372" builtinId="9" hidden="1"/>
    <cellStyle name="Followed Hyperlink" xfId="9371" builtinId="9" hidden="1"/>
    <cellStyle name="Followed Hyperlink" xfId="9488" builtinId="9" hidden="1"/>
    <cellStyle name="Followed Hyperlink" xfId="9490" builtinId="9" hidden="1"/>
    <cellStyle name="Followed Hyperlink" xfId="9492" builtinId="9" hidden="1"/>
    <cellStyle name="Followed Hyperlink" xfId="9494" builtinId="9" hidden="1"/>
    <cellStyle name="Followed Hyperlink" xfId="9370" builtinId="9" hidden="1"/>
    <cellStyle name="Followed Hyperlink" xfId="9392" builtinId="9" hidden="1"/>
    <cellStyle name="Followed Hyperlink" xfId="9496" builtinId="9" hidden="1"/>
    <cellStyle name="Followed Hyperlink" xfId="9498" builtinId="9" hidden="1"/>
    <cellStyle name="Followed Hyperlink" xfId="9500" builtinId="9" hidden="1"/>
    <cellStyle name="Followed Hyperlink" xfId="9502" builtinId="9" hidden="1"/>
    <cellStyle name="Followed Hyperlink" xfId="2483" builtinId="9" hidden="1"/>
    <cellStyle name="Followed Hyperlink" xfId="4851" builtinId="9" hidden="1"/>
    <cellStyle name="Followed Hyperlink" xfId="4850" builtinId="9" hidden="1"/>
    <cellStyle name="Followed Hyperlink" xfId="2398" builtinId="9" hidden="1"/>
    <cellStyle name="Followed Hyperlink" xfId="2466" builtinId="9" hidden="1"/>
    <cellStyle name="Followed Hyperlink" xfId="2494" builtinId="9" hidden="1"/>
    <cellStyle name="Followed Hyperlink" xfId="7175" builtinId="9" hidden="1"/>
    <cellStyle name="Followed Hyperlink" xfId="2378" builtinId="9" hidden="1"/>
    <cellStyle name="Followed Hyperlink" xfId="2430" builtinId="9" hidden="1"/>
    <cellStyle name="Followed Hyperlink" xfId="2404" builtinId="9" hidden="1"/>
    <cellStyle name="Followed Hyperlink" xfId="2519" builtinId="9" hidden="1"/>
    <cellStyle name="Followed Hyperlink" xfId="2432" builtinId="9" hidden="1"/>
    <cellStyle name="Followed Hyperlink" xfId="2392" builtinId="9" hidden="1"/>
    <cellStyle name="Followed Hyperlink" xfId="2497" builtinId="9" hidden="1"/>
    <cellStyle name="Followed Hyperlink" xfId="9508" builtinId="9" hidden="1"/>
    <cellStyle name="Followed Hyperlink" xfId="9510" builtinId="9" hidden="1"/>
    <cellStyle name="Followed Hyperlink" xfId="9512" builtinId="9" hidden="1"/>
    <cellStyle name="Followed Hyperlink" xfId="9514" builtinId="9" hidden="1"/>
    <cellStyle name="Followed Hyperlink" xfId="9516" builtinId="9" hidden="1"/>
    <cellStyle name="Followed Hyperlink" xfId="9518" builtinId="9" hidden="1"/>
    <cellStyle name="Followed Hyperlink" xfId="9568" builtinId="9" hidden="1"/>
    <cellStyle name="Followed Hyperlink" xfId="9570" builtinId="9" hidden="1"/>
    <cellStyle name="Followed Hyperlink" xfId="9572" builtinId="9" hidden="1"/>
    <cellStyle name="Followed Hyperlink" xfId="9574" builtinId="9" hidden="1"/>
    <cellStyle name="Followed Hyperlink" xfId="9543" builtinId="9" hidden="1"/>
    <cellStyle name="Followed Hyperlink" xfId="9532" builtinId="9" hidden="1"/>
    <cellStyle name="Followed Hyperlink" xfId="9576" builtinId="9" hidden="1"/>
    <cellStyle name="Followed Hyperlink" xfId="9578" builtinId="9" hidden="1"/>
    <cellStyle name="Followed Hyperlink" xfId="9580" builtinId="9" hidden="1"/>
    <cellStyle name="Followed Hyperlink" xfId="9582" builtinId="9" hidden="1"/>
    <cellStyle name="Followed Hyperlink" xfId="9526" builtinId="9" hidden="1"/>
    <cellStyle name="Followed Hyperlink" xfId="9529" builtinId="9" hidden="1"/>
    <cellStyle name="Followed Hyperlink" xfId="9584" builtinId="9" hidden="1"/>
    <cellStyle name="Followed Hyperlink" xfId="9586" builtinId="9" hidden="1"/>
    <cellStyle name="Followed Hyperlink" xfId="9588" builtinId="9" hidden="1"/>
    <cellStyle name="Followed Hyperlink" xfId="9590" builtinId="9" hidden="1"/>
    <cellStyle name="Followed Hyperlink" xfId="9544" builtinId="9" hidden="1"/>
    <cellStyle name="Followed Hyperlink" xfId="9557" builtinId="9" hidden="1"/>
    <cellStyle name="Followed Hyperlink" xfId="9592" builtinId="9" hidden="1"/>
    <cellStyle name="Followed Hyperlink" xfId="9594" builtinId="9" hidden="1"/>
    <cellStyle name="Followed Hyperlink" xfId="9596" builtinId="9" hidden="1"/>
    <cellStyle name="Followed Hyperlink" xfId="9598" builtinId="9" hidden="1"/>
    <cellStyle name="Followed Hyperlink" xfId="9556" builtinId="9" hidden="1"/>
    <cellStyle name="Followed Hyperlink" xfId="9523" builtinId="9" hidden="1"/>
    <cellStyle name="Followed Hyperlink" xfId="9600" builtinId="9" hidden="1"/>
    <cellStyle name="Followed Hyperlink" xfId="9602" builtinId="9" hidden="1"/>
    <cellStyle name="Followed Hyperlink" xfId="9604" builtinId="9" hidden="1"/>
    <cellStyle name="Followed Hyperlink" xfId="9606" builtinId="9" hidden="1"/>
    <cellStyle name="Followed Hyperlink" xfId="9528" builtinId="9" hidden="1"/>
    <cellStyle name="Followed Hyperlink" xfId="9559" builtinId="9" hidden="1"/>
    <cellStyle name="Followed Hyperlink" xfId="9608" builtinId="9" hidden="1"/>
    <cellStyle name="Followed Hyperlink" xfId="9610" builtinId="9" hidden="1"/>
    <cellStyle name="Followed Hyperlink" xfId="9612" builtinId="9" hidden="1"/>
    <cellStyle name="Followed Hyperlink" xfId="9614" builtinId="9" hidden="1"/>
    <cellStyle name="Followed Hyperlink" xfId="9562" builtinId="9" hidden="1"/>
    <cellStyle name="Followed Hyperlink" xfId="9527" builtinId="9" hidden="1"/>
    <cellStyle name="Followed Hyperlink" xfId="9616" builtinId="9" hidden="1"/>
    <cellStyle name="Followed Hyperlink" xfId="9618" builtinId="9" hidden="1"/>
    <cellStyle name="Followed Hyperlink" xfId="9620" builtinId="9" hidden="1"/>
    <cellStyle name="Followed Hyperlink" xfId="9622" builtinId="9" hidden="1"/>
    <cellStyle name="Followed Hyperlink" xfId="9554" builtinId="9" hidden="1"/>
    <cellStyle name="Followed Hyperlink" xfId="9534" builtinId="9" hidden="1"/>
    <cellStyle name="Followed Hyperlink" xfId="9624" builtinId="9" hidden="1"/>
    <cellStyle name="Followed Hyperlink" xfId="9626" builtinId="9" hidden="1"/>
    <cellStyle name="Followed Hyperlink" xfId="9628" builtinId="9" hidden="1"/>
    <cellStyle name="Followed Hyperlink" xfId="9630" builtinId="9" hidden="1"/>
    <cellStyle name="Followed Hyperlink" xfId="9536" builtinId="9" hidden="1"/>
    <cellStyle name="Followed Hyperlink" xfId="9558" builtinId="9" hidden="1"/>
    <cellStyle name="Followed Hyperlink" xfId="9632" builtinId="9" hidden="1"/>
    <cellStyle name="Followed Hyperlink" xfId="9634" builtinId="9" hidden="1"/>
    <cellStyle name="Followed Hyperlink" xfId="9636" builtinId="9" hidden="1"/>
    <cellStyle name="Followed Hyperlink" xfId="9638" builtinId="9" hidden="1"/>
    <cellStyle name="Followed Hyperlink" xfId="9551" builtinId="9" hidden="1"/>
    <cellStyle name="Followed Hyperlink" xfId="9531" builtinId="9" hidden="1"/>
    <cellStyle name="Followed Hyperlink" xfId="9640" builtinId="9" hidden="1"/>
    <cellStyle name="Followed Hyperlink" xfId="9642" builtinId="9" hidden="1"/>
    <cellStyle name="Followed Hyperlink" xfId="9644" builtinId="9" hidden="1"/>
    <cellStyle name="Followed Hyperlink" xfId="9646" builtinId="9" hidden="1"/>
    <cellStyle name="Followed Hyperlink" xfId="9542" builtinId="9" hidden="1"/>
    <cellStyle name="Followed Hyperlink" xfId="9566" builtinId="9" hidden="1"/>
    <cellStyle name="Followed Hyperlink" xfId="9648" builtinId="9" hidden="1"/>
    <cellStyle name="Followed Hyperlink" xfId="9650" builtinId="9" hidden="1"/>
    <cellStyle name="Followed Hyperlink" xfId="9652" builtinId="9" hidden="1"/>
    <cellStyle name="Followed Hyperlink" xfId="9654" builtinId="9" hidden="1"/>
    <cellStyle name="Followed Hyperlink" xfId="9540" builtinId="9" hidden="1"/>
    <cellStyle name="Followed Hyperlink" xfId="9539" builtinId="9" hidden="1"/>
    <cellStyle name="Followed Hyperlink" xfId="9656" builtinId="9" hidden="1"/>
    <cellStyle name="Followed Hyperlink" xfId="9658" builtinId="9" hidden="1"/>
    <cellStyle name="Followed Hyperlink" xfId="9660" builtinId="9" hidden="1"/>
    <cellStyle name="Followed Hyperlink" xfId="9662" builtinId="9" hidden="1"/>
    <cellStyle name="Followed Hyperlink" xfId="9538" builtinId="9" hidden="1"/>
    <cellStyle name="Followed Hyperlink" xfId="9560" builtinId="9" hidden="1"/>
    <cellStyle name="Followed Hyperlink" xfId="9664" builtinId="9" hidden="1"/>
    <cellStyle name="Followed Hyperlink" xfId="9666" builtinId="9" hidden="1"/>
    <cellStyle name="Followed Hyperlink" xfId="9668" builtinId="9" hidden="1"/>
    <cellStyle name="Followed Hyperlink" xfId="9670" builtinId="9" hidden="1"/>
    <cellStyle name="Followed Hyperlink" xfId="9672" builtinId="9" hidden="1"/>
    <cellStyle name="Followed Hyperlink" xfId="9674" builtinId="9" hidden="1"/>
    <cellStyle name="Followed Hyperlink" xfId="9740" builtinId="9" hidden="1"/>
    <cellStyle name="Followed Hyperlink" xfId="9742" builtinId="9" hidden="1"/>
    <cellStyle name="Followed Hyperlink" xfId="9744" builtinId="9" hidden="1"/>
    <cellStyle name="Followed Hyperlink" xfId="9746" builtinId="9" hidden="1"/>
    <cellStyle name="Followed Hyperlink" xfId="9749" builtinId="9" hidden="1"/>
    <cellStyle name="Followed Hyperlink" xfId="9751" builtinId="9" hidden="1"/>
    <cellStyle name="Followed Hyperlink" xfId="9825" builtinId="9" hidden="1"/>
    <cellStyle name="Followed Hyperlink" xfId="9827" builtinId="9" hidden="1"/>
    <cellStyle name="Followed Hyperlink" xfId="9829" builtinId="9" hidden="1"/>
    <cellStyle name="Followed Hyperlink" xfId="9831" builtinId="9" hidden="1"/>
    <cellStyle name="Followed Hyperlink" xfId="9833" builtinId="9" hidden="1"/>
    <cellStyle name="Followed Hyperlink" xfId="9835" builtinId="9" hidden="1"/>
    <cellStyle name="Followed Hyperlink" xfId="9885" builtinId="9" hidden="1"/>
    <cellStyle name="Followed Hyperlink" xfId="9887" builtinId="9" hidden="1"/>
    <cellStyle name="Followed Hyperlink" xfId="9889" builtinId="9" hidden="1"/>
    <cellStyle name="Followed Hyperlink" xfId="9891" builtinId="9" hidden="1"/>
    <cellStyle name="Followed Hyperlink" xfId="9860" builtinId="9" hidden="1"/>
    <cellStyle name="Followed Hyperlink" xfId="9849" builtinId="9" hidden="1"/>
    <cellStyle name="Followed Hyperlink" xfId="9893" builtinId="9" hidden="1"/>
    <cellStyle name="Followed Hyperlink" xfId="9895" builtinId="9" hidden="1"/>
    <cellStyle name="Followed Hyperlink" xfId="9897" builtinId="9" hidden="1"/>
    <cellStyle name="Followed Hyperlink" xfId="9899" builtinId="9" hidden="1"/>
    <cellStyle name="Followed Hyperlink" xfId="9843" builtinId="9" hidden="1"/>
    <cellStyle name="Followed Hyperlink" xfId="9846" builtinId="9" hidden="1"/>
    <cellStyle name="Followed Hyperlink" xfId="9901" builtinId="9" hidden="1"/>
    <cellStyle name="Followed Hyperlink" xfId="9903" builtinId="9" hidden="1"/>
    <cellStyle name="Followed Hyperlink" xfId="9905" builtinId="9" hidden="1"/>
    <cellStyle name="Followed Hyperlink" xfId="9907" builtinId="9" hidden="1"/>
    <cellStyle name="Followed Hyperlink" xfId="9861" builtinId="9" hidden="1"/>
    <cellStyle name="Followed Hyperlink" xfId="9874" builtinId="9" hidden="1"/>
    <cellStyle name="Followed Hyperlink" xfId="9909" builtinId="9" hidden="1"/>
    <cellStyle name="Followed Hyperlink" xfId="9911" builtinId="9" hidden="1"/>
    <cellStyle name="Followed Hyperlink" xfId="9913" builtinId="9" hidden="1"/>
    <cellStyle name="Followed Hyperlink" xfId="9915" builtinId="9" hidden="1"/>
    <cellStyle name="Followed Hyperlink" xfId="9873" builtinId="9" hidden="1"/>
    <cellStyle name="Followed Hyperlink" xfId="9840" builtinId="9" hidden="1"/>
    <cellStyle name="Followed Hyperlink" xfId="9917" builtinId="9" hidden="1"/>
    <cellStyle name="Followed Hyperlink" xfId="9919" builtinId="9" hidden="1"/>
    <cellStyle name="Followed Hyperlink" xfId="9921" builtinId="9" hidden="1"/>
    <cellStyle name="Followed Hyperlink" xfId="9923" builtinId="9" hidden="1"/>
    <cellStyle name="Followed Hyperlink" xfId="9845" builtinId="9" hidden="1"/>
    <cellStyle name="Followed Hyperlink" xfId="9876" builtinId="9" hidden="1"/>
    <cellStyle name="Followed Hyperlink" xfId="9925" builtinId="9" hidden="1"/>
    <cellStyle name="Followed Hyperlink" xfId="9927" builtinId="9" hidden="1"/>
    <cellStyle name="Followed Hyperlink" xfId="9929" builtinId="9" hidden="1"/>
    <cellStyle name="Followed Hyperlink" xfId="9931" builtinId="9" hidden="1"/>
    <cellStyle name="Followed Hyperlink" xfId="9879" builtinId="9" hidden="1"/>
    <cellStyle name="Followed Hyperlink" xfId="9844" builtinId="9" hidden="1"/>
    <cellStyle name="Followed Hyperlink" xfId="9933" builtinId="9" hidden="1"/>
    <cellStyle name="Followed Hyperlink" xfId="9935" builtinId="9" hidden="1"/>
    <cellStyle name="Followed Hyperlink" xfId="9937" builtinId="9" hidden="1"/>
    <cellStyle name="Followed Hyperlink" xfId="9939" builtinId="9" hidden="1"/>
    <cellStyle name="Followed Hyperlink" xfId="9871" builtinId="9" hidden="1"/>
    <cellStyle name="Followed Hyperlink" xfId="9851" builtinId="9" hidden="1"/>
    <cellStyle name="Followed Hyperlink" xfId="9941" builtinId="9" hidden="1"/>
    <cellStyle name="Followed Hyperlink" xfId="9943" builtinId="9" hidden="1"/>
    <cellStyle name="Followed Hyperlink" xfId="9945" builtinId="9" hidden="1"/>
    <cellStyle name="Followed Hyperlink" xfId="9947" builtinId="9" hidden="1"/>
    <cellStyle name="Followed Hyperlink" xfId="9853" builtinId="9" hidden="1"/>
    <cellStyle name="Followed Hyperlink" xfId="9875" builtinId="9" hidden="1"/>
    <cellStyle name="Followed Hyperlink" xfId="9949" builtinId="9" hidden="1"/>
    <cellStyle name="Followed Hyperlink" xfId="9951" builtinId="9" hidden="1"/>
    <cellStyle name="Followed Hyperlink" xfId="9953" builtinId="9" hidden="1"/>
    <cellStyle name="Followed Hyperlink" xfId="9955" builtinId="9" hidden="1"/>
    <cellStyle name="Followed Hyperlink" xfId="9868" builtinId="9" hidden="1"/>
    <cellStyle name="Followed Hyperlink" xfId="9848" builtinId="9" hidden="1"/>
    <cellStyle name="Followed Hyperlink" xfId="9957" builtinId="9" hidden="1"/>
    <cellStyle name="Followed Hyperlink" xfId="9959" builtinId="9" hidden="1"/>
    <cellStyle name="Followed Hyperlink" xfId="9961" builtinId="9" hidden="1"/>
    <cellStyle name="Followed Hyperlink" xfId="9963" builtinId="9" hidden="1"/>
    <cellStyle name="Followed Hyperlink" xfId="9859" builtinId="9" hidden="1"/>
    <cellStyle name="Followed Hyperlink" xfId="9883" builtinId="9" hidden="1"/>
    <cellStyle name="Followed Hyperlink" xfId="9965" builtinId="9" hidden="1"/>
    <cellStyle name="Followed Hyperlink" xfId="9967" builtinId="9" hidden="1"/>
    <cellStyle name="Followed Hyperlink" xfId="9969" builtinId="9" hidden="1"/>
    <cellStyle name="Followed Hyperlink" xfId="9971" builtinId="9" hidden="1"/>
    <cellStyle name="Followed Hyperlink" xfId="9857" builtinId="9" hidden="1"/>
    <cellStyle name="Followed Hyperlink" xfId="9856" builtinId="9" hidden="1"/>
    <cellStyle name="Followed Hyperlink" xfId="9973" builtinId="9" hidden="1"/>
    <cellStyle name="Followed Hyperlink" xfId="9975" builtinId="9" hidden="1"/>
    <cellStyle name="Followed Hyperlink" xfId="9977" builtinId="9" hidden="1"/>
    <cellStyle name="Followed Hyperlink" xfId="9979" builtinId="9" hidden="1"/>
    <cellStyle name="Followed Hyperlink" xfId="9855" builtinId="9" hidden="1"/>
    <cellStyle name="Followed Hyperlink" xfId="9877" builtinId="9" hidden="1"/>
    <cellStyle name="Followed Hyperlink" xfId="9981" builtinId="9" hidden="1"/>
    <cellStyle name="Followed Hyperlink" xfId="9983" builtinId="9" hidden="1"/>
    <cellStyle name="Followed Hyperlink" xfId="9985" builtinId="9" hidden="1"/>
    <cellStyle name="Followed Hyperlink" xfId="9987" builtinId="9" hidden="1"/>
    <cellStyle name="Followed Hyperlink" xfId="9764" builtinId="9" hidden="1"/>
    <cellStyle name="Followed Hyperlink" xfId="9711" builtinId="9" hidden="1"/>
    <cellStyle name="Followed Hyperlink" xfId="9766" builtinId="9" hidden="1"/>
    <cellStyle name="Followed Hyperlink" xfId="9717" builtinId="9" hidden="1"/>
    <cellStyle name="Followed Hyperlink" xfId="9822" builtinId="9" hidden="1"/>
    <cellStyle name="Followed Hyperlink" xfId="9702" builtinId="9" hidden="1"/>
    <cellStyle name="Followed Hyperlink" xfId="9755" builtinId="9" hidden="1"/>
    <cellStyle name="Followed Hyperlink" xfId="9705" builtinId="9" hidden="1"/>
    <cellStyle name="Followed Hyperlink" xfId="9992" builtinId="9" hidden="1"/>
    <cellStyle name="Followed Hyperlink" xfId="9994" builtinId="9" hidden="1"/>
    <cellStyle name="Followed Hyperlink" xfId="9996" builtinId="9" hidden="1"/>
    <cellStyle name="Followed Hyperlink" xfId="9998" builtinId="9" hidden="1"/>
    <cellStyle name="Followed Hyperlink" xfId="10001" builtinId="9" hidden="1"/>
    <cellStyle name="Followed Hyperlink" xfId="10003" builtinId="9" hidden="1"/>
    <cellStyle name="Followed Hyperlink" xfId="10053" builtinId="9" hidden="1"/>
    <cellStyle name="Followed Hyperlink" xfId="10055" builtinId="9" hidden="1"/>
    <cellStyle name="Followed Hyperlink" xfId="10057" builtinId="9" hidden="1"/>
    <cellStyle name="Followed Hyperlink" xfId="10059" builtinId="9" hidden="1"/>
    <cellStyle name="Followed Hyperlink" xfId="10028" builtinId="9" hidden="1"/>
    <cellStyle name="Followed Hyperlink" xfId="10017" builtinId="9" hidden="1"/>
    <cellStyle name="Followed Hyperlink" xfId="10061" builtinId="9" hidden="1"/>
    <cellStyle name="Followed Hyperlink" xfId="10063" builtinId="9" hidden="1"/>
    <cellStyle name="Followed Hyperlink" xfId="10065" builtinId="9" hidden="1"/>
    <cellStyle name="Followed Hyperlink" xfId="10067" builtinId="9" hidden="1"/>
    <cellStyle name="Followed Hyperlink" xfId="10011" builtinId="9" hidden="1"/>
    <cellStyle name="Followed Hyperlink" xfId="10014" builtinId="9" hidden="1"/>
    <cellStyle name="Followed Hyperlink" xfId="10069" builtinId="9" hidden="1"/>
    <cellStyle name="Followed Hyperlink" xfId="10071" builtinId="9" hidden="1"/>
    <cellStyle name="Followed Hyperlink" xfId="10073" builtinId="9" hidden="1"/>
    <cellStyle name="Followed Hyperlink" xfId="10075" builtinId="9" hidden="1"/>
    <cellStyle name="Followed Hyperlink" xfId="10029" builtinId="9" hidden="1"/>
    <cellStyle name="Followed Hyperlink" xfId="10042" builtinId="9" hidden="1"/>
    <cellStyle name="Followed Hyperlink" xfId="10077" builtinId="9" hidden="1"/>
    <cellStyle name="Followed Hyperlink" xfId="10079" builtinId="9" hidden="1"/>
    <cellStyle name="Followed Hyperlink" xfId="10081" builtinId="9" hidden="1"/>
    <cellStyle name="Followed Hyperlink" xfId="10083" builtinId="9" hidden="1"/>
    <cellStyle name="Followed Hyperlink" xfId="10041" builtinId="9" hidden="1"/>
    <cellStyle name="Followed Hyperlink" xfId="10008" builtinId="9" hidden="1"/>
    <cellStyle name="Followed Hyperlink" xfId="10085" builtinId="9" hidden="1"/>
    <cellStyle name="Followed Hyperlink" xfId="10087" builtinId="9" hidden="1"/>
    <cellStyle name="Followed Hyperlink" xfId="10089" builtinId="9" hidden="1"/>
    <cellStyle name="Followed Hyperlink" xfId="10091" builtinId="9" hidden="1"/>
    <cellStyle name="Followed Hyperlink" xfId="10013" builtinId="9" hidden="1"/>
    <cellStyle name="Followed Hyperlink" xfId="10044" builtinId="9" hidden="1"/>
    <cellStyle name="Followed Hyperlink" xfId="10093" builtinId="9" hidden="1"/>
    <cellStyle name="Followed Hyperlink" xfId="10095" builtinId="9" hidden="1"/>
    <cellStyle name="Followed Hyperlink" xfId="10097" builtinId="9" hidden="1"/>
    <cellStyle name="Followed Hyperlink" xfId="10099" builtinId="9" hidden="1"/>
    <cellStyle name="Followed Hyperlink" xfId="10047" builtinId="9" hidden="1"/>
    <cellStyle name="Followed Hyperlink" xfId="10012" builtinId="9" hidden="1"/>
    <cellStyle name="Followed Hyperlink" xfId="10101" builtinId="9" hidden="1"/>
    <cellStyle name="Followed Hyperlink" xfId="10103" builtinId="9" hidden="1"/>
    <cellStyle name="Followed Hyperlink" xfId="10105" builtinId="9" hidden="1"/>
    <cellStyle name="Followed Hyperlink" xfId="10107" builtinId="9" hidden="1"/>
    <cellStyle name="Followed Hyperlink" xfId="10039" builtinId="9" hidden="1"/>
    <cellStyle name="Followed Hyperlink" xfId="10019" builtinId="9" hidden="1"/>
    <cellStyle name="Followed Hyperlink" xfId="10109" builtinId="9" hidden="1"/>
    <cellStyle name="Followed Hyperlink" xfId="10111" builtinId="9" hidden="1"/>
    <cellStyle name="Followed Hyperlink" xfId="10113" builtinId="9" hidden="1"/>
    <cellStyle name="Followed Hyperlink" xfId="10115" builtinId="9" hidden="1"/>
    <cellStyle name="Followed Hyperlink" xfId="10021" builtinId="9" hidden="1"/>
    <cellStyle name="Followed Hyperlink" xfId="10043" builtinId="9" hidden="1"/>
    <cellStyle name="Followed Hyperlink" xfId="10117" builtinId="9" hidden="1"/>
    <cellStyle name="Followed Hyperlink" xfId="10119" builtinId="9" hidden="1"/>
    <cellStyle name="Followed Hyperlink" xfId="10121" builtinId="9" hidden="1"/>
    <cellStyle name="Followed Hyperlink" xfId="10123" builtinId="9" hidden="1"/>
    <cellStyle name="Followed Hyperlink" xfId="10036" builtinId="9" hidden="1"/>
    <cellStyle name="Followed Hyperlink" xfId="10016" builtinId="9" hidden="1"/>
    <cellStyle name="Followed Hyperlink" xfId="10125" builtinId="9" hidden="1"/>
    <cellStyle name="Followed Hyperlink" xfId="10127" builtinId="9" hidden="1"/>
    <cellStyle name="Followed Hyperlink" xfId="10129" builtinId="9" hidden="1"/>
    <cellStyle name="Followed Hyperlink" xfId="10131" builtinId="9" hidden="1"/>
    <cellStyle name="Followed Hyperlink" xfId="10027" builtinId="9" hidden="1"/>
    <cellStyle name="Followed Hyperlink" xfId="10051" builtinId="9" hidden="1"/>
    <cellStyle name="Followed Hyperlink" xfId="10133" builtinId="9" hidden="1"/>
    <cellStyle name="Followed Hyperlink" xfId="10135" builtinId="9" hidden="1"/>
    <cellStyle name="Followed Hyperlink" xfId="10137" builtinId="9" hidden="1"/>
    <cellStyle name="Followed Hyperlink" xfId="10139" builtinId="9" hidden="1"/>
    <cellStyle name="Followed Hyperlink" xfId="10025" builtinId="9" hidden="1"/>
    <cellStyle name="Followed Hyperlink" xfId="10024" builtinId="9" hidden="1"/>
    <cellStyle name="Followed Hyperlink" xfId="10141" builtinId="9" hidden="1"/>
    <cellStyle name="Followed Hyperlink" xfId="10143" builtinId="9" hidden="1"/>
    <cellStyle name="Followed Hyperlink" xfId="10145" builtinId="9" hidden="1"/>
    <cellStyle name="Followed Hyperlink" xfId="10147" builtinId="9" hidden="1"/>
    <cellStyle name="Followed Hyperlink" xfId="10023" builtinId="9" hidden="1"/>
    <cellStyle name="Followed Hyperlink" xfId="10045" builtinId="9" hidden="1"/>
    <cellStyle name="Followed Hyperlink" xfId="10149" builtinId="9" hidden="1"/>
    <cellStyle name="Followed Hyperlink" xfId="10151" builtinId="9" hidden="1"/>
    <cellStyle name="Followed Hyperlink" xfId="10153" builtinId="9" hidden="1"/>
    <cellStyle name="Followed Hyperlink" xfId="10155" builtinId="9" hidden="1"/>
    <cellStyle name="Followed Hyperlink" xfId="2508" builtinId="9" hidden="1"/>
    <cellStyle name="Followed Hyperlink" xfId="9805" builtinId="9" hidden="1"/>
    <cellStyle name="Followed Hyperlink" xfId="9990" builtinId="9" hidden="1"/>
    <cellStyle name="Followed Hyperlink" xfId="9703" builtinId="9" hidden="1"/>
    <cellStyle name="Followed Hyperlink" xfId="9760" builtinId="9" hidden="1"/>
    <cellStyle name="Followed Hyperlink" xfId="9716" builtinId="9" hidden="1"/>
    <cellStyle name="Followed Hyperlink" xfId="9752" builtinId="9" hidden="1"/>
    <cellStyle name="Followed Hyperlink" xfId="9733" builtinId="9" hidden="1"/>
    <cellStyle name="Followed Hyperlink" xfId="10166" builtinId="9" hidden="1"/>
    <cellStyle name="Followed Hyperlink" xfId="10168" builtinId="9" hidden="1"/>
    <cellStyle name="Followed Hyperlink" xfId="10170" builtinId="9" hidden="1"/>
    <cellStyle name="Followed Hyperlink" xfId="10172" builtinId="9" hidden="1"/>
    <cellStyle name="Followed Hyperlink" xfId="10174" builtinId="9" hidden="1"/>
    <cellStyle name="Followed Hyperlink" xfId="10176" builtinId="9" hidden="1"/>
    <cellStyle name="Followed Hyperlink" xfId="10226" builtinId="9" hidden="1"/>
    <cellStyle name="Followed Hyperlink" xfId="10228" builtinId="9" hidden="1"/>
    <cellStyle name="Followed Hyperlink" xfId="10230" builtinId="9" hidden="1"/>
    <cellStyle name="Followed Hyperlink" xfId="10232" builtinId="9" hidden="1"/>
    <cellStyle name="Followed Hyperlink" xfId="10201" builtinId="9" hidden="1"/>
    <cellStyle name="Followed Hyperlink" xfId="10190" builtinId="9" hidden="1"/>
    <cellStyle name="Followed Hyperlink" xfId="10234" builtinId="9" hidden="1"/>
    <cellStyle name="Followed Hyperlink" xfId="10236" builtinId="9" hidden="1"/>
    <cellStyle name="Followed Hyperlink" xfId="10238" builtinId="9" hidden="1"/>
    <cellStyle name="Followed Hyperlink" xfId="10240" builtinId="9" hidden="1"/>
    <cellStyle name="Followed Hyperlink" xfId="10184" builtinId="9" hidden="1"/>
    <cellStyle name="Followed Hyperlink" xfId="10187" builtinId="9" hidden="1"/>
    <cellStyle name="Followed Hyperlink" xfId="10242" builtinId="9" hidden="1"/>
    <cellStyle name="Followed Hyperlink" xfId="10244" builtinId="9" hidden="1"/>
    <cellStyle name="Followed Hyperlink" xfId="10246" builtinId="9" hidden="1"/>
    <cellStyle name="Followed Hyperlink" xfId="10248" builtinId="9" hidden="1"/>
    <cellStyle name="Followed Hyperlink" xfId="10202" builtinId="9" hidden="1"/>
    <cellStyle name="Followed Hyperlink" xfId="10215" builtinId="9" hidden="1"/>
    <cellStyle name="Followed Hyperlink" xfId="10250" builtinId="9" hidden="1"/>
    <cellStyle name="Followed Hyperlink" xfId="10252" builtinId="9" hidden="1"/>
    <cellStyle name="Followed Hyperlink" xfId="10254" builtinId="9" hidden="1"/>
    <cellStyle name="Followed Hyperlink" xfId="10256" builtinId="9" hidden="1"/>
    <cellStyle name="Followed Hyperlink" xfId="10214" builtinId="9" hidden="1"/>
    <cellStyle name="Followed Hyperlink" xfId="10181" builtinId="9" hidden="1"/>
    <cellStyle name="Followed Hyperlink" xfId="10258" builtinId="9" hidden="1"/>
    <cellStyle name="Followed Hyperlink" xfId="10260" builtinId="9" hidden="1"/>
    <cellStyle name="Followed Hyperlink" xfId="10262" builtinId="9" hidden="1"/>
    <cellStyle name="Followed Hyperlink" xfId="10264" builtinId="9" hidden="1"/>
    <cellStyle name="Followed Hyperlink" xfId="10186" builtinId="9" hidden="1"/>
    <cellStyle name="Followed Hyperlink" xfId="10217" builtinId="9" hidden="1"/>
    <cellStyle name="Followed Hyperlink" xfId="10266" builtinId="9" hidden="1"/>
    <cellStyle name="Followed Hyperlink" xfId="10268" builtinId="9" hidden="1"/>
    <cellStyle name="Followed Hyperlink" xfId="10270" builtinId="9" hidden="1"/>
    <cellStyle name="Followed Hyperlink" xfId="10272" builtinId="9" hidden="1"/>
    <cellStyle name="Followed Hyperlink" xfId="10220" builtinId="9" hidden="1"/>
    <cellStyle name="Followed Hyperlink" xfId="10185" builtinId="9" hidden="1"/>
    <cellStyle name="Followed Hyperlink" xfId="10274" builtinId="9" hidden="1"/>
    <cellStyle name="Followed Hyperlink" xfId="10276" builtinId="9" hidden="1"/>
    <cellStyle name="Followed Hyperlink" xfId="10278" builtinId="9" hidden="1"/>
    <cellStyle name="Followed Hyperlink" xfId="10280" builtinId="9" hidden="1"/>
    <cellStyle name="Followed Hyperlink" xfId="10212" builtinId="9" hidden="1"/>
    <cellStyle name="Followed Hyperlink" xfId="10192" builtinId="9" hidden="1"/>
    <cellStyle name="Followed Hyperlink" xfId="10282" builtinId="9" hidden="1"/>
    <cellStyle name="Followed Hyperlink" xfId="10284" builtinId="9" hidden="1"/>
    <cellStyle name="Followed Hyperlink" xfId="10286" builtinId="9" hidden="1"/>
    <cellStyle name="Followed Hyperlink" xfId="10288" builtinId="9" hidden="1"/>
    <cellStyle name="Followed Hyperlink" xfId="10194" builtinId="9" hidden="1"/>
    <cellStyle name="Followed Hyperlink" xfId="10216" builtinId="9" hidden="1"/>
    <cellStyle name="Followed Hyperlink" xfId="10290" builtinId="9" hidden="1"/>
    <cellStyle name="Followed Hyperlink" xfId="10292" builtinId="9" hidden="1"/>
    <cellStyle name="Followed Hyperlink" xfId="10294" builtinId="9" hidden="1"/>
    <cellStyle name="Followed Hyperlink" xfId="10296" builtinId="9" hidden="1"/>
    <cellStyle name="Followed Hyperlink" xfId="10209" builtinId="9" hidden="1"/>
    <cellStyle name="Followed Hyperlink" xfId="10189" builtinId="9" hidden="1"/>
    <cellStyle name="Followed Hyperlink" xfId="10298" builtinId="9" hidden="1"/>
    <cellStyle name="Followed Hyperlink" xfId="10300" builtinId="9" hidden="1"/>
    <cellStyle name="Followed Hyperlink" xfId="10302" builtinId="9" hidden="1"/>
    <cellStyle name="Followed Hyperlink" xfId="10304" builtinId="9" hidden="1"/>
    <cellStyle name="Followed Hyperlink" xfId="10200" builtinId="9" hidden="1"/>
    <cellStyle name="Followed Hyperlink" xfId="10224" builtinId="9" hidden="1"/>
    <cellStyle name="Followed Hyperlink" xfId="10306" builtinId="9" hidden="1"/>
    <cellStyle name="Followed Hyperlink" xfId="10308" builtinId="9" hidden="1"/>
    <cellStyle name="Followed Hyperlink" xfId="10310" builtinId="9" hidden="1"/>
    <cellStyle name="Followed Hyperlink" xfId="10312" builtinId="9" hidden="1"/>
    <cellStyle name="Followed Hyperlink" xfId="10198" builtinId="9" hidden="1"/>
    <cellStyle name="Followed Hyperlink" xfId="10197" builtinId="9" hidden="1"/>
    <cellStyle name="Followed Hyperlink" xfId="10314" builtinId="9" hidden="1"/>
    <cellStyle name="Followed Hyperlink" xfId="10316" builtinId="9" hidden="1"/>
    <cellStyle name="Followed Hyperlink" xfId="10318" builtinId="9" hidden="1"/>
    <cellStyle name="Followed Hyperlink" xfId="10320" builtinId="9" hidden="1"/>
    <cellStyle name="Followed Hyperlink" xfId="10196" builtinId="9" hidden="1"/>
    <cellStyle name="Followed Hyperlink" xfId="10218" builtinId="9" hidden="1"/>
    <cellStyle name="Followed Hyperlink" xfId="10322" builtinId="9" hidden="1"/>
    <cellStyle name="Followed Hyperlink" xfId="10324" builtinId="9" hidden="1"/>
    <cellStyle name="Followed Hyperlink" xfId="10326" builtinId="9" hidden="1"/>
    <cellStyle name="Followed Hyperlink" xfId="10328" builtinId="9" hidden="1"/>
    <cellStyle name="Followed Hyperlink" xfId="9814" builtinId="9" hidden="1"/>
    <cellStyle name="Followed Hyperlink" xfId="9709" builtinId="9" hidden="1"/>
    <cellStyle name="Followed Hyperlink" xfId="9780" builtinId="9" hidden="1"/>
    <cellStyle name="Followed Hyperlink" xfId="9782" builtinId="9" hidden="1"/>
    <cellStyle name="Followed Hyperlink" xfId="10162" builtinId="9" hidden="1"/>
    <cellStyle name="Followed Hyperlink" xfId="9728" builtinId="9" hidden="1"/>
    <cellStyle name="Followed Hyperlink" xfId="9734" builtinId="9" hidden="1"/>
    <cellStyle name="Followed Hyperlink" xfId="9710" builtinId="9" hidden="1"/>
    <cellStyle name="Followed Hyperlink" xfId="10336" builtinId="9" hidden="1"/>
    <cellStyle name="Followed Hyperlink" xfId="10338" builtinId="9" hidden="1"/>
    <cellStyle name="Followed Hyperlink" xfId="10340" builtinId="9" hidden="1"/>
    <cellStyle name="Followed Hyperlink" xfId="10342" builtinId="9" hidden="1"/>
    <cellStyle name="Followed Hyperlink" xfId="10344" builtinId="9" hidden="1"/>
    <cellStyle name="Followed Hyperlink" xfId="10346" builtinId="9" hidden="1"/>
    <cellStyle name="Followed Hyperlink" xfId="10396" builtinId="9" hidden="1"/>
    <cellStyle name="Followed Hyperlink" xfId="10398" builtinId="9" hidden="1"/>
    <cellStyle name="Followed Hyperlink" xfId="10400" builtinId="9" hidden="1"/>
    <cellStyle name="Followed Hyperlink" xfId="10402" builtinId="9" hidden="1"/>
    <cellStyle name="Followed Hyperlink" xfId="10371" builtinId="9" hidden="1"/>
    <cellStyle name="Followed Hyperlink" xfId="10360" builtinId="9" hidden="1"/>
    <cellStyle name="Followed Hyperlink" xfId="10404" builtinId="9" hidden="1"/>
    <cellStyle name="Followed Hyperlink" xfId="10406" builtinId="9" hidden="1"/>
    <cellStyle name="Followed Hyperlink" xfId="10408" builtinId="9" hidden="1"/>
    <cellStyle name="Followed Hyperlink" xfId="10410" builtinId="9" hidden="1"/>
    <cellStyle name="Followed Hyperlink" xfId="10354" builtinId="9" hidden="1"/>
    <cellStyle name="Followed Hyperlink" xfId="10357" builtinId="9" hidden="1"/>
    <cellStyle name="Followed Hyperlink" xfId="10412" builtinId="9" hidden="1"/>
    <cellStyle name="Followed Hyperlink" xfId="10414" builtinId="9" hidden="1"/>
    <cellStyle name="Followed Hyperlink" xfId="10416" builtinId="9" hidden="1"/>
    <cellStyle name="Followed Hyperlink" xfId="10418" builtinId="9" hidden="1"/>
    <cellStyle name="Followed Hyperlink" xfId="10372" builtinId="9" hidden="1"/>
    <cellStyle name="Followed Hyperlink" xfId="10385" builtinId="9" hidden="1"/>
    <cellStyle name="Followed Hyperlink" xfId="10420" builtinId="9" hidden="1"/>
    <cellStyle name="Followed Hyperlink" xfId="10422" builtinId="9" hidden="1"/>
    <cellStyle name="Followed Hyperlink" xfId="10424" builtinId="9" hidden="1"/>
    <cellStyle name="Followed Hyperlink" xfId="10426" builtinId="9" hidden="1"/>
    <cellStyle name="Followed Hyperlink" xfId="10384" builtinId="9" hidden="1"/>
    <cellStyle name="Followed Hyperlink" xfId="10351" builtinId="9" hidden="1"/>
    <cellStyle name="Followed Hyperlink" xfId="10428" builtinId="9" hidden="1"/>
    <cellStyle name="Followed Hyperlink" xfId="10430" builtinId="9" hidden="1"/>
    <cellStyle name="Followed Hyperlink" xfId="10432" builtinId="9" hidden="1"/>
    <cellStyle name="Followed Hyperlink" xfId="10434" builtinId="9" hidden="1"/>
    <cellStyle name="Followed Hyperlink" xfId="10356" builtinId="9" hidden="1"/>
    <cellStyle name="Followed Hyperlink" xfId="10387" builtinId="9" hidden="1"/>
    <cellStyle name="Followed Hyperlink" xfId="10436" builtinId="9" hidden="1"/>
    <cellStyle name="Followed Hyperlink" xfId="10438" builtinId="9" hidden="1"/>
    <cellStyle name="Followed Hyperlink" xfId="10440" builtinId="9" hidden="1"/>
    <cellStyle name="Followed Hyperlink" xfId="10442" builtinId="9" hidden="1"/>
    <cellStyle name="Followed Hyperlink" xfId="10390" builtinId="9" hidden="1"/>
    <cellStyle name="Followed Hyperlink" xfId="10355" builtinId="9" hidden="1"/>
    <cellStyle name="Followed Hyperlink" xfId="10444" builtinId="9" hidden="1"/>
    <cellStyle name="Followed Hyperlink" xfId="10446" builtinId="9" hidden="1"/>
    <cellStyle name="Followed Hyperlink" xfId="10448" builtinId="9" hidden="1"/>
    <cellStyle name="Followed Hyperlink" xfId="10450" builtinId="9" hidden="1"/>
    <cellStyle name="Followed Hyperlink" xfId="10382" builtinId="9" hidden="1"/>
    <cellStyle name="Followed Hyperlink" xfId="10362" builtinId="9" hidden="1"/>
    <cellStyle name="Followed Hyperlink" xfId="10452" builtinId="9" hidden="1"/>
    <cellStyle name="Followed Hyperlink" xfId="10454" builtinId="9" hidden="1"/>
    <cellStyle name="Followed Hyperlink" xfId="10456" builtinId="9" hidden="1"/>
    <cellStyle name="Followed Hyperlink" xfId="10458" builtinId="9" hidden="1"/>
    <cellStyle name="Followed Hyperlink" xfId="10364" builtinId="9" hidden="1"/>
    <cellStyle name="Followed Hyperlink" xfId="10386" builtinId="9" hidden="1"/>
    <cellStyle name="Followed Hyperlink" xfId="10460" builtinId="9" hidden="1"/>
    <cellStyle name="Followed Hyperlink" xfId="10462" builtinId="9" hidden="1"/>
    <cellStyle name="Followed Hyperlink" xfId="10464" builtinId="9" hidden="1"/>
    <cellStyle name="Followed Hyperlink" xfId="10466" builtinId="9" hidden="1"/>
    <cellStyle name="Followed Hyperlink" xfId="10379" builtinId="9" hidden="1"/>
    <cellStyle name="Followed Hyperlink" xfId="10359" builtinId="9" hidden="1"/>
    <cellStyle name="Followed Hyperlink" xfId="10468" builtinId="9" hidden="1"/>
    <cellStyle name="Followed Hyperlink" xfId="10470" builtinId="9" hidden="1"/>
    <cellStyle name="Followed Hyperlink" xfId="10472" builtinId="9" hidden="1"/>
    <cellStyle name="Followed Hyperlink" xfId="10474" builtinId="9" hidden="1"/>
    <cellStyle name="Followed Hyperlink" xfId="10370" builtinId="9" hidden="1"/>
    <cellStyle name="Followed Hyperlink" xfId="10394" builtinId="9" hidden="1"/>
    <cellStyle name="Followed Hyperlink" xfId="10476" builtinId="9" hidden="1"/>
    <cellStyle name="Followed Hyperlink" xfId="10478" builtinId="9" hidden="1"/>
    <cellStyle name="Followed Hyperlink" xfId="10480" builtinId="9" hidden="1"/>
    <cellStyle name="Followed Hyperlink" xfId="10482" builtinId="9" hidden="1"/>
    <cellStyle name="Followed Hyperlink" xfId="10368" builtinId="9" hidden="1"/>
    <cellStyle name="Followed Hyperlink" xfId="10367" builtinId="9" hidden="1"/>
    <cellStyle name="Followed Hyperlink" xfId="10484" builtinId="9" hidden="1"/>
    <cellStyle name="Followed Hyperlink" xfId="10486" builtinId="9" hidden="1"/>
    <cellStyle name="Followed Hyperlink" xfId="10488" builtinId="9" hidden="1"/>
    <cellStyle name="Followed Hyperlink" xfId="10490" builtinId="9" hidden="1"/>
    <cellStyle name="Followed Hyperlink" xfId="10366" builtinId="9" hidden="1"/>
    <cellStyle name="Followed Hyperlink" xfId="10388" builtinId="9" hidden="1"/>
    <cellStyle name="Followed Hyperlink" xfId="10492" builtinId="9" hidden="1"/>
    <cellStyle name="Followed Hyperlink" xfId="10494" builtinId="9" hidden="1"/>
    <cellStyle name="Followed Hyperlink" xfId="10496" builtinId="9" hidden="1"/>
    <cellStyle name="Followed Hyperlink" xfId="10498" builtinId="9" hidden="1"/>
    <cellStyle name="Followed Hyperlink" xfId="9700" builtinId="9" hidden="1"/>
    <cellStyle name="Followed Hyperlink" xfId="9781" builtinId="9" hidden="1"/>
    <cellStyle name="Followed Hyperlink" xfId="9770" builtinId="9" hidden="1"/>
    <cellStyle name="Followed Hyperlink" xfId="9729" builtinId="9" hidden="1"/>
    <cellStyle name="Followed Hyperlink" xfId="10332" builtinId="9" hidden="1"/>
    <cellStyle name="Followed Hyperlink" xfId="9723" builtinId="9" hidden="1"/>
    <cellStyle name="Followed Hyperlink" xfId="9759" builtinId="9" hidden="1"/>
    <cellStyle name="Followed Hyperlink" xfId="9708" builtinId="9" hidden="1"/>
    <cellStyle name="Followed Hyperlink" xfId="10505" builtinId="9" hidden="1"/>
    <cellStyle name="Followed Hyperlink" xfId="10507" builtinId="9" hidden="1"/>
    <cellStyle name="Followed Hyperlink" xfId="10509" builtinId="9" hidden="1"/>
    <cellStyle name="Followed Hyperlink" xfId="10511" builtinId="9" hidden="1"/>
    <cellStyle name="Followed Hyperlink" xfId="10513" builtinId="9" hidden="1"/>
    <cellStyle name="Followed Hyperlink" xfId="10515" builtinId="9" hidden="1"/>
    <cellStyle name="Followed Hyperlink" xfId="10565" builtinId="9" hidden="1"/>
    <cellStyle name="Followed Hyperlink" xfId="10567" builtinId="9" hidden="1"/>
    <cellStyle name="Followed Hyperlink" xfId="10569" builtinId="9" hidden="1"/>
    <cellStyle name="Followed Hyperlink" xfId="10571" builtinId="9" hidden="1"/>
    <cellStyle name="Followed Hyperlink" xfId="10540" builtinId="9" hidden="1"/>
    <cellStyle name="Followed Hyperlink" xfId="10529" builtinId="9" hidden="1"/>
    <cellStyle name="Followed Hyperlink" xfId="10573" builtinId="9" hidden="1"/>
    <cellStyle name="Followed Hyperlink" xfId="10575" builtinId="9" hidden="1"/>
    <cellStyle name="Followed Hyperlink" xfId="10577" builtinId="9" hidden="1"/>
    <cellStyle name="Followed Hyperlink" xfId="10579" builtinId="9" hidden="1"/>
    <cellStyle name="Followed Hyperlink" xfId="10523" builtinId="9" hidden="1"/>
    <cellStyle name="Followed Hyperlink" xfId="10526" builtinId="9" hidden="1"/>
    <cellStyle name="Followed Hyperlink" xfId="10581" builtinId="9" hidden="1"/>
    <cellStyle name="Followed Hyperlink" xfId="10583" builtinId="9" hidden="1"/>
    <cellStyle name="Followed Hyperlink" xfId="10585" builtinId="9" hidden="1"/>
    <cellStyle name="Followed Hyperlink" xfId="10587" builtinId="9" hidden="1"/>
    <cellStyle name="Followed Hyperlink" xfId="10541" builtinId="9" hidden="1"/>
    <cellStyle name="Followed Hyperlink" xfId="10554" builtinId="9" hidden="1"/>
    <cellStyle name="Followed Hyperlink" xfId="10589" builtinId="9" hidden="1"/>
    <cellStyle name="Followed Hyperlink" xfId="10591" builtinId="9" hidden="1"/>
    <cellStyle name="Followed Hyperlink" xfId="10593" builtinId="9" hidden="1"/>
    <cellStyle name="Followed Hyperlink" xfId="10595" builtinId="9" hidden="1"/>
    <cellStyle name="Followed Hyperlink" xfId="10553" builtinId="9" hidden="1"/>
    <cellStyle name="Followed Hyperlink" xfId="10520" builtinId="9" hidden="1"/>
    <cellStyle name="Followed Hyperlink" xfId="10597" builtinId="9" hidden="1"/>
    <cellStyle name="Followed Hyperlink" xfId="10599" builtinId="9" hidden="1"/>
    <cellStyle name="Followed Hyperlink" xfId="10601" builtinId="9" hidden="1"/>
    <cellStyle name="Followed Hyperlink" xfId="10603" builtinId="9" hidden="1"/>
    <cellStyle name="Followed Hyperlink" xfId="10525" builtinId="9" hidden="1"/>
    <cellStyle name="Followed Hyperlink" xfId="10556" builtinId="9" hidden="1"/>
    <cellStyle name="Followed Hyperlink" xfId="10605" builtinId="9" hidden="1"/>
    <cellStyle name="Followed Hyperlink" xfId="10607" builtinId="9" hidden="1"/>
    <cellStyle name="Followed Hyperlink" xfId="10609" builtinId="9" hidden="1"/>
    <cellStyle name="Followed Hyperlink" xfId="10611" builtinId="9" hidden="1"/>
    <cellStyle name="Followed Hyperlink" xfId="10559" builtinId="9" hidden="1"/>
    <cellStyle name="Followed Hyperlink" xfId="10524" builtinId="9" hidden="1"/>
    <cellStyle name="Followed Hyperlink" xfId="10613" builtinId="9" hidden="1"/>
    <cellStyle name="Followed Hyperlink" xfId="10615" builtinId="9" hidden="1"/>
    <cellStyle name="Followed Hyperlink" xfId="10617" builtinId="9" hidden="1"/>
    <cellStyle name="Followed Hyperlink" xfId="10619" builtinId="9" hidden="1"/>
    <cellStyle name="Followed Hyperlink" xfId="10551" builtinId="9" hidden="1"/>
    <cellStyle name="Followed Hyperlink" xfId="10531" builtinId="9" hidden="1"/>
    <cellStyle name="Followed Hyperlink" xfId="10621" builtinId="9" hidden="1"/>
    <cellStyle name="Followed Hyperlink" xfId="10623" builtinId="9" hidden="1"/>
    <cellStyle name="Followed Hyperlink" xfId="10625" builtinId="9" hidden="1"/>
    <cellStyle name="Followed Hyperlink" xfId="10627" builtinId="9" hidden="1"/>
    <cellStyle name="Followed Hyperlink" xfId="10533" builtinId="9" hidden="1"/>
    <cellStyle name="Followed Hyperlink" xfId="10555" builtinId="9" hidden="1"/>
    <cellStyle name="Followed Hyperlink" xfId="10629" builtinId="9" hidden="1"/>
    <cellStyle name="Followed Hyperlink" xfId="10631" builtinId="9" hidden="1"/>
    <cellStyle name="Followed Hyperlink" xfId="10633" builtinId="9" hidden="1"/>
    <cellStyle name="Followed Hyperlink" xfId="10635" builtinId="9" hidden="1"/>
    <cellStyle name="Followed Hyperlink" xfId="10548" builtinId="9" hidden="1"/>
    <cellStyle name="Followed Hyperlink" xfId="10528" builtinId="9" hidden="1"/>
    <cellStyle name="Followed Hyperlink" xfId="10637" builtinId="9" hidden="1"/>
    <cellStyle name="Followed Hyperlink" xfId="10639" builtinId="9" hidden="1"/>
    <cellStyle name="Followed Hyperlink" xfId="10641" builtinId="9" hidden="1"/>
    <cellStyle name="Followed Hyperlink" xfId="10643" builtinId="9" hidden="1"/>
    <cellStyle name="Followed Hyperlink" xfId="10539" builtinId="9" hidden="1"/>
    <cellStyle name="Followed Hyperlink" xfId="10563" builtinId="9" hidden="1"/>
    <cellStyle name="Followed Hyperlink" xfId="10645" builtinId="9" hidden="1"/>
    <cellStyle name="Followed Hyperlink" xfId="10647" builtinId="9" hidden="1"/>
    <cellStyle name="Followed Hyperlink" xfId="10649" builtinId="9" hidden="1"/>
    <cellStyle name="Followed Hyperlink" xfId="10651" builtinId="9" hidden="1"/>
    <cellStyle name="Followed Hyperlink" xfId="10537" builtinId="9" hidden="1"/>
    <cellStyle name="Followed Hyperlink" xfId="10536" builtinId="9" hidden="1"/>
    <cellStyle name="Followed Hyperlink" xfId="10653" builtinId="9" hidden="1"/>
    <cellStyle name="Followed Hyperlink" xfId="10655" builtinId="9" hidden="1"/>
    <cellStyle name="Followed Hyperlink" xfId="10657" builtinId="9" hidden="1"/>
    <cellStyle name="Followed Hyperlink" xfId="10659" builtinId="9" hidden="1"/>
    <cellStyle name="Followed Hyperlink" xfId="10535" builtinId="9" hidden="1"/>
    <cellStyle name="Followed Hyperlink" xfId="10557" builtinId="9" hidden="1"/>
    <cellStyle name="Followed Hyperlink" xfId="10661" builtinId="9" hidden="1"/>
    <cellStyle name="Followed Hyperlink" xfId="10663" builtinId="9" hidden="1"/>
    <cellStyle name="Followed Hyperlink" xfId="10665" builtinId="9" hidden="1"/>
    <cellStyle name="Followed Hyperlink" xfId="10667" builtinId="9" hidden="1"/>
    <cellStyle name="Followed Hyperlink" xfId="9686" builtinId="9" hidden="1"/>
    <cellStyle name="Followed Hyperlink" xfId="9803" builtinId="9" hidden="1"/>
    <cellStyle name="Followed Hyperlink" xfId="9813" builtinId="9" hidden="1"/>
    <cellStyle name="Followed Hyperlink" xfId="9693" builtinId="9" hidden="1"/>
    <cellStyle name="Followed Hyperlink" xfId="10501" builtinId="9" hidden="1"/>
    <cellStyle name="Followed Hyperlink" xfId="9757" builtinId="9" hidden="1"/>
    <cellStyle name="Followed Hyperlink" xfId="9804" builtinId="9" hidden="1"/>
    <cellStyle name="Followed Hyperlink" xfId="9719" builtinId="9" hidden="1"/>
    <cellStyle name="Followed Hyperlink" xfId="10674" builtinId="9" hidden="1"/>
    <cellStyle name="Followed Hyperlink" xfId="10676" builtinId="9" hidden="1"/>
    <cellStyle name="Followed Hyperlink" xfId="10678" builtinId="9" hidden="1"/>
    <cellStyle name="Followed Hyperlink" xfId="10680" builtinId="9" hidden="1"/>
    <cellStyle name="Followed Hyperlink" xfId="10682" builtinId="9" hidden="1"/>
    <cellStyle name="Followed Hyperlink" xfId="10684" builtinId="9" hidden="1"/>
    <cellStyle name="Followed Hyperlink" xfId="10734" builtinId="9" hidden="1"/>
    <cellStyle name="Followed Hyperlink" xfId="10736" builtinId="9" hidden="1"/>
    <cellStyle name="Followed Hyperlink" xfId="10738" builtinId="9" hidden="1"/>
    <cellStyle name="Followed Hyperlink" xfId="10740" builtinId="9" hidden="1"/>
    <cellStyle name="Followed Hyperlink" xfId="10709" builtinId="9" hidden="1"/>
    <cellStyle name="Followed Hyperlink" xfId="10698" builtinId="9" hidden="1"/>
    <cellStyle name="Followed Hyperlink" xfId="10742" builtinId="9" hidden="1"/>
    <cellStyle name="Followed Hyperlink" xfId="10744" builtinId="9" hidden="1"/>
    <cellStyle name="Followed Hyperlink" xfId="10746" builtinId="9" hidden="1"/>
    <cellStyle name="Followed Hyperlink" xfId="10748" builtinId="9" hidden="1"/>
    <cellStyle name="Followed Hyperlink" xfId="10692" builtinId="9" hidden="1"/>
    <cellStyle name="Followed Hyperlink" xfId="10695" builtinId="9" hidden="1"/>
    <cellStyle name="Followed Hyperlink" xfId="10750" builtinId="9" hidden="1"/>
    <cellStyle name="Followed Hyperlink" xfId="10752" builtinId="9" hidden="1"/>
    <cellStyle name="Followed Hyperlink" xfId="10754" builtinId="9" hidden="1"/>
    <cellStyle name="Followed Hyperlink" xfId="10756" builtinId="9" hidden="1"/>
    <cellStyle name="Followed Hyperlink" xfId="10710" builtinId="9" hidden="1"/>
    <cellStyle name="Followed Hyperlink" xfId="10723" builtinId="9" hidden="1"/>
    <cellStyle name="Followed Hyperlink" xfId="10758" builtinId="9" hidden="1"/>
    <cellStyle name="Followed Hyperlink" xfId="10760" builtinId="9" hidden="1"/>
    <cellStyle name="Followed Hyperlink" xfId="10762" builtinId="9" hidden="1"/>
    <cellStyle name="Followed Hyperlink" xfId="10764" builtinId="9" hidden="1"/>
    <cellStyle name="Followed Hyperlink" xfId="10722" builtinId="9" hidden="1"/>
    <cellStyle name="Followed Hyperlink" xfId="10689" builtinId="9" hidden="1"/>
    <cellStyle name="Followed Hyperlink" xfId="10766" builtinId="9" hidden="1"/>
    <cellStyle name="Followed Hyperlink" xfId="10768" builtinId="9" hidden="1"/>
    <cellStyle name="Followed Hyperlink" xfId="10770" builtinId="9" hidden="1"/>
    <cellStyle name="Followed Hyperlink" xfId="10772" builtinId="9" hidden="1"/>
    <cellStyle name="Followed Hyperlink" xfId="10694" builtinId="9" hidden="1"/>
    <cellStyle name="Followed Hyperlink" xfId="10725" builtinId="9" hidden="1"/>
    <cellStyle name="Followed Hyperlink" xfId="10774" builtinId="9" hidden="1"/>
    <cellStyle name="Followed Hyperlink" xfId="10776" builtinId="9" hidden="1"/>
    <cellStyle name="Followed Hyperlink" xfId="10778" builtinId="9" hidden="1"/>
    <cellStyle name="Followed Hyperlink" xfId="10780" builtinId="9" hidden="1"/>
    <cellStyle name="Followed Hyperlink" xfId="10728" builtinId="9" hidden="1"/>
    <cellStyle name="Followed Hyperlink" xfId="10693" builtinId="9" hidden="1"/>
    <cellStyle name="Followed Hyperlink" xfId="10782" builtinId="9" hidden="1"/>
    <cellStyle name="Followed Hyperlink" xfId="10784" builtinId="9" hidden="1"/>
    <cellStyle name="Followed Hyperlink" xfId="10786" builtinId="9" hidden="1"/>
    <cellStyle name="Followed Hyperlink" xfId="10788" builtinId="9" hidden="1"/>
    <cellStyle name="Followed Hyperlink" xfId="10720" builtinId="9" hidden="1"/>
    <cellStyle name="Followed Hyperlink" xfId="10700" builtinId="9" hidden="1"/>
    <cellStyle name="Followed Hyperlink" xfId="10790" builtinId="9" hidden="1"/>
    <cellStyle name="Followed Hyperlink" xfId="10792" builtinId="9" hidden="1"/>
    <cellStyle name="Followed Hyperlink" xfId="10794" builtinId="9" hidden="1"/>
    <cellStyle name="Followed Hyperlink" xfId="10796" builtinId="9" hidden="1"/>
    <cellStyle name="Followed Hyperlink" xfId="10702" builtinId="9" hidden="1"/>
    <cellStyle name="Followed Hyperlink" xfId="10724" builtinId="9" hidden="1"/>
    <cellStyle name="Followed Hyperlink" xfId="10798" builtinId="9" hidden="1"/>
    <cellStyle name="Followed Hyperlink" xfId="10800" builtinId="9" hidden="1"/>
    <cellStyle name="Followed Hyperlink" xfId="10802" builtinId="9" hidden="1"/>
    <cellStyle name="Followed Hyperlink" xfId="10804" builtinId="9" hidden="1"/>
    <cellStyle name="Followed Hyperlink" xfId="10717" builtinId="9" hidden="1"/>
    <cellStyle name="Followed Hyperlink" xfId="10697" builtinId="9" hidden="1"/>
    <cellStyle name="Followed Hyperlink" xfId="10806" builtinId="9" hidden="1"/>
    <cellStyle name="Followed Hyperlink" xfId="10808" builtinId="9" hidden="1"/>
    <cellStyle name="Followed Hyperlink" xfId="10810" builtinId="9" hidden="1"/>
    <cellStyle name="Followed Hyperlink" xfId="10812" builtinId="9" hidden="1"/>
    <cellStyle name="Followed Hyperlink" xfId="10708" builtinId="9" hidden="1"/>
    <cellStyle name="Followed Hyperlink" xfId="10732" builtinId="9" hidden="1"/>
    <cellStyle name="Followed Hyperlink" xfId="10814" builtinId="9" hidden="1"/>
    <cellStyle name="Followed Hyperlink" xfId="10816" builtinId="9" hidden="1"/>
    <cellStyle name="Followed Hyperlink" xfId="10818" builtinId="9" hidden="1"/>
    <cellStyle name="Followed Hyperlink" xfId="10820" builtinId="9" hidden="1"/>
    <cellStyle name="Followed Hyperlink" xfId="10706" builtinId="9" hidden="1"/>
    <cellStyle name="Followed Hyperlink" xfId="10705" builtinId="9" hidden="1"/>
    <cellStyle name="Followed Hyperlink" xfId="10822" builtinId="9" hidden="1"/>
    <cellStyle name="Followed Hyperlink" xfId="10824" builtinId="9" hidden="1"/>
    <cellStyle name="Followed Hyperlink" xfId="10826" builtinId="9" hidden="1"/>
    <cellStyle name="Followed Hyperlink" xfId="10828" builtinId="9" hidden="1"/>
    <cellStyle name="Followed Hyperlink" xfId="10704" builtinId="9" hidden="1"/>
    <cellStyle name="Followed Hyperlink" xfId="10726" builtinId="9" hidden="1"/>
    <cellStyle name="Followed Hyperlink" xfId="10830" builtinId="9" hidden="1"/>
    <cellStyle name="Followed Hyperlink" xfId="10832" builtinId="9" hidden="1"/>
    <cellStyle name="Followed Hyperlink" xfId="10834" builtinId="9" hidden="1"/>
    <cellStyle name="Followed Hyperlink" xfId="10836" builtinId="9" hidden="1"/>
    <cellStyle name="Followed Hyperlink" xfId="9792" builtinId="9" hidden="1"/>
    <cellStyle name="Followed Hyperlink" xfId="9818" builtinId="9" hidden="1"/>
    <cellStyle name="Followed Hyperlink" xfId="9988" builtinId="9" hidden="1"/>
    <cellStyle name="Followed Hyperlink" xfId="9677" builtinId="9" hidden="1"/>
    <cellStyle name="Followed Hyperlink" xfId="10670" builtinId="9" hidden="1"/>
    <cellStyle name="Followed Hyperlink" xfId="9799" builtinId="9" hidden="1"/>
    <cellStyle name="Followed Hyperlink" xfId="9754" builtinId="9" hidden="1"/>
    <cellStyle name="Followed Hyperlink" xfId="10164" builtinId="9" hidden="1"/>
    <cellStyle name="Followed Hyperlink" xfId="10841" builtinId="9" hidden="1"/>
    <cellStyle name="Followed Hyperlink" xfId="10843" builtinId="9" hidden="1"/>
    <cellStyle name="Followed Hyperlink" xfId="10845" builtinId="9" hidden="1"/>
    <cellStyle name="Followed Hyperlink" xfId="10847" builtinId="9" hidden="1"/>
    <cellStyle name="Followed Hyperlink" xfId="10849" builtinId="9" hidden="1"/>
    <cellStyle name="Followed Hyperlink" xfId="10851" builtinId="9" hidden="1"/>
    <cellStyle name="Followed Hyperlink" xfId="10901" builtinId="9" hidden="1"/>
    <cellStyle name="Followed Hyperlink" xfId="10903" builtinId="9" hidden="1"/>
    <cellStyle name="Followed Hyperlink" xfId="10905" builtinId="9" hidden="1"/>
    <cellStyle name="Followed Hyperlink" xfId="10907" builtinId="9" hidden="1"/>
    <cellStyle name="Followed Hyperlink" xfId="10876" builtinId="9" hidden="1"/>
    <cellStyle name="Followed Hyperlink" xfId="10865" builtinId="9" hidden="1"/>
    <cellStyle name="Followed Hyperlink" xfId="10909" builtinId="9" hidden="1"/>
    <cellStyle name="Followed Hyperlink" xfId="10911" builtinId="9" hidden="1"/>
    <cellStyle name="Followed Hyperlink" xfId="10913" builtinId="9" hidden="1"/>
    <cellStyle name="Followed Hyperlink" xfId="10915" builtinId="9" hidden="1"/>
    <cellStyle name="Followed Hyperlink" xfId="10859" builtinId="9" hidden="1"/>
    <cellStyle name="Followed Hyperlink" xfId="10862" builtinId="9" hidden="1"/>
    <cellStyle name="Followed Hyperlink" xfId="10917" builtinId="9" hidden="1"/>
    <cellStyle name="Followed Hyperlink" xfId="10919" builtinId="9" hidden="1"/>
    <cellStyle name="Followed Hyperlink" xfId="10921" builtinId="9" hidden="1"/>
    <cellStyle name="Followed Hyperlink" xfId="10923" builtinId="9" hidden="1"/>
    <cellStyle name="Followed Hyperlink" xfId="10877" builtinId="9" hidden="1"/>
    <cellStyle name="Followed Hyperlink" xfId="10890" builtinId="9" hidden="1"/>
    <cellStyle name="Followed Hyperlink" xfId="10925" builtinId="9" hidden="1"/>
    <cellStyle name="Followed Hyperlink" xfId="10927" builtinId="9" hidden="1"/>
    <cellStyle name="Followed Hyperlink" xfId="10929" builtinId="9" hidden="1"/>
    <cellStyle name="Followed Hyperlink" xfId="10931" builtinId="9" hidden="1"/>
    <cellStyle name="Followed Hyperlink" xfId="10889" builtinId="9" hidden="1"/>
    <cellStyle name="Followed Hyperlink" xfId="10856" builtinId="9" hidden="1"/>
    <cellStyle name="Followed Hyperlink" xfId="10933" builtinId="9" hidden="1"/>
    <cellStyle name="Followed Hyperlink" xfId="10935" builtinId="9" hidden="1"/>
    <cellStyle name="Followed Hyperlink" xfId="10937" builtinId="9" hidden="1"/>
    <cellStyle name="Followed Hyperlink" xfId="10939" builtinId="9" hidden="1"/>
    <cellStyle name="Followed Hyperlink" xfId="10861" builtinId="9" hidden="1"/>
    <cellStyle name="Followed Hyperlink" xfId="10892" builtinId="9" hidden="1"/>
    <cellStyle name="Followed Hyperlink" xfId="10941" builtinId="9" hidden="1"/>
    <cellStyle name="Followed Hyperlink" xfId="10943" builtinId="9" hidden="1"/>
    <cellStyle name="Followed Hyperlink" xfId="10945" builtinId="9" hidden="1"/>
    <cellStyle name="Followed Hyperlink" xfId="10947" builtinId="9" hidden="1"/>
    <cellStyle name="Followed Hyperlink" xfId="10895" builtinId="9" hidden="1"/>
    <cellStyle name="Followed Hyperlink" xfId="10860" builtinId="9" hidden="1"/>
    <cellStyle name="Followed Hyperlink" xfId="10949" builtinId="9" hidden="1"/>
    <cellStyle name="Followed Hyperlink" xfId="10951" builtinId="9" hidden="1"/>
    <cellStyle name="Followed Hyperlink" xfId="10953" builtinId="9" hidden="1"/>
    <cellStyle name="Followed Hyperlink" xfId="10955" builtinId="9" hidden="1"/>
    <cellStyle name="Followed Hyperlink" xfId="10887" builtinId="9" hidden="1"/>
    <cellStyle name="Followed Hyperlink" xfId="10867" builtinId="9" hidden="1"/>
    <cellStyle name="Followed Hyperlink" xfId="10957" builtinId="9" hidden="1"/>
    <cellStyle name="Followed Hyperlink" xfId="10959" builtinId="9" hidden="1"/>
    <cellStyle name="Followed Hyperlink" xfId="10961" builtinId="9" hidden="1"/>
    <cellStyle name="Followed Hyperlink" xfId="10963" builtinId="9" hidden="1"/>
    <cellStyle name="Followed Hyperlink" xfId="10869" builtinId="9" hidden="1"/>
    <cellStyle name="Followed Hyperlink" xfId="10891" builtinId="9" hidden="1"/>
    <cellStyle name="Followed Hyperlink" xfId="10965" builtinId="9" hidden="1"/>
    <cellStyle name="Followed Hyperlink" xfId="10967" builtinId="9" hidden="1"/>
    <cellStyle name="Followed Hyperlink" xfId="10969" builtinId="9" hidden="1"/>
    <cellStyle name="Followed Hyperlink" xfId="10971" builtinId="9" hidden="1"/>
    <cellStyle name="Followed Hyperlink" xfId="10884" builtinId="9" hidden="1"/>
    <cellStyle name="Followed Hyperlink" xfId="10864" builtinId="9" hidden="1"/>
    <cellStyle name="Followed Hyperlink" xfId="10973" builtinId="9" hidden="1"/>
    <cellStyle name="Followed Hyperlink" xfId="10975" builtinId="9" hidden="1"/>
    <cellStyle name="Followed Hyperlink" xfId="10977" builtinId="9" hidden="1"/>
    <cellStyle name="Followed Hyperlink" xfId="10979" builtinId="9" hidden="1"/>
    <cellStyle name="Followed Hyperlink" xfId="10875" builtinId="9" hidden="1"/>
    <cellStyle name="Followed Hyperlink" xfId="10899" builtinId="9" hidden="1"/>
    <cellStyle name="Followed Hyperlink" xfId="10981" builtinId="9" hidden="1"/>
    <cellStyle name="Followed Hyperlink" xfId="10983" builtinId="9" hidden="1"/>
    <cellStyle name="Followed Hyperlink" xfId="10985" builtinId="9" hidden="1"/>
    <cellStyle name="Followed Hyperlink" xfId="10987" builtinId="9" hidden="1"/>
    <cellStyle name="Followed Hyperlink" xfId="10873" builtinId="9" hidden="1"/>
    <cellStyle name="Followed Hyperlink" xfId="10872" builtinId="9" hidden="1"/>
    <cellStyle name="Followed Hyperlink" xfId="10989" builtinId="9" hidden="1"/>
    <cellStyle name="Followed Hyperlink" xfId="10991" builtinId="9" hidden="1"/>
    <cellStyle name="Followed Hyperlink" xfId="10993" builtinId="9" hidden="1"/>
    <cellStyle name="Followed Hyperlink" xfId="10995" builtinId="9" hidden="1"/>
    <cellStyle name="Followed Hyperlink" xfId="10871" builtinId="9" hidden="1"/>
    <cellStyle name="Followed Hyperlink" xfId="10893" builtinId="9" hidden="1"/>
    <cellStyle name="Followed Hyperlink" xfId="10997" builtinId="9" hidden="1"/>
    <cellStyle name="Followed Hyperlink" xfId="10999" builtinId="9" hidden="1"/>
    <cellStyle name="Followed Hyperlink" xfId="11001" builtinId="9" hidden="1"/>
    <cellStyle name="Followed Hyperlink" xfId="11003" builtinId="9" hidden="1"/>
    <cellStyle name="Followed Hyperlink" xfId="9704" builtinId="9" hidden="1"/>
    <cellStyle name="Followed Hyperlink" xfId="9681" builtinId="9" hidden="1"/>
    <cellStyle name="Followed Hyperlink" xfId="9784" builtinId="9" hidden="1"/>
    <cellStyle name="Followed Hyperlink" xfId="9798" builtinId="9" hidden="1"/>
    <cellStyle name="Followed Hyperlink" xfId="10837" builtinId="9" hidden="1"/>
    <cellStyle name="Followed Hyperlink" xfId="9696" builtinId="9" hidden="1"/>
    <cellStyle name="Followed Hyperlink" xfId="9776" builtinId="9" hidden="1"/>
    <cellStyle name="Followed Hyperlink" xfId="10334" builtinId="9" hidden="1"/>
    <cellStyle name="Followed Hyperlink" xfId="11008" builtinId="9" hidden="1"/>
    <cellStyle name="Followed Hyperlink" xfId="11010" builtinId="9" hidden="1"/>
    <cellStyle name="Followed Hyperlink" xfId="11012" builtinId="9" hidden="1"/>
    <cellStyle name="Followed Hyperlink" xfId="11014" builtinId="9" hidden="1"/>
    <cellStyle name="Followed Hyperlink" xfId="11016" builtinId="9" hidden="1"/>
    <cellStyle name="Followed Hyperlink" xfId="11018" builtinId="9" hidden="1"/>
    <cellStyle name="Followed Hyperlink" xfId="11068" builtinId="9" hidden="1"/>
    <cellStyle name="Followed Hyperlink" xfId="11070" builtinId="9" hidden="1"/>
    <cellStyle name="Followed Hyperlink" xfId="11072" builtinId="9" hidden="1"/>
    <cellStyle name="Followed Hyperlink" xfId="11074" builtinId="9" hidden="1"/>
    <cellStyle name="Followed Hyperlink" xfId="11043" builtinId="9" hidden="1"/>
    <cellStyle name="Followed Hyperlink" xfId="11032" builtinId="9" hidden="1"/>
    <cellStyle name="Followed Hyperlink" xfId="11076" builtinId="9" hidden="1"/>
    <cellStyle name="Followed Hyperlink" xfId="11078" builtinId="9" hidden="1"/>
    <cellStyle name="Followed Hyperlink" xfId="11080" builtinId="9" hidden="1"/>
    <cellStyle name="Followed Hyperlink" xfId="11082" builtinId="9" hidden="1"/>
    <cellStyle name="Followed Hyperlink" xfId="11026" builtinId="9" hidden="1"/>
    <cellStyle name="Followed Hyperlink" xfId="11029" builtinId="9" hidden="1"/>
    <cellStyle name="Followed Hyperlink" xfId="11084" builtinId="9" hidden="1"/>
    <cellStyle name="Followed Hyperlink" xfId="11086" builtinId="9" hidden="1"/>
    <cellStyle name="Followed Hyperlink" xfId="11088" builtinId="9" hidden="1"/>
    <cellStyle name="Followed Hyperlink" xfId="11090" builtinId="9" hidden="1"/>
    <cellStyle name="Followed Hyperlink" xfId="11044" builtinId="9" hidden="1"/>
    <cellStyle name="Followed Hyperlink" xfId="11057" builtinId="9" hidden="1"/>
    <cellStyle name="Followed Hyperlink" xfId="11092" builtinId="9" hidden="1"/>
    <cellStyle name="Followed Hyperlink" xfId="11094" builtinId="9" hidden="1"/>
    <cellStyle name="Followed Hyperlink" xfId="11096" builtinId="9" hidden="1"/>
    <cellStyle name="Followed Hyperlink" xfId="11098" builtinId="9" hidden="1"/>
    <cellStyle name="Followed Hyperlink" xfId="11056" builtinId="9" hidden="1"/>
    <cellStyle name="Followed Hyperlink" xfId="11023" builtinId="9" hidden="1"/>
    <cellStyle name="Followed Hyperlink" xfId="11100" builtinId="9" hidden="1"/>
    <cellStyle name="Followed Hyperlink" xfId="11102" builtinId="9" hidden="1"/>
    <cellStyle name="Followed Hyperlink" xfId="11104" builtinId="9" hidden="1"/>
    <cellStyle name="Followed Hyperlink" xfId="11106" builtinId="9" hidden="1"/>
    <cellStyle name="Followed Hyperlink" xfId="11028" builtinId="9" hidden="1"/>
    <cellStyle name="Followed Hyperlink" xfId="11059" builtinId="9" hidden="1"/>
    <cellStyle name="Followed Hyperlink" xfId="11108" builtinId="9" hidden="1"/>
    <cellStyle name="Followed Hyperlink" xfId="11110" builtinId="9" hidden="1"/>
    <cellStyle name="Followed Hyperlink" xfId="11112" builtinId="9" hidden="1"/>
    <cellStyle name="Followed Hyperlink" xfId="11114" builtinId="9" hidden="1"/>
    <cellStyle name="Followed Hyperlink" xfId="11062" builtinId="9" hidden="1"/>
    <cellStyle name="Followed Hyperlink" xfId="11027" builtinId="9" hidden="1"/>
    <cellStyle name="Followed Hyperlink" xfId="11116" builtinId="9" hidden="1"/>
    <cellStyle name="Followed Hyperlink" xfId="11118" builtinId="9" hidden="1"/>
    <cellStyle name="Followed Hyperlink" xfId="11120" builtinId="9" hidden="1"/>
    <cellStyle name="Followed Hyperlink" xfId="11122" builtinId="9" hidden="1"/>
    <cellStyle name="Followed Hyperlink" xfId="11054" builtinId="9" hidden="1"/>
    <cellStyle name="Followed Hyperlink" xfId="11034" builtinId="9" hidden="1"/>
    <cellStyle name="Followed Hyperlink" xfId="11124" builtinId="9" hidden="1"/>
    <cellStyle name="Followed Hyperlink" xfId="11126" builtinId="9" hidden="1"/>
    <cellStyle name="Followed Hyperlink" xfId="11128" builtinId="9" hidden="1"/>
    <cellStyle name="Followed Hyperlink" xfId="11130" builtinId="9" hidden="1"/>
    <cellStyle name="Followed Hyperlink" xfId="11036" builtinId="9" hidden="1"/>
    <cellStyle name="Followed Hyperlink" xfId="11058" builtinId="9" hidden="1"/>
    <cellStyle name="Followed Hyperlink" xfId="11132" builtinId="9" hidden="1"/>
    <cellStyle name="Followed Hyperlink" xfId="11134" builtinId="9" hidden="1"/>
    <cellStyle name="Followed Hyperlink" xfId="11136" builtinId="9" hidden="1"/>
    <cellStyle name="Followed Hyperlink" xfId="11138" builtinId="9" hidden="1"/>
    <cellStyle name="Followed Hyperlink" xfId="11051" builtinId="9" hidden="1"/>
    <cellStyle name="Followed Hyperlink" xfId="11031" builtinId="9" hidden="1"/>
    <cellStyle name="Followed Hyperlink" xfId="11140" builtinId="9" hidden="1"/>
    <cellStyle name="Followed Hyperlink" xfId="11142" builtinId="9" hidden="1"/>
    <cellStyle name="Followed Hyperlink" xfId="11144" builtinId="9" hidden="1"/>
    <cellStyle name="Followed Hyperlink" xfId="11146" builtinId="9" hidden="1"/>
    <cellStyle name="Followed Hyperlink" xfId="11042" builtinId="9" hidden="1"/>
    <cellStyle name="Followed Hyperlink" xfId="11066" builtinId="9" hidden="1"/>
    <cellStyle name="Followed Hyperlink" xfId="11148" builtinId="9" hidden="1"/>
    <cellStyle name="Followed Hyperlink" xfId="11150" builtinId="9" hidden="1"/>
    <cellStyle name="Followed Hyperlink" xfId="11152" builtinId="9" hidden="1"/>
    <cellStyle name="Followed Hyperlink" xfId="11154" builtinId="9" hidden="1"/>
    <cellStyle name="Followed Hyperlink" xfId="11040" builtinId="9" hidden="1"/>
    <cellStyle name="Followed Hyperlink" xfId="11039" builtinId="9" hidden="1"/>
    <cellStyle name="Followed Hyperlink" xfId="11156" builtinId="9" hidden="1"/>
    <cellStyle name="Followed Hyperlink" xfId="11158" builtinId="9" hidden="1"/>
    <cellStyle name="Followed Hyperlink" xfId="11160" builtinId="9" hidden="1"/>
    <cellStyle name="Followed Hyperlink" xfId="11162" builtinId="9" hidden="1"/>
    <cellStyle name="Followed Hyperlink" xfId="11038" builtinId="9" hidden="1"/>
    <cellStyle name="Followed Hyperlink" xfId="11060" builtinId="9" hidden="1"/>
    <cellStyle name="Followed Hyperlink" xfId="11164" builtinId="9" hidden="1"/>
    <cellStyle name="Followed Hyperlink" xfId="11166" builtinId="9" hidden="1"/>
    <cellStyle name="Followed Hyperlink" xfId="11168" builtinId="9" hidden="1"/>
    <cellStyle name="Followed Hyperlink" xfId="11170" builtinId="9" hidden="1"/>
    <cellStyle name="Followed Hyperlink" xfId="9787" builtinId="9" hidden="1"/>
    <cellStyle name="Followed Hyperlink" xfId="10161" builtinId="9" hidden="1"/>
    <cellStyle name="Followed Hyperlink" xfId="10157" builtinId="9" hidden="1"/>
    <cellStyle name="Followed Hyperlink" xfId="9721" builtinId="9" hidden="1"/>
    <cellStyle name="Followed Hyperlink" xfId="11004" builtinId="9" hidden="1"/>
    <cellStyle name="Followed Hyperlink" xfId="9727" builtinId="9" hidden="1"/>
    <cellStyle name="Followed Hyperlink" xfId="9761" builtinId="9" hidden="1"/>
    <cellStyle name="Followed Hyperlink" xfId="10503" builtinId="9" hidden="1"/>
    <cellStyle name="Followed Hyperlink" xfId="11173" builtinId="9" hidden="1"/>
    <cellStyle name="Followed Hyperlink" xfId="11175" builtinId="9" hidden="1"/>
    <cellStyle name="Followed Hyperlink" xfId="11177" builtinId="9" hidden="1"/>
    <cellStyle name="Followed Hyperlink" xfId="11179" builtinId="9" hidden="1"/>
    <cellStyle name="Followed Hyperlink" xfId="11181" builtinId="9" hidden="1"/>
    <cellStyle name="Followed Hyperlink" xfId="11183" builtinId="9" hidden="1"/>
    <cellStyle name="Followed Hyperlink" xfId="11233" builtinId="9" hidden="1"/>
    <cellStyle name="Followed Hyperlink" xfId="11235" builtinId="9" hidden="1"/>
    <cellStyle name="Followed Hyperlink" xfId="11237" builtinId="9" hidden="1"/>
    <cellStyle name="Followed Hyperlink" xfId="11239" builtinId="9" hidden="1"/>
    <cellStyle name="Followed Hyperlink" xfId="11208" builtinId="9" hidden="1"/>
    <cellStyle name="Followed Hyperlink" xfId="11197" builtinId="9" hidden="1"/>
    <cellStyle name="Followed Hyperlink" xfId="11241" builtinId="9" hidden="1"/>
    <cellStyle name="Followed Hyperlink" xfId="11243" builtinId="9" hidden="1"/>
    <cellStyle name="Followed Hyperlink" xfId="11245" builtinId="9" hidden="1"/>
    <cellStyle name="Followed Hyperlink" xfId="11247" builtinId="9" hidden="1"/>
    <cellStyle name="Followed Hyperlink" xfId="11191" builtinId="9" hidden="1"/>
    <cellStyle name="Followed Hyperlink" xfId="11194" builtinId="9" hidden="1"/>
    <cellStyle name="Followed Hyperlink" xfId="11249" builtinId="9" hidden="1"/>
    <cellStyle name="Followed Hyperlink" xfId="11251" builtinId="9" hidden="1"/>
    <cellStyle name="Followed Hyperlink" xfId="11253" builtinId="9" hidden="1"/>
    <cellStyle name="Followed Hyperlink" xfId="11255" builtinId="9" hidden="1"/>
    <cellStyle name="Followed Hyperlink" xfId="11209" builtinId="9" hidden="1"/>
    <cellStyle name="Followed Hyperlink" xfId="11222" builtinId="9" hidden="1"/>
    <cellStyle name="Followed Hyperlink" xfId="11257" builtinId="9" hidden="1"/>
    <cellStyle name="Followed Hyperlink" xfId="11259" builtinId="9" hidden="1"/>
    <cellStyle name="Followed Hyperlink" xfId="11261" builtinId="9" hidden="1"/>
    <cellStyle name="Followed Hyperlink" xfId="11263" builtinId="9" hidden="1"/>
    <cellStyle name="Followed Hyperlink" xfId="11221" builtinId="9" hidden="1"/>
    <cellStyle name="Followed Hyperlink" xfId="11188" builtinId="9" hidden="1"/>
    <cellStyle name="Followed Hyperlink" xfId="11265" builtinId="9" hidden="1"/>
    <cellStyle name="Followed Hyperlink" xfId="11267" builtinId="9" hidden="1"/>
    <cellStyle name="Followed Hyperlink" xfId="11269" builtinId="9" hidden="1"/>
    <cellStyle name="Followed Hyperlink" xfId="11271" builtinId="9" hidden="1"/>
    <cellStyle name="Followed Hyperlink" xfId="11193" builtinId="9" hidden="1"/>
    <cellStyle name="Followed Hyperlink" xfId="11224" builtinId="9" hidden="1"/>
    <cellStyle name="Followed Hyperlink" xfId="11273" builtinId="9" hidden="1"/>
    <cellStyle name="Followed Hyperlink" xfId="11275" builtinId="9" hidden="1"/>
    <cellStyle name="Followed Hyperlink" xfId="11277" builtinId="9" hidden="1"/>
    <cellStyle name="Followed Hyperlink" xfId="11279" builtinId="9" hidden="1"/>
    <cellStyle name="Followed Hyperlink" xfId="11227" builtinId="9" hidden="1"/>
    <cellStyle name="Followed Hyperlink" xfId="11192" builtinId="9" hidden="1"/>
    <cellStyle name="Followed Hyperlink" xfId="11281" builtinId="9" hidden="1"/>
    <cellStyle name="Followed Hyperlink" xfId="11283" builtinId="9" hidden="1"/>
    <cellStyle name="Followed Hyperlink" xfId="11285" builtinId="9" hidden="1"/>
    <cellStyle name="Followed Hyperlink" xfId="11287" builtinId="9" hidden="1"/>
    <cellStyle name="Followed Hyperlink" xfId="11219" builtinId="9" hidden="1"/>
    <cellStyle name="Followed Hyperlink" xfId="11199" builtinId="9" hidden="1"/>
    <cellStyle name="Followed Hyperlink" xfId="11289" builtinId="9" hidden="1"/>
    <cellStyle name="Followed Hyperlink" xfId="11291" builtinId="9" hidden="1"/>
    <cellStyle name="Followed Hyperlink" xfId="11293" builtinId="9" hidden="1"/>
    <cellStyle name="Followed Hyperlink" xfId="11295" builtinId="9" hidden="1"/>
    <cellStyle name="Followed Hyperlink" xfId="11201" builtinId="9" hidden="1"/>
    <cellStyle name="Followed Hyperlink" xfId="11223" builtinId="9" hidden="1"/>
    <cellStyle name="Followed Hyperlink" xfId="11297" builtinId="9" hidden="1"/>
    <cellStyle name="Followed Hyperlink" xfId="11299" builtinId="9" hidden="1"/>
    <cellStyle name="Followed Hyperlink" xfId="11301" builtinId="9" hidden="1"/>
    <cellStyle name="Followed Hyperlink" xfId="11303" builtinId="9" hidden="1"/>
    <cellStyle name="Followed Hyperlink" xfId="11216" builtinId="9" hidden="1"/>
    <cellStyle name="Followed Hyperlink" xfId="11196" builtinId="9" hidden="1"/>
    <cellStyle name="Followed Hyperlink" xfId="11305" builtinId="9" hidden="1"/>
    <cellStyle name="Followed Hyperlink" xfId="11307" builtinId="9" hidden="1"/>
    <cellStyle name="Followed Hyperlink" xfId="11309" builtinId="9" hidden="1"/>
    <cellStyle name="Followed Hyperlink" xfId="11311" builtinId="9" hidden="1"/>
    <cellStyle name="Followed Hyperlink" xfId="11207" builtinId="9" hidden="1"/>
    <cellStyle name="Followed Hyperlink" xfId="11231" builtinId="9" hidden="1"/>
    <cellStyle name="Followed Hyperlink" xfId="11313" builtinId="9" hidden="1"/>
    <cellStyle name="Followed Hyperlink" xfId="11315" builtinId="9" hidden="1"/>
    <cellStyle name="Followed Hyperlink" xfId="11317" builtinId="9" hidden="1"/>
    <cellStyle name="Followed Hyperlink" xfId="11319" builtinId="9" hidden="1"/>
    <cellStyle name="Followed Hyperlink" xfId="11205" builtinId="9" hidden="1"/>
    <cellStyle name="Followed Hyperlink" xfId="11204" builtinId="9" hidden="1"/>
    <cellStyle name="Followed Hyperlink" xfId="11321" builtinId="9" hidden="1"/>
    <cellStyle name="Followed Hyperlink" xfId="11323" builtinId="9" hidden="1"/>
    <cellStyle name="Followed Hyperlink" xfId="11325" builtinId="9" hidden="1"/>
    <cellStyle name="Followed Hyperlink" xfId="11327" builtinId="9" hidden="1"/>
    <cellStyle name="Followed Hyperlink" xfId="11203" builtinId="9" hidden="1"/>
    <cellStyle name="Followed Hyperlink" xfId="11225" builtinId="9" hidden="1"/>
    <cellStyle name="Followed Hyperlink" xfId="11329" builtinId="9" hidden="1"/>
    <cellStyle name="Followed Hyperlink" xfId="11331" builtinId="9" hidden="1"/>
    <cellStyle name="Followed Hyperlink" xfId="11333" builtinId="9" hidden="1"/>
    <cellStyle name="Followed Hyperlink" xfId="11335" builtinId="9" hidden="1"/>
    <cellStyle name="Followed Hyperlink" xfId="9771" builtinId="9" hidden="1"/>
    <cellStyle name="Followed Hyperlink" xfId="10331" builtinId="9" hidden="1"/>
    <cellStyle name="Followed Hyperlink" xfId="9802" builtinId="9" hidden="1"/>
    <cellStyle name="Followed Hyperlink" xfId="9712" builtinId="9" hidden="1"/>
    <cellStyle name="Followed Hyperlink" xfId="11171" builtinId="9" hidden="1"/>
    <cellStyle name="Followed Hyperlink" xfId="9691" builtinId="9" hidden="1"/>
    <cellStyle name="Followed Hyperlink" xfId="9806" builtinId="9" hidden="1"/>
    <cellStyle name="Followed Hyperlink" xfId="10672" builtinId="9" hidden="1"/>
    <cellStyle name="Followed Hyperlink" xfId="11338" builtinId="9" hidden="1"/>
    <cellStyle name="Followed Hyperlink" xfId="11340" builtinId="9" hidden="1"/>
    <cellStyle name="Followed Hyperlink" xfId="11342" builtinId="9" hidden="1"/>
    <cellStyle name="Followed Hyperlink" xfId="11344" builtinId="9" hidden="1"/>
    <cellStyle name="Followed Hyperlink" xfId="11346" builtinId="9" hidden="1"/>
    <cellStyle name="Followed Hyperlink" xfId="11348" builtinId="9" hidden="1"/>
    <cellStyle name="Followed Hyperlink" xfId="11398" builtinId="9" hidden="1"/>
    <cellStyle name="Followed Hyperlink" xfId="11400" builtinId="9" hidden="1"/>
    <cellStyle name="Followed Hyperlink" xfId="11402" builtinId="9" hidden="1"/>
    <cellStyle name="Followed Hyperlink" xfId="11404" builtinId="9" hidden="1"/>
    <cellStyle name="Followed Hyperlink" xfId="11373" builtinId="9" hidden="1"/>
    <cellStyle name="Followed Hyperlink" xfId="11362" builtinId="9" hidden="1"/>
    <cellStyle name="Followed Hyperlink" xfId="11406" builtinId="9" hidden="1"/>
    <cellStyle name="Followed Hyperlink" xfId="11408" builtinId="9" hidden="1"/>
    <cellStyle name="Followed Hyperlink" xfId="11410" builtinId="9" hidden="1"/>
    <cellStyle name="Followed Hyperlink" xfId="11412" builtinId="9" hidden="1"/>
    <cellStyle name="Followed Hyperlink" xfId="11356" builtinId="9" hidden="1"/>
    <cellStyle name="Followed Hyperlink" xfId="11359" builtinId="9" hidden="1"/>
    <cellStyle name="Followed Hyperlink" xfId="11414" builtinId="9" hidden="1"/>
    <cellStyle name="Followed Hyperlink" xfId="11416" builtinId="9" hidden="1"/>
    <cellStyle name="Followed Hyperlink" xfId="11418" builtinId="9" hidden="1"/>
    <cellStyle name="Followed Hyperlink" xfId="11420" builtinId="9" hidden="1"/>
    <cellStyle name="Followed Hyperlink" xfId="11374" builtinId="9" hidden="1"/>
    <cellStyle name="Followed Hyperlink" xfId="11387" builtinId="9" hidden="1"/>
    <cellStyle name="Followed Hyperlink" xfId="11422" builtinId="9" hidden="1"/>
    <cellStyle name="Followed Hyperlink" xfId="11424" builtinId="9" hidden="1"/>
    <cellStyle name="Followed Hyperlink" xfId="11426" builtinId="9" hidden="1"/>
    <cellStyle name="Followed Hyperlink" xfId="11428" builtinId="9" hidden="1"/>
    <cellStyle name="Followed Hyperlink" xfId="11386" builtinId="9" hidden="1"/>
    <cellStyle name="Followed Hyperlink" xfId="11353" builtinId="9" hidden="1"/>
    <cellStyle name="Followed Hyperlink" xfId="11430" builtinId="9" hidden="1"/>
    <cellStyle name="Followed Hyperlink" xfId="11432" builtinId="9" hidden="1"/>
    <cellStyle name="Followed Hyperlink" xfId="11434" builtinId="9" hidden="1"/>
    <cellStyle name="Followed Hyperlink" xfId="11436" builtinId="9" hidden="1"/>
    <cellStyle name="Followed Hyperlink" xfId="11358" builtinId="9" hidden="1"/>
    <cellStyle name="Followed Hyperlink" xfId="11389" builtinId="9" hidden="1"/>
    <cellStyle name="Followed Hyperlink" xfId="11438" builtinId="9" hidden="1"/>
    <cellStyle name="Followed Hyperlink" xfId="11440" builtinId="9" hidden="1"/>
    <cellStyle name="Followed Hyperlink" xfId="11442" builtinId="9" hidden="1"/>
    <cellStyle name="Followed Hyperlink" xfId="11444" builtinId="9" hidden="1"/>
    <cellStyle name="Followed Hyperlink" xfId="11392" builtinId="9" hidden="1"/>
    <cellStyle name="Followed Hyperlink" xfId="11357" builtinId="9" hidden="1"/>
    <cellStyle name="Followed Hyperlink" xfId="11446" builtinId="9" hidden="1"/>
    <cellStyle name="Followed Hyperlink" xfId="11448" builtinId="9" hidden="1"/>
    <cellStyle name="Followed Hyperlink" xfId="11450" builtinId="9" hidden="1"/>
    <cellStyle name="Followed Hyperlink" xfId="11452" builtinId="9" hidden="1"/>
    <cellStyle name="Followed Hyperlink" xfId="11384" builtinId="9" hidden="1"/>
    <cellStyle name="Followed Hyperlink" xfId="11364" builtinId="9" hidden="1"/>
    <cellStyle name="Followed Hyperlink" xfId="11454" builtinId="9" hidden="1"/>
    <cellStyle name="Followed Hyperlink" xfId="11456" builtinId="9" hidden="1"/>
    <cellStyle name="Followed Hyperlink" xfId="11458" builtinId="9" hidden="1"/>
    <cellStyle name="Followed Hyperlink" xfId="11460" builtinId="9" hidden="1"/>
    <cellStyle name="Followed Hyperlink" xfId="11366" builtinId="9" hidden="1"/>
    <cellStyle name="Followed Hyperlink" xfId="11388" builtinId="9" hidden="1"/>
    <cellStyle name="Followed Hyperlink" xfId="11462" builtinId="9" hidden="1"/>
    <cellStyle name="Followed Hyperlink" xfId="11464" builtinId="9" hidden="1"/>
    <cellStyle name="Followed Hyperlink" xfId="11466" builtinId="9" hidden="1"/>
    <cellStyle name="Followed Hyperlink" xfId="11468" builtinId="9" hidden="1"/>
    <cellStyle name="Followed Hyperlink" xfId="11381" builtinId="9" hidden="1"/>
    <cellStyle name="Followed Hyperlink" xfId="11361" builtinId="9" hidden="1"/>
    <cellStyle name="Followed Hyperlink" xfId="11470" builtinId="9" hidden="1"/>
    <cellStyle name="Followed Hyperlink" xfId="11472" builtinId="9" hidden="1"/>
    <cellStyle name="Followed Hyperlink" xfId="11474" builtinId="9" hidden="1"/>
    <cellStyle name="Followed Hyperlink" xfId="11476" builtinId="9" hidden="1"/>
    <cellStyle name="Followed Hyperlink" xfId="11372" builtinId="9" hidden="1"/>
    <cellStyle name="Followed Hyperlink" xfId="11396" builtinId="9" hidden="1"/>
    <cellStyle name="Followed Hyperlink" xfId="11478" builtinId="9" hidden="1"/>
    <cellStyle name="Followed Hyperlink" xfId="11480" builtinId="9" hidden="1"/>
    <cellStyle name="Followed Hyperlink" xfId="11482" builtinId="9" hidden="1"/>
    <cellStyle name="Followed Hyperlink" xfId="11484" builtinId="9" hidden="1"/>
    <cellStyle name="Followed Hyperlink" xfId="11370" builtinId="9" hidden="1"/>
    <cellStyle name="Followed Hyperlink" xfId="11369" builtinId="9" hidden="1"/>
    <cellStyle name="Followed Hyperlink" xfId="11486" builtinId="9" hidden="1"/>
    <cellStyle name="Followed Hyperlink" xfId="11488" builtinId="9" hidden="1"/>
    <cellStyle name="Followed Hyperlink" xfId="11490" builtinId="9" hidden="1"/>
    <cellStyle name="Followed Hyperlink" xfId="11492" builtinId="9" hidden="1"/>
    <cellStyle name="Followed Hyperlink" xfId="11368" builtinId="9" hidden="1"/>
    <cellStyle name="Followed Hyperlink" xfId="11390" builtinId="9" hidden="1"/>
    <cellStyle name="Followed Hyperlink" xfId="11494" builtinId="9" hidden="1"/>
    <cellStyle name="Followed Hyperlink" xfId="11496" builtinId="9" hidden="1"/>
    <cellStyle name="Followed Hyperlink" xfId="11498" builtinId="9" hidden="1"/>
    <cellStyle name="Followed Hyperlink" xfId="11500" builtinId="9" hidden="1"/>
    <cellStyle name="Followed Hyperlink" xfId="9697" builtinId="9" hidden="1"/>
    <cellStyle name="Followed Hyperlink" xfId="10500" builtinId="9" hidden="1"/>
    <cellStyle name="Followed Hyperlink" xfId="9778" builtinId="9" hidden="1"/>
    <cellStyle name="Followed Hyperlink" xfId="9810" builtinId="9" hidden="1"/>
    <cellStyle name="Followed Hyperlink" xfId="11336" builtinId="9" hidden="1"/>
    <cellStyle name="Followed Hyperlink" xfId="9688" builtinId="9" hidden="1"/>
    <cellStyle name="Followed Hyperlink" xfId="9774" builtinId="9" hidden="1"/>
    <cellStyle name="Followed Hyperlink" xfId="10839" builtinId="9" hidden="1"/>
    <cellStyle name="Followed Hyperlink" xfId="11503" builtinId="9" hidden="1"/>
    <cellStyle name="Followed Hyperlink" xfId="11505" builtinId="9" hidden="1"/>
    <cellStyle name="Followed Hyperlink" xfId="11507" builtinId="9" hidden="1"/>
    <cellStyle name="Followed Hyperlink" xfId="11509" builtinId="9" hidden="1"/>
    <cellStyle name="Followed Hyperlink" xfId="11511" builtinId="9" hidden="1"/>
    <cellStyle name="Followed Hyperlink" xfId="11513" builtinId="9" hidden="1"/>
    <cellStyle name="Followed Hyperlink" xfId="11563" builtinId="9" hidden="1"/>
    <cellStyle name="Followed Hyperlink" xfId="11565" builtinId="9" hidden="1"/>
    <cellStyle name="Followed Hyperlink" xfId="11567" builtinId="9" hidden="1"/>
    <cellStyle name="Followed Hyperlink" xfId="11569" builtinId="9" hidden="1"/>
    <cellStyle name="Followed Hyperlink" xfId="11538" builtinId="9" hidden="1"/>
    <cellStyle name="Followed Hyperlink" xfId="11527" builtinId="9" hidden="1"/>
    <cellStyle name="Followed Hyperlink" xfId="11571" builtinId="9" hidden="1"/>
    <cellStyle name="Followed Hyperlink" xfId="11573" builtinId="9" hidden="1"/>
    <cellStyle name="Followed Hyperlink" xfId="11575" builtinId="9" hidden="1"/>
    <cellStyle name="Followed Hyperlink" xfId="11577" builtinId="9" hidden="1"/>
    <cellStyle name="Followed Hyperlink" xfId="11521" builtinId="9" hidden="1"/>
    <cellStyle name="Followed Hyperlink" xfId="11524" builtinId="9" hidden="1"/>
    <cellStyle name="Followed Hyperlink" xfId="11579" builtinId="9" hidden="1"/>
    <cellStyle name="Followed Hyperlink" xfId="11581" builtinId="9" hidden="1"/>
    <cellStyle name="Followed Hyperlink" xfId="11583" builtinId="9" hidden="1"/>
    <cellStyle name="Followed Hyperlink" xfId="11585" builtinId="9" hidden="1"/>
    <cellStyle name="Followed Hyperlink" xfId="11539" builtinId="9" hidden="1"/>
    <cellStyle name="Followed Hyperlink" xfId="11552" builtinId="9" hidden="1"/>
    <cellStyle name="Followed Hyperlink" xfId="11587" builtinId="9" hidden="1"/>
    <cellStyle name="Followed Hyperlink" xfId="11589" builtinId="9" hidden="1"/>
    <cellStyle name="Followed Hyperlink" xfId="11591" builtinId="9" hidden="1"/>
    <cellStyle name="Followed Hyperlink" xfId="11593" builtinId="9" hidden="1"/>
    <cellStyle name="Followed Hyperlink" xfId="11551" builtinId="9" hidden="1"/>
    <cellStyle name="Followed Hyperlink" xfId="11518" builtinId="9" hidden="1"/>
    <cellStyle name="Followed Hyperlink" xfId="11595" builtinId="9" hidden="1"/>
    <cellStyle name="Followed Hyperlink" xfId="11597" builtinId="9" hidden="1"/>
    <cellStyle name="Followed Hyperlink" xfId="11599" builtinId="9" hidden="1"/>
    <cellStyle name="Followed Hyperlink" xfId="11601" builtinId="9" hidden="1"/>
    <cellStyle name="Followed Hyperlink" xfId="11523" builtinId="9" hidden="1"/>
    <cellStyle name="Followed Hyperlink" xfId="11554" builtinId="9" hidden="1"/>
    <cellStyle name="Followed Hyperlink" xfId="11603" builtinId="9" hidden="1"/>
    <cellStyle name="Followed Hyperlink" xfId="11605" builtinId="9" hidden="1"/>
    <cellStyle name="Followed Hyperlink" xfId="11607" builtinId="9" hidden="1"/>
    <cellStyle name="Followed Hyperlink" xfId="11609" builtinId="9" hidden="1"/>
    <cellStyle name="Followed Hyperlink" xfId="11557" builtinId="9" hidden="1"/>
    <cellStyle name="Followed Hyperlink" xfId="11522" builtinId="9" hidden="1"/>
    <cellStyle name="Followed Hyperlink" xfId="11611" builtinId="9" hidden="1"/>
    <cellStyle name="Followed Hyperlink" xfId="11613" builtinId="9" hidden="1"/>
    <cellStyle name="Followed Hyperlink" xfId="11615" builtinId="9" hidden="1"/>
    <cellStyle name="Followed Hyperlink" xfId="11617" builtinId="9" hidden="1"/>
    <cellStyle name="Followed Hyperlink" xfId="11549" builtinId="9" hidden="1"/>
    <cellStyle name="Followed Hyperlink" xfId="11529" builtinId="9" hidden="1"/>
    <cellStyle name="Followed Hyperlink" xfId="11619" builtinId="9" hidden="1"/>
    <cellStyle name="Followed Hyperlink" xfId="11621" builtinId="9" hidden="1"/>
    <cellStyle name="Followed Hyperlink" xfId="11623" builtinId="9" hidden="1"/>
    <cellStyle name="Followed Hyperlink" xfId="11625" builtinId="9" hidden="1"/>
    <cellStyle name="Followed Hyperlink" xfId="11531" builtinId="9" hidden="1"/>
    <cellStyle name="Followed Hyperlink" xfId="11553" builtinId="9" hidden="1"/>
    <cellStyle name="Followed Hyperlink" xfId="11627" builtinId="9" hidden="1"/>
    <cellStyle name="Followed Hyperlink" xfId="11629" builtinId="9" hidden="1"/>
    <cellStyle name="Followed Hyperlink" xfId="11631" builtinId="9" hidden="1"/>
    <cellStyle name="Followed Hyperlink" xfId="11633" builtinId="9" hidden="1"/>
    <cellStyle name="Followed Hyperlink" xfId="11546" builtinId="9" hidden="1"/>
    <cellStyle name="Followed Hyperlink" xfId="11526" builtinId="9" hidden="1"/>
    <cellStyle name="Followed Hyperlink" xfId="11635" builtinId="9" hidden="1"/>
    <cellStyle name="Followed Hyperlink" xfId="11637" builtinId="9" hidden="1"/>
    <cellStyle name="Followed Hyperlink" xfId="11639" builtinId="9" hidden="1"/>
    <cellStyle name="Followed Hyperlink" xfId="11641" builtinId="9" hidden="1"/>
    <cellStyle name="Followed Hyperlink" xfId="11537" builtinId="9" hidden="1"/>
    <cellStyle name="Followed Hyperlink" xfId="11561" builtinId="9" hidden="1"/>
    <cellStyle name="Followed Hyperlink" xfId="11643" builtinId="9" hidden="1"/>
    <cellStyle name="Followed Hyperlink" xfId="11645" builtinId="9" hidden="1"/>
    <cellStyle name="Followed Hyperlink" xfId="11647" builtinId="9" hidden="1"/>
    <cellStyle name="Followed Hyperlink" xfId="11649" builtinId="9" hidden="1"/>
    <cellStyle name="Followed Hyperlink" xfId="11535" builtinId="9" hidden="1"/>
    <cellStyle name="Followed Hyperlink" xfId="11534" builtinId="9" hidden="1"/>
    <cellStyle name="Followed Hyperlink" xfId="11651" builtinId="9" hidden="1"/>
    <cellStyle name="Followed Hyperlink" xfId="11653" builtinId="9" hidden="1"/>
    <cellStyle name="Followed Hyperlink" xfId="11655" builtinId="9" hidden="1"/>
    <cellStyle name="Followed Hyperlink" xfId="11657" builtinId="9" hidden="1"/>
    <cellStyle name="Followed Hyperlink" xfId="11533" builtinId="9" hidden="1"/>
    <cellStyle name="Followed Hyperlink" xfId="11555" builtinId="9" hidden="1"/>
    <cellStyle name="Followed Hyperlink" xfId="11659" builtinId="9" hidden="1"/>
    <cellStyle name="Followed Hyperlink" xfId="11661" builtinId="9" hidden="1"/>
    <cellStyle name="Followed Hyperlink" xfId="11663" builtinId="9" hidden="1"/>
    <cellStyle name="Followed Hyperlink" xfId="11665" builtinId="9" hidden="1"/>
    <cellStyle name="Followed Hyperlink" xfId="9768" builtinId="9" hidden="1"/>
    <cellStyle name="Followed Hyperlink" xfId="10669" builtinId="9" hidden="1"/>
    <cellStyle name="Followed Hyperlink" xfId="9823" builtinId="9" hidden="1"/>
    <cellStyle name="Followed Hyperlink" xfId="9812" builtinId="9" hidden="1"/>
    <cellStyle name="Followed Hyperlink" xfId="11501" builtinId="9" hidden="1"/>
    <cellStyle name="Followed Hyperlink" xfId="9789" builtinId="9" hidden="1"/>
    <cellStyle name="Followed Hyperlink" xfId="9690" builtinId="9" hidden="1"/>
    <cellStyle name="Followed Hyperlink" xfId="11006" builtinId="9" hidden="1"/>
    <cellStyle name="Followed Hyperlink" xfId="11667" builtinId="9" hidden="1"/>
    <cellStyle name="Followed Hyperlink" xfId="11669" builtinId="9" hidden="1"/>
    <cellStyle name="Followed Hyperlink" xfId="11671" builtinId="9" hidden="1"/>
    <cellStyle name="Followed Hyperlink" xfId="11673" builtinId="9" hidden="1"/>
    <cellStyle name="Followed Hyperlink" xfId="11675" builtinId="9" hidden="1"/>
    <cellStyle name="Followed Hyperlink" xfId="11677" builtinId="9" hidden="1"/>
    <cellStyle name="Followed Hyperlink" xfId="11727" builtinId="9" hidden="1"/>
    <cellStyle name="Followed Hyperlink" xfId="11729" builtinId="9" hidden="1"/>
    <cellStyle name="Followed Hyperlink" xfId="11731" builtinId="9" hidden="1"/>
    <cellStyle name="Followed Hyperlink" xfId="11733" builtinId="9" hidden="1"/>
    <cellStyle name="Followed Hyperlink" xfId="11702" builtinId="9" hidden="1"/>
    <cellStyle name="Followed Hyperlink" xfId="11691" builtinId="9" hidden="1"/>
    <cellStyle name="Followed Hyperlink" xfId="11735" builtinId="9" hidden="1"/>
    <cellStyle name="Followed Hyperlink" xfId="11737" builtinId="9" hidden="1"/>
    <cellStyle name="Followed Hyperlink" xfId="11739" builtinId="9" hidden="1"/>
    <cellStyle name="Followed Hyperlink" xfId="11741" builtinId="9" hidden="1"/>
    <cellStyle name="Followed Hyperlink" xfId="11685" builtinId="9" hidden="1"/>
    <cellStyle name="Followed Hyperlink" xfId="11688" builtinId="9" hidden="1"/>
    <cellStyle name="Followed Hyperlink" xfId="11743" builtinId="9" hidden="1"/>
    <cellStyle name="Followed Hyperlink" xfId="11745" builtinId="9" hidden="1"/>
    <cellStyle name="Followed Hyperlink" xfId="11747" builtinId="9" hidden="1"/>
    <cellStyle name="Followed Hyperlink" xfId="11749" builtinId="9" hidden="1"/>
    <cellStyle name="Followed Hyperlink" xfId="11703" builtinId="9" hidden="1"/>
    <cellStyle name="Followed Hyperlink" xfId="11716" builtinId="9" hidden="1"/>
    <cellStyle name="Followed Hyperlink" xfId="11751" builtinId="9" hidden="1"/>
    <cellStyle name="Followed Hyperlink" xfId="11753" builtinId="9" hidden="1"/>
    <cellStyle name="Followed Hyperlink" xfId="11755" builtinId="9" hidden="1"/>
    <cellStyle name="Followed Hyperlink" xfId="11757" builtinId="9" hidden="1"/>
    <cellStyle name="Followed Hyperlink" xfId="11715" builtinId="9" hidden="1"/>
    <cellStyle name="Followed Hyperlink" xfId="11682" builtinId="9" hidden="1"/>
    <cellStyle name="Followed Hyperlink" xfId="11759" builtinId="9" hidden="1"/>
    <cellStyle name="Followed Hyperlink" xfId="11761" builtinId="9" hidden="1"/>
    <cellStyle name="Followed Hyperlink" xfId="11763" builtinId="9" hidden="1"/>
    <cellStyle name="Followed Hyperlink" xfId="11765" builtinId="9" hidden="1"/>
    <cellStyle name="Followed Hyperlink" xfId="11687" builtinId="9" hidden="1"/>
    <cellStyle name="Followed Hyperlink" xfId="11718" builtinId="9" hidden="1"/>
    <cellStyle name="Followed Hyperlink" xfId="11767" builtinId="9" hidden="1"/>
    <cellStyle name="Followed Hyperlink" xfId="11769" builtinId="9" hidden="1"/>
    <cellStyle name="Followed Hyperlink" xfId="11771" builtinId="9" hidden="1"/>
    <cellStyle name="Followed Hyperlink" xfId="11773" builtinId="9" hidden="1"/>
    <cellStyle name="Followed Hyperlink" xfId="11721" builtinId="9" hidden="1"/>
    <cellStyle name="Followed Hyperlink" xfId="11686" builtinId="9" hidden="1"/>
    <cellStyle name="Followed Hyperlink" xfId="11775" builtinId="9" hidden="1"/>
    <cellStyle name="Followed Hyperlink" xfId="11777" builtinId="9" hidden="1"/>
    <cellStyle name="Followed Hyperlink" xfId="11779" builtinId="9" hidden="1"/>
    <cellStyle name="Followed Hyperlink" xfId="11781" builtinId="9" hidden="1"/>
    <cellStyle name="Followed Hyperlink" xfId="11713" builtinId="9" hidden="1"/>
    <cellStyle name="Followed Hyperlink" xfId="11693" builtinId="9" hidden="1"/>
    <cellStyle name="Followed Hyperlink" xfId="11783" builtinId="9" hidden="1"/>
    <cellStyle name="Followed Hyperlink" xfId="11785" builtinId="9" hidden="1"/>
    <cellStyle name="Followed Hyperlink" xfId="11787" builtinId="9" hidden="1"/>
    <cellStyle name="Followed Hyperlink" xfId="11789" builtinId="9" hidden="1"/>
    <cellStyle name="Followed Hyperlink" xfId="11695" builtinId="9" hidden="1"/>
    <cellStyle name="Followed Hyperlink" xfId="11717" builtinId="9" hidden="1"/>
    <cellStyle name="Followed Hyperlink" xfId="11791" builtinId="9" hidden="1"/>
    <cellStyle name="Followed Hyperlink" xfId="11793" builtinId="9" hidden="1"/>
    <cellStyle name="Followed Hyperlink" xfId="11795" builtinId="9" hidden="1"/>
    <cellStyle name="Followed Hyperlink" xfId="11797" builtinId="9" hidden="1"/>
    <cellStyle name="Followed Hyperlink" xfId="11710" builtinId="9" hidden="1"/>
    <cellStyle name="Followed Hyperlink" xfId="11690" builtinId="9" hidden="1"/>
    <cellStyle name="Followed Hyperlink" xfId="11799" builtinId="9" hidden="1"/>
    <cellStyle name="Followed Hyperlink" xfId="11801" builtinId="9" hidden="1"/>
    <cellStyle name="Followed Hyperlink" xfId="11803" builtinId="9" hidden="1"/>
    <cellStyle name="Followed Hyperlink" xfId="11805" builtinId="9" hidden="1"/>
    <cellStyle name="Followed Hyperlink" xfId="11701" builtinId="9" hidden="1"/>
    <cellStyle name="Followed Hyperlink" xfId="11725" builtinId="9" hidden="1"/>
    <cellStyle name="Followed Hyperlink" xfId="11807" builtinId="9" hidden="1"/>
    <cellStyle name="Followed Hyperlink" xfId="11809" builtinId="9" hidden="1"/>
    <cellStyle name="Followed Hyperlink" xfId="11811" builtinId="9" hidden="1"/>
    <cellStyle name="Followed Hyperlink" xfId="11813" builtinId="9" hidden="1"/>
    <cellStyle name="Followed Hyperlink" xfId="11699" builtinId="9" hidden="1"/>
    <cellStyle name="Followed Hyperlink" xfId="11698" builtinId="9" hidden="1"/>
    <cellStyle name="Followed Hyperlink" xfId="11815" builtinId="9" hidden="1"/>
    <cellStyle name="Followed Hyperlink" xfId="11817" builtinId="9" hidden="1"/>
    <cellStyle name="Followed Hyperlink" xfId="11819" builtinId="9" hidden="1"/>
    <cellStyle name="Followed Hyperlink" xfId="11821" builtinId="9" hidden="1"/>
    <cellStyle name="Followed Hyperlink" xfId="11697" builtinId="9" hidden="1"/>
    <cellStyle name="Followed Hyperlink" xfId="11719" builtinId="9" hidden="1"/>
    <cellStyle name="Followed Hyperlink" xfId="11823" builtinId="9" hidden="1"/>
    <cellStyle name="Followed Hyperlink" xfId="11825" builtinId="9" hidden="1"/>
    <cellStyle name="Followed Hyperlink" xfId="11827" builtinId="9" hidden="1"/>
    <cellStyle name="Followed Hyperlink" xfId="11829" builtinId="9" hidden="1"/>
    <cellStyle name="Followed Hyperlink" xfId="2452" builtinId="9" hidden="1"/>
    <cellStyle name="Followed Hyperlink" xfId="7179" builtinId="9" hidden="1"/>
    <cellStyle name="Followed Hyperlink" xfId="7178" builtinId="9" hidden="1"/>
    <cellStyle name="Followed Hyperlink" xfId="2387" builtinId="9" hidden="1"/>
    <cellStyle name="Followed Hyperlink" xfId="2371" builtinId="9" hidden="1"/>
    <cellStyle name="Followed Hyperlink" xfId="2386" builtinId="9" hidden="1"/>
    <cellStyle name="Followed Hyperlink" xfId="9503" builtinId="9" hidden="1"/>
    <cellStyle name="Followed Hyperlink" xfId="2394" builtinId="9" hidden="1"/>
    <cellStyle name="Followed Hyperlink" xfId="2381" builtinId="9" hidden="1"/>
    <cellStyle name="Followed Hyperlink" xfId="2455" builtinId="9" hidden="1"/>
    <cellStyle name="Followed Hyperlink" xfId="4849" builtinId="9" hidden="1"/>
    <cellStyle name="Followed Hyperlink" xfId="2459" builtinId="9" hidden="1"/>
    <cellStyle name="Followed Hyperlink" xfId="2442" builtinId="9" hidden="1"/>
    <cellStyle name="Followed Hyperlink" xfId="2504" builtinId="9" hidden="1"/>
    <cellStyle name="Followed Hyperlink" xfId="11832" builtinId="9" hidden="1"/>
    <cellStyle name="Followed Hyperlink" xfId="11834" builtinId="9" hidden="1"/>
    <cellStyle name="Followed Hyperlink" xfId="11836" builtinId="9" hidden="1"/>
    <cellStyle name="Followed Hyperlink" xfId="11838" builtinId="9" hidden="1"/>
    <cellStyle name="Followed Hyperlink" xfId="11840" builtinId="9" hidden="1"/>
    <cellStyle name="Followed Hyperlink" xfId="11842" builtinId="9" hidden="1"/>
    <cellStyle name="Followed Hyperlink" xfId="11892" builtinId="9" hidden="1"/>
    <cellStyle name="Followed Hyperlink" xfId="11894" builtinId="9" hidden="1"/>
    <cellStyle name="Followed Hyperlink" xfId="11896" builtinId="9" hidden="1"/>
    <cellStyle name="Followed Hyperlink" xfId="11898" builtinId="9" hidden="1"/>
    <cellStyle name="Followed Hyperlink" xfId="11867" builtinId="9" hidden="1"/>
    <cellStyle name="Followed Hyperlink" xfId="11856" builtinId="9" hidden="1"/>
    <cellStyle name="Followed Hyperlink" xfId="11900" builtinId="9" hidden="1"/>
    <cellStyle name="Followed Hyperlink" xfId="11902" builtinId="9" hidden="1"/>
    <cellStyle name="Followed Hyperlink" xfId="11904" builtinId="9" hidden="1"/>
    <cellStyle name="Followed Hyperlink" xfId="11906" builtinId="9" hidden="1"/>
    <cellStyle name="Followed Hyperlink" xfId="11850" builtinId="9" hidden="1"/>
    <cellStyle name="Followed Hyperlink" xfId="11853" builtinId="9" hidden="1"/>
    <cellStyle name="Followed Hyperlink" xfId="11908" builtinId="9" hidden="1"/>
    <cellStyle name="Followed Hyperlink" xfId="11910" builtinId="9" hidden="1"/>
    <cellStyle name="Followed Hyperlink" xfId="11912" builtinId="9" hidden="1"/>
    <cellStyle name="Followed Hyperlink" xfId="11914" builtinId="9" hidden="1"/>
    <cellStyle name="Followed Hyperlink" xfId="11868" builtinId="9" hidden="1"/>
    <cellStyle name="Followed Hyperlink" xfId="11881" builtinId="9" hidden="1"/>
    <cellStyle name="Followed Hyperlink" xfId="11916" builtinId="9" hidden="1"/>
    <cellStyle name="Followed Hyperlink" xfId="11918" builtinId="9" hidden="1"/>
    <cellStyle name="Followed Hyperlink" xfId="11920" builtinId="9" hidden="1"/>
    <cellStyle name="Followed Hyperlink" xfId="11922" builtinId="9" hidden="1"/>
    <cellStyle name="Followed Hyperlink" xfId="11880" builtinId="9" hidden="1"/>
    <cellStyle name="Followed Hyperlink" xfId="11847" builtinId="9" hidden="1"/>
    <cellStyle name="Followed Hyperlink" xfId="11924" builtinId="9" hidden="1"/>
    <cellStyle name="Followed Hyperlink" xfId="11926" builtinId="9" hidden="1"/>
    <cellStyle name="Followed Hyperlink" xfId="11928" builtinId="9" hidden="1"/>
    <cellStyle name="Followed Hyperlink" xfId="11930" builtinId="9" hidden="1"/>
    <cellStyle name="Followed Hyperlink" xfId="11852" builtinId="9" hidden="1"/>
    <cellStyle name="Followed Hyperlink" xfId="11883" builtinId="9" hidden="1"/>
    <cellStyle name="Followed Hyperlink" xfId="11932" builtinId="9" hidden="1"/>
    <cellStyle name="Followed Hyperlink" xfId="11934" builtinId="9" hidden="1"/>
    <cellStyle name="Followed Hyperlink" xfId="11936" builtinId="9" hidden="1"/>
    <cellStyle name="Followed Hyperlink" xfId="11938" builtinId="9" hidden="1"/>
    <cellStyle name="Followed Hyperlink" xfId="11886" builtinId="9" hidden="1"/>
    <cellStyle name="Followed Hyperlink" xfId="11851" builtinId="9" hidden="1"/>
    <cellStyle name="Followed Hyperlink" xfId="11940" builtinId="9" hidden="1"/>
    <cellStyle name="Followed Hyperlink" xfId="11942" builtinId="9" hidden="1"/>
    <cellStyle name="Followed Hyperlink" xfId="11944" builtinId="9" hidden="1"/>
    <cellStyle name="Followed Hyperlink" xfId="11946" builtinId="9" hidden="1"/>
    <cellStyle name="Followed Hyperlink" xfId="11878" builtinId="9" hidden="1"/>
    <cellStyle name="Followed Hyperlink" xfId="11858" builtinId="9" hidden="1"/>
    <cellStyle name="Followed Hyperlink" xfId="11948" builtinId="9" hidden="1"/>
    <cellStyle name="Followed Hyperlink" xfId="11950" builtinId="9" hidden="1"/>
    <cellStyle name="Followed Hyperlink" xfId="11952" builtinId="9" hidden="1"/>
    <cellStyle name="Followed Hyperlink" xfId="11954" builtinId="9" hidden="1"/>
    <cellStyle name="Followed Hyperlink" xfId="11860" builtinId="9" hidden="1"/>
    <cellStyle name="Followed Hyperlink" xfId="11882" builtinId="9" hidden="1"/>
    <cellStyle name="Followed Hyperlink" xfId="11956" builtinId="9" hidden="1"/>
    <cellStyle name="Followed Hyperlink" xfId="11958" builtinId="9" hidden="1"/>
    <cellStyle name="Followed Hyperlink" xfId="11960" builtinId="9" hidden="1"/>
    <cellStyle name="Followed Hyperlink" xfId="11962" builtinId="9" hidden="1"/>
    <cellStyle name="Followed Hyperlink" xfId="11875" builtinId="9" hidden="1"/>
    <cellStyle name="Followed Hyperlink" xfId="11855" builtinId="9" hidden="1"/>
    <cellStyle name="Followed Hyperlink" xfId="11964" builtinId="9" hidden="1"/>
    <cellStyle name="Followed Hyperlink" xfId="11966" builtinId="9" hidden="1"/>
    <cellStyle name="Followed Hyperlink" xfId="11968" builtinId="9" hidden="1"/>
    <cellStyle name="Followed Hyperlink" xfId="11970" builtinId="9" hidden="1"/>
    <cellStyle name="Followed Hyperlink" xfId="11866" builtinId="9" hidden="1"/>
    <cellStyle name="Followed Hyperlink" xfId="11890" builtinId="9" hidden="1"/>
    <cellStyle name="Followed Hyperlink" xfId="11972" builtinId="9" hidden="1"/>
    <cellStyle name="Followed Hyperlink" xfId="11974" builtinId="9" hidden="1"/>
    <cellStyle name="Followed Hyperlink" xfId="11976" builtinId="9" hidden="1"/>
    <cellStyle name="Followed Hyperlink" xfId="11978" builtinId="9" hidden="1"/>
    <cellStyle name="Followed Hyperlink" xfId="11864" builtinId="9" hidden="1"/>
    <cellStyle name="Followed Hyperlink" xfId="11863" builtinId="9" hidden="1"/>
    <cellStyle name="Followed Hyperlink" xfId="11980" builtinId="9" hidden="1"/>
    <cellStyle name="Followed Hyperlink" xfId="11982" builtinId="9" hidden="1"/>
    <cellStyle name="Followed Hyperlink" xfId="11984" builtinId="9" hidden="1"/>
    <cellStyle name="Followed Hyperlink" xfId="11986" builtinId="9" hidden="1"/>
    <cellStyle name="Followed Hyperlink" xfId="11862" builtinId="9" hidden="1"/>
    <cellStyle name="Followed Hyperlink" xfId="11884" builtinId="9" hidden="1"/>
    <cellStyle name="Followed Hyperlink" xfId="11988" builtinId="9" hidden="1"/>
    <cellStyle name="Followed Hyperlink" xfId="11990" builtinId="9" hidden="1"/>
    <cellStyle name="Followed Hyperlink" xfId="11992" builtinId="9" hidden="1"/>
    <cellStyle name="Followed Hyperlink" xfId="11994" builtinId="9" hidden="1"/>
    <cellStyle name="Followed Hyperlink" xfId="11996" builtinId="9" hidden="1"/>
    <cellStyle name="Followed Hyperlink" xfId="11998" builtinId="9" hidden="1"/>
    <cellStyle name="Followed Hyperlink" xfId="12064" builtinId="9" hidden="1"/>
    <cellStyle name="Followed Hyperlink" xfId="12066" builtinId="9" hidden="1"/>
    <cellStyle name="Followed Hyperlink" xfId="12068" builtinId="9" hidden="1"/>
    <cellStyle name="Followed Hyperlink" xfId="12070" builtinId="9" hidden="1"/>
    <cellStyle name="Followed Hyperlink" xfId="12073" builtinId="9" hidden="1"/>
    <cellStyle name="Followed Hyperlink" xfId="12075" builtinId="9" hidden="1"/>
    <cellStyle name="Followed Hyperlink" xfId="12149" builtinId="9" hidden="1"/>
    <cellStyle name="Followed Hyperlink" xfId="12151" builtinId="9" hidden="1"/>
    <cellStyle name="Followed Hyperlink" xfId="12153" builtinId="9" hidden="1"/>
    <cellStyle name="Followed Hyperlink" xfId="12155" builtinId="9" hidden="1"/>
    <cellStyle name="Followed Hyperlink" xfId="12157" builtinId="9" hidden="1"/>
    <cellStyle name="Followed Hyperlink" xfId="12159" builtinId="9" hidden="1"/>
    <cellStyle name="Followed Hyperlink" xfId="12209" builtinId="9" hidden="1"/>
    <cellStyle name="Followed Hyperlink" xfId="12211" builtinId="9" hidden="1"/>
    <cellStyle name="Followed Hyperlink" xfId="12213" builtinId="9" hidden="1"/>
    <cellStyle name="Followed Hyperlink" xfId="12215" builtinId="9" hidden="1"/>
    <cellStyle name="Followed Hyperlink" xfId="12184" builtinId="9" hidden="1"/>
    <cellStyle name="Followed Hyperlink" xfId="12173" builtinId="9" hidden="1"/>
    <cellStyle name="Followed Hyperlink" xfId="12217" builtinId="9" hidden="1"/>
    <cellStyle name="Followed Hyperlink" xfId="12219" builtinId="9" hidden="1"/>
    <cellStyle name="Followed Hyperlink" xfId="12221" builtinId="9" hidden="1"/>
    <cellStyle name="Followed Hyperlink" xfId="12223" builtinId="9" hidden="1"/>
    <cellStyle name="Followed Hyperlink" xfId="12167" builtinId="9" hidden="1"/>
    <cellStyle name="Followed Hyperlink" xfId="12170" builtinId="9" hidden="1"/>
    <cellStyle name="Followed Hyperlink" xfId="12225" builtinId="9" hidden="1"/>
    <cellStyle name="Followed Hyperlink" xfId="12227" builtinId="9" hidden="1"/>
    <cellStyle name="Followed Hyperlink" xfId="12229" builtinId="9" hidden="1"/>
    <cellStyle name="Followed Hyperlink" xfId="12231" builtinId="9" hidden="1"/>
    <cellStyle name="Followed Hyperlink" xfId="12185" builtinId="9" hidden="1"/>
    <cellStyle name="Followed Hyperlink" xfId="12198" builtinId="9" hidden="1"/>
    <cellStyle name="Followed Hyperlink" xfId="12233" builtinId="9" hidden="1"/>
    <cellStyle name="Followed Hyperlink" xfId="12235" builtinId="9" hidden="1"/>
    <cellStyle name="Followed Hyperlink" xfId="12237" builtinId="9" hidden="1"/>
    <cellStyle name="Followed Hyperlink" xfId="12239" builtinId="9" hidden="1"/>
    <cellStyle name="Followed Hyperlink" xfId="12197" builtinId="9" hidden="1"/>
    <cellStyle name="Followed Hyperlink" xfId="12164" builtinId="9" hidden="1"/>
    <cellStyle name="Followed Hyperlink" xfId="12241" builtinId="9" hidden="1"/>
    <cellStyle name="Followed Hyperlink" xfId="12243" builtinId="9" hidden="1"/>
    <cellStyle name="Followed Hyperlink" xfId="12245" builtinId="9" hidden="1"/>
    <cellStyle name="Followed Hyperlink" xfId="12247" builtinId="9" hidden="1"/>
    <cellStyle name="Followed Hyperlink" xfId="12169" builtinId="9" hidden="1"/>
    <cellStyle name="Followed Hyperlink" xfId="12200" builtinId="9" hidden="1"/>
    <cellStyle name="Followed Hyperlink" xfId="12249" builtinId="9" hidden="1"/>
    <cellStyle name="Followed Hyperlink" xfId="12251" builtinId="9" hidden="1"/>
    <cellStyle name="Followed Hyperlink" xfId="12253" builtinId="9" hidden="1"/>
    <cellStyle name="Followed Hyperlink" xfId="12255" builtinId="9" hidden="1"/>
    <cellStyle name="Followed Hyperlink" xfId="12203" builtinId="9" hidden="1"/>
    <cellStyle name="Followed Hyperlink" xfId="12168" builtinId="9" hidden="1"/>
    <cellStyle name="Followed Hyperlink" xfId="12257" builtinId="9" hidden="1"/>
    <cellStyle name="Followed Hyperlink" xfId="12259" builtinId="9" hidden="1"/>
    <cellStyle name="Followed Hyperlink" xfId="12261" builtinId="9" hidden="1"/>
    <cellStyle name="Followed Hyperlink" xfId="12263" builtinId="9" hidden="1"/>
    <cellStyle name="Followed Hyperlink" xfId="12195" builtinId="9" hidden="1"/>
    <cellStyle name="Followed Hyperlink" xfId="12175" builtinId="9" hidden="1"/>
    <cellStyle name="Followed Hyperlink" xfId="12265" builtinId="9" hidden="1"/>
    <cellStyle name="Followed Hyperlink" xfId="12267" builtinId="9" hidden="1"/>
    <cellStyle name="Followed Hyperlink" xfId="12269" builtinId="9" hidden="1"/>
    <cellStyle name="Followed Hyperlink" xfId="12271" builtinId="9" hidden="1"/>
    <cellStyle name="Followed Hyperlink" xfId="12177" builtinId="9" hidden="1"/>
    <cellStyle name="Followed Hyperlink" xfId="12199" builtinId="9" hidden="1"/>
    <cellStyle name="Followed Hyperlink" xfId="12273" builtinId="9" hidden="1"/>
    <cellStyle name="Followed Hyperlink" xfId="12275" builtinId="9" hidden="1"/>
    <cellStyle name="Followed Hyperlink" xfId="12277" builtinId="9" hidden="1"/>
    <cellStyle name="Followed Hyperlink" xfId="12279" builtinId="9" hidden="1"/>
    <cellStyle name="Followed Hyperlink" xfId="12192" builtinId="9" hidden="1"/>
    <cellStyle name="Followed Hyperlink" xfId="12172" builtinId="9" hidden="1"/>
    <cellStyle name="Followed Hyperlink" xfId="12281" builtinId="9" hidden="1"/>
    <cellStyle name="Followed Hyperlink" xfId="12283" builtinId="9" hidden="1"/>
    <cellStyle name="Followed Hyperlink" xfId="12285" builtinId="9" hidden="1"/>
    <cellStyle name="Followed Hyperlink" xfId="12287" builtinId="9" hidden="1"/>
    <cellStyle name="Followed Hyperlink" xfId="12183" builtinId="9" hidden="1"/>
    <cellStyle name="Followed Hyperlink" xfId="12207" builtinId="9" hidden="1"/>
    <cellStyle name="Followed Hyperlink" xfId="12289" builtinId="9" hidden="1"/>
    <cellStyle name="Followed Hyperlink" xfId="12291" builtinId="9" hidden="1"/>
    <cellStyle name="Followed Hyperlink" xfId="12293" builtinId="9" hidden="1"/>
    <cellStyle name="Followed Hyperlink" xfId="12295" builtinId="9" hidden="1"/>
    <cellStyle name="Followed Hyperlink" xfId="12181" builtinId="9" hidden="1"/>
    <cellStyle name="Followed Hyperlink" xfId="12180" builtinId="9" hidden="1"/>
    <cellStyle name="Followed Hyperlink" xfId="12297" builtinId="9" hidden="1"/>
    <cellStyle name="Followed Hyperlink" xfId="12299" builtinId="9" hidden="1"/>
    <cellStyle name="Followed Hyperlink" xfId="12301" builtinId="9" hidden="1"/>
    <cellStyle name="Followed Hyperlink" xfId="12303" builtinId="9" hidden="1"/>
    <cellStyle name="Followed Hyperlink" xfId="12179" builtinId="9" hidden="1"/>
    <cellStyle name="Followed Hyperlink" xfId="12201" builtinId="9" hidden="1"/>
    <cellStyle name="Followed Hyperlink" xfId="12305" builtinId="9" hidden="1"/>
    <cellStyle name="Followed Hyperlink" xfId="12307" builtinId="9" hidden="1"/>
    <cellStyle name="Followed Hyperlink" xfId="12309" builtinId="9" hidden="1"/>
    <cellStyle name="Followed Hyperlink" xfId="12311" builtinId="9" hidden="1"/>
    <cellStyle name="Followed Hyperlink" xfId="12088" builtinId="9" hidden="1"/>
    <cellStyle name="Followed Hyperlink" xfId="12035" builtinId="9" hidden="1"/>
    <cellStyle name="Followed Hyperlink" xfId="12090" builtinId="9" hidden="1"/>
    <cellStyle name="Followed Hyperlink" xfId="12041" builtinId="9" hidden="1"/>
    <cellStyle name="Followed Hyperlink" xfId="12146" builtinId="9" hidden="1"/>
    <cellStyle name="Followed Hyperlink" xfId="12026" builtinId="9" hidden="1"/>
    <cellStyle name="Followed Hyperlink" xfId="12079" builtinId="9" hidden="1"/>
    <cellStyle name="Followed Hyperlink" xfId="12029" builtinId="9" hidden="1"/>
    <cellStyle name="Followed Hyperlink" xfId="12316" builtinId="9" hidden="1"/>
    <cellStyle name="Followed Hyperlink" xfId="12318" builtinId="9" hidden="1"/>
    <cellStyle name="Followed Hyperlink" xfId="12320" builtinId="9" hidden="1"/>
    <cellStyle name="Followed Hyperlink" xfId="12322" builtinId="9" hidden="1"/>
    <cellStyle name="Followed Hyperlink" xfId="12325" builtinId="9" hidden="1"/>
    <cellStyle name="Followed Hyperlink" xfId="12327" builtinId="9" hidden="1"/>
    <cellStyle name="Followed Hyperlink" xfId="12377" builtinId="9" hidden="1"/>
    <cellStyle name="Followed Hyperlink" xfId="12379" builtinId="9" hidden="1"/>
    <cellStyle name="Followed Hyperlink" xfId="12381" builtinId="9" hidden="1"/>
    <cellStyle name="Followed Hyperlink" xfId="12383" builtinId="9" hidden="1"/>
    <cellStyle name="Followed Hyperlink" xfId="12352" builtinId="9" hidden="1"/>
    <cellStyle name="Followed Hyperlink" xfId="12341" builtinId="9" hidden="1"/>
    <cellStyle name="Followed Hyperlink" xfId="12385" builtinId="9" hidden="1"/>
    <cellStyle name="Followed Hyperlink" xfId="12387" builtinId="9" hidden="1"/>
    <cellStyle name="Followed Hyperlink" xfId="12389" builtinId="9" hidden="1"/>
    <cellStyle name="Followed Hyperlink" xfId="12391" builtinId="9" hidden="1"/>
    <cellStyle name="Followed Hyperlink" xfId="12335" builtinId="9" hidden="1"/>
    <cellStyle name="Followed Hyperlink" xfId="12338" builtinId="9" hidden="1"/>
    <cellStyle name="Followed Hyperlink" xfId="12393" builtinId="9" hidden="1"/>
    <cellStyle name="Followed Hyperlink" xfId="12395" builtinId="9" hidden="1"/>
    <cellStyle name="Followed Hyperlink" xfId="12397" builtinId="9" hidden="1"/>
    <cellStyle name="Followed Hyperlink" xfId="12399" builtinId="9" hidden="1"/>
    <cellStyle name="Followed Hyperlink" xfId="12353" builtinId="9" hidden="1"/>
    <cellStyle name="Followed Hyperlink" xfId="12366" builtinId="9" hidden="1"/>
    <cellStyle name="Followed Hyperlink" xfId="12401" builtinId="9" hidden="1"/>
    <cellStyle name="Followed Hyperlink" xfId="12403" builtinId="9" hidden="1"/>
    <cellStyle name="Followed Hyperlink" xfId="12405" builtinId="9" hidden="1"/>
    <cellStyle name="Followed Hyperlink" xfId="12407" builtinId="9" hidden="1"/>
    <cellStyle name="Followed Hyperlink" xfId="12365" builtinId="9" hidden="1"/>
    <cellStyle name="Followed Hyperlink" xfId="12332" builtinId="9" hidden="1"/>
    <cellStyle name="Followed Hyperlink" xfId="12409" builtinId="9" hidden="1"/>
    <cellStyle name="Followed Hyperlink" xfId="12411" builtinId="9" hidden="1"/>
    <cellStyle name="Followed Hyperlink" xfId="12413" builtinId="9" hidden="1"/>
    <cellStyle name="Followed Hyperlink" xfId="12415" builtinId="9" hidden="1"/>
    <cellStyle name="Followed Hyperlink" xfId="12337" builtinId="9" hidden="1"/>
    <cellStyle name="Followed Hyperlink" xfId="12368" builtinId="9" hidden="1"/>
    <cellStyle name="Followed Hyperlink" xfId="12417" builtinId="9" hidden="1"/>
    <cellStyle name="Followed Hyperlink" xfId="12419" builtinId="9" hidden="1"/>
    <cellStyle name="Followed Hyperlink" xfId="12421" builtinId="9" hidden="1"/>
    <cellStyle name="Followed Hyperlink" xfId="12423" builtinId="9" hidden="1"/>
    <cellStyle name="Followed Hyperlink" xfId="12371" builtinId="9" hidden="1"/>
    <cellStyle name="Followed Hyperlink" xfId="12336" builtinId="9" hidden="1"/>
    <cellStyle name="Followed Hyperlink" xfId="12425" builtinId="9" hidden="1"/>
    <cellStyle name="Followed Hyperlink" xfId="12427" builtinId="9" hidden="1"/>
    <cellStyle name="Followed Hyperlink" xfId="12429" builtinId="9" hidden="1"/>
    <cellStyle name="Followed Hyperlink" xfId="12431" builtinId="9" hidden="1"/>
    <cellStyle name="Followed Hyperlink" xfId="12363" builtinId="9" hidden="1"/>
    <cellStyle name="Followed Hyperlink" xfId="12343" builtinId="9" hidden="1"/>
    <cellStyle name="Followed Hyperlink" xfId="12433" builtinId="9" hidden="1"/>
    <cellStyle name="Followed Hyperlink" xfId="12435" builtinId="9" hidden="1"/>
    <cellStyle name="Followed Hyperlink" xfId="12437" builtinId="9" hidden="1"/>
    <cellStyle name="Followed Hyperlink" xfId="12439" builtinId="9" hidden="1"/>
    <cellStyle name="Followed Hyperlink" xfId="12345" builtinId="9" hidden="1"/>
    <cellStyle name="Followed Hyperlink" xfId="12367" builtinId="9" hidden="1"/>
    <cellStyle name="Followed Hyperlink" xfId="12441" builtinId="9" hidden="1"/>
    <cellStyle name="Followed Hyperlink" xfId="12443" builtinId="9" hidden="1"/>
    <cellStyle name="Followed Hyperlink" xfId="12445" builtinId="9" hidden="1"/>
    <cellStyle name="Followed Hyperlink" xfId="12447" builtinId="9" hidden="1"/>
    <cellStyle name="Followed Hyperlink" xfId="12360" builtinId="9" hidden="1"/>
    <cellStyle name="Followed Hyperlink" xfId="12340" builtinId="9" hidden="1"/>
    <cellStyle name="Followed Hyperlink" xfId="12449" builtinId="9" hidden="1"/>
    <cellStyle name="Followed Hyperlink" xfId="12451" builtinId="9" hidden="1"/>
    <cellStyle name="Followed Hyperlink" xfId="12453" builtinId="9" hidden="1"/>
    <cellStyle name="Followed Hyperlink" xfId="12455" builtinId="9" hidden="1"/>
    <cellStyle name="Followed Hyperlink" xfId="12351" builtinId="9" hidden="1"/>
    <cellStyle name="Followed Hyperlink" xfId="12375" builtinId="9" hidden="1"/>
    <cellStyle name="Followed Hyperlink" xfId="12457" builtinId="9" hidden="1"/>
    <cellStyle name="Followed Hyperlink" xfId="12459" builtinId="9" hidden="1"/>
    <cellStyle name="Followed Hyperlink" xfId="12461" builtinId="9" hidden="1"/>
    <cellStyle name="Followed Hyperlink" xfId="12463" builtinId="9" hidden="1"/>
    <cellStyle name="Followed Hyperlink" xfId="12349" builtinId="9" hidden="1"/>
    <cellStyle name="Followed Hyperlink" xfId="12348" builtinId="9" hidden="1"/>
    <cellStyle name="Followed Hyperlink" xfId="12465" builtinId="9" hidden="1"/>
    <cellStyle name="Followed Hyperlink" xfId="12467" builtinId="9" hidden="1"/>
    <cellStyle name="Followed Hyperlink" xfId="12469" builtinId="9" hidden="1"/>
    <cellStyle name="Followed Hyperlink" xfId="12471" builtinId="9" hidden="1"/>
    <cellStyle name="Followed Hyperlink" xfId="12347" builtinId="9" hidden="1"/>
    <cellStyle name="Followed Hyperlink" xfId="12369" builtinId="9" hidden="1"/>
    <cellStyle name="Followed Hyperlink" xfId="12473" builtinId="9" hidden="1"/>
    <cellStyle name="Followed Hyperlink" xfId="12475" builtinId="9" hidden="1"/>
    <cellStyle name="Followed Hyperlink" xfId="12477" builtinId="9" hidden="1"/>
    <cellStyle name="Followed Hyperlink" xfId="12479" builtinId="9" hidden="1"/>
    <cellStyle name="Followed Hyperlink" xfId="2514" builtinId="9" hidden="1"/>
    <cellStyle name="Followed Hyperlink" xfId="12129" builtinId="9" hidden="1"/>
    <cellStyle name="Followed Hyperlink" xfId="12314" builtinId="9" hidden="1"/>
    <cellStyle name="Followed Hyperlink" xfId="12027" builtinId="9" hidden="1"/>
    <cellStyle name="Followed Hyperlink" xfId="12084" builtinId="9" hidden="1"/>
    <cellStyle name="Followed Hyperlink" xfId="12040" builtinId="9" hidden="1"/>
    <cellStyle name="Followed Hyperlink" xfId="12076" builtinId="9" hidden="1"/>
    <cellStyle name="Followed Hyperlink" xfId="12057" builtinId="9" hidden="1"/>
    <cellStyle name="Followed Hyperlink" xfId="12490" builtinId="9" hidden="1"/>
    <cellStyle name="Followed Hyperlink" xfId="12492" builtinId="9" hidden="1"/>
    <cellStyle name="Followed Hyperlink" xfId="12494" builtinId="9" hidden="1"/>
    <cellStyle name="Followed Hyperlink" xfId="12496" builtinId="9" hidden="1"/>
    <cellStyle name="Followed Hyperlink" xfId="12498" builtinId="9" hidden="1"/>
    <cellStyle name="Followed Hyperlink" xfId="12500" builtinId="9" hidden="1"/>
    <cellStyle name="Followed Hyperlink" xfId="12550" builtinId="9" hidden="1"/>
    <cellStyle name="Followed Hyperlink" xfId="12552" builtinId="9" hidden="1"/>
    <cellStyle name="Followed Hyperlink" xfId="12554" builtinId="9" hidden="1"/>
    <cellStyle name="Followed Hyperlink" xfId="12556" builtinId="9" hidden="1"/>
    <cellStyle name="Followed Hyperlink" xfId="12525" builtinId="9" hidden="1"/>
    <cellStyle name="Followed Hyperlink" xfId="12514" builtinId="9" hidden="1"/>
    <cellStyle name="Followed Hyperlink" xfId="12558" builtinId="9" hidden="1"/>
    <cellStyle name="Followed Hyperlink" xfId="12560" builtinId="9" hidden="1"/>
    <cellStyle name="Followed Hyperlink" xfId="12562" builtinId="9" hidden="1"/>
    <cellStyle name="Followed Hyperlink" xfId="12564" builtinId="9" hidden="1"/>
    <cellStyle name="Followed Hyperlink" xfId="12508" builtinId="9" hidden="1"/>
    <cellStyle name="Followed Hyperlink" xfId="12511" builtinId="9" hidden="1"/>
    <cellStyle name="Followed Hyperlink" xfId="12566" builtinId="9" hidden="1"/>
    <cellStyle name="Followed Hyperlink" xfId="12568" builtinId="9" hidden="1"/>
    <cellStyle name="Followed Hyperlink" xfId="12570" builtinId="9" hidden="1"/>
    <cellStyle name="Followed Hyperlink" xfId="12572" builtinId="9" hidden="1"/>
    <cellStyle name="Followed Hyperlink" xfId="12526" builtinId="9" hidden="1"/>
    <cellStyle name="Followed Hyperlink" xfId="12539" builtinId="9" hidden="1"/>
    <cellStyle name="Followed Hyperlink" xfId="12574" builtinId="9" hidden="1"/>
    <cellStyle name="Followed Hyperlink" xfId="12576" builtinId="9" hidden="1"/>
    <cellStyle name="Followed Hyperlink" xfId="12578" builtinId="9" hidden="1"/>
    <cellStyle name="Followed Hyperlink" xfId="12580" builtinId="9" hidden="1"/>
    <cellStyle name="Followed Hyperlink" xfId="12538" builtinId="9" hidden="1"/>
    <cellStyle name="Followed Hyperlink" xfId="12505" builtinId="9" hidden="1"/>
    <cellStyle name="Followed Hyperlink" xfId="12582" builtinId="9" hidden="1"/>
    <cellStyle name="Followed Hyperlink" xfId="12584" builtinId="9" hidden="1"/>
    <cellStyle name="Followed Hyperlink" xfId="12586" builtinId="9" hidden="1"/>
    <cellStyle name="Followed Hyperlink" xfId="12588" builtinId="9" hidden="1"/>
    <cellStyle name="Followed Hyperlink" xfId="12510" builtinId="9" hidden="1"/>
    <cellStyle name="Followed Hyperlink" xfId="12541" builtinId="9" hidden="1"/>
    <cellStyle name="Followed Hyperlink" xfId="12590" builtinId="9" hidden="1"/>
    <cellStyle name="Followed Hyperlink" xfId="12592" builtinId="9" hidden="1"/>
    <cellStyle name="Followed Hyperlink" xfId="12594" builtinId="9" hidden="1"/>
    <cellStyle name="Followed Hyperlink" xfId="12596" builtinId="9" hidden="1"/>
    <cellStyle name="Followed Hyperlink" xfId="12544" builtinId="9" hidden="1"/>
    <cellStyle name="Followed Hyperlink" xfId="12509" builtinId="9" hidden="1"/>
    <cellStyle name="Followed Hyperlink" xfId="12598" builtinId="9" hidden="1"/>
    <cellStyle name="Followed Hyperlink" xfId="12600" builtinId="9" hidden="1"/>
    <cellStyle name="Followed Hyperlink" xfId="12602" builtinId="9" hidden="1"/>
    <cellStyle name="Followed Hyperlink" xfId="12604" builtinId="9" hidden="1"/>
    <cellStyle name="Followed Hyperlink" xfId="12536" builtinId="9" hidden="1"/>
    <cellStyle name="Followed Hyperlink" xfId="12516" builtinId="9" hidden="1"/>
    <cellStyle name="Followed Hyperlink" xfId="12606" builtinId="9" hidden="1"/>
    <cellStyle name="Followed Hyperlink" xfId="12608" builtinId="9" hidden="1"/>
    <cellStyle name="Followed Hyperlink" xfId="12610" builtinId="9" hidden="1"/>
    <cellStyle name="Followed Hyperlink" xfId="12612" builtinId="9" hidden="1"/>
    <cellStyle name="Followed Hyperlink" xfId="12518" builtinId="9" hidden="1"/>
    <cellStyle name="Followed Hyperlink" xfId="12540" builtinId="9" hidden="1"/>
    <cellStyle name="Followed Hyperlink" xfId="12614" builtinId="9" hidden="1"/>
    <cellStyle name="Followed Hyperlink" xfId="12616" builtinId="9" hidden="1"/>
    <cellStyle name="Followed Hyperlink" xfId="12618" builtinId="9" hidden="1"/>
    <cellStyle name="Followed Hyperlink" xfId="12620" builtinId="9" hidden="1"/>
    <cellStyle name="Followed Hyperlink" xfId="12533" builtinId="9" hidden="1"/>
    <cellStyle name="Followed Hyperlink" xfId="12513" builtinId="9" hidden="1"/>
    <cellStyle name="Followed Hyperlink" xfId="12622" builtinId="9" hidden="1"/>
    <cellStyle name="Followed Hyperlink" xfId="12624" builtinId="9" hidden="1"/>
    <cellStyle name="Followed Hyperlink" xfId="12626" builtinId="9" hidden="1"/>
    <cellStyle name="Followed Hyperlink" xfId="12628" builtinId="9" hidden="1"/>
    <cellStyle name="Followed Hyperlink" xfId="12524" builtinId="9" hidden="1"/>
    <cellStyle name="Followed Hyperlink" xfId="12548" builtinId="9" hidden="1"/>
    <cellStyle name="Followed Hyperlink" xfId="12630" builtinId="9" hidden="1"/>
    <cellStyle name="Followed Hyperlink" xfId="12632" builtinId="9" hidden="1"/>
    <cellStyle name="Followed Hyperlink" xfId="12634" builtinId="9" hidden="1"/>
    <cellStyle name="Followed Hyperlink" xfId="12636" builtinId="9" hidden="1"/>
    <cellStyle name="Followed Hyperlink" xfId="12522" builtinId="9" hidden="1"/>
    <cellStyle name="Followed Hyperlink" xfId="12521" builtinId="9" hidden="1"/>
    <cellStyle name="Followed Hyperlink" xfId="12638" builtinId="9" hidden="1"/>
    <cellStyle name="Followed Hyperlink" xfId="12640" builtinId="9" hidden="1"/>
    <cellStyle name="Followed Hyperlink" xfId="12642" builtinId="9" hidden="1"/>
    <cellStyle name="Followed Hyperlink" xfId="12644" builtinId="9" hidden="1"/>
    <cellStyle name="Followed Hyperlink" xfId="12520" builtinId="9" hidden="1"/>
    <cellStyle name="Followed Hyperlink" xfId="12542" builtinId="9" hidden="1"/>
    <cellStyle name="Followed Hyperlink" xfId="12646" builtinId="9" hidden="1"/>
    <cellStyle name="Followed Hyperlink" xfId="12648" builtinId="9" hidden="1"/>
    <cellStyle name="Followed Hyperlink" xfId="12650" builtinId="9" hidden="1"/>
    <cellStyle name="Followed Hyperlink" xfId="12652" builtinId="9" hidden="1"/>
    <cellStyle name="Followed Hyperlink" xfId="12138" builtinId="9" hidden="1"/>
    <cellStyle name="Followed Hyperlink" xfId="12033" builtinId="9" hidden="1"/>
    <cellStyle name="Followed Hyperlink" xfId="12104" builtinId="9" hidden="1"/>
    <cellStyle name="Followed Hyperlink" xfId="12106" builtinId="9" hidden="1"/>
    <cellStyle name="Followed Hyperlink" xfId="12486" builtinId="9" hidden="1"/>
    <cellStyle name="Followed Hyperlink" xfId="12052" builtinId="9" hidden="1"/>
    <cellStyle name="Followed Hyperlink" xfId="12058" builtinId="9" hidden="1"/>
    <cellStyle name="Followed Hyperlink" xfId="12034" builtinId="9" hidden="1"/>
    <cellStyle name="Followed Hyperlink" xfId="12660" builtinId="9" hidden="1"/>
    <cellStyle name="Followed Hyperlink" xfId="12662" builtinId="9" hidden="1"/>
    <cellStyle name="Followed Hyperlink" xfId="12664" builtinId="9" hidden="1"/>
    <cellStyle name="Followed Hyperlink" xfId="12666" builtinId="9" hidden="1"/>
    <cellStyle name="Followed Hyperlink" xfId="12668" builtinId="9" hidden="1"/>
    <cellStyle name="Followed Hyperlink" xfId="12670" builtinId="9" hidden="1"/>
    <cellStyle name="Followed Hyperlink" xfId="12720" builtinId="9" hidden="1"/>
    <cellStyle name="Followed Hyperlink" xfId="12722" builtinId="9" hidden="1"/>
    <cellStyle name="Followed Hyperlink" xfId="12724" builtinId="9" hidden="1"/>
    <cellStyle name="Followed Hyperlink" xfId="12726" builtinId="9" hidden="1"/>
    <cellStyle name="Followed Hyperlink" xfId="12695" builtinId="9" hidden="1"/>
    <cellStyle name="Followed Hyperlink" xfId="12684" builtinId="9" hidden="1"/>
    <cellStyle name="Followed Hyperlink" xfId="12728" builtinId="9" hidden="1"/>
    <cellStyle name="Followed Hyperlink" xfId="12730" builtinId="9" hidden="1"/>
    <cellStyle name="Followed Hyperlink" xfId="12732" builtinId="9" hidden="1"/>
    <cellStyle name="Followed Hyperlink" xfId="12734" builtinId="9" hidden="1"/>
    <cellStyle name="Followed Hyperlink" xfId="12678" builtinId="9" hidden="1"/>
    <cellStyle name="Followed Hyperlink" xfId="12681" builtinId="9" hidden="1"/>
    <cellStyle name="Followed Hyperlink" xfId="12736" builtinId="9" hidden="1"/>
    <cellStyle name="Followed Hyperlink" xfId="12738" builtinId="9" hidden="1"/>
    <cellStyle name="Followed Hyperlink" xfId="12740" builtinId="9" hidden="1"/>
    <cellStyle name="Followed Hyperlink" xfId="12742" builtinId="9" hidden="1"/>
    <cellStyle name="Followed Hyperlink" xfId="12696" builtinId="9" hidden="1"/>
    <cellStyle name="Followed Hyperlink" xfId="12709" builtinId="9" hidden="1"/>
    <cellStyle name="Followed Hyperlink" xfId="12744" builtinId="9" hidden="1"/>
    <cellStyle name="Followed Hyperlink" xfId="12746" builtinId="9" hidden="1"/>
    <cellStyle name="Followed Hyperlink" xfId="12748" builtinId="9" hidden="1"/>
    <cellStyle name="Followed Hyperlink" xfId="12750" builtinId="9" hidden="1"/>
    <cellStyle name="Followed Hyperlink" xfId="12708" builtinId="9" hidden="1"/>
    <cellStyle name="Followed Hyperlink" xfId="12675" builtinId="9" hidden="1"/>
    <cellStyle name="Followed Hyperlink" xfId="12752" builtinId="9" hidden="1"/>
    <cellStyle name="Followed Hyperlink" xfId="12754" builtinId="9" hidden="1"/>
    <cellStyle name="Followed Hyperlink" xfId="12756" builtinId="9" hidden="1"/>
    <cellStyle name="Followed Hyperlink" xfId="12758" builtinId="9" hidden="1"/>
    <cellStyle name="Followed Hyperlink" xfId="12680" builtinId="9" hidden="1"/>
    <cellStyle name="Followed Hyperlink" xfId="12711" builtinId="9" hidden="1"/>
    <cellStyle name="Followed Hyperlink" xfId="12760" builtinId="9" hidden="1"/>
    <cellStyle name="Followed Hyperlink" xfId="12762" builtinId="9" hidden="1"/>
    <cellStyle name="Followed Hyperlink" xfId="12764" builtinId="9" hidden="1"/>
    <cellStyle name="Followed Hyperlink" xfId="12766" builtinId="9" hidden="1"/>
    <cellStyle name="Followed Hyperlink" xfId="12714" builtinId="9" hidden="1"/>
    <cellStyle name="Followed Hyperlink" xfId="12679" builtinId="9" hidden="1"/>
    <cellStyle name="Followed Hyperlink" xfId="12768" builtinId="9" hidden="1"/>
    <cellStyle name="Followed Hyperlink" xfId="12770" builtinId="9" hidden="1"/>
    <cellStyle name="Followed Hyperlink" xfId="12772" builtinId="9" hidden="1"/>
    <cellStyle name="Followed Hyperlink" xfId="12774" builtinId="9" hidden="1"/>
    <cellStyle name="Followed Hyperlink" xfId="12706" builtinId="9" hidden="1"/>
    <cellStyle name="Followed Hyperlink" xfId="12686" builtinId="9" hidden="1"/>
    <cellStyle name="Followed Hyperlink" xfId="12776" builtinId="9" hidden="1"/>
    <cellStyle name="Followed Hyperlink" xfId="12778" builtinId="9" hidden="1"/>
    <cellStyle name="Followed Hyperlink" xfId="12780" builtinId="9" hidden="1"/>
    <cellStyle name="Followed Hyperlink" xfId="12782" builtinId="9" hidden="1"/>
    <cellStyle name="Followed Hyperlink" xfId="12688" builtinId="9" hidden="1"/>
    <cellStyle name="Followed Hyperlink" xfId="12710" builtinId="9" hidden="1"/>
    <cellStyle name="Followed Hyperlink" xfId="12784" builtinId="9" hidden="1"/>
    <cellStyle name="Followed Hyperlink" xfId="12786" builtinId="9" hidden="1"/>
    <cellStyle name="Followed Hyperlink" xfId="12788" builtinId="9" hidden="1"/>
    <cellStyle name="Followed Hyperlink" xfId="12790" builtinId="9" hidden="1"/>
    <cellStyle name="Followed Hyperlink" xfId="12703" builtinId="9" hidden="1"/>
    <cellStyle name="Followed Hyperlink" xfId="12683" builtinId="9" hidden="1"/>
    <cellStyle name="Followed Hyperlink" xfId="12792" builtinId="9" hidden="1"/>
    <cellStyle name="Followed Hyperlink" xfId="12794" builtinId="9" hidden="1"/>
    <cellStyle name="Followed Hyperlink" xfId="12796" builtinId="9" hidden="1"/>
    <cellStyle name="Followed Hyperlink" xfId="12798" builtinId="9" hidden="1"/>
    <cellStyle name="Followed Hyperlink" xfId="12694" builtinId="9" hidden="1"/>
    <cellStyle name="Followed Hyperlink" xfId="12718" builtinId="9" hidden="1"/>
    <cellStyle name="Followed Hyperlink" xfId="12800" builtinId="9" hidden="1"/>
    <cellStyle name="Followed Hyperlink" xfId="12802" builtinId="9" hidden="1"/>
    <cellStyle name="Followed Hyperlink" xfId="12804" builtinId="9" hidden="1"/>
    <cellStyle name="Followed Hyperlink" xfId="12806" builtinId="9" hidden="1"/>
    <cellStyle name="Followed Hyperlink" xfId="12692" builtinId="9" hidden="1"/>
    <cellStyle name="Followed Hyperlink" xfId="12691" builtinId="9" hidden="1"/>
    <cellStyle name="Followed Hyperlink" xfId="12808" builtinId="9" hidden="1"/>
    <cellStyle name="Followed Hyperlink" xfId="12810" builtinId="9" hidden="1"/>
    <cellStyle name="Followed Hyperlink" xfId="12812" builtinId="9" hidden="1"/>
    <cellStyle name="Followed Hyperlink" xfId="12814" builtinId="9" hidden="1"/>
    <cellStyle name="Followed Hyperlink" xfId="12690" builtinId="9" hidden="1"/>
    <cellStyle name="Followed Hyperlink" xfId="12712" builtinId="9" hidden="1"/>
    <cellStyle name="Followed Hyperlink" xfId="12816" builtinId="9" hidden="1"/>
    <cellStyle name="Followed Hyperlink" xfId="12818" builtinId="9" hidden="1"/>
    <cellStyle name="Followed Hyperlink" xfId="12820" builtinId="9" hidden="1"/>
    <cellStyle name="Followed Hyperlink" xfId="12822" builtinId="9" hidden="1"/>
    <cellStyle name="Followed Hyperlink" xfId="12024" builtinId="9" hidden="1"/>
    <cellStyle name="Followed Hyperlink" xfId="12105" builtinId="9" hidden="1"/>
    <cellStyle name="Followed Hyperlink" xfId="12094" builtinId="9" hidden="1"/>
    <cellStyle name="Followed Hyperlink" xfId="12053" builtinId="9" hidden="1"/>
    <cellStyle name="Followed Hyperlink" xfId="12656" builtinId="9" hidden="1"/>
    <cellStyle name="Followed Hyperlink" xfId="12047" builtinId="9" hidden="1"/>
    <cellStyle name="Followed Hyperlink" xfId="12083" builtinId="9" hidden="1"/>
    <cellStyle name="Followed Hyperlink" xfId="12032" builtinId="9" hidden="1"/>
    <cellStyle name="Followed Hyperlink" xfId="12829" builtinId="9" hidden="1"/>
    <cellStyle name="Followed Hyperlink" xfId="12831" builtinId="9" hidden="1"/>
    <cellStyle name="Followed Hyperlink" xfId="12833" builtinId="9" hidden="1"/>
    <cellStyle name="Followed Hyperlink" xfId="12835" builtinId="9" hidden="1"/>
    <cellStyle name="Followed Hyperlink" xfId="12837" builtinId="9" hidden="1"/>
    <cellStyle name="Followed Hyperlink" xfId="12839" builtinId="9" hidden="1"/>
    <cellStyle name="Followed Hyperlink" xfId="12889" builtinId="9" hidden="1"/>
    <cellStyle name="Followed Hyperlink" xfId="12891" builtinId="9" hidden="1"/>
    <cellStyle name="Followed Hyperlink" xfId="12893" builtinId="9" hidden="1"/>
    <cellStyle name="Followed Hyperlink" xfId="12895" builtinId="9" hidden="1"/>
    <cellStyle name="Followed Hyperlink" xfId="12864" builtinId="9" hidden="1"/>
    <cellStyle name="Followed Hyperlink" xfId="12853" builtinId="9" hidden="1"/>
    <cellStyle name="Followed Hyperlink" xfId="12897" builtinId="9" hidden="1"/>
    <cellStyle name="Followed Hyperlink" xfId="12899" builtinId="9" hidden="1"/>
    <cellStyle name="Followed Hyperlink" xfId="12901" builtinId="9" hidden="1"/>
    <cellStyle name="Followed Hyperlink" xfId="12903" builtinId="9" hidden="1"/>
    <cellStyle name="Followed Hyperlink" xfId="12847" builtinId="9" hidden="1"/>
    <cellStyle name="Followed Hyperlink" xfId="12850" builtinId="9" hidden="1"/>
    <cellStyle name="Followed Hyperlink" xfId="12905" builtinId="9" hidden="1"/>
    <cellStyle name="Followed Hyperlink" xfId="12907" builtinId="9" hidden="1"/>
    <cellStyle name="Followed Hyperlink" xfId="12909" builtinId="9" hidden="1"/>
    <cellStyle name="Followed Hyperlink" xfId="12911" builtinId="9" hidden="1"/>
    <cellStyle name="Followed Hyperlink" xfId="12865" builtinId="9" hidden="1"/>
    <cellStyle name="Followed Hyperlink" xfId="12878" builtinId="9" hidden="1"/>
    <cellStyle name="Followed Hyperlink" xfId="12913" builtinId="9" hidden="1"/>
    <cellStyle name="Followed Hyperlink" xfId="12915" builtinId="9" hidden="1"/>
    <cellStyle name="Followed Hyperlink" xfId="12917" builtinId="9" hidden="1"/>
    <cellStyle name="Followed Hyperlink" xfId="12919" builtinId="9" hidden="1"/>
    <cellStyle name="Followed Hyperlink" xfId="12877" builtinId="9" hidden="1"/>
    <cellStyle name="Followed Hyperlink" xfId="12844" builtinId="9" hidden="1"/>
    <cellStyle name="Followed Hyperlink" xfId="12921" builtinId="9" hidden="1"/>
    <cellStyle name="Followed Hyperlink" xfId="12923" builtinId="9" hidden="1"/>
    <cellStyle name="Followed Hyperlink" xfId="12925" builtinId="9" hidden="1"/>
    <cellStyle name="Followed Hyperlink" xfId="12927" builtinId="9" hidden="1"/>
    <cellStyle name="Followed Hyperlink" xfId="12849" builtinId="9" hidden="1"/>
    <cellStyle name="Followed Hyperlink" xfId="12880" builtinId="9" hidden="1"/>
    <cellStyle name="Followed Hyperlink" xfId="12929" builtinId="9" hidden="1"/>
    <cellStyle name="Followed Hyperlink" xfId="12931" builtinId="9" hidden="1"/>
    <cellStyle name="Followed Hyperlink" xfId="12933" builtinId="9" hidden="1"/>
    <cellStyle name="Followed Hyperlink" xfId="12935" builtinId="9" hidden="1"/>
    <cellStyle name="Followed Hyperlink" xfId="12883" builtinId="9" hidden="1"/>
    <cellStyle name="Followed Hyperlink" xfId="12848" builtinId="9" hidden="1"/>
    <cellStyle name="Followed Hyperlink" xfId="12937" builtinId="9" hidden="1"/>
    <cellStyle name="Followed Hyperlink" xfId="12939" builtinId="9" hidden="1"/>
    <cellStyle name="Followed Hyperlink" xfId="12941" builtinId="9" hidden="1"/>
    <cellStyle name="Followed Hyperlink" xfId="12943" builtinId="9" hidden="1"/>
    <cellStyle name="Followed Hyperlink" xfId="12875" builtinId="9" hidden="1"/>
    <cellStyle name="Followed Hyperlink" xfId="12855" builtinId="9" hidden="1"/>
    <cellStyle name="Followed Hyperlink" xfId="12945" builtinId="9" hidden="1"/>
    <cellStyle name="Followed Hyperlink" xfId="12947" builtinId="9" hidden="1"/>
    <cellStyle name="Followed Hyperlink" xfId="12949" builtinId="9" hidden="1"/>
    <cellStyle name="Followed Hyperlink" xfId="12951" builtinId="9" hidden="1"/>
    <cellStyle name="Followed Hyperlink" xfId="12857" builtinId="9" hidden="1"/>
    <cellStyle name="Followed Hyperlink" xfId="12879" builtinId="9" hidden="1"/>
    <cellStyle name="Followed Hyperlink" xfId="12953" builtinId="9" hidden="1"/>
    <cellStyle name="Followed Hyperlink" xfId="12955" builtinId="9" hidden="1"/>
    <cellStyle name="Followed Hyperlink" xfId="12957" builtinId="9" hidden="1"/>
    <cellStyle name="Followed Hyperlink" xfId="12959" builtinId="9" hidden="1"/>
    <cellStyle name="Followed Hyperlink" xfId="12872" builtinId="9" hidden="1"/>
    <cellStyle name="Followed Hyperlink" xfId="12852" builtinId="9" hidden="1"/>
    <cellStyle name="Followed Hyperlink" xfId="12961" builtinId="9" hidden="1"/>
    <cellStyle name="Followed Hyperlink" xfId="12963" builtinId="9" hidden="1"/>
    <cellStyle name="Followed Hyperlink" xfId="12965" builtinId="9" hidden="1"/>
    <cellStyle name="Followed Hyperlink" xfId="12967" builtinId="9" hidden="1"/>
    <cellStyle name="Followed Hyperlink" xfId="12863" builtinId="9" hidden="1"/>
    <cellStyle name="Followed Hyperlink" xfId="12887" builtinId="9" hidden="1"/>
    <cellStyle name="Followed Hyperlink" xfId="12969" builtinId="9" hidden="1"/>
    <cellStyle name="Followed Hyperlink" xfId="12971" builtinId="9" hidden="1"/>
    <cellStyle name="Followed Hyperlink" xfId="12973" builtinId="9" hidden="1"/>
    <cellStyle name="Followed Hyperlink" xfId="12975" builtinId="9" hidden="1"/>
    <cellStyle name="Followed Hyperlink" xfId="12861" builtinId="9" hidden="1"/>
    <cellStyle name="Followed Hyperlink" xfId="12860" builtinId="9" hidden="1"/>
    <cellStyle name="Followed Hyperlink" xfId="12977" builtinId="9" hidden="1"/>
    <cellStyle name="Followed Hyperlink" xfId="12979" builtinId="9" hidden="1"/>
    <cellStyle name="Followed Hyperlink" xfId="12981" builtinId="9" hidden="1"/>
    <cellStyle name="Followed Hyperlink" xfId="12983" builtinId="9" hidden="1"/>
    <cellStyle name="Followed Hyperlink" xfId="12859" builtinId="9" hidden="1"/>
    <cellStyle name="Followed Hyperlink" xfId="12881" builtinId="9" hidden="1"/>
    <cellStyle name="Followed Hyperlink" xfId="12985" builtinId="9" hidden="1"/>
    <cellStyle name="Followed Hyperlink" xfId="12987" builtinId="9" hidden="1"/>
    <cellStyle name="Followed Hyperlink" xfId="12989" builtinId="9" hidden="1"/>
    <cellStyle name="Followed Hyperlink" xfId="12991" builtinId="9" hidden="1"/>
    <cellStyle name="Followed Hyperlink" xfId="12010" builtinId="9" hidden="1"/>
    <cellStyle name="Followed Hyperlink" xfId="12127" builtinId="9" hidden="1"/>
    <cellStyle name="Followed Hyperlink" xfId="12137" builtinId="9" hidden="1"/>
    <cellStyle name="Followed Hyperlink" xfId="12017" builtinId="9" hidden="1"/>
    <cellStyle name="Followed Hyperlink" xfId="12825" builtinId="9" hidden="1"/>
    <cellStyle name="Followed Hyperlink" xfId="12081" builtinId="9" hidden="1"/>
    <cellStyle name="Followed Hyperlink" xfId="12128" builtinId="9" hidden="1"/>
    <cellStyle name="Followed Hyperlink" xfId="12043" builtinId="9" hidden="1"/>
    <cellStyle name="Followed Hyperlink" xfId="12998" builtinId="9" hidden="1"/>
    <cellStyle name="Followed Hyperlink" xfId="13000" builtinId="9" hidden="1"/>
    <cellStyle name="Followed Hyperlink" xfId="13002" builtinId="9" hidden="1"/>
    <cellStyle name="Followed Hyperlink" xfId="13004" builtinId="9" hidden="1"/>
    <cellStyle name="Followed Hyperlink" xfId="13006" builtinId="9" hidden="1"/>
    <cellStyle name="Followed Hyperlink" xfId="13008" builtinId="9" hidden="1"/>
    <cellStyle name="Followed Hyperlink" xfId="13058" builtinId="9" hidden="1"/>
    <cellStyle name="Followed Hyperlink" xfId="13060" builtinId="9" hidden="1"/>
    <cellStyle name="Followed Hyperlink" xfId="13062" builtinId="9" hidden="1"/>
    <cellStyle name="Followed Hyperlink" xfId="13064" builtinId="9" hidden="1"/>
    <cellStyle name="Followed Hyperlink" xfId="13033" builtinId="9" hidden="1"/>
    <cellStyle name="Followed Hyperlink" xfId="13022" builtinId="9" hidden="1"/>
    <cellStyle name="Followed Hyperlink" xfId="13066" builtinId="9" hidden="1"/>
    <cellStyle name="Followed Hyperlink" xfId="13068" builtinId="9" hidden="1"/>
    <cellStyle name="Followed Hyperlink" xfId="13070" builtinId="9" hidden="1"/>
    <cellStyle name="Followed Hyperlink" xfId="13072" builtinId="9" hidden="1"/>
    <cellStyle name="Followed Hyperlink" xfId="13016" builtinId="9" hidden="1"/>
    <cellStyle name="Followed Hyperlink" xfId="13019" builtinId="9" hidden="1"/>
    <cellStyle name="Followed Hyperlink" xfId="13074" builtinId="9" hidden="1"/>
    <cellStyle name="Followed Hyperlink" xfId="13076" builtinId="9" hidden="1"/>
    <cellStyle name="Followed Hyperlink" xfId="13078" builtinId="9" hidden="1"/>
    <cellStyle name="Followed Hyperlink" xfId="13080" builtinId="9" hidden="1"/>
    <cellStyle name="Followed Hyperlink" xfId="13034" builtinId="9" hidden="1"/>
    <cellStyle name="Followed Hyperlink" xfId="13047" builtinId="9" hidden="1"/>
    <cellStyle name="Followed Hyperlink" xfId="13082" builtinId="9" hidden="1"/>
    <cellStyle name="Followed Hyperlink" xfId="13084" builtinId="9" hidden="1"/>
    <cellStyle name="Followed Hyperlink" xfId="13086" builtinId="9" hidden="1"/>
    <cellStyle name="Followed Hyperlink" xfId="13088" builtinId="9" hidden="1"/>
    <cellStyle name="Followed Hyperlink" xfId="13046" builtinId="9" hidden="1"/>
    <cellStyle name="Followed Hyperlink" xfId="13013" builtinId="9" hidden="1"/>
    <cellStyle name="Followed Hyperlink" xfId="13090" builtinId="9" hidden="1"/>
    <cellStyle name="Followed Hyperlink" xfId="13092" builtinId="9" hidden="1"/>
    <cellStyle name="Followed Hyperlink" xfId="13094" builtinId="9" hidden="1"/>
    <cellStyle name="Followed Hyperlink" xfId="13096" builtinId="9" hidden="1"/>
    <cellStyle name="Followed Hyperlink" xfId="13018" builtinId="9" hidden="1"/>
    <cellStyle name="Followed Hyperlink" xfId="13049" builtinId="9" hidden="1"/>
    <cellStyle name="Followed Hyperlink" xfId="13098" builtinId="9" hidden="1"/>
    <cellStyle name="Followed Hyperlink" xfId="13100" builtinId="9" hidden="1"/>
    <cellStyle name="Followed Hyperlink" xfId="13102" builtinId="9" hidden="1"/>
    <cellStyle name="Followed Hyperlink" xfId="13104" builtinId="9" hidden="1"/>
    <cellStyle name="Followed Hyperlink" xfId="13052" builtinId="9" hidden="1"/>
    <cellStyle name="Followed Hyperlink" xfId="13017" builtinId="9" hidden="1"/>
    <cellStyle name="Followed Hyperlink" xfId="13106" builtinId="9" hidden="1"/>
    <cellStyle name="Followed Hyperlink" xfId="13108" builtinId="9" hidden="1"/>
    <cellStyle name="Followed Hyperlink" xfId="13110" builtinId="9" hidden="1"/>
    <cellStyle name="Followed Hyperlink" xfId="13112" builtinId="9" hidden="1"/>
    <cellStyle name="Followed Hyperlink" xfId="13044" builtinId="9" hidden="1"/>
    <cellStyle name="Followed Hyperlink" xfId="13024" builtinId="9" hidden="1"/>
    <cellStyle name="Followed Hyperlink" xfId="13114" builtinId="9" hidden="1"/>
    <cellStyle name="Followed Hyperlink" xfId="13116" builtinId="9" hidden="1"/>
    <cellStyle name="Followed Hyperlink" xfId="13118" builtinId="9" hidden="1"/>
    <cellStyle name="Followed Hyperlink" xfId="13120" builtinId="9" hidden="1"/>
    <cellStyle name="Followed Hyperlink" xfId="13026" builtinId="9" hidden="1"/>
    <cellStyle name="Followed Hyperlink" xfId="13048" builtinId="9" hidden="1"/>
    <cellStyle name="Followed Hyperlink" xfId="13122" builtinId="9" hidden="1"/>
    <cellStyle name="Followed Hyperlink" xfId="13124" builtinId="9" hidden="1"/>
    <cellStyle name="Followed Hyperlink" xfId="13126" builtinId="9" hidden="1"/>
    <cellStyle name="Followed Hyperlink" xfId="13128" builtinId="9" hidden="1"/>
    <cellStyle name="Followed Hyperlink" xfId="13041" builtinId="9" hidden="1"/>
    <cellStyle name="Followed Hyperlink" xfId="13021" builtinId="9" hidden="1"/>
    <cellStyle name="Followed Hyperlink" xfId="13130" builtinId="9" hidden="1"/>
    <cellStyle name="Followed Hyperlink" xfId="13132" builtinId="9" hidden="1"/>
    <cellStyle name="Followed Hyperlink" xfId="13134" builtinId="9" hidden="1"/>
    <cellStyle name="Followed Hyperlink" xfId="13136" builtinId="9" hidden="1"/>
    <cellStyle name="Followed Hyperlink" xfId="13032" builtinId="9" hidden="1"/>
    <cellStyle name="Followed Hyperlink" xfId="13056" builtinId="9" hidden="1"/>
    <cellStyle name="Followed Hyperlink" xfId="13138" builtinId="9" hidden="1"/>
    <cellStyle name="Followed Hyperlink" xfId="13140" builtinId="9" hidden="1"/>
    <cellStyle name="Followed Hyperlink" xfId="13142" builtinId="9" hidden="1"/>
    <cellStyle name="Followed Hyperlink" xfId="13144" builtinId="9" hidden="1"/>
    <cellStyle name="Followed Hyperlink" xfId="13030" builtinId="9" hidden="1"/>
    <cellStyle name="Followed Hyperlink" xfId="13029" builtinId="9" hidden="1"/>
    <cellStyle name="Followed Hyperlink" xfId="13146" builtinId="9" hidden="1"/>
    <cellStyle name="Followed Hyperlink" xfId="13148" builtinId="9" hidden="1"/>
    <cellStyle name="Followed Hyperlink" xfId="13150" builtinId="9" hidden="1"/>
    <cellStyle name="Followed Hyperlink" xfId="13152" builtinId="9" hidden="1"/>
    <cellStyle name="Followed Hyperlink" xfId="13028" builtinId="9" hidden="1"/>
    <cellStyle name="Followed Hyperlink" xfId="13050" builtinId="9" hidden="1"/>
    <cellStyle name="Followed Hyperlink" xfId="13154" builtinId="9" hidden="1"/>
    <cellStyle name="Followed Hyperlink" xfId="13156" builtinId="9" hidden="1"/>
    <cellStyle name="Followed Hyperlink" xfId="13158" builtinId="9" hidden="1"/>
    <cellStyle name="Followed Hyperlink" xfId="13160" builtinId="9" hidden="1"/>
    <cellStyle name="Followed Hyperlink" xfId="12116" builtinId="9" hidden="1"/>
    <cellStyle name="Followed Hyperlink" xfId="12142" builtinId="9" hidden="1"/>
    <cellStyle name="Followed Hyperlink" xfId="12312" builtinId="9" hidden="1"/>
    <cellStyle name="Followed Hyperlink" xfId="12001" builtinId="9" hidden="1"/>
    <cellStyle name="Followed Hyperlink" xfId="12994" builtinId="9" hidden="1"/>
    <cellStyle name="Followed Hyperlink" xfId="12123" builtinId="9" hidden="1"/>
    <cellStyle name="Followed Hyperlink" xfId="12078" builtinId="9" hidden="1"/>
    <cellStyle name="Followed Hyperlink" xfId="12488" builtinId="9" hidden="1"/>
    <cellStyle name="Followed Hyperlink" xfId="13165" builtinId="9" hidden="1"/>
    <cellStyle name="Followed Hyperlink" xfId="13167" builtinId="9" hidden="1"/>
    <cellStyle name="Followed Hyperlink" xfId="13169" builtinId="9" hidden="1"/>
    <cellStyle name="Followed Hyperlink" xfId="13171" builtinId="9" hidden="1"/>
    <cellStyle name="Followed Hyperlink" xfId="13173" builtinId="9" hidden="1"/>
    <cellStyle name="Followed Hyperlink" xfId="13175" builtinId="9" hidden="1"/>
    <cellStyle name="Followed Hyperlink" xfId="13225" builtinId="9" hidden="1"/>
    <cellStyle name="Followed Hyperlink" xfId="13227" builtinId="9" hidden="1"/>
    <cellStyle name="Followed Hyperlink" xfId="13229" builtinId="9" hidden="1"/>
    <cellStyle name="Followed Hyperlink" xfId="13231" builtinId="9" hidden="1"/>
    <cellStyle name="Followed Hyperlink" xfId="13200" builtinId="9" hidden="1"/>
    <cellStyle name="Followed Hyperlink" xfId="13189" builtinId="9" hidden="1"/>
    <cellStyle name="Followed Hyperlink" xfId="13233" builtinId="9" hidden="1"/>
    <cellStyle name="Followed Hyperlink" xfId="13235" builtinId="9" hidden="1"/>
    <cellStyle name="Followed Hyperlink" xfId="13237" builtinId="9" hidden="1"/>
    <cellStyle name="Followed Hyperlink" xfId="13239" builtinId="9" hidden="1"/>
    <cellStyle name="Followed Hyperlink" xfId="13183" builtinId="9" hidden="1"/>
    <cellStyle name="Followed Hyperlink" xfId="13186" builtinId="9" hidden="1"/>
    <cellStyle name="Followed Hyperlink" xfId="13241" builtinId="9" hidden="1"/>
    <cellStyle name="Followed Hyperlink" xfId="13243" builtinId="9" hidden="1"/>
    <cellStyle name="Followed Hyperlink" xfId="13245" builtinId="9" hidden="1"/>
    <cellStyle name="Followed Hyperlink" xfId="13247" builtinId="9" hidden="1"/>
    <cellStyle name="Followed Hyperlink" xfId="13201" builtinId="9" hidden="1"/>
    <cellStyle name="Followed Hyperlink" xfId="13214" builtinId="9" hidden="1"/>
    <cellStyle name="Followed Hyperlink" xfId="13249" builtinId="9" hidden="1"/>
    <cellStyle name="Followed Hyperlink" xfId="13251" builtinId="9" hidden="1"/>
    <cellStyle name="Followed Hyperlink" xfId="13253" builtinId="9" hidden="1"/>
    <cellStyle name="Followed Hyperlink" xfId="13255" builtinId="9" hidden="1"/>
    <cellStyle name="Followed Hyperlink" xfId="13213" builtinId="9" hidden="1"/>
    <cellStyle name="Followed Hyperlink" xfId="13180" builtinId="9" hidden="1"/>
    <cellStyle name="Followed Hyperlink" xfId="13257" builtinId="9" hidden="1"/>
    <cellStyle name="Followed Hyperlink" xfId="13259" builtinId="9" hidden="1"/>
    <cellStyle name="Followed Hyperlink" xfId="13261" builtinId="9" hidden="1"/>
    <cellStyle name="Followed Hyperlink" xfId="13263" builtinId="9" hidden="1"/>
    <cellStyle name="Followed Hyperlink" xfId="13185" builtinId="9" hidden="1"/>
    <cellStyle name="Followed Hyperlink" xfId="13216" builtinId="9" hidden="1"/>
    <cellStyle name="Followed Hyperlink" xfId="13265" builtinId="9" hidden="1"/>
    <cellStyle name="Followed Hyperlink" xfId="13267" builtinId="9" hidden="1"/>
    <cellStyle name="Followed Hyperlink" xfId="13269" builtinId="9" hidden="1"/>
    <cellStyle name="Followed Hyperlink" xfId="13271" builtinId="9" hidden="1"/>
    <cellStyle name="Followed Hyperlink" xfId="13219" builtinId="9" hidden="1"/>
    <cellStyle name="Followed Hyperlink" xfId="13184" builtinId="9" hidden="1"/>
    <cellStyle name="Followed Hyperlink" xfId="13273" builtinId="9" hidden="1"/>
    <cellStyle name="Followed Hyperlink" xfId="13275" builtinId="9" hidden="1"/>
    <cellStyle name="Followed Hyperlink" xfId="13277" builtinId="9" hidden="1"/>
    <cellStyle name="Followed Hyperlink" xfId="13279" builtinId="9" hidden="1"/>
    <cellStyle name="Followed Hyperlink" xfId="13211" builtinId="9" hidden="1"/>
    <cellStyle name="Followed Hyperlink" xfId="13191" builtinId="9" hidden="1"/>
    <cellStyle name="Followed Hyperlink" xfId="13281" builtinId="9" hidden="1"/>
    <cellStyle name="Followed Hyperlink" xfId="13283" builtinId="9" hidden="1"/>
    <cellStyle name="Followed Hyperlink" xfId="13285" builtinId="9" hidden="1"/>
    <cellStyle name="Followed Hyperlink" xfId="13287" builtinId="9" hidden="1"/>
    <cellStyle name="Followed Hyperlink" xfId="13193" builtinId="9" hidden="1"/>
    <cellStyle name="Followed Hyperlink" xfId="13215" builtinId="9" hidden="1"/>
    <cellStyle name="Followed Hyperlink" xfId="13289" builtinId="9" hidden="1"/>
    <cellStyle name="Followed Hyperlink" xfId="13291" builtinId="9" hidden="1"/>
    <cellStyle name="Followed Hyperlink" xfId="13293" builtinId="9" hidden="1"/>
    <cellStyle name="Followed Hyperlink" xfId="13295" builtinId="9" hidden="1"/>
    <cellStyle name="Followed Hyperlink" xfId="13208" builtinId="9" hidden="1"/>
    <cellStyle name="Followed Hyperlink" xfId="13188" builtinId="9" hidden="1"/>
    <cellStyle name="Followed Hyperlink" xfId="13297" builtinId="9" hidden="1"/>
    <cellStyle name="Followed Hyperlink" xfId="13299" builtinId="9" hidden="1"/>
    <cellStyle name="Followed Hyperlink" xfId="13301" builtinId="9" hidden="1"/>
    <cellStyle name="Followed Hyperlink" xfId="13303" builtinId="9" hidden="1"/>
    <cellStyle name="Followed Hyperlink" xfId="13199" builtinId="9" hidden="1"/>
    <cellStyle name="Followed Hyperlink" xfId="13223" builtinId="9" hidden="1"/>
    <cellStyle name="Followed Hyperlink" xfId="13305" builtinId="9" hidden="1"/>
    <cellStyle name="Followed Hyperlink" xfId="13307" builtinId="9" hidden="1"/>
    <cellStyle name="Followed Hyperlink" xfId="13309" builtinId="9" hidden="1"/>
    <cellStyle name="Followed Hyperlink" xfId="13311" builtinId="9" hidden="1"/>
    <cellStyle name="Followed Hyperlink" xfId="13197" builtinId="9" hidden="1"/>
    <cellStyle name="Followed Hyperlink" xfId="13196" builtinId="9" hidden="1"/>
    <cellStyle name="Followed Hyperlink" xfId="13313" builtinId="9" hidden="1"/>
    <cellStyle name="Followed Hyperlink" xfId="13315" builtinId="9" hidden="1"/>
    <cellStyle name="Followed Hyperlink" xfId="13317" builtinId="9" hidden="1"/>
    <cellStyle name="Followed Hyperlink" xfId="13319" builtinId="9" hidden="1"/>
    <cellStyle name="Followed Hyperlink" xfId="13195" builtinId="9" hidden="1"/>
    <cellStyle name="Followed Hyperlink" xfId="13217" builtinId="9" hidden="1"/>
    <cellStyle name="Followed Hyperlink" xfId="13321" builtinId="9" hidden="1"/>
    <cellStyle name="Followed Hyperlink" xfId="13323" builtinId="9" hidden="1"/>
    <cellStyle name="Followed Hyperlink" xfId="13325" builtinId="9" hidden="1"/>
    <cellStyle name="Followed Hyperlink" xfId="13327" builtinId="9" hidden="1"/>
    <cellStyle name="Followed Hyperlink" xfId="12028" builtinId="9" hidden="1"/>
    <cellStyle name="Followed Hyperlink" xfId="12005" builtinId="9" hidden="1"/>
    <cellStyle name="Followed Hyperlink" xfId="12108" builtinId="9" hidden="1"/>
    <cellStyle name="Followed Hyperlink" xfId="12122" builtinId="9" hidden="1"/>
    <cellStyle name="Followed Hyperlink" xfId="13161" builtinId="9" hidden="1"/>
    <cellStyle name="Followed Hyperlink" xfId="12020" builtinId="9" hidden="1"/>
    <cellStyle name="Followed Hyperlink" xfId="12100" builtinId="9" hidden="1"/>
    <cellStyle name="Followed Hyperlink" xfId="12658" builtinId="9" hidden="1"/>
    <cellStyle name="Followed Hyperlink" xfId="13332" builtinId="9" hidden="1"/>
    <cellStyle name="Followed Hyperlink" xfId="13334" builtinId="9" hidden="1"/>
    <cellStyle name="Followed Hyperlink" xfId="13336" builtinId="9" hidden="1"/>
    <cellStyle name="Followed Hyperlink" xfId="13338" builtinId="9" hidden="1"/>
    <cellStyle name="Followed Hyperlink" xfId="13340" builtinId="9" hidden="1"/>
    <cellStyle name="Followed Hyperlink" xfId="13342" builtinId="9" hidden="1"/>
    <cellStyle name="Followed Hyperlink" xfId="13392" builtinId="9" hidden="1"/>
    <cellStyle name="Followed Hyperlink" xfId="13394" builtinId="9" hidden="1"/>
    <cellStyle name="Followed Hyperlink" xfId="13396" builtinId="9" hidden="1"/>
    <cellStyle name="Followed Hyperlink" xfId="13398" builtinId="9" hidden="1"/>
    <cellStyle name="Followed Hyperlink" xfId="13367" builtinId="9" hidden="1"/>
    <cellStyle name="Followed Hyperlink" xfId="13356" builtinId="9" hidden="1"/>
    <cellStyle name="Followed Hyperlink" xfId="13400" builtinId="9" hidden="1"/>
    <cellStyle name="Followed Hyperlink" xfId="13402" builtinId="9" hidden="1"/>
    <cellStyle name="Followed Hyperlink" xfId="13404" builtinId="9" hidden="1"/>
    <cellStyle name="Followed Hyperlink" xfId="13406" builtinId="9" hidden="1"/>
    <cellStyle name="Followed Hyperlink" xfId="13350" builtinId="9" hidden="1"/>
    <cellStyle name="Followed Hyperlink" xfId="13353" builtinId="9" hidden="1"/>
    <cellStyle name="Followed Hyperlink" xfId="13408" builtinId="9" hidden="1"/>
    <cellStyle name="Followed Hyperlink" xfId="13410" builtinId="9" hidden="1"/>
    <cellStyle name="Followed Hyperlink" xfId="13412" builtinId="9" hidden="1"/>
    <cellStyle name="Followed Hyperlink" xfId="13414" builtinId="9" hidden="1"/>
    <cellStyle name="Followed Hyperlink" xfId="13368" builtinId="9" hidden="1"/>
    <cellStyle name="Followed Hyperlink" xfId="13381" builtinId="9" hidden="1"/>
    <cellStyle name="Followed Hyperlink" xfId="13416" builtinId="9" hidden="1"/>
    <cellStyle name="Followed Hyperlink" xfId="13418" builtinId="9" hidden="1"/>
    <cellStyle name="Followed Hyperlink" xfId="13420" builtinId="9" hidden="1"/>
    <cellStyle name="Followed Hyperlink" xfId="13422" builtinId="9" hidden="1"/>
    <cellStyle name="Followed Hyperlink" xfId="13380" builtinId="9" hidden="1"/>
    <cellStyle name="Followed Hyperlink" xfId="13347" builtinId="9" hidden="1"/>
    <cellStyle name="Followed Hyperlink" xfId="13424" builtinId="9" hidden="1"/>
    <cellStyle name="Followed Hyperlink" xfId="13426" builtinId="9" hidden="1"/>
    <cellStyle name="Followed Hyperlink" xfId="13428" builtinId="9" hidden="1"/>
    <cellStyle name="Followed Hyperlink" xfId="13430" builtinId="9" hidden="1"/>
    <cellStyle name="Followed Hyperlink" xfId="13352" builtinId="9" hidden="1"/>
    <cellStyle name="Followed Hyperlink" xfId="13383" builtinId="9" hidden="1"/>
    <cellStyle name="Followed Hyperlink" xfId="13432" builtinId="9" hidden="1"/>
    <cellStyle name="Followed Hyperlink" xfId="13434" builtinId="9" hidden="1"/>
    <cellStyle name="Followed Hyperlink" xfId="13436" builtinId="9" hidden="1"/>
    <cellStyle name="Followed Hyperlink" xfId="13438" builtinId="9" hidden="1"/>
    <cellStyle name="Followed Hyperlink" xfId="13386" builtinId="9" hidden="1"/>
    <cellStyle name="Followed Hyperlink" xfId="13351" builtinId="9" hidden="1"/>
    <cellStyle name="Followed Hyperlink" xfId="13440" builtinId="9" hidden="1"/>
    <cellStyle name="Followed Hyperlink" xfId="13442" builtinId="9" hidden="1"/>
    <cellStyle name="Followed Hyperlink" xfId="13444" builtinId="9" hidden="1"/>
    <cellStyle name="Followed Hyperlink" xfId="13446" builtinId="9" hidden="1"/>
    <cellStyle name="Followed Hyperlink" xfId="13378" builtinId="9" hidden="1"/>
    <cellStyle name="Followed Hyperlink" xfId="13358" builtinId="9" hidden="1"/>
    <cellStyle name="Followed Hyperlink" xfId="13448" builtinId="9" hidden="1"/>
    <cellStyle name="Followed Hyperlink" xfId="13450" builtinId="9" hidden="1"/>
    <cellStyle name="Followed Hyperlink" xfId="13452" builtinId="9" hidden="1"/>
    <cellStyle name="Followed Hyperlink" xfId="13454" builtinId="9" hidden="1"/>
    <cellStyle name="Followed Hyperlink" xfId="13360" builtinId="9" hidden="1"/>
    <cellStyle name="Followed Hyperlink" xfId="13382" builtinId="9" hidden="1"/>
    <cellStyle name="Followed Hyperlink" xfId="13456" builtinId="9" hidden="1"/>
    <cellStyle name="Followed Hyperlink" xfId="13458" builtinId="9" hidden="1"/>
    <cellStyle name="Followed Hyperlink" xfId="13460" builtinId="9" hidden="1"/>
    <cellStyle name="Followed Hyperlink" xfId="13462" builtinId="9" hidden="1"/>
    <cellStyle name="Followed Hyperlink" xfId="13375" builtinId="9" hidden="1"/>
    <cellStyle name="Followed Hyperlink" xfId="13355" builtinId="9" hidden="1"/>
    <cellStyle name="Followed Hyperlink" xfId="13464" builtinId="9" hidden="1"/>
    <cellStyle name="Followed Hyperlink" xfId="13466" builtinId="9" hidden="1"/>
    <cellStyle name="Followed Hyperlink" xfId="13468" builtinId="9" hidden="1"/>
    <cellStyle name="Followed Hyperlink" xfId="13470" builtinId="9" hidden="1"/>
    <cellStyle name="Followed Hyperlink" xfId="13366" builtinId="9" hidden="1"/>
    <cellStyle name="Followed Hyperlink" xfId="13390" builtinId="9" hidden="1"/>
    <cellStyle name="Followed Hyperlink" xfId="13472" builtinId="9" hidden="1"/>
    <cellStyle name="Followed Hyperlink" xfId="13474" builtinId="9" hidden="1"/>
    <cellStyle name="Followed Hyperlink" xfId="13476" builtinId="9" hidden="1"/>
    <cellStyle name="Followed Hyperlink" xfId="13478" builtinId="9" hidden="1"/>
    <cellStyle name="Followed Hyperlink" xfId="13364" builtinId="9" hidden="1"/>
    <cellStyle name="Followed Hyperlink" xfId="13363" builtinId="9" hidden="1"/>
    <cellStyle name="Followed Hyperlink" xfId="13480" builtinId="9" hidden="1"/>
    <cellStyle name="Followed Hyperlink" xfId="13482" builtinId="9" hidden="1"/>
    <cellStyle name="Followed Hyperlink" xfId="13484" builtinId="9" hidden="1"/>
    <cellStyle name="Followed Hyperlink" xfId="13486" builtinId="9" hidden="1"/>
    <cellStyle name="Followed Hyperlink" xfId="13362" builtinId="9" hidden="1"/>
    <cellStyle name="Followed Hyperlink" xfId="13384" builtinId="9" hidden="1"/>
    <cellStyle name="Followed Hyperlink" xfId="13488" builtinId="9" hidden="1"/>
    <cellStyle name="Followed Hyperlink" xfId="13490" builtinId="9" hidden="1"/>
    <cellStyle name="Followed Hyperlink" xfId="13492" builtinId="9" hidden="1"/>
    <cellStyle name="Followed Hyperlink" xfId="13494" builtinId="9" hidden="1"/>
    <cellStyle name="Followed Hyperlink" xfId="12111" builtinId="9" hidden="1"/>
    <cellStyle name="Followed Hyperlink" xfId="12485" builtinId="9" hidden="1"/>
    <cellStyle name="Followed Hyperlink" xfId="12481" builtinId="9" hidden="1"/>
    <cellStyle name="Followed Hyperlink" xfId="12045" builtinId="9" hidden="1"/>
    <cellStyle name="Followed Hyperlink" xfId="13328" builtinId="9" hidden="1"/>
    <cellStyle name="Followed Hyperlink" xfId="12051" builtinId="9" hidden="1"/>
    <cellStyle name="Followed Hyperlink" xfId="12085" builtinId="9" hidden="1"/>
    <cellStyle name="Followed Hyperlink" xfId="12827" builtinId="9" hidden="1"/>
    <cellStyle name="Followed Hyperlink" xfId="13497" builtinId="9" hidden="1"/>
    <cellStyle name="Followed Hyperlink" xfId="13499" builtinId="9" hidden="1"/>
    <cellStyle name="Followed Hyperlink" xfId="13501" builtinId="9" hidden="1"/>
    <cellStyle name="Followed Hyperlink" xfId="13503" builtinId="9" hidden="1"/>
    <cellStyle name="Followed Hyperlink" xfId="13505" builtinId="9" hidden="1"/>
    <cellStyle name="Followed Hyperlink" xfId="13507" builtinId="9" hidden="1"/>
    <cellStyle name="Followed Hyperlink" xfId="13557" builtinId="9" hidden="1"/>
    <cellStyle name="Followed Hyperlink" xfId="13559" builtinId="9" hidden="1"/>
    <cellStyle name="Followed Hyperlink" xfId="13561" builtinId="9" hidden="1"/>
    <cellStyle name="Followed Hyperlink" xfId="13563" builtinId="9" hidden="1"/>
    <cellStyle name="Followed Hyperlink" xfId="13532" builtinId="9" hidden="1"/>
    <cellStyle name="Followed Hyperlink" xfId="13521" builtinId="9" hidden="1"/>
    <cellStyle name="Followed Hyperlink" xfId="13565" builtinId="9" hidden="1"/>
    <cellStyle name="Followed Hyperlink" xfId="13567" builtinId="9" hidden="1"/>
    <cellStyle name="Followed Hyperlink" xfId="13569" builtinId="9" hidden="1"/>
    <cellStyle name="Followed Hyperlink" xfId="13571" builtinId="9" hidden="1"/>
    <cellStyle name="Followed Hyperlink" xfId="13515" builtinId="9" hidden="1"/>
    <cellStyle name="Followed Hyperlink" xfId="13518" builtinId="9" hidden="1"/>
    <cellStyle name="Followed Hyperlink" xfId="13573" builtinId="9" hidden="1"/>
    <cellStyle name="Followed Hyperlink" xfId="13575" builtinId="9" hidden="1"/>
    <cellStyle name="Followed Hyperlink" xfId="13577" builtinId="9" hidden="1"/>
    <cellStyle name="Followed Hyperlink" xfId="13579" builtinId="9" hidden="1"/>
    <cellStyle name="Followed Hyperlink" xfId="13533" builtinId="9" hidden="1"/>
    <cellStyle name="Followed Hyperlink" xfId="13546" builtinId="9" hidden="1"/>
    <cellStyle name="Followed Hyperlink" xfId="13581" builtinId="9" hidden="1"/>
    <cellStyle name="Followed Hyperlink" xfId="13583" builtinId="9" hidden="1"/>
    <cellStyle name="Followed Hyperlink" xfId="13585" builtinId="9" hidden="1"/>
    <cellStyle name="Followed Hyperlink" xfId="13587" builtinId="9" hidden="1"/>
    <cellStyle name="Followed Hyperlink" xfId="13545" builtinId="9" hidden="1"/>
    <cellStyle name="Followed Hyperlink" xfId="13512" builtinId="9" hidden="1"/>
    <cellStyle name="Followed Hyperlink" xfId="13589" builtinId="9" hidden="1"/>
    <cellStyle name="Followed Hyperlink" xfId="13591" builtinId="9" hidden="1"/>
    <cellStyle name="Followed Hyperlink" xfId="13593" builtinId="9" hidden="1"/>
    <cellStyle name="Followed Hyperlink" xfId="13595" builtinId="9" hidden="1"/>
    <cellStyle name="Followed Hyperlink" xfId="13517" builtinId="9" hidden="1"/>
    <cellStyle name="Followed Hyperlink" xfId="13548" builtinId="9" hidden="1"/>
    <cellStyle name="Followed Hyperlink" xfId="13597" builtinId="9" hidden="1"/>
    <cellStyle name="Followed Hyperlink" xfId="13599" builtinId="9" hidden="1"/>
    <cellStyle name="Followed Hyperlink" xfId="13601" builtinId="9" hidden="1"/>
    <cellStyle name="Followed Hyperlink" xfId="13603" builtinId="9" hidden="1"/>
    <cellStyle name="Followed Hyperlink" xfId="13551" builtinId="9" hidden="1"/>
    <cellStyle name="Followed Hyperlink" xfId="13516" builtinId="9" hidden="1"/>
    <cellStyle name="Followed Hyperlink" xfId="13605" builtinId="9" hidden="1"/>
    <cellStyle name="Followed Hyperlink" xfId="13607" builtinId="9" hidden="1"/>
    <cellStyle name="Followed Hyperlink" xfId="13609" builtinId="9" hidden="1"/>
    <cellStyle name="Followed Hyperlink" xfId="13611" builtinId="9" hidden="1"/>
    <cellStyle name="Followed Hyperlink" xfId="13543" builtinId="9" hidden="1"/>
    <cellStyle name="Followed Hyperlink" xfId="13523" builtinId="9" hidden="1"/>
    <cellStyle name="Followed Hyperlink" xfId="13613" builtinId="9" hidden="1"/>
    <cellStyle name="Followed Hyperlink" xfId="13615" builtinId="9" hidden="1"/>
    <cellStyle name="Followed Hyperlink" xfId="13617" builtinId="9" hidden="1"/>
    <cellStyle name="Followed Hyperlink" xfId="13619" builtinId="9" hidden="1"/>
    <cellStyle name="Followed Hyperlink" xfId="13525" builtinId="9" hidden="1"/>
    <cellStyle name="Followed Hyperlink" xfId="13547" builtinId="9" hidden="1"/>
    <cellStyle name="Followed Hyperlink" xfId="13621" builtinId="9" hidden="1"/>
    <cellStyle name="Followed Hyperlink" xfId="13623" builtinId="9" hidden="1"/>
    <cellStyle name="Followed Hyperlink" xfId="13625" builtinId="9" hidden="1"/>
    <cellStyle name="Followed Hyperlink" xfId="13627" builtinId="9" hidden="1"/>
    <cellStyle name="Followed Hyperlink" xfId="13540" builtinId="9" hidden="1"/>
    <cellStyle name="Followed Hyperlink" xfId="13520" builtinId="9" hidden="1"/>
    <cellStyle name="Followed Hyperlink" xfId="13629" builtinId="9" hidden="1"/>
    <cellStyle name="Followed Hyperlink" xfId="13631" builtinId="9" hidden="1"/>
    <cellStyle name="Followed Hyperlink" xfId="13633" builtinId="9" hidden="1"/>
    <cellStyle name="Followed Hyperlink" xfId="13635" builtinId="9" hidden="1"/>
    <cellStyle name="Followed Hyperlink" xfId="13531" builtinId="9" hidden="1"/>
    <cellStyle name="Followed Hyperlink" xfId="13555" builtinId="9" hidden="1"/>
    <cellStyle name="Followed Hyperlink" xfId="13637" builtinId="9" hidden="1"/>
    <cellStyle name="Followed Hyperlink" xfId="13639" builtinId="9" hidden="1"/>
    <cellStyle name="Followed Hyperlink" xfId="13641" builtinId="9" hidden="1"/>
    <cellStyle name="Followed Hyperlink" xfId="13643" builtinId="9" hidden="1"/>
    <cellStyle name="Followed Hyperlink" xfId="13529" builtinId="9" hidden="1"/>
    <cellStyle name="Followed Hyperlink" xfId="13528" builtinId="9" hidden="1"/>
    <cellStyle name="Followed Hyperlink" xfId="13645" builtinId="9" hidden="1"/>
    <cellStyle name="Followed Hyperlink" xfId="13647" builtinId="9" hidden="1"/>
    <cellStyle name="Followed Hyperlink" xfId="13649" builtinId="9" hidden="1"/>
    <cellStyle name="Followed Hyperlink" xfId="13651" builtinId="9" hidden="1"/>
    <cellStyle name="Followed Hyperlink" xfId="13527" builtinId="9" hidden="1"/>
    <cellStyle name="Followed Hyperlink" xfId="13549" builtinId="9" hidden="1"/>
    <cellStyle name="Followed Hyperlink" xfId="13653" builtinId="9" hidden="1"/>
    <cellStyle name="Followed Hyperlink" xfId="13655" builtinId="9" hidden="1"/>
    <cellStyle name="Followed Hyperlink" xfId="13657" builtinId="9" hidden="1"/>
    <cellStyle name="Followed Hyperlink" xfId="13659" builtinId="9" hidden="1"/>
    <cellStyle name="Followed Hyperlink" xfId="12095" builtinId="9" hidden="1"/>
    <cellStyle name="Followed Hyperlink" xfId="12655" builtinId="9" hidden="1"/>
    <cellStyle name="Followed Hyperlink" xfId="12126" builtinId="9" hidden="1"/>
    <cellStyle name="Followed Hyperlink" xfId="12036" builtinId="9" hidden="1"/>
    <cellStyle name="Followed Hyperlink" xfId="13495" builtinId="9" hidden="1"/>
    <cellStyle name="Followed Hyperlink" xfId="12015" builtinId="9" hidden="1"/>
    <cellStyle name="Followed Hyperlink" xfId="12130" builtinId="9" hidden="1"/>
    <cellStyle name="Followed Hyperlink" xfId="12996" builtinId="9" hidden="1"/>
    <cellStyle name="Followed Hyperlink" xfId="13662" builtinId="9" hidden="1"/>
    <cellStyle name="Followed Hyperlink" xfId="13664" builtinId="9" hidden="1"/>
    <cellStyle name="Followed Hyperlink" xfId="13666" builtinId="9" hidden="1"/>
    <cellStyle name="Followed Hyperlink" xfId="13668" builtinId="9" hidden="1"/>
    <cellStyle name="Followed Hyperlink" xfId="13670" builtinId="9" hidden="1"/>
    <cellStyle name="Followed Hyperlink" xfId="13672" builtinId="9" hidden="1"/>
    <cellStyle name="Followed Hyperlink" xfId="13722" builtinId="9" hidden="1"/>
    <cellStyle name="Followed Hyperlink" xfId="13724" builtinId="9" hidden="1"/>
    <cellStyle name="Followed Hyperlink" xfId="13726" builtinId="9" hidden="1"/>
    <cellStyle name="Followed Hyperlink" xfId="13728" builtinId="9" hidden="1"/>
    <cellStyle name="Followed Hyperlink" xfId="13697" builtinId="9" hidden="1"/>
    <cellStyle name="Followed Hyperlink" xfId="13686" builtinId="9" hidden="1"/>
    <cellStyle name="Followed Hyperlink" xfId="13730" builtinId="9" hidden="1"/>
    <cellStyle name="Followed Hyperlink" xfId="13732" builtinId="9" hidden="1"/>
    <cellStyle name="Followed Hyperlink" xfId="13734" builtinId="9" hidden="1"/>
    <cellStyle name="Followed Hyperlink" xfId="13736" builtinId="9" hidden="1"/>
    <cellStyle name="Followed Hyperlink" xfId="13680" builtinId="9" hidden="1"/>
    <cellStyle name="Followed Hyperlink" xfId="13683" builtinId="9" hidden="1"/>
    <cellStyle name="Followed Hyperlink" xfId="13738" builtinId="9" hidden="1"/>
    <cellStyle name="Followed Hyperlink" xfId="13740" builtinId="9" hidden="1"/>
    <cellStyle name="Followed Hyperlink" xfId="13742" builtinId="9" hidden="1"/>
    <cellStyle name="Followed Hyperlink" xfId="13744" builtinId="9" hidden="1"/>
    <cellStyle name="Followed Hyperlink" xfId="13698" builtinId="9" hidden="1"/>
    <cellStyle name="Followed Hyperlink" xfId="13711" builtinId="9" hidden="1"/>
    <cellStyle name="Followed Hyperlink" xfId="13746" builtinId="9" hidden="1"/>
    <cellStyle name="Followed Hyperlink" xfId="13748" builtinId="9" hidden="1"/>
    <cellStyle name="Followed Hyperlink" xfId="13750" builtinId="9" hidden="1"/>
    <cellStyle name="Followed Hyperlink" xfId="13752" builtinId="9" hidden="1"/>
    <cellStyle name="Followed Hyperlink" xfId="13710" builtinId="9" hidden="1"/>
    <cellStyle name="Followed Hyperlink" xfId="13677" builtinId="9" hidden="1"/>
    <cellStyle name="Followed Hyperlink" xfId="13754" builtinId="9" hidden="1"/>
    <cellStyle name="Followed Hyperlink" xfId="13756" builtinId="9" hidden="1"/>
    <cellStyle name="Followed Hyperlink" xfId="13758" builtinId="9" hidden="1"/>
    <cellStyle name="Followed Hyperlink" xfId="13760" builtinId="9" hidden="1"/>
    <cellStyle name="Followed Hyperlink" xfId="13682" builtinId="9" hidden="1"/>
    <cellStyle name="Followed Hyperlink" xfId="13713" builtinId="9" hidden="1"/>
    <cellStyle name="Followed Hyperlink" xfId="13762" builtinId="9" hidden="1"/>
    <cellStyle name="Followed Hyperlink" xfId="13764" builtinId="9" hidden="1"/>
    <cellStyle name="Followed Hyperlink" xfId="13766" builtinId="9" hidden="1"/>
    <cellStyle name="Followed Hyperlink" xfId="13768" builtinId="9" hidden="1"/>
    <cellStyle name="Followed Hyperlink" xfId="13716" builtinId="9" hidden="1"/>
    <cellStyle name="Followed Hyperlink" xfId="13681" builtinId="9" hidden="1"/>
    <cellStyle name="Followed Hyperlink" xfId="13770" builtinId="9" hidden="1"/>
    <cellStyle name="Followed Hyperlink" xfId="13772" builtinId="9" hidden="1"/>
    <cellStyle name="Followed Hyperlink" xfId="13774" builtinId="9" hidden="1"/>
    <cellStyle name="Followed Hyperlink" xfId="13776" builtinId="9" hidden="1"/>
    <cellStyle name="Followed Hyperlink" xfId="13708" builtinId="9" hidden="1"/>
    <cellStyle name="Followed Hyperlink" xfId="13688" builtinId="9" hidden="1"/>
    <cellStyle name="Followed Hyperlink" xfId="13778" builtinId="9" hidden="1"/>
    <cellStyle name="Followed Hyperlink" xfId="13780" builtinId="9" hidden="1"/>
    <cellStyle name="Followed Hyperlink" xfId="13782" builtinId="9" hidden="1"/>
    <cellStyle name="Followed Hyperlink" xfId="13784" builtinId="9" hidden="1"/>
    <cellStyle name="Followed Hyperlink" xfId="13690" builtinId="9" hidden="1"/>
    <cellStyle name="Followed Hyperlink" xfId="13712" builtinId="9" hidden="1"/>
    <cellStyle name="Followed Hyperlink" xfId="13786" builtinId="9" hidden="1"/>
    <cellStyle name="Followed Hyperlink" xfId="13788" builtinId="9" hidden="1"/>
    <cellStyle name="Followed Hyperlink" xfId="13790" builtinId="9" hidden="1"/>
    <cellStyle name="Followed Hyperlink" xfId="13792" builtinId="9" hidden="1"/>
    <cellStyle name="Followed Hyperlink" xfId="13705" builtinId="9" hidden="1"/>
    <cellStyle name="Followed Hyperlink" xfId="13685" builtinId="9" hidden="1"/>
    <cellStyle name="Followed Hyperlink" xfId="13794" builtinId="9" hidden="1"/>
    <cellStyle name="Followed Hyperlink" xfId="13796" builtinId="9" hidden="1"/>
    <cellStyle name="Followed Hyperlink" xfId="13798" builtinId="9" hidden="1"/>
    <cellStyle name="Followed Hyperlink" xfId="13800" builtinId="9" hidden="1"/>
    <cellStyle name="Followed Hyperlink" xfId="13696" builtinId="9" hidden="1"/>
    <cellStyle name="Followed Hyperlink" xfId="13720" builtinId="9" hidden="1"/>
    <cellStyle name="Followed Hyperlink" xfId="13802" builtinId="9" hidden="1"/>
    <cellStyle name="Followed Hyperlink" xfId="13804" builtinId="9" hidden="1"/>
    <cellStyle name="Followed Hyperlink" xfId="13806" builtinId="9" hidden="1"/>
    <cellStyle name="Followed Hyperlink" xfId="13808" builtinId="9" hidden="1"/>
    <cellStyle name="Followed Hyperlink" xfId="13694" builtinId="9" hidden="1"/>
    <cellStyle name="Followed Hyperlink" xfId="13693" builtinId="9" hidden="1"/>
    <cellStyle name="Followed Hyperlink" xfId="13810" builtinId="9" hidden="1"/>
    <cellStyle name="Followed Hyperlink" xfId="13812" builtinId="9" hidden="1"/>
    <cellStyle name="Followed Hyperlink" xfId="13814" builtinId="9" hidden="1"/>
    <cellStyle name="Followed Hyperlink" xfId="13816" builtinId="9" hidden="1"/>
    <cellStyle name="Followed Hyperlink" xfId="13692" builtinId="9" hidden="1"/>
    <cellStyle name="Followed Hyperlink" xfId="13714" builtinId="9" hidden="1"/>
    <cellStyle name="Followed Hyperlink" xfId="13818" builtinId="9" hidden="1"/>
    <cellStyle name="Followed Hyperlink" xfId="13820" builtinId="9" hidden="1"/>
    <cellStyle name="Followed Hyperlink" xfId="13822" builtinId="9" hidden="1"/>
    <cellStyle name="Followed Hyperlink" xfId="13824" builtinId="9" hidden="1"/>
    <cellStyle name="Followed Hyperlink" xfId="12021" builtinId="9" hidden="1"/>
    <cellStyle name="Followed Hyperlink" xfId="12824" builtinId="9" hidden="1"/>
    <cellStyle name="Followed Hyperlink" xfId="12102" builtinId="9" hidden="1"/>
    <cellStyle name="Followed Hyperlink" xfId="12134" builtinId="9" hidden="1"/>
    <cellStyle name="Followed Hyperlink" xfId="13660" builtinId="9" hidden="1"/>
    <cellStyle name="Followed Hyperlink" xfId="12012" builtinId="9" hidden="1"/>
    <cellStyle name="Followed Hyperlink" xfId="12098" builtinId="9" hidden="1"/>
    <cellStyle name="Followed Hyperlink" xfId="13163" builtinId="9" hidden="1"/>
    <cellStyle name="Followed Hyperlink" xfId="13827" builtinId="9" hidden="1"/>
    <cellStyle name="Followed Hyperlink" xfId="13829" builtinId="9" hidden="1"/>
    <cellStyle name="Followed Hyperlink" xfId="13831" builtinId="9" hidden="1"/>
    <cellStyle name="Followed Hyperlink" xfId="13833" builtinId="9" hidden="1"/>
    <cellStyle name="Followed Hyperlink" xfId="13835" builtinId="9" hidden="1"/>
    <cellStyle name="Followed Hyperlink" xfId="13837" builtinId="9" hidden="1"/>
    <cellStyle name="Followed Hyperlink" xfId="13887" builtinId="9" hidden="1"/>
    <cellStyle name="Followed Hyperlink" xfId="13889" builtinId="9" hidden="1"/>
    <cellStyle name="Followed Hyperlink" xfId="13891" builtinId="9" hidden="1"/>
    <cellStyle name="Followed Hyperlink" xfId="13893" builtinId="9" hidden="1"/>
    <cellStyle name="Followed Hyperlink" xfId="13862" builtinId="9" hidden="1"/>
    <cellStyle name="Followed Hyperlink" xfId="13851" builtinId="9" hidden="1"/>
    <cellStyle name="Followed Hyperlink" xfId="13895" builtinId="9" hidden="1"/>
    <cellStyle name="Followed Hyperlink" xfId="13897" builtinId="9" hidden="1"/>
    <cellStyle name="Followed Hyperlink" xfId="13899" builtinId="9" hidden="1"/>
    <cellStyle name="Followed Hyperlink" xfId="13901" builtinId="9" hidden="1"/>
    <cellStyle name="Followed Hyperlink" xfId="13845" builtinId="9" hidden="1"/>
    <cellStyle name="Followed Hyperlink" xfId="13848" builtinId="9" hidden="1"/>
    <cellStyle name="Followed Hyperlink" xfId="13903" builtinId="9" hidden="1"/>
    <cellStyle name="Followed Hyperlink" xfId="13905" builtinId="9" hidden="1"/>
    <cellStyle name="Followed Hyperlink" xfId="13907" builtinId="9" hidden="1"/>
    <cellStyle name="Followed Hyperlink" xfId="13909" builtinId="9" hidden="1"/>
    <cellStyle name="Followed Hyperlink" xfId="13863" builtinId="9" hidden="1"/>
    <cellStyle name="Followed Hyperlink" xfId="13876" builtinId="9" hidden="1"/>
    <cellStyle name="Followed Hyperlink" xfId="13911" builtinId="9" hidden="1"/>
    <cellStyle name="Followed Hyperlink" xfId="13913" builtinId="9" hidden="1"/>
    <cellStyle name="Followed Hyperlink" xfId="13915" builtinId="9" hidden="1"/>
    <cellStyle name="Followed Hyperlink" xfId="13917" builtinId="9" hidden="1"/>
    <cellStyle name="Followed Hyperlink" xfId="13875" builtinId="9" hidden="1"/>
    <cellStyle name="Followed Hyperlink" xfId="13842" builtinId="9" hidden="1"/>
    <cellStyle name="Followed Hyperlink" xfId="13919" builtinId="9" hidden="1"/>
    <cellStyle name="Followed Hyperlink" xfId="13921" builtinId="9" hidden="1"/>
    <cellStyle name="Followed Hyperlink" xfId="13923" builtinId="9" hidden="1"/>
    <cellStyle name="Followed Hyperlink" xfId="13925" builtinId="9" hidden="1"/>
    <cellStyle name="Followed Hyperlink" xfId="13847" builtinId="9" hidden="1"/>
    <cellStyle name="Followed Hyperlink" xfId="13878" builtinId="9" hidden="1"/>
    <cellStyle name="Followed Hyperlink" xfId="13927" builtinId="9" hidden="1"/>
    <cellStyle name="Followed Hyperlink" xfId="13929" builtinId="9" hidden="1"/>
    <cellStyle name="Followed Hyperlink" xfId="13931" builtinId="9" hidden="1"/>
    <cellStyle name="Followed Hyperlink" xfId="13933" builtinId="9" hidden="1"/>
    <cellStyle name="Followed Hyperlink" xfId="13881" builtinId="9" hidden="1"/>
    <cellStyle name="Followed Hyperlink" xfId="13846" builtinId="9" hidden="1"/>
    <cellStyle name="Followed Hyperlink" xfId="13935" builtinId="9" hidden="1"/>
    <cellStyle name="Followed Hyperlink" xfId="13937" builtinId="9" hidden="1"/>
    <cellStyle name="Followed Hyperlink" xfId="13939" builtinId="9" hidden="1"/>
    <cellStyle name="Followed Hyperlink" xfId="13941" builtinId="9" hidden="1"/>
    <cellStyle name="Followed Hyperlink" xfId="13873" builtinId="9" hidden="1"/>
    <cellStyle name="Followed Hyperlink" xfId="13853" builtinId="9" hidden="1"/>
    <cellStyle name="Followed Hyperlink" xfId="13943" builtinId="9" hidden="1"/>
    <cellStyle name="Followed Hyperlink" xfId="13945" builtinId="9" hidden="1"/>
    <cellStyle name="Followed Hyperlink" xfId="13947" builtinId="9" hidden="1"/>
    <cellStyle name="Followed Hyperlink" xfId="13949" builtinId="9" hidden="1"/>
    <cellStyle name="Followed Hyperlink" xfId="13855" builtinId="9" hidden="1"/>
    <cellStyle name="Followed Hyperlink" xfId="13877" builtinId="9" hidden="1"/>
    <cellStyle name="Followed Hyperlink" xfId="13951" builtinId="9" hidden="1"/>
    <cellStyle name="Followed Hyperlink" xfId="13953" builtinId="9" hidden="1"/>
    <cellStyle name="Followed Hyperlink" xfId="13955" builtinId="9" hidden="1"/>
    <cellStyle name="Followed Hyperlink" xfId="13957" builtinId="9" hidden="1"/>
    <cellStyle name="Followed Hyperlink" xfId="13870" builtinId="9" hidden="1"/>
    <cellStyle name="Followed Hyperlink" xfId="13850" builtinId="9" hidden="1"/>
    <cellStyle name="Followed Hyperlink" xfId="13959" builtinId="9" hidden="1"/>
    <cellStyle name="Followed Hyperlink" xfId="13961" builtinId="9" hidden="1"/>
    <cellStyle name="Followed Hyperlink" xfId="13963" builtinId="9" hidden="1"/>
    <cellStyle name="Followed Hyperlink" xfId="13965" builtinId="9" hidden="1"/>
    <cellStyle name="Followed Hyperlink" xfId="13861" builtinId="9" hidden="1"/>
    <cellStyle name="Followed Hyperlink" xfId="13885" builtinId="9" hidden="1"/>
    <cellStyle name="Followed Hyperlink" xfId="13967" builtinId="9" hidden="1"/>
    <cellStyle name="Followed Hyperlink" xfId="13969" builtinId="9" hidden="1"/>
    <cellStyle name="Followed Hyperlink" xfId="13971" builtinId="9" hidden="1"/>
    <cellStyle name="Followed Hyperlink" xfId="13973" builtinId="9" hidden="1"/>
    <cellStyle name="Followed Hyperlink" xfId="13859" builtinId="9" hidden="1"/>
    <cellStyle name="Followed Hyperlink" xfId="13858" builtinId="9" hidden="1"/>
    <cellStyle name="Followed Hyperlink" xfId="13975" builtinId="9" hidden="1"/>
    <cellStyle name="Followed Hyperlink" xfId="13977" builtinId="9" hidden="1"/>
    <cellStyle name="Followed Hyperlink" xfId="13979" builtinId="9" hidden="1"/>
    <cellStyle name="Followed Hyperlink" xfId="13981" builtinId="9" hidden="1"/>
    <cellStyle name="Followed Hyperlink" xfId="13857" builtinId="9" hidden="1"/>
    <cellStyle name="Followed Hyperlink" xfId="13879" builtinId="9" hidden="1"/>
    <cellStyle name="Followed Hyperlink" xfId="13983" builtinId="9" hidden="1"/>
    <cellStyle name="Followed Hyperlink" xfId="13985" builtinId="9" hidden="1"/>
    <cellStyle name="Followed Hyperlink" xfId="13987" builtinId="9" hidden="1"/>
    <cellStyle name="Followed Hyperlink" xfId="13989" builtinId="9" hidden="1"/>
    <cellStyle name="Followed Hyperlink" xfId="12092" builtinId="9" hidden="1"/>
    <cellStyle name="Followed Hyperlink" xfId="12993" builtinId="9" hidden="1"/>
    <cellStyle name="Followed Hyperlink" xfId="12147" builtinId="9" hidden="1"/>
    <cellStyle name="Followed Hyperlink" xfId="12136" builtinId="9" hidden="1"/>
    <cellStyle name="Followed Hyperlink" xfId="13825" builtinId="9" hidden="1"/>
    <cellStyle name="Followed Hyperlink" xfId="12113" builtinId="9" hidden="1"/>
    <cellStyle name="Followed Hyperlink" xfId="12014" builtinId="9" hidden="1"/>
    <cellStyle name="Followed Hyperlink" xfId="13330" builtinId="9" hidden="1"/>
    <cellStyle name="Followed Hyperlink" xfId="13991" builtinId="9" hidden="1"/>
    <cellStyle name="Followed Hyperlink" xfId="13993" builtinId="9" hidden="1"/>
    <cellStyle name="Followed Hyperlink" xfId="13995" builtinId="9" hidden="1"/>
    <cellStyle name="Followed Hyperlink" xfId="13997" builtinId="9" hidden="1"/>
    <cellStyle name="Followed Hyperlink" xfId="13999" builtinId="9" hidden="1"/>
    <cellStyle name="Followed Hyperlink" xfId="14001" builtinId="9" hidden="1"/>
    <cellStyle name="Followed Hyperlink" xfId="14051" builtinId="9" hidden="1"/>
    <cellStyle name="Followed Hyperlink" xfId="14053" builtinId="9" hidden="1"/>
    <cellStyle name="Followed Hyperlink" xfId="14055" builtinId="9" hidden="1"/>
    <cellStyle name="Followed Hyperlink" xfId="14057" builtinId="9" hidden="1"/>
    <cellStyle name="Followed Hyperlink" xfId="14026" builtinId="9" hidden="1"/>
    <cellStyle name="Followed Hyperlink" xfId="14015" builtinId="9" hidden="1"/>
    <cellStyle name="Followed Hyperlink" xfId="14059" builtinId="9" hidden="1"/>
    <cellStyle name="Followed Hyperlink" xfId="14061" builtinId="9" hidden="1"/>
    <cellStyle name="Followed Hyperlink" xfId="14063" builtinId="9" hidden="1"/>
    <cellStyle name="Followed Hyperlink" xfId="14065" builtinId="9" hidden="1"/>
    <cellStyle name="Followed Hyperlink" xfId="14009" builtinId="9" hidden="1"/>
    <cellStyle name="Followed Hyperlink" xfId="14012" builtinId="9" hidden="1"/>
    <cellStyle name="Followed Hyperlink" xfId="14067" builtinId="9" hidden="1"/>
    <cellStyle name="Followed Hyperlink" xfId="14069" builtinId="9" hidden="1"/>
    <cellStyle name="Followed Hyperlink" xfId="14071" builtinId="9" hidden="1"/>
    <cellStyle name="Followed Hyperlink" xfId="14073" builtinId="9" hidden="1"/>
    <cellStyle name="Followed Hyperlink" xfId="14027" builtinId="9" hidden="1"/>
    <cellStyle name="Followed Hyperlink" xfId="14040" builtinId="9" hidden="1"/>
    <cellStyle name="Followed Hyperlink" xfId="14075" builtinId="9" hidden="1"/>
    <cellStyle name="Followed Hyperlink" xfId="14077" builtinId="9" hidden="1"/>
    <cellStyle name="Followed Hyperlink" xfId="14079" builtinId="9" hidden="1"/>
    <cellStyle name="Followed Hyperlink" xfId="14081" builtinId="9" hidden="1"/>
    <cellStyle name="Followed Hyperlink" xfId="14039" builtinId="9" hidden="1"/>
    <cellStyle name="Followed Hyperlink" xfId="14006" builtinId="9" hidden="1"/>
    <cellStyle name="Followed Hyperlink" xfId="14083" builtinId="9" hidden="1"/>
    <cellStyle name="Followed Hyperlink" xfId="14085" builtinId="9" hidden="1"/>
    <cellStyle name="Followed Hyperlink" xfId="14087" builtinId="9" hidden="1"/>
    <cellStyle name="Followed Hyperlink" xfId="14089" builtinId="9" hidden="1"/>
    <cellStyle name="Followed Hyperlink" xfId="14011" builtinId="9" hidden="1"/>
    <cellStyle name="Followed Hyperlink" xfId="14042" builtinId="9" hidden="1"/>
    <cellStyle name="Followed Hyperlink" xfId="14091" builtinId="9" hidden="1"/>
    <cellStyle name="Followed Hyperlink" xfId="14093" builtinId="9" hidden="1"/>
    <cellStyle name="Followed Hyperlink" xfId="14095" builtinId="9" hidden="1"/>
    <cellStyle name="Followed Hyperlink" xfId="14097" builtinId="9" hidden="1"/>
    <cellStyle name="Followed Hyperlink" xfId="14045" builtinId="9" hidden="1"/>
    <cellStyle name="Followed Hyperlink" xfId="14010" builtinId="9" hidden="1"/>
    <cellStyle name="Followed Hyperlink" xfId="14099" builtinId="9" hidden="1"/>
    <cellStyle name="Followed Hyperlink" xfId="14101" builtinId="9" hidden="1"/>
    <cellStyle name="Followed Hyperlink" xfId="14103" builtinId="9" hidden="1"/>
    <cellStyle name="Followed Hyperlink" xfId="14105" builtinId="9" hidden="1"/>
    <cellStyle name="Followed Hyperlink" xfId="14037" builtinId="9" hidden="1"/>
    <cellStyle name="Followed Hyperlink" xfId="14017" builtinId="9" hidden="1"/>
    <cellStyle name="Followed Hyperlink" xfId="14107" builtinId="9" hidden="1"/>
    <cellStyle name="Followed Hyperlink" xfId="14109" builtinId="9" hidden="1"/>
    <cellStyle name="Followed Hyperlink" xfId="14111" builtinId="9" hidden="1"/>
    <cellStyle name="Followed Hyperlink" xfId="14113" builtinId="9" hidden="1"/>
    <cellStyle name="Followed Hyperlink" xfId="14019" builtinId="9" hidden="1"/>
    <cellStyle name="Followed Hyperlink" xfId="14041" builtinId="9" hidden="1"/>
    <cellStyle name="Followed Hyperlink" xfId="14115" builtinId="9" hidden="1"/>
    <cellStyle name="Followed Hyperlink" xfId="14117" builtinId="9" hidden="1"/>
    <cellStyle name="Followed Hyperlink" xfId="14119" builtinId="9" hidden="1"/>
    <cellStyle name="Followed Hyperlink" xfId="14121" builtinId="9" hidden="1"/>
    <cellStyle name="Followed Hyperlink" xfId="14034" builtinId="9" hidden="1"/>
    <cellStyle name="Followed Hyperlink" xfId="14014" builtinId="9" hidden="1"/>
    <cellStyle name="Followed Hyperlink" xfId="14123" builtinId="9" hidden="1"/>
    <cellStyle name="Followed Hyperlink" xfId="14125" builtinId="9" hidden="1"/>
    <cellStyle name="Followed Hyperlink" xfId="14127" builtinId="9" hidden="1"/>
    <cellStyle name="Followed Hyperlink" xfId="14129" builtinId="9" hidden="1"/>
    <cellStyle name="Followed Hyperlink" xfId="14025" builtinId="9" hidden="1"/>
    <cellStyle name="Followed Hyperlink" xfId="14049" builtinId="9" hidden="1"/>
    <cellStyle name="Followed Hyperlink" xfId="14131" builtinId="9" hidden="1"/>
    <cellStyle name="Followed Hyperlink" xfId="14133" builtinId="9" hidden="1"/>
    <cellStyle name="Followed Hyperlink" xfId="14135" builtinId="9" hidden="1"/>
    <cellStyle name="Followed Hyperlink" xfId="14137" builtinId="9" hidden="1"/>
    <cellStyle name="Followed Hyperlink" xfId="14023" builtinId="9" hidden="1"/>
    <cellStyle name="Followed Hyperlink" xfId="14022" builtinId="9" hidden="1"/>
    <cellStyle name="Followed Hyperlink" xfId="14139" builtinId="9" hidden="1"/>
    <cellStyle name="Followed Hyperlink" xfId="14141" builtinId="9" hidden="1"/>
    <cellStyle name="Followed Hyperlink" xfId="14143" builtinId="9" hidden="1"/>
    <cellStyle name="Followed Hyperlink" xfId="14145" builtinId="9" hidden="1"/>
    <cellStyle name="Followed Hyperlink" xfId="14021" builtinId="9" hidden="1"/>
    <cellStyle name="Followed Hyperlink" xfId="14043" builtinId="9" hidden="1"/>
    <cellStyle name="Followed Hyperlink" xfId="14147" builtinId="9" hidden="1"/>
    <cellStyle name="Followed Hyperlink" xfId="14149" builtinId="9" hidden="1"/>
    <cellStyle name="Followed Hyperlink" xfId="14151" builtinId="9" hidden="1"/>
    <cellStyle name="Followed Hyperlink" xfId="14153" builtinId="9" hidden="1"/>
    <cellStyle name="Followed Hyperlink" xfId="2495" builtinId="9" hidden="1"/>
    <cellStyle name="Followed Hyperlink" xfId="9506" builtinId="9" hidden="1"/>
    <cellStyle name="Followed Hyperlink" xfId="9505" builtinId="9" hidden="1"/>
    <cellStyle name="Followed Hyperlink" xfId="2516" builtinId="9" hidden="1"/>
    <cellStyle name="Followed Hyperlink" xfId="2507" builtinId="9" hidden="1"/>
    <cellStyle name="Followed Hyperlink" xfId="2498" builtinId="9" hidden="1"/>
    <cellStyle name="Followed Hyperlink" xfId="11830" builtinId="9" hidden="1"/>
    <cellStyle name="Followed Hyperlink" xfId="2450" builtinId="9" hidden="1"/>
    <cellStyle name="Followed Hyperlink" xfId="2489" builtinId="9" hidden="1"/>
    <cellStyle name="Followed Hyperlink" xfId="2413" builtinId="9" hidden="1"/>
    <cellStyle name="Followed Hyperlink" xfId="7177" builtinId="9" hidden="1"/>
    <cellStyle name="Followed Hyperlink" xfId="2412" builtinId="9" hidden="1"/>
    <cellStyle name="Followed Hyperlink" xfId="2520" builtinId="9" hidden="1"/>
    <cellStyle name="Followed Hyperlink" xfId="2451" builtinId="9" hidden="1"/>
    <cellStyle name="Followed Hyperlink" xfId="14155" builtinId="9" hidden="1"/>
    <cellStyle name="Followed Hyperlink" xfId="14157" builtinId="9" hidden="1"/>
    <cellStyle name="Followed Hyperlink" xfId="14159" builtinId="9" hidden="1"/>
    <cellStyle name="Followed Hyperlink" xfId="14161" builtinId="9" hidden="1"/>
    <cellStyle name="Followed Hyperlink" xfId="14163" builtinId="9" hidden="1"/>
    <cellStyle name="Followed Hyperlink" xfId="14165" builtinId="9" hidden="1"/>
    <cellStyle name="Followed Hyperlink" xfId="14215" builtinId="9" hidden="1"/>
    <cellStyle name="Followed Hyperlink" xfId="14217" builtinId="9" hidden="1"/>
    <cellStyle name="Followed Hyperlink" xfId="14219" builtinId="9" hidden="1"/>
    <cellStyle name="Followed Hyperlink" xfId="14221" builtinId="9" hidden="1"/>
    <cellStyle name="Followed Hyperlink" xfId="14190" builtinId="9" hidden="1"/>
    <cellStyle name="Followed Hyperlink" xfId="14179" builtinId="9" hidden="1"/>
    <cellStyle name="Followed Hyperlink" xfId="14223" builtinId="9" hidden="1"/>
    <cellStyle name="Followed Hyperlink" xfId="14225" builtinId="9" hidden="1"/>
    <cellStyle name="Followed Hyperlink" xfId="14227" builtinId="9" hidden="1"/>
    <cellStyle name="Followed Hyperlink" xfId="14229" builtinId="9" hidden="1"/>
    <cellStyle name="Followed Hyperlink" xfId="14173" builtinId="9" hidden="1"/>
    <cellStyle name="Followed Hyperlink" xfId="14176" builtinId="9" hidden="1"/>
    <cellStyle name="Followed Hyperlink" xfId="14231" builtinId="9" hidden="1"/>
    <cellStyle name="Followed Hyperlink" xfId="14233" builtinId="9" hidden="1"/>
    <cellStyle name="Followed Hyperlink" xfId="14235" builtinId="9" hidden="1"/>
    <cellStyle name="Followed Hyperlink" xfId="14237" builtinId="9" hidden="1"/>
    <cellStyle name="Followed Hyperlink" xfId="14191" builtinId="9" hidden="1"/>
    <cellStyle name="Followed Hyperlink" xfId="14204" builtinId="9" hidden="1"/>
    <cellStyle name="Followed Hyperlink" xfId="14239" builtinId="9" hidden="1"/>
    <cellStyle name="Followed Hyperlink" xfId="14241" builtinId="9" hidden="1"/>
    <cellStyle name="Followed Hyperlink" xfId="14243" builtinId="9" hidden="1"/>
    <cellStyle name="Followed Hyperlink" xfId="14245" builtinId="9" hidden="1"/>
    <cellStyle name="Followed Hyperlink" xfId="14203" builtinId="9" hidden="1"/>
    <cellStyle name="Followed Hyperlink" xfId="14170" builtinId="9" hidden="1"/>
    <cellStyle name="Followed Hyperlink" xfId="14247" builtinId="9" hidden="1"/>
    <cellStyle name="Followed Hyperlink" xfId="14249" builtinId="9" hidden="1"/>
    <cellStyle name="Followed Hyperlink" xfId="14251" builtinId="9" hidden="1"/>
    <cellStyle name="Followed Hyperlink" xfId="14253" builtinId="9" hidden="1"/>
    <cellStyle name="Followed Hyperlink" xfId="14175" builtinId="9" hidden="1"/>
    <cellStyle name="Followed Hyperlink" xfId="14206" builtinId="9" hidden="1"/>
    <cellStyle name="Followed Hyperlink" xfId="14255" builtinId="9" hidden="1"/>
    <cellStyle name="Followed Hyperlink" xfId="14257" builtinId="9" hidden="1"/>
    <cellStyle name="Followed Hyperlink" xfId="14259" builtinId="9" hidden="1"/>
    <cellStyle name="Followed Hyperlink" xfId="14261" builtinId="9" hidden="1"/>
    <cellStyle name="Followed Hyperlink" xfId="14209" builtinId="9" hidden="1"/>
    <cellStyle name="Followed Hyperlink" xfId="14174" builtinId="9" hidden="1"/>
    <cellStyle name="Followed Hyperlink" xfId="14263" builtinId="9" hidden="1"/>
    <cellStyle name="Followed Hyperlink" xfId="14265" builtinId="9" hidden="1"/>
    <cellStyle name="Followed Hyperlink" xfId="14267" builtinId="9" hidden="1"/>
    <cellStyle name="Followed Hyperlink" xfId="14269" builtinId="9" hidden="1"/>
    <cellStyle name="Followed Hyperlink" xfId="14201" builtinId="9" hidden="1"/>
    <cellStyle name="Followed Hyperlink" xfId="14181" builtinId="9" hidden="1"/>
    <cellStyle name="Followed Hyperlink" xfId="14271" builtinId="9" hidden="1"/>
    <cellStyle name="Followed Hyperlink" xfId="14273" builtinId="9" hidden="1"/>
    <cellStyle name="Followed Hyperlink" xfId="14275" builtinId="9" hidden="1"/>
    <cellStyle name="Followed Hyperlink" xfId="14277" builtinId="9" hidden="1"/>
    <cellStyle name="Followed Hyperlink" xfId="14183" builtinId="9" hidden="1"/>
    <cellStyle name="Followed Hyperlink" xfId="14205" builtinId="9" hidden="1"/>
    <cellStyle name="Followed Hyperlink" xfId="14279" builtinId="9" hidden="1"/>
    <cellStyle name="Followed Hyperlink" xfId="14281" builtinId="9" hidden="1"/>
    <cellStyle name="Followed Hyperlink" xfId="14283" builtinId="9" hidden="1"/>
    <cellStyle name="Followed Hyperlink" xfId="14285" builtinId="9" hidden="1"/>
    <cellStyle name="Followed Hyperlink" xfId="14198" builtinId="9" hidden="1"/>
    <cellStyle name="Followed Hyperlink" xfId="14178" builtinId="9" hidden="1"/>
    <cellStyle name="Followed Hyperlink" xfId="14287" builtinId="9" hidden="1"/>
    <cellStyle name="Followed Hyperlink" xfId="14289" builtinId="9" hidden="1"/>
    <cellStyle name="Followed Hyperlink" xfId="14291" builtinId="9" hidden="1"/>
    <cellStyle name="Followed Hyperlink" xfId="14293" builtinId="9" hidden="1"/>
    <cellStyle name="Followed Hyperlink" xfId="14189" builtinId="9" hidden="1"/>
    <cellStyle name="Followed Hyperlink" xfId="14213" builtinId="9" hidden="1"/>
    <cellStyle name="Followed Hyperlink" xfId="14295" builtinId="9" hidden="1"/>
    <cellStyle name="Followed Hyperlink" xfId="14297" builtinId="9" hidden="1"/>
    <cellStyle name="Followed Hyperlink" xfId="14299" builtinId="9" hidden="1"/>
    <cellStyle name="Followed Hyperlink" xfId="14301" builtinId="9" hidden="1"/>
    <cellStyle name="Followed Hyperlink" xfId="14187" builtinId="9" hidden="1"/>
    <cellStyle name="Followed Hyperlink" xfId="14186" builtinId="9" hidden="1"/>
    <cellStyle name="Followed Hyperlink" xfId="14303" builtinId="9" hidden="1"/>
    <cellStyle name="Followed Hyperlink" xfId="14305" builtinId="9" hidden="1"/>
    <cellStyle name="Followed Hyperlink" xfId="14307" builtinId="9" hidden="1"/>
    <cellStyle name="Followed Hyperlink" xfId="14309" builtinId="9" hidden="1"/>
    <cellStyle name="Followed Hyperlink" xfId="14185" builtinId="9" hidden="1"/>
    <cellStyle name="Followed Hyperlink" xfId="14207" builtinId="9" hidden="1"/>
    <cellStyle name="Followed Hyperlink" xfId="14311" builtinId="9" hidden="1"/>
    <cellStyle name="Followed Hyperlink" xfId="14313" builtinId="9" hidden="1"/>
    <cellStyle name="Followed Hyperlink" xfId="14315" builtinId="9" hidden="1"/>
    <cellStyle name="Followed Hyperlink" xfId="14317" builtinId="9" hidden="1"/>
    <cellStyle name="Followed Hyperlink" xfId="14319" builtinId="9" hidden="1"/>
    <cellStyle name="Followed Hyperlink" xfId="14321" builtinId="9" hidden="1"/>
    <cellStyle name="Followed Hyperlink" xfId="14387" builtinId="9" hidden="1"/>
    <cellStyle name="Followed Hyperlink" xfId="14389" builtinId="9" hidden="1"/>
    <cellStyle name="Followed Hyperlink" xfId="14391" builtinId="9" hidden="1"/>
    <cellStyle name="Followed Hyperlink" xfId="14393" builtinId="9" hidden="1"/>
    <cellStyle name="Followed Hyperlink" xfId="14396" builtinId="9" hidden="1"/>
    <cellStyle name="Followed Hyperlink" xfId="14398" builtinId="9" hidden="1"/>
    <cellStyle name="Followed Hyperlink" xfId="14472" builtinId="9" hidden="1"/>
    <cellStyle name="Followed Hyperlink" xfId="14474" builtinId="9" hidden="1"/>
    <cellStyle name="Followed Hyperlink" xfId="14476" builtinId="9" hidden="1"/>
    <cellStyle name="Followed Hyperlink" xfId="14478" builtinId="9" hidden="1"/>
    <cellStyle name="Followed Hyperlink" xfId="14480" builtinId="9" hidden="1"/>
    <cellStyle name="Followed Hyperlink" xfId="14482" builtinId="9" hidden="1"/>
    <cellStyle name="Followed Hyperlink" xfId="14532" builtinId="9" hidden="1"/>
    <cellStyle name="Followed Hyperlink" xfId="14534" builtinId="9" hidden="1"/>
    <cellStyle name="Followed Hyperlink" xfId="14536" builtinId="9" hidden="1"/>
    <cellStyle name="Followed Hyperlink" xfId="14538" builtinId="9" hidden="1"/>
    <cellStyle name="Followed Hyperlink" xfId="14507" builtinId="9" hidden="1"/>
    <cellStyle name="Followed Hyperlink" xfId="14496" builtinId="9" hidden="1"/>
    <cellStyle name="Followed Hyperlink" xfId="14540" builtinId="9" hidden="1"/>
    <cellStyle name="Followed Hyperlink" xfId="14542" builtinId="9" hidden="1"/>
    <cellStyle name="Followed Hyperlink" xfId="14544" builtinId="9" hidden="1"/>
    <cellStyle name="Followed Hyperlink" xfId="14546" builtinId="9" hidden="1"/>
    <cellStyle name="Followed Hyperlink" xfId="14490" builtinId="9" hidden="1"/>
    <cellStyle name="Followed Hyperlink" xfId="14493" builtinId="9" hidden="1"/>
    <cellStyle name="Followed Hyperlink" xfId="14548" builtinId="9" hidden="1"/>
    <cellStyle name="Followed Hyperlink" xfId="14550" builtinId="9" hidden="1"/>
    <cellStyle name="Followed Hyperlink" xfId="14552" builtinId="9" hidden="1"/>
    <cellStyle name="Followed Hyperlink" xfId="14554" builtinId="9" hidden="1"/>
    <cellStyle name="Followed Hyperlink" xfId="14508" builtinId="9" hidden="1"/>
    <cellStyle name="Followed Hyperlink" xfId="14521" builtinId="9" hidden="1"/>
    <cellStyle name="Followed Hyperlink" xfId="14556" builtinId="9" hidden="1"/>
    <cellStyle name="Followed Hyperlink" xfId="14558" builtinId="9" hidden="1"/>
    <cellStyle name="Followed Hyperlink" xfId="14560" builtinId="9" hidden="1"/>
    <cellStyle name="Followed Hyperlink" xfId="14562" builtinId="9" hidden="1"/>
    <cellStyle name="Followed Hyperlink" xfId="14520" builtinId="9" hidden="1"/>
    <cellStyle name="Followed Hyperlink" xfId="14487" builtinId="9" hidden="1"/>
    <cellStyle name="Followed Hyperlink" xfId="14564" builtinId="9" hidden="1"/>
    <cellStyle name="Followed Hyperlink" xfId="14566" builtinId="9" hidden="1"/>
    <cellStyle name="Followed Hyperlink" xfId="14568" builtinId="9" hidden="1"/>
    <cellStyle name="Followed Hyperlink" xfId="14570" builtinId="9" hidden="1"/>
    <cellStyle name="Followed Hyperlink" xfId="14492" builtinId="9" hidden="1"/>
    <cellStyle name="Followed Hyperlink" xfId="14523" builtinId="9" hidden="1"/>
    <cellStyle name="Followed Hyperlink" xfId="14572" builtinId="9" hidden="1"/>
    <cellStyle name="Followed Hyperlink" xfId="14574" builtinId="9" hidden="1"/>
    <cellStyle name="Followed Hyperlink" xfId="14576" builtinId="9" hidden="1"/>
    <cellStyle name="Followed Hyperlink" xfId="14578" builtinId="9" hidden="1"/>
    <cellStyle name="Followed Hyperlink" xfId="14526" builtinId="9" hidden="1"/>
    <cellStyle name="Followed Hyperlink" xfId="14491" builtinId="9" hidden="1"/>
    <cellStyle name="Followed Hyperlink" xfId="14580" builtinId="9" hidden="1"/>
    <cellStyle name="Followed Hyperlink" xfId="14582" builtinId="9" hidden="1"/>
    <cellStyle name="Followed Hyperlink" xfId="14584" builtinId="9" hidden="1"/>
    <cellStyle name="Followed Hyperlink" xfId="14586" builtinId="9" hidden="1"/>
    <cellStyle name="Followed Hyperlink" xfId="14518" builtinId="9" hidden="1"/>
    <cellStyle name="Followed Hyperlink" xfId="14498" builtinId="9" hidden="1"/>
    <cellStyle name="Followed Hyperlink" xfId="14588" builtinId="9" hidden="1"/>
    <cellStyle name="Followed Hyperlink" xfId="14590" builtinId="9" hidden="1"/>
    <cellStyle name="Followed Hyperlink" xfId="14592" builtinId="9" hidden="1"/>
    <cellStyle name="Followed Hyperlink" xfId="14594" builtinId="9" hidden="1"/>
    <cellStyle name="Followed Hyperlink" xfId="14500" builtinId="9" hidden="1"/>
    <cellStyle name="Followed Hyperlink" xfId="14522" builtinId="9" hidden="1"/>
    <cellStyle name="Followed Hyperlink" xfId="14596" builtinId="9" hidden="1"/>
    <cellStyle name="Followed Hyperlink" xfId="14598" builtinId="9" hidden="1"/>
    <cellStyle name="Followed Hyperlink" xfId="14600" builtinId="9" hidden="1"/>
    <cellStyle name="Followed Hyperlink" xfId="14602" builtinId="9" hidden="1"/>
    <cellStyle name="Followed Hyperlink" xfId="14515" builtinId="9" hidden="1"/>
    <cellStyle name="Followed Hyperlink" xfId="14495" builtinId="9" hidden="1"/>
    <cellStyle name="Followed Hyperlink" xfId="14604" builtinId="9" hidden="1"/>
    <cellStyle name="Followed Hyperlink" xfId="14606" builtinId="9" hidden="1"/>
    <cellStyle name="Followed Hyperlink" xfId="14608" builtinId="9" hidden="1"/>
    <cellStyle name="Followed Hyperlink" xfId="14610" builtinId="9" hidden="1"/>
    <cellStyle name="Followed Hyperlink" xfId="14506" builtinId="9" hidden="1"/>
    <cellStyle name="Followed Hyperlink" xfId="14530" builtinId="9" hidden="1"/>
    <cellStyle name="Followed Hyperlink" xfId="14612" builtinId="9" hidden="1"/>
    <cellStyle name="Followed Hyperlink" xfId="14614" builtinId="9" hidden="1"/>
    <cellStyle name="Followed Hyperlink" xfId="14616" builtinId="9" hidden="1"/>
    <cellStyle name="Followed Hyperlink" xfId="14618" builtinId="9" hidden="1"/>
    <cellStyle name="Followed Hyperlink" xfId="14504" builtinId="9" hidden="1"/>
    <cellStyle name="Followed Hyperlink" xfId="14503" builtinId="9" hidden="1"/>
    <cellStyle name="Followed Hyperlink" xfId="14620" builtinId="9" hidden="1"/>
    <cellStyle name="Followed Hyperlink" xfId="14622" builtinId="9" hidden="1"/>
    <cellStyle name="Followed Hyperlink" xfId="14624" builtinId="9" hidden="1"/>
    <cellStyle name="Followed Hyperlink" xfId="14626" builtinId="9" hidden="1"/>
    <cellStyle name="Followed Hyperlink" xfId="14502" builtinId="9" hidden="1"/>
    <cellStyle name="Followed Hyperlink" xfId="14524" builtinId="9" hidden="1"/>
    <cellStyle name="Followed Hyperlink" xfId="14628" builtinId="9" hidden="1"/>
    <cellStyle name="Followed Hyperlink" xfId="14630" builtinId="9" hidden="1"/>
    <cellStyle name="Followed Hyperlink" xfId="14632" builtinId="9" hidden="1"/>
    <cellStyle name="Followed Hyperlink" xfId="14634" builtinId="9" hidden="1"/>
    <cellStyle name="Followed Hyperlink" xfId="14411" builtinId="9" hidden="1"/>
    <cellStyle name="Followed Hyperlink" xfId="14358" builtinId="9" hidden="1"/>
    <cellStyle name="Followed Hyperlink" xfId="14413" builtinId="9" hidden="1"/>
    <cellStyle name="Followed Hyperlink" xfId="14364" builtinId="9" hidden="1"/>
    <cellStyle name="Followed Hyperlink" xfId="14469" builtinId="9" hidden="1"/>
    <cellStyle name="Followed Hyperlink" xfId="14349" builtinId="9" hidden="1"/>
    <cellStyle name="Followed Hyperlink" xfId="14402" builtinId="9" hidden="1"/>
    <cellStyle name="Followed Hyperlink" xfId="14352" builtinId="9" hidden="1"/>
    <cellStyle name="Followed Hyperlink" xfId="14639" builtinId="9" hidden="1"/>
    <cellStyle name="Followed Hyperlink" xfId="14641" builtinId="9" hidden="1"/>
    <cellStyle name="Followed Hyperlink" xfId="14643" builtinId="9" hidden="1"/>
    <cellStyle name="Followed Hyperlink" xfId="14645" builtinId="9" hidden="1"/>
    <cellStyle name="Followed Hyperlink" xfId="14648" builtinId="9" hidden="1"/>
    <cellStyle name="Followed Hyperlink" xfId="14650" builtinId="9" hidden="1"/>
    <cellStyle name="Followed Hyperlink" xfId="14700" builtinId="9" hidden="1"/>
    <cellStyle name="Followed Hyperlink" xfId="14702" builtinId="9" hidden="1"/>
    <cellStyle name="Followed Hyperlink" xfId="14704" builtinId="9" hidden="1"/>
    <cellStyle name="Followed Hyperlink" xfId="14706" builtinId="9" hidden="1"/>
    <cellStyle name="Followed Hyperlink" xfId="14675" builtinId="9" hidden="1"/>
    <cellStyle name="Followed Hyperlink" xfId="14664" builtinId="9" hidden="1"/>
    <cellStyle name="Followed Hyperlink" xfId="14708" builtinId="9" hidden="1"/>
    <cellStyle name="Followed Hyperlink" xfId="14710" builtinId="9" hidden="1"/>
    <cellStyle name="Followed Hyperlink" xfId="14712" builtinId="9" hidden="1"/>
    <cellStyle name="Followed Hyperlink" xfId="14714" builtinId="9" hidden="1"/>
    <cellStyle name="Followed Hyperlink" xfId="14658" builtinId="9" hidden="1"/>
    <cellStyle name="Followed Hyperlink" xfId="14661" builtinId="9" hidden="1"/>
    <cellStyle name="Followed Hyperlink" xfId="14716" builtinId="9" hidden="1"/>
    <cellStyle name="Followed Hyperlink" xfId="14718" builtinId="9" hidden="1"/>
    <cellStyle name="Followed Hyperlink" xfId="14720" builtinId="9" hidden="1"/>
    <cellStyle name="Followed Hyperlink" xfId="14722" builtinId="9" hidden="1"/>
    <cellStyle name="Followed Hyperlink" xfId="14676" builtinId="9" hidden="1"/>
    <cellStyle name="Followed Hyperlink" xfId="14689" builtinId="9" hidden="1"/>
    <cellStyle name="Followed Hyperlink" xfId="14724" builtinId="9" hidden="1"/>
    <cellStyle name="Followed Hyperlink" xfId="14726" builtinId="9" hidden="1"/>
    <cellStyle name="Followed Hyperlink" xfId="14728" builtinId="9" hidden="1"/>
    <cellStyle name="Followed Hyperlink" xfId="14730" builtinId="9" hidden="1"/>
    <cellStyle name="Followed Hyperlink" xfId="14688" builtinId="9" hidden="1"/>
    <cellStyle name="Followed Hyperlink" xfId="14655" builtinId="9" hidden="1"/>
    <cellStyle name="Followed Hyperlink" xfId="14732" builtinId="9" hidden="1"/>
    <cellStyle name="Followed Hyperlink" xfId="14734" builtinId="9" hidden="1"/>
    <cellStyle name="Followed Hyperlink" xfId="14736" builtinId="9" hidden="1"/>
    <cellStyle name="Followed Hyperlink" xfId="14738" builtinId="9" hidden="1"/>
    <cellStyle name="Followed Hyperlink" xfId="14660" builtinId="9" hidden="1"/>
    <cellStyle name="Followed Hyperlink" xfId="14691" builtinId="9" hidden="1"/>
    <cellStyle name="Followed Hyperlink" xfId="14740" builtinId="9" hidden="1"/>
    <cellStyle name="Followed Hyperlink" xfId="14742" builtinId="9" hidden="1"/>
    <cellStyle name="Followed Hyperlink" xfId="14744" builtinId="9" hidden="1"/>
    <cellStyle name="Followed Hyperlink" xfId="14746" builtinId="9" hidden="1"/>
    <cellStyle name="Followed Hyperlink" xfId="14694" builtinId="9" hidden="1"/>
    <cellStyle name="Followed Hyperlink" xfId="14659" builtinId="9" hidden="1"/>
    <cellStyle name="Followed Hyperlink" xfId="14748" builtinId="9" hidden="1"/>
    <cellStyle name="Followed Hyperlink" xfId="14750" builtinId="9" hidden="1"/>
    <cellStyle name="Followed Hyperlink" xfId="14752" builtinId="9" hidden="1"/>
    <cellStyle name="Followed Hyperlink" xfId="14754" builtinId="9" hidden="1"/>
    <cellStyle name="Followed Hyperlink" xfId="14686" builtinId="9" hidden="1"/>
    <cellStyle name="Followed Hyperlink" xfId="14666" builtinId="9" hidden="1"/>
    <cellStyle name="Followed Hyperlink" xfId="14756" builtinId="9" hidden="1"/>
    <cellStyle name="Followed Hyperlink" xfId="14758" builtinId="9" hidden="1"/>
    <cellStyle name="Followed Hyperlink" xfId="14760" builtinId="9" hidden="1"/>
    <cellStyle name="Followed Hyperlink" xfId="14762" builtinId="9" hidden="1"/>
    <cellStyle name="Followed Hyperlink" xfId="14668" builtinId="9" hidden="1"/>
    <cellStyle name="Followed Hyperlink" xfId="14690" builtinId="9" hidden="1"/>
    <cellStyle name="Followed Hyperlink" xfId="14764" builtinId="9" hidden="1"/>
    <cellStyle name="Followed Hyperlink" xfId="14766" builtinId="9" hidden="1"/>
    <cellStyle name="Followed Hyperlink" xfId="14768" builtinId="9" hidden="1"/>
    <cellStyle name="Followed Hyperlink" xfId="14770" builtinId="9" hidden="1"/>
    <cellStyle name="Followed Hyperlink" xfId="14683" builtinId="9" hidden="1"/>
    <cellStyle name="Followed Hyperlink" xfId="14663" builtinId="9" hidden="1"/>
    <cellStyle name="Followed Hyperlink" xfId="14772" builtinId="9" hidden="1"/>
    <cellStyle name="Followed Hyperlink" xfId="14774" builtinId="9" hidden="1"/>
    <cellStyle name="Followed Hyperlink" xfId="14776" builtinId="9" hidden="1"/>
    <cellStyle name="Followed Hyperlink" xfId="14778" builtinId="9" hidden="1"/>
    <cellStyle name="Followed Hyperlink" xfId="14674" builtinId="9" hidden="1"/>
    <cellStyle name="Followed Hyperlink" xfId="14698" builtinId="9" hidden="1"/>
    <cellStyle name="Followed Hyperlink" xfId="14780" builtinId="9" hidden="1"/>
    <cellStyle name="Followed Hyperlink" xfId="14782" builtinId="9" hidden="1"/>
    <cellStyle name="Followed Hyperlink" xfId="14784" builtinId="9" hidden="1"/>
    <cellStyle name="Followed Hyperlink" xfId="14786" builtinId="9" hidden="1"/>
    <cellStyle name="Followed Hyperlink" xfId="14672" builtinId="9" hidden="1"/>
    <cellStyle name="Followed Hyperlink" xfId="14671" builtinId="9" hidden="1"/>
    <cellStyle name="Followed Hyperlink" xfId="14788" builtinId="9" hidden="1"/>
    <cellStyle name="Followed Hyperlink" xfId="14790" builtinId="9" hidden="1"/>
    <cellStyle name="Followed Hyperlink" xfId="14792" builtinId="9" hidden="1"/>
    <cellStyle name="Followed Hyperlink" xfId="14794" builtinId="9" hidden="1"/>
    <cellStyle name="Followed Hyperlink" xfId="14670" builtinId="9" hidden="1"/>
    <cellStyle name="Followed Hyperlink" xfId="14692" builtinId="9" hidden="1"/>
    <cellStyle name="Followed Hyperlink" xfId="14796" builtinId="9" hidden="1"/>
    <cellStyle name="Followed Hyperlink" xfId="14798" builtinId="9" hidden="1"/>
    <cellStyle name="Followed Hyperlink" xfId="14800" builtinId="9" hidden="1"/>
    <cellStyle name="Followed Hyperlink" xfId="14802" builtinId="9" hidden="1"/>
    <cellStyle name="Followed Hyperlink" xfId="2531" builtinId="9" hidden="1"/>
    <cellStyle name="Followed Hyperlink" xfId="14452" builtinId="9" hidden="1"/>
    <cellStyle name="Followed Hyperlink" xfId="14637" builtinId="9" hidden="1"/>
    <cellStyle name="Followed Hyperlink" xfId="14350" builtinId="9" hidden="1"/>
    <cellStyle name="Followed Hyperlink" xfId="14407" builtinId="9" hidden="1"/>
    <cellStyle name="Followed Hyperlink" xfId="14363" builtinId="9" hidden="1"/>
    <cellStyle name="Followed Hyperlink" xfId="14399" builtinId="9" hidden="1"/>
    <cellStyle name="Followed Hyperlink" xfId="14380" builtinId="9" hidden="1"/>
    <cellStyle name="Followed Hyperlink" xfId="14813" builtinId="9" hidden="1"/>
    <cellStyle name="Followed Hyperlink" xfId="14815" builtinId="9" hidden="1"/>
    <cellStyle name="Followed Hyperlink" xfId="14817" builtinId="9" hidden="1"/>
    <cellStyle name="Followed Hyperlink" xfId="14819" builtinId="9" hidden="1"/>
    <cellStyle name="Followed Hyperlink" xfId="14821" builtinId="9" hidden="1"/>
    <cellStyle name="Followed Hyperlink" xfId="14823" builtinId="9" hidden="1"/>
    <cellStyle name="Followed Hyperlink" xfId="14873" builtinId="9" hidden="1"/>
    <cellStyle name="Followed Hyperlink" xfId="14875" builtinId="9" hidden="1"/>
    <cellStyle name="Followed Hyperlink" xfId="14877" builtinId="9" hidden="1"/>
    <cellStyle name="Followed Hyperlink" xfId="14879" builtinId="9" hidden="1"/>
    <cellStyle name="Followed Hyperlink" xfId="14848" builtinId="9" hidden="1"/>
    <cellStyle name="Followed Hyperlink" xfId="14837" builtinId="9" hidden="1"/>
    <cellStyle name="Followed Hyperlink" xfId="14881" builtinId="9" hidden="1"/>
    <cellStyle name="Followed Hyperlink" xfId="14883" builtinId="9" hidden="1"/>
    <cellStyle name="Followed Hyperlink" xfId="14885" builtinId="9" hidden="1"/>
    <cellStyle name="Followed Hyperlink" xfId="14887" builtinId="9" hidden="1"/>
    <cellStyle name="Followed Hyperlink" xfId="14831" builtinId="9" hidden="1"/>
    <cellStyle name="Followed Hyperlink" xfId="14834" builtinId="9" hidden="1"/>
    <cellStyle name="Followed Hyperlink" xfId="14889" builtinId="9" hidden="1"/>
    <cellStyle name="Followed Hyperlink" xfId="14891" builtinId="9" hidden="1"/>
    <cellStyle name="Followed Hyperlink" xfId="14893" builtinId="9" hidden="1"/>
    <cellStyle name="Followed Hyperlink" xfId="14895" builtinId="9" hidden="1"/>
    <cellStyle name="Followed Hyperlink" xfId="14849" builtinId="9" hidden="1"/>
    <cellStyle name="Followed Hyperlink" xfId="14862" builtinId="9" hidden="1"/>
    <cellStyle name="Followed Hyperlink" xfId="14897" builtinId="9" hidden="1"/>
    <cellStyle name="Followed Hyperlink" xfId="14899" builtinId="9" hidden="1"/>
    <cellStyle name="Followed Hyperlink" xfId="14901" builtinId="9" hidden="1"/>
    <cellStyle name="Followed Hyperlink" xfId="14903" builtinId="9" hidden="1"/>
    <cellStyle name="Followed Hyperlink" xfId="14861" builtinId="9" hidden="1"/>
    <cellStyle name="Followed Hyperlink" xfId="14828" builtinId="9" hidden="1"/>
    <cellStyle name="Followed Hyperlink" xfId="14905" builtinId="9" hidden="1"/>
    <cellStyle name="Followed Hyperlink" xfId="14907" builtinId="9" hidden="1"/>
    <cellStyle name="Followed Hyperlink" xfId="14909" builtinId="9" hidden="1"/>
    <cellStyle name="Followed Hyperlink" xfId="14911" builtinId="9" hidden="1"/>
    <cellStyle name="Followed Hyperlink" xfId="14833" builtinId="9" hidden="1"/>
    <cellStyle name="Followed Hyperlink" xfId="14864" builtinId="9" hidden="1"/>
    <cellStyle name="Followed Hyperlink" xfId="14913" builtinId="9" hidden="1"/>
    <cellStyle name="Followed Hyperlink" xfId="14915" builtinId="9" hidden="1"/>
    <cellStyle name="Followed Hyperlink" xfId="14917" builtinId="9" hidden="1"/>
    <cellStyle name="Followed Hyperlink" xfId="14919" builtinId="9" hidden="1"/>
    <cellStyle name="Followed Hyperlink" xfId="14867" builtinId="9" hidden="1"/>
    <cellStyle name="Followed Hyperlink" xfId="14832" builtinId="9" hidden="1"/>
    <cellStyle name="Followed Hyperlink" xfId="14921" builtinId="9" hidden="1"/>
    <cellStyle name="Followed Hyperlink" xfId="14923" builtinId="9" hidden="1"/>
    <cellStyle name="Followed Hyperlink" xfId="14925" builtinId="9" hidden="1"/>
    <cellStyle name="Followed Hyperlink" xfId="14927" builtinId="9" hidden="1"/>
    <cellStyle name="Followed Hyperlink" xfId="14859" builtinId="9" hidden="1"/>
    <cellStyle name="Followed Hyperlink" xfId="14839" builtinId="9" hidden="1"/>
    <cellStyle name="Followed Hyperlink" xfId="14929" builtinId="9" hidden="1"/>
    <cellStyle name="Followed Hyperlink" xfId="14931" builtinId="9" hidden="1"/>
    <cellStyle name="Followed Hyperlink" xfId="14933" builtinId="9" hidden="1"/>
    <cellStyle name="Followed Hyperlink" xfId="14935" builtinId="9" hidden="1"/>
    <cellStyle name="Followed Hyperlink" xfId="14841" builtinId="9" hidden="1"/>
    <cellStyle name="Followed Hyperlink" xfId="14863" builtinId="9" hidden="1"/>
    <cellStyle name="Followed Hyperlink" xfId="14937" builtinId="9" hidden="1"/>
    <cellStyle name="Followed Hyperlink" xfId="14939" builtinId="9" hidden="1"/>
    <cellStyle name="Followed Hyperlink" xfId="14941" builtinId="9" hidden="1"/>
    <cellStyle name="Followed Hyperlink" xfId="14943" builtinId="9" hidden="1"/>
    <cellStyle name="Followed Hyperlink" xfId="14856" builtinId="9" hidden="1"/>
    <cellStyle name="Followed Hyperlink" xfId="14836" builtinId="9" hidden="1"/>
    <cellStyle name="Followed Hyperlink" xfId="14945" builtinId="9" hidden="1"/>
    <cellStyle name="Followed Hyperlink" xfId="14947" builtinId="9" hidden="1"/>
    <cellStyle name="Followed Hyperlink" xfId="14949" builtinId="9" hidden="1"/>
    <cellStyle name="Followed Hyperlink" xfId="14951" builtinId="9" hidden="1"/>
    <cellStyle name="Followed Hyperlink" xfId="14847" builtinId="9" hidden="1"/>
    <cellStyle name="Followed Hyperlink" xfId="14871" builtinId="9" hidden="1"/>
    <cellStyle name="Followed Hyperlink" xfId="14953" builtinId="9" hidden="1"/>
    <cellStyle name="Followed Hyperlink" xfId="14955" builtinId="9" hidden="1"/>
    <cellStyle name="Followed Hyperlink" xfId="14957" builtinId="9" hidden="1"/>
    <cellStyle name="Followed Hyperlink" xfId="14959" builtinId="9" hidden="1"/>
    <cellStyle name="Followed Hyperlink" xfId="14845" builtinId="9" hidden="1"/>
    <cellStyle name="Followed Hyperlink" xfId="14844" builtinId="9" hidden="1"/>
    <cellStyle name="Followed Hyperlink" xfId="14961" builtinId="9" hidden="1"/>
    <cellStyle name="Followed Hyperlink" xfId="14963" builtinId="9" hidden="1"/>
    <cellStyle name="Followed Hyperlink" xfId="14965" builtinId="9" hidden="1"/>
    <cellStyle name="Followed Hyperlink" xfId="14967" builtinId="9" hidden="1"/>
    <cellStyle name="Followed Hyperlink" xfId="14843" builtinId="9" hidden="1"/>
    <cellStyle name="Followed Hyperlink" xfId="14865" builtinId="9" hidden="1"/>
    <cellStyle name="Followed Hyperlink" xfId="14969" builtinId="9" hidden="1"/>
    <cellStyle name="Followed Hyperlink" xfId="14971" builtinId="9" hidden="1"/>
    <cellStyle name="Followed Hyperlink" xfId="14973" builtinId="9" hidden="1"/>
    <cellStyle name="Followed Hyperlink" xfId="14975" builtinId="9" hidden="1"/>
    <cellStyle name="Followed Hyperlink" xfId="14461" builtinId="9" hidden="1"/>
    <cellStyle name="Followed Hyperlink" xfId="14356" builtinId="9" hidden="1"/>
    <cellStyle name="Followed Hyperlink" xfId="14427" builtinId="9" hidden="1"/>
    <cellStyle name="Followed Hyperlink" xfId="14429" builtinId="9" hidden="1"/>
    <cellStyle name="Followed Hyperlink" xfId="14809" builtinId="9" hidden="1"/>
    <cellStyle name="Followed Hyperlink" xfId="14375" builtinId="9" hidden="1"/>
    <cellStyle name="Followed Hyperlink" xfId="14381" builtinId="9" hidden="1"/>
    <cellStyle name="Followed Hyperlink" xfId="14357" builtinId="9" hidden="1"/>
    <cellStyle name="Followed Hyperlink" xfId="14983" builtinId="9" hidden="1"/>
    <cellStyle name="Followed Hyperlink" xfId="14985" builtinId="9" hidden="1"/>
    <cellStyle name="Followed Hyperlink" xfId="14987" builtinId="9" hidden="1"/>
    <cellStyle name="Followed Hyperlink" xfId="14989" builtinId="9" hidden="1"/>
    <cellStyle name="Followed Hyperlink" xfId="14991" builtinId="9" hidden="1"/>
    <cellStyle name="Followed Hyperlink" xfId="14993" builtinId="9" hidden="1"/>
    <cellStyle name="Followed Hyperlink" xfId="15043" builtinId="9" hidden="1"/>
    <cellStyle name="Followed Hyperlink" xfId="15045" builtinId="9" hidden="1"/>
    <cellStyle name="Followed Hyperlink" xfId="15047" builtinId="9" hidden="1"/>
    <cellStyle name="Followed Hyperlink" xfId="15049" builtinId="9" hidden="1"/>
    <cellStyle name="Followed Hyperlink" xfId="15018" builtinId="9" hidden="1"/>
    <cellStyle name="Followed Hyperlink" xfId="15007" builtinId="9" hidden="1"/>
    <cellStyle name="Followed Hyperlink" xfId="15051" builtinId="9" hidden="1"/>
    <cellStyle name="Followed Hyperlink" xfId="15053" builtinId="9" hidden="1"/>
    <cellStyle name="Followed Hyperlink" xfId="15055" builtinId="9" hidden="1"/>
    <cellStyle name="Followed Hyperlink" xfId="15057" builtinId="9" hidden="1"/>
    <cellStyle name="Followed Hyperlink" xfId="15001" builtinId="9" hidden="1"/>
    <cellStyle name="Followed Hyperlink" xfId="15004" builtinId="9" hidden="1"/>
    <cellStyle name="Followed Hyperlink" xfId="15059" builtinId="9" hidden="1"/>
    <cellStyle name="Followed Hyperlink" xfId="15061" builtinId="9" hidden="1"/>
    <cellStyle name="Followed Hyperlink" xfId="15063" builtinId="9" hidden="1"/>
    <cellStyle name="Followed Hyperlink" xfId="15065" builtinId="9" hidden="1"/>
    <cellStyle name="Followed Hyperlink" xfId="15019" builtinId="9" hidden="1"/>
    <cellStyle name="Followed Hyperlink" xfId="15032" builtinId="9" hidden="1"/>
    <cellStyle name="Followed Hyperlink" xfId="15067" builtinId="9" hidden="1"/>
    <cellStyle name="Followed Hyperlink" xfId="15069" builtinId="9" hidden="1"/>
    <cellStyle name="Followed Hyperlink" xfId="15071" builtinId="9" hidden="1"/>
    <cellStyle name="Followed Hyperlink" xfId="15073" builtinId="9" hidden="1"/>
    <cellStyle name="Followed Hyperlink" xfId="15031" builtinId="9" hidden="1"/>
    <cellStyle name="Followed Hyperlink" xfId="14998" builtinId="9" hidden="1"/>
    <cellStyle name="Followed Hyperlink" xfId="15075" builtinId="9" hidden="1"/>
    <cellStyle name="Followed Hyperlink" xfId="15077" builtinId="9" hidden="1"/>
    <cellStyle name="Followed Hyperlink" xfId="15079" builtinId="9" hidden="1"/>
    <cellStyle name="Followed Hyperlink" xfId="15081" builtinId="9" hidden="1"/>
    <cellStyle name="Followed Hyperlink" xfId="15003" builtinId="9" hidden="1"/>
    <cellStyle name="Followed Hyperlink" xfId="15034" builtinId="9" hidden="1"/>
    <cellStyle name="Followed Hyperlink" xfId="15083" builtinId="9" hidden="1"/>
    <cellStyle name="Followed Hyperlink" xfId="15085" builtinId="9" hidden="1"/>
    <cellStyle name="Followed Hyperlink" xfId="15087" builtinId="9" hidden="1"/>
    <cellStyle name="Followed Hyperlink" xfId="15089" builtinId="9" hidden="1"/>
    <cellStyle name="Followed Hyperlink" xfId="15037" builtinId="9" hidden="1"/>
    <cellStyle name="Followed Hyperlink" xfId="15002" builtinId="9" hidden="1"/>
    <cellStyle name="Followed Hyperlink" xfId="15091" builtinId="9" hidden="1"/>
    <cellStyle name="Followed Hyperlink" xfId="15093" builtinId="9" hidden="1"/>
    <cellStyle name="Followed Hyperlink" xfId="15095" builtinId="9" hidden="1"/>
    <cellStyle name="Followed Hyperlink" xfId="15097" builtinId="9" hidden="1"/>
    <cellStyle name="Followed Hyperlink" xfId="15029" builtinId="9" hidden="1"/>
    <cellStyle name="Followed Hyperlink" xfId="15009" builtinId="9" hidden="1"/>
    <cellStyle name="Followed Hyperlink" xfId="15099" builtinId="9" hidden="1"/>
    <cellStyle name="Followed Hyperlink" xfId="15101" builtinId="9" hidden="1"/>
    <cellStyle name="Followed Hyperlink" xfId="15103" builtinId="9" hidden="1"/>
    <cellStyle name="Followed Hyperlink" xfId="15105" builtinId="9" hidden="1"/>
    <cellStyle name="Followed Hyperlink" xfId="15011" builtinId="9" hidden="1"/>
    <cellStyle name="Followed Hyperlink" xfId="15033" builtinId="9" hidden="1"/>
    <cellStyle name="Followed Hyperlink" xfId="15107" builtinId="9" hidden="1"/>
    <cellStyle name="Followed Hyperlink" xfId="15109" builtinId="9" hidden="1"/>
    <cellStyle name="Followed Hyperlink" xfId="15111" builtinId="9" hidden="1"/>
    <cellStyle name="Followed Hyperlink" xfId="15113" builtinId="9" hidden="1"/>
    <cellStyle name="Followed Hyperlink" xfId="15026" builtinId="9" hidden="1"/>
    <cellStyle name="Followed Hyperlink" xfId="15006" builtinId="9" hidden="1"/>
    <cellStyle name="Followed Hyperlink" xfId="15115" builtinId="9" hidden="1"/>
    <cellStyle name="Followed Hyperlink" xfId="15117" builtinId="9" hidden="1"/>
    <cellStyle name="Followed Hyperlink" xfId="15119" builtinId="9" hidden="1"/>
    <cellStyle name="Followed Hyperlink" xfId="15121" builtinId="9" hidden="1"/>
    <cellStyle name="Followed Hyperlink" xfId="15017" builtinId="9" hidden="1"/>
    <cellStyle name="Followed Hyperlink" xfId="15041" builtinId="9" hidden="1"/>
    <cellStyle name="Followed Hyperlink" xfId="15123" builtinId="9" hidden="1"/>
    <cellStyle name="Followed Hyperlink" xfId="15125" builtinId="9" hidden="1"/>
    <cellStyle name="Followed Hyperlink" xfId="15127" builtinId="9" hidden="1"/>
    <cellStyle name="Followed Hyperlink" xfId="15129" builtinId="9" hidden="1"/>
    <cellStyle name="Followed Hyperlink" xfId="15015" builtinId="9" hidden="1"/>
    <cellStyle name="Followed Hyperlink" xfId="15014" builtinId="9" hidden="1"/>
    <cellStyle name="Followed Hyperlink" xfId="15131" builtinId="9" hidden="1"/>
    <cellStyle name="Followed Hyperlink" xfId="15133" builtinId="9" hidden="1"/>
    <cellStyle name="Followed Hyperlink" xfId="15135" builtinId="9" hidden="1"/>
    <cellStyle name="Followed Hyperlink" xfId="15137" builtinId="9" hidden="1"/>
    <cellStyle name="Followed Hyperlink" xfId="15013" builtinId="9" hidden="1"/>
    <cellStyle name="Followed Hyperlink" xfId="15035" builtinId="9" hidden="1"/>
    <cellStyle name="Followed Hyperlink" xfId="15139" builtinId="9" hidden="1"/>
    <cellStyle name="Followed Hyperlink" xfId="15141" builtinId="9" hidden="1"/>
    <cellStyle name="Followed Hyperlink" xfId="15143" builtinId="9" hidden="1"/>
    <cellStyle name="Followed Hyperlink" xfId="15145" builtinId="9" hidden="1"/>
    <cellStyle name="Followed Hyperlink" xfId="14347" builtinId="9" hidden="1"/>
    <cellStyle name="Followed Hyperlink" xfId="14428" builtinId="9" hidden="1"/>
    <cellStyle name="Followed Hyperlink" xfId="14417" builtinId="9" hidden="1"/>
    <cellStyle name="Followed Hyperlink" xfId="14376" builtinId="9" hidden="1"/>
    <cellStyle name="Followed Hyperlink" xfId="14979" builtinId="9" hidden="1"/>
    <cellStyle name="Followed Hyperlink" xfId="14370" builtinId="9" hidden="1"/>
    <cellStyle name="Followed Hyperlink" xfId="14406" builtinId="9" hidden="1"/>
    <cellStyle name="Followed Hyperlink" xfId="14355" builtinId="9" hidden="1"/>
    <cellStyle name="Followed Hyperlink" xfId="15152" builtinId="9" hidden="1"/>
    <cellStyle name="Followed Hyperlink" xfId="15154" builtinId="9" hidden="1"/>
    <cellStyle name="Followed Hyperlink" xfId="15156" builtinId="9" hidden="1"/>
    <cellStyle name="Followed Hyperlink" xfId="15158" builtinId="9" hidden="1"/>
    <cellStyle name="Followed Hyperlink" xfId="15160" builtinId="9" hidden="1"/>
    <cellStyle name="Followed Hyperlink" xfId="15162" builtinId="9" hidden="1"/>
    <cellStyle name="Followed Hyperlink" xfId="15212" builtinId="9" hidden="1"/>
    <cellStyle name="Followed Hyperlink" xfId="15214" builtinId="9" hidden="1"/>
    <cellStyle name="Followed Hyperlink" xfId="15216" builtinId="9" hidden="1"/>
    <cellStyle name="Followed Hyperlink" xfId="15218" builtinId="9" hidden="1"/>
    <cellStyle name="Followed Hyperlink" xfId="15187" builtinId="9" hidden="1"/>
    <cellStyle name="Followed Hyperlink" xfId="15176" builtinId="9" hidden="1"/>
    <cellStyle name="Followed Hyperlink" xfId="15220" builtinId="9" hidden="1"/>
    <cellStyle name="Followed Hyperlink" xfId="15222" builtinId="9" hidden="1"/>
    <cellStyle name="Followed Hyperlink" xfId="15224" builtinId="9" hidden="1"/>
    <cellStyle name="Followed Hyperlink" xfId="15226" builtinId="9" hidden="1"/>
    <cellStyle name="Followed Hyperlink" xfId="15170" builtinId="9" hidden="1"/>
    <cellStyle name="Followed Hyperlink" xfId="15173" builtinId="9" hidden="1"/>
    <cellStyle name="Followed Hyperlink" xfId="15228" builtinId="9" hidden="1"/>
    <cellStyle name="Followed Hyperlink" xfId="15230" builtinId="9" hidden="1"/>
    <cellStyle name="Followed Hyperlink" xfId="15232" builtinId="9" hidden="1"/>
    <cellStyle name="Followed Hyperlink" xfId="15234" builtinId="9" hidden="1"/>
    <cellStyle name="Followed Hyperlink" xfId="15188" builtinId="9" hidden="1"/>
    <cellStyle name="Followed Hyperlink" xfId="15201" builtinId="9" hidden="1"/>
    <cellStyle name="Followed Hyperlink" xfId="15236" builtinId="9" hidden="1"/>
    <cellStyle name="Followed Hyperlink" xfId="15238" builtinId="9" hidden="1"/>
    <cellStyle name="Followed Hyperlink" xfId="15240" builtinId="9" hidden="1"/>
    <cellStyle name="Followed Hyperlink" xfId="15242" builtinId="9" hidden="1"/>
    <cellStyle name="Followed Hyperlink" xfId="15200" builtinId="9" hidden="1"/>
    <cellStyle name="Followed Hyperlink" xfId="15167" builtinId="9" hidden="1"/>
    <cellStyle name="Followed Hyperlink" xfId="15244" builtinId="9" hidden="1"/>
    <cellStyle name="Followed Hyperlink" xfId="15246" builtinId="9" hidden="1"/>
    <cellStyle name="Followed Hyperlink" xfId="15248" builtinId="9" hidden="1"/>
    <cellStyle name="Followed Hyperlink" xfId="15250" builtinId="9" hidden="1"/>
    <cellStyle name="Followed Hyperlink" xfId="15172" builtinId="9" hidden="1"/>
    <cellStyle name="Followed Hyperlink" xfId="15203" builtinId="9" hidden="1"/>
    <cellStyle name="Followed Hyperlink" xfId="15252" builtinId="9" hidden="1"/>
    <cellStyle name="Followed Hyperlink" xfId="15254" builtinId="9" hidden="1"/>
    <cellStyle name="Followed Hyperlink" xfId="15256" builtinId="9" hidden="1"/>
    <cellStyle name="Followed Hyperlink" xfId="15258" builtinId="9" hidden="1"/>
    <cellStyle name="Followed Hyperlink" xfId="15206" builtinId="9" hidden="1"/>
    <cellStyle name="Followed Hyperlink" xfId="15171" builtinId="9" hidden="1"/>
    <cellStyle name="Followed Hyperlink" xfId="15260" builtinId="9" hidden="1"/>
    <cellStyle name="Followed Hyperlink" xfId="15262" builtinId="9" hidden="1"/>
    <cellStyle name="Followed Hyperlink" xfId="15264" builtinId="9" hidden="1"/>
    <cellStyle name="Followed Hyperlink" xfId="15266" builtinId="9" hidden="1"/>
    <cellStyle name="Followed Hyperlink" xfId="15198" builtinId="9" hidden="1"/>
    <cellStyle name="Followed Hyperlink" xfId="15178" builtinId="9" hidden="1"/>
    <cellStyle name="Followed Hyperlink" xfId="15268" builtinId="9" hidden="1"/>
    <cellStyle name="Followed Hyperlink" xfId="15270" builtinId="9" hidden="1"/>
    <cellStyle name="Followed Hyperlink" xfId="15272" builtinId="9" hidden="1"/>
    <cellStyle name="Followed Hyperlink" xfId="15274" builtinId="9" hidden="1"/>
    <cellStyle name="Followed Hyperlink" xfId="15180" builtinId="9" hidden="1"/>
    <cellStyle name="Followed Hyperlink" xfId="15202" builtinId="9" hidden="1"/>
    <cellStyle name="Followed Hyperlink" xfId="15276" builtinId="9" hidden="1"/>
    <cellStyle name="Followed Hyperlink" xfId="15278" builtinId="9" hidden="1"/>
    <cellStyle name="Followed Hyperlink" xfId="15280" builtinId="9" hidden="1"/>
    <cellStyle name="Followed Hyperlink" xfId="15282" builtinId="9" hidden="1"/>
    <cellStyle name="Followed Hyperlink" xfId="15195" builtinId="9" hidden="1"/>
    <cellStyle name="Followed Hyperlink" xfId="15175" builtinId="9" hidden="1"/>
    <cellStyle name="Followed Hyperlink" xfId="15284" builtinId="9" hidden="1"/>
    <cellStyle name="Followed Hyperlink" xfId="15286" builtinId="9" hidden="1"/>
    <cellStyle name="Followed Hyperlink" xfId="15288" builtinId="9" hidden="1"/>
    <cellStyle name="Followed Hyperlink" xfId="15290" builtinId="9" hidden="1"/>
    <cellStyle name="Followed Hyperlink" xfId="15186" builtinId="9" hidden="1"/>
    <cellStyle name="Followed Hyperlink" xfId="15210" builtinId="9" hidden="1"/>
    <cellStyle name="Followed Hyperlink" xfId="15292" builtinId="9" hidden="1"/>
    <cellStyle name="Followed Hyperlink" xfId="15294" builtinId="9" hidden="1"/>
    <cellStyle name="Followed Hyperlink" xfId="15296" builtinId="9" hidden="1"/>
    <cellStyle name="Followed Hyperlink" xfId="15298" builtinId="9" hidden="1"/>
    <cellStyle name="Followed Hyperlink" xfId="15184" builtinId="9" hidden="1"/>
    <cellStyle name="Followed Hyperlink" xfId="15183" builtinId="9" hidden="1"/>
    <cellStyle name="Followed Hyperlink" xfId="15300" builtinId="9" hidden="1"/>
    <cellStyle name="Followed Hyperlink" xfId="15302" builtinId="9" hidden="1"/>
    <cellStyle name="Followed Hyperlink" xfId="15304" builtinId="9" hidden="1"/>
    <cellStyle name="Followed Hyperlink" xfId="15306" builtinId="9" hidden="1"/>
    <cellStyle name="Followed Hyperlink" xfId="15182" builtinId="9" hidden="1"/>
    <cellStyle name="Followed Hyperlink" xfId="15204" builtinId="9" hidden="1"/>
    <cellStyle name="Followed Hyperlink" xfId="15308" builtinId="9" hidden="1"/>
    <cellStyle name="Followed Hyperlink" xfId="15310" builtinId="9" hidden="1"/>
    <cellStyle name="Followed Hyperlink" xfId="15312" builtinId="9" hidden="1"/>
    <cellStyle name="Followed Hyperlink" xfId="15314" builtinId="9" hidden="1"/>
    <cellStyle name="Followed Hyperlink" xfId="14333" builtinId="9" hidden="1"/>
    <cellStyle name="Followed Hyperlink" xfId="14450" builtinId="9" hidden="1"/>
    <cellStyle name="Followed Hyperlink" xfId="14460" builtinId="9" hidden="1"/>
    <cellStyle name="Followed Hyperlink" xfId="14340" builtinId="9" hidden="1"/>
    <cellStyle name="Followed Hyperlink" xfId="15148" builtinId="9" hidden="1"/>
    <cellStyle name="Followed Hyperlink" xfId="14404" builtinId="9" hidden="1"/>
    <cellStyle name="Followed Hyperlink" xfId="14451" builtinId="9" hidden="1"/>
    <cellStyle name="Followed Hyperlink" xfId="14366" builtinId="9" hidden="1"/>
    <cellStyle name="Followed Hyperlink" xfId="15321" builtinId="9" hidden="1"/>
    <cellStyle name="Followed Hyperlink" xfId="15323" builtinId="9" hidden="1"/>
    <cellStyle name="Followed Hyperlink" xfId="15325" builtinId="9" hidden="1"/>
    <cellStyle name="Followed Hyperlink" xfId="15327" builtinId="9" hidden="1"/>
    <cellStyle name="Followed Hyperlink" xfId="15329" builtinId="9" hidden="1"/>
    <cellStyle name="Followed Hyperlink" xfId="15331" builtinId="9" hidden="1"/>
    <cellStyle name="Followed Hyperlink" xfId="15381" builtinId="9" hidden="1"/>
    <cellStyle name="Followed Hyperlink" xfId="15383" builtinId="9" hidden="1"/>
    <cellStyle name="Followed Hyperlink" xfId="15385" builtinId="9" hidden="1"/>
    <cellStyle name="Followed Hyperlink" xfId="15387" builtinId="9" hidden="1"/>
    <cellStyle name="Followed Hyperlink" xfId="15356" builtinId="9" hidden="1"/>
    <cellStyle name="Followed Hyperlink" xfId="15345" builtinId="9" hidden="1"/>
    <cellStyle name="Followed Hyperlink" xfId="15389" builtinId="9" hidden="1"/>
    <cellStyle name="Followed Hyperlink" xfId="15391" builtinId="9" hidden="1"/>
    <cellStyle name="Followed Hyperlink" xfId="15393" builtinId="9" hidden="1"/>
    <cellStyle name="Followed Hyperlink" xfId="15395" builtinId="9" hidden="1"/>
    <cellStyle name="Followed Hyperlink" xfId="15339" builtinId="9" hidden="1"/>
    <cellStyle name="Followed Hyperlink" xfId="15342" builtinId="9" hidden="1"/>
    <cellStyle name="Followed Hyperlink" xfId="15397" builtinId="9" hidden="1"/>
    <cellStyle name="Followed Hyperlink" xfId="15399" builtinId="9" hidden="1"/>
    <cellStyle name="Followed Hyperlink" xfId="15401" builtinId="9" hidden="1"/>
    <cellStyle name="Followed Hyperlink" xfId="15403" builtinId="9" hidden="1"/>
    <cellStyle name="Followed Hyperlink" xfId="15357" builtinId="9" hidden="1"/>
    <cellStyle name="Followed Hyperlink" xfId="15370" builtinId="9" hidden="1"/>
    <cellStyle name="Followed Hyperlink" xfId="15405" builtinId="9" hidden="1"/>
    <cellStyle name="Followed Hyperlink" xfId="15407" builtinId="9" hidden="1"/>
    <cellStyle name="Followed Hyperlink" xfId="15409" builtinId="9" hidden="1"/>
    <cellStyle name="Followed Hyperlink" xfId="15411" builtinId="9" hidden="1"/>
    <cellStyle name="Followed Hyperlink" xfId="15369" builtinId="9" hidden="1"/>
    <cellStyle name="Followed Hyperlink" xfId="15336" builtinId="9" hidden="1"/>
    <cellStyle name="Followed Hyperlink" xfId="15413" builtinId="9" hidden="1"/>
    <cellStyle name="Followed Hyperlink" xfId="15415" builtinId="9" hidden="1"/>
    <cellStyle name="Followed Hyperlink" xfId="15417" builtinId="9" hidden="1"/>
    <cellStyle name="Followed Hyperlink" xfId="15419" builtinId="9" hidden="1"/>
    <cellStyle name="Followed Hyperlink" xfId="15341" builtinId="9" hidden="1"/>
    <cellStyle name="Followed Hyperlink" xfId="15372" builtinId="9" hidden="1"/>
    <cellStyle name="Followed Hyperlink" xfId="15421" builtinId="9" hidden="1"/>
    <cellStyle name="Followed Hyperlink" xfId="15423" builtinId="9" hidden="1"/>
    <cellStyle name="Followed Hyperlink" xfId="15425" builtinId="9" hidden="1"/>
    <cellStyle name="Followed Hyperlink" xfId="15427" builtinId="9" hidden="1"/>
    <cellStyle name="Followed Hyperlink" xfId="15375" builtinId="9" hidden="1"/>
    <cellStyle name="Followed Hyperlink" xfId="15340" builtinId="9" hidden="1"/>
    <cellStyle name="Followed Hyperlink" xfId="15429" builtinId="9" hidden="1"/>
    <cellStyle name="Followed Hyperlink" xfId="15431" builtinId="9" hidden="1"/>
    <cellStyle name="Followed Hyperlink" xfId="15433" builtinId="9" hidden="1"/>
    <cellStyle name="Followed Hyperlink" xfId="15435" builtinId="9" hidden="1"/>
    <cellStyle name="Followed Hyperlink" xfId="15367" builtinId="9" hidden="1"/>
    <cellStyle name="Followed Hyperlink" xfId="15347" builtinId="9" hidden="1"/>
    <cellStyle name="Followed Hyperlink" xfId="15437" builtinId="9" hidden="1"/>
    <cellStyle name="Followed Hyperlink" xfId="15439" builtinId="9" hidden="1"/>
    <cellStyle name="Followed Hyperlink" xfId="15441" builtinId="9" hidden="1"/>
    <cellStyle name="Followed Hyperlink" xfId="15443" builtinId="9" hidden="1"/>
    <cellStyle name="Followed Hyperlink" xfId="15349" builtinId="9" hidden="1"/>
    <cellStyle name="Followed Hyperlink" xfId="15371" builtinId="9" hidden="1"/>
    <cellStyle name="Followed Hyperlink" xfId="15445" builtinId="9" hidden="1"/>
    <cellStyle name="Followed Hyperlink" xfId="15447" builtinId="9" hidden="1"/>
    <cellStyle name="Followed Hyperlink" xfId="15449" builtinId="9" hidden="1"/>
    <cellStyle name="Followed Hyperlink" xfId="15451" builtinId="9" hidden="1"/>
    <cellStyle name="Followed Hyperlink" xfId="15364" builtinId="9" hidden="1"/>
    <cellStyle name="Followed Hyperlink" xfId="15344" builtinId="9" hidden="1"/>
    <cellStyle name="Followed Hyperlink" xfId="15453" builtinId="9" hidden="1"/>
    <cellStyle name="Followed Hyperlink" xfId="15455" builtinId="9" hidden="1"/>
    <cellStyle name="Followed Hyperlink" xfId="15457" builtinId="9" hidden="1"/>
    <cellStyle name="Followed Hyperlink" xfId="15459" builtinId="9" hidden="1"/>
    <cellStyle name="Followed Hyperlink" xfId="15355" builtinId="9" hidden="1"/>
    <cellStyle name="Followed Hyperlink" xfId="15379" builtinId="9" hidden="1"/>
    <cellStyle name="Followed Hyperlink" xfId="15461" builtinId="9" hidden="1"/>
    <cellStyle name="Followed Hyperlink" xfId="15463" builtinId="9" hidden="1"/>
    <cellStyle name="Followed Hyperlink" xfId="15465" builtinId="9" hidden="1"/>
    <cellStyle name="Followed Hyperlink" xfId="15467" builtinId="9" hidden="1"/>
    <cellStyle name="Followed Hyperlink" xfId="15353" builtinId="9" hidden="1"/>
    <cellStyle name="Followed Hyperlink" xfId="15352" builtinId="9" hidden="1"/>
    <cellStyle name="Followed Hyperlink" xfId="15469" builtinId="9" hidden="1"/>
    <cellStyle name="Followed Hyperlink" xfId="15471" builtinId="9" hidden="1"/>
    <cellStyle name="Followed Hyperlink" xfId="15473" builtinId="9" hidden="1"/>
    <cellStyle name="Followed Hyperlink" xfId="15475" builtinId="9" hidden="1"/>
    <cellStyle name="Followed Hyperlink" xfId="15351" builtinId="9" hidden="1"/>
    <cellStyle name="Followed Hyperlink" xfId="15373" builtinId="9" hidden="1"/>
    <cellStyle name="Followed Hyperlink" xfId="15477" builtinId="9" hidden="1"/>
    <cellStyle name="Followed Hyperlink" xfId="15479" builtinId="9" hidden="1"/>
    <cellStyle name="Followed Hyperlink" xfId="15481" builtinId="9" hidden="1"/>
    <cellStyle name="Followed Hyperlink" xfId="15483" builtinId="9" hidden="1"/>
    <cellStyle name="Followed Hyperlink" xfId="14439" builtinId="9" hidden="1"/>
    <cellStyle name="Followed Hyperlink" xfId="14465" builtinId="9" hidden="1"/>
    <cellStyle name="Followed Hyperlink" xfId="14635" builtinId="9" hidden="1"/>
    <cellStyle name="Followed Hyperlink" xfId="14324" builtinId="9" hidden="1"/>
    <cellStyle name="Followed Hyperlink" xfId="15317" builtinId="9" hidden="1"/>
    <cellStyle name="Followed Hyperlink" xfId="14446" builtinId="9" hidden="1"/>
    <cellStyle name="Followed Hyperlink" xfId="14401" builtinId="9" hidden="1"/>
    <cellStyle name="Followed Hyperlink" xfId="14811" builtinId="9" hidden="1"/>
    <cellStyle name="Followed Hyperlink" xfId="15488" builtinId="9" hidden="1"/>
    <cellStyle name="Followed Hyperlink" xfId="15490" builtinId="9" hidden="1"/>
    <cellStyle name="Followed Hyperlink" xfId="15492" builtinId="9" hidden="1"/>
    <cellStyle name="Followed Hyperlink" xfId="15494" builtinId="9" hidden="1"/>
    <cellStyle name="Followed Hyperlink" xfId="15496" builtinId="9" hidden="1"/>
    <cellStyle name="Followed Hyperlink" xfId="15498" builtinId="9" hidden="1"/>
    <cellStyle name="Followed Hyperlink" xfId="15548" builtinId="9" hidden="1"/>
    <cellStyle name="Followed Hyperlink" xfId="15550" builtinId="9" hidden="1"/>
    <cellStyle name="Followed Hyperlink" xfId="15552" builtinId="9" hidden="1"/>
    <cellStyle name="Followed Hyperlink" xfId="15554" builtinId="9" hidden="1"/>
    <cellStyle name="Followed Hyperlink" xfId="15523" builtinId="9" hidden="1"/>
    <cellStyle name="Followed Hyperlink" xfId="15512" builtinId="9" hidden="1"/>
    <cellStyle name="Followed Hyperlink" xfId="15556" builtinId="9" hidden="1"/>
    <cellStyle name="Followed Hyperlink" xfId="15558" builtinId="9" hidden="1"/>
    <cellStyle name="Followed Hyperlink" xfId="15560" builtinId="9" hidden="1"/>
    <cellStyle name="Followed Hyperlink" xfId="15562" builtinId="9" hidden="1"/>
    <cellStyle name="Followed Hyperlink" xfId="15506" builtinId="9" hidden="1"/>
    <cellStyle name="Followed Hyperlink" xfId="15509" builtinId="9" hidden="1"/>
    <cellStyle name="Followed Hyperlink" xfId="15564" builtinId="9" hidden="1"/>
    <cellStyle name="Followed Hyperlink" xfId="15566" builtinId="9" hidden="1"/>
    <cellStyle name="Followed Hyperlink" xfId="15568" builtinId="9" hidden="1"/>
    <cellStyle name="Followed Hyperlink" xfId="15570" builtinId="9" hidden="1"/>
    <cellStyle name="Followed Hyperlink" xfId="15524" builtinId="9" hidden="1"/>
    <cellStyle name="Followed Hyperlink" xfId="15537" builtinId="9" hidden="1"/>
    <cellStyle name="Followed Hyperlink" xfId="15572" builtinId="9" hidden="1"/>
    <cellStyle name="Followed Hyperlink" xfId="15574" builtinId="9" hidden="1"/>
    <cellStyle name="Followed Hyperlink" xfId="15576" builtinId="9" hidden="1"/>
    <cellStyle name="Followed Hyperlink" xfId="15578" builtinId="9" hidden="1"/>
    <cellStyle name="Followed Hyperlink" xfId="15536" builtinId="9" hidden="1"/>
    <cellStyle name="Followed Hyperlink" xfId="15503" builtinId="9" hidden="1"/>
    <cellStyle name="Followed Hyperlink" xfId="15580" builtinId="9" hidden="1"/>
    <cellStyle name="Followed Hyperlink" xfId="15582" builtinId="9" hidden="1"/>
    <cellStyle name="Followed Hyperlink" xfId="15584" builtinId="9" hidden="1"/>
    <cellStyle name="Followed Hyperlink" xfId="15586" builtinId="9" hidden="1"/>
    <cellStyle name="Followed Hyperlink" xfId="15508" builtinId="9" hidden="1"/>
    <cellStyle name="Followed Hyperlink" xfId="15539" builtinId="9" hidden="1"/>
    <cellStyle name="Followed Hyperlink" xfId="15588" builtinId="9" hidden="1"/>
    <cellStyle name="Followed Hyperlink" xfId="15590" builtinId="9" hidden="1"/>
    <cellStyle name="Followed Hyperlink" xfId="15592" builtinId="9" hidden="1"/>
    <cellStyle name="Followed Hyperlink" xfId="15594" builtinId="9" hidden="1"/>
    <cellStyle name="Followed Hyperlink" xfId="15542" builtinId="9" hidden="1"/>
    <cellStyle name="Followed Hyperlink" xfId="15507" builtinId="9" hidden="1"/>
    <cellStyle name="Followed Hyperlink" xfId="15596" builtinId="9" hidden="1"/>
    <cellStyle name="Followed Hyperlink" xfId="15598" builtinId="9" hidden="1"/>
    <cellStyle name="Followed Hyperlink" xfId="15600" builtinId="9" hidden="1"/>
    <cellStyle name="Followed Hyperlink" xfId="15602" builtinId="9" hidden="1"/>
    <cellStyle name="Followed Hyperlink" xfId="15534" builtinId="9" hidden="1"/>
    <cellStyle name="Followed Hyperlink" xfId="15514" builtinId="9" hidden="1"/>
    <cellStyle name="Followed Hyperlink" xfId="15604" builtinId="9" hidden="1"/>
    <cellStyle name="Followed Hyperlink" xfId="15606" builtinId="9" hidden="1"/>
    <cellStyle name="Followed Hyperlink" xfId="15608" builtinId="9" hidden="1"/>
    <cellStyle name="Followed Hyperlink" xfId="15610" builtinId="9" hidden="1"/>
    <cellStyle name="Followed Hyperlink" xfId="15516" builtinId="9" hidden="1"/>
    <cellStyle name="Followed Hyperlink" xfId="15538" builtinId="9" hidden="1"/>
    <cellStyle name="Followed Hyperlink" xfId="15612" builtinId="9" hidden="1"/>
    <cellStyle name="Followed Hyperlink" xfId="15614" builtinId="9" hidden="1"/>
    <cellStyle name="Followed Hyperlink" xfId="15616" builtinId="9" hidden="1"/>
    <cellStyle name="Followed Hyperlink" xfId="15618" builtinId="9" hidden="1"/>
    <cellStyle name="Followed Hyperlink" xfId="15531" builtinId="9" hidden="1"/>
    <cellStyle name="Followed Hyperlink" xfId="15511" builtinId="9" hidden="1"/>
    <cellStyle name="Followed Hyperlink" xfId="15620" builtinId="9" hidden="1"/>
    <cellStyle name="Followed Hyperlink" xfId="15622" builtinId="9" hidden="1"/>
    <cellStyle name="Followed Hyperlink" xfId="15624" builtinId="9" hidden="1"/>
    <cellStyle name="Followed Hyperlink" xfId="15626" builtinId="9" hidden="1"/>
    <cellStyle name="Followed Hyperlink" xfId="15522" builtinId="9" hidden="1"/>
    <cellStyle name="Followed Hyperlink" xfId="15546" builtinId="9" hidden="1"/>
    <cellStyle name="Followed Hyperlink" xfId="15628" builtinId="9" hidden="1"/>
    <cellStyle name="Followed Hyperlink" xfId="15630" builtinId="9" hidden="1"/>
    <cellStyle name="Followed Hyperlink" xfId="15632" builtinId="9" hidden="1"/>
    <cellStyle name="Followed Hyperlink" xfId="15634" builtinId="9" hidden="1"/>
    <cellStyle name="Followed Hyperlink" xfId="15520" builtinId="9" hidden="1"/>
    <cellStyle name="Followed Hyperlink" xfId="15519" builtinId="9" hidden="1"/>
    <cellStyle name="Followed Hyperlink" xfId="15636" builtinId="9" hidden="1"/>
    <cellStyle name="Followed Hyperlink" xfId="15638" builtinId="9" hidden="1"/>
    <cellStyle name="Followed Hyperlink" xfId="15640" builtinId="9" hidden="1"/>
    <cellStyle name="Followed Hyperlink" xfId="15642" builtinId="9" hidden="1"/>
    <cellStyle name="Followed Hyperlink" xfId="15518" builtinId="9" hidden="1"/>
    <cellStyle name="Followed Hyperlink" xfId="15540" builtinId="9" hidden="1"/>
    <cellStyle name="Followed Hyperlink" xfId="15644" builtinId="9" hidden="1"/>
    <cellStyle name="Followed Hyperlink" xfId="15646" builtinId="9" hidden="1"/>
    <cellStyle name="Followed Hyperlink" xfId="15648" builtinId="9" hidden="1"/>
    <cellStyle name="Followed Hyperlink" xfId="15650" builtinId="9" hidden="1"/>
    <cellStyle name="Followed Hyperlink" xfId="14351" builtinId="9" hidden="1"/>
    <cellStyle name="Followed Hyperlink" xfId="14328" builtinId="9" hidden="1"/>
    <cellStyle name="Followed Hyperlink" xfId="14431" builtinId="9" hidden="1"/>
    <cellStyle name="Followed Hyperlink" xfId="14445" builtinId="9" hidden="1"/>
    <cellStyle name="Followed Hyperlink" xfId="15484" builtinId="9" hidden="1"/>
    <cellStyle name="Followed Hyperlink" xfId="14343" builtinId="9" hidden="1"/>
    <cellStyle name="Followed Hyperlink" xfId="14423" builtinId="9" hidden="1"/>
    <cellStyle name="Followed Hyperlink" xfId="14981" builtinId="9" hidden="1"/>
    <cellStyle name="Followed Hyperlink" xfId="15655" builtinId="9" hidden="1"/>
    <cellStyle name="Followed Hyperlink" xfId="15657" builtinId="9" hidden="1"/>
    <cellStyle name="Followed Hyperlink" xfId="15659" builtinId="9" hidden="1"/>
    <cellStyle name="Followed Hyperlink" xfId="15661" builtinId="9" hidden="1"/>
    <cellStyle name="Followed Hyperlink" xfId="15663" builtinId="9" hidden="1"/>
    <cellStyle name="Followed Hyperlink" xfId="15665" builtinId="9" hidden="1"/>
    <cellStyle name="Followed Hyperlink" xfId="15715" builtinId="9" hidden="1"/>
    <cellStyle name="Followed Hyperlink" xfId="15717" builtinId="9" hidden="1"/>
    <cellStyle name="Followed Hyperlink" xfId="15719" builtinId="9" hidden="1"/>
    <cellStyle name="Followed Hyperlink" xfId="15721" builtinId="9" hidden="1"/>
    <cellStyle name="Followed Hyperlink" xfId="15690" builtinId="9" hidden="1"/>
    <cellStyle name="Followed Hyperlink" xfId="15679" builtinId="9" hidden="1"/>
    <cellStyle name="Followed Hyperlink" xfId="15723" builtinId="9" hidden="1"/>
    <cellStyle name="Followed Hyperlink" xfId="15725" builtinId="9" hidden="1"/>
    <cellStyle name="Followed Hyperlink" xfId="15727" builtinId="9" hidden="1"/>
    <cellStyle name="Followed Hyperlink" xfId="15729" builtinId="9" hidden="1"/>
    <cellStyle name="Followed Hyperlink" xfId="15673" builtinId="9" hidden="1"/>
    <cellStyle name="Followed Hyperlink" xfId="15676" builtinId="9" hidden="1"/>
    <cellStyle name="Followed Hyperlink" xfId="15731" builtinId="9" hidden="1"/>
    <cellStyle name="Followed Hyperlink" xfId="15733" builtinId="9" hidden="1"/>
    <cellStyle name="Followed Hyperlink" xfId="15735" builtinId="9" hidden="1"/>
    <cellStyle name="Followed Hyperlink" xfId="15737" builtinId="9" hidden="1"/>
    <cellStyle name="Followed Hyperlink" xfId="15691" builtinId="9" hidden="1"/>
    <cellStyle name="Followed Hyperlink" xfId="15704" builtinId="9" hidden="1"/>
    <cellStyle name="Followed Hyperlink" xfId="15739" builtinId="9" hidden="1"/>
    <cellStyle name="Followed Hyperlink" xfId="15741" builtinId="9" hidden="1"/>
    <cellStyle name="Followed Hyperlink" xfId="15743" builtinId="9" hidden="1"/>
    <cellStyle name="Followed Hyperlink" xfId="15745" builtinId="9" hidden="1"/>
    <cellStyle name="Followed Hyperlink" xfId="15703" builtinId="9" hidden="1"/>
    <cellStyle name="Followed Hyperlink" xfId="15670" builtinId="9" hidden="1"/>
    <cellStyle name="Followed Hyperlink" xfId="15747" builtinId="9" hidden="1"/>
    <cellStyle name="Followed Hyperlink" xfId="15749" builtinId="9" hidden="1"/>
    <cellStyle name="Followed Hyperlink" xfId="15751" builtinId="9" hidden="1"/>
    <cellStyle name="Followed Hyperlink" xfId="15753" builtinId="9" hidden="1"/>
    <cellStyle name="Followed Hyperlink" xfId="15675" builtinId="9" hidden="1"/>
    <cellStyle name="Followed Hyperlink" xfId="15706" builtinId="9" hidden="1"/>
    <cellStyle name="Followed Hyperlink" xfId="15755" builtinId="9" hidden="1"/>
    <cellStyle name="Followed Hyperlink" xfId="15757" builtinId="9" hidden="1"/>
    <cellStyle name="Followed Hyperlink" xfId="15759" builtinId="9" hidden="1"/>
    <cellStyle name="Followed Hyperlink" xfId="15761" builtinId="9" hidden="1"/>
    <cellStyle name="Followed Hyperlink" xfId="15709" builtinId="9" hidden="1"/>
    <cellStyle name="Followed Hyperlink" xfId="15674" builtinId="9" hidden="1"/>
    <cellStyle name="Followed Hyperlink" xfId="15763" builtinId="9" hidden="1"/>
    <cellStyle name="Followed Hyperlink" xfId="15765" builtinId="9" hidden="1"/>
    <cellStyle name="Followed Hyperlink" xfId="15767" builtinId="9" hidden="1"/>
    <cellStyle name="Followed Hyperlink" xfId="15769" builtinId="9" hidden="1"/>
    <cellStyle name="Followed Hyperlink" xfId="15701" builtinId="9" hidden="1"/>
    <cellStyle name="Followed Hyperlink" xfId="15681" builtinId="9" hidden="1"/>
    <cellStyle name="Followed Hyperlink" xfId="15771" builtinId="9" hidden="1"/>
    <cellStyle name="Followed Hyperlink" xfId="15773" builtinId="9" hidden="1"/>
    <cellStyle name="Followed Hyperlink" xfId="15775" builtinId="9" hidden="1"/>
    <cellStyle name="Followed Hyperlink" xfId="15777" builtinId="9" hidden="1"/>
    <cellStyle name="Followed Hyperlink" xfId="15683" builtinId="9" hidden="1"/>
    <cellStyle name="Followed Hyperlink" xfId="15705" builtinId="9" hidden="1"/>
    <cellStyle name="Followed Hyperlink" xfId="15779" builtinId="9" hidden="1"/>
    <cellStyle name="Followed Hyperlink" xfId="15781" builtinId="9" hidden="1"/>
    <cellStyle name="Followed Hyperlink" xfId="15783" builtinId="9" hidden="1"/>
    <cellStyle name="Followed Hyperlink" xfId="15785" builtinId="9" hidden="1"/>
    <cellStyle name="Followed Hyperlink" xfId="15698" builtinId="9" hidden="1"/>
    <cellStyle name="Followed Hyperlink" xfId="15678" builtinId="9" hidden="1"/>
    <cellStyle name="Followed Hyperlink" xfId="15787" builtinId="9" hidden="1"/>
    <cellStyle name="Followed Hyperlink" xfId="15789" builtinId="9" hidden="1"/>
    <cellStyle name="Followed Hyperlink" xfId="15791" builtinId="9" hidden="1"/>
    <cellStyle name="Followed Hyperlink" xfId="15793" builtinId="9" hidden="1"/>
    <cellStyle name="Followed Hyperlink" xfId="15689" builtinId="9" hidden="1"/>
    <cellStyle name="Followed Hyperlink" xfId="15713" builtinId="9" hidden="1"/>
    <cellStyle name="Followed Hyperlink" xfId="15795" builtinId="9" hidden="1"/>
    <cellStyle name="Followed Hyperlink" xfId="15797" builtinId="9" hidden="1"/>
    <cellStyle name="Followed Hyperlink" xfId="15799" builtinId="9" hidden="1"/>
    <cellStyle name="Followed Hyperlink" xfId="15801" builtinId="9" hidden="1"/>
    <cellStyle name="Followed Hyperlink" xfId="15687" builtinId="9" hidden="1"/>
    <cellStyle name="Followed Hyperlink" xfId="15686" builtinId="9" hidden="1"/>
    <cellStyle name="Followed Hyperlink" xfId="15803" builtinId="9" hidden="1"/>
    <cellStyle name="Followed Hyperlink" xfId="15805" builtinId="9" hidden="1"/>
    <cellStyle name="Followed Hyperlink" xfId="15807" builtinId="9" hidden="1"/>
    <cellStyle name="Followed Hyperlink" xfId="15809" builtinId="9" hidden="1"/>
    <cellStyle name="Followed Hyperlink" xfId="15685" builtinId="9" hidden="1"/>
    <cellStyle name="Followed Hyperlink" xfId="15707" builtinId="9" hidden="1"/>
    <cellStyle name="Followed Hyperlink" xfId="15811" builtinId="9" hidden="1"/>
    <cellStyle name="Followed Hyperlink" xfId="15813" builtinId="9" hidden="1"/>
    <cellStyle name="Followed Hyperlink" xfId="15815" builtinId="9" hidden="1"/>
    <cellStyle name="Followed Hyperlink" xfId="15817" builtinId="9" hidden="1"/>
    <cellStyle name="Followed Hyperlink" xfId="14434" builtinId="9" hidden="1"/>
    <cellStyle name="Followed Hyperlink" xfId="14808" builtinId="9" hidden="1"/>
    <cellStyle name="Followed Hyperlink" xfId="14804" builtinId="9" hidden="1"/>
    <cellStyle name="Followed Hyperlink" xfId="14368" builtinId="9" hidden="1"/>
    <cellStyle name="Followed Hyperlink" xfId="15651" builtinId="9" hidden="1"/>
    <cellStyle name="Followed Hyperlink" xfId="14374" builtinId="9" hidden="1"/>
    <cellStyle name="Followed Hyperlink" xfId="14408" builtinId="9" hidden="1"/>
    <cellStyle name="Followed Hyperlink" xfId="15150" builtinId="9" hidden="1"/>
    <cellStyle name="Followed Hyperlink" xfId="15820" builtinId="9" hidden="1"/>
    <cellStyle name="Followed Hyperlink" xfId="15822" builtinId="9" hidden="1"/>
    <cellStyle name="Followed Hyperlink" xfId="15824" builtinId="9" hidden="1"/>
    <cellStyle name="Followed Hyperlink" xfId="15826" builtinId="9" hidden="1"/>
    <cellStyle name="Followed Hyperlink" xfId="15828" builtinId="9" hidden="1"/>
    <cellStyle name="Followed Hyperlink" xfId="15830" builtinId="9" hidden="1"/>
    <cellStyle name="Followed Hyperlink" xfId="15880" builtinId="9" hidden="1"/>
    <cellStyle name="Followed Hyperlink" xfId="15882" builtinId="9" hidden="1"/>
    <cellStyle name="Followed Hyperlink" xfId="15884" builtinId="9" hidden="1"/>
    <cellStyle name="Followed Hyperlink" xfId="15886" builtinId="9" hidden="1"/>
    <cellStyle name="Followed Hyperlink" xfId="15855" builtinId="9" hidden="1"/>
    <cellStyle name="Followed Hyperlink" xfId="15844" builtinId="9" hidden="1"/>
    <cellStyle name="Followed Hyperlink" xfId="15888" builtinId="9" hidden="1"/>
    <cellStyle name="Followed Hyperlink" xfId="15890" builtinId="9" hidden="1"/>
    <cellStyle name="Followed Hyperlink" xfId="15892" builtinId="9" hidden="1"/>
    <cellStyle name="Followed Hyperlink" xfId="15894" builtinId="9" hidden="1"/>
    <cellStyle name="Followed Hyperlink" xfId="15838" builtinId="9" hidden="1"/>
    <cellStyle name="Followed Hyperlink" xfId="15841" builtinId="9" hidden="1"/>
    <cellStyle name="Followed Hyperlink" xfId="15896" builtinId="9" hidden="1"/>
    <cellStyle name="Followed Hyperlink" xfId="15898" builtinId="9" hidden="1"/>
    <cellStyle name="Followed Hyperlink" xfId="15900" builtinId="9" hidden="1"/>
    <cellStyle name="Followed Hyperlink" xfId="15902" builtinId="9" hidden="1"/>
    <cellStyle name="Followed Hyperlink" xfId="15856" builtinId="9" hidden="1"/>
    <cellStyle name="Followed Hyperlink" xfId="15869" builtinId="9" hidden="1"/>
    <cellStyle name="Followed Hyperlink" xfId="15904" builtinId="9" hidden="1"/>
    <cellStyle name="Followed Hyperlink" xfId="15906" builtinId="9" hidden="1"/>
    <cellStyle name="Followed Hyperlink" xfId="15908" builtinId="9" hidden="1"/>
    <cellStyle name="Followed Hyperlink" xfId="15910" builtinId="9" hidden="1"/>
    <cellStyle name="Followed Hyperlink" xfId="15868" builtinId="9" hidden="1"/>
    <cellStyle name="Followed Hyperlink" xfId="15835" builtinId="9" hidden="1"/>
    <cellStyle name="Followed Hyperlink" xfId="15912" builtinId="9" hidden="1"/>
    <cellStyle name="Followed Hyperlink" xfId="15914" builtinId="9" hidden="1"/>
    <cellStyle name="Followed Hyperlink" xfId="15916" builtinId="9" hidden="1"/>
    <cellStyle name="Followed Hyperlink" xfId="15918" builtinId="9" hidden="1"/>
    <cellStyle name="Followed Hyperlink" xfId="15840" builtinId="9" hidden="1"/>
    <cellStyle name="Followed Hyperlink" xfId="15871" builtinId="9" hidden="1"/>
    <cellStyle name="Followed Hyperlink" xfId="15920" builtinId="9" hidden="1"/>
    <cellStyle name="Followed Hyperlink" xfId="15922" builtinId="9" hidden="1"/>
    <cellStyle name="Followed Hyperlink" xfId="15924" builtinId="9" hidden="1"/>
    <cellStyle name="Followed Hyperlink" xfId="15926" builtinId="9" hidden="1"/>
    <cellStyle name="Followed Hyperlink" xfId="15874" builtinId="9" hidden="1"/>
    <cellStyle name="Followed Hyperlink" xfId="15839" builtinId="9" hidden="1"/>
    <cellStyle name="Followed Hyperlink" xfId="15928" builtinId="9" hidden="1"/>
    <cellStyle name="Followed Hyperlink" xfId="15930" builtinId="9" hidden="1"/>
    <cellStyle name="Followed Hyperlink" xfId="15932" builtinId="9" hidden="1"/>
    <cellStyle name="Followed Hyperlink" xfId="15934" builtinId="9" hidden="1"/>
    <cellStyle name="Followed Hyperlink" xfId="15866" builtinId="9" hidden="1"/>
    <cellStyle name="Followed Hyperlink" xfId="15846" builtinId="9" hidden="1"/>
    <cellStyle name="Followed Hyperlink" xfId="15936" builtinId="9" hidden="1"/>
    <cellStyle name="Followed Hyperlink" xfId="15938" builtinId="9" hidden="1"/>
    <cellStyle name="Followed Hyperlink" xfId="15940" builtinId="9" hidden="1"/>
    <cellStyle name="Followed Hyperlink" xfId="15942" builtinId="9" hidden="1"/>
    <cellStyle name="Followed Hyperlink" xfId="15848" builtinId="9" hidden="1"/>
    <cellStyle name="Followed Hyperlink" xfId="15870" builtinId="9" hidden="1"/>
    <cellStyle name="Followed Hyperlink" xfId="15944" builtinId="9" hidden="1"/>
    <cellStyle name="Followed Hyperlink" xfId="15946" builtinId="9" hidden="1"/>
    <cellStyle name="Followed Hyperlink" xfId="15948" builtinId="9" hidden="1"/>
    <cellStyle name="Followed Hyperlink" xfId="15950" builtinId="9" hidden="1"/>
    <cellStyle name="Followed Hyperlink" xfId="15863" builtinId="9" hidden="1"/>
    <cellStyle name="Followed Hyperlink" xfId="15843" builtinId="9" hidden="1"/>
    <cellStyle name="Followed Hyperlink" xfId="15952" builtinId="9" hidden="1"/>
    <cellStyle name="Followed Hyperlink" xfId="15954" builtinId="9" hidden="1"/>
    <cellStyle name="Followed Hyperlink" xfId="15956" builtinId="9" hidden="1"/>
    <cellStyle name="Followed Hyperlink" xfId="15958" builtinId="9" hidden="1"/>
    <cellStyle name="Followed Hyperlink" xfId="15854" builtinId="9" hidden="1"/>
    <cellStyle name="Followed Hyperlink" xfId="15878" builtinId="9" hidden="1"/>
    <cellStyle name="Followed Hyperlink" xfId="15960" builtinId="9" hidden="1"/>
    <cellStyle name="Followed Hyperlink" xfId="15962" builtinId="9" hidden="1"/>
    <cellStyle name="Followed Hyperlink" xfId="15964" builtinId="9" hidden="1"/>
    <cellStyle name="Followed Hyperlink" xfId="15966" builtinId="9" hidden="1"/>
    <cellStyle name="Followed Hyperlink" xfId="15852" builtinId="9" hidden="1"/>
    <cellStyle name="Followed Hyperlink" xfId="15851" builtinId="9" hidden="1"/>
    <cellStyle name="Followed Hyperlink" xfId="15968" builtinId="9" hidden="1"/>
    <cellStyle name="Followed Hyperlink" xfId="15970" builtinId="9" hidden="1"/>
    <cellStyle name="Followed Hyperlink" xfId="15972" builtinId="9" hidden="1"/>
    <cellStyle name="Followed Hyperlink" xfId="15974" builtinId="9" hidden="1"/>
    <cellStyle name="Followed Hyperlink" xfId="15850" builtinId="9" hidden="1"/>
    <cellStyle name="Followed Hyperlink" xfId="15872" builtinId="9" hidden="1"/>
    <cellStyle name="Followed Hyperlink" xfId="15976" builtinId="9" hidden="1"/>
    <cellStyle name="Followed Hyperlink" xfId="15978" builtinId="9" hidden="1"/>
    <cellStyle name="Followed Hyperlink" xfId="15980" builtinId="9" hidden="1"/>
    <cellStyle name="Followed Hyperlink" xfId="15982" builtinId="9" hidden="1"/>
    <cellStyle name="Followed Hyperlink" xfId="14418" builtinId="9" hidden="1"/>
    <cellStyle name="Followed Hyperlink" xfId="14978" builtinId="9" hidden="1"/>
    <cellStyle name="Followed Hyperlink" xfId="14449" builtinId="9" hidden="1"/>
    <cellStyle name="Followed Hyperlink" xfId="14359" builtinId="9" hidden="1"/>
    <cellStyle name="Followed Hyperlink" xfId="15818" builtinId="9" hidden="1"/>
    <cellStyle name="Followed Hyperlink" xfId="14338" builtinId="9" hidden="1"/>
    <cellStyle name="Followed Hyperlink" xfId="14453" builtinId="9" hidden="1"/>
    <cellStyle name="Followed Hyperlink" xfId="15319" builtinId="9" hidden="1"/>
    <cellStyle name="Followed Hyperlink" xfId="15985" builtinId="9" hidden="1"/>
    <cellStyle name="Followed Hyperlink" xfId="15987" builtinId="9" hidden="1"/>
    <cellStyle name="Followed Hyperlink" xfId="15989" builtinId="9" hidden="1"/>
    <cellStyle name="Followed Hyperlink" xfId="15991" builtinId="9" hidden="1"/>
    <cellStyle name="Followed Hyperlink" xfId="15993" builtinId="9" hidden="1"/>
    <cellStyle name="Followed Hyperlink" xfId="15995" builtinId="9" hidden="1"/>
    <cellStyle name="Followed Hyperlink" xfId="16045" builtinId="9" hidden="1"/>
    <cellStyle name="Followed Hyperlink" xfId="16047" builtinId="9" hidden="1"/>
    <cellStyle name="Followed Hyperlink" xfId="16049" builtinId="9" hidden="1"/>
    <cellStyle name="Followed Hyperlink" xfId="16051" builtinId="9" hidden="1"/>
    <cellStyle name="Followed Hyperlink" xfId="16020" builtinId="9" hidden="1"/>
    <cellStyle name="Followed Hyperlink" xfId="16009" builtinId="9" hidden="1"/>
    <cellStyle name="Followed Hyperlink" xfId="16053" builtinId="9" hidden="1"/>
    <cellStyle name="Followed Hyperlink" xfId="16055" builtinId="9" hidden="1"/>
    <cellStyle name="Followed Hyperlink" xfId="16057" builtinId="9" hidden="1"/>
    <cellStyle name="Followed Hyperlink" xfId="16059" builtinId="9" hidden="1"/>
    <cellStyle name="Followed Hyperlink" xfId="16003" builtinId="9" hidden="1"/>
    <cellStyle name="Followed Hyperlink" xfId="16006" builtinId="9" hidden="1"/>
    <cellStyle name="Followed Hyperlink" xfId="16061" builtinId="9" hidden="1"/>
    <cellStyle name="Followed Hyperlink" xfId="16063" builtinId="9" hidden="1"/>
    <cellStyle name="Followed Hyperlink" xfId="16065" builtinId="9" hidden="1"/>
    <cellStyle name="Followed Hyperlink" xfId="16067" builtinId="9" hidden="1"/>
    <cellStyle name="Followed Hyperlink" xfId="16021" builtinId="9" hidden="1"/>
    <cellStyle name="Followed Hyperlink" xfId="16034" builtinId="9" hidden="1"/>
    <cellStyle name="Followed Hyperlink" xfId="16069" builtinId="9" hidden="1"/>
    <cellStyle name="Followed Hyperlink" xfId="16071" builtinId="9" hidden="1"/>
    <cellStyle name="Followed Hyperlink" xfId="16073" builtinId="9" hidden="1"/>
    <cellStyle name="Followed Hyperlink" xfId="16075" builtinId="9" hidden="1"/>
    <cellStyle name="Followed Hyperlink" xfId="16033" builtinId="9" hidden="1"/>
    <cellStyle name="Followed Hyperlink" xfId="16000" builtinId="9" hidden="1"/>
    <cellStyle name="Followed Hyperlink" xfId="16077" builtinId="9" hidden="1"/>
    <cellStyle name="Followed Hyperlink" xfId="16079" builtinId="9" hidden="1"/>
    <cellStyle name="Followed Hyperlink" xfId="16081" builtinId="9" hidden="1"/>
    <cellStyle name="Followed Hyperlink" xfId="16083" builtinId="9" hidden="1"/>
    <cellStyle name="Followed Hyperlink" xfId="16005" builtinId="9" hidden="1"/>
    <cellStyle name="Followed Hyperlink" xfId="16036" builtinId="9" hidden="1"/>
    <cellStyle name="Followed Hyperlink" xfId="16085" builtinId="9" hidden="1"/>
    <cellStyle name="Followed Hyperlink" xfId="16087" builtinId="9" hidden="1"/>
    <cellStyle name="Followed Hyperlink" xfId="16089" builtinId="9" hidden="1"/>
    <cellStyle name="Followed Hyperlink" xfId="16091" builtinId="9" hidden="1"/>
    <cellStyle name="Followed Hyperlink" xfId="16039" builtinId="9" hidden="1"/>
    <cellStyle name="Followed Hyperlink" xfId="16004" builtinId="9" hidden="1"/>
    <cellStyle name="Followed Hyperlink" xfId="16093" builtinId="9" hidden="1"/>
    <cellStyle name="Followed Hyperlink" xfId="16095" builtinId="9" hidden="1"/>
    <cellStyle name="Followed Hyperlink" xfId="16097" builtinId="9" hidden="1"/>
    <cellStyle name="Followed Hyperlink" xfId="16099" builtinId="9" hidden="1"/>
    <cellStyle name="Followed Hyperlink" xfId="16031" builtinId="9" hidden="1"/>
    <cellStyle name="Followed Hyperlink" xfId="16011" builtinId="9" hidden="1"/>
    <cellStyle name="Followed Hyperlink" xfId="16101" builtinId="9" hidden="1"/>
    <cellStyle name="Followed Hyperlink" xfId="16103" builtinId="9" hidden="1"/>
    <cellStyle name="Followed Hyperlink" xfId="16105" builtinId="9" hidden="1"/>
    <cellStyle name="Followed Hyperlink" xfId="16107" builtinId="9" hidden="1"/>
    <cellStyle name="Followed Hyperlink" xfId="16013" builtinId="9" hidden="1"/>
    <cellStyle name="Followed Hyperlink" xfId="16035" builtinId="9" hidden="1"/>
    <cellStyle name="Followed Hyperlink" xfId="16109" builtinId="9" hidden="1"/>
    <cellStyle name="Followed Hyperlink" xfId="16111" builtinId="9" hidden="1"/>
    <cellStyle name="Followed Hyperlink" xfId="16113" builtinId="9" hidden="1"/>
    <cellStyle name="Followed Hyperlink" xfId="16115" builtinId="9" hidden="1"/>
    <cellStyle name="Followed Hyperlink" xfId="16028" builtinId="9" hidden="1"/>
    <cellStyle name="Followed Hyperlink" xfId="16008" builtinId="9" hidden="1"/>
    <cellStyle name="Followed Hyperlink" xfId="16117" builtinId="9" hidden="1"/>
    <cellStyle name="Followed Hyperlink" xfId="16119" builtinId="9" hidden="1"/>
    <cellStyle name="Followed Hyperlink" xfId="16121" builtinId="9" hidden="1"/>
    <cellStyle name="Followed Hyperlink" xfId="16123" builtinId="9" hidden="1"/>
    <cellStyle name="Followed Hyperlink" xfId="16019" builtinId="9" hidden="1"/>
    <cellStyle name="Followed Hyperlink" xfId="16043" builtinId="9" hidden="1"/>
    <cellStyle name="Followed Hyperlink" xfId="16125" builtinId="9" hidden="1"/>
    <cellStyle name="Followed Hyperlink" xfId="16127" builtinId="9" hidden="1"/>
    <cellStyle name="Followed Hyperlink" xfId="16129" builtinId="9" hidden="1"/>
    <cellStyle name="Followed Hyperlink" xfId="16131" builtinId="9" hidden="1"/>
    <cellStyle name="Followed Hyperlink" xfId="16017" builtinId="9" hidden="1"/>
    <cellStyle name="Followed Hyperlink" xfId="16016" builtinId="9" hidden="1"/>
    <cellStyle name="Followed Hyperlink" xfId="16133" builtinId="9" hidden="1"/>
    <cellStyle name="Followed Hyperlink" xfId="16135" builtinId="9" hidden="1"/>
    <cellStyle name="Followed Hyperlink" xfId="16137" builtinId="9" hidden="1"/>
    <cellStyle name="Followed Hyperlink" xfId="16139" builtinId="9" hidden="1"/>
    <cellStyle name="Followed Hyperlink" xfId="16015" builtinId="9" hidden="1"/>
    <cellStyle name="Followed Hyperlink" xfId="16037" builtinId="9" hidden="1"/>
    <cellStyle name="Followed Hyperlink" xfId="16141" builtinId="9" hidden="1"/>
    <cellStyle name="Followed Hyperlink" xfId="16143" builtinId="9" hidden="1"/>
    <cellStyle name="Followed Hyperlink" xfId="16145" builtinId="9" hidden="1"/>
    <cellStyle name="Followed Hyperlink" xfId="16147" builtinId="9" hidden="1"/>
    <cellStyle name="Followed Hyperlink" xfId="14344" builtinId="9" hidden="1"/>
    <cellStyle name="Followed Hyperlink" xfId="15147" builtinId="9" hidden="1"/>
    <cellStyle name="Followed Hyperlink" xfId="14425" builtinId="9" hidden="1"/>
    <cellStyle name="Followed Hyperlink" xfId="14457" builtinId="9" hidden="1"/>
    <cellStyle name="Followed Hyperlink" xfId="15983" builtinId="9" hidden="1"/>
    <cellStyle name="Followed Hyperlink" xfId="14335" builtinId="9" hidden="1"/>
    <cellStyle name="Followed Hyperlink" xfId="14421" builtinId="9" hidden="1"/>
    <cellStyle name="Followed Hyperlink" xfId="15486" builtinId="9" hidden="1"/>
    <cellStyle name="Followed Hyperlink" xfId="16150" builtinId="9" hidden="1"/>
    <cellStyle name="Followed Hyperlink" xfId="16152" builtinId="9" hidden="1"/>
    <cellStyle name="Followed Hyperlink" xfId="16154" builtinId="9" hidden="1"/>
    <cellStyle name="Followed Hyperlink" xfId="16156" builtinId="9" hidden="1"/>
    <cellStyle name="Followed Hyperlink" xfId="16158" builtinId="9" hidden="1"/>
    <cellStyle name="Followed Hyperlink" xfId="16160" builtinId="9" hidden="1"/>
    <cellStyle name="Followed Hyperlink" xfId="16210" builtinId="9" hidden="1"/>
    <cellStyle name="Followed Hyperlink" xfId="16212" builtinId="9" hidden="1"/>
    <cellStyle name="Followed Hyperlink" xfId="16214" builtinId="9" hidden="1"/>
    <cellStyle name="Followed Hyperlink" xfId="16216" builtinId="9" hidden="1"/>
    <cellStyle name="Followed Hyperlink" xfId="16185" builtinId="9" hidden="1"/>
    <cellStyle name="Followed Hyperlink" xfId="16174" builtinId="9" hidden="1"/>
    <cellStyle name="Followed Hyperlink" xfId="16218" builtinId="9" hidden="1"/>
    <cellStyle name="Followed Hyperlink" xfId="16220" builtinId="9" hidden="1"/>
    <cellStyle name="Followed Hyperlink" xfId="16222" builtinId="9" hidden="1"/>
    <cellStyle name="Followed Hyperlink" xfId="16224" builtinId="9" hidden="1"/>
    <cellStyle name="Followed Hyperlink" xfId="16168" builtinId="9" hidden="1"/>
    <cellStyle name="Followed Hyperlink" xfId="16171" builtinId="9" hidden="1"/>
    <cellStyle name="Followed Hyperlink" xfId="16226" builtinId="9" hidden="1"/>
    <cellStyle name="Followed Hyperlink" xfId="16228" builtinId="9" hidden="1"/>
    <cellStyle name="Followed Hyperlink" xfId="16230" builtinId="9" hidden="1"/>
    <cellStyle name="Followed Hyperlink" xfId="16232" builtinId="9" hidden="1"/>
    <cellStyle name="Followed Hyperlink" xfId="16186" builtinId="9" hidden="1"/>
    <cellStyle name="Followed Hyperlink" xfId="16199" builtinId="9" hidden="1"/>
    <cellStyle name="Followed Hyperlink" xfId="16234" builtinId="9" hidden="1"/>
    <cellStyle name="Followed Hyperlink" xfId="16236" builtinId="9" hidden="1"/>
    <cellStyle name="Followed Hyperlink" xfId="16238" builtinId="9" hidden="1"/>
    <cellStyle name="Followed Hyperlink" xfId="16240" builtinId="9" hidden="1"/>
    <cellStyle name="Followed Hyperlink" xfId="16198" builtinId="9" hidden="1"/>
    <cellStyle name="Followed Hyperlink" xfId="16165" builtinId="9" hidden="1"/>
    <cellStyle name="Followed Hyperlink" xfId="16242" builtinId="9" hidden="1"/>
    <cellStyle name="Followed Hyperlink" xfId="16244" builtinId="9" hidden="1"/>
    <cellStyle name="Followed Hyperlink" xfId="16246" builtinId="9" hidden="1"/>
    <cellStyle name="Followed Hyperlink" xfId="16248" builtinId="9" hidden="1"/>
    <cellStyle name="Followed Hyperlink" xfId="16170" builtinId="9" hidden="1"/>
    <cellStyle name="Followed Hyperlink" xfId="16201" builtinId="9" hidden="1"/>
    <cellStyle name="Followed Hyperlink" xfId="16250" builtinId="9" hidden="1"/>
    <cellStyle name="Followed Hyperlink" xfId="16252" builtinId="9" hidden="1"/>
    <cellStyle name="Followed Hyperlink" xfId="16254" builtinId="9" hidden="1"/>
    <cellStyle name="Followed Hyperlink" xfId="16256" builtinId="9" hidden="1"/>
    <cellStyle name="Followed Hyperlink" xfId="16204" builtinId="9" hidden="1"/>
    <cellStyle name="Followed Hyperlink" xfId="16169" builtinId="9" hidden="1"/>
    <cellStyle name="Followed Hyperlink" xfId="16258" builtinId="9" hidden="1"/>
    <cellStyle name="Followed Hyperlink" xfId="16260" builtinId="9" hidden="1"/>
    <cellStyle name="Followed Hyperlink" xfId="16262" builtinId="9" hidden="1"/>
    <cellStyle name="Followed Hyperlink" xfId="16264" builtinId="9" hidden="1"/>
    <cellStyle name="Followed Hyperlink" xfId="16196" builtinId="9" hidden="1"/>
    <cellStyle name="Followed Hyperlink" xfId="16176" builtinId="9" hidden="1"/>
    <cellStyle name="Followed Hyperlink" xfId="16266" builtinId="9" hidden="1"/>
    <cellStyle name="Followed Hyperlink" xfId="16268" builtinId="9" hidden="1"/>
    <cellStyle name="Followed Hyperlink" xfId="16270" builtinId="9" hidden="1"/>
    <cellStyle name="Followed Hyperlink" xfId="16272" builtinId="9" hidden="1"/>
    <cellStyle name="Followed Hyperlink" xfId="16178" builtinId="9" hidden="1"/>
    <cellStyle name="Followed Hyperlink" xfId="16200" builtinId="9" hidden="1"/>
    <cellStyle name="Followed Hyperlink" xfId="16274" builtinId="9" hidden="1"/>
    <cellStyle name="Followed Hyperlink" xfId="16276" builtinId="9" hidden="1"/>
    <cellStyle name="Followed Hyperlink" xfId="16278" builtinId="9" hidden="1"/>
    <cellStyle name="Followed Hyperlink" xfId="16280" builtinId="9" hidden="1"/>
    <cellStyle name="Followed Hyperlink" xfId="16193" builtinId="9" hidden="1"/>
    <cellStyle name="Followed Hyperlink" xfId="16173" builtinId="9" hidden="1"/>
    <cellStyle name="Followed Hyperlink" xfId="16282" builtinId="9" hidden="1"/>
    <cellStyle name="Followed Hyperlink" xfId="16284" builtinId="9" hidden="1"/>
    <cellStyle name="Followed Hyperlink" xfId="16286" builtinId="9" hidden="1"/>
    <cellStyle name="Followed Hyperlink" xfId="16288" builtinId="9" hidden="1"/>
    <cellStyle name="Followed Hyperlink" xfId="16184" builtinId="9" hidden="1"/>
    <cellStyle name="Followed Hyperlink" xfId="16208" builtinId="9" hidden="1"/>
    <cellStyle name="Followed Hyperlink" xfId="16290" builtinId="9" hidden="1"/>
    <cellStyle name="Followed Hyperlink" xfId="16292" builtinId="9" hidden="1"/>
    <cellStyle name="Followed Hyperlink" xfId="16294" builtinId="9" hidden="1"/>
    <cellStyle name="Followed Hyperlink" xfId="16296" builtinId="9" hidden="1"/>
    <cellStyle name="Followed Hyperlink" xfId="16182" builtinId="9" hidden="1"/>
    <cellStyle name="Followed Hyperlink" xfId="16181" builtinId="9" hidden="1"/>
    <cellStyle name="Followed Hyperlink" xfId="16298" builtinId="9" hidden="1"/>
    <cellStyle name="Followed Hyperlink" xfId="16300" builtinId="9" hidden="1"/>
    <cellStyle name="Followed Hyperlink" xfId="16302" builtinId="9" hidden="1"/>
    <cellStyle name="Followed Hyperlink" xfId="16304" builtinId="9" hidden="1"/>
    <cellStyle name="Followed Hyperlink" xfId="16180" builtinId="9" hidden="1"/>
    <cellStyle name="Followed Hyperlink" xfId="16202" builtinId="9" hidden="1"/>
    <cellStyle name="Followed Hyperlink" xfId="16306" builtinId="9" hidden="1"/>
    <cellStyle name="Followed Hyperlink" xfId="16308" builtinId="9" hidden="1"/>
    <cellStyle name="Followed Hyperlink" xfId="16310" builtinId="9" hidden="1"/>
    <cellStyle name="Followed Hyperlink" xfId="16312" builtinId="9" hidden="1"/>
    <cellStyle name="Followed Hyperlink" xfId="14415" builtinId="9" hidden="1"/>
    <cellStyle name="Followed Hyperlink" xfId="15316" builtinId="9" hidden="1"/>
    <cellStyle name="Followed Hyperlink" xfId="14470" builtinId="9" hidden="1"/>
    <cellStyle name="Followed Hyperlink" xfId="14459" builtinId="9" hidden="1"/>
    <cellStyle name="Followed Hyperlink" xfId="16148" builtinId="9" hidden="1"/>
    <cellStyle name="Followed Hyperlink" xfId="14436" builtinId="9" hidden="1"/>
    <cellStyle name="Followed Hyperlink" xfId="14337" builtinId="9" hidden="1"/>
    <cellStyle name="Followed Hyperlink" xfId="15653" builtinId="9" hidden="1"/>
    <cellStyle name="Followed Hyperlink" xfId="16314" builtinId="9" hidden="1"/>
    <cellStyle name="Followed Hyperlink" xfId="16316" builtinId="9" hidden="1"/>
    <cellStyle name="Followed Hyperlink" xfId="16318" builtinId="9" hidden="1"/>
    <cellStyle name="Followed Hyperlink" xfId="16320" builtinId="9" hidden="1"/>
    <cellStyle name="Followed Hyperlink" xfId="16322" builtinId="9" hidden="1"/>
    <cellStyle name="Followed Hyperlink" xfId="16324" builtinId="9" hidden="1"/>
    <cellStyle name="Followed Hyperlink" xfId="16374" builtinId="9" hidden="1"/>
    <cellStyle name="Followed Hyperlink" xfId="16376" builtinId="9" hidden="1"/>
    <cellStyle name="Followed Hyperlink" xfId="16378" builtinId="9" hidden="1"/>
    <cellStyle name="Followed Hyperlink" xfId="16380" builtinId="9" hidden="1"/>
    <cellStyle name="Followed Hyperlink" xfId="16349" builtinId="9" hidden="1"/>
    <cellStyle name="Followed Hyperlink" xfId="16338" builtinId="9" hidden="1"/>
    <cellStyle name="Followed Hyperlink" xfId="16382" builtinId="9" hidden="1"/>
    <cellStyle name="Followed Hyperlink" xfId="16384" builtinId="9" hidden="1"/>
    <cellStyle name="Followed Hyperlink" xfId="16386" builtinId="9" hidden="1"/>
    <cellStyle name="Followed Hyperlink" xfId="16388" builtinId="9" hidden="1"/>
    <cellStyle name="Followed Hyperlink" xfId="16332" builtinId="9" hidden="1"/>
    <cellStyle name="Followed Hyperlink" xfId="16335" builtinId="9" hidden="1"/>
    <cellStyle name="Followed Hyperlink" xfId="16390" builtinId="9" hidden="1"/>
    <cellStyle name="Followed Hyperlink" xfId="16392" builtinId="9" hidden="1"/>
    <cellStyle name="Followed Hyperlink" xfId="16394" builtinId="9" hidden="1"/>
    <cellStyle name="Followed Hyperlink" xfId="16396" builtinId="9" hidden="1"/>
    <cellStyle name="Followed Hyperlink" xfId="16350" builtinId="9" hidden="1"/>
    <cellStyle name="Followed Hyperlink" xfId="16363" builtinId="9" hidden="1"/>
    <cellStyle name="Followed Hyperlink" xfId="16398" builtinId="9" hidden="1"/>
    <cellStyle name="Followed Hyperlink" xfId="16400" builtinId="9" hidden="1"/>
    <cellStyle name="Followed Hyperlink" xfId="16402" builtinId="9" hidden="1"/>
    <cellStyle name="Followed Hyperlink" xfId="16404" builtinId="9" hidden="1"/>
    <cellStyle name="Followed Hyperlink" xfId="16362" builtinId="9" hidden="1"/>
    <cellStyle name="Followed Hyperlink" xfId="16329" builtinId="9" hidden="1"/>
    <cellStyle name="Followed Hyperlink" xfId="16406" builtinId="9" hidden="1"/>
    <cellStyle name="Followed Hyperlink" xfId="16408" builtinId="9" hidden="1"/>
    <cellStyle name="Followed Hyperlink" xfId="16410" builtinId="9" hidden="1"/>
    <cellStyle name="Followed Hyperlink" xfId="16412" builtinId="9" hidden="1"/>
    <cellStyle name="Followed Hyperlink" xfId="16334" builtinId="9" hidden="1"/>
    <cellStyle name="Followed Hyperlink" xfId="16365" builtinId="9" hidden="1"/>
    <cellStyle name="Followed Hyperlink" xfId="16414" builtinId="9" hidden="1"/>
    <cellStyle name="Followed Hyperlink" xfId="16416" builtinId="9" hidden="1"/>
    <cellStyle name="Followed Hyperlink" xfId="16418" builtinId="9" hidden="1"/>
    <cellStyle name="Followed Hyperlink" xfId="16420" builtinId="9" hidden="1"/>
    <cellStyle name="Followed Hyperlink" xfId="16368" builtinId="9" hidden="1"/>
    <cellStyle name="Followed Hyperlink" xfId="16333" builtinId="9" hidden="1"/>
    <cellStyle name="Followed Hyperlink" xfId="16422" builtinId="9" hidden="1"/>
    <cellStyle name="Followed Hyperlink" xfId="16424" builtinId="9" hidden="1"/>
    <cellStyle name="Followed Hyperlink" xfId="16426" builtinId="9" hidden="1"/>
    <cellStyle name="Followed Hyperlink" xfId="16428" builtinId="9" hidden="1"/>
    <cellStyle name="Followed Hyperlink" xfId="16360" builtinId="9" hidden="1"/>
    <cellStyle name="Followed Hyperlink" xfId="16340" builtinId="9" hidden="1"/>
    <cellStyle name="Followed Hyperlink" xfId="16430" builtinId="9" hidden="1"/>
    <cellStyle name="Followed Hyperlink" xfId="16432" builtinId="9" hidden="1"/>
    <cellStyle name="Followed Hyperlink" xfId="16434" builtinId="9" hidden="1"/>
    <cellStyle name="Followed Hyperlink" xfId="16436" builtinId="9" hidden="1"/>
    <cellStyle name="Followed Hyperlink" xfId="16342" builtinId="9" hidden="1"/>
    <cellStyle name="Followed Hyperlink" xfId="16364" builtinId="9" hidden="1"/>
    <cellStyle name="Followed Hyperlink" xfId="16438" builtinId="9" hidden="1"/>
    <cellStyle name="Followed Hyperlink" xfId="16440" builtinId="9" hidden="1"/>
    <cellStyle name="Followed Hyperlink" xfId="16442" builtinId="9" hidden="1"/>
    <cellStyle name="Followed Hyperlink" xfId="16444" builtinId="9" hidden="1"/>
    <cellStyle name="Followed Hyperlink" xfId="16357" builtinId="9" hidden="1"/>
    <cellStyle name="Followed Hyperlink" xfId="16337" builtinId="9" hidden="1"/>
    <cellStyle name="Followed Hyperlink" xfId="16446" builtinId="9" hidden="1"/>
    <cellStyle name="Followed Hyperlink" xfId="16448" builtinId="9" hidden="1"/>
    <cellStyle name="Followed Hyperlink" xfId="16450" builtinId="9" hidden="1"/>
    <cellStyle name="Followed Hyperlink" xfId="16452" builtinId="9" hidden="1"/>
    <cellStyle name="Followed Hyperlink" xfId="16348" builtinId="9" hidden="1"/>
    <cellStyle name="Followed Hyperlink" xfId="16372" builtinId="9" hidden="1"/>
    <cellStyle name="Followed Hyperlink" xfId="16454" builtinId="9" hidden="1"/>
    <cellStyle name="Followed Hyperlink" xfId="16456" builtinId="9" hidden="1"/>
    <cellStyle name="Followed Hyperlink" xfId="16458" builtinId="9" hidden="1"/>
    <cellStyle name="Followed Hyperlink" xfId="16460" builtinId="9" hidden="1"/>
    <cellStyle name="Followed Hyperlink" xfId="16346" builtinId="9" hidden="1"/>
    <cellStyle name="Followed Hyperlink" xfId="16345" builtinId="9" hidden="1"/>
    <cellStyle name="Followed Hyperlink" xfId="16462" builtinId="9" hidden="1"/>
    <cellStyle name="Followed Hyperlink" xfId="16464" builtinId="9" hidden="1"/>
    <cellStyle name="Followed Hyperlink" xfId="16466" builtinId="9" hidden="1"/>
    <cellStyle name="Followed Hyperlink" xfId="16468" builtinId="9" hidden="1"/>
    <cellStyle name="Followed Hyperlink" xfId="16344" builtinId="9" hidden="1"/>
    <cellStyle name="Followed Hyperlink" xfId="16366" builtinId="9" hidden="1"/>
    <cellStyle name="Followed Hyperlink" xfId="16470" builtinId="9" hidden="1"/>
    <cellStyle name="Followed Hyperlink" xfId="16472" builtinId="9" hidden="1"/>
    <cellStyle name="Followed Hyperlink" xfId="16474" builtinId="9" hidden="1"/>
    <cellStyle name="Followed Hyperlink" xfId="16476" builtinId="9" hidden="1"/>
    <cellStyle name="Followed Hyperlink" xfId="16479" builtinId="9" hidden="1"/>
    <cellStyle name="Followed Hyperlink" xfId="16481" builtinId="9" hidden="1"/>
    <cellStyle name="Followed Hyperlink" xfId="16483" builtinId="9" hidden="1"/>
    <cellStyle name="Followed Hyperlink" xfId="16485" builtinId="9" hidden="1"/>
    <cellStyle name="Followed Hyperlink" xfId="16487" builtinId="9" hidden="1"/>
    <cellStyle name="Followed Hyperlink" xfId="16489" builtinId="9" hidden="1"/>
    <cellStyle name="Followed Hyperlink" xfId="16491" builtinId="9" hidden="1"/>
    <cellStyle name="Followed Hyperlink" xfId="16493" builtinId="9" hidden="1"/>
    <cellStyle name="Followed Hyperlink" xfId="16495" builtinId="9" hidden="1"/>
    <cellStyle name="Followed Hyperlink" xfId="16497" builtinId="9" hidden="1"/>
    <cellStyle name="Followed Hyperlink" xfId="16499" builtinId="9" hidden="1"/>
    <cellStyle name="Followed Hyperlink" xfId="16501" builtinId="9" hidden="1"/>
    <cellStyle name="Followed Hyperlink" xfId="16503" builtinId="9" hidden="1"/>
    <cellStyle name="Followed Hyperlink" xfId="16505" builtinId="9" hidden="1"/>
    <cellStyle name="Followed Hyperlink" xfId="16555" builtinId="9" hidden="1"/>
    <cellStyle name="Followed Hyperlink" xfId="16557" builtinId="9" hidden="1"/>
    <cellStyle name="Followed Hyperlink" xfId="16559" builtinId="9" hidden="1"/>
    <cellStyle name="Followed Hyperlink" xfId="16561" builtinId="9" hidden="1"/>
    <cellStyle name="Followed Hyperlink" xfId="16530" builtinId="9" hidden="1"/>
    <cellStyle name="Followed Hyperlink" xfId="16519" builtinId="9" hidden="1"/>
    <cellStyle name="Followed Hyperlink" xfId="16563" builtinId="9" hidden="1"/>
    <cellStyle name="Followed Hyperlink" xfId="16565" builtinId="9" hidden="1"/>
    <cellStyle name="Followed Hyperlink" xfId="16567" builtinId="9" hidden="1"/>
    <cellStyle name="Followed Hyperlink" xfId="16569" builtinId="9" hidden="1"/>
    <cellStyle name="Followed Hyperlink" xfId="16513" builtinId="9" hidden="1"/>
    <cellStyle name="Followed Hyperlink" xfId="16516" builtinId="9" hidden="1"/>
    <cellStyle name="Followed Hyperlink" xfId="16571" builtinId="9" hidden="1"/>
    <cellStyle name="Followed Hyperlink" xfId="16573" builtinId="9" hidden="1"/>
    <cellStyle name="Followed Hyperlink" xfId="16575" builtinId="9" hidden="1"/>
    <cellStyle name="Followed Hyperlink" xfId="16577" builtinId="9" hidden="1"/>
    <cellStyle name="Followed Hyperlink" xfId="16531" builtinId="9" hidden="1"/>
    <cellStyle name="Followed Hyperlink" xfId="16544" builtinId="9" hidden="1"/>
    <cellStyle name="Followed Hyperlink" xfId="16579" builtinId="9" hidden="1"/>
    <cellStyle name="Followed Hyperlink" xfId="16581" builtinId="9" hidden="1"/>
    <cellStyle name="Followed Hyperlink" xfId="16583" builtinId="9" hidden="1"/>
    <cellStyle name="Followed Hyperlink" xfId="16585" builtinId="9" hidden="1"/>
    <cellStyle name="Followed Hyperlink" xfId="16543" builtinId="9" hidden="1"/>
    <cellStyle name="Followed Hyperlink" xfId="16510" builtinId="9" hidden="1"/>
    <cellStyle name="Followed Hyperlink" xfId="16587" builtinId="9" hidden="1"/>
    <cellStyle name="Followed Hyperlink" xfId="16589" builtinId="9" hidden="1"/>
    <cellStyle name="Followed Hyperlink" xfId="16591" builtinId="9" hidden="1"/>
    <cellStyle name="Followed Hyperlink" xfId="16593" builtinId="9" hidden="1"/>
    <cellStyle name="Followed Hyperlink" xfId="16515" builtinId="9" hidden="1"/>
    <cellStyle name="Followed Hyperlink" xfId="16546" builtinId="9" hidden="1"/>
    <cellStyle name="Followed Hyperlink" xfId="16595" builtinId="9" hidden="1"/>
    <cellStyle name="Followed Hyperlink" xfId="16597" builtinId="9" hidden="1"/>
    <cellStyle name="Followed Hyperlink" xfId="16599" builtinId="9" hidden="1"/>
    <cellStyle name="Followed Hyperlink" xfId="16601" builtinId="9" hidden="1"/>
    <cellStyle name="Followed Hyperlink" xfId="16549" builtinId="9" hidden="1"/>
    <cellStyle name="Followed Hyperlink" xfId="16514" builtinId="9" hidden="1"/>
    <cellStyle name="Followed Hyperlink" xfId="16603" builtinId="9" hidden="1"/>
    <cellStyle name="Followed Hyperlink" xfId="16605" builtinId="9" hidden="1"/>
    <cellStyle name="Followed Hyperlink" xfId="16607" builtinId="9" hidden="1"/>
    <cellStyle name="Followed Hyperlink" xfId="16609" builtinId="9" hidden="1"/>
    <cellStyle name="Followed Hyperlink" xfId="16541" builtinId="9" hidden="1"/>
    <cellStyle name="Followed Hyperlink" xfId="16521" builtinId="9" hidden="1"/>
    <cellStyle name="Followed Hyperlink" xfId="16611" builtinId="9" hidden="1"/>
    <cellStyle name="Followed Hyperlink" xfId="16613" builtinId="9" hidden="1"/>
    <cellStyle name="Followed Hyperlink" xfId="16615" builtinId="9" hidden="1"/>
    <cellStyle name="Followed Hyperlink" xfId="16617" builtinId="9" hidden="1"/>
    <cellStyle name="Followed Hyperlink" xfId="16523" builtinId="9" hidden="1"/>
    <cellStyle name="Followed Hyperlink" xfId="16545" builtinId="9" hidden="1"/>
    <cellStyle name="Followed Hyperlink" xfId="16619" builtinId="9" hidden="1"/>
    <cellStyle name="Followed Hyperlink" xfId="16621" builtinId="9" hidden="1"/>
    <cellStyle name="Followed Hyperlink" xfId="16623" builtinId="9" hidden="1"/>
    <cellStyle name="Followed Hyperlink" xfId="16625" builtinId="9" hidden="1"/>
    <cellStyle name="Followed Hyperlink" xfId="16538" builtinId="9" hidden="1"/>
    <cellStyle name="Followed Hyperlink" xfId="16518" builtinId="9" hidden="1"/>
    <cellStyle name="Followed Hyperlink" xfId="16627" builtinId="9" hidden="1"/>
    <cellStyle name="Followed Hyperlink" xfId="16629" builtinId="9" hidden="1"/>
    <cellStyle name="Followed Hyperlink" xfId="16631" builtinId="9" hidden="1"/>
    <cellStyle name="Followed Hyperlink" xfId="16633" builtinId="9" hidden="1"/>
    <cellStyle name="Followed Hyperlink" xfId="16529" builtinId="9" hidden="1"/>
    <cellStyle name="Followed Hyperlink" xfId="16553" builtinId="9" hidden="1"/>
    <cellStyle name="Followed Hyperlink" xfId="16635" builtinId="9" hidden="1"/>
    <cellStyle name="Followed Hyperlink" xfId="16637" builtinId="9" hidden="1"/>
    <cellStyle name="Followed Hyperlink" xfId="16639" builtinId="9" hidden="1"/>
    <cellStyle name="Followed Hyperlink" xfId="16641" builtinId="9" hidden="1"/>
    <cellStyle name="Followed Hyperlink" xfId="16527" builtinId="9" hidden="1"/>
    <cellStyle name="Followed Hyperlink" xfId="16526" builtinId="9" hidden="1"/>
    <cellStyle name="Followed Hyperlink" xfId="16643" builtinId="9" hidden="1"/>
    <cellStyle name="Followed Hyperlink" xfId="16645" builtinId="9" hidden="1"/>
    <cellStyle name="Followed Hyperlink" xfId="16647" builtinId="9" hidden="1"/>
    <cellStyle name="Followed Hyperlink" xfId="16649" builtinId="9" hidden="1"/>
    <cellStyle name="Followed Hyperlink" xfId="16525" builtinId="9" hidden="1"/>
    <cellStyle name="Followed Hyperlink" xfId="16547" builtinId="9" hidden="1"/>
    <cellStyle name="Followed Hyperlink" xfId="16651" builtinId="9" hidden="1"/>
    <cellStyle name="Followed Hyperlink" xfId="16653" builtinId="9" hidden="1"/>
    <cellStyle name="Followed Hyperlink" xfId="16655" builtinId="9" hidden="1"/>
    <cellStyle name="Followed Hyperlink" xfId="16657" builtinId="9" hidden="1"/>
    <cellStyle name="Followed Hyperlink" xfId="16659" builtinId="9" hidden="1"/>
    <cellStyle name="Followed Hyperlink" xfId="16661" builtinId="9" hidden="1"/>
    <cellStyle name="Followed Hyperlink" xfId="16663" builtinId="9" hidden="1"/>
    <cellStyle name="Followed Hyperlink" xfId="16665" builtinId="9" hidden="1"/>
    <cellStyle name="Followed Hyperlink" xfId="16667" builtinId="9" hidden="1"/>
    <cellStyle name="Followed Hyperlink" xfId="16669" builtinId="9" hidden="1"/>
    <cellStyle name="Followed Hyperlink" xfId="16672" builtinId="9" hidden="1"/>
    <cellStyle name="Followed Hyperlink" xfId="16674" builtinId="9" hidden="1"/>
    <cellStyle name="Followed Hyperlink" xfId="16676" builtinId="9" hidden="1"/>
    <cellStyle name="Followed Hyperlink" xfId="16678" builtinId="9" hidden="1"/>
    <cellStyle name="Followed Hyperlink" xfId="16680" builtinId="9" hidden="1"/>
    <cellStyle name="Followed Hyperlink" xfId="16682" builtinId="9" hidden="1"/>
    <cellStyle name="Followed Hyperlink" xfId="16684" builtinId="9" hidden="1"/>
    <cellStyle name="Followed Hyperlink" xfId="16686" builtinId="9" hidden="1"/>
    <cellStyle name="Followed Hyperlink" xfId="16688" builtinId="9" hidden="1"/>
    <cellStyle name="Followed Hyperlink" xfId="16690" builtinId="9" hidden="1"/>
    <cellStyle name="Followed Hyperlink" xfId="16692" builtinId="9" hidden="1"/>
    <cellStyle name="Followed Hyperlink" xfId="16694" builtinId="9" hidden="1"/>
    <cellStyle name="Followed Hyperlink" xfId="16696" builtinId="9" hidden="1"/>
    <cellStyle name="Followed Hyperlink" xfId="16698" builtinId="9" hidden="1"/>
    <cellStyle name="Followed Hyperlink" xfId="16748" builtinId="9" hidden="1"/>
    <cellStyle name="Followed Hyperlink" xfId="16750" builtinId="9" hidden="1"/>
    <cellStyle name="Followed Hyperlink" xfId="16752" builtinId="9" hidden="1"/>
    <cellStyle name="Followed Hyperlink" xfId="16754" builtinId="9" hidden="1"/>
    <cellStyle name="Followed Hyperlink" xfId="16723" builtinId="9" hidden="1"/>
    <cellStyle name="Followed Hyperlink" xfId="16712" builtinId="9" hidden="1"/>
    <cellStyle name="Followed Hyperlink" xfId="16756" builtinId="9" hidden="1"/>
    <cellStyle name="Followed Hyperlink" xfId="16758" builtinId="9" hidden="1"/>
    <cellStyle name="Followed Hyperlink" xfId="16760" builtinId="9" hidden="1"/>
    <cellStyle name="Followed Hyperlink" xfId="16762" builtinId="9" hidden="1"/>
    <cellStyle name="Followed Hyperlink" xfId="16706" builtinId="9" hidden="1"/>
    <cellStyle name="Followed Hyperlink" xfId="16709" builtinId="9" hidden="1"/>
    <cellStyle name="Followed Hyperlink" xfId="16764" builtinId="9" hidden="1"/>
    <cellStyle name="Followed Hyperlink" xfId="16766" builtinId="9" hidden="1"/>
    <cellStyle name="Followed Hyperlink" xfId="16768" builtinId="9" hidden="1"/>
    <cellStyle name="Followed Hyperlink" xfId="16770" builtinId="9" hidden="1"/>
    <cellStyle name="Followed Hyperlink" xfId="16724" builtinId="9" hidden="1"/>
    <cellStyle name="Followed Hyperlink" xfId="16737" builtinId="9" hidden="1"/>
    <cellStyle name="Followed Hyperlink" xfId="16772" builtinId="9" hidden="1"/>
    <cellStyle name="Followed Hyperlink" xfId="16774" builtinId="9" hidden="1"/>
    <cellStyle name="Followed Hyperlink" xfId="16776" builtinId="9" hidden="1"/>
    <cellStyle name="Followed Hyperlink" xfId="16778" builtinId="9" hidden="1"/>
    <cellStyle name="Followed Hyperlink" xfId="16736" builtinId="9" hidden="1"/>
    <cellStyle name="Followed Hyperlink" xfId="16703" builtinId="9" hidden="1"/>
    <cellStyle name="Followed Hyperlink" xfId="16780" builtinId="9" hidden="1"/>
    <cellStyle name="Followed Hyperlink" xfId="16782" builtinId="9" hidden="1"/>
    <cellStyle name="Followed Hyperlink" xfId="16784" builtinId="9" hidden="1"/>
    <cellStyle name="Followed Hyperlink" xfId="16786" builtinId="9" hidden="1"/>
    <cellStyle name="Followed Hyperlink" xfId="16708" builtinId="9" hidden="1"/>
    <cellStyle name="Followed Hyperlink" xfId="16739" builtinId="9" hidden="1"/>
    <cellStyle name="Followed Hyperlink" xfId="16788" builtinId="9" hidden="1"/>
    <cellStyle name="Followed Hyperlink" xfId="16790" builtinId="9" hidden="1"/>
    <cellStyle name="Followed Hyperlink" xfId="16792" builtinId="9" hidden="1"/>
    <cellStyle name="Followed Hyperlink" xfId="16794" builtinId="9" hidden="1"/>
    <cellStyle name="Followed Hyperlink" xfId="16742" builtinId="9" hidden="1"/>
    <cellStyle name="Followed Hyperlink" xfId="16707" builtinId="9" hidden="1"/>
    <cellStyle name="Followed Hyperlink" xfId="16796" builtinId="9" hidden="1"/>
    <cellStyle name="Followed Hyperlink" xfId="16798" builtinId="9" hidden="1"/>
    <cellStyle name="Followed Hyperlink" xfId="16800" builtinId="9" hidden="1"/>
    <cellStyle name="Followed Hyperlink" xfId="16802" builtinId="9" hidden="1"/>
    <cellStyle name="Followed Hyperlink" xfId="16734" builtinId="9" hidden="1"/>
    <cellStyle name="Followed Hyperlink" xfId="16714" builtinId="9" hidden="1"/>
    <cellStyle name="Followed Hyperlink" xfId="16804" builtinId="9" hidden="1"/>
    <cellStyle name="Followed Hyperlink" xfId="16806" builtinId="9" hidden="1"/>
    <cellStyle name="Followed Hyperlink" xfId="16808" builtinId="9" hidden="1"/>
    <cellStyle name="Followed Hyperlink" xfId="16810" builtinId="9" hidden="1"/>
    <cellStyle name="Followed Hyperlink" xfId="16716" builtinId="9" hidden="1"/>
    <cellStyle name="Followed Hyperlink" xfId="16738" builtinId="9" hidden="1"/>
    <cellStyle name="Followed Hyperlink" xfId="16812" builtinId="9" hidden="1"/>
    <cellStyle name="Followed Hyperlink" xfId="16814" builtinId="9" hidden="1"/>
    <cellStyle name="Followed Hyperlink" xfId="16816" builtinId="9" hidden="1"/>
    <cellStyle name="Followed Hyperlink" xfId="16818" builtinId="9" hidden="1"/>
    <cellStyle name="Followed Hyperlink" xfId="16731" builtinId="9" hidden="1"/>
    <cellStyle name="Followed Hyperlink" xfId="16711" builtinId="9" hidden="1"/>
    <cellStyle name="Followed Hyperlink" xfId="16820" builtinId="9" hidden="1"/>
    <cellStyle name="Followed Hyperlink" xfId="16822" builtinId="9" hidden="1"/>
    <cellStyle name="Followed Hyperlink" xfId="16824" builtinId="9" hidden="1"/>
    <cellStyle name="Followed Hyperlink" xfId="16826" builtinId="9" hidden="1"/>
    <cellStyle name="Followed Hyperlink" xfId="16722" builtinId="9" hidden="1"/>
    <cellStyle name="Followed Hyperlink" xfId="16746" builtinId="9" hidden="1"/>
    <cellStyle name="Followed Hyperlink" xfId="16828" builtinId="9" hidden="1"/>
    <cellStyle name="Followed Hyperlink" xfId="16830" builtinId="9" hidden="1"/>
    <cellStyle name="Followed Hyperlink" xfId="16832" builtinId="9" hidden="1"/>
    <cellStyle name="Followed Hyperlink" xfId="16834" builtinId="9" hidden="1"/>
    <cellStyle name="Followed Hyperlink" xfId="16720" builtinId="9" hidden="1"/>
    <cellStyle name="Followed Hyperlink" xfId="16719" builtinId="9" hidden="1"/>
    <cellStyle name="Followed Hyperlink" xfId="16836" builtinId="9" hidden="1"/>
    <cellStyle name="Followed Hyperlink" xfId="16838" builtinId="9" hidden="1"/>
    <cellStyle name="Followed Hyperlink" xfId="16840" builtinId="9" hidden="1"/>
    <cellStyle name="Followed Hyperlink" xfId="16842" builtinId="9" hidden="1"/>
    <cellStyle name="Followed Hyperlink" xfId="16718" builtinId="9" hidden="1"/>
    <cellStyle name="Followed Hyperlink" xfId="16740" builtinId="9" hidden="1"/>
    <cellStyle name="Followed Hyperlink" xfId="16844" builtinId="9" hidden="1"/>
    <cellStyle name="Followed Hyperlink" xfId="16846" builtinId="9" hidden="1"/>
    <cellStyle name="Followed Hyperlink" xfId="16848" builtinId="9" hidden="1"/>
    <cellStyle name="Followed Hyperlink" xfId="16850" builtinId="9" hidden="1"/>
    <cellStyle name="Followed Hyperlink" xfId="16852" builtinId="9" hidden="1"/>
    <cellStyle name="Followed Hyperlink" xfId="16854" builtinId="9" hidden="1"/>
    <cellStyle name="Followed Hyperlink" xfId="16920" builtinId="9" hidden="1"/>
    <cellStyle name="Followed Hyperlink" xfId="16922" builtinId="9" hidden="1"/>
    <cellStyle name="Followed Hyperlink" xfId="16924" builtinId="9" hidden="1"/>
    <cellStyle name="Followed Hyperlink" xfId="16926" builtinId="9" hidden="1"/>
    <cellStyle name="Followed Hyperlink" xfId="16929" builtinId="9" hidden="1"/>
    <cellStyle name="Followed Hyperlink" xfId="16931" builtinId="9" hidden="1"/>
    <cellStyle name="Followed Hyperlink" xfId="17005" builtinId="9" hidden="1"/>
    <cellStyle name="Followed Hyperlink" xfId="17007" builtinId="9" hidden="1"/>
    <cellStyle name="Followed Hyperlink" xfId="17009" builtinId="9" hidden="1"/>
    <cellStyle name="Followed Hyperlink" xfId="17011" builtinId="9" hidden="1"/>
    <cellStyle name="Followed Hyperlink" xfId="17013" builtinId="9" hidden="1"/>
    <cellStyle name="Followed Hyperlink" xfId="17015" builtinId="9" hidden="1"/>
    <cellStyle name="Followed Hyperlink" xfId="17065" builtinId="9" hidden="1"/>
    <cellStyle name="Followed Hyperlink" xfId="17067" builtinId="9" hidden="1"/>
    <cellStyle name="Followed Hyperlink" xfId="17069" builtinId="9" hidden="1"/>
    <cellStyle name="Followed Hyperlink" xfId="17071" builtinId="9" hidden="1"/>
    <cellStyle name="Followed Hyperlink" xfId="17040" builtinId="9" hidden="1"/>
    <cellStyle name="Followed Hyperlink" xfId="17029" builtinId="9" hidden="1"/>
    <cellStyle name="Followed Hyperlink" xfId="17073" builtinId="9" hidden="1"/>
    <cellStyle name="Followed Hyperlink" xfId="17075" builtinId="9" hidden="1"/>
    <cellStyle name="Followed Hyperlink" xfId="17077" builtinId="9" hidden="1"/>
    <cellStyle name="Followed Hyperlink" xfId="17079" builtinId="9" hidden="1"/>
    <cellStyle name="Followed Hyperlink" xfId="17023" builtinId="9" hidden="1"/>
    <cellStyle name="Followed Hyperlink" xfId="17026" builtinId="9" hidden="1"/>
    <cellStyle name="Followed Hyperlink" xfId="17081" builtinId="9" hidden="1"/>
    <cellStyle name="Followed Hyperlink" xfId="17083" builtinId="9" hidden="1"/>
    <cellStyle name="Followed Hyperlink" xfId="17085" builtinId="9" hidden="1"/>
    <cellStyle name="Followed Hyperlink" xfId="17087" builtinId="9" hidden="1"/>
    <cellStyle name="Followed Hyperlink" xfId="17041" builtinId="9" hidden="1"/>
    <cellStyle name="Followed Hyperlink" xfId="17054" builtinId="9" hidden="1"/>
    <cellStyle name="Followed Hyperlink" xfId="17089" builtinId="9" hidden="1"/>
    <cellStyle name="Followed Hyperlink" xfId="17091" builtinId="9" hidden="1"/>
    <cellStyle name="Followed Hyperlink" xfId="17093" builtinId="9" hidden="1"/>
    <cellStyle name="Followed Hyperlink" xfId="17095" builtinId="9" hidden="1"/>
    <cellStyle name="Followed Hyperlink" xfId="17053" builtinId="9" hidden="1"/>
    <cellStyle name="Followed Hyperlink" xfId="17020" builtinId="9" hidden="1"/>
    <cellStyle name="Followed Hyperlink" xfId="17097" builtinId="9" hidden="1"/>
    <cellStyle name="Followed Hyperlink" xfId="17099" builtinId="9" hidden="1"/>
    <cellStyle name="Followed Hyperlink" xfId="17101" builtinId="9" hidden="1"/>
    <cellStyle name="Followed Hyperlink" xfId="17103" builtinId="9" hidden="1"/>
    <cellStyle name="Followed Hyperlink" xfId="17025" builtinId="9" hidden="1"/>
    <cellStyle name="Followed Hyperlink" xfId="17056" builtinId="9" hidden="1"/>
    <cellStyle name="Followed Hyperlink" xfId="17105" builtinId="9" hidden="1"/>
    <cellStyle name="Followed Hyperlink" xfId="17107" builtinId="9" hidden="1"/>
    <cellStyle name="Followed Hyperlink" xfId="17109" builtinId="9" hidden="1"/>
    <cellStyle name="Followed Hyperlink" xfId="17111" builtinId="9" hidden="1"/>
    <cellStyle name="Followed Hyperlink" xfId="17059" builtinId="9" hidden="1"/>
    <cellStyle name="Followed Hyperlink" xfId="17024" builtinId="9" hidden="1"/>
    <cellStyle name="Followed Hyperlink" xfId="17113" builtinId="9" hidden="1"/>
    <cellStyle name="Followed Hyperlink" xfId="17115" builtinId="9" hidden="1"/>
    <cellStyle name="Followed Hyperlink" xfId="17117" builtinId="9" hidden="1"/>
    <cellStyle name="Followed Hyperlink" xfId="17119" builtinId="9" hidden="1"/>
    <cellStyle name="Followed Hyperlink" xfId="17051" builtinId="9" hidden="1"/>
    <cellStyle name="Followed Hyperlink" xfId="17031" builtinId="9" hidden="1"/>
    <cellStyle name="Followed Hyperlink" xfId="17121" builtinId="9" hidden="1"/>
    <cellStyle name="Followed Hyperlink" xfId="17123" builtinId="9" hidden="1"/>
    <cellStyle name="Followed Hyperlink" xfId="17125" builtinId="9" hidden="1"/>
    <cellStyle name="Followed Hyperlink" xfId="17127" builtinId="9" hidden="1"/>
    <cellStyle name="Followed Hyperlink" xfId="17033" builtinId="9" hidden="1"/>
    <cellStyle name="Followed Hyperlink" xfId="17055" builtinId="9" hidden="1"/>
    <cellStyle name="Followed Hyperlink" xfId="17129" builtinId="9" hidden="1"/>
    <cellStyle name="Followed Hyperlink" xfId="17131" builtinId="9" hidden="1"/>
    <cellStyle name="Followed Hyperlink" xfId="17133" builtinId="9" hidden="1"/>
    <cellStyle name="Followed Hyperlink" xfId="17135" builtinId="9" hidden="1"/>
    <cellStyle name="Followed Hyperlink" xfId="17048" builtinId="9" hidden="1"/>
    <cellStyle name="Followed Hyperlink" xfId="17028" builtinId="9" hidden="1"/>
    <cellStyle name="Followed Hyperlink" xfId="17137" builtinId="9" hidden="1"/>
    <cellStyle name="Followed Hyperlink" xfId="17139" builtinId="9" hidden="1"/>
    <cellStyle name="Followed Hyperlink" xfId="17141" builtinId="9" hidden="1"/>
    <cellStyle name="Followed Hyperlink" xfId="17143" builtinId="9" hidden="1"/>
    <cellStyle name="Followed Hyperlink" xfId="17039" builtinId="9" hidden="1"/>
    <cellStyle name="Followed Hyperlink" xfId="17063" builtinId="9" hidden="1"/>
    <cellStyle name="Followed Hyperlink" xfId="17145" builtinId="9" hidden="1"/>
    <cellStyle name="Followed Hyperlink" xfId="17147" builtinId="9" hidden="1"/>
    <cellStyle name="Followed Hyperlink" xfId="17149" builtinId="9" hidden="1"/>
    <cellStyle name="Followed Hyperlink" xfId="17151" builtinId="9" hidden="1"/>
    <cellStyle name="Followed Hyperlink" xfId="17037" builtinId="9" hidden="1"/>
    <cellStyle name="Followed Hyperlink" xfId="17036" builtinId="9" hidden="1"/>
    <cellStyle name="Followed Hyperlink" xfId="17153" builtinId="9" hidden="1"/>
    <cellStyle name="Followed Hyperlink" xfId="17155" builtinId="9" hidden="1"/>
    <cellStyle name="Followed Hyperlink" xfId="17157" builtinId="9" hidden="1"/>
    <cellStyle name="Followed Hyperlink" xfId="17159" builtinId="9" hidden="1"/>
    <cellStyle name="Followed Hyperlink" xfId="17035" builtinId="9" hidden="1"/>
    <cellStyle name="Followed Hyperlink" xfId="17057" builtinId="9" hidden="1"/>
    <cellStyle name="Followed Hyperlink" xfId="17161" builtinId="9" hidden="1"/>
    <cellStyle name="Followed Hyperlink" xfId="17163" builtinId="9" hidden="1"/>
    <cellStyle name="Followed Hyperlink" xfId="17165" builtinId="9" hidden="1"/>
    <cellStyle name="Followed Hyperlink" xfId="17167" builtinId="9" hidden="1"/>
    <cellStyle name="Followed Hyperlink" xfId="16944" builtinId="9" hidden="1"/>
    <cellStyle name="Followed Hyperlink" xfId="16891" builtinId="9" hidden="1"/>
    <cellStyle name="Followed Hyperlink" xfId="16946" builtinId="9" hidden="1"/>
    <cellStyle name="Followed Hyperlink" xfId="16897" builtinId="9" hidden="1"/>
    <cellStyle name="Followed Hyperlink" xfId="17002" builtinId="9" hidden="1"/>
    <cellStyle name="Followed Hyperlink" xfId="16882" builtinId="9" hidden="1"/>
    <cellStyle name="Followed Hyperlink" xfId="16935" builtinId="9" hidden="1"/>
    <cellStyle name="Followed Hyperlink" xfId="16885" builtinId="9" hidden="1"/>
    <cellStyle name="Followed Hyperlink" xfId="17172" builtinId="9" hidden="1"/>
    <cellStyle name="Followed Hyperlink" xfId="17174" builtinId="9" hidden="1"/>
    <cellStyle name="Followed Hyperlink" xfId="17176" builtinId="9" hidden="1"/>
    <cellStyle name="Followed Hyperlink" xfId="17178" builtinId="9" hidden="1"/>
    <cellStyle name="Followed Hyperlink" xfId="17181" builtinId="9" hidden="1"/>
    <cellStyle name="Followed Hyperlink" xfId="17183" builtinId="9" hidden="1"/>
    <cellStyle name="Followed Hyperlink" xfId="17233" builtinId="9" hidden="1"/>
    <cellStyle name="Followed Hyperlink" xfId="17235" builtinId="9" hidden="1"/>
    <cellStyle name="Followed Hyperlink" xfId="17237" builtinId="9" hidden="1"/>
    <cellStyle name="Followed Hyperlink" xfId="17239" builtinId="9" hidden="1"/>
    <cellStyle name="Followed Hyperlink" xfId="17208" builtinId="9" hidden="1"/>
    <cellStyle name="Followed Hyperlink" xfId="17197" builtinId="9" hidden="1"/>
    <cellStyle name="Followed Hyperlink" xfId="17241" builtinId="9" hidden="1"/>
    <cellStyle name="Followed Hyperlink" xfId="17243" builtinId="9" hidden="1"/>
    <cellStyle name="Followed Hyperlink" xfId="17245" builtinId="9" hidden="1"/>
    <cellStyle name="Followed Hyperlink" xfId="17247" builtinId="9" hidden="1"/>
    <cellStyle name="Followed Hyperlink" xfId="17191" builtinId="9" hidden="1"/>
    <cellStyle name="Followed Hyperlink" xfId="17194" builtinId="9" hidden="1"/>
    <cellStyle name="Followed Hyperlink" xfId="17249" builtinId="9" hidden="1"/>
    <cellStyle name="Followed Hyperlink" xfId="17251" builtinId="9" hidden="1"/>
    <cellStyle name="Followed Hyperlink" xfId="17253" builtinId="9" hidden="1"/>
    <cellStyle name="Followed Hyperlink" xfId="17255" builtinId="9" hidden="1"/>
    <cellStyle name="Followed Hyperlink" xfId="17209" builtinId="9" hidden="1"/>
    <cellStyle name="Followed Hyperlink" xfId="17222" builtinId="9" hidden="1"/>
    <cellStyle name="Followed Hyperlink" xfId="17257" builtinId="9" hidden="1"/>
    <cellStyle name="Followed Hyperlink" xfId="17259" builtinId="9" hidden="1"/>
    <cellStyle name="Followed Hyperlink" xfId="17261" builtinId="9" hidden="1"/>
    <cellStyle name="Followed Hyperlink" xfId="17263" builtinId="9" hidden="1"/>
    <cellStyle name="Followed Hyperlink" xfId="17221" builtinId="9" hidden="1"/>
    <cellStyle name="Followed Hyperlink" xfId="17188" builtinId="9" hidden="1"/>
    <cellStyle name="Followed Hyperlink" xfId="17265" builtinId="9" hidden="1"/>
    <cellStyle name="Followed Hyperlink" xfId="17267" builtinId="9" hidden="1"/>
    <cellStyle name="Followed Hyperlink" xfId="17269" builtinId="9" hidden="1"/>
    <cellStyle name="Followed Hyperlink" xfId="17271" builtinId="9" hidden="1"/>
    <cellStyle name="Followed Hyperlink" xfId="17193" builtinId="9" hidden="1"/>
    <cellStyle name="Followed Hyperlink" xfId="17224" builtinId="9" hidden="1"/>
    <cellStyle name="Followed Hyperlink" xfId="17273" builtinId="9" hidden="1"/>
    <cellStyle name="Followed Hyperlink" xfId="17275" builtinId="9" hidden="1"/>
    <cellStyle name="Followed Hyperlink" xfId="17277" builtinId="9" hidden="1"/>
    <cellStyle name="Followed Hyperlink" xfId="17279" builtinId="9" hidden="1"/>
    <cellStyle name="Followed Hyperlink" xfId="17227" builtinId="9" hidden="1"/>
    <cellStyle name="Followed Hyperlink" xfId="17192" builtinId="9" hidden="1"/>
    <cellStyle name="Followed Hyperlink" xfId="17281" builtinId="9" hidden="1"/>
    <cellStyle name="Followed Hyperlink" xfId="17283" builtinId="9" hidden="1"/>
    <cellStyle name="Followed Hyperlink" xfId="17285" builtinId="9" hidden="1"/>
    <cellStyle name="Followed Hyperlink" xfId="17287" builtinId="9" hidden="1"/>
    <cellStyle name="Followed Hyperlink" xfId="17219" builtinId="9" hidden="1"/>
    <cellStyle name="Followed Hyperlink" xfId="17199" builtinId="9" hidden="1"/>
    <cellStyle name="Followed Hyperlink" xfId="17289" builtinId="9" hidden="1"/>
    <cellStyle name="Followed Hyperlink" xfId="17291" builtinId="9" hidden="1"/>
    <cellStyle name="Followed Hyperlink" xfId="17293" builtinId="9" hidden="1"/>
    <cellStyle name="Followed Hyperlink" xfId="17295" builtinId="9" hidden="1"/>
    <cellStyle name="Followed Hyperlink" xfId="17201" builtinId="9" hidden="1"/>
    <cellStyle name="Followed Hyperlink" xfId="17223" builtinId="9" hidden="1"/>
    <cellStyle name="Followed Hyperlink" xfId="17297" builtinId="9" hidden="1"/>
    <cellStyle name="Followed Hyperlink" xfId="17299" builtinId="9" hidden="1"/>
    <cellStyle name="Followed Hyperlink" xfId="17301" builtinId="9" hidden="1"/>
    <cellStyle name="Followed Hyperlink" xfId="17303" builtinId="9" hidden="1"/>
    <cellStyle name="Followed Hyperlink" xfId="17216" builtinId="9" hidden="1"/>
    <cellStyle name="Followed Hyperlink" xfId="17196" builtinId="9" hidden="1"/>
    <cellStyle name="Followed Hyperlink" xfId="17305" builtinId="9" hidden="1"/>
    <cellStyle name="Followed Hyperlink" xfId="17307" builtinId="9" hidden="1"/>
    <cellStyle name="Followed Hyperlink" xfId="17309" builtinId="9" hidden="1"/>
    <cellStyle name="Followed Hyperlink" xfId="17311" builtinId="9" hidden="1"/>
    <cellStyle name="Followed Hyperlink" xfId="17207" builtinId="9" hidden="1"/>
    <cellStyle name="Followed Hyperlink" xfId="17231" builtinId="9" hidden="1"/>
    <cellStyle name="Followed Hyperlink" xfId="17313" builtinId="9" hidden="1"/>
    <cellStyle name="Followed Hyperlink" xfId="17315" builtinId="9" hidden="1"/>
    <cellStyle name="Followed Hyperlink" xfId="17317" builtinId="9" hidden="1"/>
    <cellStyle name="Followed Hyperlink" xfId="17319" builtinId="9" hidden="1"/>
    <cellStyle name="Followed Hyperlink" xfId="17205" builtinId="9" hidden="1"/>
    <cellStyle name="Followed Hyperlink" xfId="17204" builtinId="9" hidden="1"/>
    <cellStyle name="Followed Hyperlink" xfId="17321" builtinId="9" hidden="1"/>
    <cellStyle name="Followed Hyperlink" xfId="17323" builtinId="9" hidden="1"/>
    <cellStyle name="Followed Hyperlink" xfId="17325" builtinId="9" hidden="1"/>
    <cellStyle name="Followed Hyperlink" xfId="17327" builtinId="9" hidden="1"/>
    <cellStyle name="Followed Hyperlink" xfId="17203" builtinId="9" hidden="1"/>
    <cellStyle name="Followed Hyperlink" xfId="17225" builtinId="9" hidden="1"/>
    <cellStyle name="Followed Hyperlink" xfId="17329" builtinId="9" hidden="1"/>
    <cellStyle name="Followed Hyperlink" xfId="17331" builtinId="9" hidden="1"/>
    <cellStyle name="Followed Hyperlink" xfId="17333" builtinId="9" hidden="1"/>
    <cellStyle name="Followed Hyperlink" xfId="17335" builtinId="9" hidden="1"/>
    <cellStyle name="Followed Hyperlink" xfId="16670" builtinId="9" hidden="1"/>
    <cellStyle name="Followed Hyperlink" xfId="16985" builtinId="9" hidden="1"/>
    <cellStyle name="Followed Hyperlink" xfId="17170" builtinId="9" hidden="1"/>
    <cellStyle name="Followed Hyperlink" xfId="16883" builtinId="9" hidden="1"/>
    <cellStyle name="Followed Hyperlink" xfId="16940" builtinId="9" hidden="1"/>
    <cellStyle name="Followed Hyperlink" xfId="16896" builtinId="9" hidden="1"/>
    <cellStyle name="Followed Hyperlink" xfId="16932" builtinId="9" hidden="1"/>
    <cellStyle name="Followed Hyperlink" xfId="16913" builtinId="9" hidden="1"/>
    <cellStyle name="Followed Hyperlink" xfId="17346" builtinId="9" hidden="1"/>
    <cellStyle name="Followed Hyperlink" xfId="17348" builtinId="9" hidden="1"/>
    <cellStyle name="Followed Hyperlink" xfId="17350" builtinId="9" hidden="1"/>
    <cellStyle name="Followed Hyperlink" xfId="17352" builtinId="9" hidden="1"/>
    <cellStyle name="Followed Hyperlink" xfId="17354" builtinId="9" hidden="1"/>
    <cellStyle name="Followed Hyperlink" xfId="17356" builtinId="9" hidden="1"/>
    <cellStyle name="Followed Hyperlink" xfId="17406" builtinId="9" hidden="1"/>
    <cellStyle name="Followed Hyperlink" xfId="17408" builtinId="9" hidden="1"/>
    <cellStyle name="Followed Hyperlink" xfId="17410" builtinId="9" hidden="1"/>
    <cellStyle name="Followed Hyperlink" xfId="17412" builtinId="9" hidden="1"/>
    <cellStyle name="Followed Hyperlink" xfId="17381" builtinId="9" hidden="1"/>
    <cellStyle name="Followed Hyperlink" xfId="17370" builtinId="9" hidden="1"/>
    <cellStyle name="Followed Hyperlink" xfId="17414" builtinId="9" hidden="1"/>
    <cellStyle name="Followed Hyperlink" xfId="17416" builtinId="9" hidden="1"/>
    <cellStyle name="Followed Hyperlink" xfId="17418" builtinId="9" hidden="1"/>
    <cellStyle name="Followed Hyperlink" xfId="17420" builtinId="9" hidden="1"/>
    <cellStyle name="Followed Hyperlink" xfId="17364" builtinId="9" hidden="1"/>
    <cellStyle name="Followed Hyperlink" xfId="17367" builtinId="9" hidden="1"/>
    <cellStyle name="Followed Hyperlink" xfId="17422" builtinId="9" hidden="1"/>
    <cellStyle name="Followed Hyperlink" xfId="17424" builtinId="9" hidden="1"/>
    <cellStyle name="Followed Hyperlink" xfId="17426" builtinId="9" hidden="1"/>
    <cellStyle name="Followed Hyperlink" xfId="17428" builtinId="9" hidden="1"/>
    <cellStyle name="Followed Hyperlink" xfId="17382" builtinId="9" hidden="1"/>
    <cellStyle name="Followed Hyperlink" xfId="17395" builtinId="9" hidden="1"/>
    <cellStyle name="Followed Hyperlink" xfId="17430" builtinId="9" hidden="1"/>
    <cellStyle name="Followed Hyperlink" xfId="17432" builtinId="9" hidden="1"/>
    <cellStyle name="Followed Hyperlink" xfId="17434" builtinId="9" hidden="1"/>
    <cellStyle name="Followed Hyperlink" xfId="17436" builtinId="9" hidden="1"/>
    <cellStyle name="Followed Hyperlink" xfId="17394" builtinId="9" hidden="1"/>
    <cellStyle name="Followed Hyperlink" xfId="17361" builtinId="9" hidden="1"/>
    <cellStyle name="Followed Hyperlink" xfId="17438" builtinId="9" hidden="1"/>
    <cellStyle name="Followed Hyperlink" xfId="17440" builtinId="9" hidden="1"/>
    <cellStyle name="Followed Hyperlink" xfId="17442" builtinId="9" hidden="1"/>
    <cellStyle name="Followed Hyperlink" xfId="17444" builtinId="9" hidden="1"/>
    <cellStyle name="Followed Hyperlink" xfId="17366" builtinId="9" hidden="1"/>
    <cellStyle name="Followed Hyperlink" xfId="17397" builtinId="9" hidden="1"/>
    <cellStyle name="Followed Hyperlink" xfId="17446" builtinId="9" hidden="1"/>
    <cellStyle name="Followed Hyperlink" xfId="17448" builtinId="9" hidden="1"/>
    <cellStyle name="Followed Hyperlink" xfId="17450" builtinId="9" hidden="1"/>
    <cellStyle name="Followed Hyperlink" xfId="17452" builtinId="9" hidden="1"/>
    <cellStyle name="Followed Hyperlink" xfId="17400" builtinId="9" hidden="1"/>
    <cellStyle name="Followed Hyperlink" xfId="17365" builtinId="9" hidden="1"/>
    <cellStyle name="Followed Hyperlink" xfId="17454" builtinId="9" hidden="1"/>
    <cellStyle name="Followed Hyperlink" xfId="17456" builtinId="9" hidden="1"/>
    <cellStyle name="Followed Hyperlink" xfId="17458" builtinId="9" hidden="1"/>
    <cellStyle name="Followed Hyperlink" xfId="17460" builtinId="9" hidden="1"/>
    <cellStyle name="Followed Hyperlink" xfId="17392" builtinId="9" hidden="1"/>
    <cellStyle name="Followed Hyperlink" xfId="17372" builtinId="9" hidden="1"/>
    <cellStyle name="Followed Hyperlink" xfId="17462" builtinId="9" hidden="1"/>
    <cellStyle name="Followed Hyperlink" xfId="17464" builtinId="9" hidden="1"/>
    <cellStyle name="Followed Hyperlink" xfId="17466" builtinId="9" hidden="1"/>
    <cellStyle name="Followed Hyperlink" xfId="17468" builtinId="9" hidden="1"/>
    <cellStyle name="Followed Hyperlink" xfId="17374" builtinId="9" hidden="1"/>
    <cellStyle name="Followed Hyperlink" xfId="17396" builtinId="9" hidden="1"/>
    <cellStyle name="Followed Hyperlink" xfId="17470" builtinId="9" hidden="1"/>
    <cellStyle name="Followed Hyperlink" xfId="17472" builtinId="9" hidden="1"/>
    <cellStyle name="Followed Hyperlink" xfId="17474" builtinId="9" hidden="1"/>
    <cellStyle name="Followed Hyperlink" xfId="17476" builtinId="9" hidden="1"/>
    <cellStyle name="Followed Hyperlink" xfId="17389" builtinId="9" hidden="1"/>
    <cellStyle name="Followed Hyperlink" xfId="17369" builtinId="9" hidden="1"/>
    <cellStyle name="Followed Hyperlink" xfId="17478" builtinId="9" hidden="1"/>
    <cellStyle name="Followed Hyperlink" xfId="17480" builtinId="9" hidden="1"/>
    <cellStyle name="Followed Hyperlink" xfId="17482" builtinId="9" hidden="1"/>
    <cellStyle name="Followed Hyperlink" xfId="17484" builtinId="9" hidden="1"/>
    <cellStyle name="Followed Hyperlink" xfId="17380" builtinId="9" hidden="1"/>
    <cellStyle name="Followed Hyperlink" xfId="17404" builtinId="9" hidden="1"/>
    <cellStyle name="Followed Hyperlink" xfId="17486" builtinId="9" hidden="1"/>
    <cellStyle name="Followed Hyperlink" xfId="17488" builtinId="9" hidden="1"/>
    <cellStyle name="Followed Hyperlink" xfId="17490" builtinId="9" hidden="1"/>
    <cellStyle name="Followed Hyperlink" xfId="17492" builtinId="9" hidden="1"/>
    <cellStyle name="Followed Hyperlink" xfId="17378" builtinId="9" hidden="1"/>
    <cellStyle name="Followed Hyperlink" xfId="17377" builtinId="9" hidden="1"/>
    <cellStyle name="Followed Hyperlink" xfId="17494" builtinId="9" hidden="1"/>
    <cellStyle name="Followed Hyperlink" xfId="17496" builtinId="9" hidden="1"/>
    <cellStyle name="Followed Hyperlink" xfId="17498" builtinId="9" hidden="1"/>
    <cellStyle name="Followed Hyperlink" xfId="17500" builtinId="9" hidden="1"/>
    <cellStyle name="Followed Hyperlink" xfId="17376" builtinId="9" hidden="1"/>
    <cellStyle name="Followed Hyperlink" xfId="17398" builtinId="9" hidden="1"/>
    <cellStyle name="Followed Hyperlink" xfId="17502" builtinId="9" hidden="1"/>
    <cellStyle name="Followed Hyperlink" xfId="17504" builtinId="9" hidden="1"/>
    <cellStyle name="Followed Hyperlink" xfId="17506" builtinId="9" hidden="1"/>
    <cellStyle name="Followed Hyperlink" xfId="17508" builtinId="9" hidden="1"/>
    <cellStyle name="Followed Hyperlink" xfId="16994" builtinId="9" hidden="1"/>
    <cellStyle name="Followed Hyperlink" xfId="16889" builtinId="9" hidden="1"/>
    <cellStyle name="Followed Hyperlink" xfId="16960" builtinId="9" hidden="1"/>
    <cellStyle name="Followed Hyperlink" xfId="16962" builtinId="9" hidden="1"/>
    <cellStyle name="Followed Hyperlink" xfId="17342" builtinId="9" hidden="1"/>
    <cellStyle name="Followed Hyperlink" xfId="16908" builtinId="9" hidden="1"/>
    <cellStyle name="Followed Hyperlink" xfId="16914" builtinId="9" hidden="1"/>
    <cellStyle name="Followed Hyperlink" xfId="16890" builtinId="9" hidden="1"/>
    <cellStyle name="Followed Hyperlink" xfId="17516" builtinId="9" hidden="1"/>
    <cellStyle name="Followed Hyperlink" xfId="17518" builtinId="9" hidden="1"/>
    <cellStyle name="Followed Hyperlink" xfId="17520" builtinId="9" hidden="1"/>
    <cellStyle name="Followed Hyperlink" xfId="17522" builtinId="9" hidden="1"/>
    <cellStyle name="Followed Hyperlink" xfId="17524" builtinId="9" hidden="1"/>
    <cellStyle name="Followed Hyperlink" xfId="17526" builtinId="9" hidden="1"/>
    <cellStyle name="Followed Hyperlink" xfId="17576" builtinId="9" hidden="1"/>
    <cellStyle name="Followed Hyperlink" xfId="17578" builtinId="9" hidden="1"/>
    <cellStyle name="Followed Hyperlink" xfId="17580" builtinId="9" hidden="1"/>
    <cellStyle name="Followed Hyperlink" xfId="17582" builtinId="9" hidden="1"/>
    <cellStyle name="Followed Hyperlink" xfId="17551" builtinId="9" hidden="1"/>
    <cellStyle name="Followed Hyperlink" xfId="17540" builtinId="9" hidden="1"/>
    <cellStyle name="Followed Hyperlink" xfId="17584" builtinId="9" hidden="1"/>
    <cellStyle name="Followed Hyperlink" xfId="17586" builtinId="9" hidden="1"/>
    <cellStyle name="Followed Hyperlink" xfId="17588" builtinId="9" hidden="1"/>
    <cellStyle name="Followed Hyperlink" xfId="17590" builtinId="9" hidden="1"/>
    <cellStyle name="Followed Hyperlink" xfId="17534" builtinId="9" hidden="1"/>
    <cellStyle name="Followed Hyperlink" xfId="17537" builtinId="9" hidden="1"/>
    <cellStyle name="Followed Hyperlink" xfId="17592" builtinId="9" hidden="1"/>
    <cellStyle name="Followed Hyperlink" xfId="17594" builtinId="9" hidden="1"/>
    <cellStyle name="Followed Hyperlink" xfId="17596" builtinId="9" hidden="1"/>
    <cellStyle name="Followed Hyperlink" xfId="17598" builtinId="9" hidden="1"/>
    <cellStyle name="Followed Hyperlink" xfId="17552" builtinId="9" hidden="1"/>
    <cellStyle name="Followed Hyperlink" xfId="17565" builtinId="9" hidden="1"/>
    <cellStyle name="Followed Hyperlink" xfId="17600" builtinId="9" hidden="1"/>
    <cellStyle name="Followed Hyperlink" xfId="17602" builtinId="9" hidden="1"/>
    <cellStyle name="Followed Hyperlink" xfId="17604" builtinId="9" hidden="1"/>
    <cellStyle name="Followed Hyperlink" xfId="17606" builtinId="9" hidden="1"/>
    <cellStyle name="Followed Hyperlink" xfId="17564" builtinId="9" hidden="1"/>
    <cellStyle name="Followed Hyperlink" xfId="17531" builtinId="9" hidden="1"/>
    <cellStyle name="Followed Hyperlink" xfId="17608" builtinId="9" hidden="1"/>
    <cellStyle name="Followed Hyperlink" xfId="17610" builtinId="9" hidden="1"/>
    <cellStyle name="Followed Hyperlink" xfId="17612" builtinId="9" hidden="1"/>
    <cellStyle name="Followed Hyperlink" xfId="17614" builtinId="9" hidden="1"/>
    <cellStyle name="Followed Hyperlink" xfId="17536" builtinId="9" hidden="1"/>
    <cellStyle name="Followed Hyperlink" xfId="17567" builtinId="9" hidden="1"/>
    <cellStyle name="Followed Hyperlink" xfId="17616" builtinId="9" hidden="1"/>
    <cellStyle name="Followed Hyperlink" xfId="17618" builtinId="9" hidden="1"/>
    <cellStyle name="Followed Hyperlink" xfId="17620" builtinId="9" hidden="1"/>
    <cellStyle name="Followed Hyperlink" xfId="17622" builtinId="9" hidden="1"/>
    <cellStyle name="Followed Hyperlink" xfId="17570" builtinId="9" hidden="1"/>
    <cellStyle name="Followed Hyperlink" xfId="17535" builtinId="9" hidden="1"/>
    <cellStyle name="Followed Hyperlink" xfId="17624" builtinId="9" hidden="1"/>
    <cellStyle name="Followed Hyperlink" xfId="17626" builtinId="9" hidden="1"/>
    <cellStyle name="Followed Hyperlink" xfId="17628" builtinId="9" hidden="1"/>
    <cellStyle name="Followed Hyperlink" xfId="17630" builtinId="9" hidden="1"/>
    <cellStyle name="Followed Hyperlink" xfId="17562" builtinId="9" hidden="1"/>
    <cellStyle name="Followed Hyperlink" xfId="17542" builtinId="9" hidden="1"/>
    <cellStyle name="Followed Hyperlink" xfId="17632" builtinId="9" hidden="1"/>
    <cellStyle name="Followed Hyperlink" xfId="17634" builtinId="9" hidden="1"/>
    <cellStyle name="Followed Hyperlink" xfId="17636" builtinId="9" hidden="1"/>
    <cellStyle name="Followed Hyperlink" xfId="17638" builtinId="9" hidden="1"/>
    <cellStyle name="Followed Hyperlink" xfId="17544" builtinId="9" hidden="1"/>
    <cellStyle name="Followed Hyperlink" xfId="17566" builtinId="9" hidden="1"/>
    <cellStyle name="Followed Hyperlink" xfId="17640" builtinId="9" hidden="1"/>
    <cellStyle name="Followed Hyperlink" xfId="17642" builtinId="9" hidden="1"/>
    <cellStyle name="Followed Hyperlink" xfId="17644" builtinId="9" hidden="1"/>
    <cellStyle name="Followed Hyperlink" xfId="17646" builtinId="9" hidden="1"/>
    <cellStyle name="Followed Hyperlink" xfId="17559" builtinId="9" hidden="1"/>
    <cellStyle name="Followed Hyperlink" xfId="17539" builtinId="9" hidden="1"/>
    <cellStyle name="Followed Hyperlink" xfId="17648" builtinId="9" hidden="1"/>
    <cellStyle name="Followed Hyperlink" xfId="17650" builtinId="9" hidden="1"/>
    <cellStyle name="Followed Hyperlink" xfId="17652" builtinId="9" hidden="1"/>
    <cellStyle name="Followed Hyperlink" xfId="17654" builtinId="9" hidden="1"/>
    <cellStyle name="Followed Hyperlink" xfId="17550" builtinId="9" hidden="1"/>
    <cellStyle name="Followed Hyperlink" xfId="17574" builtinId="9" hidden="1"/>
    <cellStyle name="Followed Hyperlink" xfId="17656" builtinId="9" hidden="1"/>
    <cellStyle name="Followed Hyperlink" xfId="17658" builtinId="9" hidden="1"/>
    <cellStyle name="Followed Hyperlink" xfId="17660" builtinId="9" hidden="1"/>
    <cellStyle name="Followed Hyperlink" xfId="17662" builtinId="9" hidden="1"/>
    <cellStyle name="Followed Hyperlink" xfId="17548" builtinId="9" hidden="1"/>
    <cellStyle name="Followed Hyperlink" xfId="17547" builtinId="9" hidden="1"/>
    <cellStyle name="Followed Hyperlink" xfId="17664" builtinId="9" hidden="1"/>
    <cellStyle name="Followed Hyperlink" xfId="17666" builtinId="9" hidden="1"/>
    <cellStyle name="Followed Hyperlink" xfId="17668" builtinId="9" hidden="1"/>
    <cellStyle name="Followed Hyperlink" xfId="17670" builtinId="9" hidden="1"/>
    <cellStyle name="Followed Hyperlink" xfId="17546" builtinId="9" hidden="1"/>
    <cellStyle name="Followed Hyperlink" xfId="17568" builtinId="9" hidden="1"/>
    <cellStyle name="Followed Hyperlink" xfId="17672" builtinId="9" hidden="1"/>
    <cellStyle name="Followed Hyperlink" xfId="17674" builtinId="9" hidden="1"/>
    <cellStyle name="Followed Hyperlink" xfId="17676" builtinId="9" hidden="1"/>
    <cellStyle name="Followed Hyperlink" xfId="17678" builtinId="9" hidden="1"/>
    <cellStyle name="Followed Hyperlink" xfId="16880" builtinId="9" hidden="1"/>
    <cellStyle name="Followed Hyperlink" xfId="16961" builtinId="9" hidden="1"/>
    <cellStyle name="Followed Hyperlink" xfId="16950" builtinId="9" hidden="1"/>
    <cellStyle name="Followed Hyperlink" xfId="16909" builtinId="9" hidden="1"/>
    <cellStyle name="Followed Hyperlink" xfId="17512" builtinId="9" hidden="1"/>
    <cellStyle name="Followed Hyperlink" xfId="16903" builtinId="9" hidden="1"/>
    <cellStyle name="Followed Hyperlink" xfId="16939" builtinId="9" hidden="1"/>
    <cellStyle name="Followed Hyperlink" xfId="16888" builtinId="9" hidden="1"/>
    <cellStyle name="Followed Hyperlink" xfId="17685" builtinId="9" hidden="1"/>
    <cellStyle name="Followed Hyperlink" xfId="17687" builtinId="9" hidden="1"/>
    <cellStyle name="Followed Hyperlink" xfId="17689" builtinId="9" hidden="1"/>
    <cellStyle name="Followed Hyperlink" xfId="17691" builtinId="9" hidden="1"/>
    <cellStyle name="Followed Hyperlink" xfId="17693" builtinId="9" hidden="1"/>
    <cellStyle name="Followed Hyperlink" xfId="17695" builtinId="9" hidden="1"/>
    <cellStyle name="Followed Hyperlink" xfId="17745" builtinId="9" hidden="1"/>
    <cellStyle name="Followed Hyperlink" xfId="17747" builtinId="9" hidden="1"/>
    <cellStyle name="Followed Hyperlink" xfId="17749" builtinId="9" hidden="1"/>
    <cellStyle name="Followed Hyperlink" xfId="17751" builtinId="9" hidden="1"/>
    <cellStyle name="Followed Hyperlink" xfId="17720" builtinId="9" hidden="1"/>
    <cellStyle name="Followed Hyperlink" xfId="17709" builtinId="9" hidden="1"/>
    <cellStyle name="Followed Hyperlink" xfId="17753" builtinId="9" hidden="1"/>
    <cellStyle name="Followed Hyperlink" xfId="17755" builtinId="9" hidden="1"/>
    <cellStyle name="Followed Hyperlink" xfId="17757" builtinId="9" hidden="1"/>
    <cellStyle name="Followed Hyperlink" xfId="17759" builtinId="9" hidden="1"/>
    <cellStyle name="Followed Hyperlink" xfId="17703" builtinId="9" hidden="1"/>
    <cellStyle name="Followed Hyperlink" xfId="17706" builtinId="9" hidden="1"/>
    <cellStyle name="Followed Hyperlink" xfId="17761" builtinId="9" hidden="1"/>
    <cellStyle name="Followed Hyperlink" xfId="17763" builtinId="9" hidden="1"/>
    <cellStyle name="Followed Hyperlink" xfId="17765" builtinId="9" hidden="1"/>
    <cellStyle name="Followed Hyperlink" xfId="17767" builtinId="9" hidden="1"/>
    <cellStyle name="Followed Hyperlink" xfId="17721" builtinId="9" hidden="1"/>
    <cellStyle name="Followed Hyperlink" xfId="17734" builtinId="9" hidden="1"/>
    <cellStyle name="Followed Hyperlink" xfId="17769" builtinId="9" hidden="1"/>
    <cellStyle name="Followed Hyperlink" xfId="17771" builtinId="9" hidden="1"/>
    <cellStyle name="Followed Hyperlink" xfId="17773" builtinId="9" hidden="1"/>
    <cellStyle name="Followed Hyperlink" xfId="17775" builtinId="9" hidden="1"/>
    <cellStyle name="Followed Hyperlink" xfId="17733" builtinId="9" hidden="1"/>
    <cellStyle name="Followed Hyperlink" xfId="17700" builtinId="9" hidden="1"/>
    <cellStyle name="Followed Hyperlink" xfId="17777" builtinId="9" hidden="1"/>
    <cellStyle name="Followed Hyperlink" xfId="17779" builtinId="9" hidden="1"/>
    <cellStyle name="Followed Hyperlink" xfId="17781" builtinId="9" hidden="1"/>
    <cellStyle name="Followed Hyperlink" xfId="17783" builtinId="9" hidden="1"/>
    <cellStyle name="Followed Hyperlink" xfId="17705" builtinId="9" hidden="1"/>
    <cellStyle name="Followed Hyperlink" xfId="17736" builtinId="9" hidden="1"/>
    <cellStyle name="Followed Hyperlink" xfId="17785" builtinId="9" hidden="1"/>
    <cellStyle name="Followed Hyperlink" xfId="17787" builtinId="9" hidden="1"/>
    <cellStyle name="Followed Hyperlink" xfId="17789" builtinId="9" hidden="1"/>
    <cellStyle name="Followed Hyperlink" xfId="17791" builtinId="9" hidden="1"/>
    <cellStyle name="Followed Hyperlink" xfId="17739" builtinId="9" hidden="1"/>
    <cellStyle name="Followed Hyperlink" xfId="17704" builtinId="9" hidden="1"/>
    <cellStyle name="Followed Hyperlink" xfId="17793" builtinId="9" hidden="1"/>
    <cellStyle name="Followed Hyperlink" xfId="17795" builtinId="9" hidden="1"/>
    <cellStyle name="Followed Hyperlink" xfId="17797" builtinId="9" hidden="1"/>
    <cellStyle name="Followed Hyperlink" xfId="17799" builtinId="9" hidden="1"/>
    <cellStyle name="Followed Hyperlink" xfId="17731" builtinId="9" hidden="1"/>
    <cellStyle name="Followed Hyperlink" xfId="17711" builtinId="9" hidden="1"/>
    <cellStyle name="Followed Hyperlink" xfId="17801" builtinId="9" hidden="1"/>
    <cellStyle name="Followed Hyperlink" xfId="17803" builtinId="9" hidden="1"/>
    <cellStyle name="Followed Hyperlink" xfId="17805" builtinId="9" hidden="1"/>
    <cellStyle name="Followed Hyperlink" xfId="17807" builtinId="9" hidden="1"/>
    <cellStyle name="Followed Hyperlink" xfId="17713" builtinId="9" hidden="1"/>
    <cellStyle name="Followed Hyperlink" xfId="17735" builtinId="9" hidden="1"/>
    <cellStyle name="Followed Hyperlink" xfId="17809" builtinId="9" hidden="1"/>
    <cellStyle name="Followed Hyperlink" xfId="17811" builtinId="9" hidden="1"/>
    <cellStyle name="Followed Hyperlink" xfId="17813" builtinId="9" hidden="1"/>
    <cellStyle name="Followed Hyperlink" xfId="17815" builtinId="9" hidden="1"/>
    <cellStyle name="Followed Hyperlink" xfId="17728" builtinId="9" hidden="1"/>
    <cellStyle name="Followed Hyperlink" xfId="17708" builtinId="9" hidden="1"/>
    <cellStyle name="Followed Hyperlink" xfId="17817" builtinId="9" hidden="1"/>
    <cellStyle name="Followed Hyperlink" xfId="17819" builtinId="9" hidden="1"/>
    <cellStyle name="Followed Hyperlink" xfId="17821" builtinId="9" hidden="1"/>
    <cellStyle name="Followed Hyperlink" xfId="17823" builtinId="9" hidden="1"/>
    <cellStyle name="Followed Hyperlink" xfId="17719" builtinId="9" hidden="1"/>
    <cellStyle name="Followed Hyperlink" xfId="17743" builtinId="9" hidden="1"/>
    <cellStyle name="Followed Hyperlink" xfId="17825" builtinId="9" hidden="1"/>
    <cellStyle name="Followed Hyperlink" xfId="17827" builtinId="9" hidden="1"/>
    <cellStyle name="Followed Hyperlink" xfId="17829" builtinId="9" hidden="1"/>
    <cellStyle name="Followed Hyperlink" xfId="17831" builtinId="9" hidden="1"/>
    <cellStyle name="Followed Hyperlink" xfId="17717" builtinId="9" hidden="1"/>
    <cellStyle name="Followed Hyperlink" xfId="17716" builtinId="9" hidden="1"/>
    <cellStyle name="Followed Hyperlink" xfId="17833" builtinId="9" hidden="1"/>
    <cellStyle name="Followed Hyperlink" xfId="17835" builtinId="9" hidden="1"/>
    <cellStyle name="Followed Hyperlink" xfId="17837" builtinId="9" hidden="1"/>
    <cellStyle name="Followed Hyperlink" xfId="17839" builtinId="9" hidden="1"/>
    <cellStyle name="Followed Hyperlink" xfId="17715" builtinId="9" hidden="1"/>
    <cellStyle name="Followed Hyperlink" xfId="17737" builtinId="9" hidden="1"/>
    <cellStyle name="Followed Hyperlink" xfId="17841" builtinId="9" hidden="1"/>
    <cellStyle name="Followed Hyperlink" xfId="17843" builtinId="9" hidden="1"/>
    <cellStyle name="Followed Hyperlink" xfId="17845" builtinId="9" hidden="1"/>
    <cellStyle name="Followed Hyperlink" xfId="17847" builtinId="9" hidden="1"/>
    <cellStyle name="Followed Hyperlink" xfId="16866" builtinId="9" hidden="1"/>
    <cellStyle name="Followed Hyperlink" xfId="16983" builtinId="9" hidden="1"/>
    <cellStyle name="Followed Hyperlink" xfId="16993" builtinId="9" hidden="1"/>
    <cellStyle name="Followed Hyperlink" xfId="16873" builtinId="9" hidden="1"/>
    <cellStyle name="Followed Hyperlink" xfId="17681" builtinId="9" hidden="1"/>
    <cellStyle name="Followed Hyperlink" xfId="16937" builtinId="9" hidden="1"/>
    <cellStyle name="Followed Hyperlink" xfId="16984" builtinId="9" hidden="1"/>
    <cellStyle name="Followed Hyperlink" xfId="16899" builtinId="9" hidden="1"/>
    <cellStyle name="Followed Hyperlink" xfId="17854" builtinId="9" hidden="1"/>
    <cellStyle name="Followed Hyperlink" xfId="17856" builtinId="9" hidden="1"/>
    <cellStyle name="Followed Hyperlink" xfId="17858" builtinId="9" hidden="1"/>
    <cellStyle name="Followed Hyperlink" xfId="17860" builtinId="9" hidden="1"/>
    <cellStyle name="Followed Hyperlink" xfId="17862" builtinId="9" hidden="1"/>
    <cellStyle name="Followed Hyperlink" xfId="17864" builtinId="9" hidden="1"/>
    <cellStyle name="Followed Hyperlink" xfId="17914" builtinId="9" hidden="1"/>
    <cellStyle name="Followed Hyperlink" xfId="17916" builtinId="9" hidden="1"/>
    <cellStyle name="Followed Hyperlink" xfId="17918" builtinId="9" hidden="1"/>
    <cellStyle name="Followed Hyperlink" xfId="17920" builtinId="9" hidden="1"/>
    <cellStyle name="Followed Hyperlink" xfId="17889" builtinId="9" hidden="1"/>
    <cellStyle name="Followed Hyperlink" xfId="17878" builtinId="9" hidden="1"/>
    <cellStyle name="Followed Hyperlink" xfId="17922" builtinId="9" hidden="1"/>
    <cellStyle name="Followed Hyperlink" xfId="17924" builtinId="9" hidden="1"/>
    <cellStyle name="Followed Hyperlink" xfId="17926" builtinId="9" hidden="1"/>
    <cellStyle name="Followed Hyperlink" xfId="17928" builtinId="9" hidden="1"/>
    <cellStyle name="Followed Hyperlink" xfId="17872" builtinId="9" hidden="1"/>
    <cellStyle name="Followed Hyperlink" xfId="17875" builtinId="9" hidden="1"/>
    <cellStyle name="Followed Hyperlink" xfId="17930" builtinId="9" hidden="1"/>
    <cellStyle name="Followed Hyperlink" xfId="17932" builtinId="9" hidden="1"/>
    <cellStyle name="Followed Hyperlink" xfId="17934" builtinId="9" hidden="1"/>
    <cellStyle name="Followed Hyperlink" xfId="17936" builtinId="9" hidden="1"/>
    <cellStyle name="Followed Hyperlink" xfId="17890" builtinId="9" hidden="1"/>
    <cellStyle name="Followed Hyperlink" xfId="17903" builtinId="9" hidden="1"/>
    <cellStyle name="Followed Hyperlink" xfId="17938" builtinId="9" hidden="1"/>
    <cellStyle name="Followed Hyperlink" xfId="17940" builtinId="9" hidden="1"/>
    <cellStyle name="Followed Hyperlink" xfId="17942" builtinId="9" hidden="1"/>
    <cellStyle name="Followed Hyperlink" xfId="17944" builtinId="9" hidden="1"/>
    <cellStyle name="Followed Hyperlink" xfId="17902" builtinId="9" hidden="1"/>
    <cellStyle name="Followed Hyperlink" xfId="17869" builtinId="9" hidden="1"/>
    <cellStyle name="Followed Hyperlink" xfId="17946" builtinId="9" hidden="1"/>
    <cellStyle name="Followed Hyperlink" xfId="17948" builtinId="9" hidden="1"/>
    <cellStyle name="Followed Hyperlink" xfId="17950" builtinId="9" hidden="1"/>
    <cellStyle name="Followed Hyperlink" xfId="17952" builtinId="9" hidden="1"/>
    <cellStyle name="Followed Hyperlink" xfId="17874" builtinId="9" hidden="1"/>
    <cellStyle name="Followed Hyperlink" xfId="17905" builtinId="9" hidden="1"/>
    <cellStyle name="Followed Hyperlink" xfId="17954" builtinId="9" hidden="1"/>
    <cellStyle name="Followed Hyperlink" xfId="17956" builtinId="9" hidden="1"/>
    <cellStyle name="Followed Hyperlink" xfId="17958" builtinId="9" hidden="1"/>
    <cellStyle name="Followed Hyperlink" xfId="17960" builtinId="9" hidden="1"/>
    <cellStyle name="Followed Hyperlink" xfId="17908" builtinId="9" hidden="1"/>
    <cellStyle name="Followed Hyperlink" xfId="17873" builtinId="9" hidden="1"/>
    <cellStyle name="Followed Hyperlink" xfId="17962" builtinId="9" hidden="1"/>
    <cellStyle name="Followed Hyperlink" xfId="17964" builtinId="9" hidden="1"/>
    <cellStyle name="Followed Hyperlink" xfId="17966" builtinId="9" hidden="1"/>
    <cellStyle name="Followed Hyperlink" xfId="17968" builtinId="9" hidden="1"/>
    <cellStyle name="Followed Hyperlink" xfId="17900" builtinId="9" hidden="1"/>
    <cellStyle name="Followed Hyperlink" xfId="17880" builtinId="9" hidden="1"/>
    <cellStyle name="Followed Hyperlink" xfId="17970" builtinId="9" hidden="1"/>
    <cellStyle name="Followed Hyperlink" xfId="17972" builtinId="9" hidden="1"/>
    <cellStyle name="Followed Hyperlink" xfId="17974" builtinId="9" hidden="1"/>
    <cellStyle name="Followed Hyperlink" xfId="17976" builtinId="9" hidden="1"/>
    <cellStyle name="Followed Hyperlink" xfId="17882" builtinId="9" hidden="1"/>
    <cellStyle name="Followed Hyperlink" xfId="17904" builtinId="9" hidden="1"/>
    <cellStyle name="Followed Hyperlink" xfId="17978" builtinId="9" hidden="1"/>
    <cellStyle name="Followed Hyperlink" xfId="17980" builtinId="9" hidden="1"/>
    <cellStyle name="Followed Hyperlink" xfId="17982" builtinId="9" hidden="1"/>
    <cellStyle name="Followed Hyperlink" xfId="17984" builtinId="9" hidden="1"/>
    <cellStyle name="Followed Hyperlink" xfId="17897" builtinId="9" hidden="1"/>
    <cellStyle name="Followed Hyperlink" xfId="17877" builtinId="9" hidden="1"/>
    <cellStyle name="Followed Hyperlink" xfId="17986" builtinId="9" hidden="1"/>
    <cellStyle name="Followed Hyperlink" xfId="17988" builtinId="9" hidden="1"/>
    <cellStyle name="Followed Hyperlink" xfId="17990" builtinId="9" hidden="1"/>
    <cellStyle name="Followed Hyperlink" xfId="17992" builtinId="9" hidden="1"/>
    <cellStyle name="Followed Hyperlink" xfId="17888" builtinId="9" hidden="1"/>
    <cellStyle name="Followed Hyperlink" xfId="17912" builtinId="9" hidden="1"/>
    <cellStyle name="Followed Hyperlink" xfId="17994" builtinId="9" hidden="1"/>
    <cellStyle name="Followed Hyperlink" xfId="17996" builtinId="9" hidden="1"/>
    <cellStyle name="Followed Hyperlink" xfId="17998" builtinId="9" hidden="1"/>
    <cellStyle name="Followed Hyperlink" xfId="18000" builtinId="9" hidden="1"/>
    <cellStyle name="Followed Hyperlink" xfId="17886" builtinId="9" hidden="1"/>
    <cellStyle name="Followed Hyperlink" xfId="17885" builtinId="9" hidden="1"/>
    <cellStyle name="Followed Hyperlink" xfId="18002" builtinId="9" hidden="1"/>
    <cellStyle name="Followed Hyperlink" xfId="18004" builtinId="9" hidden="1"/>
    <cellStyle name="Followed Hyperlink" xfId="18006" builtinId="9" hidden="1"/>
    <cellStyle name="Followed Hyperlink" xfId="18008" builtinId="9" hidden="1"/>
    <cellStyle name="Followed Hyperlink" xfId="17884" builtinId="9" hidden="1"/>
    <cellStyle name="Followed Hyperlink" xfId="17906" builtinId="9" hidden="1"/>
    <cellStyle name="Followed Hyperlink" xfId="18010" builtinId="9" hidden="1"/>
    <cellStyle name="Followed Hyperlink" xfId="18012" builtinId="9" hidden="1"/>
    <cellStyle name="Followed Hyperlink" xfId="18014" builtinId="9" hidden="1"/>
    <cellStyle name="Followed Hyperlink" xfId="18016" builtinId="9" hidden="1"/>
    <cellStyle name="Followed Hyperlink" xfId="16972" builtinId="9" hidden="1"/>
    <cellStyle name="Followed Hyperlink" xfId="16998" builtinId="9" hidden="1"/>
    <cellStyle name="Followed Hyperlink" xfId="17168" builtinId="9" hidden="1"/>
    <cellStyle name="Followed Hyperlink" xfId="16857" builtinId="9" hidden="1"/>
    <cellStyle name="Followed Hyperlink" xfId="17850" builtinId="9" hidden="1"/>
    <cellStyle name="Followed Hyperlink" xfId="16979" builtinId="9" hidden="1"/>
    <cellStyle name="Followed Hyperlink" xfId="16934" builtinId="9" hidden="1"/>
    <cellStyle name="Followed Hyperlink" xfId="17344" builtinId="9" hidden="1"/>
    <cellStyle name="Followed Hyperlink" xfId="18021" builtinId="9" hidden="1"/>
    <cellStyle name="Followed Hyperlink" xfId="18023" builtinId="9" hidden="1"/>
    <cellStyle name="Followed Hyperlink" xfId="18025" builtinId="9" hidden="1"/>
    <cellStyle name="Followed Hyperlink" xfId="18027" builtinId="9" hidden="1"/>
    <cellStyle name="Followed Hyperlink" xfId="18029" builtinId="9" hidden="1"/>
    <cellStyle name="Followed Hyperlink" xfId="18031" builtinId="9" hidden="1"/>
    <cellStyle name="Followed Hyperlink" xfId="18081" builtinId="9" hidden="1"/>
    <cellStyle name="Followed Hyperlink" xfId="18083" builtinId="9" hidden="1"/>
    <cellStyle name="Followed Hyperlink" xfId="18085" builtinId="9" hidden="1"/>
    <cellStyle name="Followed Hyperlink" xfId="18087" builtinId="9" hidden="1"/>
    <cellStyle name="Followed Hyperlink" xfId="18056" builtinId="9" hidden="1"/>
    <cellStyle name="Followed Hyperlink" xfId="18045" builtinId="9" hidden="1"/>
    <cellStyle name="Followed Hyperlink" xfId="18089" builtinId="9" hidden="1"/>
    <cellStyle name="Followed Hyperlink" xfId="18091" builtinId="9" hidden="1"/>
    <cellStyle name="Followed Hyperlink" xfId="18093" builtinId="9" hidden="1"/>
    <cellStyle name="Followed Hyperlink" xfId="18095" builtinId="9" hidden="1"/>
    <cellStyle name="Followed Hyperlink" xfId="18039" builtinId="9" hidden="1"/>
    <cellStyle name="Followed Hyperlink" xfId="18042" builtinId="9" hidden="1"/>
    <cellStyle name="Followed Hyperlink" xfId="18097" builtinId="9" hidden="1"/>
    <cellStyle name="Followed Hyperlink" xfId="18099" builtinId="9" hidden="1"/>
    <cellStyle name="Followed Hyperlink" xfId="18101" builtinId="9" hidden="1"/>
    <cellStyle name="Followed Hyperlink" xfId="18103" builtinId="9" hidden="1"/>
    <cellStyle name="Followed Hyperlink" xfId="18057" builtinId="9" hidden="1"/>
    <cellStyle name="Followed Hyperlink" xfId="18070" builtinId="9" hidden="1"/>
    <cellStyle name="Followed Hyperlink" xfId="18105" builtinId="9" hidden="1"/>
    <cellStyle name="Followed Hyperlink" xfId="18107" builtinId="9" hidden="1"/>
    <cellStyle name="Followed Hyperlink" xfId="18109" builtinId="9" hidden="1"/>
    <cellStyle name="Followed Hyperlink" xfId="18111" builtinId="9" hidden="1"/>
    <cellStyle name="Followed Hyperlink" xfId="18069" builtinId="9" hidden="1"/>
    <cellStyle name="Followed Hyperlink" xfId="18036" builtinId="9" hidden="1"/>
    <cellStyle name="Followed Hyperlink" xfId="18113" builtinId="9" hidden="1"/>
    <cellStyle name="Followed Hyperlink" xfId="18115" builtinId="9" hidden="1"/>
    <cellStyle name="Followed Hyperlink" xfId="18117" builtinId="9" hidden="1"/>
    <cellStyle name="Followed Hyperlink" xfId="18119" builtinId="9" hidden="1"/>
    <cellStyle name="Followed Hyperlink" xfId="18041" builtinId="9" hidden="1"/>
    <cellStyle name="Followed Hyperlink" xfId="18072" builtinId="9" hidden="1"/>
    <cellStyle name="Followed Hyperlink" xfId="18121" builtinId="9" hidden="1"/>
    <cellStyle name="Followed Hyperlink" xfId="18123" builtinId="9" hidden="1"/>
    <cellStyle name="Followed Hyperlink" xfId="18125" builtinId="9" hidden="1"/>
    <cellStyle name="Followed Hyperlink" xfId="18127" builtinId="9" hidden="1"/>
    <cellStyle name="Followed Hyperlink" xfId="18075" builtinId="9" hidden="1"/>
    <cellStyle name="Followed Hyperlink" xfId="18040" builtinId="9" hidden="1"/>
    <cellStyle name="Followed Hyperlink" xfId="18129" builtinId="9" hidden="1"/>
    <cellStyle name="Followed Hyperlink" xfId="18131" builtinId="9" hidden="1"/>
    <cellStyle name="Followed Hyperlink" xfId="18133" builtinId="9" hidden="1"/>
    <cellStyle name="Followed Hyperlink" xfId="18135" builtinId="9" hidden="1"/>
    <cellStyle name="Followed Hyperlink" xfId="18067" builtinId="9" hidden="1"/>
    <cellStyle name="Followed Hyperlink" xfId="18047" builtinId="9" hidden="1"/>
    <cellStyle name="Followed Hyperlink" xfId="18137" builtinId="9" hidden="1"/>
    <cellStyle name="Followed Hyperlink" xfId="18139" builtinId="9" hidden="1"/>
    <cellStyle name="Followed Hyperlink" xfId="18141" builtinId="9" hidden="1"/>
    <cellStyle name="Followed Hyperlink" xfId="18143" builtinId="9" hidden="1"/>
    <cellStyle name="Followed Hyperlink" xfId="18049" builtinId="9" hidden="1"/>
    <cellStyle name="Followed Hyperlink" xfId="18071" builtinId="9" hidden="1"/>
    <cellStyle name="Followed Hyperlink" xfId="18145" builtinId="9" hidden="1"/>
    <cellStyle name="Followed Hyperlink" xfId="18147" builtinId="9" hidden="1"/>
    <cellStyle name="Followed Hyperlink" xfId="18149" builtinId="9" hidden="1"/>
    <cellStyle name="Followed Hyperlink" xfId="18151" builtinId="9" hidden="1"/>
    <cellStyle name="Followed Hyperlink" xfId="18064" builtinId="9" hidden="1"/>
    <cellStyle name="Followed Hyperlink" xfId="18044" builtinId="9" hidden="1"/>
    <cellStyle name="Followed Hyperlink" xfId="18153" builtinId="9" hidden="1"/>
    <cellStyle name="Followed Hyperlink" xfId="18155" builtinId="9" hidden="1"/>
    <cellStyle name="Followed Hyperlink" xfId="18157" builtinId="9" hidden="1"/>
    <cellStyle name="Followed Hyperlink" xfId="18159" builtinId="9" hidden="1"/>
    <cellStyle name="Followed Hyperlink" xfId="18055" builtinId="9" hidden="1"/>
    <cellStyle name="Followed Hyperlink" xfId="18079" builtinId="9" hidden="1"/>
    <cellStyle name="Followed Hyperlink" xfId="18161" builtinId="9" hidden="1"/>
    <cellStyle name="Followed Hyperlink" xfId="18163" builtinId="9" hidden="1"/>
    <cellStyle name="Followed Hyperlink" xfId="18165" builtinId="9" hidden="1"/>
    <cellStyle name="Followed Hyperlink" xfId="18167" builtinId="9" hidden="1"/>
    <cellStyle name="Followed Hyperlink" xfId="18053" builtinId="9" hidden="1"/>
    <cellStyle name="Followed Hyperlink" xfId="18052" builtinId="9" hidden="1"/>
    <cellStyle name="Followed Hyperlink" xfId="18169" builtinId="9" hidden="1"/>
    <cellStyle name="Followed Hyperlink" xfId="18171" builtinId="9" hidden="1"/>
    <cellStyle name="Followed Hyperlink" xfId="18173" builtinId="9" hidden="1"/>
    <cellStyle name="Followed Hyperlink" xfId="18175" builtinId="9" hidden="1"/>
    <cellStyle name="Followed Hyperlink" xfId="18051" builtinId="9" hidden="1"/>
    <cellStyle name="Followed Hyperlink" xfId="18073" builtinId="9" hidden="1"/>
    <cellStyle name="Followed Hyperlink" xfId="18177" builtinId="9" hidden="1"/>
    <cellStyle name="Followed Hyperlink" xfId="18179" builtinId="9" hidden="1"/>
    <cellStyle name="Followed Hyperlink" xfId="18181" builtinId="9" hidden="1"/>
    <cellStyle name="Followed Hyperlink" xfId="18183" builtinId="9" hidden="1"/>
    <cellStyle name="Followed Hyperlink" xfId="16884" builtinId="9" hidden="1"/>
    <cellStyle name="Followed Hyperlink" xfId="16861" builtinId="9" hidden="1"/>
    <cellStyle name="Followed Hyperlink" xfId="16964" builtinId="9" hidden="1"/>
    <cellStyle name="Followed Hyperlink" xfId="16978" builtinId="9" hidden="1"/>
    <cellStyle name="Followed Hyperlink" xfId="18017" builtinId="9" hidden="1"/>
    <cellStyle name="Followed Hyperlink" xfId="16876" builtinId="9" hidden="1"/>
    <cellStyle name="Followed Hyperlink" xfId="16956" builtinId="9" hidden="1"/>
    <cellStyle name="Followed Hyperlink" xfId="17514" builtinId="9" hidden="1"/>
    <cellStyle name="Followed Hyperlink" xfId="18188" builtinId="9" hidden="1"/>
    <cellStyle name="Followed Hyperlink" xfId="18190" builtinId="9" hidden="1"/>
    <cellStyle name="Followed Hyperlink" xfId="18192" builtinId="9" hidden="1"/>
    <cellStyle name="Followed Hyperlink" xfId="18194" builtinId="9" hidden="1"/>
    <cellStyle name="Followed Hyperlink" xfId="18196" builtinId="9" hidden="1"/>
    <cellStyle name="Followed Hyperlink" xfId="18198" builtinId="9" hidden="1"/>
    <cellStyle name="Followed Hyperlink" xfId="18248" builtinId="9" hidden="1"/>
    <cellStyle name="Followed Hyperlink" xfId="18250" builtinId="9" hidden="1"/>
    <cellStyle name="Followed Hyperlink" xfId="18252" builtinId="9" hidden="1"/>
    <cellStyle name="Followed Hyperlink" xfId="18254" builtinId="9" hidden="1"/>
    <cellStyle name="Followed Hyperlink" xfId="18223" builtinId="9" hidden="1"/>
    <cellStyle name="Followed Hyperlink" xfId="18212" builtinId="9" hidden="1"/>
    <cellStyle name="Followed Hyperlink" xfId="18256" builtinId="9" hidden="1"/>
    <cellStyle name="Followed Hyperlink" xfId="18258" builtinId="9" hidden="1"/>
    <cellStyle name="Followed Hyperlink" xfId="18260" builtinId="9" hidden="1"/>
    <cellStyle name="Followed Hyperlink" xfId="18262" builtinId="9" hidden="1"/>
    <cellStyle name="Followed Hyperlink" xfId="18206" builtinId="9" hidden="1"/>
    <cellStyle name="Followed Hyperlink" xfId="18209" builtinId="9" hidden="1"/>
    <cellStyle name="Followed Hyperlink" xfId="18264" builtinId="9" hidden="1"/>
    <cellStyle name="Followed Hyperlink" xfId="18266" builtinId="9" hidden="1"/>
    <cellStyle name="Followed Hyperlink" xfId="18268" builtinId="9" hidden="1"/>
    <cellStyle name="Followed Hyperlink" xfId="18270" builtinId="9" hidden="1"/>
    <cellStyle name="Followed Hyperlink" xfId="18224" builtinId="9" hidden="1"/>
    <cellStyle name="Followed Hyperlink" xfId="18237" builtinId="9" hidden="1"/>
    <cellStyle name="Followed Hyperlink" xfId="18272" builtinId="9" hidden="1"/>
    <cellStyle name="Followed Hyperlink" xfId="18274" builtinId="9" hidden="1"/>
    <cellStyle name="Followed Hyperlink" xfId="18276" builtinId="9" hidden="1"/>
    <cellStyle name="Followed Hyperlink" xfId="18278" builtinId="9" hidden="1"/>
    <cellStyle name="Followed Hyperlink" xfId="18236" builtinId="9" hidden="1"/>
    <cellStyle name="Followed Hyperlink" xfId="18203" builtinId="9" hidden="1"/>
    <cellStyle name="Followed Hyperlink" xfId="18280" builtinId="9" hidden="1"/>
    <cellStyle name="Followed Hyperlink" xfId="18282" builtinId="9" hidden="1"/>
    <cellStyle name="Followed Hyperlink" xfId="18284" builtinId="9" hidden="1"/>
    <cellStyle name="Followed Hyperlink" xfId="18286" builtinId="9" hidden="1"/>
    <cellStyle name="Followed Hyperlink" xfId="18208" builtinId="9" hidden="1"/>
    <cellStyle name="Followed Hyperlink" xfId="18239" builtinId="9" hidden="1"/>
    <cellStyle name="Followed Hyperlink" xfId="18288" builtinId="9" hidden="1"/>
    <cellStyle name="Followed Hyperlink" xfId="18290" builtinId="9" hidden="1"/>
    <cellStyle name="Followed Hyperlink" xfId="18292" builtinId="9" hidden="1"/>
    <cellStyle name="Followed Hyperlink" xfId="18294" builtinId="9" hidden="1"/>
    <cellStyle name="Followed Hyperlink" xfId="18242" builtinId="9" hidden="1"/>
    <cellStyle name="Followed Hyperlink" xfId="18207" builtinId="9" hidden="1"/>
    <cellStyle name="Followed Hyperlink" xfId="18296" builtinId="9" hidden="1"/>
    <cellStyle name="Followed Hyperlink" xfId="18298" builtinId="9" hidden="1"/>
    <cellStyle name="Followed Hyperlink" xfId="18300" builtinId="9" hidden="1"/>
    <cellStyle name="Followed Hyperlink" xfId="18302" builtinId="9" hidden="1"/>
    <cellStyle name="Followed Hyperlink" xfId="18234" builtinId="9" hidden="1"/>
    <cellStyle name="Followed Hyperlink" xfId="18214" builtinId="9" hidden="1"/>
    <cellStyle name="Followed Hyperlink" xfId="18304" builtinId="9" hidden="1"/>
    <cellStyle name="Followed Hyperlink" xfId="18306" builtinId="9" hidden="1"/>
    <cellStyle name="Followed Hyperlink" xfId="18308" builtinId="9" hidden="1"/>
    <cellStyle name="Followed Hyperlink" xfId="18310" builtinId="9" hidden="1"/>
    <cellStyle name="Followed Hyperlink" xfId="18216" builtinId="9" hidden="1"/>
    <cellStyle name="Followed Hyperlink" xfId="18238" builtinId="9" hidden="1"/>
    <cellStyle name="Followed Hyperlink" xfId="18312" builtinId="9" hidden="1"/>
    <cellStyle name="Followed Hyperlink" xfId="18314" builtinId="9" hidden="1"/>
    <cellStyle name="Followed Hyperlink" xfId="18316" builtinId="9" hidden="1"/>
    <cellStyle name="Followed Hyperlink" xfId="18318" builtinId="9" hidden="1"/>
    <cellStyle name="Followed Hyperlink" xfId="18231" builtinId="9" hidden="1"/>
    <cellStyle name="Followed Hyperlink" xfId="18211" builtinId="9" hidden="1"/>
    <cellStyle name="Followed Hyperlink" xfId="18320" builtinId="9" hidden="1"/>
    <cellStyle name="Followed Hyperlink" xfId="18322" builtinId="9" hidden="1"/>
    <cellStyle name="Followed Hyperlink" xfId="18324" builtinId="9" hidden="1"/>
    <cellStyle name="Followed Hyperlink" xfId="18326" builtinId="9" hidden="1"/>
    <cellStyle name="Followed Hyperlink" xfId="18222" builtinId="9" hidden="1"/>
    <cellStyle name="Followed Hyperlink" xfId="18246" builtinId="9" hidden="1"/>
    <cellStyle name="Followed Hyperlink" xfId="18328" builtinId="9" hidden="1"/>
    <cellStyle name="Followed Hyperlink" xfId="18330" builtinId="9" hidden="1"/>
    <cellStyle name="Followed Hyperlink" xfId="18332" builtinId="9" hidden="1"/>
    <cellStyle name="Followed Hyperlink" xfId="18334" builtinId="9" hidden="1"/>
    <cellStyle name="Followed Hyperlink" xfId="18220" builtinId="9" hidden="1"/>
    <cellStyle name="Followed Hyperlink" xfId="18219" builtinId="9" hidden="1"/>
    <cellStyle name="Followed Hyperlink" xfId="18336" builtinId="9" hidden="1"/>
    <cellStyle name="Followed Hyperlink" xfId="18338" builtinId="9" hidden="1"/>
    <cellStyle name="Followed Hyperlink" xfId="18340" builtinId="9" hidden="1"/>
    <cellStyle name="Followed Hyperlink" xfId="18342" builtinId="9" hidden="1"/>
    <cellStyle name="Followed Hyperlink" xfId="18218" builtinId="9" hidden="1"/>
    <cellStyle name="Followed Hyperlink" xfId="18240" builtinId="9" hidden="1"/>
    <cellStyle name="Followed Hyperlink" xfId="18344" builtinId="9" hidden="1"/>
    <cellStyle name="Followed Hyperlink" xfId="18346" builtinId="9" hidden="1"/>
    <cellStyle name="Followed Hyperlink" xfId="18348" builtinId="9" hidden="1"/>
    <cellStyle name="Followed Hyperlink" xfId="18350" builtinId="9" hidden="1"/>
    <cellStyle name="Followed Hyperlink" xfId="16967" builtinId="9" hidden="1"/>
    <cellStyle name="Followed Hyperlink" xfId="17341" builtinId="9" hidden="1"/>
    <cellStyle name="Followed Hyperlink" xfId="17337" builtinId="9" hidden="1"/>
    <cellStyle name="Followed Hyperlink" xfId="16901" builtinId="9" hidden="1"/>
    <cellStyle name="Followed Hyperlink" xfId="18184" builtinId="9" hidden="1"/>
    <cellStyle name="Followed Hyperlink" xfId="16907" builtinId="9" hidden="1"/>
    <cellStyle name="Followed Hyperlink" xfId="16941" builtinId="9" hidden="1"/>
    <cellStyle name="Followed Hyperlink" xfId="17683" builtinId="9" hidden="1"/>
    <cellStyle name="Followed Hyperlink" xfId="18353" builtinId="9" hidden="1"/>
    <cellStyle name="Followed Hyperlink" xfId="18355" builtinId="9" hidden="1"/>
    <cellStyle name="Followed Hyperlink" xfId="18357" builtinId="9" hidden="1"/>
    <cellStyle name="Followed Hyperlink" xfId="18359" builtinId="9" hidden="1"/>
    <cellStyle name="Followed Hyperlink" xfId="18361" builtinId="9" hidden="1"/>
    <cellStyle name="Followed Hyperlink" xfId="18363" builtinId="9" hidden="1"/>
    <cellStyle name="Followed Hyperlink" xfId="18413" builtinId="9" hidden="1"/>
    <cellStyle name="Followed Hyperlink" xfId="18415" builtinId="9" hidden="1"/>
    <cellStyle name="Followed Hyperlink" xfId="18417" builtinId="9" hidden="1"/>
    <cellStyle name="Followed Hyperlink" xfId="18419" builtinId="9" hidden="1"/>
    <cellStyle name="Followed Hyperlink" xfId="18388" builtinId="9" hidden="1"/>
    <cellStyle name="Followed Hyperlink" xfId="18377" builtinId="9" hidden="1"/>
    <cellStyle name="Followed Hyperlink" xfId="18421" builtinId="9" hidden="1"/>
    <cellStyle name="Followed Hyperlink" xfId="18423" builtinId="9" hidden="1"/>
    <cellStyle name="Followed Hyperlink" xfId="18425" builtinId="9" hidden="1"/>
    <cellStyle name="Followed Hyperlink" xfId="18427" builtinId="9" hidden="1"/>
    <cellStyle name="Followed Hyperlink" xfId="18371" builtinId="9" hidden="1"/>
    <cellStyle name="Followed Hyperlink" xfId="18374" builtinId="9" hidden="1"/>
    <cellStyle name="Followed Hyperlink" xfId="18429" builtinId="9" hidden="1"/>
    <cellStyle name="Followed Hyperlink" xfId="18431" builtinId="9" hidden="1"/>
    <cellStyle name="Followed Hyperlink" xfId="18433" builtinId="9" hidden="1"/>
    <cellStyle name="Followed Hyperlink" xfId="18435" builtinId="9" hidden="1"/>
    <cellStyle name="Followed Hyperlink" xfId="18389" builtinId="9" hidden="1"/>
    <cellStyle name="Followed Hyperlink" xfId="18402" builtinId="9" hidden="1"/>
    <cellStyle name="Followed Hyperlink" xfId="18437" builtinId="9" hidden="1"/>
    <cellStyle name="Followed Hyperlink" xfId="18439" builtinId="9" hidden="1"/>
    <cellStyle name="Followed Hyperlink" xfId="18441" builtinId="9" hidden="1"/>
    <cellStyle name="Followed Hyperlink" xfId="18443" builtinId="9" hidden="1"/>
    <cellStyle name="Followed Hyperlink" xfId="18401" builtinId="9" hidden="1"/>
    <cellStyle name="Followed Hyperlink" xfId="18368" builtinId="9" hidden="1"/>
    <cellStyle name="Followed Hyperlink" xfId="18445" builtinId="9" hidden="1"/>
    <cellStyle name="Followed Hyperlink" xfId="18447" builtinId="9" hidden="1"/>
    <cellStyle name="Followed Hyperlink" xfId="18449" builtinId="9" hidden="1"/>
    <cellStyle name="Followed Hyperlink" xfId="18451" builtinId="9" hidden="1"/>
    <cellStyle name="Followed Hyperlink" xfId="18373" builtinId="9" hidden="1"/>
    <cellStyle name="Followed Hyperlink" xfId="18404" builtinId="9" hidden="1"/>
    <cellStyle name="Followed Hyperlink" xfId="18453" builtinId="9" hidden="1"/>
    <cellStyle name="Followed Hyperlink" xfId="18455" builtinId="9" hidden="1"/>
    <cellStyle name="Followed Hyperlink" xfId="18457" builtinId="9" hidden="1"/>
    <cellStyle name="Followed Hyperlink" xfId="18459" builtinId="9" hidden="1"/>
    <cellStyle name="Followed Hyperlink" xfId="18407" builtinId="9" hidden="1"/>
    <cellStyle name="Followed Hyperlink" xfId="18372" builtinId="9" hidden="1"/>
    <cellStyle name="Followed Hyperlink" xfId="18461" builtinId="9" hidden="1"/>
    <cellStyle name="Followed Hyperlink" xfId="18463" builtinId="9" hidden="1"/>
    <cellStyle name="Followed Hyperlink" xfId="18465" builtinId="9" hidden="1"/>
    <cellStyle name="Followed Hyperlink" xfId="18467" builtinId="9" hidden="1"/>
    <cellStyle name="Followed Hyperlink" xfId="18399" builtinId="9" hidden="1"/>
    <cellStyle name="Followed Hyperlink" xfId="18379" builtinId="9" hidden="1"/>
    <cellStyle name="Followed Hyperlink" xfId="18469" builtinId="9" hidden="1"/>
    <cellStyle name="Followed Hyperlink" xfId="18471" builtinId="9" hidden="1"/>
    <cellStyle name="Followed Hyperlink" xfId="18473" builtinId="9" hidden="1"/>
    <cellStyle name="Followed Hyperlink" xfId="18475" builtinId="9" hidden="1"/>
    <cellStyle name="Followed Hyperlink" xfId="18381" builtinId="9" hidden="1"/>
    <cellStyle name="Followed Hyperlink" xfId="18403" builtinId="9" hidden="1"/>
    <cellStyle name="Followed Hyperlink" xfId="18477" builtinId="9" hidden="1"/>
    <cellStyle name="Followed Hyperlink" xfId="18479" builtinId="9" hidden="1"/>
    <cellStyle name="Followed Hyperlink" xfId="18481" builtinId="9" hidden="1"/>
    <cellStyle name="Followed Hyperlink" xfId="18483" builtinId="9" hidden="1"/>
    <cellStyle name="Followed Hyperlink" xfId="18396" builtinId="9" hidden="1"/>
    <cellStyle name="Followed Hyperlink" xfId="18376" builtinId="9" hidden="1"/>
    <cellStyle name="Followed Hyperlink" xfId="18485" builtinId="9" hidden="1"/>
    <cellStyle name="Followed Hyperlink" xfId="18487" builtinId="9" hidden="1"/>
    <cellStyle name="Followed Hyperlink" xfId="18489" builtinId="9" hidden="1"/>
    <cellStyle name="Followed Hyperlink" xfId="18491" builtinId="9" hidden="1"/>
    <cellStyle name="Followed Hyperlink" xfId="18387" builtinId="9" hidden="1"/>
    <cellStyle name="Followed Hyperlink" xfId="18411" builtinId="9" hidden="1"/>
    <cellStyle name="Followed Hyperlink" xfId="18493" builtinId="9" hidden="1"/>
    <cellStyle name="Followed Hyperlink" xfId="18495" builtinId="9" hidden="1"/>
    <cellStyle name="Followed Hyperlink" xfId="18497" builtinId="9" hidden="1"/>
    <cellStyle name="Followed Hyperlink" xfId="18499" builtinId="9" hidden="1"/>
    <cellStyle name="Followed Hyperlink" xfId="18385" builtinId="9" hidden="1"/>
    <cellStyle name="Followed Hyperlink" xfId="18384" builtinId="9" hidden="1"/>
    <cellStyle name="Followed Hyperlink" xfId="18501" builtinId="9" hidden="1"/>
    <cellStyle name="Followed Hyperlink" xfId="18503" builtinId="9" hidden="1"/>
    <cellStyle name="Followed Hyperlink" xfId="18505" builtinId="9" hidden="1"/>
    <cellStyle name="Followed Hyperlink" xfId="18507" builtinId="9" hidden="1"/>
    <cellStyle name="Followed Hyperlink" xfId="18383" builtinId="9" hidden="1"/>
    <cellStyle name="Followed Hyperlink" xfId="18405" builtinId="9" hidden="1"/>
    <cellStyle name="Followed Hyperlink" xfId="18509" builtinId="9" hidden="1"/>
    <cellStyle name="Followed Hyperlink" xfId="18511" builtinId="9" hidden="1"/>
    <cellStyle name="Followed Hyperlink" xfId="18513" builtinId="9" hidden="1"/>
    <cellStyle name="Followed Hyperlink" xfId="18515" builtinId="9" hidden="1"/>
    <cellStyle name="Followed Hyperlink" xfId="16951" builtinId="9" hidden="1"/>
    <cellStyle name="Followed Hyperlink" xfId="17511" builtinId="9" hidden="1"/>
    <cellStyle name="Followed Hyperlink" xfId="16982" builtinId="9" hidden="1"/>
    <cellStyle name="Followed Hyperlink" xfId="16892" builtinId="9" hidden="1"/>
    <cellStyle name="Followed Hyperlink" xfId="18351" builtinId="9" hidden="1"/>
    <cellStyle name="Followed Hyperlink" xfId="16871" builtinId="9" hidden="1"/>
    <cellStyle name="Followed Hyperlink" xfId="16986" builtinId="9" hidden="1"/>
    <cellStyle name="Followed Hyperlink" xfId="17852" builtinId="9" hidden="1"/>
    <cellStyle name="Followed Hyperlink" xfId="18518" builtinId="9" hidden="1"/>
    <cellStyle name="Followed Hyperlink" xfId="18520" builtinId="9" hidden="1"/>
    <cellStyle name="Followed Hyperlink" xfId="18522" builtinId="9" hidden="1"/>
    <cellStyle name="Followed Hyperlink" xfId="18524" builtinId="9" hidden="1"/>
    <cellStyle name="Followed Hyperlink" xfId="18526" builtinId="9" hidden="1"/>
    <cellStyle name="Followed Hyperlink" xfId="18528" builtinId="9" hidden="1"/>
    <cellStyle name="Followed Hyperlink" xfId="18578" builtinId="9" hidden="1"/>
    <cellStyle name="Followed Hyperlink" xfId="18580" builtinId="9" hidden="1"/>
    <cellStyle name="Followed Hyperlink" xfId="18582" builtinId="9" hidden="1"/>
    <cellStyle name="Followed Hyperlink" xfId="18584" builtinId="9" hidden="1"/>
    <cellStyle name="Followed Hyperlink" xfId="18553" builtinId="9" hidden="1"/>
    <cellStyle name="Followed Hyperlink" xfId="18542" builtinId="9" hidden="1"/>
    <cellStyle name="Followed Hyperlink" xfId="18586" builtinId="9" hidden="1"/>
    <cellStyle name="Followed Hyperlink" xfId="18588" builtinId="9" hidden="1"/>
    <cellStyle name="Followed Hyperlink" xfId="18590" builtinId="9" hidden="1"/>
    <cellStyle name="Followed Hyperlink" xfId="18592" builtinId="9" hidden="1"/>
    <cellStyle name="Followed Hyperlink" xfId="18536" builtinId="9" hidden="1"/>
    <cellStyle name="Followed Hyperlink" xfId="18539" builtinId="9" hidden="1"/>
    <cellStyle name="Followed Hyperlink" xfId="18594" builtinId="9" hidden="1"/>
    <cellStyle name="Followed Hyperlink" xfId="18596" builtinId="9" hidden="1"/>
    <cellStyle name="Followed Hyperlink" xfId="18598" builtinId="9" hidden="1"/>
    <cellStyle name="Followed Hyperlink" xfId="18600" builtinId="9" hidden="1"/>
    <cellStyle name="Followed Hyperlink" xfId="18554" builtinId="9" hidden="1"/>
    <cellStyle name="Followed Hyperlink" xfId="18567" builtinId="9" hidden="1"/>
    <cellStyle name="Followed Hyperlink" xfId="18602" builtinId="9" hidden="1"/>
    <cellStyle name="Followed Hyperlink" xfId="18604" builtinId="9" hidden="1"/>
    <cellStyle name="Followed Hyperlink" xfId="18606" builtinId="9" hidden="1"/>
    <cellStyle name="Followed Hyperlink" xfId="18608" builtinId="9" hidden="1"/>
    <cellStyle name="Followed Hyperlink" xfId="18566" builtinId="9" hidden="1"/>
    <cellStyle name="Followed Hyperlink" xfId="18533" builtinId="9" hidden="1"/>
    <cellStyle name="Followed Hyperlink" xfId="18610" builtinId="9" hidden="1"/>
    <cellStyle name="Followed Hyperlink" xfId="18612" builtinId="9" hidden="1"/>
    <cellStyle name="Followed Hyperlink" xfId="18614" builtinId="9" hidden="1"/>
    <cellStyle name="Followed Hyperlink" xfId="18616" builtinId="9" hidden="1"/>
    <cellStyle name="Followed Hyperlink" xfId="18538" builtinId="9" hidden="1"/>
    <cellStyle name="Followed Hyperlink" xfId="18569" builtinId="9" hidden="1"/>
    <cellStyle name="Followed Hyperlink" xfId="18618" builtinId="9" hidden="1"/>
    <cellStyle name="Followed Hyperlink" xfId="18620" builtinId="9" hidden="1"/>
    <cellStyle name="Followed Hyperlink" xfId="18622" builtinId="9" hidden="1"/>
    <cellStyle name="Followed Hyperlink" xfId="18624" builtinId="9" hidden="1"/>
    <cellStyle name="Followed Hyperlink" xfId="18572" builtinId="9" hidden="1"/>
    <cellStyle name="Followed Hyperlink" xfId="18537" builtinId="9" hidden="1"/>
    <cellStyle name="Followed Hyperlink" xfId="18626" builtinId="9" hidden="1"/>
    <cellStyle name="Followed Hyperlink" xfId="18628" builtinId="9" hidden="1"/>
    <cellStyle name="Followed Hyperlink" xfId="18630" builtinId="9" hidden="1"/>
    <cellStyle name="Followed Hyperlink" xfId="18632" builtinId="9" hidden="1"/>
    <cellStyle name="Followed Hyperlink" xfId="18564" builtinId="9" hidden="1"/>
    <cellStyle name="Followed Hyperlink" xfId="18544" builtinId="9" hidden="1"/>
    <cellStyle name="Followed Hyperlink" xfId="18634" builtinId="9" hidden="1"/>
    <cellStyle name="Followed Hyperlink" xfId="18636" builtinId="9" hidden="1"/>
    <cellStyle name="Followed Hyperlink" xfId="18638" builtinId="9" hidden="1"/>
    <cellStyle name="Followed Hyperlink" xfId="18640" builtinId="9" hidden="1"/>
    <cellStyle name="Followed Hyperlink" xfId="18546" builtinId="9" hidden="1"/>
    <cellStyle name="Followed Hyperlink" xfId="18568" builtinId="9" hidden="1"/>
    <cellStyle name="Followed Hyperlink" xfId="18642" builtinId="9" hidden="1"/>
    <cellStyle name="Followed Hyperlink" xfId="18644" builtinId="9" hidden="1"/>
    <cellStyle name="Followed Hyperlink" xfId="18646" builtinId="9" hidden="1"/>
    <cellStyle name="Followed Hyperlink" xfId="18648" builtinId="9" hidden="1"/>
    <cellStyle name="Followed Hyperlink" xfId="18561" builtinId="9" hidden="1"/>
    <cellStyle name="Followed Hyperlink" xfId="18541" builtinId="9" hidden="1"/>
    <cellStyle name="Followed Hyperlink" xfId="18650" builtinId="9" hidden="1"/>
    <cellStyle name="Followed Hyperlink" xfId="18652" builtinId="9" hidden="1"/>
    <cellStyle name="Followed Hyperlink" xfId="18654" builtinId="9" hidden="1"/>
    <cellStyle name="Followed Hyperlink" xfId="18656" builtinId="9" hidden="1"/>
    <cellStyle name="Followed Hyperlink" xfId="18552" builtinId="9" hidden="1"/>
    <cellStyle name="Followed Hyperlink" xfId="18576" builtinId="9" hidden="1"/>
    <cellStyle name="Followed Hyperlink" xfId="18658" builtinId="9" hidden="1"/>
    <cellStyle name="Followed Hyperlink" xfId="18660" builtinId="9" hidden="1"/>
    <cellStyle name="Followed Hyperlink" xfId="18662" builtinId="9" hidden="1"/>
    <cellStyle name="Followed Hyperlink" xfId="18664" builtinId="9" hidden="1"/>
    <cellStyle name="Followed Hyperlink" xfId="18550" builtinId="9" hidden="1"/>
    <cellStyle name="Followed Hyperlink" xfId="18549" builtinId="9" hidden="1"/>
    <cellStyle name="Followed Hyperlink" xfId="18666" builtinId="9" hidden="1"/>
    <cellStyle name="Followed Hyperlink" xfId="18668" builtinId="9" hidden="1"/>
    <cellStyle name="Followed Hyperlink" xfId="18670" builtinId="9" hidden="1"/>
    <cellStyle name="Followed Hyperlink" xfId="18672" builtinId="9" hidden="1"/>
    <cellStyle name="Followed Hyperlink" xfId="18548" builtinId="9" hidden="1"/>
    <cellStyle name="Followed Hyperlink" xfId="18570" builtinId="9" hidden="1"/>
    <cellStyle name="Followed Hyperlink" xfId="18674" builtinId="9" hidden="1"/>
    <cellStyle name="Followed Hyperlink" xfId="18676" builtinId="9" hidden="1"/>
    <cellStyle name="Followed Hyperlink" xfId="18678" builtinId="9" hidden="1"/>
    <cellStyle name="Followed Hyperlink" xfId="18680" builtinId="9" hidden="1"/>
    <cellStyle name="Followed Hyperlink" xfId="16877" builtinId="9" hidden="1"/>
    <cellStyle name="Followed Hyperlink" xfId="17680" builtinId="9" hidden="1"/>
    <cellStyle name="Followed Hyperlink" xfId="16958" builtinId="9" hidden="1"/>
    <cellStyle name="Followed Hyperlink" xfId="16990" builtinId="9" hidden="1"/>
    <cellStyle name="Followed Hyperlink" xfId="18516" builtinId="9" hidden="1"/>
    <cellStyle name="Followed Hyperlink" xfId="16868" builtinId="9" hidden="1"/>
    <cellStyle name="Followed Hyperlink" xfId="16954" builtinId="9" hidden="1"/>
    <cellStyle name="Followed Hyperlink" xfId="18019" builtinId="9" hidden="1"/>
    <cellStyle name="Followed Hyperlink" xfId="18683" builtinId="9" hidden="1"/>
    <cellStyle name="Followed Hyperlink" xfId="18685" builtinId="9" hidden="1"/>
    <cellStyle name="Followed Hyperlink" xfId="18687" builtinId="9" hidden="1"/>
    <cellStyle name="Followed Hyperlink" xfId="18689" builtinId="9" hidden="1"/>
    <cellStyle name="Followed Hyperlink" xfId="18691" builtinId="9" hidden="1"/>
    <cellStyle name="Followed Hyperlink" xfId="18693" builtinId="9" hidden="1"/>
    <cellStyle name="Followed Hyperlink" xfId="18743" builtinId="9" hidden="1"/>
    <cellStyle name="Followed Hyperlink" xfId="18745" builtinId="9" hidden="1"/>
    <cellStyle name="Followed Hyperlink" xfId="18747" builtinId="9" hidden="1"/>
    <cellStyle name="Followed Hyperlink" xfId="18749" builtinId="9" hidden="1"/>
    <cellStyle name="Followed Hyperlink" xfId="18718" builtinId="9" hidden="1"/>
    <cellStyle name="Followed Hyperlink" xfId="18707" builtinId="9" hidden="1"/>
    <cellStyle name="Followed Hyperlink" xfId="18751" builtinId="9" hidden="1"/>
    <cellStyle name="Followed Hyperlink" xfId="18753" builtinId="9" hidden="1"/>
    <cellStyle name="Followed Hyperlink" xfId="18755" builtinId="9" hidden="1"/>
    <cellStyle name="Followed Hyperlink" xfId="18757" builtinId="9" hidden="1"/>
    <cellStyle name="Followed Hyperlink" xfId="18701" builtinId="9" hidden="1"/>
    <cellStyle name="Followed Hyperlink" xfId="18704" builtinId="9" hidden="1"/>
    <cellStyle name="Followed Hyperlink" xfId="18759" builtinId="9" hidden="1"/>
    <cellStyle name="Followed Hyperlink" xfId="18761" builtinId="9" hidden="1"/>
    <cellStyle name="Followed Hyperlink" xfId="18763" builtinId="9" hidden="1"/>
    <cellStyle name="Followed Hyperlink" xfId="18765" builtinId="9" hidden="1"/>
    <cellStyle name="Followed Hyperlink" xfId="18719" builtinId="9" hidden="1"/>
    <cellStyle name="Followed Hyperlink" xfId="18732" builtinId="9" hidden="1"/>
    <cellStyle name="Followed Hyperlink" xfId="18767" builtinId="9" hidden="1"/>
    <cellStyle name="Followed Hyperlink" xfId="18769" builtinId="9" hidden="1"/>
    <cellStyle name="Followed Hyperlink" xfId="18771" builtinId="9" hidden="1"/>
    <cellStyle name="Followed Hyperlink" xfId="18773" builtinId="9" hidden="1"/>
    <cellStyle name="Followed Hyperlink" xfId="18731" builtinId="9" hidden="1"/>
    <cellStyle name="Followed Hyperlink" xfId="18698" builtinId="9" hidden="1"/>
    <cellStyle name="Followed Hyperlink" xfId="18775" builtinId="9" hidden="1"/>
    <cellStyle name="Followed Hyperlink" xfId="18777" builtinId="9" hidden="1"/>
    <cellStyle name="Followed Hyperlink" xfId="18779" builtinId="9" hidden="1"/>
    <cellStyle name="Followed Hyperlink" xfId="18781" builtinId="9" hidden="1"/>
    <cellStyle name="Followed Hyperlink" xfId="18703" builtinId="9" hidden="1"/>
    <cellStyle name="Followed Hyperlink" xfId="18734" builtinId="9" hidden="1"/>
    <cellStyle name="Followed Hyperlink" xfId="18783" builtinId="9" hidden="1"/>
    <cellStyle name="Followed Hyperlink" xfId="18785" builtinId="9" hidden="1"/>
    <cellStyle name="Followed Hyperlink" xfId="18787" builtinId="9" hidden="1"/>
    <cellStyle name="Followed Hyperlink" xfId="18789" builtinId="9" hidden="1"/>
    <cellStyle name="Followed Hyperlink" xfId="18737" builtinId="9" hidden="1"/>
    <cellStyle name="Followed Hyperlink" xfId="18702" builtinId="9" hidden="1"/>
    <cellStyle name="Followed Hyperlink" xfId="18791" builtinId="9" hidden="1"/>
    <cellStyle name="Followed Hyperlink" xfId="18793" builtinId="9" hidden="1"/>
    <cellStyle name="Followed Hyperlink" xfId="18795" builtinId="9" hidden="1"/>
    <cellStyle name="Followed Hyperlink" xfId="18797" builtinId="9" hidden="1"/>
    <cellStyle name="Followed Hyperlink" xfId="18729" builtinId="9" hidden="1"/>
    <cellStyle name="Followed Hyperlink" xfId="18709" builtinId="9" hidden="1"/>
    <cellStyle name="Followed Hyperlink" xfId="18799" builtinId="9" hidden="1"/>
    <cellStyle name="Followed Hyperlink" xfId="18801" builtinId="9" hidden="1"/>
    <cellStyle name="Followed Hyperlink" xfId="18803" builtinId="9" hidden="1"/>
    <cellStyle name="Followed Hyperlink" xfId="18805" builtinId="9" hidden="1"/>
    <cellStyle name="Followed Hyperlink" xfId="18711" builtinId="9" hidden="1"/>
    <cellStyle name="Followed Hyperlink" xfId="18733" builtinId="9" hidden="1"/>
    <cellStyle name="Followed Hyperlink" xfId="18807" builtinId="9" hidden="1"/>
    <cellStyle name="Followed Hyperlink" xfId="18809" builtinId="9" hidden="1"/>
    <cellStyle name="Followed Hyperlink" xfId="18811" builtinId="9" hidden="1"/>
    <cellStyle name="Followed Hyperlink" xfId="18813" builtinId="9" hidden="1"/>
    <cellStyle name="Followed Hyperlink" xfId="18726" builtinId="9" hidden="1"/>
    <cellStyle name="Followed Hyperlink" xfId="18706" builtinId="9" hidden="1"/>
    <cellStyle name="Followed Hyperlink" xfId="18815" builtinId="9" hidden="1"/>
    <cellStyle name="Followed Hyperlink" xfId="18817" builtinId="9" hidden="1"/>
    <cellStyle name="Followed Hyperlink" xfId="18819" builtinId="9" hidden="1"/>
    <cellStyle name="Followed Hyperlink" xfId="18821" builtinId="9" hidden="1"/>
    <cellStyle name="Followed Hyperlink" xfId="18717" builtinId="9" hidden="1"/>
    <cellStyle name="Followed Hyperlink" xfId="18741" builtinId="9" hidden="1"/>
    <cellStyle name="Followed Hyperlink" xfId="18823" builtinId="9" hidden="1"/>
    <cellStyle name="Followed Hyperlink" xfId="18825" builtinId="9" hidden="1"/>
    <cellStyle name="Followed Hyperlink" xfId="18827" builtinId="9" hidden="1"/>
    <cellStyle name="Followed Hyperlink" xfId="18829" builtinId="9" hidden="1"/>
    <cellStyle name="Followed Hyperlink" xfId="18715" builtinId="9" hidden="1"/>
    <cellStyle name="Followed Hyperlink" xfId="18714" builtinId="9" hidden="1"/>
    <cellStyle name="Followed Hyperlink" xfId="18831" builtinId="9" hidden="1"/>
    <cellStyle name="Followed Hyperlink" xfId="18833" builtinId="9" hidden="1"/>
    <cellStyle name="Followed Hyperlink" xfId="18835" builtinId="9" hidden="1"/>
    <cellStyle name="Followed Hyperlink" xfId="18837" builtinId="9" hidden="1"/>
    <cellStyle name="Followed Hyperlink" xfId="18713" builtinId="9" hidden="1"/>
    <cellStyle name="Followed Hyperlink" xfId="18735" builtinId="9" hidden="1"/>
    <cellStyle name="Followed Hyperlink" xfId="18839" builtinId="9" hidden="1"/>
    <cellStyle name="Followed Hyperlink" xfId="18841" builtinId="9" hidden="1"/>
    <cellStyle name="Followed Hyperlink" xfId="18843" builtinId="9" hidden="1"/>
    <cellStyle name="Followed Hyperlink" xfId="18845" builtinId="9" hidden="1"/>
    <cellStyle name="Followed Hyperlink" xfId="16948" builtinId="9" hidden="1"/>
    <cellStyle name="Followed Hyperlink" xfId="17849" builtinId="9" hidden="1"/>
    <cellStyle name="Followed Hyperlink" xfId="17003" builtinId="9" hidden="1"/>
    <cellStyle name="Followed Hyperlink" xfId="16992" builtinId="9" hidden="1"/>
    <cellStyle name="Followed Hyperlink" xfId="18681" builtinId="9" hidden="1"/>
    <cellStyle name="Followed Hyperlink" xfId="16969" builtinId="9" hidden="1"/>
    <cellStyle name="Followed Hyperlink" xfId="16870" builtinId="9" hidden="1"/>
    <cellStyle name="Followed Hyperlink" xfId="18186" builtinId="9" hidden="1"/>
    <cellStyle name="Followed Hyperlink" xfId="18847" builtinId="9" hidden="1"/>
    <cellStyle name="Followed Hyperlink" xfId="18849" builtinId="9" hidden="1"/>
    <cellStyle name="Followed Hyperlink" xfId="18851" builtinId="9" hidden="1"/>
    <cellStyle name="Followed Hyperlink" xfId="18853" builtinId="9" hidden="1"/>
    <cellStyle name="Followed Hyperlink" xfId="18855" builtinId="9" hidden="1"/>
    <cellStyle name="Followed Hyperlink" xfId="18857" builtinId="9" hidden="1"/>
    <cellStyle name="Followed Hyperlink" xfId="18907" builtinId="9" hidden="1"/>
    <cellStyle name="Followed Hyperlink" xfId="18909" builtinId="9" hidden="1"/>
    <cellStyle name="Followed Hyperlink" xfId="18911" builtinId="9" hidden="1"/>
    <cellStyle name="Followed Hyperlink" xfId="18913" builtinId="9" hidden="1"/>
    <cellStyle name="Followed Hyperlink" xfId="18882" builtinId="9" hidden="1"/>
    <cellStyle name="Followed Hyperlink" xfId="18871" builtinId="9" hidden="1"/>
    <cellStyle name="Followed Hyperlink" xfId="18915" builtinId="9" hidden="1"/>
    <cellStyle name="Followed Hyperlink" xfId="18917" builtinId="9" hidden="1"/>
    <cellStyle name="Followed Hyperlink" xfId="18919" builtinId="9" hidden="1"/>
    <cellStyle name="Followed Hyperlink" xfId="18921" builtinId="9" hidden="1"/>
    <cellStyle name="Followed Hyperlink" xfId="18865" builtinId="9" hidden="1"/>
    <cellStyle name="Followed Hyperlink" xfId="18868" builtinId="9" hidden="1"/>
    <cellStyle name="Followed Hyperlink" xfId="18923" builtinId="9" hidden="1"/>
    <cellStyle name="Followed Hyperlink" xfId="18925" builtinId="9" hidden="1"/>
    <cellStyle name="Followed Hyperlink" xfId="18927" builtinId="9" hidden="1"/>
    <cellStyle name="Followed Hyperlink" xfId="18929" builtinId="9" hidden="1"/>
    <cellStyle name="Followed Hyperlink" xfId="18883" builtinId="9" hidden="1"/>
    <cellStyle name="Followed Hyperlink" xfId="18896" builtinId="9" hidden="1"/>
    <cellStyle name="Followed Hyperlink" xfId="18931" builtinId="9" hidden="1"/>
    <cellStyle name="Followed Hyperlink" xfId="18933" builtinId="9" hidden="1"/>
    <cellStyle name="Followed Hyperlink" xfId="18935" builtinId="9" hidden="1"/>
    <cellStyle name="Followed Hyperlink" xfId="18937" builtinId="9" hidden="1"/>
    <cellStyle name="Followed Hyperlink" xfId="18895" builtinId="9" hidden="1"/>
    <cellStyle name="Followed Hyperlink" xfId="18862" builtinId="9" hidden="1"/>
    <cellStyle name="Followed Hyperlink" xfId="18939" builtinId="9" hidden="1"/>
    <cellStyle name="Followed Hyperlink" xfId="18941" builtinId="9" hidden="1"/>
    <cellStyle name="Followed Hyperlink" xfId="18943" builtinId="9" hidden="1"/>
    <cellStyle name="Followed Hyperlink" xfId="18945" builtinId="9" hidden="1"/>
    <cellStyle name="Followed Hyperlink" xfId="18867" builtinId="9" hidden="1"/>
    <cellStyle name="Followed Hyperlink" xfId="18898" builtinId="9" hidden="1"/>
    <cellStyle name="Followed Hyperlink" xfId="18947" builtinId="9" hidden="1"/>
    <cellStyle name="Followed Hyperlink" xfId="18949" builtinId="9" hidden="1"/>
    <cellStyle name="Followed Hyperlink" xfId="18951" builtinId="9" hidden="1"/>
    <cellStyle name="Followed Hyperlink" xfId="18953" builtinId="9" hidden="1"/>
    <cellStyle name="Followed Hyperlink" xfId="18901" builtinId="9" hidden="1"/>
    <cellStyle name="Followed Hyperlink" xfId="18866" builtinId="9" hidden="1"/>
    <cellStyle name="Followed Hyperlink" xfId="18955" builtinId="9" hidden="1"/>
    <cellStyle name="Followed Hyperlink" xfId="18957" builtinId="9" hidden="1"/>
    <cellStyle name="Followed Hyperlink" xfId="18959" builtinId="9" hidden="1"/>
    <cellStyle name="Followed Hyperlink" xfId="18961" builtinId="9" hidden="1"/>
    <cellStyle name="Followed Hyperlink" xfId="18893" builtinId="9" hidden="1"/>
    <cellStyle name="Followed Hyperlink" xfId="18873" builtinId="9" hidden="1"/>
    <cellStyle name="Followed Hyperlink" xfId="18963" builtinId="9" hidden="1"/>
    <cellStyle name="Followed Hyperlink" xfId="18965" builtinId="9" hidden="1"/>
    <cellStyle name="Followed Hyperlink" xfId="18967" builtinId="9" hidden="1"/>
    <cellStyle name="Followed Hyperlink" xfId="18969" builtinId="9" hidden="1"/>
    <cellStyle name="Followed Hyperlink" xfId="18875" builtinId="9" hidden="1"/>
    <cellStyle name="Followed Hyperlink" xfId="18897" builtinId="9" hidden="1"/>
    <cellStyle name="Followed Hyperlink" xfId="18971" builtinId="9" hidden="1"/>
    <cellStyle name="Followed Hyperlink" xfId="18973" builtinId="9" hidden="1"/>
    <cellStyle name="Followed Hyperlink" xfId="18975" builtinId="9" hidden="1"/>
    <cellStyle name="Followed Hyperlink" xfId="18977" builtinId="9" hidden="1"/>
    <cellStyle name="Followed Hyperlink" xfId="18890" builtinId="9" hidden="1"/>
    <cellStyle name="Followed Hyperlink" xfId="18870" builtinId="9" hidden="1"/>
    <cellStyle name="Followed Hyperlink" xfId="18979" builtinId="9" hidden="1"/>
    <cellStyle name="Followed Hyperlink" xfId="18981" builtinId="9" hidden="1"/>
    <cellStyle name="Followed Hyperlink" xfId="18983" builtinId="9" hidden="1"/>
    <cellStyle name="Followed Hyperlink" xfId="18985" builtinId="9" hidden="1"/>
    <cellStyle name="Followed Hyperlink" xfId="18881" builtinId="9" hidden="1"/>
    <cellStyle name="Followed Hyperlink" xfId="18905" builtinId="9" hidden="1"/>
    <cellStyle name="Followed Hyperlink" xfId="18987" builtinId="9" hidden="1"/>
    <cellStyle name="Followed Hyperlink" xfId="18989" builtinId="9" hidden="1"/>
    <cellStyle name="Followed Hyperlink" xfId="18991" builtinId="9" hidden="1"/>
    <cellStyle name="Followed Hyperlink" xfId="18993" builtinId="9" hidden="1"/>
    <cellStyle name="Followed Hyperlink" xfId="18879" builtinId="9" hidden="1"/>
    <cellStyle name="Followed Hyperlink" xfId="18878" builtinId="9" hidden="1"/>
    <cellStyle name="Followed Hyperlink" xfId="18995" builtinId="9" hidden="1"/>
    <cellStyle name="Followed Hyperlink" xfId="18997" builtinId="9" hidden="1"/>
    <cellStyle name="Followed Hyperlink" xfId="18999" builtinId="9" hidden="1"/>
    <cellStyle name="Followed Hyperlink" xfId="19001" builtinId="9" hidden="1"/>
    <cellStyle name="Followed Hyperlink" xfId="18877" builtinId="9" hidden="1"/>
    <cellStyle name="Followed Hyperlink" xfId="18899" builtinId="9" hidden="1"/>
    <cellStyle name="Followed Hyperlink" xfId="19003" builtinId="9" hidden="1"/>
    <cellStyle name="Followed Hyperlink" xfId="19005" builtinId="9" hidden="1"/>
    <cellStyle name="Followed Hyperlink" xfId="19007" builtinId="9" hidden="1"/>
    <cellStyle name="Followed Hyperlink" xfId="19009" builtinId="9" hidden="1"/>
    <cellStyle name="Followed Hyperlink" xfId="19011" builtinId="9" hidden="1"/>
    <cellStyle name="Followed Hyperlink" xfId="19013" builtinId="9" hidden="1"/>
    <cellStyle name="Followed Hyperlink" xfId="19061" builtinId="9" hidden="1"/>
    <cellStyle name="Followed Hyperlink" xfId="19063" builtinId="9" hidden="1"/>
    <cellStyle name="Followed Hyperlink" xfId="19065" builtinId="9" hidden="1"/>
    <cellStyle name="Followed Hyperlink" xfId="19067" builtinId="9" hidden="1"/>
    <cellStyle name="Followed Hyperlink" xfId="19070" builtinId="9" hidden="1"/>
    <cellStyle name="Followed Hyperlink" xfId="19072" builtinId="9" hidden="1"/>
    <cellStyle name="Followed Hyperlink" xfId="19117" builtinId="9" hidden="1"/>
    <cellStyle name="Followed Hyperlink" xfId="19119" builtinId="9" hidden="1"/>
    <cellStyle name="Followed Hyperlink" xfId="19121" builtinId="9" hidden="1"/>
    <cellStyle name="Followed Hyperlink" xfId="19123" builtinId="9" hidden="1"/>
    <cellStyle name="Followed Hyperlink" xfId="19125" builtinId="9" hidden="1"/>
    <cellStyle name="Followed Hyperlink" xfId="19127" builtinId="9" hidden="1"/>
    <cellStyle name="Followed Hyperlink" xfId="19169" builtinId="9" hidden="1"/>
    <cellStyle name="Followed Hyperlink" xfId="19171" builtinId="9" hidden="1"/>
    <cellStyle name="Followed Hyperlink" xfId="19173" builtinId="9" hidden="1"/>
    <cellStyle name="Followed Hyperlink" xfId="19175" builtinId="9" hidden="1"/>
    <cellStyle name="Followed Hyperlink" xfId="19178" builtinId="9" hidden="1"/>
    <cellStyle name="Followed Hyperlink" xfId="19180" builtinId="9" hidden="1"/>
    <cellStyle name="Followed Hyperlink" xfId="19230" builtinId="9" hidden="1"/>
    <cellStyle name="Followed Hyperlink" xfId="19232" builtinId="9" hidden="1"/>
    <cellStyle name="Followed Hyperlink" xfId="19234" builtinId="9" hidden="1"/>
    <cellStyle name="Followed Hyperlink" xfId="19236" builtinId="9" hidden="1"/>
    <cellStyle name="Followed Hyperlink" xfId="19205" builtinId="9" hidden="1"/>
    <cellStyle name="Followed Hyperlink" xfId="19194" builtinId="9" hidden="1"/>
    <cellStyle name="Followed Hyperlink" xfId="19238" builtinId="9" hidden="1"/>
    <cellStyle name="Followed Hyperlink" xfId="19240" builtinId="9" hidden="1"/>
    <cellStyle name="Followed Hyperlink" xfId="19242" builtinId="9" hidden="1"/>
    <cellStyle name="Followed Hyperlink" xfId="19244" builtinId="9" hidden="1"/>
    <cellStyle name="Followed Hyperlink" xfId="19188" builtinId="9" hidden="1"/>
    <cellStyle name="Followed Hyperlink" xfId="19191" builtinId="9" hidden="1"/>
    <cellStyle name="Followed Hyperlink" xfId="19246" builtinId="9" hidden="1"/>
    <cellStyle name="Followed Hyperlink" xfId="19248" builtinId="9" hidden="1"/>
    <cellStyle name="Followed Hyperlink" xfId="19250" builtinId="9" hidden="1"/>
    <cellStyle name="Followed Hyperlink" xfId="19252" builtinId="9" hidden="1"/>
    <cellStyle name="Followed Hyperlink" xfId="19206" builtinId="9" hidden="1"/>
    <cellStyle name="Followed Hyperlink" xfId="19219" builtinId="9" hidden="1"/>
    <cellStyle name="Followed Hyperlink" xfId="19254" builtinId="9" hidden="1"/>
    <cellStyle name="Followed Hyperlink" xfId="19256" builtinId="9" hidden="1"/>
    <cellStyle name="Followed Hyperlink" xfId="19258" builtinId="9" hidden="1"/>
    <cellStyle name="Followed Hyperlink" xfId="19260" builtinId="9" hidden="1"/>
    <cellStyle name="Followed Hyperlink" xfId="19218" builtinId="9" hidden="1"/>
    <cellStyle name="Followed Hyperlink" xfId="19185" builtinId="9" hidden="1"/>
    <cellStyle name="Followed Hyperlink" xfId="19262" builtinId="9" hidden="1"/>
    <cellStyle name="Followed Hyperlink" xfId="19264" builtinId="9" hidden="1"/>
    <cellStyle name="Followed Hyperlink" xfId="19266" builtinId="9" hidden="1"/>
    <cellStyle name="Followed Hyperlink" xfId="19268" builtinId="9" hidden="1"/>
    <cellStyle name="Followed Hyperlink" xfId="19190" builtinId="9" hidden="1"/>
    <cellStyle name="Followed Hyperlink" xfId="19221" builtinId="9" hidden="1"/>
    <cellStyle name="Followed Hyperlink" xfId="19270" builtinId="9" hidden="1"/>
    <cellStyle name="Followed Hyperlink" xfId="19272" builtinId="9" hidden="1"/>
    <cellStyle name="Followed Hyperlink" xfId="19274" builtinId="9" hidden="1"/>
    <cellStyle name="Followed Hyperlink" xfId="19276" builtinId="9" hidden="1"/>
    <cellStyle name="Followed Hyperlink" xfId="19224" builtinId="9" hidden="1"/>
    <cellStyle name="Followed Hyperlink" xfId="19189" builtinId="9" hidden="1"/>
    <cellStyle name="Followed Hyperlink" xfId="19278" builtinId="9" hidden="1"/>
    <cellStyle name="Followed Hyperlink" xfId="19280" builtinId="9" hidden="1"/>
    <cellStyle name="Followed Hyperlink" xfId="19282" builtinId="9" hidden="1"/>
    <cellStyle name="Followed Hyperlink" xfId="19284" builtinId="9" hidden="1"/>
    <cellStyle name="Followed Hyperlink" xfId="19216" builtinId="9" hidden="1"/>
    <cellStyle name="Followed Hyperlink" xfId="19196" builtinId="9" hidden="1"/>
    <cellStyle name="Followed Hyperlink" xfId="19286" builtinId="9" hidden="1"/>
    <cellStyle name="Followed Hyperlink" xfId="19288" builtinId="9" hidden="1"/>
    <cellStyle name="Followed Hyperlink" xfId="19290" builtinId="9" hidden="1"/>
    <cellStyle name="Followed Hyperlink" xfId="19292" builtinId="9" hidden="1"/>
    <cellStyle name="Followed Hyperlink" xfId="19198" builtinId="9" hidden="1"/>
    <cellStyle name="Followed Hyperlink" xfId="19220" builtinId="9" hidden="1"/>
    <cellStyle name="Followed Hyperlink" xfId="19294" builtinId="9" hidden="1"/>
    <cellStyle name="Followed Hyperlink" xfId="19296" builtinId="9" hidden="1"/>
    <cellStyle name="Followed Hyperlink" xfId="19298" builtinId="9" hidden="1"/>
    <cellStyle name="Followed Hyperlink" xfId="19300" builtinId="9" hidden="1"/>
    <cellStyle name="Followed Hyperlink" xfId="19213" builtinId="9" hidden="1"/>
    <cellStyle name="Followed Hyperlink" xfId="19193" builtinId="9" hidden="1"/>
    <cellStyle name="Followed Hyperlink" xfId="19302" builtinId="9" hidden="1"/>
    <cellStyle name="Followed Hyperlink" xfId="19304" builtinId="9" hidden="1"/>
    <cellStyle name="Followed Hyperlink" xfId="19306" builtinId="9" hidden="1"/>
    <cellStyle name="Followed Hyperlink" xfId="19308" builtinId="9" hidden="1"/>
    <cellStyle name="Followed Hyperlink" xfId="19204" builtinId="9" hidden="1"/>
    <cellStyle name="Followed Hyperlink" xfId="19228" builtinId="9" hidden="1"/>
    <cellStyle name="Followed Hyperlink" xfId="19310" builtinId="9" hidden="1"/>
    <cellStyle name="Followed Hyperlink" xfId="19312" builtinId="9" hidden="1"/>
    <cellStyle name="Followed Hyperlink" xfId="19314" builtinId="9" hidden="1"/>
    <cellStyle name="Followed Hyperlink" xfId="19316" builtinId="9" hidden="1"/>
    <cellStyle name="Followed Hyperlink" xfId="19202" builtinId="9" hidden="1"/>
    <cellStyle name="Followed Hyperlink" xfId="19201" builtinId="9" hidden="1"/>
    <cellStyle name="Followed Hyperlink" xfId="19318" builtinId="9" hidden="1"/>
    <cellStyle name="Followed Hyperlink" xfId="19320" builtinId="9" hidden="1"/>
    <cellStyle name="Followed Hyperlink" xfId="19322" builtinId="9" hidden="1"/>
    <cellStyle name="Followed Hyperlink" xfId="19324" builtinId="9" hidden="1"/>
    <cellStyle name="Followed Hyperlink" xfId="19200" builtinId="9" hidden="1"/>
    <cellStyle name="Followed Hyperlink" xfId="19222" builtinId="9" hidden="1"/>
    <cellStyle name="Followed Hyperlink" xfId="19326" builtinId="9" hidden="1"/>
    <cellStyle name="Followed Hyperlink" xfId="19328" builtinId="9" hidden="1"/>
    <cellStyle name="Followed Hyperlink" xfId="19330" builtinId="9" hidden="1"/>
    <cellStyle name="Followed Hyperlink" xfId="19332" builtinId="9" hidden="1"/>
    <cellStyle name="Followed Hyperlink" xfId="19334" builtinId="9" hidden="1"/>
    <cellStyle name="Followed Hyperlink" xfId="19336" builtinId="9" hidden="1"/>
    <cellStyle name="Followed Hyperlink" xfId="19402" builtinId="9" hidden="1"/>
    <cellStyle name="Followed Hyperlink" xfId="19404" builtinId="9" hidden="1"/>
    <cellStyle name="Followed Hyperlink" xfId="19406" builtinId="9" hidden="1"/>
    <cellStyle name="Followed Hyperlink" xfId="19408" builtinId="9" hidden="1"/>
    <cellStyle name="Followed Hyperlink" xfId="19411" builtinId="9" hidden="1"/>
    <cellStyle name="Followed Hyperlink" xfId="19413" builtinId="9" hidden="1"/>
    <cellStyle name="Followed Hyperlink" xfId="19487" builtinId="9" hidden="1"/>
    <cellStyle name="Followed Hyperlink" xfId="19489" builtinId="9" hidden="1"/>
    <cellStyle name="Followed Hyperlink" xfId="19491" builtinId="9" hidden="1"/>
    <cellStyle name="Followed Hyperlink" xfId="19493" builtinId="9" hidden="1"/>
    <cellStyle name="Followed Hyperlink" xfId="19495" builtinId="9" hidden="1"/>
    <cellStyle name="Followed Hyperlink" xfId="19497" builtinId="9" hidden="1"/>
    <cellStyle name="Followed Hyperlink" xfId="19547" builtinId="9" hidden="1"/>
    <cellStyle name="Followed Hyperlink" xfId="19549" builtinId="9" hidden="1"/>
    <cellStyle name="Followed Hyperlink" xfId="19551" builtinId="9" hidden="1"/>
    <cellStyle name="Followed Hyperlink" xfId="19553" builtinId="9" hidden="1"/>
    <cellStyle name="Followed Hyperlink" xfId="19522" builtinId="9" hidden="1"/>
    <cellStyle name="Followed Hyperlink" xfId="19511" builtinId="9" hidden="1"/>
    <cellStyle name="Followed Hyperlink" xfId="19555" builtinId="9" hidden="1"/>
    <cellStyle name="Followed Hyperlink" xfId="19557" builtinId="9" hidden="1"/>
    <cellStyle name="Followed Hyperlink" xfId="19559" builtinId="9" hidden="1"/>
    <cellStyle name="Followed Hyperlink" xfId="19561" builtinId="9" hidden="1"/>
    <cellStyle name="Followed Hyperlink" xfId="19505" builtinId="9" hidden="1"/>
    <cellStyle name="Followed Hyperlink" xfId="19508" builtinId="9" hidden="1"/>
    <cellStyle name="Followed Hyperlink" xfId="19563" builtinId="9" hidden="1"/>
    <cellStyle name="Followed Hyperlink" xfId="19565" builtinId="9" hidden="1"/>
    <cellStyle name="Followed Hyperlink" xfId="19567" builtinId="9" hidden="1"/>
    <cellStyle name="Followed Hyperlink" xfId="19569" builtinId="9" hidden="1"/>
    <cellStyle name="Followed Hyperlink" xfId="19523" builtinId="9" hidden="1"/>
    <cellStyle name="Followed Hyperlink" xfId="19536" builtinId="9" hidden="1"/>
    <cellStyle name="Followed Hyperlink" xfId="19571" builtinId="9" hidden="1"/>
    <cellStyle name="Followed Hyperlink" xfId="19573" builtinId="9" hidden="1"/>
    <cellStyle name="Followed Hyperlink" xfId="19575" builtinId="9" hidden="1"/>
    <cellStyle name="Followed Hyperlink" xfId="19577" builtinId="9" hidden="1"/>
    <cellStyle name="Followed Hyperlink" xfId="19535" builtinId="9" hidden="1"/>
    <cellStyle name="Followed Hyperlink" xfId="19502" builtinId="9" hidden="1"/>
    <cellStyle name="Followed Hyperlink" xfId="19579" builtinId="9" hidden="1"/>
    <cellStyle name="Followed Hyperlink" xfId="19581" builtinId="9" hidden="1"/>
    <cellStyle name="Followed Hyperlink" xfId="19583" builtinId="9" hidden="1"/>
    <cellStyle name="Followed Hyperlink" xfId="19585" builtinId="9" hidden="1"/>
    <cellStyle name="Followed Hyperlink" xfId="19507" builtinId="9" hidden="1"/>
    <cellStyle name="Followed Hyperlink" xfId="19538" builtinId="9" hidden="1"/>
    <cellStyle name="Followed Hyperlink" xfId="19587" builtinId="9" hidden="1"/>
    <cellStyle name="Followed Hyperlink" xfId="19589" builtinId="9" hidden="1"/>
    <cellStyle name="Followed Hyperlink" xfId="19591" builtinId="9" hidden="1"/>
    <cellStyle name="Followed Hyperlink" xfId="19593" builtinId="9" hidden="1"/>
    <cellStyle name="Followed Hyperlink" xfId="19541" builtinId="9" hidden="1"/>
    <cellStyle name="Followed Hyperlink" xfId="19506" builtinId="9" hidden="1"/>
    <cellStyle name="Followed Hyperlink" xfId="19595" builtinId="9" hidden="1"/>
    <cellStyle name="Followed Hyperlink" xfId="19597" builtinId="9" hidden="1"/>
    <cellStyle name="Followed Hyperlink" xfId="19599" builtinId="9" hidden="1"/>
    <cellStyle name="Followed Hyperlink" xfId="19601" builtinId="9" hidden="1"/>
    <cellStyle name="Followed Hyperlink" xfId="19533" builtinId="9" hidden="1"/>
    <cellStyle name="Followed Hyperlink" xfId="19513" builtinId="9" hidden="1"/>
    <cellStyle name="Followed Hyperlink" xfId="19603" builtinId="9" hidden="1"/>
    <cellStyle name="Followed Hyperlink" xfId="19605" builtinId="9" hidden="1"/>
    <cellStyle name="Followed Hyperlink" xfId="19607" builtinId="9" hidden="1"/>
    <cellStyle name="Followed Hyperlink" xfId="19609" builtinId="9" hidden="1"/>
    <cellStyle name="Followed Hyperlink" xfId="19515" builtinId="9" hidden="1"/>
    <cellStyle name="Followed Hyperlink" xfId="19537" builtinId="9" hidden="1"/>
    <cellStyle name="Followed Hyperlink" xfId="19611" builtinId="9" hidden="1"/>
    <cellStyle name="Followed Hyperlink" xfId="19613" builtinId="9" hidden="1"/>
    <cellStyle name="Followed Hyperlink" xfId="19615" builtinId="9" hidden="1"/>
    <cellStyle name="Followed Hyperlink" xfId="19617" builtinId="9" hidden="1"/>
    <cellStyle name="Followed Hyperlink" xfId="19530" builtinId="9" hidden="1"/>
    <cellStyle name="Followed Hyperlink" xfId="19510" builtinId="9" hidden="1"/>
    <cellStyle name="Followed Hyperlink" xfId="19619" builtinId="9" hidden="1"/>
    <cellStyle name="Followed Hyperlink" xfId="19621" builtinId="9" hidden="1"/>
    <cellStyle name="Followed Hyperlink" xfId="19623" builtinId="9" hidden="1"/>
    <cellStyle name="Followed Hyperlink" xfId="19625" builtinId="9" hidden="1"/>
    <cellStyle name="Followed Hyperlink" xfId="19521" builtinId="9" hidden="1"/>
    <cellStyle name="Followed Hyperlink" xfId="19545" builtinId="9" hidden="1"/>
    <cellStyle name="Followed Hyperlink" xfId="19627" builtinId="9" hidden="1"/>
    <cellStyle name="Followed Hyperlink" xfId="19629" builtinId="9" hidden="1"/>
    <cellStyle name="Followed Hyperlink" xfId="19631" builtinId="9" hidden="1"/>
    <cellStyle name="Followed Hyperlink" xfId="19633" builtinId="9" hidden="1"/>
    <cellStyle name="Followed Hyperlink" xfId="19519" builtinId="9" hidden="1"/>
    <cellStyle name="Followed Hyperlink" xfId="19518" builtinId="9" hidden="1"/>
    <cellStyle name="Followed Hyperlink" xfId="19635" builtinId="9" hidden="1"/>
    <cellStyle name="Followed Hyperlink" xfId="19637" builtinId="9" hidden="1"/>
    <cellStyle name="Followed Hyperlink" xfId="19639" builtinId="9" hidden="1"/>
    <cellStyle name="Followed Hyperlink" xfId="19641" builtinId="9" hidden="1"/>
    <cellStyle name="Followed Hyperlink" xfId="19517" builtinId="9" hidden="1"/>
    <cellStyle name="Followed Hyperlink" xfId="19539" builtinId="9" hidden="1"/>
    <cellStyle name="Followed Hyperlink" xfId="19643" builtinId="9" hidden="1"/>
    <cellStyle name="Followed Hyperlink" xfId="19645" builtinId="9" hidden="1"/>
    <cellStyle name="Followed Hyperlink" xfId="19647" builtinId="9" hidden="1"/>
    <cellStyle name="Followed Hyperlink" xfId="19649" builtinId="9" hidden="1"/>
    <cellStyle name="Followed Hyperlink" xfId="19426" builtinId="9" hidden="1"/>
    <cellStyle name="Followed Hyperlink" xfId="19373" builtinId="9" hidden="1"/>
    <cellStyle name="Followed Hyperlink" xfId="19428" builtinId="9" hidden="1"/>
    <cellStyle name="Followed Hyperlink" xfId="19379" builtinId="9" hidden="1"/>
    <cellStyle name="Followed Hyperlink" xfId="19484" builtinId="9" hidden="1"/>
    <cellStyle name="Followed Hyperlink" xfId="19364" builtinId="9" hidden="1"/>
    <cellStyle name="Followed Hyperlink" xfId="19417" builtinId="9" hidden="1"/>
    <cellStyle name="Followed Hyperlink" xfId="19367" builtinId="9" hidden="1"/>
    <cellStyle name="Followed Hyperlink" xfId="19654" builtinId="9" hidden="1"/>
    <cellStyle name="Followed Hyperlink" xfId="19656" builtinId="9" hidden="1"/>
    <cellStyle name="Followed Hyperlink" xfId="19658" builtinId="9" hidden="1"/>
    <cellStyle name="Followed Hyperlink" xfId="19660" builtinId="9" hidden="1"/>
    <cellStyle name="Followed Hyperlink" xfId="19663" builtinId="9" hidden="1"/>
    <cellStyle name="Followed Hyperlink" xfId="19665" builtinId="9" hidden="1"/>
    <cellStyle name="Followed Hyperlink" xfId="19715" builtinId="9" hidden="1"/>
    <cellStyle name="Followed Hyperlink" xfId="19717" builtinId="9" hidden="1"/>
    <cellStyle name="Followed Hyperlink" xfId="19719" builtinId="9" hidden="1"/>
    <cellStyle name="Followed Hyperlink" xfId="19721" builtinId="9" hidden="1"/>
    <cellStyle name="Followed Hyperlink" xfId="19690" builtinId="9" hidden="1"/>
    <cellStyle name="Followed Hyperlink" xfId="19679" builtinId="9" hidden="1"/>
    <cellStyle name="Followed Hyperlink" xfId="19723" builtinId="9" hidden="1"/>
    <cellStyle name="Followed Hyperlink" xfId="19725" builtinId="9" hidden="1"/>
    <cellStyle name="Followed Hyperlink" xfId="19727" builtinId="9" hidden="1"/>
    <cellStyle name="Followed Hyperlink" xfId="19729" builtinId="9" hidden="1"/>
    <cellStyle name="Followed Hyperlink" xfId="19673" builtinId="9" hidden="1"/>
    <cellStyle name="Followed Hyperlink" xfId="19676" builtinId="9" hidden="1"/>
    <cellStyle name="Followed Hyperlink" xfId="19731" builtinId="9" hidden="1"/>
    <cellStyle name="Followed Hyperlink" xfId="19733" builtinId="9" hidden="1"/>
    <cellStyle name="Followed Hyperlink" xfId="19735" builtinId="9" hidden="1"/>
    <cellStyle name="Followed Hyperlink" xfId="19737" builtinId="9" hidden="1"/>
    <cellStyle name="Followed Hyperlink" xfId="19691" builtinId="9" hidden="1"/>
    <cellStyle name="Followed Hyperlink" xfId="19704" builtinId="9" hidden="1"/>
    <cellStyle name="Followed Hyperlink" xfId="19739" builtinId="9" hidden="1"/>
    <cellStyle name="Followed Hyperlink" xfId="19741" builtinId="9" hidden="1"/>
    <cellStyle name="Followed Hyperlink" xfId="19743" builtinId="9" hidden="1"/>
    <cellStyle name="Followed Hyperlink" xfId="19745" builtinId="9" hidden="1"/>
    <cellStyle name="Followed Hyperlink" xfId="19703" builtinId="9" hidden="1"/>
    <cellStyle name="Followed Hyperlink" xfId="19670" builtinId="9" hidden="1"/>
    <cellStyle name="Followed Hyperlink" xfId="19747" builtinId="9" hidden="1"/>
    <cellStyle name="Followed Hyperlink" xfId="19749" builtinId="9" hidden="1"/>
    <cellStyle name="Followed Hyperlink" xfId="19751" builtinId="9" hidden="1"/>
    <cellStyle name="Followed Hyperlink" xfId="19753" builtinId="9" hidden="1"/>
    <cellStyle name="Followed Hyperlink" xfId="19675" builtinId="9" hidden="1"/>
    <cellStyle name="Followed Hyperlink" xfId="19706" builtinId="9" hidden="1"/>
    <cellStyle name="Followed Hyperlink" xfId="19755" builtinId="9" hidden="1"/>
    <cellStyle name="Followed Hyperlink" xfId="19757" builtinId="9" hidden="1"/>
    <cellStyle name="Followed Hyperlink" xfId="19759" builtinId="9" hidden="1"/>
    <cellStyle name="Followed Hyperlink" xfId="19761" builtinId="9" hidden="1"/>
    <cellStyle name="Followed Hyperlink" xfId="19709" builtinId="9" hidden="1"/>
    <cellStyle name="Followed Hyperlink" xfId="19674" builtinId="9" hidden="1"/>
    <cellStyle name="Followed Hyperlink" xfId="19763" builtinId="9" hidden="1"/>
    <cellStyle name="Followed Hyperlink" xfId="19765" builtinId="9" hidden="1"/>
    <cellStyle name="Followed Hyperlink" xfId="19767" builtinId="9" hidden="1"/>
    <cellStyle name="Followed Hyperlink" xfId="19769" builtinId="9" hidden="1"/>
    <cellStyle name="Followed Hyperlink" xfId="19701" builtinId="9" hidden="1"/>
    <cellStyle name="Followed Hyperlink" xfId="19681" builtinId="9" hidden="1"/>
    <cellStyle name="Followed Hyperlink" xfId="19771" builtinId="9" hidden="1"/>
    <cellStyle name="Followed Hyperlink" xfId="19773" builtinId="9" hidden="1"/>
    <cellStyle name="Followed Hyperlink" xfId="19775" builtinId="9" hidden="1"/>
    <cellStyle name="Followed Hyperlink" xfId="19777" builtinId="9" hidden="1"/>
    <cellStyle name="Followed Hyperlink" xfId="19683" builtinId="9" hidden="1"/>
    <cellStyle name="Followed Hyperlink" xfId="19705" builtinId="9" hidden="1"/>
    <cellStyle name="Followed Hyperlink" xfId="19779" builtinId="9" hidden="1"/>
    <cellStyle name="Followed Hyperlink" xfId="19781" builtinId="9" hidden="1"/>
    <cellStyle name="Followed Hyperlink" xfId="19783" builtinId="9" hidden="1"/>
    <cellStyle name="Followed Hyperlink" xfId="19785" builtinId="9" hidden="1"/>
    <cellStyle name="Followed Hyperlink" xfId="19698" builtinId="9" hidden="1"/>
    <cellStyle name="Followed Hyperlink" xfId="19678" builtinId="9" hidden="1"/>
    <cellStyle name="Followed Hyperlink" xfId="19787" builtinId="9" hidden="1"/>
    <cellStyle name="Followed Hyperlink" xfId="19789" builtinId="9" hidden="1"/>
    <cellStyle name="Followed Hyperlink" xfId="19791" builtinId="9" hidden="1"/>
    <cellStyle name="Followed Hyperlink" xfId="19793" builtinId="9" hidden="1"/>
    <cellStyle name="Followed Hyperlink" xfId="19689" builtinId="9" hidden="1"/>
    <cellStyle name="Followed Hyperlink" xfId="19713" builtinId="9" hidden="1"/>
    <cellStyle name="Followed Hyperlink" xfId="19795" builtinId="9" hidden="1"/>
    <cellStyle name="Followed Hyperlink" xfId="19797" builtinId="9" hidden="1"/>
    <cellStyle name="Followed Hyperlink" xfId="19799" builtinId="9" hidden="1"/>
    <cellStyle name="Followed Hyperlink" xfId="19801" builtinId="9" hidden="1"/>
    <cellStyle name="Followed Hyperlink" xfId="19687" builtinId="9" hidden="1"/>
    <cellStyle name="Followed Hyperlink" xfId="19686" builtinId="9" hidden="1"/>
    <cellStyle name="Followed Hyperlink" xfId="19803" builtinId="9" hidden="1"/>
    <cellStyle name="Followed Hyperlink" xfId="19805" builtinId="9" hidden="1"/>
    <cellStyle name="Followed Hyperlink" xfId="19807" builtinId="9" hidden="1"/>
    <cellStyle name="Followed Hyperlink" xfId="19809" builtinId="9" hidden="1"/>
    <cellStyle name="Followed Hyperlink" xfId="19685" builtinId="9" hidden="1"/>
    <cellStyle name="Followed Hyperlink" xfId="19707" builtinId="9" hidden="1"/>
    <cellStyle name="Followed Hyperlink" xfId="19811" builtinId="9" hidden="1"/>
    <cellStyle name="Followed Hyperlink" xfId="19813" builtinId="9" hidden="1"/>
    <cellStyle name="Followed Hyperlink" xfId="19815" builtinId="9" hidden="1"/>
    <cellStyle name="Followed Hyperlink" xfId="19817" builtinId="9" hidden="1"/>
    <cellStyle name="Followed Hyperlink" xfId="19068" builtinId="9" hidden="1"/>
    <cellStyle name="Followed Hyperlink" xfId="19467" builtinId="9" hidden="1"/>
    <cellStyle name="Followed Hyperlink" xfId="19652" builtinId="9" hidden="1"/>
    <cellStyle name="Followed Hyperlink" xfId="19365" builtinId="9" hidden="1"/>
    <cellStyle name="Followed Hyperlink" xfId="19422" builtinId="9" hidden="1"/>
    <cellStyle name="Followed Hyperlink" xfId="19378" builtinId="9" hidden="1"/>
    <cellStyle name="Followed Hyperlink" xfId="19414" builtinId="9" hidden="1"/>
    <cellStyle name="Followed Hyperlink" xfId="19395" builtinId="9" hidden="1"/>
    <cellStyle name="Followed Hyperlink" xfId="19828" builtinId="9" hidden="1"/>
    <cellStyle name="Followed Hyperlink" xfId="19830" builtinId="9" hidden="1"/>
    <cellStyle name="Followed Hyperlink" xfId="19832" builtinId="9" hidden="1"/>
    <cellStyle name="Followed Hyperlink" xfId="19834" builtinId="9" hidden="1"/>
    <cellStyle name="Followed Hyperlink" xfId="19836" builtinId="9" hidden="1"/>
    <cellStyle name="Followed Hyperlink" xfId="19838" builtinId="9" hidden="1"/>
    <cellStyle name="Followed Hyperlink" xfId="19888" builtinId="9" hidden="1"/>
    <cellStyle name="Followed Hyperlink" xfId="19890" builtinId="9" hidden="1"/>
    <cellStyle name="Followed Hyperlink" xfId="19892" builtinId="9" hidden="1"/>
    <cellStyle name="Followed Hyperlink" xfId="19894" builtinId="9" hidden="1"/>
    <cellStyle name="Followed Hyperlink" xfId="19863" builtinId="9" hidden="1"/>
    <cellStyle name="Followed Hyperlink" xfId="19852" builtinId="9" hidden="1"/>
    <cellStyle name="Followed Hyperlink" xfId="19896" builtinId="9" hidden="1"/>
    <cellStyle name="Followed Hyperlink" xfId="19898" builtinId="9" hidden="1"/>
    <cellStyle name="Followed Hyperlink" xfId="19900" builtinId="9" hidden="1"/>
    <cellStyle name="Followed Hyperlink" xfId="19902" builtinId="9" hidden="1"/>
    <cellStyle name="Followed Hyperlink" xfId="19846" builtinId="9" hidden="1"/>
    <cellStyle name="Followed Hyperlink" xfId="19849" builtinId="9" hidden="1"/>
    <cellStyle name="Followed Hyperlink" xfId="19904" builtinId="9" hidden="1"/>
    <cellStyle name="Followed Hyperlink" xfId="19906" builtinId="9" hidden="1"/>
    <cellStyle name="Followed Hyperlink" xfId="19908" builtinId="9" hidden="1"/>
    <cellStyle name="Followed Hyperlink" xfId="19910" builtinId="9" hidden="1"/>
    <cellStyle name="Followed Hyperlink" xfId="19864" builtinId="9" hidden="1"/>
    <cellStyle name="Followed Hyperlink" xfId="19877" builtinId="9" hidden="1"/>
    <cellStyle name="Followed Hyperlink" xfId="19912" builtinId="9" hidden="1"/>
    <cellStyle name="Followed Hyperlink" xfId="19914" builtinId="9" hidden="1"/>
    <cellStyle name="Followed Hyperlink" xfId="19916" builtinId="9" hidden="1"/>
    <cellStyle name="Followed Hyperlink" xfId="19918" builtinId="9" hidden="1"/>
    <cellStyle name="Followed Hyperlink" xfId="19876" builtinId="9" hidden="1"/>
    <cellStyle name="Followed Hyperlink" xfId="19843" builtinId="9" hidden="1"/>
    <cellStyle name="Followed Hyperlink" xfId="19920" builtinId="9" hidden="1"/>
    <cellStyle name="Followed Hyperlink" xfId="19922" builtinId="9" hidden="1"/>
    <cellStyle name="Followed Hyperlink" xfId="19924" builtinId="9" hidden="1"/>
    <cellStyle name="Followed Hyperlink" xfId="19926" builtinId="9" hidden="1"/>
    <cellStyle name="Followed Hyperlink" xfId="19848" builtinId="9" hidden="1"/>
    <cellStyle name="Followed Hyperlink" xfId="19879" builtinId="9" hidden="1"/>
    <cellStyle name="Followed Hyperlink" xfId="19928" builtinId="9" hidden="1"/>
    <cellStyle name="Followed Hyperlink" xfId="19930" builtinId="9" hidden="1"/>
    <cellStyle name="Followed Hyperlink" xfId="19932" builtinId="9" hidden="1"/>
    <cellStyle name="Followed Hyperlink" xfId="19934" builtinId="9" hidden="1"/>
    <cellStyle name="Followed Hyperlink" xfId="19882" builtinId="9" hidden="1"/>
    <cellStyle name="Followed Hyperlink" xfId="19847" builtinId="9" hidden="1"/>
    <cellStyle name="Followed Hyperlink" xfId="19936" builtinId="9" hidden="1"/>
    <cellStyle name="Followed Hyperlink" xfId="19938" builtinId="9" hidden="1"/>
    <cellStyle name="Followed Hyperlink" xfId="19940" builtinId="9" hidden="1"/>
    <cellStyle name="Followed Hyperlink" xfId="19942" builtinId="9" hidden="1"/>
    <cellStyle name="Followed Hyperlink" xfId="19874" builtinId="9" hidden="1"/>
    <cellStyle name="Followed Hyperlink" xfId="19854" builtinId="9" hidden="1"/>
    <cellStyle name="Followed Hyperlink" xfId="19944" builtinId="9" hidden="1"/>
    <cellStyle name="Followed Hyperlink" xfId="19946" builtinId="9" hidden="1"/>
    <cellStyle name="Followed Hyperlink" xfId="19948" builtinId="9" hidden="1"/>
    <cellStyle name="Followed Hyperlink" xfId="19950" builtinId="9" hidden="1"/>
    <cellStyle name="Followed Hyperlink" xfId="19856" builtinId="9" hidden="1"/>
    <cellStyle name="Followed Hyperlink" xfId="19878" builtinId="9" hidden="1"/>
    <cellStyle name="Followed Hyperlink" xfId="19952" builtinId="9" hidden="1"/>
    <cellStyle name="Followed Hyperlink" xfId="19954" builtinId="9" hidden="1"/>
    <cellStyle name="Followed Hyperlink" xfId="19956" builtinId="9" hidden="1"/>
    <cellStyle name="Followed Hyperlink" xfId="19958" builtinId="9" hidden="1"/>
    <cellStyle name="Followed Hyperlink" xfId="19871" builtinId="9" hidden="1"/>
    <cellStyle name="Followed Hyperlink" xfId="19851" builtinId="9" hidden="1"/>
    <cellStyle name="Followed Hyperlink" xfId="19960" builtinId="9" hidden="1"/>
    <cellStyle name="Followed Hyperlink" xfId="19962" builtinId="9" hidden="1"/>
    <cellStyle name="Followed Hyperlink" xfId="19964" builtinId="9" hidden="1"/>
    <cellStyle name="Followed Hyperlink" xfId="19966" builtinId="9" hidden="1"/>
    <cellStyle name="Followed Hyperlink" xfId="19862" builtinId="9" hidden="1"/>
    <cellStyle name="Followed Hyperlink" xfId="19886" builtinId="9" hidden="1"/>
    <cellStyle name="Followed Hyperlink" xfId="19968" builtinId="9" hidden="1"/>
    <cellStyle name="Followed Hyperlink" xfId="19970" builtinId="9" hidden="1"/>
    <cellStyle name="Followed Hyperlink" xfId="19972" builtinId="9" hidden="1"/>
    <cellStyle name="Followed Hyperlink" xfId="19974" builtinId="9" hidden="1"/>
    <cellStyle name="Followed Hyperlink" xfId="19860" builtinId="9" hidden="1"/>
    <cellStyle name="Followed Hyperlink" xfId="19859" builtinId="9" hidden="1"/>
    <cellStyle name="Followed Hyperlink" xfId="19976" builtinId="9" hidden="1"/>
    <cellStyle name="Followed Hyperlink" xfId="19978" builtinId="9" hidden="1"/>
    <cellStyle name="Followed Hyperlink" xfId="19980" builtinId="9" hidden="1"/>
    <cellStyle name="Followed Hyperlink" xfId="19982" builtinId="9" hidden="1"/>
    <cellStyle name="Followed Hyperlink" xfId="19858" builtinId="9" hidden="1"/>
    <cellStyle name="Followed Hyperlink" xfId="19880" builtinId="9" hidden="1"/>
    <cellStyle name="Followed Hyperlink" xfId="19984" builtinId="9" hidden="1"/>
    <cellStyle name="Followed Hyperlink" xfId="19986" builtinId="9" hidden="1"/>
    <cellStyle name="Followed Hyperlink" xfId="19988" builtinId="9" hidden="1"/>
    <cellStyle name="Followed Hyperlink" xfId="19990" builtinId="9" hidden="1"/>
    <cellStyle name="Followed Hyperlink" xfId="19476" builtinId="9" hidden="1"/>
    <cellStyle name="Followed Hyperlink" xfId="19371" builtinId="9" hidden="1"/>
    <cellStyle name="Followed Hyperlink" xfId="19442" builtinId="9" hidden="1"/>
    <cellStyle name="Followed Hyperlink" xfId="19444" builtinId="9" hidden="1"/>
    <cellStyle name="Followed Hyperlink" xfId="19824" builtinId="9" hidden="1"/>
    <cellStyle name="Followed Hyperlink" xfId="19390" builtinId="9" hidden="1"/>
    <cellStyle name="Followed Hyperlink" xfId="19396" builtinId="9" hidden="1"/>
    <cellStyle name="Followed Hyperlink" xfId="19372" builtinId="9" hidden="1"/>
    <cellStyle name="Followed Hyperlink" xfId="19998" builtinId="9" hidden="1"/>
    <cellStyle name="Followed Hyperlink" xfId="20000" builtinId="9" hidden="1"/>
    <cellStyle name="Followed Hyperlink" xfId="20002" builtinId="9" hidden="1"/>
    <cellStyle name="Followed Hyperlink" xfId="20004" builtinId="9" hidden="1"/>
    <cellStyle name="Followed Hyperlink" xfId="20006" builtinId="9" hidden="1"/>
    <cellStyle name="Followed Hyperlink" xfId="20008" builtinId="9" hidden="1"/>
    <cellStyle name="Followed Hyperlink" xfId="20058" builtinId="9" hidden="1"/>
    <cellStyle name="Followed Hyperlink" xfId="20060" builtinId="9" hidden="1"/>
    <cellStyle name="Followed Hyperlink" xfId="20062" builtinId="9" hidden="1"/>
    <cellStyle name="Followed Hyperlink" xfId="20064" builtinId="9" hidden="1"/>
    <cellStyle name="Followed Hyperlink" xfId="20033" builtinId="9" hidden="1"/>
    <cellStyle name="Followed Hyperlink" xfId="20022" builtinId="9" hidden="1"/>
    <cellStyle name="Followed Hyperlink" xfId="20066" builtinId="9" hidden="1"/>
    <cellStyle name="Followed Hyperlink" xfId="20068" builtinId="9" hidden="1"/>
    <cellStyle name="Followed Hyperlink" xfId="20070" builtinId="9" hidden="1"/>
    <cellStyle name="Followed Hyperlink" xfId="20072" builtinId="9" hidden="1"/>
    <cellStyle name="Followed Hyperlink" xfId="20016" builtinId="9" hidden="1"/>
    <cellStyle name="Followed Hyperlink" xfId="20019" builtinId="9" hidden="1"/>
    <cellStyle name="Followed Hyperlink" xfId="20074" builtinId="9" hidden="1"/>
    <cellStyle name="Followed Hyperlink" xfId="20076" builtinId="9" hidden="1"/>
    <cellStyle name="Followed Hyperlink" xfId="20078" builtinId="9" hidden="1"/>
    <cellStyle name="Followed Hyperlink" xfId="20080" builtinId="9" hidden="1"/>
    <cellStyle name="Followed Hyperlink" xfId="20034" builtinId="9" hidden="1"/>
    <cellStyle name="Followed Hyperlink" xfId="20047" builtinId="9" hidden="1"/>
    <cellStyle name="Followed Hyperlink" xfId="20082" builtinId="9" hidden="1"/>
    <cellStyle name="Followed Hyperlink" xfId="20084" builtinId="9" hidden="1"/>
    <cellStyle name="Followed Hyperlink" xfId="20086" builtinId="9" hidden="1"/>
    <cellStyle name="Followed Hyperlink" xfId="20088" builtinId="9" hidden="1"/>
    <cellStyle name="Followed Hyperlink" xfId="20046" builtinId="9" hidden="1"/>
    <cellStyle name="Followed Hyperlink" xfId="20013" builtinId="9" hidden="1"/>
    <cellStyle name="Followed Hyperlink" xfId="20090" builtinId="9" hidden="1"/>
    <cellStyle name="Followed Hyperlink" xfId="20092" builtinId="9" hidden="1"/>
    <cellStyle name="Followed Hyperlink" xfId="20094" builtinId="9" hidden="1"/>
    <cellStyle name="Followed Hyperlink" xfId="20096" builtinId="9" hidden="1"/>
    <cellStyle name="Followed Hyperlink" xfId="20018" builtinId="9" hidden="1"/>
    <cellStyle name="Followed Hyperlink" xfId="20049" builtinId="9" hidden="1"/>
    <cellStyle name="Followed Hyperlink" xfId="20098" builtinId="9" hidden="1"/>
    <cellStyle name="Followed Hyperlink" xfId="20100" builtinId="9" hidden="1"/>
    <cellStyle name="Followed Hyperlink" xfId="20102" builtinId="9" hidden="1"/>
    <cellStyle name="Followed Hyperlink" xfId="20104" builtinId="9" hidden="1"/>
    <cellStyle name="Followed Hyperlink" xfId="20052" builtinId="9" hidden="1"/>
    <cellStyle name="Followed Hyperlink" xfId="20017" builtinId="9" hidden="1"/>
    <cellStyle name="Followed Hyperlink" xfId="20106" builtinId="9" hidden="1"/>
    <cellStyle name="Followed Hyperlink" xfId="20108" builtinId="9" hidden="1"/>
    <cellStyle name="Followed Hyperlink" xfId="20110" builtinId="9" hidden="1"/>
    <cellStyle name="Followed Hyperlink" xfId="20112" builtinId="9" hidden="1"/>
    <cellStyle name="Followed Hyperlink" xfId="20044" builtinId="9" hidden="1"/>
    <cellStyle name="Followed Hyperlink" xfId="20024" builtinId="9" hidden="1"/>
    <cellStyle name="Followed Hyperlink" xfId="20114" builtinId="9" hidden="1"/>
    <cellStyle name="Followed Hyperlink" xfId="20116" builtinId="9" hidden="1"/>
    <cellStyle name="Followed Hyperlink" xfId="20118" builtinId="9" hidden="1"/>
    <cellStyle name="Followed Hyperlink" xfId="20120" builtinId="9" hidden="1"/>
    <cellStyle name="Followed Hyperlink" xfId="20026" builtinId="9" hidden="1"/>
    <cellStyle name="Followed Hyperlink" xfId="20048" builtinId="9" hidden="1"/>
    <cellStyle name="Followed Hyperlink" xfId="20122" builtinId="9" hidden="1"/>
    <cellStyle name="Followed Hyperlink" xfId="20124" builtinId="9" hidden="1"/>
    <cellStyle name="Followed Hyperlink" xfId="20126" builtinId="9" hidden="1"/>
    <cellStyle name="Followed Hyperlink" xfId="20128" builtinId="9" hidden="1"/>
    <cellStyle name="Followed Hyperlink" xfId="20041" builtinId="9" hidden="1"/>
    <cellStyle name="Followed Hyperlink" xfId="20021" builtinId="9" hidden="1"/>
    <cellStyle name="Followed Hyperlink" xfId="20130" builtinId="9" hidden="1"/>
    <cellStyle name="Followed Hyperlink" xfId="20132" builtinId="9" hidden="1"/>
    <cellStyle name="Followed Hyperlink" xfId="20134" builtinId="9" hidden="1"/>
    <cellStyle name="Followed Hyperlink" xfId="20136" builtinId="9" hidden="1"/>
    <cellStyle name="Followed Hyperlink" xfId="20032" builtinId="9" hidden="1"/>
    <cellStyle name="Followed Hyperlink" xfId="20056" builtinId="9" hidden="1"/>
    <cellStyle name="Followed Hyperlink" xfId="20138" builtinId="9" hidden="1"/>
    <cellStyle name="Followed Hyperlink" xfId="20140" builtinId="9" hidden="1"/>
    <cellStyle name="Followed Hyperlink" xfId="20142" builtinId="9" hidden="1"/>
    <cellStyle name="Followed Hyperlink" xfId="20144" builtinId="9" hidden="1"/>
    <cellStyle name="Followed Hyperlink" xfId="20030" builtinId="9" hidden="1"/>
    <cellStyle name="Followed Hyperlink" xfId="20029" builtinId="9" hidden="1"/>
    <cellStyle name="Followed Hyperlink" xfId="20146" builtinId="9" hidden="1"/>
    <cellStyle name="Followed Hyperlink" xfId="20148" builtinId="9" hidden="1"/>
    <cellStyle name="Followed Hyperlink" xfId="20150" builtinId="9" hidden="1"/>
    <cellStyle name="Followed Hyperlink" xfId="20152" builtinId="9" hidden="1"/>
    <cellStyle name="Followed Hyperlink" xfId="20028" builtinId="9" hidden="1"/>
    <cellStyle name="Followed Hyperlink" xfId="20050" builtinId="9" hidden="1"/>
    <cellStyle name="Followed Hyperlink" xfId="20154" builtinId="9" hidden="1"/>
    <cellStyle name="Followed Hyperlink" xfId="20156" builtinId="9" hidden="1"/>
    <cellStyle name="Followed Hyperlink" xfId="20158" builtinId="9" hidden="1"/>
    <cellStyle name="Followed Hyperlink" xfId="20160" builtinId="9" hidden="1"/>
    <cellStyle name="Followed Hyperlink" xfId="19362" builtinId="9" hidden="1"/>
    <cellStyle name="Followed Hyperlink" xfId="19443" builtinId="9" hidden="1"/>
    <cellStyle name="Followed Hyperlink" xfId="19432" builtinId="9" hidden="1"/>
    <cellStyle name="Followed Hyperlink" xfId="19391" builtinId="9" hidden="1"/>
    <cellStyle name="Followed Hyperlink" xfId="19994" builtinId="9" hidden="1"/>
    <cellStyle name="Followed Hyperlink" xfId="19385" builtinId="9" hidden="1"/>
    <cellStyle name="Followed Hyperlink" xfId="19421" builtinId="9" hidden="1"/>
    <cellStyle name="Followed Hyperlink" xfId="19370" builtinId="9" hidden="1"/>
    <cellStyle name="Followed Hyperlink" xfId="20167" builtinId="9" hidden="1"/>
    <cellStyle name="Followed Hyperlink" xfId="20169" builtinId="9" hidden="1"/>
    <cellStyle name="Followed Hyperlink" xfId="20171" builtinId="9" hidden="1"/>
    <cellStyle name="Followed Hyperlink" xfId="20173" builtinId="9" hidden="1"/>
    <cellStyle name="Followed Hyperlink" xfId="20175" builtinId="9" hidden="1"/>
    <cellStyle name="Followed Hyperlink" xfId="20177" builtinId="9" hidden="1"/>
    <cellStyle name="Followed Hyperlink" xfId="20227" builtinId="9" hidden="1"/>
    <cellStyle name="Followed Hyperlink" xfId="20229" builtinId="9" hidden="1"/>
    <cellStyle name="Followed Hyperlink" xfId="20231" builtinId="9" hidden="1"/>
    <cellStyle name="Followed Hyperlink" xfId="20233" builtinId="9" hidden="1"/>
    <cellStyle name="Followed Hyperlink" xfId="20202" builtinId="9" hidden="1"/>
    <cellStyle name="Followed Hyperlink" xfId="20191" builtinId="9" hidden="1"/>
    <cellStyle name="Followed Hyperlink" xfId="20235" builtinId="9" hidden="1"/>
    <cellStyle name="Followed Hyperlink" xfId="20237" builtinId="9" hidden="1"/>
    <cellStyle name="Followed Hyperlink" xfId="20239" builtinId="9" hidden="1"/>
    <cellStyle name="Followed Hyperlink" xfId="20241" builtinId="9" hidden="1"/>
    <cellStyle name="Followed Hyperlink" xfId="20185" builtinId="9" hidden="1"/>
    <cellStyle name="Followed Hyperlink" xfId="20188" builtinId="9" hidden="1"/>
    <cellStyle name="Followed Hyperlink" xfId="20243" builtinId="9" hidden="1"/>
    <cellStyle name="Followed Hyperlink" xfId="20245" builtinId="9" hidden="1"/>
    <cellStyle name="Followed Hyperlink" xfId="20247" builtinId="9" hidden="1"/>
    <cellStyle name="Followed Hyperlink" xfId="20249" builtinId="9" hidden="1"/>
    <cellStyle name="Followed Hyperlink" xfId="20203" builtinId="9" hidden="1"/>
    <cellStyle name="Followed Hyperlink" xfId="20216" builtinId="9" hidden="1"/>
    <cellStyle name="Followed Hyperlink" xfId="20251" builtinId="9" hidden="1"/>
    <cellStyle name="Followed Hyperlink" xfId="20253" builtinId="9" hidden="1"/>
    <cellStyle name="Followed Hyperlink" xfId="20255" builtinId="9" hidden="1"/>
    <cellStyle name="Followed Hyperlink" xfId="20257" builtinId="9" hidden="1"/>
    <cellStyle name="Followed Hyperlink" xfId="20215" builtinId="9" hidden="1"/>
    <cellStyle name="Followed Hyperlink" xfId="20182" builtinId="9" hidden="1"/>
    <cellStyle name="Followed Hyperlink" xfId="20259" builtinId="9" hidden="1"/>
    <cellStyle name="Followed Hyperlink" xfId="20261" builtinId="9" hidden="1"/>
    <cellStyle name="Followed Hyperlink" xfId="20263" builtinId="9" hidden="1"/>
    <cellStyle name="Followed Hyperlink" xfId="20265" builtinId="9" hidden="1"/>
    <cellStyle name="Followed Hyperlink" xfId="20187" builtinId="9" hidden="1"/>
    <cellStyle name="Followed Hyperlink" xfId="20218" builtinId="9" hidden="1"/>
    <cellStyle name="Followed Hyperlink" xfId="20267" builtinId="9" hidden="1"/>
    <cellStyle name="Followed Hyperlink" xfId="20269" builtinId="9" hidden="1"/>
    <cellStyle name="Followed Hyperlink" xfId="20271" builtinId="9" hidden="1"/>
    <cellStyle name="Followed Hyperlink" xfId="20273" builtinId="9" hidden="1"/>
    <cellStyle name="Followed Hyperlink" xfId="20221" builtinId="9" hidden="1"/>
    <cellStyle name="Followed Hyperlink" xfId="20186" builtinId="9" hidden="1"/>
    <cellStyle name="Followed Hyperlink" xfId="20275" builtinId="9" hidden="1"/>
    <cellStyle name="Followed Hyperlink" xfId="20277" builtinId="9" hidden="1"/>
    <cellStyle name="Followed Hyperlink" xfId="20279" builtinId="9" hidden="1"/>
    <cellStyle name="Followed Hyperlink" xfId="20281" builtinId="9" hidden="1"/>
    <cellStyle name="Followed Hyperlink" xfId="20213" builtinId="9" hidden="1"/>
    <cellStyle name="Followed Hyperlink" xfId="20193" builtinId="9" hidden="1"/>
    <cellStyle name="Followed Hyperlink" xfId="20283" builtinId="9" hidden="1"/>
    <cellStyle name="Followed Hyperlink" xfId="20285" builtinId="9" hidden="1"/>
    <cellStyle name="Followed Hyperlink" xfId="20287" builtinId="9" hidden="1"/>
    <cellStyle name="Followed Hyperlink" xfId="20289" builtinId="9" hidden="1"/>
    <cellStyle name="Followed Hyperlink" xfId="20195" builtinId="9" hidden="1"/>
    <cellStyle name="Followed Hyperlink" xfId="20217" builtinId="9" hidden="1"/>
    <cellStyle name="Followed Hyperlink" xfId="20291" builtinId="9" hidden="1"/>
    <cellStyle name="Followed Hyperlink" xfId="20293" builtinId="9" hidden="1"/>
    <cellStyle name="Followed Hyperlink" xfId="20295" builtinId="9" hidden="1"/>
    <cellStyle name="Followed Hyperlink" xfId="20297" builtinId="9" hidden="1"/>
    <cellStyle name="Followed Hyperlink" xfId="20210" builtinId="9" hidden="1"/>
    <cellStyle name="Followed Hyperlink" xfId="20190" builtinId="9" hidden="1"/>
    <cellStyle name="Followed Hyperlink" xfId="20299" builtinId="9" hidden="1"/>
    <cellStyle name="Followed Hyperlink" xfId="20301" builtinId="9" hidden="1"/>
    <cellStyle name="Followed Hyperlink" xfId="20303" builtinId="9" hidden="1"/>
    <cellStyle name="Followed Hyperlink" xfId="20305" builtinId="9" hidden="1"/>
    <cellStyle name="Followed Hyperlink" xfId="20201" builtinId="9" hidden="1"/>
    <cellStyle name="Followed Hyperlink" xfId="20225" builtinId="9" hidden="1"/>
    <cellStyle name="Followed Hyperlink" xfId="20307" builtinId="9" hidden="1"/>
    <cellStyle name="Followed Hyperlink" xfId="20309" builtinId="9" hidden="1"/>
    <cellStyle name="Followed Hyperlink" xfId="20311" builtinId="9" hidden="1"/>
    <cellStyle name="Followed Hyperlink" xfId="20313" builtinId="9" hidden="1"/>
    <cellStyle name="Followed Hyperlink" xfId="20199" builtinId="9" hidden="1"/>
    <cellStyle name="Followed Hyperlink" xfId="20198" builtinId="9" hidden="1"/>
    <cellStyle name="Followed Hyperlink" xfId="20315" builtinId="9" hidden="1"/>
    <cellStyle name="Followed Hyperlink" xfId="20317" builtinId="9" hidden="1"/>
    <cellStyle name="Followed Hyperlink" xfId="20319" builtinId="9" hidden="1"/>
    <cellStyle name="Followed Hyperlink" xfId="20321" builtinId="9" hidden="1"/>
    <cellStyle name="Followed Hyperlink" xfId="20197" builtinId="9" hidden="1"/>
    <cellStyle name="Followed Hyperlink" xfId="20219" builtinId="9" hidden="1"/>
    <cellStyle name="Followed Hyperlink" xfId="20323" builtinId="9" hidden="1"/>
    <cellStyle name="Followed Hyperlink" xfId="20325" builtinId="9" hidden="1"/>
    <cellStyle name="Followed Hyperlink" xfId="20327" builtinId="9" hidden="1"/>
    <cellStyle name="Followed Hyperlink" xfId="20329" builtinId="9" hidden="1"/>
    <cellStyle name="Followed Hyperlink" xfId="19348" builtinId="9" hidden="1"/>
    <cellStyle name="Followed Hyperlink" xfId="19465" builtinId="9" hidden="1"/>
    <cellStyle name="Followed Hyperlink" xfId="19475" builtinId="9" hidden="1"/>
    <cellStyle name="Followed Hyperlink" xfId="19355" builtinId="9" hidden="1"/>
    <cellStyle name="Followed Hyperlink" xfId="20163" builtinId="9" hidden="1"/>
    <cellStyle name="Followed Hyperlink" xfId="19419" builtinId="9" hidden="1"/>
    <cellStyle name="Followed Hyperlink" xfId="19466" builtinId="9" hidden="1"/>
    <cellStyle name="Followed Hyperlink" xfId="19381" builtinId="9" hidden="1"/>
    <cellStyle name="Followed Hyperlink" xfId="20336" builtinId="9" hidden="1"/>
    <cellStyle name="Followed Hyperlink" xfId="20338" builtinId="9" hidden="1"/>
    <cellStyle name="Followed Hyperlink" xfId="20340" builtinId="9" hidden="1"/>
    <cellStyle name="Followed Hyperlink" xfId="20342" builtinId="9" hidden="1"/>
    <cellStyle name="Followed Hyperlink" xfId="20344" builtinId="9" hidden="1"/>
    <cellStyle name="Followed Hyperlink" xfId="20346" builtinId="9" hidden="1"/>
    <cellStyle name="Followed Hyperlink" xfId="20396" builtinId="9" hidden="1"/>
    <cellStyle name="Followed Hyperlink" xfId="20398" builtinId="9" hidden="1"/>
    <cellStyle name="Followed Hyperlink" xfId="20400" builtinId="9" hidden="1"/>
    <cellStyle name="Followed Hyperlink" xfId="20402" builtinId="9" hidden="1"/>
    <cellStyle name="Followed Hyperlink" xfId="20371" builtinId="9" hidden="1"/>
    <cellStyle name="Followed Hyperlink" xfId="20360" builtinId="9" hidden="1"/>
    <cellStyle name="Followed Hyperlink" xfId="20404" builtinId="9" hidden="1"/>
    <cellStyle name="Followed Hyperlink" xfId="20406" builtinId="9" hidden="1"/>
    <cellStyle name="Followed Hyperlink" xfId="20408" builtinId="9" hidden="1"/>
    <cellStyle name="Followed Hyperlink" xfId="20410" builtinId="9" hidden="1"/>
    <cellStyle name="Followed Hyperlink" xfId="20354" builtinId="9" hidden="1"/>
    <cellStyle name="Followed Hyperlink" xfId="20357" builtinId="9" hidden="1"/>
    <cellStyle name="Followed Hyperlink" xfId="20412" builtinId="9" hidden="1"/>
    <cellStyle name="Followed Hyperlink" xfId="20414" builtinId="9" hidden="1"/>
    <cellStyle name="Followed Hyperlink" xfId="20416" builtinId="9" hidden="1"/>
    <cellStyle name="Followed Hyperlink" xfId="20418" builtinId="9" hidden="1"/>
    <cellStyle name="Followed Hyperlink" xfId="20372" builtinId="9" hidden="1"/>
    <cellStyle name="Followed Hyperlink" xfId="20385" builtinId="9" hidden="1"/>
    <cellStyle name="Followed Hyperlink" xfId="20420" builtinId="9" hidden="1"/>
    <cellStyle name="Followed Hyperlink" xfId="20422" builtinId="9" hidden="1"/>
    <cellStyle name="Followed Hyperlink" xfId="20424" builtinId="9" hidden="1"/>
    <cellStyle name="Followed Hyperlink" xfId="20426" builtinId="9" hidden="1"/>
    <cellStyle name="Followed Hyperlink" xfId="20384" builtinId="9" hidden="1"/>
    <cellStyle name="Followed Hyperlink" xfId="20351" builtinId="9" hidden="1"/>
    <cellStyle name="Followed Hyperlink" xfId="20428" builtinId="9" hidden="1"/>
    <cellStyle name="Followed Hyperlink" xfId="20430" builtinId="9" hidden="1"/>
    <cellStyle name="Followed Hyperlink" xfId="20432" builtinId="9" hidden="1"/>
    <cellStyle name="Followed Hyperlink" xfId="20434" builtinId="9" hidden="1"/>
    <cellStyle name="Followed Hyperlink" xfId="20356" builtinId="9" hidden="1"/>
    <cellStyle name="Followed Hyperlink" xfId="20387" builtinId="9" hidden="1"/>
    <cellStyle name="Followed Hyperlink" xfId="20436" builtinId="9" hidden="1"/>
    <cellStyle name="Followed Hyperlink" xfId="20438" builtinId="9" hidden="1"/>
    <cellStyle name="Followed Hyperlink" xfId="20440" builtinId="9" hidden="1"/>
    <cellStyle name="Followed Hyperlink" xfId="20442" builtinId="9" hidden="1"/>
    <cellStyle name="Followed Hyperlink" xfId="20390" builtinId="9" hidden="1"/>
    <cellStyle name="Followed Hyperlink" xfId="20355" builtinId="9" hidden="1"/>
    <cellStyle name="Followed Hyperlink" xfId="20444" builtinId="9" hidden="1"/>
    <cellStyle name="Followed Hyperlink" xfId="20446" builtinId="9" hidden="1"/>
    <cellStyle name="Followed Hyperlink" xfId="20448" builtinId="9" hidden="1"/>
    <cellStyle name="Followed Hyperlink" xfId="20450" builtinId="9" hidden="1"/>
    <cellStyle name="Followed Hyperlink" xfId="20382" builtinId="9" hidden="1"/>
    <cellStyle name="Followed Hyperlink" xfId="20362" builtinId="9" hidden="1"/>
    <cellStyle name="Followed Hyperlink" xfId="20452" builtinId="9" hidden="1"/>
    <cellStyle name="Followed Hyperlink" xfId="20454" builtinId="9" hidden="1"/>
    <cellStyle name="Followed Hyperlink" xfId="20456" builtinId="9" hidden="1"/>
    <cellStyle name="Followed Hyperlink" xfId="20458" builtinId="9" hidden="1"/>
    <cellStyle name="Followed Hyperlink" xfId="20364" builtinId="9" hidden="1"/>
    <cellStyle name="Followed Hyperlink" xfId="20386" builtinId="9" hidden="1"/>
    <cellStyle name="Followed Hyperlink" xfId="20460" builtinId="9" hidden="1"/>
    <cellStyle name="Followed Hyperlink" xfId="20462" builtinId="9" hidden="1"/>
    <cellStyle name="Followed Hyperlink" xfId="20464" builtinId="9" hidden="1"/>
    <cellStyle name="Followed Hyperlink" xfId="20466" builtinId="9" hidden="1"/>
    <cellStyle name="Followed Hyperlink" xfId="20379" builtinId="9" hidden="1"/>
    <cellStyle name="Followed Hyperlink" xfId="20359" builtinId="9" hidden="1"/>
    <cellStyle name="Followed Hyperlink" xfId="20468" builtinId="9" hidden="1"/>
    <cellStyle name="Followed Hyperlink" xfId="20470" builtinId="9" hidden="1"/>
    <cellStyle name="Followed Hyperlink" xfId="20472" builtinId="9" hidden="1"/>
    <cellStyle name="Followed Hyperlink" xfId="20474" builtinId="9" hidden="1"/>
    <cellStyle name="Followed Hyperlink" xfId="20370" builtinId="9" hidden="1"/>
    <cellStyle name="Followed Hyperlink" xfId="20394" builtinId="9" hidden="1"/>
    <cellStyle name="Followed Hyperlink" xfId="20476" builtinId="9" hidden="1"/>
    <cellStyle name="Followed Hyperlink" xfId="20478" builtinId="9" hidden="1"/>
    <cellStyle name="Followed Hyperlink" xfId="20480" builtinId="9" hidden="1"/>
    <cellStyle name="Followed Hyperlink" xfId="20482" builtinId="9" hidden="1"/>
    <cellStyle name="Followed Hyperlink" xfId="20368" builtinId="9" hidden="1"/>
    <cellStyle name="Followed Hyperlink" xfId="20367" builtinId="9" hidden="1"/>
    <cellStyle name="Followed Hyperlink" xfId="20484" builtinId="9" hidden="1"/>
    <cellStyle name="Followed Hyperlink" xfId="20486" builtinId="9" hidden="1"/>
    <cellStyle name="Followed Hyperlink" xfId="20488" builtinId="9" hidden="1"/>
    <cellStyle name="Followed Hyperlink" xfId="20490" builtinId="9" hidden="1"/>
    <cellStyle name="Followed Hyperlink" xfId="20366" builtinId="9" hidden="1"/>
    <cellStyle name="Followed Hyperlink" xfId="20388" builtinId="9" hidden="1"/>
    <cellStyle name="Followed Hyperlink" xfId="20492" builtinId="9" hidden="1"/>
    <cellStyle name="Followed Hyperlink" xfId="20494" builtinId="9" hidden="1"/>
    <cellStyle name="Followed Hyperlink" xfId="20496" builtinId="9" hidden="1"/>
    <cellStyle name="Followed Hyperlink" xfId="20498" builtinId="9" hidden="1"/>
    <cellStyle name="Followed Hyperlink" xfId="19454" builtinId="9" hidden="1"/>
    <cellStyle name="Followed Hyperlink" xfId="19480" builtinId="9" hidden="1"/>
    <cellStyle name="Followed Hyperlink" xfId="19650" builtinId="9" hidden="1"/>
    <cellStyle name="Followed Hyperlink" xfId="19339" builtinId="9" hidden="1"/>
    <cellStyle name="Followed Hyperlink" xfId="20332" builtinId="9" hidden="1"/>
    <cellStyle name="Followed Hyperlink" xfId="19461" builtinId="9" hidden="1"/>
    <cellStyle name="Followed Hyperlink" xfId="19416" builtinId="9" hidden="1"/>
    <cellStyle name="Followed Hyperlink" xfId="19826" builtinId="9" hidden="1"/>
    <cellStyle name="Followed Hyperlink" xfId="20503" builtinId="9" hidden="1"/>
    <cellStyle name="Followed Hyperlink" xfId="20505" builtinId="9" hidden="1"/>
    <cellStyle name="Followed Hyperlink" xfId="20507" builtinId="9" hidden="1"/>
    <cellStyle name="Followed Hyperlink" xfId="20509" builtinId="9" hidden="1"/>
    <cellStyle name="Followed Hyperlink" xfId="20511" builtinId="9" hidden="1"/>
    <cellStyle name="Followed Hyperlink" xfId="20513" builtinId="9" hidden="1"/>
    <cellStyle name="Followed Hyperlink" xfId="20563" builtinId="9" hidden="1"/>
    <cellStyle name="Followed Hyperlink" xfId="20565" builtinId="9" hidden="1"/>
    <cellStyle name="Followed Hyperlink" xfId="20567" builtinId="9" hidden="1"/>
    <cellStyle name="Followed Hyperlink" xfId="20569" builtinId="9" hidden="1"/>
    <cellStyle name="Followed Hyperlink" xfId="20538" builtinId="9" hidden="1"/>
    <cellStyle name="Followed Hyperlink" xfId="20527" builtinId="9" hidden="1"/>
    <cellStyle name="Followed Hyperlink" xfId="20571" builtinId="9" hidden="1"/>
    <cellStyle name="Followed Hyperlink" xfId="20573" builtinId="9" hidden="1"/>
    <cellStyle name="Followed Hyperlink" xfId="20575" builtinId="9" hidden="1"/>
    <cellStyle name="Followed Hyperlink" xfId="20577" builtinId="9" hidden="1"/>
    <cellStyle name="Followed Hyperlink" xfId="20521" builtinId="9" hidden="1"/>
    <cellStyle name="Followed Hyperlink" xfId="20524" builtinId="9" hidden="1"/>
    <cellStyle name="Followed Hyperlink" xfId="20579" builtinId="9" hidden="1"/>
    <cellStyle name="Followed Hyperlink" xfId="20581" builtinId="9" hidden="1"/>
    <cellStyle name="Followed Hyperlink" xfId="20583" builtinId="9" hidden="1"/>
    <cellStyle name="Followed Hyperlink" xfId="20585" builtinId="9" hidden="1"/>
    <cellStyle name="Followed Hyperlink" xfId="20539" builtinId="9" hidden="1"/>
    <cellStyle name="Followed Hyperlink" xfId="20552" builtinId="9" hidden="1"/>
    <cellStyle name="Followed Hyperlink" xfId="20587" builtinId="9" hidden="1"/>
    <cellStyle name="Followed Hyperlink" xfId="20589" builtinId="9" hidden="1"/>
    <cellStyle name="Followed Hyperlink" xfId="20591" builtinId="9" hidden="1"/>
    <cellStyle name="Followed Hyperlink" xfId="20593" builtinId="9" hidden="1"/>
    <cellStyle name="Followed Hyperlink" xfId="20551" builtinId="9" hidden="1"/>
    <cellStyle name="Followed Hyperlink" xfId="20518" builtinId="9" hidden="1"/>
    <cellStyle name="Followed Hyperlink" xfId="20595" builtinId="9" hidden="1"/>
    <cellStyle name="Followed Hyperlink" xfId="20597" builtinId="9" hidden="1"/>
    <cellStyle name="Followed Hyperlink" xfId="20599" builtinId="9" hidden="1"/>
    <cellStyle name="Followed Hyperlink" xfId="20601" builtinId="9" hidden="1"/>
    <cellStyle name="Followed Hyperlink" xfId="20523" builtinId="9" hidden="1"/>
    <cellStyle name="Followed Hyperlink" xfId="20554" builtinId="9" hidden="1"/>
    <cellStyle name="Followed Hyperlink" xfId="20603" builtinId="9" hidden="1"/>
    <cellStyle name="Followed Hyperlink" xfId="20605" builtinId="9" hidden="1"/>
    <cellStyle name="Followed Hyperlink" xfId="20607" builtinId="9" hidden="1"/>
    <cellStyle name="Followed Hyperlink" xfId="20609" builtinId="9" hidden="1"/>
    <cellStyle name="Followed Hyperlink" xfId="20557" builtinId="9" hidden="1"/>
    <cellStyle name="Followed Hyperlink" xfId="20522" builtinId="9" hidden="1"/>
    <cellStyle name="Followed Hyperlink" xfId="20611" builtinId="9" hidden="1"/>
    <cellStyle name="Followed Hyperlink" xfId="20613" builtinId="9" hidden="1"/>
    <cellStyle name="Followed Hyperlink" xfId="20615" builtinId="9" hidden="1"/>
    <cellStyle name="Followed Hyperlink" xfId="20617" builtinId="9" hidden="1"/>
    <cellStyle name="Followed Hyperlink" xfId="20549" builtinId="9" hidden="1"/>
    <cellStyle name="Followed Hyperlink" xfId="20529" builtinId="9" hidden="1"/>
    <cellStyle name="Followed Hyperlink" xfId="20619" builtinId="9" hidden="1"/>
    <cellStyle name="Followed Hyperlink" xfId="20621" builtinId="9" hidden="1"/>
    <cellStyle name="Followed Hyperlink" xfId="20623" builtinId="9" hidden="1"/>
    <cellStyle name="Followed Hyperlink" xfId="20625" builtinId="9" hidden="1"/>
    <cellStyle name="Followed Hyperlink" xfId="20531" builtinId="9" hidden="1"/>
    <cellStyle name="Followed Hyperlink" xfId="20553" builtinId="9" hidden="1"/>
    <cellStyle name="Followed Hyperlink" xfId="20627" builtinId="9" hidden="1"/>
    <cellStyle name="Followed Hyperlink" xfId="20629" builtinId="9" hidden="1"/>
    <cellStyle name="Followed Hyperlink" xfId="20631" builtinId="9" hidden="1"/>
    <cellStyle name="Followed Hyperlink" xfId="20633" builtinId="9" hidden="1"/>
    <cellStyle name="Followed Hyperlink" xfId="20546" builtinId="9" hidden="1"/>
    <cellStyle name="Followed Hyperlink" xfId="20526" builtinId="9" hidden="1"/>
    <cellStyle name="Followed Hyperlink" xfId="20635" builtinId="9" hidden="1"/>
    <cellStyle name="Followed Hyperlink" xfId="20637" builtinId="9" hidden="1"/>
    <cellStyle name="Followed Hyperlink" xfId="20639" builtinId="9" hidden="1"/>
    <cellStyle name="Followed Hyperlink" xfId="20641" builtinId="9" hidden="1"/>
    <cellStyle name="Followed Hyperlink" xfId="20537" builtinId="9" hidden="1"/>
    <cellStyle name="Followed Hyperlink" xfId="20561" builtinId="9" hidden="1"/>
    <cellStyle name="Followed Hyperlink" xfId="20643" builtinId="9" hidden="1"/>
    <cellStyle name="Followed Hyperlink" xfId="20645" builtinId="9" hidden="1"/>
    <cellStyle name="Followed Hyperlink" xfId="20647" builtinId="9" hidden="1"/>
    <cellStyle name="Followed Hyperlink" xfId="20649" builtinId="9" hidden="1"/>
    <cellStyle name="Followed Hyperlink" xfId="20535" builtinId="9" hidden="1"/>
    <cellStyle name="Followed Hyperlink" xfId="20534" builtinId="9" hidden="1"/>
    <cellStyle name="Followed Hyperlink" xfId="20651" builtinId="9" hidden="1"/>
    <cellStyle name="Followed Hyperlink" xfId="20653" builtinId="9" hidden="1"/>
    <cellStyle name="Followed Hyperlink" xfId="20655" builtinId="9" hidden="1"/>
    <cellStyle name="Followed Hyperlink" xfId="20657" builtinId="9" hidden="1"/>
    <cellStyle name="Followed Hyperlink" xfId="20533" builtinId="9" hidden="1"/>
    <cellStyle name="Followed Hyperlink" xfId="20555" builtinId="9" hidden="1"/>
    <cellStyle name="Followed Hyperlink" xfId="20659" builtinId="9" hidden="1"/>
    <cellStyle name="Followed Hyperlink" xfId="20661" builtinId="9" hidden="1"/>
    <cellStyle name="Followed Hyperlink" xfId="20663" builtinId="9" hidden="1"/>
    <cellStyle name="Followed Hyperlink" xfId="20665" builtinId="9" hidden="1"/>
    <cellStyle name="Followed Hyperlink" xfId="19366" builtinId="9" hidden="1"/>
    <cellStyle name="Followed Hyperlink" xfId="19343" builtinId="9" hidden="1"/>
    <cellStyle name="Followed Hyperlink" xfId="19446" builtinId="9" hidden="1"/>
    <cellStyle name="Followed Hyperlink" xfId="19460" builtinId="9" hidden="1"/>
    <cellStyle name="Followed Hyperlink" xfId="20499" builtinId="9" hidden="1"/>
    <cellStyle name="Followed Hyperlink" xfId="19358" builtinId="9" hidden="1"/>
    <cellStyle name="Followed Hyperlink" xfId="19438" builtinId="9" hidden="1"/>
    <cellStyle name="Followed Hyperlink" xfId="19996" builtinId="9" hidden="1"/>
    <cellStyle name="Followed Hyperlink" xfId="20670" builtinId="9" hidden="1"/>
    <cellStyle name="Followed Hyperlink" xfId="20672" builtinId="9" hidden="1"/>
    <cellStyle name="Followed Hyperlink" xfId="20674" builtinId="9" hidden="1"/>
    <cellStyle name="Followed Hyperlink" xfId="20676" builtinId="9" hidden="1"/>
    <cellStyle name="Followed Hyperlink" xfId="20678" builtinId="9" hidden="1"/>
    <cellStyle name="Followed Hyperlink" xfId="20680" builtinId="9" hidden="1"/>
    <cellStyle name="Followed Hyperlink" xfId="20730" builtinId="9" hidden="1"/>
    <cellStyle name="Followed Hyperlink" xfId="20732" builtinId="9" hidden="1"/>
    <cellStyle name="Followed Hyperlink" xfId="20734" builtinId="9" hidden="1"/>
    <cellStyle name="Followed Hyperlink" xfId="20736" builtinId="9" hidden="1"/>
    <cellStyle name="Followed Hyperlink" xfId="20705" builtinId="9" hidden="1"/>
    <cellStyle name="Followed Hyperlink" xfId="20694" builtinId="9" hidden="1"/>
    <cellStyle name="Followed Hyperlink" xfId="20738" builtinId="9" hidden="1"/>
    <cellStyle name="Followed Hyperlink" xfId="20740" builtinId="9" hidden="1"/>
    <cellStyle name="Followed Hyperlink" xfId="20742" builtinId="9" hidden="1"/>
    <cellStyle name="Followed Hyperlink" xfId="20744" builtinId="9" hidden="1"/>
    <cellStyle name="Followed Hyperlink" xfId="20688" builtinId="9" hidden="1"/>
    <cellStyle name="Followed Hyperlink" xfId="20691" builtinId="9" hidden="1"/>
    <cellStyle name="Followed Hyperlink" xfId="20746" builtinId="9" hidden="1"/>
    <cellStyle name="Followed Hyperlink" xfId="20748" builtinId="9" hidden="1"/>
    <cellStyle name="Followed Hyperlink" xfId="20750" builtinId="9" hidden="1"/>
    <cellStyle name="Followed Hyperlink" xfId="20752" builtinId="9" hidden="1"/>
    <cellStyle name="Followed Hyperlink" xfId="20706" builtinId="9" hidden="1"/>
    <cellStyle name="Followed Hyperlink" xfId="20719" builtinId="9" hidden="1"/>
    <cellStyle name="Followed Hyperlink" xfId="20754" builtinId="9" hidden="1"/>
    <cellStyle name="Followed Hyperlink" xfId="20756" builtinId="9" hidden="1"/>
    <cellStyle name="Followed Hyperlink" xfId="20758" builtinId="9" hidden="1"/>
    <cellStyle name="Followed Hyperlink" xfId="20760" builtinId="9" hidden="1"/>
    <cellStyle name="Followed Hyperlink" xfId="20718" builtinId="9" hidden="1"/>
    <cellStyle name="Followed Hyperlink" xfId="20685" builtinId="9" hidden="1"/>
    <cellStyle name="Followed Hyperlink" xfId="20762" builtinId="9" hidden="1"/>
    <cellStyle name="Followed Hyperlink" xfId="20764" builtinId="9" hidden="1"/>
    <cellStyle name="Followed Hyperlink" xfId="20766" builtinId="9" hidden="1"/>
    <cellStyle name="Followed Hyperlink" xfId="20768" builtinId="9" hidden="1"/>
    <cellStyle name="Followed Hyperlink" xfId="20690" builtinId="9" hidden="1"/>
    <cellStyle name="Followed Hyperlink" xfId="20721" builtinId="9" hidden="1"/>
    <cellStyle name="Followed Hyperlink" xfId="20770" builtinId="9" hidden="1"/>
    <cellStyle name="Followed Hyperlink" xfId="20772" builtinId="9" hidden="1"/>
    <cellStyle name="Followed Hyperlink" xfId="20774" builtinId="9" hidden="1"/>
    <cellStyle name="Followed Hyperlink" xfId="20776" builtinId="9" hidden="1"/>
    <cellStyle name="Followed Hyperlink" xfId="20724" builtinId="9" hidden="1"/>
    <cellStyle name="Followed Hyperlink" xfId="20689" builtinId="9" hidden="1"/>
    <cellStyle name="Followed Hyperlink" xfId="20778" builtinId="9" hidden="1"/>
    <cellStyle name="Followed Hyperlink" xfId="20780" builtinId="9" hidden="1"/>
    <cellStyle name="Followed Hyperlink" xfId="20782" builtinId="9" hidden="1"/>
    <cellStyle name="Followed Hyperlink" xfId="20784" builtinId="9" hidden="1"/>
    <cellStyle name="Followed Hyperlink" xfId="20716" builtinId="9" hidden="1"/>
    <cellStyle name="Followed Hyperlink" xfId="20696" builtinId="9" hidden="1"/>
    <cellStyle name="Followed Hyperlink" xfId="20786" builtinId="9" hidden="1"/>
    <cellStyle name="Followed Hyperlink" xfId="20788" builtinId="9" hidden="1"/>
    <cellStyle name="Followed Hyperlink" xfId="20790" builtinId="9" hidden="1"/>
    <cellStyle name="Followed Hyperlink" xfId="20792" builtinId="9" hidden="1"/>
    <cellStyle name="Followed Hyperlink" xfId="20698" builtinId="9" hidden="1"/>
    <cellStyle name="Followed Hyperlink" xfId="20720" builtinId="9" hidden="1"/>
    <cellStyle name="Followed Hyperlink" xfId="20794" builtinId="9" hidden="1"/>
    <cellStyle name="Followed Hyperlink" xfId="20796" builtinId="9" hidden="1"/>
    <cellStyle name="Followed Hyperlink" xfId="20798" builtinId="9" hidden="1"/>
    <cellStyle name="Followed Hyperlink" xfId="20800" builtinId="9" hidden="1"/>
    <cellStyle name="Followed Hyperlink" xfId="20713" builtinId="9" hidden="1"/>
    <cellStyle name="Followed Hyperlink" xfId="20693" builtinId="9" hidden="1"/>
    <cellStyle name="Followed Hyperlink" xfId="20802" builtinId="9" hidden="1"/>
    <cellStyle name="Followed Hyperlink" xfId="20804" builtinId="9" hidden="1"/>
    <cellStyle name="Followed Hyperlink" xfId="20806" builtinId="9" hidden="1"/>
    <cellStyle name="Followed Hyperlink" xfId="20808" builtinId="9" hidden="1"/>
    <cellStyle name="Followed Hyperlink" xfId="20704" builtinId="9" hidden="1"/>
    <cellStyle name="Followed Hyperlink" xfId="20728" builtinId="9" hidden="1"/>
    <cellStyle name="Followed Hyperlink" xfId="20810" builtinId="9" hidden="1"/>
    <cellStyle name="Followed Hyperlink" xfId="20812" builtinId="9" hidden="1"/>
    <cellStyle name="Followed Hyperlink" xfId="20814" builtinId="9" hidden="1"/>
    <cellStyle name="Followed Hyperlink" xfId="20816" builtinId="9" hidden="1"/>
    <cellStyle name="Followed Hyperlink" xfId="20702" builtinId="9" hidden="1"/>
    <cellStyle name="Followed Hyperlink" xfId="20701" builtinId="9" hidden="1"/>
    <cellStyle name="Followed Hyperlink" xfId="20818" builtinId="9" hidden="1"/>
    <cellStyle name="Followed Hyperlink" xfId="20820" builtinId="9" hidden="1"/>
    <cellStyle name="Followed Hyperlink" xfId="20822" builtinId="9" hidden="1"/>
    <cellStyle name="Followed Hyperlink" xfId="20824" builtinId="9" hidden="1"/>
    <cellStyle name="Followed Hyperlink" xfId="20700" builtinId="9" hidden="1"/>
    <cellStyle name="Followed Hyperlink" xfId="20722" builtinId="9" hidden="1"/>
    <cellStyle name="Followed Hyperlink" xfId="20826" builtinId="9" hidden="1"/>
    <cellStyle name="Followed Hyperlink" xfId="20828" builtinId="9" hidden="1"/>
    <cellStyle name="Followed Hyperlink" xfId="20830" builtinId="9" hidden="1"/>
    <cellStyle name="Followed Hyperlink" xfId="20832" builtinId="9" hidden="1"/>
    <cellStyle name="Followed Hyperlink" xfId="19449" builtinId="9" hidden="1"/>
    <cellStyle name="Followed Hyperlink" xfId="19823" builtinId="9" hidden="1"/>
    <cellStyle name="Followed Hyperlink" xfId="19819" builtinId="9" hidden="1"/>
    <cellStyle name="Followed Hyperlink" xfId="19383" builtinId="9" hidden="1"/>
    <cellStyle name="Followed Hyperlink" xfId="20666" builtinId="9" hidden="1"/>
    <cellStyle name="Followed Hyperlink" xfId="19389" builtinId="9" hidden="1"/>
    <cellStyle name="Followed Hyperlink" xfId="19423" builtinId="9" hidden="1"/>
    <cellStyle name="Followed Hyperlink" xfId="20165" builtinId="9" hidden="1"/>
    <cellStyle name="Followed Hyperlink" xfId="20835" builtinId="9" hidden="1"/>
    <cellStyle name="Followed Hyperlink" xfId="20837" builtinId="9" hidden="1"/>
    <cellStyle name="Followed Hyperlink" xfId="20839" builtinId="9" hidden="1"/>
    <cellStyle name="Followed Hyperlink" xfId="20841" builtinId="9" hidden="1"/>
    <cellStyle name="Followed Hyperlink" xfId="20843" builtinId="9" hidden="1"/>
    <cellStyle name="Followed Hyperlink" xfId="20845" builtinId="9" hidden="1"/>
    <cellStyle name="Followed Hyperlink" xfId="20895" builtinId="9" hidden="1"/>
    <cellStyle name="Followed Hyperlink" xfId="20897" builtinId="9" hidden="1"/>
    <cellStyle name="Followed Hyperlink" xfId="20899" builtinId="9" hidden="1"/>
    <cellStyle name="Followed Hyperlink" xfId="20901" builtinId="9" hidden="1"/>
    <cellStyle name="Followed Hyperlink" xfId="20870" builtinId="9" hidden="1"/>
    <cellStyle name="Followed Hyperlink" xfId="20859" builtinId="9" hidden="1"/>
    <cellStyle name="Followed Hyperlink" xfId="20903" builtinId="9" hidden="1"/>
    <cellStyle name="Followed Hyperlink" xfId="20905" builtinId="9" hidden="1"/>
    <cellStyle name="Followed Hyperlink" xfId="20907" builtinId="9" hidden="1"/>
    <cellStyle name="Followed Hyperlink" xfId="20909" builtinId="9" hidden="1"/>
    <cellStyle name="Followed Hyperlink" xfId="20853" builtinId="9" hidden="1"/>
    <cellStyle name="Followed Hyperlink" xfId="20856" builtinId="9" hidden="1"/>
    <cellStyle name="Followed Hyperlink" xfId="20911" builtinId="9" hidden="1"/>
    <cellStyle name="Followed Hyperlink" xfId="20913" builtinId="9" hidden="1"/>
    <cellStyle name="Followed Hyperlink" xfId="20915" builtinId="9" hidden="1"/>
    <cellStyle name="Followed Hyperlink" xfId="20917" builtinId="9" hidden="1"/>
    <cellStyle name="Followed Hyperlink" xfId="20871" builtinId="9" hidden="1"/>
    <cellStyle name="Followed Hyperlink" xfId="20884" builtinId="9" hidden="1"/>
    <cellStyle name="Followed Hyperlink" xfId="20919" builtinId="9" hidden="1"/>
    <cellStyle name="Followed Hyperlink" xfId="20921" builtinId="9" hidden="1"/>
    <cellStyle name="Followed Hyperlink" xfId="20923" builtinId="9" hidden="1"/>
    <cellStyle name="Followed Hyperlink" xfId="20925" builtinId="9" hidden="1"/>
    <cellStyle name="Followed Hyperlink" xfId="20883" builtinId="9" hidden="1"/>
    <cellStyle name="Followed Hyperlink" xfId="20850" builtinId="9" hidden="1"/>
    <cellStyle name="Followed Hyperlink" xfId="20927" builtinId="9" hidden="1"/>
    <cellStyle name="Followed Hyperlink" xfId="20929" builtinId="9" hidden="1"/>
    <cellStyle name="Followed Hyperlink" xfId="20931" builtinId="9" hidden="1"/>
    <cellStyle name="Followed Hyperlink" xfId="20933" builtinId="9" hidden="1"/>
    <cellStyle name="Followed Hyperlink" xfId="20855" builtinId="9" hidden="1"/>
    <cellStyle name="Followed Hyperlink" xfId="20886" builtinId="9" hidden="1"/>
    <cellStyle name="Followed Hyperlink" xfId="20935" builtinId="9" hidden="1"/>
    <cellStyle name="Followed Hyperlink" xfId="20937" builtinId="9" hidden="1"/>
    <cellStyle name="Followed Hyperlink" xfId="20939" builtinId="9" hidden="1"/>
    <cellStyle name="Followed Hyperlink" xfId="20941" builtinId="9" hidden="1"/>
    <cellStyle name="Followed Hyperlink" xfId="20889" builtinId="9" hidden="1"/>
    <cellStyle name="Followed Hyperlink" xfId="20854" builtinId="9" hidden="1"/>
    <cellStyle name="Followed Hyperlink" xfId="20943" builtinId="9" hidden="1"/>
    <cellStyle name="Followed Hyperlink" xfId="20945" builtinId="9" hidden="1"/>
    <cellStyle name="Followed Hyperlink" xfId="20947" builtinId="9" hidden="1"/>
    <cellStyle name="Followed Hyperlink" xfId="20949" builtinId="9" hidden="1"/>
    <cellStyle name="Followed Hyperlink" xfId="20881" builtinId="9" hidden="1"/>
    <cellStyle name="Followed Hyperlink" xfId="20861" builtinId="9" hidden="1"/>
    <cellStyle name="Followed Hyperlink" xfId="20951" builtinId="9" hidden="1"/>
    <cellStyle name="Followed Hyperlink" xfId="20953" builtinId="9" hidden="1"/>
    <cellStyle name="Followed Hyperlink" xfId="20955" builtinId="9" hidden="1"/>
    <cellStyle name="Followed Hyperlink" xfId="20957" builtinId="9" hidden="1"/>
    <cellStyle name="Followed Hyperlink" xfId="20863" builtinId="9" hidden="1"/>
    <cellStyle name="Followed Hyperlink" xfId="20885" builtinId="9" hidden="1"/>
    <cellStyle name="Followed Hyperlink" xfId="20959" builtinId="9" hidden="1"/>
    <cellStyle name="Followed Hyperlink" xfId="20961" builtinId="9" hidden="1"/>
    <cellStyle name="Followed Hyperlink" xfId="20963" builtinId="9" hidden="1"/>
    <cellStyle name="Followed Hyperlink" xfId="20965" builtinId="9" hidden="1"/>
    <cellStyle name="Followed Hyperlink" xfId="20878" builtinId="9" hidden="1"/>
    <cellStyle name="Followed Hyperlink" xfId="20858" builtinId="9" hidden="1"/>
    <cellStyle name="Followed Hyperlink" xfId="20967" builtinId="9" hidden="1"/>
    <cellStyle name="Followed Hyperlink" xfId="20969" builtinId="9" hidden="1"/>
    <cellStyle name="Followed Hyperlink" xfId="20971" builtinId="9" hidden="1"/>
    <cellStyle name="Followed Hyperlink" xfId="20973" builtinId="9" hidden="1"/>
    <cellStyle name="Followed Hyperlink" xfId="20869" builtinId="9" hidden="1"/>
    <cellStyle name="Followed Hyperlink" xfId="20893" builtinId="9" hidden="1"/>
    <cellStyle name="Followed Hyperlink" xfId="20975" builtinId="9" hidden="1"/>
    <cellStyle name="Followed Hyperlink" xfId="20977" builtinId="9" hidden="1"/>
    <cellStyle name="Followed Hyperlink" xfId="20979" builtinId="9" hidden="1"/>
    <cellStyle name="Followed Hyperlink" xfId="20981" builtinId="9" hidden="1"/>
    <cellStyle name="Followed Hyperlink" xfId="20867" builtinId="9" hidden="1"/>
    <cellStyle name="Followed Hyperlink" xfId="20866" builtinId="9" hidden="1"/>
    <cellStyle name="Followed Hyperlink" xfId="20983" builtinId="9" hidden="1"/>
    <cellStyle name="Followed Hyperlink" xfId="20985" builtinId="9" hidden="1"/>
    <cellStyle name="Followed Hyperlink" xfId="20987" builtinId="9" hidden="1"/>
    <cellStyle name="Followed Hyperlink" xfId="20989" builtinId="9" hidden="1"/>
    <cellStyle name="Followed Hyperlink" xfId="20865" builtinId="9" hidden="1"/>
    <cellStyle name="Followed Hyperlink" xfId="20887" builtinId="9" hidden="1"/>
    <cellStyle name="Followed Hyperlink" xfId="20991" builtinId="9" hidden="1"/>
    <cellStyle name="Followed Hyperlink" xfId="20993" builtinId="9" hidden="1"/>
    <cellStyle name="Followed Hyperlink" xfId="20995" builtinId="9" hidden="1"/>
    <cellStyle name="Followed Hyperlink" xfId="20997" builtinId="9" hidden="1"/>
    <cellStyle name="Followed Hyperlink" xfId="19433" builtinId="9" hidden="1"/>
    <cellStyle name="Followed Hyperlink" xfId="19993" builtinId="9" hidden="1"/>
    <cellStyle name="Followed Hyperlink" xfId="19464" builtinId="9" hidden="1"/>
    <cellStyle name="Followed Hyperlink" xfId="19374" builtinId="9" hidden="1"/>
    <cellStyle name="Followed Hyperlink" xfId="20833" builtinId="9" hidden="1"/>
    <cellStyle name="Followed Hyperlink" xfId="19353" builtinId="9" hidden="1"/>
    <cellStyle name="Followed Hyperlink" xfId="19468" builtinId="9" hidden="1"/>
    <cellStyle name="Followed Hyperlink" xfId="20334" builtinId="9" hidden="1"/>
    <cellStyle name="Followed Hyperlink" xfId="21000" builtinId="9" hidden="1"/>
    <cellStyle name="Followed Hyperlink" xfId="21002" builtinId="9" hidden="1"/>
    <cellStyle name="Followed Hyperlink" xfId="21004" builtinId="9" hidden="1"/>
    <cellStyle name="Followed Hyperlink" xfId="21006" builtinId="9" hidden="1"/>
    <cellStyle name="Followed Hyperlink" xfId="21008" builtinId="9" hidden="1"/>
    <cellStyle name="Followed Hyperlink" xfId="21010" builtinId="9" hidden="1"/>
    <cellStyle name="Followed Hyperlink" xfId="21060" builtinId="9" hidden="1"/>
    <cellStyle name="Followed Hyperlink" xfId="21062" builtinId="9" hidden="1"/>
    <cellStyle name="Followed Hyperlink" xfId="21064" builtinId="9" hidden="1"/>
    <cellStyle name="Followed Hyperlink" xfId="21066" builtinId="9" hidden="1"/>
    <cellStyle name="Followed Hyperlink" xfId="21035" builtinId="9" hidden="1"/>
    <cellStyle name="Followed Hyperlink" xfId="21024" builtinId="9" hidden="1"/>
    <cellStyle name="Followed Hyperlink" xfId="21068" builtinId="9" hidden="1"/>
    <cellStyle name="Followed Hyperlink" xfId="21070" builtinId="9" hidden="1"/>
    <cellStyle name="Followed Hyperlink" xfId="21072" builtinId="9" hidden="1"/>
    <cellStyle name="Followed Hyperlink" xfId="21074" builtinId="9" hidden="1"/>
    <cellStyle name="Followed Hyperlink" xfId="21018" builtinId="9" hidden="1"/>
    <cellStyle name="Followed Hyperlink" xfId="21021" builtinId="9" hidden="1"/>
    <cellStyle name="Followed Hyperlink" xfId="21076" builtinId="9" hidden="1"/>
    <cellStyle name="Followed Hyperlink" xfId="21078" builtinId="9" hidden="1"/>
    <cellStyle name="Followed Hyperlink" xfId="21080" builtinId="9" hidden="1"/>
    <cellStyle name="Followed Hyperlink" xfId="21082" builtinId="9" hidden="1"/>
    <cellStyle name="Followed Hyperlink" xfId="21036" builtinId="9" hidden="1"/>
    <cellStyle name="Followed Hyperlink" xfId="21049" builtinId="9" hidden="1"/>
    <cellStyle name="Followed Hyperlink" xfId="21084" builtinId="9" hidden="1"/>
    <cellStyle name="Followed Hyperlink" xfId="21086" builtinId="9" hidden="1"/>
    <cellStyle name="Followed Hyperlink" xfId="21088" builtinId="9" hidden="1"/>
    <cellStyle name="Followed Hyperlink" xfId="21090" builtinId="9" hidden="1"/>
    <cellStyle name="Followed Hyperlink" xfId="21048" builtinId="9" hidden="1"/>
    <cellStyle name="Followed Hyperlink" xfId="21015" builtinId="9" hidden="1"/>
    <cellStyle name="Followed Hyperlink" xfId="21092" builtinId="9" hidden="1"/>
    <cellStyle name="Followed Hyperlink" xfId="21094" builtinId="9" hidden="1"/>
    <cellStyle name="Followed Hyperlink" xfId="21096" builtinId="9" hidden="1"/>
    <cellStyle name="Followed Hyperlink" xfId="21098" builtinId="9" hidden="1"/>
    <cellStyle name="Followed Hyperlink" xfId="21020" builtinId="9" hidden="1"/>
    <cellStyle name="Followed Hyperlink" xfId="21051" builtinId="9" hidden="1"/>
    <cellStyle name="Followed Hyperlink" xfId="21100" builtinId="9" hidden="1"/>
    <cellStyle name="Followed Hyperlink" xfId="21102" builtinId="9" hidden="1"/>
    <cellStyle name="Followed Hyperlink" xfId="21104" builtinId="9" hidden="1"/>
    <cellStyle name="Followed Hyperlink" xfId="21106" builtinId="9" hidden="1"/>
    <cellStyle name="Followed Hyperlink" xfId="21054" builtinId="9" hidden="1"/>
    <cellStyle name="Followed Hyperlink" xfId="21019" builtinId="9" hidden="1"/>
    <cellStyle name="Followed Hyperlink" xfId="21108" builtinId="9" hidden="1"/>
    <cellStyle name="Followed Hyperlink" xfId="21110" builtinId="9" hidden="1"/>
    <cellStyle name="Followed Hyperlink" xfId="21112" builtinId="9" hidden="1"/>
    <cellStyle name="Followed Hyperlink" xfId="21114" builtinId="9" hidden="1"/>
    <cellStyle name="Followed Hyperlink" xfId="21046" builtinId="9" hidden="1"/>
    <cellStyle name="Followed Hyperlink" xfId="21026" builtinId="9" hidden="1"/>
    <cellStyle name="Followed Hyperlink" xfId="21116" builtinId="9" hidden="1"/>
    <cellStyle name="Followed Hyperlink" xfId="21118" builtinId="9" hidden="1"/>
    <cellStyle name="Followed Hyperlink" xfId="21120" builtinId="9" hidden="1"/>
    <cellStyle name="Followed Hyperlink" xfId="21122" builtinId="9" hidden="1"/>
    <cellStyle name="Followed Hyperlink" xfId="21028" builtinId="9" hidden="1"/>
    <cellStyle name="Followed Hyperlink" xfId="21050" builtinId="9" hidden="1"/>
    <cellStyle name="Followed Hyperlink" xfId="21124" builtinId="9" hidden="1"/>
    <cellStyle name="Followed Hyperlink" xfId="21126" builtinId="9" hidden="1"/>
    <cellStyle name="Followed Hyperlink" xfId="21128" builtinId="9" hidden="1"/>
    <cellStyle name="Followed Hyperlink" xfId="21130" builtinId="9" hidden="1"/>
    <cellStyle name="Followed Hyperlink" xfId="21043" builtinId="9" hidden="1"/>
    <cellStyle name="Followed Hyperlink" xfId="21023" builtinId="9" hidden="1"/>
    <cellStyle name="Followed Hyperlink" xfId="21132" builtinId="9" hidden="1"/>
    <cellStyle name="Followed Hyperlink" xfId="21134" builtinId="9" hidden="1"/>
    <cellStyle name="Followed Hyperlink" xfId="21136" builtinId="9" hidden="1"/>
    <cellStyle name="Followed Hyperlink" xfId="21138" builtinId="9" hidden="1"/>
    <cellStyle name="Followed Hyperlink" xfId="21034" builtinId="9" hidden="1"/>
    <cellStyle name="Followed Hyperlink" xfId="21058" builtinId="9" hidden="1"/>
    <cellStyle name="Followed Hyperlink" xfId="21140" builtinId="9" hidden="1"/>
    <cellStyle name="Followed Hyperlink" xfId="21142" builtinId="9" hidden="1"/>
    <cellStyle name="Followed Hyperlink" xfId="21144" builtinId="9" hidden="1"/>
    <cellStyle name="Followed Hyperlink" xfId="21146" builtinId="9" hidden="1"/>
    <cellStyle name="Followed Hyperlink" xfId="21032" builtinId="9" hidden="1"/>
    <cellStyle name="Followed Hyperlink" xfId="21031" builtinId="9" hidden="1"/>
    <cellStyle name="Followed Hyperlink" xfId="21148" builtinId="9" hidden="1"/>
    <cellStyle name="Followed Hyperlink" xfId="21150" builtinId="9" hidden="1"/>
    <cellStyle name="Followed Hyperlink" xfId="21152" builtinId="9" hidden="1"/>
    <cellStyle name="Followed Hyperlink" xfId="21154" builtinId="9" hidden="1"/>
    <cellStyle name="Followed Hyperlink" xfId="21030" builtinId="9" hidden="1"/>
    <cellStyle name="Followed Hyperlink" xfId="21052" builtinId="9" hidden="1"/>
    <cellStyle name="Followed Hyperlink" xfId="21156" builtinId="9" hidden="1"/>
    <cellStyle name="Followed Hyperlink" xfId="21158" builtinId="9" hidden="1"/>
    <cellStyle name="Followed Hyperlink" xfId="21160" builtinId="9" hidden="1"/>
    <cellStyle name="Followed Hyperlink" xfId="21162" builtinId="9" hidden="1"/>
    <cellStyle name="Followed Hyperlink" xfId="19359" builtinId="9" hidden="1"/>
    <cellStyle name="Followed Hyperlink" xfId="20162" builtinId="9" hidden="1"/>
    <cellStyle name="Followed Hyperlink" xfId="19440" builtinId="9" hidden="1"/>
    <cellStyle name="Followed Hyperlink" xfId="19472" builtinId="9" hidden="1"/>
    <cellStyle name="Followed Hyperlink" xfId="20998" builtinId="9" hidden="1"/>
    <cellStyle name="Followed Hyperlink" xfId="19350" builtinId="9" hidden="1"/>
    <cellStyle name="Followed Hyperlink" xfId="19436" builtinId="9" hidden="1"/>
    <cellStyle name="Followed Hyperlink" xfId="20501" builtinId="9" hidden="1"/>
    <cellStyle name="Followed Hyperlink" xfId="21165" builtinId="9" hidden="1"/>
    <cellStyle name="Followed Hyperlink" xfId="21167" builtinId="9" hidden="1"/>
    <cellStyle name="Followed Hyperlink" xfId="21169" builtinId="9" hidden="1"/>
    <cellStyle name="Followed Hyperlink" xfId="21171" builtinId="9" hidden="1"/>
    <cellStyle name="Followed Hyperlink" xfId="21173" builtinId="9" hidden="1"/>
    <cellStyle name="Followed Hyperlink" xfId="21175" builtinId="9" hidden="1"/>
    <cellStyle name="Followed Hyperlink" xfId="21225" builtinId="9" hidden="1"/>
    <cellStyle name="Followed Hyperlink" xfId="21227" builtinId="9" hidden="1"/>
    <cellStyle name="Followed Hyperlink" xfId="21229" builtinId="9" hidden="1"/>
    <cellStyle name="Followed Hyperlink" xfId="21231" builtinId="9" hidden="1"/>
    <cellStyle name="Followed Hyperlink" xfId="21200" builtinId="9" hidden="1"/>
    <cellStyle name="Followed Hyperlink" xfId="21189" builtinId="9" hidden="1"/>
    <cellStyle name="Followed Hyperlink" xfId="21233" builtinId="9" hidden="1"/>
    <cellStyle name="Followed Hyperlink" xfId="21235" builtinId="9" hidden="1"/>
    <cellStyle name="Followed Hyperlink" xfId="21237" builtinId="9" hidden="1"/>
    <cellStyle name="Followed Hyperlink" xfId="21239" builtinId="9" hidden="1"/>
    <cellStyle name="Followed Hyperlink" xfId="21183" builtinId="9" hidden="1"/>
    <cellStyle name="Followed Hyperlink" xfId="21186" builtinId="9" hidden="1"/>
    <cellStyle name="Followed Hyperlink" xfId="21241" builtinId="9" hidden="1"/>
    <cellStyle name="Followed Hyperlink" xfId="21243" builtinId="9" hidden="1"/>
    <cellStyle name="Followed Hyperlink" xfId="21245" builtinId="9" hidden="1"/>
    <cellStyle name="Followed Hyperlink" xfId="21247" builtinId="9" hidden="1"/>
    <cellStyle name="Followed Hyperlink" xfId="21201" builtinId="9" hidden="1"/>
    <cellStyle name="Followed Hyperlink" xfId="21214" builtinId="9" hidden="1"/>
    <cellStyle name="Followed Hyperlink" xfId="21249" builtinId="9" hidden="1"/>
    <cellStyle name="Followed Hyperlink" xfId="21251" builtinId="9" hidden="1"/>
    <cellStyle name="Followed Hyperlink" xfId="21253" builtinId="9" hidden="1"/>
    <cellStyle name="Followed Hyperlink" xfId="21255" builtinId="9" hidden="1"/>
    <cellStyle name="Followed Hyperlink" xfId="21213" builtinId="9" hidden="1"/>
    <cellStyle name="Followed Hyperlink" xfId="21180" builtinId="9" hidden="1"/>
    <cellStyle name="Followed Hyperlink" xfId="21257" builtinId="9" hidden="1"/>
    <cellStyle name="Followed Hyperlink" xfId="21259" builtinId="9" hidden="1"/>
    <cellStyle name="Followed Hyperlink" xfId="21261" builtinId="9" hidden="1"/>
    <cellStyle name="Followed Hyperlink" xfId="21263" builtinId="9" hidden="1"/>
    <cellStyle name="Followed Hyperlink" xfId="21185" builtinId="9" hidden="1"/>
    <cellStyle name="Followed Hyperlink" xfId="21216" builtinId="9" hidden="1"/>
    <cellStyle name="Followed Hyperlink" xfId="21265" builtinId="9" hidden="1"/>
    <cellStyle name="Followed Hyperlink" xfId="21267" builtinId="9" hidden="1"/>
    <cellStyle name="Followed Hyperlink" xfId="21269" builtinId="9" hidden="1"/>
    <cellStyle name="Followed Hyperlink" xfId="21271" builtinId="9" hidden="1"/>
    <cellStyle name="Followed Hyperlink" xfId="21219" builtinId="9" hidden="1"/>
    <cellStyle name="Followed Hyperlink" xfId="21184" builtinId="9" hidden="1"/>
    <cellStyle name="Followed Hyperlink" xfId="21273" builtinId="9" hidden="1"/>
    <cellStyle name="Followed Hyperlink" xfId="21275" builtinId="9" hidden="1"/>
    <cellStyle name="Followed Hyperlink" xfId="21277" builtinId="9" hidden="1"/>
    <cellStyle name="Followed Hyperlink" xfId="21279" builtinId="9" hidden="1"/>
    <cellStyle name="Followed Hyperlink" xfId="21211" builtinId="9" hidden="1"/>
    <cellStyle name="Followed Hyperlink" xfId="21191" builtinId="9" hidden="1"/>
    <cellStyle name="Followed Hyperlink" xfId="21281" builtinId="9" hidden="1"/>
    <cellStyle name="Followed Hyperlink" xfId="21283" builtinId="9" hidden="1"/>
    <cellStyle name="Followed Hyperlink" xfId="21285" builtinId="9" hidden="1"/>
    <cellStyle name="Followed Hyperlink" xfId="21287" builtinId="9" hidden="1"/>
    <cellStyle name="Followed Hyperlink" xfId="21193" builtinId="9" hidden="1"/>
    <cellStyle name="Followed Hyperlink" xfId="21215" builtinId="9" hidden="1"/>
    <cellStyle name="Followed Hyperlink" xfId="21289" builtinId="9" hidden="1"/>
    <cellStyle name="Followed Hyperlink" xfId="21291" builtinId="9" hidden="1"/>
    <cellStyle name="Followed Hyperlink" xfId="21293" builtinId="9" hidden="1"/>
    <cellStyle name="Followed Hyperlink" xfId="21295" builtinId="9" hidden="1"/>
    <cellStyle name="Followed Hyperlink" xfId="21208" builtinId="9" hidden="1"/>
    <cellStyle name="Followed Hyperlink" xfId="21188" builtinId="9" hidden="1"/>
    <cellStyle name="Followed Hyperlink" xfId="21297" builtinId="9" hidden="1"/>
    <cellStyle name="Followed Hyperlink" xfId="21299" builtinId="9" hidden="1"/>
    <cellStyle name="Followed Hyperlink" xfId="21301" builtinId="9" hidden="1"/>
    <cellStyle name="Followed Hyperlink" xfId="21303" builtinId="9" hidden="1"/>
    <cellStyle name="Followed Hyperlink" xfId="21199" builtinId="9" hidden="1"/>
    <cellStyle name="Followed Hyperlink" xfId="21223" builtinId="9" hidden="1"/>
    <cellStyle name="Followed Hyperlink" xfId="21305" builtinId="9" hidden="1"/>
    <cellStyle name="Followed Hyperlink" xfId="21307" builtinId="9" hidden="1"/>
    <cellStyle name="Followed Hyperlink" xfId="21309" builtinId="9" hidden="1"/>
    <cellStyle name="Followed Hyperlink" xfId="21311" builtinId="9" hidden="1"/>
    <cellStyle name="Followed Hyperlink" xfId="21197" builtinId="9" hidden="1"/>
    <cellStyle name="Followed Hyperlink" xfId="21196" builtinId="9" hidden="1"/>
    <cellStyle name="Followed Hyperlink" xfId="21313" builtinId="9" hidden="1"/>
    <cellStyle name="Followed Hyperlink" xfId="21315" builtinId="9" hidden="1"/>
    <cellStyle name="Followed Hyperlink" xfId="21317" builtinId="9" hidden="1"/>
    <cellStyle name="Followed Hyperlink" xfId="21319" builtinId="9" hidden="1"/>
    <cellStyle name="Followed Hyperlink" xfId="21195" builtinId="9" hidden="1"/>
    <cellStyle name="Followed Hyperlink" xfId="21217" builtinId="9" hidden="1"/>
    <cellStyle name="Followed Hyperlink" xfId="21321" builtinId="9" hidden="1"/>
    <cellStyle name="Followed Hyperlink" xfId="21323" builtinId="9" hidden="1"/>
    <cellStyle name="Followed Hyperlink" xfId="21325" builtinId="9" hidden="1"/>
    <cellStyle name="Followed Hyperlink" xfId="21327" builtinId="9" hidden="1"/>
    <cellStyle name="Followed Hyperlink" xfId="19430" builtinId="9" hidden="1"/>
    <cellStyle name="Followed Hyperlink" xfId="20331" builtinId="9" hidden="1"/>
    <cellStyle name="Followed Hyperlink" xfId="19485" builtinId="9" hidden="1"/>
    <cellStyle name="Followed Hyperlink" xfId="19474" builtinId="9" hidden="1"/>
    <cellStyle name="Followed Hyperlink" xfId="21163" builtinId="9" hidden="1"/>
    <cellStyle name="Followed Hyperlink" xfId="19451" builtinId="9" hidden="1"/>
    <cellStyle name="Followed Hyperlink" xfId="19352" builtinId="9" hidden="1"/>
    <cellStyle name="Followed Hyperlink" xfId="20668" builtinId="9" hidden="1"/>
    <cellStyle name="Followed Hyperlink" xfId="21329" builtinId="9" hidden="1"/>
    <cellStyle name="Followed Hyperlink" xfId="21331" builtinId="9" hidden="1"/>
    <cellStyle name="Followed Hyperlink" xfId="21333" builtinId="9" hidden="1"/>
    <cellStyle name="Followed Hyperlink" xfId="21335" builtinId="9" hidden="1"/>
    <cellStyle name="Followed Hyperlink" xfId="21337" builtinId="9" hidden="1"/>
    <cellStyle name="Followed Hyperlink" xfId="21339" builtinId="9" hidden="1"/>
    <cellStyle name="Followed Hyperlink" xfId="21389" builtinId="9" hidden="1"/>
    <cellStyle name="Followed Hyperlink" xfId="21391" builtinId="9" hidden="1"/>
    <cellStyle name="Followed Hyperlink" xfId="21393" builtinId="9" hidden="1"/>
    <cellStyle name="Followed Hyperlink" xfId="21395" builtinId="9" hidden="1"/>
    <cellStyle name="Followed Hyperlink" xfId="21364" builtinId="9" hidden="1"/>
    <cellStyle name="Followed Hyperlink" xfId="21353" builtinId="9" hidden="1"/>
    <cellStyle name="Followed Hyperlink" xfId="21397" builtinId="9" hidden="1"/>
    <cellStyle name="Followed Hyperlink" xfId="21399" builtinId="9" hidden="1"/>
    <cellStyle name="Followed Hyperlink" xfId="21401" builtinId="9" hidden="1"/>
    <cellStyle name="Followed Hyperlink" xfId="21403" builtinId="9" hidden="1"/>
    <cellStyle name="Followed Hyperlink" xfId="21347" builtinId="9" hidden="1"/>
    <cellStyle name="Followed Hyperlink" xfId="21350" builtinId="9" hidden="1"/>
    <cellStyle name="Followed Hyperlink" xfId="21405" builtinId="9" hidden="1"/>
    <cellStyle name="Followed Hyperlink" xfId="21407" builtinId="9" hidden="1"/>
    <cellStyle name="Followed Hyperlink" xfId="21409" builtinId="9" hidden="1"/>
    <cellStyle name="Followed Hyperlink" xfId="21411" builtinId="9" hidden="1"/>
    <cellStyle name="Followed Hyperlink" xfId="21365" builtinId="9" hidden="1"/>
    <cellStyle name="Followed Hyperlink" xfId="21378" builtinId="9" hidden="1"/>
    <cellStyle name="Followed Hyperlink" xfId="21413" builtinId="9" hidden="1"/>
    <cellStyle name="Followed Hyperlink" xfId="21415" builtinId="9" hidden="1"/>
    <cellStyle name="Followed Hyperlink" xfId="21417" builtinId="9" hidden="1"/>
    <cellStyle name="Followed Hyperlink" xfId="21419" builtinId="9" hidden="1"/>
    <cellStyle name="Followed Hyperlink" xfId="21377" builtinId="9" hidden="1"/>
    <cellStyle name="Followed Hyperlink" xfId="21344" builtinId="9" hidden="1"/>
    <cellStyle name="Followed Hyperlink" xfId="21421" builtinId="9" hidden="1"/>
    <cellStyle name="Followed Hyperlink" xfId="21423" builtinId="9" hidden="1"/>
    <cellStyle name="Followed Hyperlink" xfId="21425" builtinId="9" hidden="1"/>
    <cellStyle name="Followed Hyperlink" xfId="21427" builtinId="9" hidden="1"/>
    <cellStyle name="Followed Hyperlink" xfId="21349" builtinId="9" hidden="1"/>
    <cellStyle name="Followed Hyperlink" xfId="21380" builtinId="9" hidden="1"/>
    <cellStyle name="Followed Hyperlink" xfId="21429" builtinId="9" hidden="1"/>
    <cellStyle name="Followed Hyperlink" xfId="21431" builtinId="9" hidden="1"/>
    <cellStyle name="Followed Hyperlink" xfId="21433" builtinId="9" hidden="1"/>
    <cellStyle name="Followed Hyperlink" xfId="21435" builtinId="9" hidden="1"/>
    <cellStyle name="Followed Hyperlink" xfId="21383" builtinId="9" hidden="1"/>
    <cellStyle name="Followed Hyperlink" xfId="21348" builtinId="9" hidden="1"/>
    <cellStyle name="Followed Hyperlink" xfId="21437" builtinId="9" hidden="1"/>
    <cellStyle name="Followed Hyperlink" xfId="21439" builtinId="9" hidden="1"/>
    <cellStyle name="Followed Hyperlink" xfId="21441" builtinId="9" hidden="1"/>
    <cellStyle name="Followed Hyperlink" xfId="21443" builtinId="9" hidden="1"/>
    <cellStyle name="Followed Hyperlink" xfId="21375" builtinId="9" hidden="1"/>
    <cellStyle name="Followed Hyperlink" xfId="21355" builtinId="9" hidden="1"/>
    <cellStyle name="Followed Hyperlink" xfId="21445" builtinId="9" hidden="1"/>
    <cellStyle name="Followed Hyperlink" xfId="21447" builtinId="9" hidden="1"/>
    <cellStyle name="Followed Hyperlink" xfId="21449" builtinId="9" hidden="1"/>
    <cellStyle name="Followed Hyperlink" xfId="21451" builtinId="9" hidden="1"/>
    <cellStyle name="Followed Hyperlink" xfId="21357" builtinId="9" hidden="1"/>
    <cellStyle name="Followed Hyperlink" xfId="21379" builtinId="9" hidden="1"/>
    <cellStyle name="Followed Hyperlink" xfId="21453" builtinId="9" hidden="1"/>
    <cellStyle name="Followed Hyperlink" xfId="21455" builtinId="9" hidden="1"/>
    <cellStyle name="Followed Hyperlink" xfId="21457" builtinId="9" hidden="1"/>
    <cellStyle name="Followed Hyperlink" xfId="21459" builtinId="9" hidden="1"/>
    <cellStyle name="Followed Hyperlink" xfId="21372" builtinId="9" hidden="1"/>
    <cellStyle name="Followed Hyperlink" xfId="21352" builtinId="9" hidden="1"/>
    <cellStyle name="Followed Hyperlink" xfId="21461" builtinId="9" hidden="1"/>
    <cellStyle name="Followed Hyperlink" xfId="21463" builtinId="9" hidden="1"/>
    <cellStyle name="Followed Hyperlink" xfId="21465" builtinId="9" hidden="1"/>
    <cellStyle name="Followed Hyperlink" xfId="21467" builtinId="9" hidden="1"/>
    <cellStyle name="Followed Hyperlink" xfId="21363" builtinId="9" hidden="1"/>
    <cellStyle name="Followed Hyperlink" xfId="21387" builtinId="9" hidden="1"/>
    <cellStyle name="Followed Hyperlink" xfId="21469" builtinId="9" hidden="1"/>
    <cellStyle name="Followed Hyperlink" xfId="21471" builtinId="9" hidden="1"/>
    <cellStyle name="Followed Hyperlink" xfId="21473" builtinId="9" hidden="1"/>
    <cellStyle name="Followed Hyperlink" xfId="21475" builtinId="9" hidden="1"/>
    <cellStyle name="Followed Hyperlink" xfId="21361" builtinId="9" hidden="1"/>
    <cellStyle name="Followed Hyperlink" xfId="21360" builtinId="9" hidden="1"/>
    <cellStyle name="Followed Hyperlink" xfId="21477" builtinId="9" hidden="1"/>
    <cellStyle name="Followed Hyperlink" xfId="21479" builtinId="9" hidden="1"/>
    <cellStyle name="Followed Hyperlink" xfId="21481" builtinId="9" hidden="1"/>
    <cellStyle name="Followed Hyperlink" xfId="21483" builtinId="9" hidden="1"/>
    <cellStyle name="Followed Hyperlink" xfId="21359" builtinId="9" hidden="1"/>
    <cellStyle name="Followed Hyperlink" xfId="21381" builtinId="9" hidden="1"/>
    <cellStyle name="Followed Hyperlink" xfId="21485" builtinId="9" hidden="1"/>
    <cellStyle name="Followed Hyperlink" xfId="21487" builtinId="9" hidden="1"/>
    <cellStyle name="Followed Hyperlink" xfId="21489" builtinId="9" hidden="1"/>
    <cellStyle name="Followed Hyperlink" xfId="21491" builtinId="9" hidden="1"/>
    <cellStyle name="Followed Hyperlink" xfId="19045" builtinId="9" hidden="1"/>
    <cellStyle name="Followed Hyperlink" xfId="19081" builtinId="9" hidden="1"/>
    <cellStyle name="Followed Hyperlink" xfId="19028" builtinId="9" hidden="1"/>
    <cellStyle name="Followed Hyperlink" xfId="19079" builtinId="9" hidden="1"/>
    <cellStyle name="Followed Hyperlink" xfId="19102" builtinId="9" hidden="1"/>
    <cellStyle name="Followed Hyperlink" xfId="19041" builtinId="9" hidden="1"/>
    <cellStyle name="Followed Hyperlink" xfId="19162" builtinId="9" hidden="1"/>
    <cellStyle name="Followed Hyperlink" xfId="19033" builtinId="9" hidden="1"/>
    <cellStyle name="Followed Hyperlink" xfId="19160" builtinId="9" hidden="1"/>
    <cellStyle name="Followed Hyperlink" xfId="19029" builtinId="9" hidden="1"/>
    <cellStyle name="Followed Hyperlink" xfId="19137" builtinId="9" hidden="1"/>
    <cellStyle name="Followed Hyperlink" xfId="19155" builtinId="9" hidden="1"/>
    <cellStyle name="Followed Hyperlink" xfId="19082" builtinId="9" hidden="1"/>
    <cellStyle name="Followed Hyperlink" xfId="19103" builtinId="9" hidden="1"/>
    <cellStyle name="Followed Hyperlink" xfId="21498" builtinId="9" hidden="1"/>
    <cellStyle name="Followed Hyperlink" xfId="21500" builtinId="9" hidden="1"/>
    <cellStyle name="Followed Hyperlink" xfId="21502" builtinId="9" hidden="1"/>
    <cellStyle name="Followed Hyperlink" xfId="21504" builtinId="9" hidden="1"/>
    <cellStyle name="Followed Hyperlink" xfId="21506" builtinId="9" hidden="1"/>
    <cellStyle name="Followed Hyperlink" xfId="21508" builtinId="9" hidden="1"/>
    <cellStyle name="Followed Hyperlink" xfId="21558" builtinId="9" hidden="1"/>
    <cellStyle name="Followed Hyperlink" xfId="21560" builtinId="9" hidden="1"/>
    <cellStyle name="Followed Hyperlink" xfId="21562" builtinId="9" hidden="1"/>
    <cellStyle name="Followed Hyperlink" xfId="21564" builtinId="9" hidden="1"/>
    <cellStyle name="Followed Hyperlink" xfId="21533" builtinId="9" hidden="1"/>
    <cellStyle name="Followed Hyperlink" xfId="21522" builtinId="9" hidden="1"/>
    <cellStyle name="Followed Hyperlink" xfId="21566" builtinId="9" hidden="1"/>
    <cellStyle name="Followed Hyperlink" xfId="21568" builtinId="9" hidden="1"/>
    <cellStyle name="Followed Hyperlink" xfId="21570" builtinId="9" hidden="1"/>
    <cellStyle name="Followed Hyperlink" xfId="21572" builtinId="9" hidden="1"/>
    <cellStyle name="Followed Hyperlink" xfId="21516" builtinId="9" hidden="1"/>
    <cellStyle name="Followed Hyperlink" xfId="21519" builtinId="9" hidden="1"/>
    <cellStyle name="Followed Hyperlink" xfId="21574" builtinId="9" hidden="1"/>
    <cellStyle name="Followed Hyperlink" xfId="21576" builtinId="9" hidden="1"/>
    <cellStyle name="Followed Hyperlink" xfId="21578" builtinId="9" hidden="1"/>
    <cellStyle name="Followed Hyperlink" xfId="21580" builtinId="9" hidden="1"/>
    <cellStyle name="Followed Hyperlink" xfId="21534" builtinId="9" hidden="1"/>
    <cellStyle name="Followed Hyperlink" xfId="21547" builtinId="9" hidden="1"/>
    <cellStyle name="Followed Hyperlink" xfId="21582" builtinId="9" hidden="1"/>
    <cellStyle name="Followed Hyperlink" xfId="21584" builtinId="9" hidden="1"/>
    <cellStyle name="Followed Hyperlink" xfId="21586" builtinId="9" hidden="1"/>
    <cellStyle name="Followed Hyperlink" xfId="21588" builtinId="9" hidden="1"/>
    <cellStyle name="Followed Hyperlink" xfId="21546" builtinId="9" hidden="1"/>
    <cellStyle name="Followed Hyperlink" xfId="21513" builtinId="9" hidden="1"/>
    <cellStyle name="Followed Hyperlink" xfId="21590" builtinId="9" hidden="1"/>
    <cellStyle name="Followed Hyperlink" xfId="21592" builtinId="9" hidden="1"/>
    <cellStyle name="Followed Hyperlink" xfId="21594" builtinId="9" hidden="1"/>
    <cellStyle name="Followed Hyperlink" xfId="21596" builtinId="9" hidden="1"/>
    <cellStyle name="Followed Hyperlink" xfId="21518" builtinId="9" hidden="1"/>
    <cellStyle name="Followed Hyperlink" xfId="21549" builtinId="9" hidden="1"/>
    <cellStyle name="Followed Hyperlink" xfId="21598" builtinId="9" hidden="1"/>
    <cellStyle name="Followed Hyperlink" xfId="21600" builtinId="9" hidden="1"/>
    <cellStyle name="Followed Hyperlink" xfId="21602" builtinId="9" hidden="1"/>
    <cellStyle name="Followed Hyperlink" xfId="21604" builtinId="9" hidden="1"/>
    <cellStyle name="Followed Hyperlink" xfId="21552" builtinId="9" hidden="1"/>
    <cellStyle name="Followed Hyperlink" xfId="21517" builtinId="9" hidden="1"/>
    <cellStyle name="Followed Hyperlink" xfId="21606" builtinId="9" hidden="1"/>
    <cellStyle name="Followed Hyperlink" xfId="21608" builtinId="9" hidden="1"/>
    <cellStyle name="Followed Hyperlink" xfId="21610" builtinId="9" hidden="1"/>
    <cellStyle name="Followed Hyperlink" xfId="21612" builtinId="9" hidden="1"/>
    <cellStyle name="Followed Hyperlink" xfId="21544" builtinId="9" hidden="1"/>
    <cellStyle name="Followed Hyperlink" xfId="21524" builtinId="9" hidden="1"/>
    <cellStyle name="Followed Hyperlink" xfId="21614" builtinId="9" hidden="1"/>
    <cellStyle name="Followed Hyperlink" xfId="21616" builtinId="9" hidden="1"/>
    <cellStyle name="Followed Hyperlink" xfId="21618" builtinId="9" hidden="1"/>
    <cellStyle name="Followed Hyperlink" xfId="21620" builtinId="9" hidden="1"/>
    <cellStyle name="Followed Hyperlink" xfId="21526" builtinId="9" hidden="1"/>
    <cellStyle name="Followed Hyperlink" xfId="21548" builtinId="9" hidden="1"/>
    <cellStyle name="Followed Hyperlink" xfId="21622" builtinId="9" hidden="1"/>
    <cellStyle name="Followed Hyperlink" xfId="21624" builtinId="9" hidden="1"/>
    <cellStyle name="Followed Hyperlink" xfId="21626" builtinId="9" hidden="1"/>
    <cellStyle name="Followed Hyperlink" xfId="21628" builtinId="9" hidden="1"/>
    <cellStyle name="Followed Hyperlink" xfId="21541" builtinId="9" hidden="1"/>
    <cellStyle name="Followed Hyperlink" xfId="21521" builtinId="9" hidden="1"/>
    <cellStyle name="Followed Hyperlink" xfId="21630" builtinId="9" hidden="1"/>
    <cellStyle name="Followed Hyperlink" xfId="21632" builtinId="9" hidden="1"/>
    <cellStyle name="Followed Hyperlink" xfId="21634" builtinId="9" hidden="1"/>
    <cellStyle name="Followed Hyperlink" xfId="21636" builtinId="9" hidden="1"/>
    <cellStyle name="Followed Hyperlink" xfId="21532" builtinId="9" hidden="1"/>
    <cellStyle name="Followed Hyperlink" xfId="21556" builtinId="9" hidden="1"/>
    <cellStyle name="Followed Hyperlink" xfId="21638" builtinId="9" hidden="1"/>
    <cellStyle name="Followed Hyperlink" xfId="21640" builtinId="9" hidden="1"/>
    <cellStyle name="Followed Hyperlink" xfId="21642" builtinId="9" hidden="1"/>
    <cellStyle name="Followed Hyperlink" xfId="21644" builtinId="9" hidden="1"/>
    <cellStyle name="Followed Hyperlink" xfId="21530" builtinId="9" hidden="1"/>
    <cellStyle name="Followed Hyperlink" xfId="21529" builtinId="9" hidden="1"/>
    <cellStyle name="Followed Hyperlink" xfId="21646" builtinId="9" hidden="1"/>
    <cellStyle name="Followed Hyperlink" xfId="21648" builtinId="9" hidden="1"/>
    <cellStyle name="Followed Hyperlink" xfId="21650" builtinId="9" hidden="1"/>
    <cellStyle name="Followed Hyperlink" xfId="21652" builtinId="9" hidden="1"/>
    <cellStyle name="Followed Hyperlink" xfId="21528" builtinId="9" hidden="1"/>
    <cellStyle name="Followed Hyperlink" xfId="21550" builtinId="9" hidden="1"/>
    <cellStyle name="Followed Hyperlink" xfId="21654" builtinId="9" hidden="1"/>
    <cellStyle name="Followed Hyperlink" xfId="21656" builtinId="9" hidden="1"/>
    <cellStyle name="Followed Hyperlink" xfId="21658" builtinId="9" hidden="1"/>
    <cellStyle name="Followed Hyperlink" xfId="21660" builtinId="9" hidden="1"/>
    <cellStyle name="Followed Hyperlink" xfId="21662" builtinId="9" hidden="1"/>
    <cellStyle name="Followed Hyperlink" xfId="21664" builtinId="9" hidden="1"/>
    <cellStyle name="Followed Hyperlink" xfId="21730" builtinId="9" hidden="1"/>
    <cellStyle name="Followed Hyperlink" xfId="21732" builtinId="9" hidden="1"/>
    <cellStyle name="Followed Hyperlink" xfId="21734" builtinId="9" hidden="1"/>
    <cellStyle name="Followed Hyperlink" xfId="21736" builtinId="9" hidden="1"/>
    <cellStyle name="Followed Hyperlink" xfId="21739" builtinId="9" hidden="1"/>
    <cellStyle name="Followed Hyperlink" xfId="21741" builtinId="9" hidden="1"/>
    <cellStyle name="Followed Hyperlink" xfId="21815" builtinId="9" hidden="1"/>
    <cellStyle name="Followed Hyperlink" xfId="21817" builtinId="9" hidden="1"/>
    <cellStyle name="Followed Hyperlink" xfId="21819" builtinId="9" hidden="1"/>
    <cellStyle name="Followed Hyperlink" xfId="21821" builtinId="9" hidden="1"/>
    <cellStyle name="Followed Hyperlink" xfId="21823" builtinId="9" hidden="1"/>
    <cellStyle name="Followed Hyperlink" xfId="21825" builtinId="9" hidden="1"/>
    <cellStyle name="Followed Hyperlink" xfId="21875" builtinId="9" hidden="1"/>
    <cellStyle name="Followed Hyperlink" xfId="21877" builtinId="9" hidden="1"/>
    <cellStyle name="Followed Hyperlink" xfId="21879" builtinId="9" hidden="1"/>
    <cellStyle name="Followed Hyperlink" xfId="21881" builtinId="9" hidden="1"/>
    <cellStyle name="Followed Hyperlink" xfId="21850" builtinId="9" hidden="1"/>
    <cellStyle name="Followed Hyperlink" xfId="21839" builtinId="9" hidden="1"/>
    <cellStyle name="Followed Hyperlink" xfId="21883" builtinId="9" hidden="1"/>
    <cellStyle name="Followed Hyperlink" xfId="21885" builtinId="9" hidden="1"/>
    <cellStyle name="Followed Hyperlink" xfId="21887" builtinId="9" hidden="1"/>
    <cellStyle name="Followed Hyperlink" xfId="21889" builtinId="9" hidden="1"/>
    <cellStyle name="Followed Hyperlink" xfId="21833" builtinId="9" hidden="1"/>
    <cellStyle name="Followed Hyperlink" xfId="21836" builtinId="9" hidden="1"/>
    <cellStyle name="Followed Hyperlink" xfId="21891" builtinId="9" hidden="1"/>
    <cellStyle name="Followed Hyperlink" xfId="21893" builtinId="9" hidden="1"/>
    <cellStyle name="Followed Hyperlink" xfId="21895" builtinId="9" hidden="1"/>
    <cellStyle name="Followed Hyperlink" xfId="21897" builtinId="9" hidden="1"/>
    <cellStyle name="Followed Hyperlink" xfId="21851" builtinId="9" hidden="1"/>
    <cellStyle name="Followed Hyperlink" xfId="21864" builtinId="9" hidden="1"/>
    <cellStyle name="Followed Hyperlink" xfId="21899" builtinId="9" hidden="1"/>
    <cellStyle name="Followed Hyperlink" xfId="21901" builtinId="9" hidden="1"/>
    <cellStyle name="Followed Hyperlink" xfId="21903" builtinId="9" hidden="1"/>
    <cellStyle name="Followed Hyperlink" xfId="21905" builtinId="9" hidden="1"/>
    <cellStyle name="Followed Hyperlink" xfId="21863" builtinId="9" hidden="1"/>
    <cellStyle name="Followed Hyperlink" xfId="21830" builtinId="9" hidden="1"/>
    <cellStyle name="Followed Hyperlink" xfId="21907" builtinId="9" hidden="1"/>
    <cellStyle name="Followed Hyperlink" xfId="21909" builtinId="9" hidden="1"/>
    <cellStyle name="Followed Hyperlink" xfId="21911" builtinId="9" hidden="1"/>
    <cellStyle name="Followed Hyperlink" xfId="21913" builtinId="9" hidden="1"/>
    <cellStyle name="Followed Hyperlink" xfId="21835" builtinId="9" hidden="1"/>
    <cellStyle name="Followed Hyperlink" xfId="21866" builtinId="9" hidden="1"/>
    <cellStyle name="Followed Hyperlink" xfId="21915" builtinId="9" hidden="1"/>
    <cellStyle name="Followed Hyperlink" xfId="21917" builtinId="9" hidden="1"/>
    <cellStyle name="Followed Hyperlink" xfId="21919" builtinId="9" hidden="1"/>
    <cellStyle name="Followed Hyperlink" xfId="21921" builtinId="9" hidden="1"/>
    <cellStyle name="Followed Hyperlink" xfId="21869" builtinId="9" hidden="1"/>
    <cellStyle name="Followed Hyperlink" xfId="21834" builtinId="9" hidden="1"/>
    <cellStyle name="Followed Hyperlink" xfId="21923" builtinId="9" hidden="1"/>
    <cellStyle name="Followed Hyperlink" xfId="21925" builtinId="9" hidden="1"/>
    <cellStyle name="Followed Hyperlink" xfId="21927" builtinId="9" hidden="1"/>
    <cellStyle name="Followed Hyperlink" xfId="21929" builtinId="9" hidden="1"/>
    <cellStyle name="Followed Hyperlink" xfId="21861" builtinId="9" hidden="1"/>
    <cellStyle name="Followed Hyperlink" xfId="21841" builtinId="9" hidden="1"/>
    <cellStyle name="Followed Hyperlink" xfId="21931" builtinId="9" hidden="1"/>
    <cellStyle name="Followed Hyperlink" xfId="21933" builtinId="9" hidden="1"/>
    <cellStyle name="Followed Hyperlink" xfId="21935" builtinId="9" hidden="1"/>
    <cellStyle name="Followed Hyperlink" xfId="21937" builtinId="9" hidden="1"/>
    <cellStyle name="Followed Hyperlink" xfId="21843" builtinId="9" hidden="1"/>
    <cellStyle name="Followed Hyperlink" xfId="21865" builtinId="9" hidden="1"/>
    <cellStyle name="Followed Hyperlink" xfId="21939" builtinId="9" hidden="1"/>
    <cellStyle name="Followed Hyperlink" xfId="21941" builtinId="9" hidden="1"/>
    <cellStyle name="Followed Hyperlink" xfId="21943" builtinId="9" hidden="1"/>
    <cellStyle name="Followed Hyperlink" xfId="21945" builtinId="9" hidden="1"/>
    <cellStyle name="Followed Hyperlink" xfId="21858" builtinId="9" hidden="1"/>
    <cellStyle name="Followed Hyperlink" xfId="21838" builtinId="9" hidden="1"/>
    <cellStyle name="Followed Hyperlink" xfId="21947" builtinId="9" hidden="1"/>
    <cellStyle name="Followed Hyperlink" xfId="21949" builtinId="9" hidden="1"/>
    <cellStyle name="Followed Hyperlink" xfId="21951" builtinId="9" hidden="1"/>
    <cellStyle name="Followed Hyperlink" xfId="21953" builtinId="9" hidden="1"/>
    <cellStyle name="Followed Hyperlink" xfId="21849" builtinId="9" hidden="1"/>
    <cellStyle name="Followed Hyperlink" xfId="21873" builtinId="9" hidden="1"/>
    <cellStyle name="Followed Hyperlink" xfId="21955" builtinId="9" hidden="1"/>
    <cellStyle name="Followed Hyperlink" xfId="21957" builtinId="9" hidden="1"/>
    <cellStyle name="Followed Hyperlink" xfId="21959" builtinId="9" hidden="1"/>
    <cellStyle name="Followed Hyperlink" xfId="21961" builtinId="9" hidden="1"/>
    <cellStyle name="Followed Hyperlink" xfId="21847" builtinId="9" hidden="1"/>
    <cellStyle name="Followed Hyperlink" xfId="21846" builtinId="9" hidden="1"/>
    <cellStyle name="Followed Hyperlink" xfId="21963" builtinId="9" hidden="1"/>
    <cellStyle name="Followed Hyperlink" xfId="21965" builtinId="9" hidden="1"/>
    <cellStyle name="Followed Hyperlink" xfId="21967" builtinId="9" hidden="1"/>
    <cellStyle name="Followed Hyperlink" xfId="21969" builtinId="9" hidden="1"/>
    <cellStyle name="Followed Hyperlink" xfId="21845" builtinId="9" hidden="1"/>
    <cellStyle name="Followed Hyperlink" xfId="21867" builtinId="9" hidden="1"/>
    <cellStyle name="Followed Hyperlink" xfId="21971" builtinId="9" hidden="1"/>
    <cellStyle name="Followed Hyperlink" xfId="21973" builtinId="9" hidden="1"/>
    <cellStyle name="Followed Hyperlink" xfId="21975" builtinId="9" hidden="1"/>
    <cellStyle name="Followed Hyperlink" xfId="21977" builtinId="9" hidden="1"/>
    <cellStyle name="Followed Hyperlink" xfId="21754" builtinId="9" hidden="1"/>
    <cellStyle name="Followed Hyperlink" xfId="21701" builtinId="9" hidden="1"/>
    <cellStyle name="Followed Hyperlink" xfId="21756" builtinId="9" hidden="1"/>
    <cellStyle name="Followed Hyperlink" xfId="21707" builtinId="9" hidden="1"/>
    <cellStyle name="Followed Hyperlink" xfId="21812" builtinId="9" hidden="1"/>
    <cellStyle name="Followed Hyperlink" xfId="21692" builtinId="9" hidden="1"/>
    <cellStyle name="Followed Hyperlink" xfId="21745" builtinId="9" hidden="1"/>
    <cellStyle name="Followed Hyperlink" xfId="21695" builtinId="9" hidden="1"/>
    <cellStyle name="Followed Hyperlink" xfId="21982" builtinId="9" hidden="1"/>
    <cellStyle name="Followed Hyperlink" xfId="21984" builtinId="9" hidden="1"/>
    <cellStyle name="Followed Hyperlink" xfId="21986" builtinId="9" hidden="1"/>
    <cellStyle name="Followed Hyperlink" xfId="21988" builtinId="9" hidden="1"/>
    <cellStyle name="Followed Hyperlink" xfId="21991" builtinId="9" hidden="1"/>
    <cellStyle name="Followed Hyperlink" xfId="21993" builtinId="9" hidden="1"/>
    <cellStyle name="Followed Hyperlink" xfId="22043" builtinId="9" hidden="1"/>
    <cellStyle name="Followed Hyperlink" xfId="22045" builtinId="9" hidden="1"/>
    <cellStyle name="Followed Hyperlink" xfId="22047" builtinId="9" hidden="1"/>
    <cellStyle name="Followed Hyperlink" xfId="22049" builtinId="9" hidden="1"/>
    <cellStyle name="Followed Hyperlink" xfId="22018" builtinId="9" hidden="1"/>
    <cellStyle name="Followed Hyperlink" xfId="22007" builtinId="9" hidden="1"/>
    <cellStyle name="Followed Hyperlink" xfId="22051" builtinId="9" hidden="1"/>
    <cellStyle name="Followed Hyperlink" xfId="22053" builtinId="9" hidden="1"/>
    <cellStyle name="Followed Hyperlink" xfId="22055" builtinId="9" hidden="1"/>
    <cellStyle name="Followed Hyperlink" xfId="22057" builtinId="9" hidden="1"/>
    <cellStyle name="Followed Hyperlink" xfId="22001" builtinId="9" hidden="1"/>
    <cellStyle name="Followed Hyperlink" xfId="22004" builtinId="9" hidden="1"/>
    <cellStyle name="Followed Hyperlink" xfId="22059" builtinId="9" hidden="1"/>
    <cellStyle name="Followed Hyperlink" xfId="22061" builtinId="9" hidden="1"/>
    <cellStyle name="Followed Hyperlink" xfId="22063" builtinId="9" hidden="1"/>
    <cellStyle name="Followed Hyperlink" xfId="22065" builtinId="9" hidden="1"/>
    <cellStyle name="Followed Hyperlink" xfId="22019" builtinId="9" hidden="1"/>
    <cellStyle name="Followed Hyperlink" xfId="22032" builtinId="9" hidden="1"/>
    <cellStyle name="Followed Hyperlink" xfId="22067" builtinId="9" hidden="1"/>
    <cellStyle name="Followed Hyperlink" xfId="22069" builtinId="9" hidden="1"/>
    <cellStyle name="Followed Hyperlink" xfId="22071" builtinId="9" hidden="1"/>
    <cellStyle name="Followed Hyperlink" xfId="22073" builtinId="9" hidden="1"/>
    <cellStyle name="Followed Hyperlink" xfId="22031" builtinId="9" hidden="1"/>
    <cellStyle name="Followed Hyperlink" xfId="21998" builtinId="9" hidden="1"/>
    <cellStyle name="Followed Hyperlink" xfId="22075" builtinId="9" hidden="1"/>
    <cellStyle name="Followed Hyperlink" xfId="22077" builtinId="9" hidden="1"/>
    <cellStyle name="Followed Hyperlink" xfId="22079" builtinId="9" hidden="1"/>
    <cellStyle name="Followed Hyperlink" xfId="22081" builtinId="9" hidden="1"/>
    <cellStyle name="Followed Hyperlink" xfId="22003" builtinId="9" hidden="1"/>
    <cellStyle name="Followed Hyperlink" xfId="22034" builtinId="9" hidden="1"/>
    <cellStyle name="Followed Hyperlink" xfId="22083" builtinId="9" hidden="1"/>
    <cellStyle name="Followed Hyperlink" xfId="22085" builtinId="9" hidden="1"/>
    <cellStyle name="Followed Hyperlink" xfId="22087" builtinId="9" hidden="1"/>
    <cellStyle name="Followed Hyperlink" xfId="22089" builtinId="9" hidden="1"/>
    <cellStyle name="Followed Hyperlink" xfId="22037" builtinId="9" hidden="1"/>
    <cellStyle name="Followed Hyperlink" xfId="22002" builtinId="9" hidden="1"/>
    <cellStyle name="Followed Hyperlink" xfId="22091" builtinId="9" hidden="1"/>
    <cellStyle name="Followed Hyperlink" xfId="22093" builtinId="9" hidden="1"/>
    <cellStyle name="Followed Hyperlink" xfId="22095" builtinId="9" hidden="1"/>
    <cellStyle name="Followed Hyperlink" xfId="22097" builtinId="9" hidden="1"/>
    <cellStyle name="Followed Hyperlink" xfId="22029" builtinId="9" hidden="1"/>
    <cellStyle name="Followed Hyperlink" xfId="22009" builtinId="9" hidden="1"/>
    <cellStyle name="Followed Hyperlink" xfId="22099" builtinId="9" hidden="1"/>
    <cellStyle name="Followed Hyperlink" xfId="22101" builtinId="9" hidden="1"/>
    <cellStyle name="Followed Hyperlink" xfId="22103" builtinId="9" hidden="1"/>
    <cellStyle name="Followed Hyperlink" xfId="22105" builtinId="9" hidden="1"/>
    <cellStyle name="Followed Hyperlink" xfId="22011" builtinId="9" hidden="1"/>
    <cellStyle name="Followed Hyperlink" xfId="22033" builtinId="9" hidden="1"/>
    <cellStyle name="Followed Hyperlink" xfId="22107" builtinId="9" hidden="1"/>
    <cellStyle name="Followed Hyperlink" xfId="22109" builtinId="9" hidden="1"/>
    <cellStyle name="Followed Hyperlink" xfId="22111" builtinId="9" hidden="1"/>
    <cellStyle name="Followed Hyperlink" xfId="22113" builtinId="9" hidden="1"/>
    <cellStyle name="Followed Hyperlink" xfId="22026" builtinId="9" hidden="1"/>
    <cellStyle name="Followed Hyperlink" xfId="22006" builtinId="9" hidden="1"/>
    <cellStyle name="Followed Hyperlink" xfId="22115" builtinId="9" hidden="1"/>
    <cellStyle name="Followed Hyperlink" xfId="22117" builtinId="9" hidden="1"/>
    <cellStyle name="Followed Hyperlink" xfId="22119" builtinId="9" hidden="1"/>
    <cellStyle name="Followed Hyperlink" xfId="22121" builtinId="9" hidden="1"/>
    <cellStyle name="Followed Hyperlink" xfId="22017" builtinId="9" hidden="1"/>
    <cellStyle name="Followed Hyperlink" xfId="22041" builtinId="9" hidden="1"/>
    <cellStyle name="Followed Hyperlink" xfId="22123" builtinId="9" hidden="1"/>
    <cellStyle name="Followed Hyperlink" xfId="22125" builtinId="9" hidden="1"/>
    <cellStyle name="Followed Hyperlink" xfId="22127" builtinId="9" hidden="1"/>
    <cellStyle name="Followed Hyperlink" xfId="22129" builtinId="9" hidden="1"/>
    <cellStyle name="Followed Hyperlink" xfId="22015" builtinId="9" hidden="1"/>
    <cellStyle name="Followed Hyperlink" xfId="22014" builtinId="9" hidden="1"/>
    <cellStyle name="Followed Hyperlink" xfId="22131" builtinId="9" hidden="1"/>
    <cellStyle name="Followed Hyperlink" xfId="22133" builtinId="9" hidden="1"/>
    <cellStyle name="Followed Hyperlink" xfId="22135" builtinId="9" hidden="1"/>
    <cellStyle name="Followed Hyperlink" xfId="22137" builtinId="9" hidden="1"/>
    <cellStyle name="Followed Hyperlink" xfId="22013" builtinId="9" hidden="1"/>
    <cellStyle name="Followed Hyperlink" xfId="22035" builtinId="9" hidden="1"/>
    <cellStyle name="Followed Hyperlink" xfId="22139" builtinId="9" hidden="1"/>
    <cellStyle name="Followed Hyperlink" xfId="22141" builtinId="9" hidden="1"/>
    <cellStyle name="Followed Hyperlink" xfId="22143" builtinId="9" hidden="1"/>
    <cellStyle name="Followed Hyperlink" xfId="22145" builtinId="9" hidden="1"/>
    <cellStyle name="Followed Hyperlink" xfId="19093" builtinId="9" hidden="1"/>
    <cellStyle name="Followed Hyperlink" xfId="21795" builtinId="9" hidden="1"/>
    <cellStyle name="Followed Hyperlink" xfId="21980" builtinId="9" hidden="1"/>
    <cellStyle name="Followed Hyperlink" xfId="21693" builtinId="9" hidden="1"/>
    <cellStyle name="Followed Hyperlink" xfId="21750" builtinId="9" hidden="1"/>
    <cellStyle name="Followed Hyperlink" xfId="21706" builtinId="9" hidden="1"/>
    <cellStyle name="Followed Hyperlink" xfId="21742" builtinId="9" hidden="1"/>
    <cellStyle name="Followed Hyperlink" xfId="21723" builtinId="9" hidden="1"/>
    <cellStyle name="Followed Hyperlink" xfId="22156" builtinId="9" hidden="1"/>
    <cellStyle name="Followed Hyperlink" xfId="22158" builtinId="9" hidden="1"/>
    <cellStyle name="Followed Hyperlink" xfId="22160" builtinId="9" hidden="1"/>
    <cellStyle name="Followed Hyperlink" xfId="22162" builtinId="9" hidden="1"/>
    <cellStyle name="Followed Hyperlink" xfId="22164" builtinId="9" hidden="1"/>
    <cellStyle name="Followed Hyperlink" xfId="22166" builtinId="9" hidden="1"/>
    <cellStyle name="Followed Hyperlink" xfId="22216" builtinId="9" hidden="1"/>
    <cellStyle name="Followed Hyperlink" xfId="22218" builtinId="9" hidden="1"/>
    <cellStyle name="Followed Hyperlink" xfId="22220" builtinId="9" hidden="1"/>
    <cellStyle name="Followed Hyperlink" xfId="22222" builtinId="9" hidden="1"/>
    <cellStyle name="Followed Hyperlink" xfId="22191" builtinId="9" hidden="1"/>
    <cellStyle name="Followed Hyperlink" xfId="22180" builtinId="9" hidden="1"/>
    <cellStyle name="Followed Hyperlink" xfId="22224" builtinId="9" hidden="1"/>
    <cellStyle name="Followed Hyperlink" xfId="22226" builtinId="9" hidden="1"/>
    <cellStyle name="Followed Hyperlink" xfId="22228" builtinId="9" hidden="1"/>
    <cellStyle name="Followed Hyperlink" xfId="22230" builtinId="9" hidden="1"/>
    <cellStyle name="Followed Hyperlink" xfId="22174" builtinId="9" hidden="1"/>
    <cellStyle name="Followed Hyperlink" xfId="22177" builtinId="9" hidden="1"/>
    <cellStyle name="Followed Hyperlink" xfId="22232" builtinId="9" hidden="1"/>
    <cellStyle name="Followed Hyperlink" xfId="22234" builtinId="9" hidden="1"/>
    <cellStyle name="Followed Hyperlink" xfId="22236" builtinId="9" hidden="1"/>
    <cellStyle name="Followed Hyperlink" xfId="22238" builtinId="9" hidden="1"/>
    <cellStyle name="Followed Hyperlink" xfId="22192" builtinId="9" hidden="1"/>
    <cellStyle name="Followed Hyperlink" xfId="22205" builtinId="9" hidden="1"/>
    <cellStyle name="Followed Hyperlink" xfId="22240" builtinId="9" hidden="1"/>
    <cellStyle name="Followed Hyperlink" xfId="22242" builtinId="9" hidden="1"/>
    <cellStyle name="Followed Hyperlink" xfId="22244" builtinId="9" hidden="1"/>
    <cellStyle name="Followed Hyperlink" xfId="22246" builtinId="9" hidden="1"/>
    <cellStyle name="Followed Hyperlink" xfId="22204" builtinId="9" hidden="1"/>
    <cellStyle name="Followed Hyperlink" xfId="22171" builtinId="9" hidden="1"/>
    <cellStyle name="Followed Hyperlink" xfId="22248" builtinId="9" hidden="1"/>
    <cellStyle name="Followed Hyperlink" xfId="22250" builtinId="9" hidden="1"/>
    <cellStyle name="Followed Hyperlink" xfId="22252" builtinId="9" hidden="1"/>
    <cellStyle name="Followed Hyperlink" xfId="22254" builtinId="9" hidden="1"/>
    <cellStyle name="Followed Hyperlink" xfId="22176" builtinId="9" hidden="1"/>
    <cellStyle name="Followed Hyperlink" xfId="22207" builtinId="9" hidden="1"/>
    <cellStyle name="Followed Hyperlink" xfId="22256" builtinId="9" hidden="1"/>
    <cellStyle name="Followed Hyperlink" xfId="22258" builtinId="9" hidden="1"/>
    <cellStyle name="Followed Hyperlink" xfId="22260" builtinId="9" hidden="1"/>
    <cellStyle name="Followed Hyperlink" xfId="22262" builtinId="9" hidden="1"/>
    <cellStyle name="Followed Hyperlink" xfId="22210" builtinId="9" hidden="1"/>
    <cellStyle name="Followed Hyperlink" xfId="22175" builtinId="9" hidden="1"/>
    <cellStyle name="Followed Hyperlink" xfId="22264" builtinId="9" hidden="1"/>
    <cellStyle name="Followed Hyperlink" xfId="22266" builtinId="9" hidden="1"/>
    <cellStyle name="Followed Hyperlink" xfId="22268" builtinId="9" hidden="1"/>
    <cellStyle name="Followed Hyperlink" xfId="22270" builtinId="9" hidden="1"/>
    <cellStyle name="Followed Hyperlink" xfId="22202" builtinId="9" hidden="1"/>
    <cellStyle name="Followed Hyperlink" xfId="22182" builtinId="9" hidden="1"/>
    <cellStyle name="Followed Hyperlink" xfId="22272" builtinId="9" hidden="1"/>
    <cellStyle name="Followed Hyperlink" xfId="22274" builtinId="9" hidden="1"/>
    <cellStyle name="Followed Hyperlink" xfId="22276" builtinId="9" hidden="1"/>
    <cellStyle name="Followed Hyperlink" xfId="22278" builtinId="9" hidden="1"/>
    <cellStyle name="Followed Hyperlink" xfId="22184" builtinId="9" hidden="1"/>
    <cellStyle name="Followed Hyperlink" xfId="22206" builtinId="9" hidden="1"/>
    <cellStyle name="Followed Hyperlink" xfId="22280" builtinId="9" hidden="1"/>
    <cellStyle name="Followed Hyperlink" xfId="22282" builtinId="9" hidden="1"/>
    <cellStyle name="Followed Hyperlink" xfId="22284" builtinId="9" hidden="1"/>
    <cellStyle name="Followed Hyperlink" xfId="22286" builtinId="9" hidden="1"/>
    <cellStyle name="Followed Hyperlink" xfId="22199" builtinId="9" hidden="1"/>
    <cellStyle name="Followed Hyperlink" xfId="22179" builtinId="9" hidden="1"/>
    <cellStyle name="Followed Hyperlink" xfId="22288" builtinId="9" hidden="1"/>
    <cellStyle name="Followed Hyperlink" xfId="22290" builtinId="9" hidden="1"/>
    <cellStyle name="Followed Hyperlink" xfId="22292" builtinId="9" hidden="1"/>
    <cellStyle name="Followed Hyperlink" xfId="22294" builtinId="9" hidden="1"/>
    <cellStyle name="Followed Hyperlink" xfId="22190" builtinId="9" hidden="1"/>
    <cellStyle name="Followed Hyperlink" xfId="22214" builtinId="9" hidden="1"/>
    <cellStyle name="Followed Hyperlink" xfId="22296" builtinId="9" hidden="1"/>
    <cellStyle name="Followed Hyperlink" xfId="22298" builtinId="9" hidden="1"/>
    <cellStyle name="Followed Hyperlink" xfId="22300" builtinId="9" hidden="1"/>
    <cellStyle name="Followed Hyperlink" xfId="22302" builtinId="9" hidden="1"/>
    <cellStyle name="Followed Hyperlink" xfId="22188" builtinId="9" hidden="1"/>
    <cellStyle name="Followed Hyperlink" xfId="22187" builtinId="9" hidden="1"/>
    <cellStyle name="Followed Hyperlink" xfId="22304" builtinId="9" hidden="1"/>
    <cellStyle name="Followed Hyperlink" xfId="22306" builtinId="9" hidden="1"/>
    <cellStyle name="Followed Hyperlink" xfId="22308" builtinId="9" hidden="1"/>
    <cellStyle name="Followed Hyperlink" xfId="22310" builtinId="9" hidden="1"/>
    <cellStyle name="Followed Hyperlink" xfId="22186" builtinId="9" hidden="1"/>
    <cellStyle name="Followed Hyperlink" xfId="22208" builtinId="9" hidden="1"/>
    <cellStyle name="Followed Hyperlink" xfId="22312" builtinId="9" hidden="1"/>
    <cellStyle name="Followed Hyperlink" xfId="22314" builtinId="9" hidden="1"/>
    <cellStyle name="Followed Hyperlink" xfId="22316" builtinId="9" hidden="1"/>
    <cellStyle name="Followed Hyperlink" xfId="22318" builtinId="9" hidden="1"/>
    <cellStyle name="Followed Hyperlink" xfId="21804" builtinId="9" hidden="1"/>
    <cellStyle name="Followed Hyperlink" xfId="21699" builtinId="9" hidden="1"/>
    <cellStyle name="Followed Hyperlink" xfId="21770" builtinId="9" hidden="1"/>
    <cellStyle name="Followed Hyperlink" xfId="21772" builtinId="9" hidden="1"/>
    <cellStyle name="Followed Hyperlink" xfId="22152" builtinId="9" hidden="1"/>
    <cellStyle name="Followed Hyperlink" xfId="21718" builtinId="9" hidden="1"/>
    <cellStyle name="Followed Hyperlink" xfId="21724" builtinId="9" hidden="1"/>
    <cellStyle name="Followed Hyperlink" xfId="21700" builtinId="9" hidden="1"/>
    <cellStyle name="Followed Hyperlink" xfId="22326" builtinId="9" hidden="1"/>
    <cellStyle name="Followed Hyperlink" xfId="22328" builtinId="9" hidden="1"/>
    <cellStyle name="Followed Hyperlink" xfId="22330" builtinId="9" hidden="1"/>
    <cellStyle name="Followed Hyperlink" xfId="22332" builtinId="9" hidden="1"/>
    <cellStyle name="Followed Hyperlink" xfId="22334" builtinId="9" hidden="1"/>
    <cellStyle name="Followed Hyperlink" xfId="22336" builtinId="9" hidden="1"/>
    <cellStyle name="Followed Hyperlink" xfId="22386" builtinId="9" hidden="1"/>
    <cellStyle name="Followed Hyperlink" xfId="22388" builtinId="9" hidden="1"/>
    <cellStyle name="Followed Hyperlink" xfId="22390" builtinId="9" hidden="1"/>
    <cellStyle name="Followed Hyperlink" xfId="22392" builtinId="9" hidden="1"/>
    <cellStyle name="Followed Hyperlink" xfId="22361" builtinId="9" hidden="1"/>
    <cellStyle name="Followed Hyperlink" xfId="22350" builtinId="9" hidden="1"/>
    <cellStyle name="Followed Hyperlink" xfId="22394" builtinId="9" hidden="1"/>
    <cellStyle name="Followed Hyperlink" xfId="22396" builtinId="9" hidden="1"/>
    <cellStyle name="Followed Hyperlink" xfId="22398" builtinId="9" hidden="1"/>
    <cellStyle name="Followed Hyperlink" xfId="22400" builtinId="9" hidden="1"/>
    <cellStyle name="Followed Hyperlink" xfId="22344" builtinId="9" hidden="1"/>
    <cellStyle name="Followed Hyperlink" xfId="22347" builtinId="9" hidden="1"/>
    <cellStyle name="Followed Hyperlink" xfId="22402" builtinId="9" hidden="1"/>
    <cellStyle name="Followed Hyperlink" xfId="22404" builtinId="9" hidden="1"/>
    <cellStyle name="Followed Hyperlink" xfId="22406" builtinId="9" hidden="1"/>
    <cellStyle name="Followed Hyperlink" xfId="22408" builtinId="9" hidden="1"/>
    <cellStyle name="Followed Hyperlink" xfId="22362" builtinId="9" hidden="1"/>
    <cellStyle name="Followed Hyperlink" xfId="22375" builtinId="9" hidden="1"/>
    <cellStyle name="Followed Hyperlink" xfId="22410" builtinId="9" hidden="1"/>
    <cellStyle name="Followed Hyperlink" xfId="22412" builtinId="9" hidden="1"/>
    <cellStyle name="Followed Hyperlink" xfId="22414" builtinId="9" hidden="1"/>
    <cellStyle name="Followed Hyperlink" xfId="22416" builtinId="9" hidden="1"/>
    <cellStyle name="Followed Hyperlink" xfId="22374" builtinId="9" hidden="1"/>
    <cellStyle name="Followed Hyperlink" xfId="22341" builtinId="9" hidden="1"/>
    <cellStyle name="Followed Hyperlink" xfId="22418" builtinId="9" hidden="1"/>
    <cellStyle name="Followed Hyperlink" xfId="22420" builtinId="9" hidden="1"/>
    <cellStyle name="Followed Hyperlink" xfId="22422" builtinId="9" hidden="1"/>
    <cellStyle name="Followed Hyperlink" xfId="22424" builtinId="9" hidden="1"/>
    <cellStyle name="Followed Hyperlink" xfId="22346" builtinId="9" hidden="1"/>
    <cellStyle name="Followed Hyperlink" xfId="22377" builtinId="9" hidden="1"/>
    <cellStyle name="Followed Hyperlink" xfId="22426" builtinId="9" hidden="1"/>
    <cellStyle name="Followed Hyperlink" xfId="22428" builtinId="9" hidden="1"/>
    <cellStyle name="Followed Hyperlink" xfId="22430" builtinId="9" hidden="1"/>
    <cellStyle name="Followed Hyperlink" xfId="22432" builtinId="9" hidden="1"/>
    <cellStyle name="Followed Hyperlink" xfId="22380" builtinId="9" hidden="1"/>
    <cellStyle name="Followed Hyperlink" xfId="22345" builtinId="9" hidden="1"/>
    <cellStyle name="Followed Hyperlink" xfId="22434" builtinId="9" hidden="1"/>
    <cellStyle name="Followed Hyperlink" xfId="22436" builtinId="9" hidden="1"/>
    <cellStyle name="Followed Hyperlink" xfId="22438" builtinId="9" hidden="1"/>
    <cellStyle name="Followed Hyperlink" xfId="22440" builtinId="9" hidden="1"/>
    <cellStyle name="Followed Hyperlink" xfId="22372" builtinId="9" hidden="1"/>
    <cellStyle name="Followed Hyperlink" xfId="22352" builtinId="9" hidden="1"/>
    <cellStyle name="Followed Hyperlink" xfId="22442" builtinId="9" hidden="1"/>
    <cellStyle name="Followed Hyperlink" xfId="22444" builtinId="9" hidden="1"/>
    <cellStyle name="Followed Hyperlink" xfId="22446" builtinId="9" hidden="1"/>
    <cellStyle name="Followed Hyperlink" xfId="22448" builtinId="9" hidden="1"/>
    <cellStyle name="Followed Hyperlink" xfId="22354" builtinId="9" hidden="1"/>
    <cellStyle name="Followed Hyperlink" xfId="22376" builtinId="9" hidden="1"/>
    <cellStyle name="Followed Hyperlink" xfId="22450" builtinId="9" hidden="1"/>
    <cellStyle name="Followed Hyperlink" xfId="22452" builtinId="9" hidden="1"/>
    <cellStyle name="Followed Hyperlink" xfId="22454" builtinId="9" hidden="1"/>
    <cellStyle name="Followed Hyperlink" xfId="22456" builtinId="9" hidden="1"/>
    <cellStyle name="Followed Hyperlink" xfId="22369" builtinId="9" hidden="1"/>
    <cellStyle name="Followed Hyperlink" xfId="22349" builtinId="9" hidden="1"/>
    <cellStyle name="Followed Hyperlink" xfId="22458" builtinId="9" hidden="1"/>
    <cellStyle name="Followed Hyperlink" xfId="22460" builtinId="9" hidden="1"/>
    <cellStyle name="Followed Hyperlink" xfId="22462" builtinId="9" hidden="1"/>
    <cellStyle name="Followed Hyperlink" xfId="22464" builtinId="9" hidden="1"/>
    <cellStyle name="Followed Hyperlink" xfId="22360" builtinId="9" hidden="1"/>
    <cellStyle name="Followed Hyperlink" xfId="22384" builtinId="9" hidden="1"/>
    <cellStyle name="Followed Hyperlink" xfId="22466" builtinId="9" hidden="1"/>
    <cellStyle name="Followed Hyperlink" xfId="22468" builtinId="9" hidden="1"/>
    <cellStyle name="Followed Hyperlink" xfId="22470" builtinId="9" hidden="1"/>
    <cellStyle name="Followed Hyperlink" xfId="22472" builtinId="9" hidden="1"/>
    <cellStyle name="Followed Hyperlink" xfId="22358" builtinId="9" hidden="1"/>
    <cellStyle name="Followed Hyperlink" xfId="22357" builtinId="9" hidden="1"/>
    <cellStyle name="Followed Hyperlink" xfId="22474" builtinId="9" hidden="1"/>
    <cellStyle name="Followed Hyperlink" xfId="22476" builtinId="9" hidden="1"/>
    <cellStyle name="Followed Hyperlink" xfId="22478" builtinId="9" hidden="1"/>
    <cellStyle name="Followed Hyperlink" xfId="22480" builtinId="9" hidden="1"/>
    <cellStyle name="Followed Hyperlink" xfId="22356" builtinId="9" hidden="1"/>
    <cellStyle name="Followed Hyperlink" xfId="22378" builtinId="9" hidden="1"/>
    <cellStyle name="Followed Hyperlink" xfId="22482" builtinId="9" hidden="1"/>
    <cellStyle name="Followed Hyperlink" xfId="22484" builtinId="9" hidden="1"/>
    <cellStyle name="Followed Hyperlink" xfId="22486" builtinId="9" hidden="1"/>
    <cellStyle name="Followed Hyperlink" xfId="22488" builtinId="9" hidden="1"/>
    <cellStyle name="Followed Hyperlink" xfId="21690" builtinId="9" hidden="1"/>
    <cellStyle name="Followed Hyperlink" xfId="21771" builtinId="9" hidden="1"/>
    <cellStyle name="Followed Hyperlink" xfId="21760" builtinId="9" hidden="1"/>
    <cellStyle name="Followed Hyperlink" xfId="21719" builtinId="9" hidden="1"/>
    <cellStyle name="Followed Hyperlink" xfId="22322" builtinId="9" hidden="1"/>
    <cellStyle name="Followed Hyperlink" xfId="21713" builtinId="9" hidden="1"/>
    <cellStyle name="Followed Hyperlink" xfId="21749" builtinId="9" hidden="1"/>
    <cellStyle name="Followed Hyperlink" xfId="21698" builtinId="9" hidden="1"/>
    <cellStyle name="Followed Hyperlink" xfId="22495" builtinId="9" hidden="1"/>
    <cellStyle name="Followed Hyperlink" xfId="22497" builtinId="9" hidden="1"/>
    <cellStyle name="Followed Hyperlink" xfId="22499" builtinId="9" hidden="1"/>
    <cellStyle name="Followed Hyperlink" xfId="22501" builtinId="9" hidden="1"/>
    <cellStyle name="Followed Hyperlink" xfId="22503" builtinId="9" hidden="1"/>
    <cellStyle name="Followed Hyperlink" xfId="22505" builtinId="9" hidden="1"/>
    <cellStyle name="Followed Hyperlink" xfId="22555" builtinId="9" hidden="1"/>
    <cellStyle name="Followed Hyperlink" xfId="22557" builtinId="9" hidden="1"/>
    <cellStyle name="Followed Hyperlink" xfId="22559" builtinId="9" hidden="1"/>
    <cellStyle name="Followed Hyperlink" xfId="22561" builtinId="9" hidden="1"/>
    <cellStyle name="Followed Hyperlink" xfId="22530" builtinId="9" hidden="1"/>
    <cellStyle name="Followed Hyperlink" xfId="22519" builtinId="9" hidden="1"/>
    <cellStyle name="Followed Hyperlink" xfId="22563" builtinId="9" hidden="1"/>
    <cellStyle name="Followed Hyperlink" xfId="22565" builtinId="9" hidden="1"/>
    <cellStyle name="Followed Hyperlink" xfId="22567" builtinId="9" hidden="1"/>
    <cellStyle name="Followed Hyperlink" xfId="22569" builtinId="9" hidden="1"/>
    <cellStyle name="Followed Hyperlink" xfId="22513" builtinId="9" hidden="1"/>
    <cellStyle name="Followed Hyperlink" xfId="22516" builtinId="9" hidden="1"/>
    <cellStyle name="Followed Hyperlink" xfId="22571" builtinId="9" hidden="1"/>
    <cellStyle name="Followed Hyperlink" xfId="22573" builtinId="9" hidden="1"/>
    <cellStyle name="Followed Hyperlink" xfId="22575" builtinId="9" hidden="1"/>
    <cellStyle name="Followed Hyperlink" xfId="22577" builtinId="9" hidden="1"/>
    <cellStyle name="Followed Hyperlink" xfId="22531" builtinId="9" hidden="1"/>
    <cellStyle name="Followed Hyperlink" xfId="22544" builtinId="9" hidden="1"/>
    <cellStyle name="Followed Hyperlink" xfId="22579" builtinId="9" hidden="1"/>
    <cellStyle name="Followed Hyperlink" xfId="22581" builtinId="9" hidden="1"/>
    <cellStyle name="Followed Hyperlink" xfId="22583" builtinId="9" hidden="1"/>
    <cellStyle name="Followed Hyperlink" xfId="22585" builtinId="9" hidden="1"/>
    <cellStyle name="Followed Hyperlink" xfId="22543" builtinId="9" hidden="1"/>
    <cellStyle name="Followed Hyperlink" xfId="22510" builtinId="9" hidden="1"/>
    <cellStyle name="Followed Hyperlink" xfId="22587" builtinId="9" hidden="1"/>
    <cellStyle name="Followed Hyperlink" xfId="22589" builtinId="9" hidden="1"/>
    <cellStyle name="Followed Hyperlink" xfId="22591" builtinId="9" hidden="1"/>
    <cellStyle name="Followed Hyperlink" xfId="22593" builtinId="9" hidden="1"/>
    <cellStyle name="Followed Hyperlink" xfId="22515" builtinId="9" hidden="1"/>
    <cellStyle name="Followed Hyperlink" xfId="22546" builtinId="9" hidden="1"/>
    <cellStyle name="Followed Hyperlink" xfId="22595" builtinId="9" hidden="1"/>
    <cellStyle name="Followed Hyperlink" xfId="22597" builtinId="9" hidden="1"/>
    <cellStyle name="Followed Hyperlink" xfId="22599" builtinId="9" hidden="1"/>
    <cellStyle name="Followed Hyperlink" xfId="22601" builtinId="9" hidden="1"/>
    <cellStyle name="Followed Hyperlink" xfId="22549" builtinId="9" hidden="1"/>
    <cellStyle name="Followed Hyperlink" xfId="22514" builtinId="9" hidden="1"/>
    <cellStyle name="Followed Hyperlink" xfId="22603" builtinId="9" hidden="1"/>
    <cellStyle name="Followed Hyperlink" xfId="22605" builtinId="9" hidden="1"/>
    <cellStyle name="Followed Hyperlink" xfId="22607" builtinId="9" hidden="1"/>
    <cellStyle name="Followed Hyperlink" xfId="22609" builtinId="9" hidden="1"/>
    <cellStyle name="Followed Hyperlink" xfId="22541" builtinId="9" hidden="1"/>
    <cellStyle name="Followed Hyperlink" xfId="22521" builtinId="9" hidden="1"/>
    <cellStyle name="Followed Hyperlink" xfId="22611" builtinId="9" hidden="1"/>
    <cellStyle name="Followed Hyperlink" xfId="22613" builtinId="9" hidden="1"/>
    <cellStyle name="Followed Hyperlink" xfId="22615" builtinId="9" hidden="1"/>
    <cellStyle name="Followed Hyperlink" xfId="22617" builtinId="9" hidden="1"/>
    <cellStyle name="Followed Hyperlink" xfId="22523" builtinId="9" hidden="1"/>
    <cellStyle name="Followed Hyperlink" xfId="22545" builtinId="9" hidden="1"/>
    <cellStyle name="Followed Hyperlink" xfId="22619" builtinId="9" hidden="1"/>
    <cellStyle name="Followed Hyperlink" xfId="22621" builtinId="9" hidden="1"/>
    <cellStyle name="Followed Hyperlink" xfId="22623" builtinId="9" hidden="1"/>
    <cellStyle name="Followed Hyperlink" xfId="22625" builtinId="9" hidden="1"/>
    <cellStyle name="Followed Hyperlink" xfId="22538" builtinId="9" hidden="1"/>
    <cellStyle name="Followed Hyperlink" xfId="22518" builtinId="9" hidden="1"/>
    <cellStyle name="Followed Hyperlink" xfId="22627" builtinId="9" hidden="1"/>
    <cellStyle name="Followed Hyperlink" xfId="22629" builtinId="9" hidden="1"/>
    <cellStyle name="Followed Hyperlink" xfId="22631" builtinId="9" hidden="1"/>
    <cellStyle name="Followed Hyperlink" xfId="22633" builtinId="9" hidden="1"/>
    <cellStyle name="Followed Hyperlink" xfId="22529" builtinId="9" hidden="1"/>
    <cellStyle name="Followed Hyperlink" xfId="22553" builtinId="9" hidden="1"/>
    <cellStyle name="Followed Hyperlink" xfId="22635" builtinId="9" hidden="1"/>
    <cellStyle name="Followed Hyperlink" xfId="22637" builtinId="9" hidden="1"/>
    <cellStyle name="Followed Hyperlink" xfId="22639" builtinId="9" hidden="1"/>
    <cellStyle name="Followed Hyperlink" xfId="22641" builtinId="9" hidden="1"/>
    <cellStyle name="Followed Hyperlink" xfId="22527" builtinId="9" hidden="1"/>
    <cellStyle name="Followed Hyperlink" xfId="22526" builtinId="9" hidden="1"/>
    <cellStyle name="Followed Hyperlink" xfId="22643" builtinId="9" hidden="1"/>
    <cellStyle name="Followed Hyperlink" xfId="22645" builtinId="9" hidden="1"/>
    <cellStyle name="Followed Hyperlink" xfId="22647" builtinId="9" hidden="1"/>
    <cellStyle name="Followed Hyperlink" xfId="22649" builtinId="9" hidden="1"/>
    <cellStyle name="Followed Hyperlink" xfId="22525" builtinId="9" hidden="1"/>
    <cellStyle name="Followed Hyperlink" xfId="22547" builtinId="9" hidden="1"/>
    <cellStyle name="Followed Hyperlink" xfId="22651" builtinId="9" hidden="1"/>
    <cellStyle name="Followed Hyperlink" xfId="22653" builtinId="9" hidden="1"/>
    <cellStyle name="Followed Hyperlink" xfId="22655" builtinId="9" hidden="1"/>
    <cellStyle name="Followed Hyperlink" xfId="22657" builtinId="9" hidden="1"/>
    <cellStyle name="Followed Hyperlink" xfId="21676" builtinId="9" hidden="1"/>
    <cellStyle name="Followed Hyperlink" xfId="21793" builtinId="9" hidden="1"/>
    <cellStyle name="Followed Hyperlink" xfId="21803" builtinId="9" hidden="1"/>
    <cellStyle name="Followed Hyperlink" xfId="21683" builtinId="9" hidden="1"/>
    <cellStyle name="Followed Hyperlink" xfId="22491" builtinId="9" hidden="1"/>
    <cellStyle name="Followed Hyperlink" xfId="21747" builtinId="9" hidden="1"/>
    <cellStyle name="Followed Hyperlink" xfId="21794" builtinId="9" hidden="1"/>
    <cellStyle name="Followed Hyperlink" xfId="21709" builtinId="9" hidden="1"/>
    <cellStyle name="Followed Hyperlink" xfId="22664" builtinId="9" hidden="1"/>
    <cellStyle name="Followed Hyperlink" xfId="22666" builtinId="9" hidden="1"/>
    <cellStyle name="Followed Hyperlink" xfId="22668" builtinId="9" hidden="1"/>
    <cellStyle name="Followed Hyperlink" xfId="22670" builtinId="9" hidden="1"/>
    <cellStyle name="Followed Hyperlink" xfId="22672" builtinId="9" hidden="1"/>
    <cellStyle name="Followed Hyperlink" xfId="22674" builtinId="9" hidden="1"/>
    <cellStyle name="Followed Hyperlink" xfId="22724" builtinId="9" hidden="1"/>
    <cellStyle name="Followed Hyperlink" xfId="22726" builtinId="9" hidden="1"/>
    <cellStyle name="Followed Hyperlink" xfId="22728" builtinId="9" hidden="1"/>
    <cellStyle name="Followed Hyperlink" xfId="22730" builtinId="9" hidden="1"/>
    <cellStyle name="Followed Hyperlink" xfId="22699" builtinId="9" hidden="1"/>
    <cellStyle name="Followed Hyperlink" xfId="22688" builtinId="9" hidden="1"/>
    <cellStyle name="Followed Hyperlink" xfId="22732" builtinId="9" hidden="1"/>
    <cellStyle name="Followed Hyperlink" xfId="22734" builtinId="9" hidden="1"/>
    <cellStyle name="Followed Hyperlink" xfId="22736" builtinId="9" hidden="1"/>
    <cellStyle name="Followed Hyperlink" xfId="22738" builtinId="9" hidden="1"/>
    <cellStyle name="Followed Hyperlink" xfId="22682" builtinId="9" hidden="1"/>
    <cellStyle name="Followed Hyperlink" xfId="22685" builtinId="9" hidden="1"/>
    <cellStyle name="Followed Hyperlink" xfId="22740" builtinId="9" hidden="1"/>
    <cellStyle name="Followed Hyperlink" xfId="22742" builtinId="9" hidden="1"/>
    <cellStyle name="Followed Hyperlink" xfId="22744" builtinId="9" hidden="1"/>
    <cellStyle name="Followed Hyperlink" xfId="22746" builtinId="9" hidden="1"/>
    <cellStyle name="Followed Hyperlink" xfId="22700" builtinId="9" hidden="1"/>
    <cellStyle name="Followed Hyperlink" xfId="22713" builtinId="9" hidden="1"/>
    <cellStyle name="Followed Hyperlink" xfId="22748" builtinId="9" hidden="1"/>
    <cellStyle name="Followed Hyperlink" xfId="22750" builtinId="9" hidden="1"/>
    <cellStyle name="Followed Hyperlink" xfId="22752" builtinId="9" hidden="1"/>
    <cellStyle name="Followed Hyperlink" xfId="22754" builtinId="9" hidden="1"/>
    <cellStyle name="Followed Hyperlink" xfId="22712" builtinId="9" hidden="1"/>
    <cellStyle name="Followed Hyperlink" xfId="22679" builtinId="9" hidden="1"/>
    <cellStyle name="Followed Hyperlink" xfId="22756" builtinId="9" hidden="1"/>
    <cellStyle name="Followed Hyperlink" xfId="22758" builtinId="9" hidden="1"/>
    <cellStyle name="Followed Hyperlink" xfId="22760" builtinId="9" hidden="1"/>
    <cellStyle name="Followed Hyperlink" xfId="22762" builtinId="9" hidden="1"/>
    <cellStyle name="Followed Hyperlink" xfId="22684" builtinId="9" hidden="1"/>
    <cellStyle name="Followed Hyperlink" xfId="22715" builtinId="9" hidden="1"/>
    <cellStyle name="Followed Hyperlink" xfId="22764" builtinId="9" hidden="1"/>
    <cellStyle name="Followed Hyperlink" xfId="22766" builtinId="9" hidden="1"/>
    <cellStyle name="Followed Hyperlink" xfId="22768" builtinId="9" hidden="1"/>
    <cellStyle name="Followed Hyperlink" xfId="22770" builtinId="9" hidden="1"/>
    <cellStyle name="Followed Hyperlink" xfId="22718" builtinId="9" hidden="1"/>
    <cellStyle name="Followed Hyperlink" xfId="22683" builtinId="9" hidden="1"/>
    <cellStyle name="Followed Hyperlink" xfId="22772" builtinId="9" hidden="1"/>
    <cellStyle name="Followed Hyperlink" xfId="22774" builtinId="9" hidden="1"/>
    <cellStyle name="Followed Hyperlink" xfId="22776" builtinId="9" hidden="1"/>
    <cellStyle name="Followed Hyperlink" xfId="22778" builtinId="9" hidden="1"/>
    <cellStyle name="Followed Hyperlink" xfId="22710" builtinId="9" hidden="1"/>
    <cellStyle name="Followed Hyperlink" xfId="22690" builtinId="9" hidden="1"/>
    <cellStyle name="Followed Hyperlink" xfId="22780" builtinId="9" hidden="1"/>
    <cellStyle name="Followed Hyperlink" xfId="22782" builtinId="9" hidden="1"/>
    <cellStyle name="Followed Hyperlink" xfId="22784" builtinId="9" hidden="1"/>
    <cellStyle name="Followed Hyperlink" xfId="22786" builtinId="9" hidden="1"/>
    <cellStyle name="Followed Hyperlink" xfId="22692" builtinId="9" hidden="1"/>
    <cellStyle name="Followed Hyperlink" xfId="22714" builtinId="9" hidden="1"/>
    <cellStyle name="Followed Hyperlink" xfId="22788" builtinId="9" hidden="1"/>
    <cellStyle name="Followed Hyperlink" xfId="22790" builtinId="9" hidden="1"/>
    <cellStyle name="Followed Hyperlink" xfId="22792" builtinId="9" hidden="1"/>
    <cellStyle name="Followed Hyperlink" xfId="22794" builtinId="9" hidden="1"/>
    <cellStyle name="Followed Hyperlink" xfId="22707" builtinId="9" hidden="1"/>
    <cellStyle name="Followed Hyperlink" xfId="22687" builtinId="9" hidden="1"/>
    <cellStyle name="Followed Hyperlink" xfId="22796" builtinId="9" hidden="1"/>
    <cellStyle name="Followed Hyperlink" xfId="22798" builtinId="9" hidden="1"/>
    <cellStyle name="Followed Hyperlink" xfId="22800" builtinId="9" hidden="1"/>
    <cellStyle name="Followed Hyperlink" xfId="22802" builtinId="9" hidden="1"/>
    <cellStyle name="Followed Hyperlink" xfId="22698" builtinId="9" hidden="1"/>
    <cellStyle name="Followed Hyperlink" xfId="22722" builtinId="9" hidden="1"/>
    <cellStyle name="Followed Hyperlink" xfId="22804" builtinId="9" hidden="1"/>
    <cellStyle name="Followed Hyperlink" xfId="22806" builtinId="9" hidden="1"/>
    <cellStyle name="Followed Hyperlink" xfId="22808" builtinId="9" hidden="1"/>
    <cellStyle name="Followed Hyperlink" xfId="22810" builtinId="9" hidden="1"/>
    <cellStyle name="Followed Hyperlink" xfId="22696" builtinId="9" hidden="1"/>
    <cellStyle name="Followed Hyperlink" xfId="22695" builtinId="9" hidden="1"/>
    <cellStyle name="Followed Hyperlink" xfId="22812" builtinId="9" hidden="1"/>
    <cellStyle name="Followed Hyperlink" xfId="22814" builtinId="9" hidden="1"/>
    <cellStyle name="Followed Hyperlink" xfId="22816" builtinId="9" hidden="1"/>
    <cellStyle name="Followed Hyperlink" xfId="22818" builtinId="9" hidden="1"/>
    <cellStyle name="Followed Hyperlink" xfId="22694" builtinId="9" hidden="1"/>
    <cellStyle name="Followed Hyperlink" xfId="22716" builtinId="9" hidden="1"/>
    <cellStyle name="Followed Hyperlink" xfId="22820" builtinId="9" hidden="1"/>
    <cellStyle name="Followed Hyperlink" xfId="22822" builtinId="9" hidden="1"/>
    <cellStyle name="Followed Hyperlink" xfId="22824" builtinId="9" hidden="1"/>
    <cellStyle name="Followed Hyperlink" xfId="22826" builtinId="9" hidden="1"/>
    <cellStyle name="Followed Hyperlink" xfId="21782" builtinId="9" hidden="1"/>
    <cellStyle name="Followed Hyperlink" xfId="21808" builtinId="9" hidden="1"/>
    <cellStyle name="Followed Hyperlink" xfId="21978" builtinId="9" hidden="1"/>
    <cellStyle name="Followed Hyperlink" xfId="21667" builtinId="9" hidden="1"/>
    <cellStyle name="Followed Hyperlink" xfId="22660" builtinId="9" hidden="1"/>
    <cellStyle name="Followed Hyperlink" xfId="21789" builtinId="9" hidden="1"/>
    <cellStyle name="Followed Hyperlink" xfId="21744" builtinId="9" hidden="1"/>
    <cellStyle name="Followed Hyperlink" xfId="22154" builtinId="9" hidden="1"/>
    <cellStyle name="Followed Hyperlink" xfId="22831" builtinId="9" hidden="1"/>
    <cellStyle name="Followed Hyperlink" xfId="22833" builtinId="9" hidden="1"/>
    <cellStyle name="Followed Hyperlink" xfId="22835" builtinId="9" hidden="1"/>
    <cellStyle name="Followed Hyperlink" xfId="22837" builtinId="9" hidden="1"/>
    <cellStyle name="Followed Hyperlink" xfId="22839" builtinId="9" hidden="1"/>
    <cellStyle name="Followed Hyperlink" xfId="22841" builtinId="9" hidden="1"/>
    <cellStyle name="Followed Hyperlink" xfId="22891" builtinId="9" hidden="1"/>
    <cellStyle name="Followed Hyperlink" xfId="22893" builtinId="9" hidden="1"/>
    <cellStyle name="Followed Hyperlink" xfId="22895" builtinId="9" hidden="1"/>
    <cellStyle name="Followed Hyperlink" xfId="22897" builtinId="9" hidden="1"/>
    <cellStyle name="Followed Hyperlink" xfId="22866" builtinId="9" hidden="1"/>
    <cellStyle name="Followed Hyperlink" xfId="22855" builtinId="9" hidden="1"/>
    <cellStyle name="Followed Hyperlink" xfId="22899" builtinId="9" hidden="1"/>
    <cellStyle name="Followed Hyperlink" xfId="22901" builtinId="9" hidden="1"/>
    <cellStyle name="Followed Hyperlink" xfId="22903" builtinId="9" hidden="1"/>
    <cellStyle name="Followed Hyperlink" xfId="22905" builtinId="9" hidden="1"/>
    <cellStyle name="Followed Hyperlink" xfId="22849" builtinId="9" hidden="1"/>
    <cellStyle name="Followed Hyperlink" xfId="22852" builtinId="9" hidden="1"/>
    <cellStyle name="Followed Hyperlink" xfId="22907" builtinId="9" hidden="1"/>
    <cellStyle name="Followed Hyperlink" xfId="22909" builtinId="9" hidden="1"/>
    <cellStyle name="Followed Hyperlink" xfId="22911" builtinId="9" hidden="1"/>
    <cellStyle name="Followed Hyperlink" xfId="22913" builtinId="9" hidden="1"/>
    <cellStyle name="Followed Hyperlink" xfId="22867" builtinId="9" hidden="1"/>
    <cellStyle name="Followed Hyperlink" xfId="22880" builtinId="9" hidden="1"/>
    <cellStyle name="Followed Hyperlink" xfId="22915" builtinId="9" hidden="1"/>
    <cellStyle name="Followed Hyperlink" xfId="22917" builtinId="9" hidden="1"/>
    <cellStyle name="Followed Hyperlink" xfId="22919" builtinId="9" hidden="1"/>
    <cellStyle name="Followed Hyperlink" xfId="22921" builtinId="9" hidden="1"/>
    <cellStyle name="Followed Hyperlink" xfId="22879" builtinId="9" hidden="1"/>
    <cellStyle name="Followed Hyperlink" xfId="22846" builtinId="9" hidden="1"/>
    <cellStyle name="Followed Hyperlink" xfId="22923" builtinId="9" hidden="1"/>
    <cellStyle name="Followed Hyperlink" xfId="22925" builtinId="9" hidden="1"/>
    <cellStyle name="Followed Hyperlink" xfId="22927" builtinId="9" hidden="1"/>
    <cellStyle name="Followed Hyperlink" xfId="22929" builtinId="9" hidden="1"/>
    <cellStyle name="Followed Hyperlink" xfId="22851" builtinId="9" hidden="1"/>
    <cellStyle name="Followed Hyperlink" xfId="22882" builtinId="9" hidden="1"/>
    <cellStyle name="Followed Hyperlink" xfId="22931" builtinId="9" hidden="1"/>
    <cellStyle name="Followed Hyperlink" xfId="22933" builtinId="9" hidden="1"/>
    <cellStyle name="Followed Hyperlink" xfId="22935" builtinId="9" hidden="1"/>
    <cellStyle name="Followed Hyperlink" xfId="22937" builtinId="9" hidden="1"/>
    <cellStyle name="Followed Hyperlink" xfId="22885" builtinId="9" hidden="1"/>
    <cellStyle name="Followed Hyperlink" xfId="22850" builtinId="9" hidden="1"/>
    <cellStyle name="Followed Hyperlink" xfId="22939" builtinId="9" hidden="1"/>
    <cellStyle name="Followed Hyperlink" xfId="22941" builtinId="9" hidden="1"/>
    <cellStyle name="Followed Hyperlink" xfId="22943" builtinId="9" hidden="1"/>
    <cellStyle name="Followed Hyperlink" xfId="22945" builtinId="9" hidden="1"/>
    <cellStyle name="Followed Hyperlink" xfId="22877" builtinId="9" hidden="1"/>
    <cellStyle name="Followed Hyperlink" xfId="22857" builtinId="9" hidden="1"/>
    <cellStyle name="Followed Hyperlink" xfId="22947" builtinId="9" hidden="1"/>
    <cellStyle name="Followed Hyperlink" xfId="22949" builtinId="9" hidden="1"/>
    <cellStyle name="Followed Hyperlink" xfId="22951" builtinId="9" hidden="1"/>
    <cellStyle name="Followed Hyperlink" xfId="22953" builtinId="9" hidden="1"/>
    <cellStyle name="Followed Hyperlink" xfId="22859" builtinId="9" hidden="1"/>
    <cellStyle name="Followed Hyperlink" xfId="22881" builtinId="9" hidden="1"/>
    <cellStyle name="Followed Hyperlink" xfId="22955" builtinId="9" hidden="1"/>
    <cellStyle name="Followed Hyperlink" xfId="22957" builtinId="9" hidden="1"/>
    <cellStyle name="Followed Hyperlink" xfId="22959" builtinId="9" hidden="1"/>
    <cellStyle name="Followed Hyperlink" xfId="22961" builtinId="9" hidden="1"/>
    <cellStyle name="Followed Hyperlink" xfId="22874" builtinId="9" hidden="1"/>
    <cellStyle name="Followed Hyperlink" xfId="22854" builtinId="9" hidden="1"/>
    <cellStyle name="Followed Hyperlink" xfId="22963" builtinId="9" hidden="1"/>
    <cellStyle name="Followed Hyperlink" xfId="22965" builtinId="9" hidden="1"/>
    <cellStyle name="Followed Hyperlink" xfId="22967" builtinId="9" hidden="1"/>
    <cellStyle name="Followed Hyperlink" xfId="22969" builtinId="9" hidden="1"/>
    <cellStyle name="Followed Hyperlink" xfId="22865" builtinId="9" hidden="1"/>
    <cellStyle name="Followed Hyperlink" xfId="22889" builtinId="9" hidden="1"/>
    <cellStyle name="Followed Hyperlink" xfId="22971" builtinId="9" hidden="1"/>
    <cellStyle name="Followed Hyperlink" xfId="22973" builtinId="9" hidden="1"/>
    <cellStyle name="Followed Hyperlink" xfId="22975" builtinId="9" hidden="1"/>
    <cellStyle name="Followed Hyperlink" xfId="22977" builtinId="9" hidden="1"/>
    <cellStyle name="Followed Hyperlink" xfId="22863" builtinId="9" hidden="1"/>
    <cellStyle name="Followed Hyperlink" xfId="22862" builtinId="9" hidden="1"/>
    <cellStyle name="Followed Hyperlink" xfId="22979" builtinId="9" hidden="1"/>
    <cellStyle name="Followed Hyperlink" xfId="22981" builtinId="9" hidden="1"/>
    <cellStyle name="Followed Hyperlink" xfId="22983" builtinId="9" hidden="1"/>
    <cellStyle name="Followed Hyperlink" xfId="22985" builtinId="9" hidden="1"/>
    <cellStyle name="Followed Hyperlink" xfId="22861" builtinId="9" hidden="1"/>
    <cellStyle name="Followed Hyperlink" xfId="22883" builtinId="9" hidden="1"/>
    <cellStyle name="Followed Hyperlink" xfId="22987" builtinId="9" hidden="1"/>
    <cellStyle name="Followed Hyperlink" xfId="22989" builtinId="9" hidden="1"/>
    <cellStyle name="Followed Hyperlink" xfId="22991" builtinId="9" hidden="1"/>
    <cellStyle name="Followed Hyperlink" xfId="22993" builtinId="9" hidden="1"/>
    <cellStyle name="Followed Hyperlink" xfId="21694" builtinId="9" hidden="1"/>
    <cellStyle name="Followed Hyperlink" xfId="21671" builtinId="9" hidden="1"/>
    <cellStyle name="Followed Hyperlink" xfId="21774" builtinId="9" hidden="1"/>
    <cellStyle name="Followed Hyperlink" xfId="21788" builtinId="9" hidden="1"/>
    <cellStyle name="Followed Hyperlink" xfId="22827" builtinId="9" hidden="1"/>
    <cellStyle name="Followed Hyperlink" xfId="21686" builtinId="9" hidden="1"/>
    <cellStyle name="Followed Hyperlink" xfId="21766" builtinId="9" hidden="1"/>
    <cellStyle name="Followed Hyperlink" xfId="22324" builtinId="9" hidden="1"/>
    <cellStyle name="Followed Hyperlink" xfId="22998" builtinId="9" hidden="1"/>
    <cellStyle name="Followed Hyperlink" xfId="23000" builtinId="9" hidden="1"/>
    <cellStyle name="Followed Hyperlink" xfId="23002" builtinId="9" hidden="1"/>
    <cellStyle name="Followed Hyperlink" xfId="23004" builtinId="9" hidden="1"/>
    <cellStyle name="Followed Hyperlink" xfId="23006" builtinId="9" hidden="1"/>
    <cellStyle name="Followed Hyperlink" xfId="23008" builtinId="9" hidden="1"/>
    <cellStyle name="Followed Hyperlink" xfId="23058" builtinId="9" hidden="1"/>
    <cellStyle name="Followed Hyperlink" xfId="23060" builtinId="9" hidden="1"/>
    <cellStyle name="Followed Hyperlink" xfId="23062" builtinId="9" hidden="1"/>
    <cellStyle name="Followed Hyperlink" xfId="23064" builtinId="9" hidden="1"/>
    <cellStyle name="Followed Hyperlink" xfId="23033" builtinId="9" hidden="1"/>
    <cellStyle name="Followed Hyperlink" xfId="23022" builtinId="9" hidden="1"/>
    <cellStyle name="Followed Hyperlink" xfId="23066" builtinId="9" hidden="1"/>
    <cellStyle name="Followed Hyperlink" xfId="23068" builtinId="9" hidden="1"/>
    <cellStyle name="Followed Hyperlink" xfId="23070" builtinId="9" hidden="1"/>
    <cellStyle name="Followed Hyperlink" xfId="23072" builtinId="9" hidden="1"/>
    <cellStyle name="Followed Hyperlink" xfId="23016" builtinId="9" hidden="1"/>
    <cellStyle name="Followed Hyperlink" xfId="23019" builtinId="9" hidden="1"/>
    <cellStyle name="Followed Hyperlink" xfId="23074" builtinId="9" hidden="1"/>
    <cellStyle name="Followed Hyperlink" xfId="23076" builtinId="9" hidden="1"/>
    <cellStyle name="Followed Hyperlink" xfId="23078" builtinId="9" hidden="1"/>
    <cellStyle name="Followed Hyperlink" xfId="23080" builtinId="9" hidden="1"/>
    <cellStyle name="Followed Hyperlink" xfId="23034" builtinId="9" hidden="1"/>
    <cellStyle name="Followed Hyperlink" xfId="23047" builtinId="9" hidden="1"/>
    <cellStyle name="Followed Hyperlink" xfId="23082" builtinId="9" hidden="1"/>
    <cellStyle name="Followed Hyperlink" xfId="23084" builtinId="9" hidden="1"/>
    <cellStyle name="Followed Hyperlink" xfId="23086" builtinId="9" hidden="1"/>
    <cellStyle name="Followed Hyperlink" xfId="23088" builtinId="9" hidden="1"/>
    <cellStyle name="Followed Hyperlink" xfId="23046" builtinId="9" hidden="1"/>
    <cellStyle name="Followed Hyperlink" xfId="23013" builtinId="9" hidden="1"/>
    <cellStyle name="Followed Hyperlink" xfId="23090" builtinId="9" hidden="1"/>
    <cellStyle name="Followed Hyperlink" xfId="23092" builtinId="9" hidden="1"/>
    <cellStyle name="Followed Hyperlink" xfId="23094" builtinId="9" hidden="1"/>
    <cellStyle name="Followed Hyperlink" xfId="23096" builtinId="9" hidden="1"/>
    <cellStyle name="Followed Hyperlink" xfId="23018" builtinId="9" hidden="1"/>
    <cellStyle name="Followed Hyperlink" xfId="23049" builtinId="9" hidden="1"/>
    <cellStyle name="Followed Hyperlink" xfId="23098" builtinId="9" hidden="1"/>
    <cellStyle name="Followed Hyperlink" xfId="23100" builtinId="9" hidden="1"/>
    <cellStyle name="Followed Hyperlink" xfId="23102" builtinId="9" hidden="1"/>
    <cellStyle name="Followed Hyperlink" xfId="23104" builtinId="9" hidden="1"/>
    <cellStyle name="Followed Hyperlink" xfId="23052" builtinId="9" hidden="1"/>
    <cellStyle name="Followed Hyperlink" xfId="23017" builtinId="9" hidden="1"/>
    <cellStyle name="Followed Hyperlink" xfId="23106" builtinId="9" hidden="1"/>
    <cellStyle name="Followed Hyperlink" xfId="23108" builtinId="9" hidden="1"/>
    <cellStyle name="Followed Hyperlink" xfId="23110" builtinId="9" hidden="1"/>
    <cellStyle name="Followed Hyperlink" xfId="23112" builtinId="9" hidden="1"/>
    <cellStyle name="Followed Hyperlink" xfId="23044" builtinId="9" hidden="1"/>
    <cellStyle name="Followed Hyperlink" xfId="23024" builtinId="9" hidden="1"/>
    <cellStyle name="Followed Hyperlink" xfId="23114" builtinId="9" hidden="1"/>
    <cellStyle name="Followed Hyperlink" xfId="23116" builtinId="9" hidden="1"/>
    <cellStyle name="Followed Hyperlink" xfId="23118" builtinId="9" hidden="1"/>
    <cellStyle name="Followed Hyperlink" xfId="23120" builtinId="9" hidden="1"/>
    <cellStyle name="Followed Hyperlink" xfId="23026" builtinId="9" hidden="1"/>
    <cellStyle name="Followed Hyperlink" xfId="23048" builtinId="9" hidden="1"/>
    <cellStyle name="Followed Hyperlink" xfId="23122" builtinId="9" hidden="1"/>
    <cellStyle name="Followed Hyperlink" xfId="23124" builtinId="9" hidden="1"/>
    <cellStyle name="Followed Hyperlink" xfId="23126" builtinId="9" hidden="1"/>
    <cellStyle name="Followed Hyperlink" xfId="23128" builtinId="9" hidden="1"/>
    <cellStyle name="Followed Hyperlink" xfId="23041" builtinId="9" hidden="1"/>
    <cellStyle name="Followed Hyperlink" xfId="23021" builtinId="9" hidden="1"/>
    <cellStyle name="Followed Hyperlink" xfId="23130" builtinId="9" hidden="1"/>
    <cellStyle name="Followed Hyperlink" xfId="23132" builtinId="9" hidden="1"/>
    <cellStyle name="Followed Hyperlink" xfId="23134" builtinId="9" hidden="1"/>
    <cellStyle name="Followed Hyperlink" xfId="23136" builtinId="9" hidden="1"/>
    <cellStyle name="Followed Hyperlink" xfId="23032" builtinId="9" hidden="1"/>
    <cellStyle name="Followed Hyperlink" xfId="23056" builtinId="9" hidden="1"/>
    <cellStyle name="Followed Hyperlink" xfId="23138" builtinId="9" hidden="1"/>
    <cellStyle name="Followed Hyperlink" xfId="23140" builtinId="9" hidden="1"/>
    <cellStyle name="Followed Hyperlink" xfId="23142" builtinId="9" hidden="1"/>
    <cellStyle name="Followed Hyperlink" xfId="23144" builtinId="9" hidden="1"/>
    <cellStyle name="Followed Hyperlink" xfId="23030" builtinId="9" hidden="1"/>
    <cellStyle name="Followed Hyperlink" xfId="23029" builtinId="9" hidden="1"/>
    <cellStyle name="Followed Hyperlink" xfId="23146" builtinId="9" hidden="1"/>
    <cellStyle name="Followed Hyperlink" xfId="23148" builtinId="9" hidden="1"/>
    <cellStyle name="Followed Hyperlink" xfId="23150" builtinId="9" hidden="1"/>
    <cellStyle name="Followed Hyperlink" xfId="23152" builtinId="9" hidden="1"/>
    <cellStyle name="Followed Hyperlink" xfId="23028" builtinId="9" hidden="1"/>
    <cellStyle name="Followed Hyperlink" xfId="23050" builtinId="9" hidden="1"/>
    <cellStyle name="Followed Hyperlink" xfId="23154" builtinId="9" hidden="1"/>
    <cellStyle name="Followed Hyperlink" xfId="23156" builtinId="9" hidden="1"/>
    <cellStyle name="Followed Hyperlink" xfId="23158" builtinId="9" hidden="1"/>
    <cellStyle name="Followed Hyperlink" xfId="23160" builtinId="9" hidden="1"/>
    <cellStyle name="Followed Hyperlink" xfId="21777" builtinId="9" hidden="1"/>
    <cellStyle name="Followed Hyperlink" xfId="22151" builtinId="9" hidden="1"/>
    <cellStyle name="Followed Hyperlink" xfId="22147" builtinId="9" hidden="1"/>
    <cellStyle name="Followed Hyperlink" xfId="21711" builtinId="9" hidden="1"/>
    <cellStyle name="Followed Hyperlink" xfId="22994" builtinId="9" hidden="1"/>
    <cellStyle name="Followed Hyperlink" xfId="21717" builtinId="9" hidden="1"/>
    <cellStyle name="Followed Hyperlink" xfId="21751" builtinId="9" hidden="1"/>
    <cellStyle name="Followed Hyperlink" xfId="22493" builtinId="9" hidden="1"/>
    <cellStyle name="Followed Hyperlink" xfId="23163" builtinId="9" hidden="1"/>
    <cellStyle name="Followed Hyperlink" xfId="23165" builtinId="9" hidden="1"/>
    <cellStyle name="Followed Hyperlink" xfId="23167" builtinId="9" hidden="1"/>
    <cellStyle name="Followed Hyperlink" xfId="23169" builtinId="9" hidden="1"/>
    <cellStyle name="Followed Hyperlink" xfId="23171" builtinId="9" hidden="1"/>
    <cellStyle name="Followed Hyperlink" xfId="23173" builtinId="9" hidden="1"/>
    <cellStyle name="Followed Hyperlink" xfId="23223" builtinId="9" hidden="1"/>
    <cellStyle name="Followed Hyperlink" xfId="23225" builtinId="9" hidden="1"/>
    <cellStyle name="Followed Hyperlink" xfId="23227" builtinId="9" hidden="1"/>
    <cellStyle name="Followed Hyperlink" xfId="23229" builtinId="9" hidden="1"/>
    <cellStyle name="Followed Hyperlink" xfId="23198" builtinId="9" hidden="1"/>
    <cellStyle name="Followed Hyperlink" xfId="23187" builtinId="9" hidden="1"/>
    <cellStyle name="Followed Hyperlink" xfId="23231" builtinId="9" hidden="1"/>
    <cellStyle name="Followed Hyperlink" xfId="23233" builtinId="9" hidden="1"/>
    <cellStyle name="Followed Hyperlink" xfId="23235" builtinId="9" hidden="1"/>
    <cellStyle name="Followed Hyperlink" xfId="23237" builtinId="9" hidden="1"/>
    <cellStyle name="Followed Hyperlink" xfId="23181" builtinId="9" hidden="1"/>
    <cellStyle name="Followed Hyperlink" xfId="23184" builtinId="9" hidden="1"/>
    <cellStyle name="Followed Hyperlink" xfId="23239" builtinId="9" hidden="1"/>
    <cellStyle name="Followed Hyperlink" xfId="23241" builtinId="9" hidden="1"/>
    <cellStyle name="Followed Hyperlink" xfId="23243" builtinId="9" hidden="1"/>
    <cellStyle name="Followed Hyperlink" xfId="23245" builtinId="9" hidden="1"/>
    <cellStyle name="Followed Hyperlink" xfId="23199" builtinId="9" hidden="1"/>
    <cellStyle name="Followed Hyperlink" xfId="23212" builtinId="9" hidden="1"/>
    <cellStyle name="Followed Hyperlink" xfId="23247" builtinId="9" hidden="1"/>
    <cellStyle name="Followed Hyperlink" xfId="23249" builtinId="9" hidden="1"/>
    <cellStyle name="Followed Hyperlink" xfId="23251" builtinId="9" hidden="1"/>
    <cellStyle name="Followed Hyperlink" xfId="23253" builtinId="9" hidden="1"/>
    <cellStyle name="Followed Hyperlink" xfId="23211" builtinId="9" hidden="1"/>
    <cellStyle name="Followed Hyperlink" xfId="23178" builtinId="9" hidden="1"/>
    <cellStyle name="Followed Hyperlink" xfId="23255" builtinId="9" hidden="1"/>
    <cellStyle name="Followed Hyperlink" xfId="23257" builtinId="9" hidden="1"/>
    <cellStyle name="Followed Hyperlink" xfId="23259" builtinId="9" hidden="1"/>
    <cellStyle name="Followed Hyperlink" xfId="23261" builtinId="9" hidden="1"/>
    <cellStyle name="Followed Hyperlink" xfId="23183" builtinId="9" hidden="1"/>
    <cellStyle name="Followed Hyperlink" xfId="23214" builtinId="9" hidden="1"/>
    <cellStyle name="Followed Hyperlink" xfId="23263" builtinId="9" hidden="1"/>
    <cellStyle name="Followed Hyperlink" xfId="23265" builtinId="9" hidden="1"/>
    <cellStyle name="Followed Hyperlink" xfId="23267" builtinId="9" hidden="1"/>
    <cellStyle name="Followed Hyperlink" xfId="23269" builtinId="9" hidden="1"/>
    <cellStyle name="Followed Hyperlink" xfId="23217" builtinId="9" hidden="1"/>
    <cellStyle name="Followed Hyperlink" xfId="23182" builtinId="9" hidden="1"/>
    <cellStyle name="Followed Hyperlink" xfId="23271" builtinId="9" hidden="1"/>
    <cellStyle name="Followed Hyperlink" xfId="23273" builtinId="9" hidden="1"/>
    <cellStyle name="Followed Hyperlink" xfId="23275" builtinId="9" hidden="1"/>
    <cellStyle name="Followed Hyperlink" xfId="23277" builtinId="9" hidden="1"/>
    <cellStyle name="Followed Hyperlink" xfId="23209" builtinId="9" hidden="1"/>
    <cellStyle name="Followed Hyperlink" xfId="23189" builtinId="9" hidden="1"/>
    <cellStyle name="Followed Hyperlink" xfId="23279" builtinId="9" hidden="1"/>
    <cellStyle name="Followed Hyperlink" xfId="23281" builtinId="9" hidden="1"/>
    <cellStyle name="Followed Hyperlink" xfId="23283" builtinId="9" hidden="1"/>
    <cellStyle name="Followed Hyperlink" xfId="23285" builtinId="9" hidden="1"/>
    <cellStyle name="Followed Hyperlink" xfId="23191" builtinId="9" hidden="1"/>
    <cellStyle name="Followed Hyperlink" xfId="23213" builtinId="9" hidden="1"/>
    <cellStyle name="Followed Hyperlink" xfId="23287" builtinId="9" hidden="1"/>
    <cellStyle name="Followed Hyperlink" xfId="23289" builtinId="9" hidden="1"/>
    <cellStyle name="Followed Hyperlink" xfId="23291" builtinId="9" hidden="1"/>
    <cellStyle name="Followed Hyperlink" xfId="23293" builtinId="9" hidden="1"/>
    <cellStyle name="Followed Hyperlink" xfId="23206" builtinId="9" hidden="1"/>
    <cellStyle name="Followed Hyperlink" xfId="23186" builtinId="9" hidden="1"/>
    <cellStyle name="Followed Hyperlink" xfId="23295" builtinId="9" hidden="1"/>
    <cellStyle name="Followed Hyperlink" xfId="23297" builtinId="9" hidden="1"/>
    <cellStyle name="Followed Hyperlink" xfId="23299" builtinId="9" hidden="1"/>
    <cellStyle name="Followed Hyperlink" xfId="23301" builtinId="9" hidden="1"/>
    <cellStyle name="Followed Hyperlink" xfId="23197" builtinId="9" hidden="1"/>
    <cellStyle name="Followed Hyperlink" xfId="23221" builtinId="9" hidden="1"/>
    <cellStyle name="Followed Hyperlink" xfId="23303" builtinId="9" hidden="1"/>
    <cellStyle name="Followed Hyperlink" xfId="23305" builtinId="9" hidden="1"/>
    <cellStyle name="Followed Hyperlink" xfId="23307" builtinId="9" hidden="1"/>
    <cellStyle name="Followed Hyperlink" xfId="23309" builtinId="9" hidden="1"/>
    <cellStyle name="Followed Hyperlink" xfId="23195" builtinId="9" hidden="1"/>
    <cellStyle name="Followed Hyperlink" xfId="23194" builtinId="9" hidden="1"/>
    <cellStyle name="Followed Hyperlink" xfId="23311" builtinId="9" hidden="1"/>
    <cellStyle name="Followed Hyperlink" xfId="23313" builtinId="9" hidden="1"/>
    <cellStyle name="Followed Hyperlink" xfId="23315" builtinId="9" hidden="1"/>
    <cellStyle name="Followed Hyperlink" xfId="23317" builtinId="9" hidden="1"/>
    <cellStyle name="Followed Hyperlink" xfId="23193" builtinId="9" hidden="1"/>
    <cellStyle name="Followed Hyperlink" xfId="23215" builtinId="9" hidden="1"/>
    <cellStyle name="Followed Hyperlink" xfId="23319" builtinId="9" hidden="1"/>
    <cellStyle name="Followed Hyperlink" xfId="23321" builtinId="9" hidden="1"/>
    <cellStyle name="Followed Hyperlink" xfId="23323" builtinId="9" hidden="1"/>
    <cellStyle name="Followed Hyperlink" xfId="23325" builtinId="9" hidden="1"/>
    <cellStyle name="Followed Hyperlink" xfId="21761" builtinId="9" hidden="1"/>
    <cellStyle name="Followed Hyperlink" xfId="22321" builtinId="9" hidden="1"/>
    <cellStyle name="Followed Hyperlink" xfId="21792" builtinId="9" hidden="1"/>
    <cellStyle name="Followed Hyperlink" xfId="21702" builtinId="9" hidden="1"/>
    <cellStyle name="Followed Hyperlink" xfId="23161" builtinId="9" hidden="1"/>
    <cellStyle name="Followed Hyperlink" xfId="21681" builtinId="9" hidden="1"/>
    <cellStyle name="Followed Hyperlink" xfId="21796" builtinId="9" hidden="1"/>
    <cellStyle name="Followed Hyperlink" xfId="22662" builtinId="9" hidden="1"/>
    <cellStyle name="Followed Hyperlink" xfId="23328" builtinId="9" hidden="1"/>
    <cellStyle name="Followed Hyperlink" xfId="23330" builtinId="9" hidden="1"/>
    <cellStyle name="Followed Hyperlink" xfId="23332" builtinId="9" hidden="1"/>
    <cellStyle name="Followed Hyperlink" xfId="23334" builtinId="9" hidden="1"/>
    <cellStyle name="Followed Hyperlink" xfId="23336" builtinId="9" hidden="1"/>
    <cellStyle name="Followed Hyperlink" xfId="23338" builtinId="9" hidden="1"/>
    <cellStyle name="Followed Hyperlink" xfId="23388" builtinId="9" hidden="1"/>
    <cellStyle name="Followed Hyperlink" xfId="23390" builtinId="9" hidden="1"/>
    <cellStyle name="Followed Hyperlink" xfId="23392" builtinId="9" hidden="1"/>
    <cellStyle name="Followed Hyperlink" xfId="23394" builtinId="9" hidden="1"/>
    <cellStyle name="Followed Hyperlink" xfId="23363" builtinId="9" hidden="1"/>
    <cellStyle name="Followed Hyperlink" xfId="23352" builtinId="9" hidden="1"/>
    <cellStyle name="Followed Hyperlink" xfId="23396" builtinId="9" hidden="1"/>
    <cellStyle name="Followed Hyperlink" xfId="23398" builtinId="9" hidden="1"/>
    <cellStyle name="Followed Hyperlink" xfId="23400" builtinId="9" hidden="1"/>
    <cellStyle name="Followed Hyperlink" xfId="23402" builtinId="9" hidden="1"/>
    <cellStyle name="Followed Hyperlink" xfId="23346" builtinId="9" hidden="1"/>
    <cellStyle name="Followed Hyperlink" xfId="23349" builtinId="9" hidden="1"/>
    <cellStyle name="Followed Hyperlink" xfId="23404" builtinId="9" hidden="1"/>
    <cellStyle name="Followed Hyperlink" xfId="23406" builtinId="9" hidden="1"/>
    <cellStyle name="Followed Hyperlink" xfId="23408" builtinId="9" hidden="1"/>
    <cellStyle name="Followed Hyperlink" xfId="23410" builtinId="9" hidden="1"/>
    <cellStyle name="Followed Hyperlink" xfId="23364" builtinId="9" hidden="1"/>
    <cellStyle name="Followed Hyperlink" xfId="23377" builtinId="9" hidden="1"/>
    <cellStyle name="Followed Hyperlink" xfId="23412" builtinId="9" hidden="1"/>
    <cellStyle name="Followed Hyperlink" xfId="23414" builtinId="9" hidden="1"/>
    <cellStyle name="Followed Hyperlink" xfId="23416" builtinId="9" hidden="1"/>
    <cellStyle name="Followed Hyperlink" xfId="23418" builtinId="9" hidden="1"/>
    <cellStyle name="Followed Hyperlink" xfId="23376" builtinId="9" hidden="1"/>
    <cellStyle name="Followed Hyperlink" xfId="23343" builtinId="9" hidden="1"/>
    <cellStyle name="Followed Hyperlink" xfId="23420" builtinId="9" hidden="1"/>
    <cellStyle name="Followed Hyperlink" xfId="23422" builtinId="9" hidden="1"/>
    <cellStyle name="Followed Hyperlink" xfId="23424" builtinId="9" hidden="1"/>
    <cellStyle name="Followed Hyperlink" xfId="23426" builtinId="9" hidden="1"/>
    <cellStyle name="Followed Hyperlink" xfId="23348" builtinId="9" hidden="1"/>
    <cellStyle name="Followed Hyperlink" xfId="23379" builtinId="9" hidden="1"/>
    <cellStyle name="Followed Hyperlink" xfId="23428" builtinId="9" hidden="1"/>
    <cellStyle name="Followed Hyperlink" xfId="23430" builtinId="9" hidden="1"/>
    <cellStyle name="Followed Hyperlink" xfId="23432" builtinId="9" hidden="1"/>
    <cellStyle name="Followed Hyperlink" xfId="23434" builtinId="9" hidden="1"/>
    <cellStyle name="Followed Hyperlink" xfId="23382" builtinId="9" hidden="1"/>
    <cellStyle name="Followed Hyperlink" xfId="23347" builtinId="9" hidden="1"/>
    <cellStyle name="Followed Hyperlink" xfId="23436" builtinId="9" hidden="1"/>
    <cellStyle name="Followed Hyperlink" xfId="23438" builtinId="9" hidden="1"/>
    <cellStyle name="Followed Hyperlink" xfId="23440" builtinId="9" hidden="1"/>
    <cellStyle name="Followed Hyperlink" xfId="23442" builtinId="9" hidden="1"/>
    <cellStyle name="Followed Hyperlink" xfId="23374" builtinId="9" hidden="1"/>
    <cellStyle name="Followed Hyperlink" xfId="23354" builtinId="9" hidden="1"/>
    <cellStyle name="Followed Hyperlink" xfId="23444" builtinId="9" hidden="1"/>
    <cellStyle name="Followed Hyperlink" xfId="23446" builtinId="9" hidden="1"/>
    <cellStyle name="Followed Hyperlink" xfId="23448" builtinId="9" hidden="1"/>
    <cellStyle name="Followed Hyperlink" xfId="23450" builtinId="9" hidden="1"/>
    <cellStyle name="Followed Hyperlink" xfId="23356" builtinId="9" hidden="1"/>
    <cellStyle name="Followed Hyperlink" xfId="23378" builtinId="9" hidden="1"/>
    <cellStyle name="Followed Hyperlink" xfId="23452" builtinId="9" hidden="1"/>
    <cellStyle name="Followed Hyperlink" xfId="23454" builtinId="9" hidden="1"/>
    <cellStyle name="Followed Hyperlink" xfId="23456" builtinId="9" hidden="1"/>
    <cellStyle name="Followed Hyperlink" xfId="23458" builtinId="9" hidden="1"/>
    <cellStyle name="Followed Hyperlink" xfId="23371" builtinId="9" hidden="1"/>
    <cellStyle name="Followed Hyperlink" xfId="23351" builtinId="9" hidden="1"/>
    <cellStyle name="Followed Hyperlink" xfId="23460" builtinId="9" hidden="1"/>
    <cellStyle name="Followed Hyperlink" xfId="23462" builtinId="9" hidden="1"/>
    <cellStyle name="Followed Hyperlink" xfId="23464" builtinId="9" hidden="1"/>
    <cellStyle name="Followed Hyperlink" xfId="23466" builtinId="9" hidden="1"/>
    <cellStyle name="Followed Hyperlink" xfId="23362" builtinId="9" hidden="1"/>
    <cellStyle name="Followed Hyperlink" xfId="23386" builtinId="9" hidden="1"/>
    <cellStyle name="Followed Hyperlink" xfId="23468" builtinId="9" hidden="1"/>
    <cellStyle name="Followed Hyperlink" xfId="23470" builtinId="9" hidden="1"/>
    <cellStyle name="Followed Hyperlink" xfId="23472" builtinId="9" hidden="1"/>
    <cellStyle name="Followed Hyperlink" xfId="23474" builtinId="9" hidden="1"/>
    <cellStyle name="Followed Hyperlink" xfId="23360" builtinId="9" hidden="1"/>
    <cellStyle name="Followed Hyperlink" xfId="23359" builtinId="9" hidden="1"/>
    <cellStyle name="Followed Hyperlink" xfId="23476" builtinId="9" hidden="1"/>
    <cellStyle name="Followed Hyperlink" xfId="23478" builtinId="9" hidden="1"/>
    <cellStyle name="Followed Hyperlink" xfId="23480" builtinId="9" hidden="1"/>
    <cellStyle name="Followed Hyperlink" xfId="23482" builtinId="9" hidden="1"/>
    <cellStyle name="Followed Hyperlink" xfId="23358" builtinId="9" hidden="1"/>
    <cellStyle name="Followed Hyperlink" xfId="23380" builtinId="9" hidden="1"/>
    <cellStyle name="Followed Hyperlink" xfId="23484" builtinId="9" hidden="1"/>
    <cellStyle name="Followed Hyperlink" xfId="23486" builtinId="9" hidden="1"/>
    <cellStyle name="Followed Hyperlink" xfId="23488" builtinId="9" hidden="1"/>
    <cellStyle name="Followed Hyperlink" xfId="23490" builtinId="9" hidden="1"/>
    <cellStyle name="Followed Hyperlink" xfId="21687" builtinId="9" hidden="1"/>
    <cellStyle name="Followed Hyperlink" xfId="22490" builtinId="9" hidden="1"/>
    <cellStyle name="Followed Hyperlink" xfId="21768" builtinId="9" hidden="1"/>
    <cellStyle name="Followed Hyperlink" xfId="21800" builtinId="9" hidden="1"/>
    <cellStyle name="Followed Hyperlink" xfId="23326" builtinId="9" hidden="1"/>
    <cellStyle name="Followed Hyperlink" xfId="21678" builtinId="9" hidden="1"/>
    <cellStyle name="Followed Hyperlink" xfId="21764" builtinId="9" hidden="1"/>
    <cellStyle name="Followed Hyperlink" xfId="22829" builtinId="9" hidden="1"/>
    <cellStyle name="Followed Hyperlink" xfId="23493" builtinId="9" hidden="1"/>
    <cellStyle name="Followed Hyperlink" xfId="23495" builtinId="9" hidden="1"/>
    <cellStyle name="Followed Hyperlink" xfId="23497" builtinId="9" hidden="1"/>
    <cellStyle name="Followed Hyperlink" xfId="23499" builtinId="9" hidden="1"/>
    <cellStyle name="Followed Hyperlink" xfId="23501" builtinId="9" hidden="1"/>
    <cellStyle name="Followed Hyperlink" xfId="23503" builtinId="9" hidden="1"/>
    <cellStyle name="Followed Hyperlink" xfId="23553" builtinId="9" hidden="1"/>
    <cellStyle name="Followed Hyperlink" xfId="23555" builtinId="9" hidden="1"/>
    <cellStyle name="Followed Hyperlink" xfId="23557" builtinId="9" hidden="1"/>
    <cellStyle name="Followed Hyperlink" xfId="23559" builtinId="9" hidden="1"/>
    <cellStyle name="Followed Hyperlink" xfId="23528" builtinId="9" hidden="1"/>
    <cellStyle name="Followed Hyperlink" xfId="23517" builtinId="9" hidden="1"/>
    <cellStyle name="Followed Hyperlink" xfId="23561" builtinId="9" hidden="1"/>
    <cellStyle name="Followed Hyperlink" xfId="23563" builtinId="9" hidden="1"/>
    <cellStyle name="Followed Hyperlink" xfId="23565" builtinId="9" hidden="1"/>
    <cellStyle name="Followed Hyperlink" xfId="23567" builtinId="9" hidden="1"/>
    <cellStyle name="Followed Hyperlink" xfId="23511" builtinId="9" hidden="1"/>
    <cellStyle name="Followed Hyperlink" xfId="23514" builtinId="9" hidden="1"/>
    <cellStyle name="Followed Hyperlink" xfId="23569" builtinId="9" hidden="1"/>
    <cellStyle name="Followed Hyperlink" xfId="23571" builtinId="9" hidden="1"/>
    <cellStyle name="Followed Hyperlink" xfId="23573" builtinId="9" hidden="1"/>
    <cellStyle name="Followed Hyperlink" xfId="23575" builtinId="9" hidden="1"/>
    <cellStyle name="Followed Hyperlink" xfId="23529" builtinId="9" hidden="1"/>
    <cellStyle name="Followed Hyperlink" xfId="23542" builtinId="9" hidden="1"/>
    <cellStyle name="Followed Hyperlink" xfId="23577" builtinId="9" hidden="1"/>
    <cellStyle name="Followed Hyperlink" xfId="23579" builtinId="9" hidden="1"/>
    <cellStyle name="Followed Hyperlink" xfId="23581" builtinId="9" hidden="1"/>
    <cellStyle name="Followed Hyperlink" xfId="23583" builtinId="9" hidden="1"/>
    <cellStyle name="Followed Hyperlink" xfId="23541" builtinId="9" hidden="1"/>
    <cellStyle name="Followed Hyperlink" xfId="23508" builtinId="9" hidden="1"/>
    <cellStyle name="Followed Hyperlink" xfId="23585" builtinId="9" hidden="1"/>
    <cellStyle name="Followed Hyperlink" xfId="23587" builtinId="9" hidden="1"/>
    <cellStyle name="Followed Hyperlink" xfId="23589" builtinId="9" hidden="1"/>
    <cellStyle name="Followed Hyperlink" xfId="23591" builtinId="9" hidden="1"/>
    <cellStyle name="Followed Hyperlink" xfId="23513" builtinId="9" hidden="1"/>
    <cellStyle name="Followed Hyperlink" xfId="23544" builtinId="9" hidden="1"/>
    <cellStyle name="Followed Hyperlink" xfId="23593" builtinId="9" hidden="1"/>
    <cellStyle name="Followed Hyperlink" xfId="23595" builtinId="9" hidden="1"/>
    <cellStyle name="Followed Hyperlink" xfId="23597" builtinId="9" hidden="1"/>
    <cellStyle name="Followed Hyperlink" xfId="23599" builtinId="9" hidden="1"/>
    <cellStyle name="Followed Hyperlink" xfId="23547" builtinId="9" hidden="1"/>
    <cellStyle name="Followed Hyperlink" xfId="23512" builtinId="9" hidden="1"/>
    <cellStyle name="Followed Hyperlink" xfId="23601" builtinId="9" hidden="1"/>
    <cellStyle name="Followed Hyperlink" xfId="23603" builtinId="9" hidden="1"/>
    <cellStyle name="Followed Hyperlink" xfId="23605" builtinId="9" hidden="1"/>
    <cellStyle name="Followed Hyperlink" xfId="23607" builtinId="9" hidden="1"/>
    <cellStyle name="Followed Hyperlink" xfId="23539" builtinId="9" hidden="1"/>
    <cellStyle name="Followed Hyperlink" xfId="23519" builtinId="9" hidden="1"/>
    <cellStyle name="Followed Hyperlink" xfId="23609" builtinId="9" hidden="1"/>
    <cellStyle name="Followed Hyperlink" xfId="23611" builtinId="9" hidden="1"/>
    <cellStyle name="Followed Hyperlink" xfId="23613" builtinId="9" hidden="1"/>
    <cellStyle name="Followed Hyperlink" xfId="23615" builtinId="9" hidden="1"/>
    <cellStyle name="Followed Hyperlink" xfId="23521" builtinId="9" hidden="1"/>
    <cellStyle name="Followed Hyperlink" xfId="23543" builtinId="9" hidden="1"/>
    <cellStyle name="Followed Hyperlink" xfId="23617" builtinId="9" hidden="1"/>
    <cellStyle name="Followed Hyperlink" xfId="23619" builtinId="9" hidden="1"/>
    <cellStyle name="Followed Hyperlink" xfId="23621" builtinId="9" hidden="1"/>
    <cellStyle name="Followed Hyperlink" xfId="23623" builtinId="9" hidden="1"/>
    <cellStyle name="Followed Hyperlink" xfId="23536" builtinId="9" hidden="1"/>
    <cellStyle name="Followed Hyperlink" xfId="23516" builtinId="9" hidden="1"/>
    <cellStyle name="Followed Hyperlink" xfId="23625" builtinId="9" hidden="1"/>
    <cellStyle name="Followed Hyperlink" xfId="23627" builtinId="9" hidden="1"/>
    <cellStyle name="Followed Hyperlink" xfId="23629" builtinId="9" hidden="1"/>
    <cellStyle name="Followed Hyperlink" xfId="23631" builtinId="9" hidden="1"/>
    <cellStyle name="Followed Hyperlink" xfId="23527" builtinId="9" hidden="1"/>
    <cellStyle name="Followed Hyperlink" xfId="23551" builtinId="9" hidden="1"/>
    <cellStyle name="Followed Hyperlink" xfId="23633" builtinId="9" hidden="1"/>
    <cellStyle name="Followed Hyperlink" xfId="23635" builtinId="9" hidden="1"/>
    <cellStyle name="Followed Hyperlink" xfId="23637" builtinId="9" hidden="1"/>
    <cellStyle name="Followed Hyperlink" xfId="23639" builtinId="9" hidden="1"/>
    <cellStyle name="Followed Hyperlink" xfId="23525" builtinId="9" hidden="1"/>
    <cellStyle name="Followed Hyperlink" xfId="23524" builtinId="9" hidden="1"/>
    <cellStyle name="Followed Hyperlink" xfId="23641" builtinId="9" hidden="1"/>
    <cellStyle name="Followed Hyperlink" xfId="23643" builtinId="9" hidden="1"/>
    <cellStyle name="Followed Hyperlink" xfId="23645" builtinId="9" hidden="1"/>
    <cellStyle name="Followed Hyperlink" xfId="23647" builtinId="9" hidden="1"/>
    <cellStyle name="Followed Hyperlink" xfId="23523" builtinId="9" hidden="1"/>
    <cellStyle name="Followed Hyperlink" xfId="23545" builtinId="9" hidden="1"/>
    <cellStyle name="Followed Hyperlink" xfId="23649" builtinId="9" hidden="1"/>
    <cellStyle name="Followed Hyperlink" xfId="23651" builtinId="9" hidden="1"/>
    <cellStyle name="Followed Hyperlink" xfId="23653" builtinId="9" hidden="1"/>
    <cellStyle name="Followed Hyperlink" xfId="23655" builtinId="9" hidden="1"/>
    <cellStyle name="Followed Hyperlink" xfId="21758" builtinId="9" hidden="1"/>
    <cellStyle name="Followed Hyperlink" xfId="22659" builtinId="9" hidden="1"/>
    <cellStyle name="Followed Hyperlink" xfId="21813" builtinId="9" hidden="1"/>
    <cellStyle name="Followed Hyperlink" xfId="21802" builtinId="9" hidden="1"/>
    <cellStyle name="Followed Hyperlink" xfId="23491" builtinId="9" hidden="1"/>
    <cellStyle name="Followed Hyperlink" xfId="21779" builtinId="9" hidden="1"/>
    <cellStyle name="Followed Hyperlink" xfId="21680" builtinId="9" hidden="1"/>
    <cellStyle name="Followed Hyperlink" xfId="22996" builtinId="9" hidden="1"/>
    <cellStyle name="Followed Hyperlink" xfId="23657" builtinId="9" hidden="1"/>
    <cellStyle name="Followed Hyperlink" xfId="23659" builtinId="9" hidden="1"/>
    <cellStyle name="Followed Hyperlink" xfId="23661" builtinId="9" hidden="1"/>
    <cellStyle name="Followed Hyperlink" xfId="23663" builtinId="9" hidden="1"/>
    <cellStyle name="Followed Hyperlink" xfId="23665" builtinId="9" hidden="1"/>
    <cellStyle name="Followed Hyperlink" xfId="23667" builtinId="9" hidden="1"/>
    <cellStyle name="Followed Hyperlink" xfId="23717" builtinId="9" hidden="1"/>
    <cellStyle name="Followed Hyperlink" xfId="23719" builtinId="9" hidden="1"/>
    <cellStyle name="Followed Hyperlink" xfId="23721" builtinId="9" hidden="1"/>
    <cellStyle name="Followed Hyperlink" xfId="23723" builtinId="9" hidden="1"/>
    <cellStyle name="Followed Hyperlink" xfId="23692" builtinId="9" hidden="1"/>
    <cellStyle name="Followed Hyperlink" xfId="23681" builtinId="9" hidden="1"/>
    <cellStyle name="Followed Hyperlink" xfId="23725" builtinId="9" hidden="1"/>
    <cellStyle name="Followed Hyperlink" xfId="23727" builtinId="9" hidden="1"/>
    <cellStyle name="Followed Hyperlink" xfId="23729" builtinId="9" hidden="1"/>
    <cellStyle name="Followed Hyperlink" xfId="23731" builtinId="9" hidden="1"/>
    <cellStyle name="Followed Hyperlink" xfId="23675" builtinId="9" hidden="1"/>
    <cellStyle name="Followed Hyperlink" xfId="23678" builtinId="9" hidden="1"/>
    <cellStyle name="Followed Hyperlink" xfId="23733" builtinId="9" hidden="1"/>
    <cellStyle name="Followed Hyperlink" xfId="23735" builtinId="9" hidden="1"/>
    <cellStyle name="Followed Hyperlink" xfId="23737" builtinId="9" hidden="1"/>
    <cellStyle name="Followed Hyperlink" xfId="23739" builtinId="9" hidden="1"/>
    <cellStyle name="Followed Hyperlink" xfId="23693" builtinId="9" hidden="1"/>
    <cellStyle name="Followed Hyperlink" xfId="23706" builtinId="9" hidden="1"/>
    <cellStyle name="Followed Hyperlink" xfId="23741" builtinId="9" hidden="1"/>
    <cellStyle name="Followed Hyperlink" xfId="23743" builtinId="9" hidden="1"/>
    <cellStyle name="Followed Hyperlink" xfId="23745" builtinId="9" hidden="1"/>
    <cellStyle name="Followed Hyperlink" xfId="23747" builtinId="9" hidden="1"/>
    <cellStyle name="Followed Hyperlink" xfId="23705" builtinId="9" hidden="1"/>
    <cellStyle name="Followed Hyperlink" xfId="23672" builtinId="9" hidden="1"/>
    <cellStyle name="Followed Hyperlink" xfId="23749" builtinId="9" hidden="1"/>
    <cellStyle name="Followed Hyperlink" xfId="23751" builtinId="9" hidden="1"/>
    <cellStyle name="Followed Hyperlink" xfId="23753" builtinId="9" hidden="1"/>
    <cellStyle name="Followed Hyperlink" xfId="23755" builtinId="9" hidden="1"/>
    <cellStyle name="Followed Hyperlink" xfId="23677" builtinId="9" hidden="1"/>
    <cellStyle name="Followed Hyperlink" xfId="23708" builtinId="9" hidden="1"/>
    <cellStyle name="Followed Hyperlink" xfId="23757" builtinId="9" hidden="1"/>
    <cellStyle name="Followed Hyperlink" xfId="23759" builtinId="9" hidden="1"/>
    <cellStyle name="Followed Hyperlink" xfId="23761" builtinId="9" hidden="1"/>
    <cellStyle name="Followed Hyperlink" xfId="23763" builtinId="9" hidden="1"/>
    <cellStyle name="Followed Hyperlink" xfId="23711" builtinId="9" hidden="1"/>
    <cellStyle name="Followed Hyperlink" xfId="23676" builtinId="9" hidden="1"/>
    <cellStyle name="Followed Hyperlink" xfId="23765" builtinId="9" hidden="1"/>
    <cellStyle name="Followed Hyperlink" xfId="23767" builtinId="9" hidden="1"/>
    <cellStyle name="Followed Hyperlink" xfId="23769" builtinId="9" hidden="1"/>
    <cellStyle name="Followed Hyperlink" xfId="23771" builtinId="9" hidden="1"/>
    <cellStyle name="Followed Hyperlink" xfId="23703" builtinId="9" hidden="1"/>
    <cellStyle name="Followed Hyperlink" xfId="23683" builtinId="9" hidden="1"/>
    <cellStyle name="Followed Hyperlink" xfId="23773" builtinId="9" hidden="1"/>
    <cellStyle name="Followed Hyperlink" xfId="23775" builtinId="9" hidden="1"/>
    <cellStyle name="Followed Hyperlink" xfId="23777" builtinId="9" hidden="1"/>
    <cellStyle name="Followed Hyperlink" xfId="23779" builtinId="9" hidden="1"/>
    <cellStyle name="Followed Hyperlink" xfId="23685" builtinId="9" hidden="1"/>
    <cellStyle name="Followed Hyperlink" xfId="23707" builtinId="9" hidden="1"/>
    <cellStyle name="Followed Hyperlink" xfId="23781" builtinId="9" hidden="1"/>
    <cellStyle name="Followed Hyperlink" xfId="23783" builtinId="9" hidden="1"/>
    <cellStyle name="Followed Hyperlink" xfId="23785" builtinId="9" hidden="1"/>
    <cellStyle name="Followed Hyperlink" xfId="23787" builtinId="9" hidden="1"/>
    <cellStyle name="Followed Hyperlink" xfId="23700" builtinId="9" hidden="1"/>
    <cellStyle name="Followed Hyperlink" xfId="23680" builtinId="9" hidden="1"/>
    <cellStyle name="Followed Hyperlink" xfId="23789" builtinId="9" hidden="1"/>
    <cellStyle name="Followed Hyperlink" xfId="23791" builtinId="9" hidden="1"/>
    <cellStyle name="Followed Hyperlink" xfId="23793" builtinId="9" hidden="1"/>
    <cellStyle name="Followed Hyperlink" xfId="23795" builtinId="9" hidden="1"/>
    <cellStyle name="Followed Hyperlink" xfId="23691" builtinId="9" hidden="1"/>
    <cellStyle name="Followed Hyperlink" xfId="23715" builtinId="9" hidden="1"/>
    <cellStyle name="Followed Hyperlink" xfId="23797" builtinId="9" hidden="1"/>
    <cellStyle name="Followed Hyperlink" xfId="23799" builtinId="9" hidden="1"/>
    <cellStyle name="Followed Hyperlink" xfId="23801" builtinId="9" hidden="1"/>
    <cellStyle name="Followed Hyperlink" xfId="23803" builtinId="9" hidden="1"/>
    <cellStyle name="Followed Hyperlink" xfId="23689" builtinId="9" hidden="1"/>
    <cellStyle name="Followed Hyperlink" xfId="23688" builtinId="9" hidden="1"/>
    <cellStyle name="Followed Hyperlink" xfId="23805" builtinId="9" hidden="1"/>
    <cellStyle name="Followed Hyperlink" xfId="23807" builtinId="9" hidden="1"/>
    <cellStyle name="Followed Hyperlink" xfId="23809" builtinId="9" hidden="1"/>
    <cellStyle name="Followed Hyperlink" xfId="23811" builtinId="9" hidden="1"/>
    <cellStyle name="Followed Hyperlink" xfId="23687" builtinId="9" hidden="1"/>
    <cellStyle name="Followed Hyperlink" xfId="23709" builtinId="9" hidden="1"/>
    <cellStyle name="Followed Hyperlink" xfId="23813" builtinId="9" hidden="1"/>
    <cellStyle name="Followed Hyperlink" xfId="23815" builtinId="9" hidden="1"/>
    <cellStyle name="Followed Hyperlink" xfId="23817" builtinId="9" hidden="1"/>
    <cellStyle name="Followed Hyperlink" xfId="23819" builtinId="9" hidden="1"/>
    <cellStyle name="Followed Hyperlink" xfId="19048" builtinId="9" hidden="1"/>
    <cellStyle name="Followed Hyperlink" xfId="19167" builtinId="9" hidden="1"/>
    <cellStyle name="Followed Hyperlink" xfId="19166" builtinId="9" hidden="1"/>
    <cellStyle name="Followed Hyperlink" xfId="19099" builtinId="9" hidden="1"/>
    <cellStyle name="Followed Hyperlink" xfId="19090" builtinId="9" hidden="1"/>
    <cellStyle name="Followed Hyperlink" xfId="19056" builtinId="9" hidden="1"/>
    <cellStyle name="Followed Hyperlink" xfId="21492" builtinId="9" hidden="1"/>
    <cellStyle name="Followed Hyperlink" xfId="19054" builtinId="9" hidden="1"/>
    <cellStyle name="Followed Hyperlink" xfId="19141" builtinId="9" hidden="1"/>
    <cellStyle name="Followed Hyperlink" xfId="19074" builtinId="9" hidden="1"/>
    <cellStyle name="Followed Hyperlink" xfId="19150" builtinId="9" hidden="1"/>
    <cellStyle name="Followed Hyperlink" xfId="19136" builtinId="9" hidden="1"/>
    <cellStyle name="Followed Hyperlink" xfId="19101" builtinId="9" hidden="1"/>
    <cellStyle name="Followed Hyperlink" xfId="19083" builtinId="9" hidden="1"/>
    <cellStyle name="Followed Hyperlink" xfId="23826" builtinId="9" hidden="1"/>
    <cellStyle name="Followed Hyperlink" xfId="23828" builtinId="9" hidden="1"/>
    <cellStyle name="Followed Hyperlink" xfId="23830" builtinId="9" hidden="1"/>
    <cellStyle name="Followed Hyperlink" xfId="23832" builtinId="9" hidden="1"/>
    <cellStyle name="Followed Hyperlink" xfId="23834" builtinId="9" hidden="1"/>
    <cellStyle name="Followed Hyperlink" xfId="23836" builtinId="9" hidden="1"/>
    <cellStyle name="Followed Hyperlink" xfId="23886" builtinId="9" hidden="1"/>
    <cellStyle name="Followed Hyperlink" xfId="23888" builtinId="9" hidden="1"/>
    <cellStyle name="Followed Hyperlink" xfId="23890" builtinId="9" hidden="1"/>
    <cellStyle name="Followed Hyperlink" xfId="23892" builtinId="9" hidden="1"/>
    <cellStyle name="Followed Hyperlink" xfId="23861" builtinId="9" hidden="1"/>
    <cellStyle name="Followed Hyperlink" xfId="23850" builtinId="9" hidden="1"/>
    <cellStyle name="Followed Hyperlink" xfId="23894" builtinId="9" hidden="1"/>
    <cellStyle name="Followed Hyperlink" xfId="23896" builtinId="9" hidden="1"/>
    <cellStyle name="Followed Hyperlink" xfId="23898" builtinId="9" hidden="1"/>
    <cellStyle name="Followed Hyperlink" xfId="23900" builtinId="9" hidden="1"/>
    <cellStyle name="Followed Hyperlink" xfId="23844" builtinId="9" hidden="1"/>
    <cellStyle name="Followed Hyperlink" xfId="23847" builtinId="9" hidden="1"/>
    <cellStyle name="Followed Hyperlink" xfId="23902" builtinId="9" hidden="1"/>
    <cellStyle name="Followed Hyperlink" xfId="23904" builtinId="9" hidden="1"/>
    <cellStyle name="Followed Hyperlink" xfId="23906" builtinId="9" hidden="1"/>
    <cellStyle name="Followed Hyperlink" xfId="23908" builtinId="9" hidden="1"/>
    <cellStyle name="Followed Hyperlink" xfId="23862" builtinId="9" hidden="1"/>
    <cellStyle name="Followed Hyperlink" xfId="23875" builtinId="9" hidden="1"/>
    <cellStyle name="Followed Hyperlink" xfId="23910" builtinId="9" hidden="1"/>
    <cellStyle name="Followed Hyperlink" xfId="23912" builtinId="9" hidden="1"/>
    <cellStyle name="Followed Hyperlink" xfId="23914" builtinId="9" hidden="1"/>
    <cellStyle name="Followed Hyperlink" xfId="23916" builtinId="9" hidden="1"/>
    <cellStyle name="Followed Hyperlink" xfId="23874" builtinId="9" hidden="1"/>
    <cellStyle name="Followed Hyperlink" xfId="23841" builtinId="9" hidden="1"/>
    <cellStyle name="Followed Hyperlink" xfId="23918" builtinId="9" hidden="1"/>
    <cellStyle name="Followed Hyperlink" xfId="23920" builtinId="9" hidden="1"/>
    <cellStyle name="Followed Hyperlink" xfId="23922" builtinId="9" hidden="1"/>
    <cellStyle name="Followed Hyperlink" xfId="23924" builtinId="9" hidden="1"/>
    <cellStyle name="Followed Hyperlink" xfId="23846" builtinId="9" hidden="1"/>
    <cellStyle name="Followed Hyperlink" xfId="23877" builtinId="9" hidden="1"/>
    <cellStyle name="Followed Hyperlink" xfId="23926" builtinId="9" hidden="1"/>
    <cellStyle name="Followed Hyperlink" xfId="23928" builtinId="9" hidden="1"/>
    <cellStyle name="Followed Hyperlink" xfId="23930" builtinId="9" hidden="1"/>
    <cellStyle name="Followed Hyperlink" xfId="23932" builtinId="9" hidden="1"/>
    <cellStyle name="Followed Hyperlink" xfId="23880" builtinId="9" hidden="1"/>
    <cellStyle name="Followed Hyperlink" xfId="23845" builtinId="9" hidden="1"/>
    <cellStyle name="Followed Hyperlink" xfId="23934" builtinId="9" hidden="1"/>
    <cellStyle name="Followed Hyperlink" xfId="23936" builtinId="9" hidden="1"/>
    <cellStyle name="Followed Hyperlink" xfId="23938" builtinId="9" hidden="1"/>
    <cellStyle name="Followed Hyperlink" xfId="23940" builtinId="9" hidden="1"/>
    <cellStyle name="Followed Hyperlink" xfId="23872" builtinId="9" hidden="1"/>
    <cellStyle name="Followed Hyperlink" xfId="23852" builtinId="9" hidden="1"/>
    <cellStyle name="Followed Hyperlink" xfId="23942" builtinId="9" hidden="1"/>
    <cellStyle name="Followed Hyperlink" xfId="23944" builtinId="9" hidden="1"/>
    <cellStyle name="Followed Hyperlink" xfId="23946" builtinId="9" hidden="1"/>
    <cellStyle name="Followed Hyperlink" xfId="23948" builtinId="9" hidden="1"/>
    <cellStyle name="Followed Hyperlink" xfId="23854" builtinId="9" hidden="1"/>
    <cellStyle name="Followed Hyperlink" xfId="23876" builtinId="9" hidden="1"/>
    <cellStyle name="Followed Hyperlink" xfId="23950" builtinId="9" hidden="1"/>
    <cellStyle name="Followed Hyperlink" xfId="23952" builtinId="9" hidden="1"/>
    <cellStyle name="Followed Hyperlink" xfId="23954" builtinId="9" hidden="1"/>
    <cellStyle name="Followed Hyperlink" xfId="23956" builtinId="9" hidden="1"/>
    <cellStyle name="Followed Hyperlink" xfId="23869" builtinId="9" hidden="1"/>
    <cellStyle name="Followed Hyperlink" xfId="23849" builtinId="9" hidden="1"/>
    <cellStyle name="Followed Hyperlink" xfId="23958" builtinId="9" hidden="1"/>
    <cellStyle name="Followed Hyperlink" xfId="23960" builtinId="9" hidden="1"/>
    <cellStyle name="Followed Hyperlink" xfId="23962" builtinId="9" hidden="1"/>
    <cellStyle name="Followed Hyperlink" xfId="23964" builtinId="9" hidden="1"/>
    <cellStyle name="Followed Hyperlink" xfId="23860" builtinId="9" hidden="1"/>
    <cellStyle name="Followed Hyperlink" xfId="23884" builtinId="9" hidden="1"/>
    <cellStyle name="Followed Hyperlink" xfId="23966" builtinId="9" hidden="1"/>
    <cellStyle name="Followed Hyperlink" xfId="23968" builtinId="9" hidden="1"/>
    <cellStyle name="Followed Hyperlink" xfId="23970" builtinId="9" hidden="1"/>
    <cellStyle name="Followed Hyperlink" xfId="23972" builtinId="9" hidden="1"/>
    <cellStyle name="Followed Hyperlink" xfId="23858" builtinId="9" hidden="1"/>
    <cellStyle name="Followed Hyperlink" xfId="23857" builtinId="9" hidden="1"/>
    <cellStyle name="Followed Hyperlink" xfId="23974" builtinId="9" hidden="1"/>
    <cellStyle name="Followed Hyperlink" xfId="23976" builtinId="9" hidden="1"/>
    <cellStyle name="Followed Hyperlink" xfId="23978" builtinId="9" hidden="1"/>
    <cellStyle name="Followed Hyperlink" xfId="23980" builtinId="9" hidden="1"/>
    <cellStyle name="Followed Hyperlink" xfId="23856" builtinId="9" hidden="1"/>
    <cellStyle name="Followed Hyperlink" xfId="23878" builtinId="9" hidden="1"/>
    <cellStyle name="Followed Hyperlink" xfId="23982" builtinId="9" hidden="1"/>
    <cellStyle name="Followed Hyperlink" xfId="23984" builtinId="9" hidden="1"/>
    <cellStyle name="Followed Hyperlink" xfId="23986" builtinId="9" hidden="1"/>
    <cellStyle name="Followed Hyperlink" xfId="23988" builtinId="9" hidden="1"/>
    <cellStyle name="Followed Hyperlink" xfId="23990" builtinId="9" hidden="1"/>
    <cellStyle name="Followed Hyperlink" xfId="23992" builtinId="9" hidden="1"/>
    <cellStyle name="Followed Hyperlink" xfId="24058" builtinId="9" hidden="1"/>
    <cellStyle name="Followed Hyperlink" xfId="24060" builtinId="9" hidden="1"/>
    <cellStyle name="Followed Hyperlink" xfId="24062" builtinId="9" hidden="1"/>
    <cellStyle name="Followed Hyperlink" xfId="24064" builtinId="9" hidden="1"/>
    <cellStyle name="Followed Hyperlink" xfId="24067" builtinId="9" hidden="1"/>
    <cellStyle name="Followed Hyperlink" xfId="24069" builtinId="9" hidden="1"/>
    <cellStyle name="Followed Hyperlink" xfId="24143" builtinId="9" hidden="1"/>
    <cellStyle name="Followed Hyperlink" xfId="24145" builtinId="9" hidden="1"/>
    <cellStyle name="Followed Hyperlink" xfId="24147" builtinId="9" hidden="1"/>
    <cellStyle name="Followed Hyperlink" xfId="24149" builtinId="9" hidden="1"/>
    <cellStyle name="Followed Hyperlink" xfId="24151" builtinId="9" hidden="1"/>
    <cellStyle name="Followed Hyperlink" xfId="24153" builtinId="9" hidden="1"/>
    <cellStyle name="Followed Hyperlink" xfId="24203" builtinId="9" hidden="1"/>
    <cellStyle name="Followed Hyperlink" xfId="24205" builtinId="9" hidden="1"/>
    <cellStyle name="Followed Hyperlink" xfId="24207" builtinId="9" hidden="1"/>
    <cellStyle name="Followed Hyperlink" xfId="24209" builtinId="9" hidden="1"/>
    <cellStyle name="Followed Hyperlink" xfId="24178" builtinId="9" hidden="1"/>
    <cellStyle name="Followed Hyperlink" xfId="24167" builtinId="9" hidden="1"/>
    <cellStyle name="Followed Hyperlink" xfId="24211" builtinId="9" hidden="1"/>
    <cellStyle name="Followed Hyperlink" xfId="24213" builtinId="9" hidden="1"/>
    <cellStyle name="Followed Hyperlink" xfId="24215" builtinId="9" hidden="1"/>
    <cellStyle name="Followed Hyperlink" xfId="24217" builtinId="9" hidden="1"/>
    <cellStyle name="Followed Hyperlink" xfId="24161" builtinId="9" hidden="1"/>
    <cellStyle name="Followed Hyperlink" xfId="24164" builtinId="9" hidden="1"/>
    <cellStyle name="Followed Hyperlink" xfId="24219" builtinId="9" hidden="1"/>
    <cellStyle name="Followed Hyperlink" xfId="24221" builtinId="9" hidden="1"/>
    <cellStyle name="Followed Hyperlink" xfId="24223" builtinId="9" hidden="1"/>
    <cellStyle name="Followed Hyperlink" xfId="24225" builtinId="9" hidden="1"/>
    <cellStyle name="Followed Hyperlink" xfId="24179" builtinId="9" hidden="1"/>
    <cellStyle name="Followed Hyperlink" xfId="24192" builtinId="9" hidden="1"/>
    <cellStyle name="Followed Hyperlink" xfId="24227" builtinId="9" hidden="1"/>
    <cellStyle name="Followed Hyperlink" xfId="24229" builtinId="9" hidden="1"/>
    <cellStyle name="Followed Hyperlink" xfId="24231" builtinId="9" hidden="1"/>
    <cellStyle name="Followed Hyperlink" xfId="24233" builtinId="9" hidden="1"/>
    <cellStyle name="Followed Hyperlink" xfId="24191" builtinId="9" hidden="1"/>
    <cellStyle name="Followed Hyperlink" xfId="24158" builtinId="9" hidden="1"/>
    <cellStyle name="Followed Hyperlink" xfId="24235" builtinId="9" hidden="1"/>
    <cellStyle name="Followed Hyperlink" xfId="24237" builtinId="9" hidden="1"/>
    <cellStyle name="Followed Hyperlink" xfId="24239" builtinId="9" hidden="1"/>
    <cellStyle name="Followed Hyperlink" xfId="24241" builtinId="9" hidden="1"/>
    <cellStyle name="Followed Hyperlink" xfId="24163" builtinId="9" hidden="1"/>
    <cellStyle name="Followed Hyperlink" xfId="24194" builtinId="9" hidden="1"/>
    <cellStyle name="Followed Hyperlink" xfId="24243" builtinId="9" hidden="1"/>
    <cellStyle name="Followed Hyperlink" xfId="24245" builtinId="9" hidden="1"/>
    <cellStyle name="Followed Hyperlink" xfId="24247" builtinId="9" hidden="1"/>
    <cellStyle name="Followed Hyperlink" xfId="24249" builtinId="9" hidden="1"/>
    <cellStyle name="Followed Hyperlink" xfId="24197" builtinId="9" hidden="1"/>
    <cellStyle name="Followed Hyperlink" xfId="24162" builtinId="9" hidden="1"/>
    <cellStyle name="Followed Hyperlink" xfId="24251" builtinId="9" hidden="1"/>
    <cellStyle name="Followed Hyperlink" xfId="24253" builtinId="9" hidden="1"/>
    <cellStyle name="Followed Hyperlink" xfId="24255" builtinId="9" hidden="1"/>
    <cellStyle name="Followed Hyperlink" xfId="24257" builtinId="9" hidden="1"/>
    <cellStyle name="Followed Hyperlink" xfId="24189" builtinId="9" hidden="1"/>
    <cellStyle name="Followed Hyperlink" xfId="24169" builtinId="9" hidden="1"/>
    <cellStyle name="Followed Hyperlink" xfId="24259" builtinId="9" hidden="1"/>
    <cellStyle name="Followed Hyperlink" xfId="24261" builtinId="9" hidden="1"/>
    <cellStyle name="Followed Hyperlink" xfId="24263" builtinId="9" hidden="1"/>
    <cellStyle name="Followed Hyperlink" xfId="24265" builtinId="9" hidden="1"/>
    <cellStyle name="Followed Hyperlink" xfId="24171" builtinId="9" hidden="1"/>
    <cellStyle name="Followed Hyperlink" xfId="24193" builtinId="9" hidden="1"/>
    <cellStyle name="Followed Hyperlink" xfId="24267" builtinId="9" hidden="1"/>
    <cellStyle name="Followed Hyperlink" xfId="24269" builtinId="9" hidden="1"/>
    <cellStyle name="Followed Hyperlink" xfId="24271" builtinId="9" hidden="1"/>
    <cellStyle name="Followed Hyperlink" xfId="24273" builtinId="9" hidden="1"/>
    <cellStyle name="Followed Hyperlink" xfId="24186" builtinId="9" hidden="1"/>
    <cellStyle name="Followed Hyperlink" xfId="24166" builtinId="9" hidden="1"/>
    <cellStyle name="Followed Hyperlink" xfId="24275" builtinId="9" hidden="1"/>
    <cellStyle name="Followed Hyperlink" xfId="24277" builtinId="9" hidden="1"/>
    <cellStyle name="Followed Hyperlink" xfId="24279" builtinId="9" hidden="1"/>
    <cellStyle name="Followed Hyperlink" xfId="24281" builtinId="9" hidden="1"/>
    <cellStyle name="Followed Hyperlink" xfId="24177" builtinId="9" hidden="1"/>
    <cellStyle name="Followed Hyperlink" xfId="24201" builtinId="9" hidden="1"/>
    <cellStyle name="Followed Hyperlink" xfId="24283" builtinId="9" hidden="1"/>
    <cellStyle name="Followed Hyperlink" xfId="24285" builtinId="9" hidden="1"/>
    <cellStyle name="Followed Hyperlink" xfId="24287" builtinId="9" hidden="1"/>
    <cellStyle name="Followed Hyperlink" xfId="24289" builtinId="9" hidden="1"/>
    <cellStyle name="Followed Hyperlink" xfId="24175" builtinId="9" hidden="1"/>
    <cellStyle name="Followed Hyperlink" xfId="24174" builtinId="9" hidden="1"/>
    <cellStyle name="Followed Hyperlink" xfId="24291" builtinId="9" hidden="1"/>
    <cellStyle name="Followed Hyperlink" xfId="24293" builtinId="9" hidden="1"/>
    <cellStyle name="Followed Hyperlink" xfId="24295" builtinId="9" hidden="1"/>
    <cellStyle name="Followed Hyperlink" xfId="24297" builtinId="9" hidden="1"/>
    <cellStyle name="Followed Hyperlink" xfId="24173" builtinId="9" hidden="1"/>
    <cellStyle name="Followed Hyperlink" xfId="24195" builtinId="9" hidden="1"/>
    <cellStyle name="Followed Hyperlink" xfId="24299" builtinId="9" hidden="1"/>
    <cellStyle name="Followed Hyperlink" xfId="24301" builtinId="9" hidden="1"/>
    <cellStyle name="Followed Hyperlink" xfId="24303" builtinId="9" hidden="1"/>
    <cellStyle name="Followed Hyperlink" xfId="24305" builtinId="9" hidden="1"/>
    <cellStyle name="Followed Hyperlink" xfId="24082" builtinId="9" hidden="1"/>
    <cellStyle name="Followed Hyperlink" xfId="24029" builtinId="9" hidden="1"/>
    <cellStyle name="Followed Hyperlink" xfId="24084" builtinId="9" hidden="1"/>
    <cellStyle name="Followed Hyperlink" xfId="24035" builtinId="9" hidden="1"/>
    <cellStyle name="Followed Hyperlink" xfId="24140" builtinId="9" hidden="1"/>
    <cellStyle name="Followed Hyperlink" xfId="24020" builtinId="9" hidden="1"/>
    <cellStyle name="Followed Hyperlink" xfId="24073" builtinId="9" hidden="1"/>
    <cellStyle name="Followed Hyperlink" xfId="24023" builtinId="9" hidden="1"/>
    <cellStyle name="Followed Hyperlink" xfId="24310" builtinId="9" hidden="1"/>
    <cellStyle name="Followed Hyperlink" xfId="24312" builtinId="9" hidden="1"/>
    <cellStyle name="Followed Hyperlink" xfId="24314" builtinId="9" hidden="1"/>
    <cellStyle name="Followed Hyperlink" xfId="24316" builtinId="9" hidden="1"/>
    <cellStyle name="Followed Hyperlink" xfId="24319" builtinId="9" hidden="1"/>
    <cellStyle name="Followed Hyperlink" xfId="24321" builtinId="9" hidden="1"/>
    <cellStyle name="Followed Hyperlink" xfId="24371" builtinId="9" hidden="1"/>
    <cellStyle name="Followed Hyperlink" xfId="24373" builtinId="9" hidden="1"/>
    <cellStyle name="Followed Hyperlink" xfId="24375" builtinId="9" hidden="1"/>
    <cellStyle name="Followed Hyperlink" xfId="24377" builtinId="9" hidden="1"/>
    <cellStyle name="Followed Hyperlink" xfId="24346" builtinId="9" hidden="1"/>
    <cellStyle name="Followed Hyperlink" xfId="24335" builtinId="9" hidden="1"/>
    <cellStyle name="Followed Hyperlink" xfId="24379" builtinId="9" hidden="1"/>
    <cellStyle name="Followed Hyperlink" xfId="24381" builtinId="9" hidden="1"/>
    <cellStyle name="Followed Hyperlink" xfId="24383" builtinId="9" hidden="1"/>
    <cellStyle name="Followed Hyperlink" xfId="24385" builtinId="9" hidden="1"/>
    <cellStyle name="Followed Hyperlink" xfId="24329" builtinId="9" hidden="1"/>
    <cellStyle name="Followed Hyperlink" xfId="24332" builtinId="9" hidden="1"/>
    <cellStyle name="Followed Hyperlink" xfId="24387" builtinId="9" hidden="1"/>
    <cellStyle name="Followed Hyperlink" xfId="24389" builtinId="9" hidden="1"/>
    <cellStyle name="Followed Hyperlink" xfId="24391" builtinId="9" hidden="1"/>
    <cellStyle name="Followed Hyperlink" xfId="24393" builtinId="9" hidden="1"/>
    <cellStyle name="Followed Hyperlink" xfId="24347" builtinId="9" hidden="1"/>
    <cellStyle name="Followed Hyperlink" xfId="24360" builtinId="9" hidden="1"/>
    <cellStyle name="Followed Hyperlink" xfId="24395" builtinId="9" hidden="1"/>
    <cellStyle name="Followed Hyperlink" xfId="24397" builtinId="9" hidden="1"/>
    <cellStyle name="Followed Hyperlink" xfId="24399" builtinId="9" hidden="1"/>
    <cellStyle name="Followed Hyperlink" xfId="24401" builtinId="9" hidden="1"/>
    <cellStyle name="Followed Hyperlink" xfId="24359" builtinId="9" hidden="1"/>
    <cellStyle name="Followed Hyperlink" xfId="24326" builtinId="9" hidden="1"/>
    <cellStyle name="Followed Hyperlink" xfId="24403" builtinId="9" hidden="1"/>
    <cellStyle name="Followed Hyperlink" xfId="24405" builtinId="9" hidden="1"/>
    <cellStyle name="Followed Hyperlink" xfId="24407" builtinId="9" hidden="1"/>
    <cellStyle name="Followed Hyperlink" xfId="24409" builtinId="9" hidden="1"/>
    <cellStyle name="Followed Hyperlink" xfId="24331" builtinId="9" hidden="1"/>
    <cellStyle name="Followed Hyperlink" xfId="24362" builtinId="9" hidden="1"/>
    <cellStyle name="Followed Hyperlink" xfId="24411" builtinId="9" hidden="1"/>
    <cellStyle name="Followed Hyperlink" xfId="24413" builtinId="9" hidden="1"/>
    <cellStyle name="Followed Hyperlink" xfId="24415" builtinId="9" hidden="1"/>
    <cellStyle name="Followed Hyperlink" xfId="24417" builtinId="9" hidden="1"/>
    <cellStyle name="Followed Hyperlink" xfId="24365" builtinId="9" hidden="1"/>
    <cellStyle name="Followed Hyperlink" xfId="24330" builtinId="9" hidden="1"/>
    <cellStyle name="Followed Hyperlink" xfId="24419" builtinId="9" hidden="1"/>
    <cellStyle name="Followed Hyperlink" xfId="24421" builtinId="9" hidden="1"/>
    <cellStyle name="Followed Hyperlink" xfId="24423" builtinId="9" hidden="1"/>
    <cellStyle name="Followed Hyperlink" xfId="24425" builtinId="9" hidden="1"/>
    <cellStyle name="Followed Hyperlink" xfId="24357" builtinId="9" hidden="1"/>
    <cellStyle name="Followed Hyperlink" xfId="24337" builtinId="9" hidden="1"/>
    <cellStyle name="Followed Hyperlink" xfId="24427" builtinId="9" hidden="1"/>
    <cellStyle name="Followed Hyperlink" xfId="24429" builtinId="9" hidden="1"/>
    <cellStyle name="Followed Hyperlink" xfId="24431" builtinId="9" hidden="1"/>
    <cellStyle name="Followed Hyperlink" xfId="24433" builtinId="9" hidden="1"/>
    <cellStyle name="Followed Hyperlink" xfId="24339" builtinId="9" hidden="1"/>
    <cellStyle name="Followed Hyperlink" xfId="24361" builtinId="9" hidden="1"/>
    <cellStyle name="Followed Hyperlink" xfId="24435" builtinId="9" hidden="1"/>
    <cellStyle name="Followed Hyperlink" xfId="24437" builtinId="9" hidden="1"/>
    <cellStyle name="Followed Hyperlink" xfId="24439" builtinId="9" hidden="1"/>
    <cellStyle name="Followed Hyperlink" xfId="24441" builtinId="9" hidden="1"/>
    <cellStyle name="Followed Hyperlink" xfId="24354" builtinId="9" hidden="1"/>
    <cellStyle name="Followed Hyperlink" xfId="24334" builtinId="9" hidden="1"/>
    <cellStyle name="Followed Hyperlink" xfId="24443" builtinId="9" hidden="1"/>
    <cellStyle name="Followed Hyperlink" xfId="24445" builtinId="9" hidden="1"/>
    <cellStyle name="Followed Hyperlink" xfId="24447" builtinId="9" hidden="1"/>
    <cellStyle name="Followed Hyperlink" xfId="24449" builtinId="9" hidden="1"/>
    <cellStyle name="Followed Hyperlink" xfId="24345" builtinId="9" hidden="1"/>
    <cellStyle name="Followed Hyperlink" xfId="24369" builtinId="9" hidden="1"/>
    <cellStyle name="Followed Hyperlink" xfId="24451" builtinId="9" hidden="1"/>
    <cellStyle name="Followed Hyperlink" xfId="24453" builtinId="9" hidden="1"/>
    <cellStyle name="Followed Hyperlink" xfId="24455" builtinId="9" hidden="1"/>
    <cellStyle name="Followed Hyperlink" xfId="24457" builtinId="9" hidden="1"/>
    <cellStyle name="Followed Hyperlink" xfId="24343" builtinId="9" hidden="1"/>
    <cellStyle name="Followed Hyperlink" xfId="24342" builtinId="9" hidden="1"/>
    <cellStyle name="Followed Hyperlink" xfId="24459" builtinId="9" hidden="1"/>
    <cellStyle name="Followed Hyperlink" xfId="24461" builtinId="9" hidden="1"/>
    <cellStyle name="Followed Hyperlink" xfId="24463" builtinId="9" hidden="1"/>
    <cellStyle name="Followed Hyperlink" xfId="24465" builtinId="9" hidden="1"/>
    <cellStyle name="Followed Hyperlink" xfId="24341" builtinId="9" hidden="1"/>
    <cellStyle name="Followed Hyperlink" xfId="24363" builtinId="9" hidden="1"/>
    <cellStyle name="Followed Hyperlink" xfId="24467" builtinId="9" hidden="1"/>
    <cellStyle name="Followed Hyperlink" xfId="24469" builtinId="9" hidden="1"/>
    <cellStyle name="Followed Hyperlink" xfId="24471" builtinId="9" hidden="1"/>
    <cellStyle name="Followed Hyperlink" xfId="24473" builtinId="9" hidden="1"/>
    <cellStyle name="Followed Hyperlink" xfId="19078" builtinId="9" hidden="1"/>
    <cellStyle name="Followed Hyperlink" xfId="24123" builtinId="9" hidden="1"/>
    <cellStyle name="Followed Hyperlink" xfId="24308" builtinId="9" hidden="1"/>
    <cellStyle name="Followed Hyperlink" xfId="24021" builtinId="9" hidden="1"/>
    <cellStyle name="Followed Hyperlink" xfId="24078" builtinId="9" hidden="1"/>
    <cellStyle name="Followed Hyperlink" xfId="24034" builtinId="9" hidden="1"/>
    <cellStyle name="Followed Hyperlink" xfId="24070" builtinId="9" hidden="1"/>
    <cellStyle name="Followed Hyperlink" xfId="24051" builtinId="9" hidden="1"/>
    <cellStyle name="Followed Hyperlink" xfId="24484" builtinId="9" hidden="1"/>
    <cellStyle name="Followed Hyperlink" xfId="24486" builtinId="9" hidden="1"/>
    <cellStyle name="Followed Hyperlink" xfId="24488" builtinId="9" hidden="1"/>
    <cellStyle name="Followed Hyperlink" xfId="24490" builtinId="9" hidden="1"/>
    <cellStyle name="Followed Hyperlink" xfId="24492" builtinId="9" hidden="1"/>
    <cellStyle name="Followed Hyperlink" xfId="24494" builtinId="9" hidden="1"/>
    <cellStyle name="Followed Hyperlink" xfId="24544" builtinId="9" hidden="1"/>
    <cellStyle name="Followed Hyperlink" xfId="24546" builtinId="9" hidden="1"/>
    <cellStyle name="Followed Hyperlink" xfId="24548" builtinId="9" hidden="1"/>
    <cellStyle name="Followed Hyperlink" xfId="24550" builtinId="9" hidden="1"/>
    <cellStyle name="Followed Hyperlink" xfId="24519" builtinId="9" hidden="1"/>
    <cellStyle name="Followed Hyperlink" xfId="24508" builtinId="9" hidden="1"/>
    <cellStyle name="Followed Hyperlink" xfId="24552" builtinId="9" hidden="1"/>
    <cellStyle name="Followed Hyperlink" xfId="24554" builtinId="9" hidden="1"/>
    <cellStyle name="Followed Hyperlink" xfId="24556" builtinId="9" hidden="1"/>
    <cellStyle name="Followed Hyperlink" xfId="24558" builtinId="9" hidden="1"/>
    <cellStyle name="Followed Hyperlink" xfId="24502" builtinId="9" hidden="1"/>
    <cellStyle name="Followed Hyperlink" xfId="24505" builtinId="9" hidden="1"/>
    <cellStyle name="Followed Hyperlink" xfId="24560" builtinId="9" hidden="1"/>
    <cellStyle name="Followed Hyperlink" xfId="24562" builtinId="9" hidden="1"/>
    <cellStyle name="Followed Hyperlink" xfId="24564" builtinId="9" hidden="1"/>
    <cellStyle name="Followed Hyperlink" xfId="24566" builtinId="9" hidden="1"/>
    <cellStyle name="Followed Hyperlink" xfId="24520" builtinId="9" hidden="1"/>
    <cellStyle name="Followed Hyperlink" xfId="24533" builtinId="9" hidden="1"/>
    <cellStyle name="Followed Hyperlink" xfId="24568" builtinId="9" hidden="1"/>
    <cellStyle name="Followed Hyperlink" xfId="24570" builtinId="9" hidden="1"/>
    <cellStyle name="Followed Hyperlink" xfId="24572" builtinId="9" hidden="1"/>
    <cellStyle name="Followed Hyperlink" xfId="24574" builtinId="9" hidden="1"/>
    <cellStyle name="Followed Hyperlink" xfId="24532" builtinId="9" hidden="1"/>
    <cellStyle name="Followed Hyperlink" xfId="24499" builtinId="9" hidden="1"/>
    <cellStyle name="Followed Hyperlink" xfId="24576" builtinId="9" hidden="1"/>
    <cellStyle name="Followed Hyperlink" xfId="24578" builtinId="9" hidden="1"/>
    <cellStyle name="Followed Hyperlink" xfId="24580" builtinId="9" hidden="1"/>
    <cellStyle name="Followed Hyperlink" xfId="24582" builtinId="9" hidden="1"/>
    <cellStyle name="Followed Hyperlink" xfId="24504" builtinId="9" hidden="1"/>
    <cellStyle name="Followed Hyperlink" xfId="24535" builtinId="9" hidden="1"/>
    <cellStyle name="Followed Hyperlink" xfId="24584" builtinId="9" hidden="1"/>
    <cellStyle name="Followed Hyperlink" xfId="24586" builtinId="9" hidden="1"/>
    <cellStyle name="Followed Hyperlink" xfId="24588" builtinId="9" hidden="1"/>
    <cellStyle name="Followed Hyperlink" xfId="24590" builtinId="9" hidden="1"/>
    <cellStyle name="Followed Hyperlink" xfId="24538" builtinId="9" hidden="1"/>
    <cellStyle name="Followed Hyperlink" xfId="24503" builtinId="9" hidden="1"/>
    <cellStyle name="Followed Hyperlink" xfId="24592" builtinId="9" hidden="1"/>
    <cellStyle name="Followed Hyperlink" xfId="24594" builtinId="9" hidden="1"/>
    <cellStyle name="Followed Hyperlink" xfId="24596" builtinId="9" hidden="1"/>
    <cellStyle name="Followed Hyperlink" xfId="24598" builtinId="9" hidden="1"/>
    <cellStyle name="Followed Hyperlink" xfId="24530" builtinId="9" hidden="1"/>
    <cellStyle name="Followed Hyperlink" xfId="24510" builtinId="9" hidden="1"/>
    <cellStyle name="Followed Hyperlink" xfId="24600" builtinId="9" hidden="1"/>
    <cellStyle name="Followed Hyperlink" xfId="24602" builtinId="9" hidden="1"/>
    <cellStyle name="Followed Hyperlink" xfId="24604" builtinId="9" hidden="1"/>
    <cellStyle name="Followed Hyperlink" xfId="24606" builtinId="9" hidden="1"/>
    <cellStyle name="Followed Hyperlink" xfId="24512" builtinId="9" hidden="1"/>
    <cellStyle name="Followed Hyperlink" xfId="24534" builtinId="9" hidden="1"/>
    <cellStyle name="Followed Hyperlink" xfId="24608" builtinId="9" hidden="1"/>
    <cellStyle name="Followed Hyperlink" xfId="24610" builtinId="9" hidden="1"/>
    <cellStyle name="Followed Hyperlink" xfId="24612" builtinId="9" hidden="1"/>
    <cellStyle name="Followed Hyperlink" xfId="24614" builtinId="9" hidden="1"/>
    <cellStyle name="Followed Hyperlink" xfId="24527" builtinId="9" hidden="1"/>
    <cellStyle name="Followed Hyperlink" xfId="24507" builtinId="9" hidden="1"/>
    <cellStyle name="Followed Hyperlink" xfId="24616" builtinId="9" hidden="1"/>
    <cellStyle name="Followed Hyperlink" xfId="24618" builtinId="9" hidden="1"/>
    <cellStyle name="Followed Hyperlink" xfId="24620" builtinId="9" hidden="1"/>
    <cellStyle name="Followed Hyperlink" xfId="24622" builtinId="9" hidden="1"/>
    <cellStyle name="Followed Hyperlink" xfId="24518" builtinId="9" hidden="1"/>
    <cellStyle name="Followed Hyperlink" xfId="24542" builtinId="9" hidden="1"/>
    <cellStyle name="Followed Hyperlink" xfId="24624" builtinId="9" hidden="1"/>
    <cellStyle name="Followed Hyperlink" xfId="24626" builtinId="9" hidden="1"/>
    <cellStyle name="Followed Hyperlink" xfId="24628" builtinId="9" hidden="1"/>
    <cellStyle name="Followed Hyperlink" xfId="24630" builtinId="9" hidden="1"/>
    <cellStyle name="Followed Hyperlink" xfId="24516" builtinId="9" hidden="1"/>
    <cellStyle name="Followed Hyperlink" xfId="24515" builtinId="9" hidden="1"/>
    <cellStyle name="Followed Hyperlink" xfId="24632" builtinId="9" hidden="1"/>
    <cellStyle name="Followed Hyperlink" xfId="24634" builtinId="9" hidden="1"/>
    <cellStyle name="Followed Hyperlink" xfId="24636" builtinId="9" hidden="1"/>
    <cellStyle name="Followed Hyperlink" xfId="24638" builtinId="9" hidden="1"/>
    <cellStyle name="Followed Hyperlink" xfId="24514" builtinId="9" hidden="1"/>
    <cellStyle name="Followed Hyperlink" xfId="24536" builtinId="9" hidden="1"/>
    <cellStyle name="Followed Hyperlink" xfId="24640" builtinId="9" hidden="1"/>
    <cellStyle name="Followed Hyperlink" xfId="24642" builtinId="9" hidden="1"/>
    <cellStyle name="Followed Hyperlink" xfId="24644" builtinId="9" hidden="1"/>
    <cellStyle name="Followed Hyperlink" xfId="24646" builtinId="9" hidden="1"/>
    <cellStyle name="Followed Hyperlink" xfId="24132" builtinId="9" hidden="1"/>
    <cellStyle name="Followed Hyperlink" xfId="24027" builtinId="9" hidden="1"/>
    <cellStyle name="Followed Hyperlink" xfId="24098" builtinId="9" hidden="1"/>
    <cellStyle name="Followed Hyperlink" xfId="24100" builtinId="9" hidden="1"/>
    <cellStyle name="Followed Hyperlink" xfId="24480" builtinId="9" hidden="1"/>
    <cellStyle name="Followed Hyperlink" xfId="24046" builtinId="9" hidden="1"/>
    <cellStyle name="Followed Hyperlink" xfId="24052" builtinId="9" hidden="1"/>
    <cellStyle name="Followed Hyperlink" xfId="24028" builtinId="9" hidden="1"/>
    <cellStyle name="Followed Hyperlink" xfId="24654" builtinId="9" hidden="1"/>
    <cellStyle name="Followed Hyperlink" xfId="24656" builtinId="9" hidden="1"/>
    <cellStyle name="Followed Hyperlink" xfId="24658" builtinId="9" hidden="1"/>
    <cellStyle name="Followed Hyperlink" xfId="24660" builtinId="9" hidden="1"/>
    <cellStyle name="Followed Hyperlink" xfId="24662" builtinId="9" hidden="1"/>
    <cellStyle name="Followed Hyperlink" xfId="24664" builtinId="9" hidden="1"/>
    <cellStyle name="Followed Hyperlink" xfId="24714" builtinId="9" hidden="1"/>
    <cellStyle name="Followed Hyperlink" xfId="24716" builtinId="9" hidden="1"/>
    <cellStyle name="Followed Hyperlink" xfId="24718" builtinId="9" hidden="1"/>
    <cellStyle name="Followed Hyperlink" xfId="24720" builtinId="9" hidden="1"/>
    <cellStyle name="Followed Hyperlink" xfId="24689" builtinId="9" hidden="1"/>
    <cellStyle name="Followed Hyperlink" xfId="24678" builtinId="9" hidden="1"/>
    <cellStyle name="Followed Hyperlink" xfId="24722" builtinId="9" hidden="1"/>
    <cellStyle name="Followed Hyperlink" xfId="24724" builtinId="9" hidden="1"/>
    <cellStyle name="Followed Hyperlink" xfId="24726" builtinId="9" hidden="1"/>
    <cellStyle name="Followed Hyperlink" xfId="24728" builtinId="9" hidden="1"/>
    <cellStyle name="Followed Hyperlink" xfId="24672" builtinId="9" hidden="1"/>
    <cellStyle name="Followed Hyperlink" xfId="24675" builtinId="9" hidden="1"/>
    <cellStyle name="Followed Hyperlink" xfId="24730" builtinId="9" hidden="1"/>
    <cellStyle name="Followed Hyperlink" xfId="24732" builtinId="9" hidden="1"/>
    <cellStyle name="Followed Hyperlink" xfId="24734" builtinId="9" hidden="1"/>
    <cellStyle name="Followed Hyperlink" xfId="24736" builtinId="9" hidden="1"/>
    <cellStyle name="Followed Hyperlink" xfId="24690" builtinId="9" hidden="1"/>
    <cellStyle name="Followed Hyperlink" xfId="24703" builtinId="9" hidden="1"/>
    <cellStyle name="Followed Hyperlink" xfId="24738" builtinId="9" hidden="1"/>
    <cellStyle name="Followed Hyperlink" xfId="24740" builtinId="9" hidden="1"/>
    <cellStyle name="Followed Hyperlink" xfId="24742" builtinId="9" hidden="1"/>
    <cellStyle name="Followed Hyperlink" xfId="24744" builtinId="9" hidden="1"/>
    <cellStyle name="Followed Hyperlink" xfId="24702" builtinId="9" hidden="1"/>
    <cellStyle name="Followed Hyperlink" xfId="24669" builtinId="9" hidden="1"/>
    <cellStyle name="Followed Hyperlink" xfId="24746" builtinId="9" hidden="1"/>
    <cellStyle name="Followed Hyperlink" xfId="24748" builtinId="9" hidden="1"/>
    <cellStyle name="Followed Hyperlink" xfId="24750" builtinId="9" hidden="1"/>
    <cellStyle name="Followed Hyperlink" xfId="24752" builtinId="9" hidden="1"/>
    <cellStyle name="Followed Hyperlink" xfId="24674" builtinId="9" hidden="1"/>
    <cellStyle name="Followed Hyperlink" xfId="24705" builtinId="9" hidden="1"/>
    <cellStyle name="Followed Hyperlink" xfId="24754" builtinId="9" hidden="1"/>
    <cellStyle name="Followed Hyperlink" xfId="24756" builtinId="9" hidden="1"/>
    <cellStyle name="Followed Hyperlink" xfId="24758" builtinId="9" hidden="1"/>
    <cellStyle name="Followed Hyperlink" xfId="24760" builtinId="9" hidden="1"/>
    <cellStyle name="Followed Hyperlink" xfId="24708" builtinId="9" hidden="1"/>
    <cellStyle name="Followed Hyperlink" xfId="24673" builtinId="9" hidden="1"/>
    <cellStyle name="Followed Hyperlink" xfId="24762" builtinId="9" hidden="1"/>
    <cellStyle name="Followed Hyperlink" xfId="24764" builtinId="9" hidden="1"/>
    <cellStyle name="Followed Hyperlink" xfId="24766" builtinId="9" hidden="1"/>
    <cellStyle name="Followed Hyperlink" xfId="24768" builtinId="9" hidden="1"/>
    <cellStyle name="Followed Hyperlink" xfId="24700" builtinId="9" hidden="1"/>
    <cellStyle name="Followed Hyperlink" xfId="24680" builtinId="9" hidden="1"/>
    <cellStyle name="Followed Hyperlink" xfId="24770" builtinId="9" hidden="1"/>
    <cellStyle name="Followed Hyperlink" xfId="24772" builtinId="9" hidden="1"/>
    <cellStyle name="Followed Hyperlink" xfId="24774" builtinId="9" hidden="1"/>
    <cellStyle name="Followed Hyperlink" xfId="24776" builtinId="9" hidden="1"/>
    <cellStyle name="Followed Hyperlink" xfId="24682" builtinId="9" hidden="1"/>
    <cellStyle name="Followed Hyperlink" xfId="24704" builtinId="9" hidden="1"/>
    <cellStyle name="Followed Hyperlink" xfId="24778" builtinId="9" hidden="1"/>
    <cellStyle name="Followed Hyperlink" xfId="24780" builtinId="9" hidden="1"/>
    <cellStyle name="Followed Hyperlink" xfId="24782" builtinId="9" hidden="1"/>
    <cellStyle name="Followed Hyperlink" xfId="24784" builtinId="9" hidden="1"/>
    <cellStyle name="Followed Hyperlink" xfId="24697" builtinId="9" hidden="1"/>
    <cellStyle name="Followed Hyperlink" xfId="24677" builtinId="9" hidden="1"/>
    <cellStyle name="Followed Hyperlink" xfId="24786" builtinId="9" hidden="1"/>
    <cellStyle name="Followed Hyperlink" xfId="24788" builtinId="9" hidden="1"/>
    <cellStyle name="Followed Hyperlink" xfId="24790" builtinId="9" hidden="1"/>
    <cellStyle name="Followed Hyperlink" xfId="24792" builtinId="9" hidden="1"/>
    <cellStyle name="Followed Hyperlink" xfId="24688" builtinId="9" hidden="1"/>
    <cellStyle name="Followed Hyperlink" xfId="24712" builtinId="9" hidden="1"/>
    <cellStyle name="Followed Hyperlink" xfId="24794" builtinId="9" hidden="1"/>
    <cellStyle name="Followed Hyperlink" xfId="24796" builtinId="9" hidden="1"/>
    <cellStyle name="Followed Hyperlink" xfId="24798" builtinId="9" hidden="1"/>
    <cellStyle name="Followed Hyperlink" xfId="24800" builtinId="9" hidden="1"/>
    <cellStyle name="Followed Hyperlink" xfId="24686" builtinId="9" hidden="1"/>
    <cellStyle name="Followed Hyperlink" xfId="24685" builtinId="9" hidden="1"/>
    <cellStyle name="Followed Hyperlink" xfId="24802" builtinId="9" hidden="1"/>
    <cellStyle name="Followed Hyperlink" xfId="24804" builtinId="9" hidden="1"/>
    <cellStyle name="Followed Hyperlink" xfId="24806" builtinId="9" hidden="1"/>
    <cellStyle name="Followed Hyperlink" xfId="24808" builtinId="9" hidden="1"/>
    <cellStyle name="Followed Hyperlink" xfId="24684" builtinId="9" hidden="1"/>
    <cellStyle name="Followed Hyperlink" xfId="24706" builtinId="9" hidden="1"/>
    <cellStyle name="Followed Hyperlink" xfId="24810" builtinId="9" hidden="1"/>
    <cellStyle name="Followed Hyperlink" xfId="24812" builtinId="9" hidden="1"/>
    <cellStyle name="Followed Hyperlink" xfId="24814" builtinId="9" hidden="1"/>
    <cellStyle name="Followed Hyperlink" xfId="24816" builtinId="9" hidden="1"/>
    <cellStyle name="Followed Hyperlink" xfId="24018" builtinId="9" hidden="1"/>
    <cellStyle name="Followed Hyperlink" xfId="24099" builtinId="9" hidden="1"/>
    <cellStyle name="Followed Hyperlink" xfId="24088" builtinId="9" hidden="1"/>
    <cellStyle name="Followed Hyperlink" xfId="24047" builtinId="9" hidden="1"/>
    <cellStyle name="Followed Hyperlink" xfId="24650" builtinId="9" hidden="1"/>
    <cellStyle name="Followed Hyperlink" xfId="24041" builtinId="9" hidden="1"/>
    <cellStyle name="Followed Hyperlink" xfId="24077" builtinId="9" hidden="1"/>
    <cellStyle name="Followed Hyperlink" xfId="24026" builtinId="9" hidden="1"/>
    <cellStyle name="Followed Hyperlink" xfId="24823" builtinId="9" hidden="1"/>
    <cellStyle name="Followed Hyperlink" xfId="24825" builtinId="9" hidden="1"/>
    <cellStyle name="Followed Hyperlink" xfId="24827" builtinId="9" hidden="1"/>
    <cellStyle name="Followed Hyperlink" xfId="24829" builtinId="9" hidden="1"/>
    <cellStyle name="Followed Hyperlink" xfId="24831" builtinId="9" hidden="1"/>
    <cellStyle name="Followed Hyperlink" xfId="24833" builtinId="9" hidden="1"/>
    <cellStyle name="Followed Hyperlink" xfId="24883" builtinId="9" hidden="1"/>
    <cellStyle name="Followed Hyperlink" xfId="24885" builtinId="9" hidden="1"/>
    <cellStyle name="Followed Hyperlink" xfId="24887" builtinId="9" hidden="1"/>
    <cellStyle name="Followed Hyperlink" xfId="24889" builtinId="9" hidden="1"/>
    <cellStyle name="Followed Hyperlink" xfId="24858" builtinId="9" hidden="1"/>
    <cellStyle name="Followed Hyperlink" xfId="24847" builtinId="9" hidden="1"/>
    <cellStyle name="Followed Hyperlink" xfId="24891" builtinId="9" hidden="1"/>
    <cellStyle name="Followed Hyperlink" xfId="24893" builtinId="9" hidden="1"/>
    <cellStyle name="Followed Hyperlink" xfId="24895" builtinId="9" hidden="1"/>
    <cellStyle name="Followed Hyperlink" xfId="24897" builtinId="9" hidden="1"/>
    <cellStyle name="Followed Hyperlink" xfId="24841" builtinId="9" hidden="1"/>
    <cellStyle name="Followed Hyperlink" xfId="24844" builtinId="9" hidden="1"/>
    <cellStyle name="Followed Hyperlink" xfId="24899" builtinId="9" hidden="1"/>
    <cellStyle name="Followed Hyperlink" xfId="24901" builtinId="9" hidden="1"/>
    <cellStyle name="Followed Hyperlink" xfId="24903" builtinId="9" hidden="1"/>
    <cellStyle name="Followed Hyperlink" xfId="24905" builtinId="9" hidden="1"/>
    <cellStyle name="Followed Hyperlink" xfId="24859" builtinId="9" hidden="1"/>
    <cellStyle name="Followed Hyperlink" xfId="24872" builtinId="9" hidden="1"/>
    <cellStyle name="Followed Hyperlink" xfId="24907" builtinId="9" hidden="1"/>
    <cellStyle name="Followed Hyperlink" xfId="24909" builtinId="9" hidden="1"/>
    <cellStyle name="Followed Hyperlink" xfId="24911" builtinId="9" hidden="1"/>
    <cellStyle name="Followed Hyperlink" xfId="24913" builtinId="9" hidden="1"/>
    <cellStyle name="Followed Hyperlink" xfId="24871" builtinId="9" hidden="1"/>
    <cellStyle name="Followed Hyperlink" xfId="24838" builtinId="9" hidden="1"/>
    <cellStyle name="Followed Hyperlink" xfId="24915" builtinId="9" hidden="1"/>
    <cellStyle name="Followed Hyperlink" xfId="24917" builtinId="9" hidden="1"/>
    <cellStyle name="Followed Hyperlink" xfId="24919" builtinId="9" hidden="1"/>
    <cellStyle name="Followed Hyperlink" xfId="24921" builtinId="9" hidden="1"/>
    <cellStyle name="Followed Hyperlink" xfId="24843" builtinId="9" hidden="1"/>
    <cellStyle name="Followed Hyperlink" xfId="24874" builtinId="9" hidden="1"/>
    <cellStyle name="Followed Hyperlink" xfId="24923" builtinId="9" hidden="1"/>
    <cellStyle name="Followed Hyperlink" xfId="24925" builtinId="9" hidden="1"/>
    <cellStyle name="Followed Hyperlink" xfId="24927" builtinId="9" hidden="1"/>
    <cellStyle name="Followed Hyperlink" xfId="24929" builtinId="9" hidden="1"/>
    <cellStyle name="Followed Hyperlink" xfId="24877" builtinId="9" hidden="1"/>
    <cellStyle name="Followed Hyperlink" xfId="24842" builtinId="9" hidden="1"/>
    <cellStyle name="Followed Hyperlink" xfId="24931" builtinId="9" hidden="1"/>
    <cellStyle name="Followed Hyperlink" xfId="24933" builtinId="9" hidden="1"/>
    <cellStyle name="Followed Hyperlink" xfId="24935" builtinId="9" hidden="1"/>
    <cellStyle name="Followed Hyperlink" xfId="24937" builtinId="9" hidden="1"/>
    <cellStyle name="Followed Hyperlink" xfId="24869" builtinId="9" hidden="1"/>
    <cellStyle name="Followed Hyperlink" xfId="24849" builtinId="9" hidden="1"/>
    <cellStyle name="Followed Hyperlink" xfId="24939" builtinId="9" hidden="1"/>
    <cellStyle name="Followed Hyperlink" xfId="24941" builtinId="9" hidden="1"/>
    <cellStyle name="Followed Hyperlink" xfId="24943" builtinId="9" hidden="1"/>
    <cellStyle name="Followed Hyperlink" xfId="24945" builtinId="9" hidden="1"/>
    <cellStyle name="Followed Hyperlink" xfId="24851" builtinId="9" hidden="1"/>
    <cellStyle name="Followed Hyperlink" xfId="24873" builtinId="9" hidden="1"/>
    <cellStyle name="Followed Hyperlink" xfId="24947" builtinId="9" hidden="1"/>
    <cellStyle name="Followed Hyperlink" xfId="24949" builtinId="9" hidden="1"/>
    <cellStyle name="Followed Hyperlink" xfId="24951" builtinId="9" hidden="1"/>
    <cellStyle name="Followed Hyperlink" xfId="24953" builtinId="9" hidden="1"/>
    <cellStyle name="Followed Hyperlink" xfId="24866" builtinId="9" hidden="1"/>
    <cellStyle name="Followed Hyperlink" xfId="24846" builtinId="9" hidden="1"/>
    <cellStyle name="Followed Hyperlink" xfId="24955" builtinId="9" hidden="1"/>
    <cellStyle name="Followed Hyperlink" xfId="24957" builtinId="9" hidden="1"/>
    <cellStyle name="Followed Hyperlink" xfId="24959" builtinId="9" hidden="1"/>
    <cellStyle name="Followed Hyperlink" xfId="24961" builtinId="9" hidden="1"/>
    <cellStyle name="Followed Hyperlink" xfId="24857" builtinId="9" hidden="1"/>
    <cellStyle name="Followed Hyperlink" xfId="24881" builtinId="9" hidden="1"/>
    <cellStyle name="Followed Hyperlink" xfId="24963" builtinId="9" hidden="1"/>
    <cellStyle name="Followed Hyperlink" xfId="24965" builtinId="9" hidden="1"/>
    <cellStyle name="Followed Hyperlink" xfId="24967" builtinId="9" hidden="1"/>
    <cellStyle name="Followed Hyperlink" xfId="24969" builtinId="9" hidden="1"/>
    <cellStyle name="Followed Hyperlink" xfId="24855" builtinId="9" hidden="1"/>
    <cellStyle name="Followed Hyperlink" xfId="24854" builtinId="9" hidden="1"/>
    <cellStyle name="Followed Hyperlink" xfId="24971" builtinId="9" hidden="1"/>
    <cellStyle name="Followed Hyperlink" xfId="24973" builtinId="9" hidden="1"/>
    <cellStyle name="Followed Hyperlink" xfId="24975" builtinId="9" hidden="1"/>
    <cellStyle name="Followed Hyperlink" xfId="24977" builtinId="9" hidden="1"/>
    <cellStyle name="Followed Hyperlink" xfId="24853" builtinId="9" hidden="1"/>
    <cellStyle name="Followed Hyperlink" xfId="24875" builtinId="9" hidden="1"/>
    <cellStyle name="Followed Hyperlink" xfId="24979" builtinId="9" hidden="1"/>
    <cellStyle name="Followed Hyperlink" xfId="24981" builtinId="9" hidden="1"/>
    <cellStyle name="Followed Hyperlink" xfId="24983" builtinId="9" hidden="1"/>
    <cellStyle name="Followed Hyperlink" xfId="24985" builtinId="9" hidden="1"/>
    <cellStyle name="Followed Hyperlink" xfId="24004" builtinId="9" hidden="1"/>
    <cellStyle name="Followed Hyperlink" xfId="24121" builtinId="9" hidden="1"/>
    <cellStyle name="Followed Hyperlink" xfId="24131" builtinId="9" hidden="1"/>
    <cellStyle name="Followed Hyperlink" xfId="24011" builtinId="9" hidden="1"/>
    <cellStyle name="Followed Hyperlink" xfId="24819" builtinId="9" hidden="1"/>
    <cellStyle name="Followed Hyperlink" xfId="24075" builtinId="9" hidden="1"/>
    <cellStyle name="Followed Hyperlink" xfId="24122" builtinId="9" hidden="1"/>
    <cellStyle name="Followed Hyperlink" xfId="24037" builtinId="9" hidden="1"/>
    <cellStyle name="Followed Hyperlink" xfId="24992" builtinId="9" hidden="1"/>
    <cellStyle name="Followed Hyperlink" xfId="24994" builtinId="9" hidden="1"/>
    <cellStyle name="Followed Hyperlink" xfId="24996" builtinId="9" hidden="1"/>
    <cellStyle name="Followed Hyperlink" xfId="24998" builtinId="9" hidden="1"/>
    <cellStyle name="Followed Hyperlink" xfId="25000" builtinId="9" hidden="1"/>
    <cellStyle name="Followed Hyperlink" xfId="25002" builtinId="9" hidden="1"/>
    <cellStyle name="Followed Hyperlink" xfId="25052" builtinId="9" hidden="1"/>
    <cellStyle name="Followed Hyperlink" xfId="25054" builtinId="9" hidden="1"/>
    <cellStyle name="Followed Hyperlink" xfId="25056" builtinId="9" hidden="1"/>
    <cellStyle name="Followed Hyperlink" xfId="25058" builtinId="9" hidden="1"/>
    <cellStyle name="Followed Hyperlink" xfId="25027" builtinId="9" hidden="1"/>
    <cellStyle name="Followed Hyperlink" xfId="25016" builtinId="9" hidden="1"/>
    <cellStyle name="Followed Hyperlink" xfId="25060" builtinId="9" hidden="1"/>
    <cellStyle name="Followed Hyperlink" xfId="25062" builtinId="9" hidden="1"/>
    <cellStyle name="Followed Hyperlink" xfId="25064" builtinId="9" hidden="1"/>
    <cellStyle name="Followed Hyperlink" xfId="25066" builtinId="9" hidden="1"/>
    <cellStyle name="Followed Hyperlink" xfId="25010" builtinId="9" hidden="1"/>
    <cellStyle name="Followed Hyperlink" xfId="25013" builtinId="9" hidden="1"/>
    <cellStyle name="Followed Hyperlink" xfId="25068" builtinId="9" hidden="1"/>
    <cellStyle name="Followed Hyperlink" xfId="25070" builtinId="9" hidden="1"/>
    <cellStyle name="Followed Hyperlink" xfId="25072" builtinId="9" hidden="1"/>
    <cellStyle name="Followed Hyperlink" xfId="25074" builtinId="9" hidden="1"/>
    <cellStyle name="Followed Hyperlink" xfId="25028" builtinId="9" hidden="1"/>
    <cellStyle name="Followed Hyperlink" xfId="25041" builtinId="9" hidden="1"/>
    <cellStyle name="Followed Hyperlink" xfId="25076" builtinId="9" hidden="1"/>
    <cellStyle name="Followed Hyperlink" xfId="25078" builtinId="9" hidden="1"/>
    <cellStyle name="Followed Hyperlink" xfId="25080" builtinId="9" hidden="1"/>
    <cellStyle name="Followed Hyperlink" xfId="25082" builtinId="9" hidden="1"/>
    <cellStyle name="Followed Hyperlink" xfId="25040" builtinId="9" hidden="1"/>
    <cellStyle name="Followed Hyperlink" xfId="25007" builtinId="9" hidden="1"/>
    <cellStyle name="Followed Hyperlink" xfId="25084" builtinId="9" hidden="1"/>
    <cellStyle name="Followed Hyperlink" xfId="25086" builtinId="9" hidden="1"/>
    <cellStyle name="Followed Hyperlink" xfId="25088" builtinId="9" hidden="1"/>
    <cellStyle name="Followed Hyperlink" xfId="25090" builtinId="9" hidden="1"/>
    <cellStyle name="Followed Hyperlink" xfId="25012" builtinId="9" hidden="1"/>
    <cellStyle name="Followed Hyperlink" xfId="25043" builtinId="9" hidden="1"/>
    <cellStyle name="Followed Hyperlink" xfId="25092" builtinId="9" hidden="1"/>
    <cellStyle name="Followed Hyperlink" xfId="25094" builtinId="9" hidden="1"/>
    <cellStyle name="Followed Hyperlink" xfId="25096" builtinId="9" hidden="1"/>
    <cellStyle name="Followed Hyperlink" xfId="25098" builtinId="9" hidden="1"/>
    <cellStyle name="Followed Hyperlink" xfId="25046" builtinId="9" hidden="1"/>
    <cellStyle name="Followed Hyperlink" xfId="25011" builtinId="9" hidden="1"/>
    <cellStyle name="Followed Hyperlink" xfId="25100" builtinId="9" hidden="1"/>
    <cellStyle name="Followed Hyperlink" xfId="25102" builtinId="9" hidden="1"/>
    <cellStyle name="Followed Hyperlink" xfId="25104" builtinId="9" hidden="1"/>
    <cellStyle name="Followed Hyperlink" xfId="25106" builtinId="9" hidden="1"/>
    <cellStyle name="Followed Hyperlink" xfId="25038" builtinId="9" hidden="1"/>
    <cellStyle name="Followed Hyperlink" xfId="25018" builtinId="9" hidden="1"/>
    <cellStyle name="Followed Hyperlink" xfId="25108" builtinId="9" hidden="1"/>
    <cellStyle name="Followed Hyperlink" xfId="25110" builtinId="9" hidden="1"/>
    <cellStyle name="Followed Hyperlink" xfId="25112" builtinId="9" hidden="1"/>
    <cellStyle name="Followed Hyperlink" xfId="25114" builtinId="9" hidden="1"/>
    <cellStyle name="Followed Hyperlink" xfId="25020" builtinId="9" hidden="1"/>
    <cellStyle name="Followed Hyperlink" xfId="25042" builtinId="9" hidden="1"/>
    <cellStyle name="Followed Hyperlink" xfId="25116" builtinId="9" hidden="1"/>
    <cellStyle name="Followed Hyperlink" xfId="25118" builtinId="9" hidden="1"/>
    <cellStyle name="Followed Hyperlink" xfId="25120" builtinId="9" hidden="1"/>
    <cellStyle name="Followed Hyperlink" xfId="25122" builtinId="9" hidden="1"/>
    <cellStyle name="Followed Hyperlink" xfId="25035" builtinId="9" hidden="1"/>
    <cellStyle name="Followed Hyperlink" xfId="25015" builtinId="9" hidden="1"/>
    <cellStyle name="Followed Hyperlink" xfId="25124" builtinId="9" hidden="1"/>
    <cellStyle name="Followed Hyperlink" xfId="25126" builtinId="9" hidden="1"/>
    <cellStyle name="Followed Hyperlink" xfId="25128" builtinId="9" hidden="1"/>
    <cellStyle name="Followed Hyperlink" xfId="25130" builtinId="9" hidden="1"/>
    <cellStyle name="Followed Hyperlink" xfId="25026" builtinId="9" hidden="1"/>
    <cellStyle name="Followed Hyperlink" xfId="25050" builtinId="9" hidden="1"/>
    <cellStyle name="Followed Hyperlink" xfId="25132" builtinId="9" hidden="1"/>
    <cellStyle name="Followed Hyperlink" xfId="25134" builtinId="9" hidden="1"/>
    <cellStyle name="Followed Hyperlink" xfId="25136" builtinId="9" hidden="1"/>
    <cellStyle name="Followed Hyperlink" xfId="25138" builtinId="9" hidden="1"/>
    <cellStyle name="Followed Hyperlink" xfId="25024" builtinId="9" hidden="1"/>
    <cellStyle name="Followed Hyperlink" xfId="25023" builtinId="9" hidden="1"/>
    <cellStyle name="Followed Hyperlink" xfId="25140" builtinId="9" hidden="1"/>
    <cellStyle name="Followed Hyperlink" xfId="25142" builtinId="9" hidden="1"/>
    <cellStyle name="Followed Hyperlink" xfId="25144" builtinId="9" hidden="1"/>
    <cellStyle name="Followed Hyperlink" xfId="25146" builtinId="9" hidden="1"/>
    <cellStyle name="Followed Hyperlink" xfId="25022" builtinId="9" hidden="1"/>
    <cellStyle name="Followed Hyperlink" xfId="25044" builtinId="9" hidden="1"/>
    <cellStyle name="Followed Hyperlink" xfId="25148" builtinId="9" hidden="1"/>
    <cellStyle name="Followed Hyperlink" xfId="25150" builtinId="9" hidden="1"/>
    <cellStyle name="Followed Hyperlink" xfId="25152" builtinId="9" hidden="1"/>
    <cellStyle name="Followed Hyperlink" xfId="25154" builtinId="9" hidden="1"/>
    <cellStyle name="Followed Hyperlink" xfId="24110" builtinId="9" hidden="1"/>
    <cellStyle name="Followed Hyperlink" xfId="24136" builtinId="9" hidden="1"/>
    <cellStyle name="Followed Hyperlink" xfId="24306" builtinId="9" hidden="1"/>
    <cellStyle name="Followed Hyperlink" xfId="23995" builtinId="9" hidden="1"/>
    <cellStyle name="Followed Hyperlink" xfId="24988" builtinId="9" hidden="1"/>
    <cellStyle name="Followed Hyperlink" xfId="24117" builtinId="9" hidden="1"/>
    <cellStyle name="Followed Hyperlink" xfId="24072" builtinId="9" hidden="1"/>
    <cellStyle name="Followed Hyperlink" xfId="24482" builtinId="9" hidden="1"/>
    <cellStyle name="Followed Hyperlink" xfId="25159" builtinId="9" hidden="1"/>
    <cellStyle name="Followed Hyperlink" xfId="25161" builtinId="9" hidden="1"/>
    <cellStyle name="Followed Hyperlink" xfId="25163" builtinId="9" hidden="1"/>
    <cellStyle name="Followed Hyperlink" xfId="25165" builtinId="9" hidden="1"/>
    <cellStyle name="Followed Hyperlink" xfId="25167" builtinId="9" hidden="1"/>
    <cellStyle name="Followed Hyperlink" xfId="25169" builtinId="9" hidden="1"/>
    <cellStyle name="Followed Hyperlink" xfId="25219" builtinId="9" hidden="1"/>
    <cellStyle name="Followed Hyperlink" xfId="25221" builtinId="9" hidden="1"/>
    <cellStyle name="Followed Hyperlink" xfId="25223" builtinId="9" hidden="1"/>
    <cellStyle name="Followed Hyperlink" xfId="25225" builtinId="9" hidden="1"/>
    <cellStyle name="Followed Hyperlink" xfId="25194" builtinId="9" hidden="1"/>
    <cellStyle name="Followed Hyperlink" xfId="25183" builtinId="9" hidden="1"/>
    <cellStyle name="Followed Hyperlink" xfId="25227" builtinId="9" hidden="1"/>
    <cellStyle name="Followed Hyperlink" xfId="25229" builtinId="9" hidden="1"/>
    <cellStyle name="Followed Hyperlink" xfId="25231" builtinId="9" hidden="1"/>
    <cellStyle name="Followed Hyperlink" xfId="25233" builtinId="9" hidden="1"/>
    <cellStyle name="Followed Hyperlink" xfId="25177" builtinId="9" hidden="1"/>
    <cellStyle name="Followed Hyperlink" xfId="25180" builtinId="9" hidden="1"/>
    <cellStyle name="Followed Hyperlink" xfId="25235" builtinId="9" hidden="1"/>
    <cellStyle name="Followed Hyperlink" xfId="25237" builtinId="9" hidden="1"/>
    <cellStyle name="Followed Hyperlink" xfId="25239" builtinId="9" hidden="1"/>
    <cellStyle name="Followed Hyperlink" xfId="25241" builtinId="9" hidden="1"/>
    <cellStyle name="Followed Hyperlink" xfId="25195" builtinId="9" hidden="1"/>
    <cellStyle name="Followed Hyperlink" xfId="25208" builtinId="9" hidden="1"/>
    <cellStyle name="Followed Hyperlink" xfId="25243" builtinId="9" hidden="1"/>
    <cellStyle name="Followed Hyperlink" xfId="25245" builtinId="9" hidden="1"/>
    <cellStyle name="Followed Hyperlink" xfId="25247" builtinId="9" hidden="1"/>
    <cellStyle name="Followed Hyperlink" xfId="25249" builtinId="9" hidden="1"/>
    <cellStyle name="Followed Hyperlink" xfId="25207" builtinId="9" hidden="1"/>
    <cellStyle name="Followed Hyperlink" xfId="25174" builtinId="9" hidden="1"/>
    <cellStyle name="Followed Hyperlink" xfId="25251" builtinId="9" hidden="1"/>
    <cellStyle name="Followed Hyperlink" xfId="25253" builtinId="9" hidden="1"/>
    <cellStyle name="Followed Hyperlink" xfId="25255" builtinId="9" hidden="1"/>
    <cellStyle name="Followed Hyperlink" xfId="25257" builtinId="9" hidden="1"/>
    <cellStyle name="Followed Hyperlink" xfId="25179" builtinId="9" hidden="1"/>
    <cellStyle name="Followed Hyperlink" xfId="25210" builtinId="9" hidden="1"/>
    <cellStyle name="Followed Hyperlink" xfId="25259" builtinId="9" hidden="1"/>
    <cellStyle name="Followed Hyperlink" xfId="25261" builtinId="9" hidden="1"/>
    <cellStyle name="Followed Hyperlink" xfId="25263" builtinId="9" hidden="1"/>
    <cellStyle name="Followed Hyperlink" xfId="25265" builtinId="9" hidden="1"/>
    <cellStyle name="Followed Hyperlink" xfId="25213" builtinId="9" hidden="1"/>
    <cellStyle name="Followed Hyperlink" xfId="25178" builtinId="9" hidden="1"/>
    <cellStyle name="Followed Hyperlink" xfId="25267" builtinId="9" hidden="1"/>
    <cellStyle name="Followed Hyperlink" xfId="25269" builtinId="9" hidden="1"/>
    <cellStyle name="Followed Hyperlink" xfId="25271" builtinId="9" hidden="1"/>
    <cellStyle name="Followed Hyperlink" xfId="25273" builtinId="9" hidden="1"/>
    <cellStyle name="Followed Hyperlink" xfId="25205" builtinId="9" hidden="1"/>
    <cellStyle name="Followed Hyperlink" xfId="25185" builtinId="9" hidden="1"/>
    <cellStyle name="Followed Hyperlink" xfId="25275" builtinId="9" hidden="1"/>
    <cellStyle name="Followed Hyperlink" xfId="25277" builtinId="9" hidden="1"/>
    <cellStyle name="Followed Hyperlink" xfId="25279" builtinId="9" hidden="1"/>
    <cellStyle name="Followed Hyperlink" xfId="25281" builtinId="9" hidden="1"/>
    <cellStyle name="Followed Hyperlink" xfId="25187" builtinId="9" hidden="1"/>
    <cellStyle name="Followed Hyperlink" xfId="25209" builtinId="9" hidden="1"/>
    <cellStyle name="Followed Hyperlink" xfId="25283" builtinId="9" hidden="1"/>
    <cellStyle name="Followed Hyperlink" xfId="25285" builtinId="9" hidden="1"/>
    <cellStyle name="Followed Hyperlink" xfId="25287" builtinId="9" hidden="1"/>
    <cellStyle name="Followed Hyperlink" xfId="25289" builtinId="9" hidden="1"/>
    <cellStyle name="Followed Hyperlink" xfId="25202" builtinId="9" hidden="1"/>
    <cellStyle name="Followed Hyperlink" xfId="25182" builtinId="9" hidden="1"/>
    <cellStyle name="Followed Hyperlink" xfId="25291" builtinId="9" hidden="1"/>
    <cellStyle name="Followed Hyperlink" xfId="25293" builtinId="9" hidden="1"/>
    <cellStyle name="Followed Hyperlink" xfId="25295" builtinId="9" hidden="1"/>
    <cellStyle name="Followed Hyperlink" xfId="25297" builtinId="9" hidden="1"/>
    <cellStyle name="Followed Hyperlink" xfId="25193" builtinId="9" hidden="1"/>
    <cellStyle name="Followed Hyperlink" xfId="25217" builtinId="9" hidden="1"/>
    <cellStyle name="Followed Hyperlink" xfId="25299" builtinId="9" hidden="1"/>
    <cellStyle name="Followed Hyperlink" xfId="25301" builtinId="9" hidden="1"/>
    <cellStyle name="Followed Hyperlink" xfId="25303" builtinId="9" hidden="1"/>
    <cellStyle name="Followed Hyperlink" xfId="25305" builtinId="9" hidden="1"/>
    <cellStyle name="Followed Hyperlink" xfId="25191" builtinId="9" hidden="1"/>
    <cellStyle name="Followed Hyperlink" xfId="25190" builtinId="9" hidden="1"/>
    <cellStyle name="Followed Hyperlink" xfId="25307" builtinId="9" hidden="1"/>
    <cellStyle name="Followed Hyperlink" xfId="25309" builtinId="9" hidden="1"/>
    <cellStyle name="Followed Hyperlink" xfId="25311" builtinId="9" hidden="1"/>
    <cellStyle name="Followed Hyperlink" xfId="25313" builtinId="9" hidden="1"/>
    <cellStyle name="Followed Hyperlink" xfId="25189" builtinId="9" hidden="1"/>
    <cellStyle name="Followed Hyperlink" xfId="25211" builtinId="9" hidden="1"/>
    <cellStyle name="Followed Hyperlink" xfId="25315" builtinId="9" hidden="1"/>
    <cellStyle name="Followed Hyperlink" xfId="25317" builtinId="9" hidden="1"/>
    <cellStyle name="Followed Hyperlink" xfId="25319" builtinId="9" hidden="1"/>
    <cellStyle name="Followed Hyperlink" xfId="25321" builtinId="9" hidden="1"/>
    <cellStyle name="Followed Hyperlink" xfId="24022" builtinId="9" hidden="1"/>
    <cellStyle name="Followed Hyperlink" xfId="23999" builtinId="9" hidden="1"/>
    <cellStyle name="Followed Hyperlink" xfId="24102" builtinId="9" hidden="1"/>
    <cellStyle name="Followed Hyperlink" xfId="24116" builtinId="9" hidden="1"/>
    <cellStyle name="Followed Hyperlink" xfId="25155" builtinId="9" hidden="1"/>
    <cellStyle name="Followed Hyperlink" xfId="24014" builtinId="9" hidden="1"/>
    <cellStyle name="Followed Hyperlink" xfId="24094" builtinId="9" hidden="1"/>
    <cellStyle name="Followed Hyperlink" xfId="24652" builtinId="9" hidden="1"/>
    <cellStyle name="Followed Hyperlink" xfId="25326" builtinId="9" hidden="1"/>
    <cellStyle name="Followed Hyperlink" xfId="25328" builtinId="9" hidden="1"/>
    <cellStyle name="Followed Hyperlink" xfId="25330" builtinId="9" hidden="1"/>
    <cellStyle name="Followed Hyperlink" xfId="25332" builtinId="9" hidden="1"/>
    <cellStyle name="Followed Hyperlink" xfId="25334" builtinId="9" hidden="1"/>
    <cellStyle name="Followed Hyperlink" xfId="25336" builtinId="9" hidden="1"/>
    <cellStyle name="Followed Hyperlink" xfId="25386" builtinId="9" hidden="1"/>
    <cellStyle name="Followed Hyperlink" xfId="25388" builtinId="9" hidden="1"/>
    <cellStyle name="Followed Hyperlink" xfId="25390" builtinId="9" hidden="1"/>
    <cellStyle name="Followed Hyperlink" xfId="25392" builtinId="9" hidden="1"/>
    <cellStyle name="Followed Hyperlink" xfId="25361" builtinId="9" hidden="1"/>
    <cellStyle name="Followed Hyperlink" xfId="25350" builtinId="9" hidden="1"/>
    <cellStyle name="Followed Hyperlink" xfId="25394" builtinId="9" hidden="1"/>
    <cellStyle name="Followed Hyperlink" xfId="25396" builtinId="9" hidden="1"/>
    <cellStyle name="Followed Hyperlink" xfId="25398" builtinId="9" hidden="1"/>
    <cellStyle name="Followed Hyperlink" xfId="25400" builtinId="9" hidden="1"/>
    <cellStyle name="Followed Hyperlink" xfId="25344" builtinId="9" hidden="1"/>
    <cellStyle name="Followed Hyperlink" xfId="25347" builtinId="9" hidden="1"/>
    <cellStyle name="Followed Hyperlink" xfId="25402" builtinId="9" hidden="1"/>
    <cellStyle name="Followed Hyperlink" xfId="25404" builtinId="9" hidden="1"/>
    <cellStyle name="Followed Hyperlink" xfId="25406" builtinId="9" hidden="1"/>
    <cellStyle name="Followed Hyperlink" xfId="25408" builtinId="9" hidden="1"/>
    <cellStyle name="Followed Hyperlink" xfId="25362" builtinId="9" hidden="1"/>
    <cellStyle name="Followed Hyperlink" xfId="25375" builtinId="9" hidden="1"/>
    <cellStyle name="Followed Hyperlink" xfId="25410" builtinId="9" hidden="1"/>
    <cellStyle name="Followed Hyperlink" xfId="25412" builtinId="9" hidden="1"/>
    <cellStyle name="Followed Hyperlink" xfId="25414" builtinId="9" hidden="1"/>
    <cellStyle name="Followed Hyperlink" xfId="25416" builtinId="9" hidden="1"/>
    <cellStyle name="Followed Hyperlink" xfId="25374" builtinId="9" hidden="1"/>
    <cellStyle name="Followed Hyperlink" xfId="25341" builtinId="9" hidden="1"/>
    <cellStyle name="Followed Hyperlink" xfId="25418" builtinId="9" hidden="1"/>
    <cellStyle name="Followed Hyperlink" xfId="25420" builtinId="9" hidden="1"/>
    <cellStyle name="Followed Hyperlink" xfId="25422" builtinId="9" hidden="1"/>
    <cellStyle name="Followed Hyperlink" xfId="25424" builtinId="9" hidden="1"/>
    <cellStyle name="Followed Hyperlink" xfId="25346" builtinId="9" hidden="1"/>
    <cellStyle name="Followed Hyperlink" xfId="25377" builtinId="9" hidden="1"/>
    <cellStyle name="Followed Hyperlink" xfId="25426" builtinId="9" hidden="1"/>
    <cellStyle name="Followed Hyperlink" xfId="25428" builtinId="9" hidden="1"/>
    <cellStyle name="Followed Hyperlink" xfId="25430" builtinId="9" hidden="1"/>
    <cellStyle name="Followed Hyperlink" xfId="25432" builtinId="9" hidden="1"/>
    <cellStyle name="Followed Hyperlink" xfId="25380" builtinId="9" hidden="1"/>
    <cellStyle name="Followed Hyperlink" xfId="25345" builtinId="9" hidden="1"/>
    <cellStyle name="Followed Hyperlink" xfId="25434" builtinId="9" hidden="1"/>
    <cellStyle name="Followed Hyperlink" xfId="25436" builtinId="9" hidden="1"/>
    <cellStyle name="Followed Hyperlink" xfId="25438" builtinId="9" hidden="1"/>
    <cellStyle name="Followed Hyperlink" xfId="25440" builtinId="9" hidden="1"/>
    <cellStyle name="Followed Hyperlink" xfId="25372" builtinId="9" hidden="1"/>
    <cellStyle name="Followed Hyperlink" xfId="25352" builtinId="9" hidden="1"/>
    <cellStyle name="Followed Hyperlink" xfId="25442" builtinId="9" hidden="1"/>
    <cellStyle name="Followed Hyperlink" xfId="25444" builtinId="9" hidden="1"/>
    <cellStyle name="Followed Hyperlink" xfId="25446" builtinId="9" hidden="1"/>
    <cellStyle name="Followed Hyperlink" xfId="25448" builtinId="9" hidden="1"/>
    <cellStyle name="Followed Hyperlink" xfId="25354" builtinId="9" hidden="1"/>
    <cellStyle name="Followed Hyperlink" xfId="25376" builtinId="9" hidden="1"/>
    <cellStyle name="Followed Hyperlink" xfId="25450" builtinId="9" hidden="1"/>
    <cellStyle name="Followed Hyperlink" xfId="25452" builtinId="9" hidden="1"/>
    <cellStyle name="Followed Hyperlink" xfId="25454" builtinId="9" hidden="1"/>
    <cellStyle name="Followed Hyperlink" xfId="25456" builtinId="9" hidden="1"/>
    <cellStyle name="Followed Hyperlink" xfId="25369" builtinId="9" hidden="1"/>
    <cellStyle name="Followed Hyperlink" xfId="25349" builtinId="9" hidden="1"/>
    <cellStyle name="Followed Hyperlink" xfId="25458" builtinId="9" hidden="1"/>
    <cellStyle name="Followed Hyperlink" xfId="25460" builtinId="9" hidden="1"/>
    <cellStyle name="Followed Hyperlink" xfId="25462" builtinId="9" hidden="1"/>
    <cellStyle name="Followed Hyperlink" xfId="25464" builtinId="9" hidden="1"/>
    <cellStyle name="Followed Hyperlink" xfId="25360" builtinId="9" hidden="1"/>
    <cellStyle name="Followed Hyperlink" xfId="25384" builtinId="9" hidden="1"/>
    <cellStyle name="Followed Hyperlink" xfId="25466" builtinId="9" hidden="1"/>
    <cellStyle name="Followed Hyperlink" xfId="25468" builtinId="9" hidden="1"/>
    <cellStyle name="Followed Hyperlink" xfId="25470" builtinId="9" hidden="1"/>
    <cellStyle name="Followed Hyperlink" xfId="25472" builtinId="9" hidden="1"/>
    <cellStyle name="Followed Hyperlink" xfId="25358" builtinId="9" hidden="1"/>
    <cellStyle name="Followed Hyperlink" xfId="25357" builtinId="9" hidden="1"/>
    <cellStyle name="Followed Hyperlink" xfId="25474" builtinId="9" hidden="1"/>
    <cellStyle name="Followed Hyperlink" xfId="25476" builtinId="9" hidden="1"/>
    <cellStyle name="Followed Hyperlink" xfId="25478" builtinId="9" hidden="1"/>
    <cellStyle name="Followed Hyperlink" xfId="25480" builtinId="9" hidden="1"/>
    <cellStyle name="Followed Hyperlink" xfId="25356" builtinId="9" hidden="1"/>
    <cellStyle name="Followed Hyperlink" xfId="25378" builtinId="9" hidden="1"/>
    <cellStyle name="Followed Hyperlink" xfId="25482" builtinId="9" hidden="1"/>
    <cellStyle name="Followed Hyperlink" xfId="25484" builtinId="9" hidden="1"/>
    <cellStyle name="Followed Hyperlink" xfId="25486" builtinId="9" hidden="1"/>
    <cellStyle name="Followed Hyperlink" xfId="25488" builtinId="9" hidden="1"/>
    <cellStyle name="Followed Hyperlink" xfId="24105" builtinId="9" hidden="1"/>
    <cellStyle name="Followed Hyperlink" xfId="24479" builtinId="9" hidden="1"/>
    <cellStyle name="Followed Hyperlink" xfId="24475" builtinId="9" hidden="1"/>
    <cellStyle name="Followed Hyperlink" xfId="24039" builtinId="9" hidden="1"/>
    <cellStyle name="Followed Hyperlink" xfId="25322" builtinId="9" hidden="1"/>
    <cellStyle name="Followed Hyperlink" xfId="24045" builtinId="9" hidden="1"/>
    <cellStyle name="Followed Hyperlink" xfId="24079" builtinId="9" hidden="1"/>
    <cellStyle name="Followed Hyperlink" xfId="24821" builtinId="9" hidden="1"/>
    <cellStyle name="Followed Hyperlink" xfId="25491" builtinId="9" hidden="1"/>
    <cellStyle name="Followed Hyperlink" xfId="25493" builtinId="9" hidden="1"/>
    <cellStyle name="Followed Hyperlink" xfId="25495" builtinId="9" hidden="1"/>
    <cellStyle name="Followed Hyperlink" xfId="25497" builtinId="9" hidden="1"/>
    <cellStyle name="Followed Hyperlink" xfId="25499" builtinId="9" hidden="1"/>
    <cellStyle name="Followed Hyperlink" xfId="25501" builtinId="9" hidden="1"/>
    <cellStyle name="Followed Hyperlink" xfId="25551" builtinId="9" hidden="1"/>
    <cellStyle name="Followed Hyperlink" xfId="25553" builtinId="9" hidden="1"/>
    <cellStyle name="Followed Hyperlink" xfId="25555" builtinId="9" hidden="1"/>
    <cellStyle name="Followed Hyperlink" xfId="25557" builtinId="9" hidden="1"/>
    <cellStyle name="Followed Hyperlink" xfId="25526" builtinId="9" hidden="1"/>
    <cellStyle name="Followed Hyperlink" xfId="25515" builtinId="9" hidden="1"/>
    <cellStyle name="Followed Hyperlink" xfId="25559" builtinId="9" hidden="1"/>
    <cellStyle name="Followed Hyperlink" xfId="25561" builtinId="9" hidden="1"/>
    <cellStyle name="Followed Hyperlink" xfId="25563" builtinId="9" hidden="1"/>
    <cellStyle name="Followed Hyperlink" xfId="25565" builtinId="9" hidden="1"/>
    <cellStyle name="Followed Hyperlink" xfId="25509" builtinId="9" hidden="1"/>
    <cellStyle name="Followed Hyperlink" xfId="25512" builtinId="9" hidden="1"/>
    <cellStyle name="Followed Hyperlink" xfId="25567" builtinId="9" hidden="1"/>
    <cellStyle name="Followed Hyperlink" xfId="25569" builtinId="9" hidden="1"/>
    <cellStyle name="Followed Hyperlink" xfId="25571" builtinId="9" hidden="1"/>
    <cellStyle name="Followed Hyperlink" xfId="25573" builtinId="9" hidden="1"/>
    <cellStyle name="Followed Hyperlink" xfId="25527" builtinId="9" hidden="1"/>
    <cellStyle name="Followed Hyperlink" xfId="25540" builtinId="9" hidden="1"/>
    <cellStyle name="Followed Hyperlink" xfId="25575" builtinId="9" hidden="1"/>
    <cellStyle name="Followed Hyperlink" xfId="25577" builtinId="9" hidden="1"/>
    <cellStyle name="Followed Hyperlink" xfId="25579" builtinId="9" hidden="1"/>
    <cellStyle name="Followed Hyperlink" xfId="25581" builtinId="9" hidden="1"/>
    <cellStyle name="Followed Hyperlink" xfId="25539" builtinId="9" hidden="1"/>
    <cellStyle name="Followed Hyperlink" xfId="25506" builtinId="9" hidden="1"/>
    <cellStyle name="Followed Hyperlink" xfId="25583" builtinId="9" hidden="1"/>
    <cellStyle name="Followed Hyperlink" xfId="25585" builtinId="9" hidden="1"/>
    <cellStyle name="Followed Hyperlink" xfId="25587" builtinId="9" hidden="1"/>
    <cellStyle name="Followed Hyperlink" xfId="25589" builtinId="9" hidden="1"/>
    <cellStyle name="Followed Hyperlink" xfId="25511" builtinId="9" hidden="1"/>
    <cellStyle name="Followed Hyperlink" xfId="25542" builtinId="9" hidden="1"/>
    <cellStyle name="Followed Hyperlink" xfId="25591" builtinId="9" hidden="1"/>
    <cellStyle name="Followed Hyperlink" xfId="25593" builtinId="9" hidden="1"/>
    <cellStyle name="Followed Hyperlink" xfId="25595" builtinId="9" hidden="1"/>
    <cellStyle name="Followed Hyperlink" xfId="25597" builtinId="9" hidden="1"/>
    <cellStyle name="Followed Hyperlink" xfId="25545" builtinId="9" hidden="1"/>
    <cellStyle name="Followed Hyperlink" xfId="25510" builtinId="9" hidden="1"/>
    <cellStyle name="Followed Hyperlink" xfId="25599" builtinId="9" hidden="1"/>
    <cellStyle name="Followed Hyperlink" xfId="25601" builtinId="9" hidden="1"/>
    <cellStyle name="Followed Hyperlink" xfId="25603" builtinId="9" hidden="1"/>
    <cellStyle name="Followed Hyperlink" xfId="25605" builtinId="9" hidden="1"/>
    <cellStyle name="Followed Hyperlink" xfId="25537" builtinId="9" hidden="1"/>
    <cellStyle name="Followed Hyperlink" xfId="25517" builtinId="9" hidden="1"/>
    <cellStyle name="Followed Hyperlink" xfId="25607" builtinId="9" hidden="1"/>
    <cellStyle name="Followed Hyperlink" xfId="25609" builtinId="9" hidden="1"/>
    <cellStyle name="Followed Hyperlink" xfId="25611" builtinId="9" hidden="1"/>
    <cellStyle name="Followed Hyperlink" xfId="25613" builtinId="9" hidden="1"/>
    <cellStyle name="Followed Hyperlink" xfId="25519" builtinId="9" hidden="1"/>
    <cellStyle name="Followed Hyperlink" xfId="25541" builtinId="9" hidden="1"/>
    <cellStyle name="Followed Hyperlink" xfId="25615" builtinId="9" hidden="1"/>
    <cellStyle name="Followed Hyperlink" xfId="25617" builtinId="9" hidden="1"/>
    <cellStyle name="Followed Hyperlink" xfId="25619" builtinId="9" hidden="1"/>
    <cellStyle name="Followed Hyperlink" xfId="25621" builtinId="9" hidden="1"/>
    <cellStyle name="Followed Hyperlink" xfId="25534" builtinId="9" hidden="1"/>
    <cellStyle name="Followed Hyperlink" xfId="25514" builtinId="9" hidden="1"/>
    <cellStyle name="Followed Hyperlink" xfId="25623" builtinId="9" hidden="1"/>
    <cellStyle name="Followed Hyperlink" xfId="25625" builtinId="9" hidden="1"/>
    <cellStyle name="Followed Hyperlink" xfId="25627" builtinId="9" hidden="1"/>
    <cellStyle name="Followed Hyperlink" xfId="25629" builtinId="9" hidden="1"/>
    <cellStyle name="Followed Hyperlink" xfId="25525" builtinId="9" hidden="1"/>
    <cellStyle name="Followed Hyperlink" xfId="25549" builtinId="9" hidden="1"/>
    <cellStyle name="Followed Hyperlink" xfId="25631" builtinId="9" hidden="1"/>
    <cellStyle name="Followed Hyperlink" xfId="25633" builtinId="9" hidden="1"/>
    <cellStyle name="Followed Hyperlink" xfId="25635" builtinId="9" hidden="1"/>
    <cellStyle name="Followed Hyperlink" xfId="25637" builtinId="9" hidden="1"/>
    <cellStyle name="Followed Hyperlink" xfId="25523" builtinId="9" hidden="1"/>
    <cellStyle name="Followed Hyperlink" xfId="25522" builtinId="9" hidden="1"/>
    <cellStyle name="Followed Hyperlink" xfId="25639" builtinId="9" hidden="1"/>
    <cellStyle name="Followed Hyperlink" xfId="25641" builtinId="9" hidden="1"/>
    <cellStyle name="Followed Hyperlink" xfId="25643" builtinId="9" hidden="1"/>
    <cellStyle name="Followed Hyperlink" xfId="25645" builtinId="9" hidden="1"/>
    <cellStyle name="Followed Hyperlink" xfId="25521" builtinId="9" hidden="1"/>
    <cellStyle name="Followed Hyperlink" xfId="25543" builtinId="9" hidden="1"/>
    <cellStyle name="Followed Hyperlink" xfId="25647" builtinId="9" hidden="1"/>
    <cellStyle name="Followed Hyperlink" xfId="25649" builtinId="9" hidden="1"/>
    <cellStyle name="Followed Hyperlink" xfId="25651" builtinId="9" hidden="1"/>
    <cellStyle name="Followed Hyperlink" xfId="25653" builtinId="9" hidden="1"/>
    <cellStyle name="Followed Hyperlink" xfId="24089" builtinId="9" hidden="1"/>
    <cellStyle name="Followed Hyperlink" xfId="24649" builtinId="9" hidden="1"/>
    <cellStyle name="Followed Hyperlink" xfId="24120" builtinId="9" hidden="1"/>
    <cellStyle name="Followed Hyperlink" xfId="24030" builtinId="9" hidden="1"/>
    <cellStyle name="Followed Hyperlink" xfId="25489" builtinId="9" hidden="1"/>
    <cellStyle name="Followed Hyperlink" xfId="24009" builtinId="9" hidden="1"/>
    <cellStyle name="Followed Hyperlink" xfId="24124" builtinId="9" hidden="1"/>
    <cellStyle name="Followed Hyperlink" xfId="24990" builtinId="9" hidden="1"/>
    <cellStyle name="Followed Hyperlink" xfId="25656" builtinId="9" hidden="1"/>
    <cellStyle name="Followed Hyperlink" xfId="25658" builtinId="9" hidden="1"/>
    <cellStyle name="Followed Hyperlink" xfId="25660" builtinId="9" hidden="1"/>
    <cellStyle name="Followed Hyperlink" xfId="25662" builtinId="9" hidden="1"/>
    <cellStyle name="Followed Hyperlink" xfId="25664" builtinId="9" hidden="1"/>
    <cellStyle name="Followed Hyperlink" xfId="25666" builtinId="9" hidden="1"/>
    <cellStyle name="Followed Hyperlink" xfId="25716" builtinId="9" hidden="1"/>
    <cellStyle name="Followed Hyperlink" xfId="25718" builtinId="9" hidden="1"/>
    <cellStyle name="Followed Hyperlink" xfId="25720" builtinId="9" hidden="1"/>
    <cellStyle name="Followed Hyperlink" xfId="25722" builtinId="9" hidden="1"/>
    <cellStyle name="Followed Hyperlink" xfId="25691" builtinId="9" hidden="1"/>
    <cellStyle name="Followed Hyperlink" xfId="25680" builtinId="9" hidden="1"/>
    <cellStyle name="Followed Hyperlink" xfId="25724" builtinId="9" hidden="1"/>
    <cellStyle name="Followed Hyperlink" xfId="25726" builtinId="9" hidden="1"/>
    <cellStyle name="Followed Hyperlink" xfId="25728" builtinId="9" hidden="1"/>
    <cellStyle name="Followed Hyperlink" xfId="25730" builtinId="9" hidden="1"/>
    <cellStyle name="Followed Hyperlink" xfId="25674" builtinId="9" hidden="1"/>
    <cellStyle name="Followed Hyperlink" xfId="25677" builtinId="9" hidden="1"/>
    <cellStyle name="Followed Hyperlink" xfId="25732" builtinId="9" hidden="1"/>
    <cellStyle name="Followed Hyperlink" xfId="25734" builtinId="9" hidden="1"/>
    <cellStyle name="Followed Hyperlink" xfId="25736" builtinId="9" hidden="1"/>
    <cellStyle name="Followed Hyperlink" xfId="25738" builtinId="9" hidden="1"/>
    <cellStyle name="Followed Hyperlink" xfId="25692" builtinId="9" hidden="1"/>
    <cellStyle name="Followed Hyperlink" xfId="25705" builtinId="9" hidden="1"/>
    <cellStyle name="Followed Hyperlink" xfId="25740" builtinId="9" hidden="1"/>
    <cellStyle name="Followed Hyperlink" xfId="25742" builtinId="9" hidden="1"/>
    <cellStyle name="Followed Hyperlink" xfId="25744" builtinId="9" hidden="1"/>
    <cellStyle name="Followed Hyperlink" xfId="25746" builtinId="9" hidden="1"/>
    <cellStyle name="Followed Hyperlink" xfId="25704" builtinId="9" hidden="1"/>
    <cellStyle name="Followed Hyperlink" xfId="25671" builtinId="9" hidden="1"/>
    <cellStyle name="Followed Hyperlink" xfId="25748" builtinId="9" hidden="1"/>
    <cellStyle name="Followed Hyperlink" xfId="25750" builtinId="9" hidden="1"/>
    <cellStyle name="Followed Hyperlink" xfId="25752" builtinId="9" hidden="1"/>
    <cellStyle name="Followed Hyperlink" xfId="25754" builtinId="9" hidden="1"/>
    <cellStyle name="Followed Hyperlink" xfId="25676" builtinId="9" hidden="1"/>
    <cellStyle name="Followed Hyperlink" xfId="25707" builtinId="9" hidden="1"/>
    <cellStyle name="Followed Hyperlink" xfId="25756" builtinId="9" hidden="1"/>
    <cellStyle name="Followed Hyperlink" xfId="25758" builtinId="9" hidden="1"/>
    <cellStyle name="Followed Hyperlink" xfId="25760" builtinId="9" hidden="1"/>
    <cellStyle name="Followed Hyperlink" xfId="25762" builtinId="9" hidden="1"/>
    <cellStyle name="Followed Hyperlink" xfId="25710" builtinId="9" hidden="1"/>
    <cellStyle name="Followed Hyperlink" xfId="25675" builtinId="9" hidden="1"/>
    <cellStyle name="Followed Hyperlink" xfId="25764" builtinId="9" hidden="1"/>
    <cellStyle name="Followed Hyperlink" xfId="25766" builtinId="9" hidden="1"/>
    <cellStyle name="Followed Hyperlink" xfId="25768" builtinId="9" hidden="1"/>
    <cellStyle name="Followed Hyperlink" xfId="25770" builtinId="9" hidden="1"/>
    <cellStyle name="Followed Hyperlink" xfId="25702" builtinId="9" hidden="1"/>
    <cellStyle name="Followed Hyperlink" xfId="25682" builtinId="9" hidden="1"/>
    <cellStyle name="Followed Hyperlink" xfId="25772" builtinId="9" hidden="1"/>
    <cellStyle name="Followed Hyperlink" xfId="25774" builtinId="9" hidden="1"/>
    <cellStyle name="Followed Hyperlink" xfId="25776" builtinId="9" hidden="1"/>
    <cellStyle name="Followed Hyperlink" xfId="25778" builtinId="9" hidden="1"/>
    <cellStyle name="Followed Hyperlink" xfId="25684" builtinId="9" hidden="1"/>
    <cellStyle name="Followed Hyperlink" xfId="25706" builtinId="9" hidden="1"/>
    <cellStyle name="Followed Hyperlink" xfId="25780" builtinId="9" hidden="1"/>
    <cellStyle name="Followed Hyperlink" xfId="25782" builtinId="9" hidden="1"/>
    <cellStyle name="Followed Hyperlink" xfId="25784" builtinId="9" hidden="1"/>
    <cellStyle name="Followed Hyperlink" xfId="25786" builtinId="9" hidden="1"/>
    <cellStyle name="Followed Hyperlink" xfId="25699" builtinId="9" hidden="1"/>
    <cellStyle name="Followed Hyperlink" xfId="25679" builtinId="9" hidden="1"/>
    <cellStyle name="Followed Hyperlink" xfId="25788" builtinId="9" hidden="1"/>
    <cellStyle name="Followed Hyperlink" xfId="25790" builtinId="9" hidden="1"/>
    <cellStyle name="Followed Hyperlink" xfId="25792" builtinId="9" hidden="1"/>
    <cellStyle name="Followed Hyperlink" xfId="25794" builtinId="9" hidden="1"/>
    <cellStyle name="Followed Hyperlink" xfId="25690" builtinId="9" hidden="1"/>
    <cellStyle name="Followed Hyperlink" xfId="25714" builtinId="9" hidden="1"/>
    <cellStyle name="Followed Hyperlink" xfId="25796" builtinId="9" hidden="1"/>
    <cellStyle name="Followed Hyperlink" xfId="25798" builtinId="9" hidden="1"/>
    <cellStyle name="Followed Hyperlink" xfId="25800" builtinId="9" hidden="1"/>
    <cellStyle name="Followed Hyperlink" xfId="25802" builtinId="9" hidden="1"/>
    <cellStyle name="Followed Hyperlink" xfId="25688" builtinId="9" hidden="1"/>
    <cellStyle name="Followed Hyperlink" xfId="25687" builtinId="9" hidden="1"/>
    <cellStyle name="Followed Hyperlink" xfId="25804" builtinId="9" hidden="1"/>
    <cellStyle name="Followed Hyperlink" xfId="25806" builtinId="9" hidden="1"/>
    <cellStyle name="Followed Hyperlink" xfId="25808" builtinId="9" hidden="1"/>
    <cellStyle name="Followed Hyperlink" xfId="25810" builtinId="9" hidden="1"/>
    <cellStyle name="Followed Hyperlink" xfId="25686" builtinId="9" hidden="1"/>
    <cellStyle name="Followed Hyperlink" xfId="25708" builtinId="9" hidden="1"/>
    <cellStyle name="Followed Hyperlink" xfId="25812" builtinId="9" hidden="1"/>
    <cellStyle name="Followed Hyperlink" xfId="25814" builtinId="9" hidden="1"/>
    <cellStyle name="Followed Hyperlink" xfId="25816" builtinId="9" hidden="1"/>
    <cellStyle name="Followed Hyperlink" xfId="25818" builtinId="9" hidden="1"/>
    <cellStyle name="Followed Hyperlink" xfId="24015" builtinId="9" hidden="1"/>
    <cellStyle name="Followed Hyperlink" xfId="24818" builtinId="9" hidden="1"/>
    <cellStyle name="Followed Hyperlink" xfId="24096" builtinId="9" hidden="1"/>
    <cellStyle name="Followed Hyperlink" xfId="24128" builtinId="9" hidden="1"/>
    <cellStyle name="Followed Hyperlink" xfId="25654" builtinId="9" hidden="1"/>
    <cellStyle name="Followed Hyperlink" xfId="24006" builtinId="9" hidden="1"/>
    <cellStyle name="Followed Hyperlink" xfId="24092" builtinId="9" hidden="1"/>
    <cellStyle name="Followed Hyperlink" xfId="25157" builtinId="9" hidden="1"/>
    <cellStyle name="Followed Hyperlink" xfId="25821" builtinId="9" hidden="1"/>
    <cellStyle name="Followed Hyperlink" xfId="25823" builtinId="9" hidden="1"/>
    <cellStyle name="Followed Hyperlink" xfId="25825" builtinId="9" hidden="1"/>
    <cellStyle name="Followed Hyperlink" xfId="25827" builtinId="9" hidden="1"/>
    <cellStyle name="Followed Hyperlink" xfId="25829" builtinId="9" hidden="1"/>
    <cellStyle name="Followed Hyperlink" xfId="25831" builtinId="9" hidden="1"/>
    <cellStyle name="Followed Hyperlink" xfId="25881" builtinId="9" hidden="1"/>
    <cellStyle name="Followed Hyperlink" xfId="25883" builtinId="9" hidden="1"/>
    <cellStyle name="Followed Hyperlink" xfId="25885" builtinId="9" hidden="1"/>
    <cellStyle name="Followed Hyperlink" xfId="25887" builtinId="9" hidden="1"/>
    <cellStyle name="Followed Hyperlink" xfId="25856" builtinId="9" hidden="1"/>
    <cellStyle name="Followed Hyperlink" xfId="25845" builtinId="9" hidden="1"/>
    <cellStyle name="Followed Hyperlink" xfId="25889" builtinId="9" hidden="1"/>
    <cellStyle name="Followed Hyperlink" xfId="25891" builtinId="9" hidden="1"/>
    <cellStyle name="Followed Hyperlink" xfId="25893" builtinId="9" hidden="1"/>
    <cellStyle name="Followed Hyperlink" xfId="25895" builtinId="9" hidden="1"/>
    <cellStyle name="Followed Hyperlink" xfId="25839" builtinId="9" hidden="1"/>
    <cellStyle name="Followed Hyperlink" xfId="25842" builtinId="9" hidden="1"/>
    <cellStyle name="Followed Hyperlink" xfId="25897" builtinId="9" hidden="1"/>
    <cellStyle name="Followed Hyperlink" xfId="25899" builtinId="9" hidden="1"/>
    <cellStyle name="Followed Hyperlink" xfId="25901" builtinId="9" hidden="1"/>
    <cellStyle name="Followed Hyperlink" xfId="25903" builtinId="9" hidden="1"/>
    <cellStyle name="Followed Hyperlink" xfId="25857" builtinId="9" hidden="1"/>
    <cellStyle name="Followed Hyperlink" xfId="25870" builtinId="9" hidden="1"/>
    <cellStyle name="Followed Hyperlink" xfId="25905" builtinId="9" hidden="1"/>
    <cellStyle name="Followed Hyperlink" xfId="25907" builtinId="9" hidden="1"/>
    <cellStyle name="Followed Hyperlink" xfId="25909" builtinId="9" hidden="1"/>
    <cellStyle name="Followed Hyperlink" xfId="25911" builtinId="9" hidden="1"/>
    <cellStyle name="Followed Hyperlink" xfId="25869" builtinId="9" hidden="1"/>
    <cellStyle name="Followed Hyperlink" xfId="25836" builtinId="9" hidden="1"/>
    <cellStyle name="Followed Hyperlink" xfId="25913" builtinId="9" hidden="1"/>
    <cellStyle name="Followed Hyperlink" xfId="25915" builtinId="9" hidden="1"/>
    <cellStyle name="Followed Hyperlink" xfId="25917" builtinId="9" hidden="1"/>
    <cellStyle name="Followed Hyperlink" xfId="25919" builtinId="9" hidden="1"/>
    <cellStyle name="Followed Hyperlink" xfId="25841" builtinId="9" hidden="1"/>
    <cellStyle name="Followed Hyperlink" xfId="25872" builtinId="9" hidden="1"/>
    <cellStyle name="Followed Hyperlink" xfId="25921" builtinId="9" hidden="1"/>
    <cellStyle name="Followed Hyperlink" xfId="25923" builtinId="9" hidden="1"/>
    <cellStyle name="Followed Hyperlink" xfId="25925" builtinId="9" hidden="1"/>
    <cellStyle name="Followed Hyperlink" xfId="25927" builtinId="9" hidden="1"/>
    <cellStyle name="Followed Hyperlink" xfId="25875" builtinId="9" hidden="1"/>
    <cellStyle name="Followed Hyperlink" xfId="25840" builtinId="9" hidden="1"/>
    <cellStyle name="Followed Hyperlink" xfId="25929" builtinId="9" hidden="1"/>
    <cellStyle name="Followed Hyperlink" xfId="25931" builtinId="9" hidden="1"/>
    <cellStyle name="Followed Hyperlink" xfId="25933" builtinId="9" hidden="1"/>
    <cellStyle name="Followed Hyperlink" xfId="25935" builtinId="9" hidden="1"/>
    <cellStyle name="Followed Hyperlink" xfId="25867" builtinId="9" hidden="1"/>
    <cellStyle name="Followed Hyperlink" xfId="25847" builtinId="9" hidden="1"/>
    <cellStyle name="Followed Hyperlink" xfId="25937" builtinId="9" hidden="1"/>
    <cellStyle name="Followed Hyperlink" xfId="25939" builtinId="9" hidden="1"/>
    <cellStyle name="Followed Hyperlink" xfId="25941" builtinId="9" hidden="1"/>
    <cellStyle name="Followed Hyperlink" xfId="25943" builtinId="9" hidden="1"/>
    <cellStyle name="Followed Hyperlink" xfId="25849" builtinId="9" hidden="1"/>
    <cellStyle name="Followed Hyperlink" xfId="25871" builtinId="9" hidden="1"/>
    <cellStyle name="Followed Hyperlink" xfId="25945" builtinId="9" hidden="1"/>
    <cellStyle name="Followed Hyperlink" xfId="25947" builtinId="9" hidden="1"/>
    <cellStyle name="Followed Hyperlink" xfId="25949" builtinId="9" hidden="1"/>
    <cellStyle name="Followed Hyperlink" xfId="25951" builtinId="9" hidden="1"/>
    <cellStyle name="Followed Hyperlink" xfId="25864" builtinId="9" hidden="1"/>
    <cellStyle name="Followed Hyperlink" xfId="25844" builtinId="9" hidden="1"/>
    <cellStyle name="Followed Hyperlink" xfId="25953" builtinId="9" hidden="1"/>
    <cellStyle name="Followed Hyperlink" xfId="25955" builtinId="9" hidden="1"/>
    <cellStyle name="Followed Hyperlink" xfId="25957" builtinId="9" hidden="1"/>
    <cellStyle name="Followed Hyperlink" xfId="25959" builtinId="9" hidden="1"/>
    <cellStyle name="Followed Hyperlink" xfId="25855" builtinId="9" hidden="1"/>
    <cellStyle name="Followed Hyperlink" xfId="25879" builtinId="9" hidden="1"/>
    <cellStyle name="Followed Hyperlink" xfId="25961" builtinId="9" hidden="1"/>
    <cellStyle name="Followed Hyperlink" xfId="25963" builtinId="9" hidden="1"/>
    <cellStyle name="Followed Hyperlink" xfId="25965" builtinId="9" hidden="1"/>
    <cellStyle name="Followed Hyperlink" xfId="25967" builtinId="9" hidden="1"/>
    <cellStyle name="Followed Hyperlink" xfId="25853" builtinId="9" hidden="1"/>
    <cellStyle name="Followed Hyperlink" xfId="25852" builtinId="9" hidden="1"/>
    <cellStyle name="Followed Hyperlink" xfId="25969" builtinId="9" hidden="1"/>
    <cellStyle name="Followed Hyperlink" xfId="25971" builtinId="9" hidden="1"/>
    <cellStyle name="Followed Hyperlink" xfId="25973" builtinId="9" hidden="1"/>
    <cellStyle name="Followed Hyperlink" xfId="25975" builtinId="9" hidden="1"/>
    <cellStyle name="Followed Hyperlink" xfId="25851" builtinId="9" hidden="1"/>
    <cellStyle name="Followed Hyperlink" xfId="25873" builtinId="9" hidden="1"/>
    <cellStyle name="Followed Hyperlink" xfId="25977" builtinId="9" hidden="1"/>
    <cellStyle name="Followed Hyperlink" xfId="25979" builtinId="9" hidden="1"/>
    <cellStyle name="Followed Hyperlink" xfId="25981" builtinId="9" hidden="1"/>
    <cellStyle name="Followed Hyperlink" xfId="25983" builtinId="9" hidden="1"/>
    <cellStyle name="Followed Hyperlink" xfId="24086" builtinId="9" hidden="1"/>
    <cellStyle name="Followed Hyperlink" xfId="24987" builtinId="9" hidden="1"/>
    <cellStyle name="Followed Hyperlink" xfId="24141" builtinId="9" hidden="1"/>
    <cellStyle name="Followed Hyperlink" xfId="24130" builtinId="9" hidden="1"/>
    <cellStyle name="Followed Hyperlink" xfId="25819" builtinId="9" hidden="1"/>
    <cellStyle name="Followed Hyperlink" xfId="24107" builtinId="9" hidden="1"/>
    <cellStyle name="Followed Hyperlink" xfId="24008" builtinId="9" hidden="1"/>
    <cellStyle name="Followed Hyperlink" xfId="25324" builtinId="9" hidden="1"/>
    <cellStyle name="Followed Hyperlink" xfId="25985" builtinId="9" hidden="1"/>
    <cellStyle name="Followed Hyperlink" xfId="25987" builtinId="9" hidden="1"/>
    <cellStyle name="Followed Hyperlink" xfId="25989" builtinId="9" hidden="1"/>
    <cellStyle name="Followed Hyperlink" xfId="25991" builtinId="9" hidden="1"/>
    <cellStyle name="Followed Hyperlink" xfId="25993" builtinId="9" hidden="1"/>
    <cellStyle name="Followed Hyperlink" xfId="25995" builtinId="9" hidden="1"/>
    <cellStyle name="Followed Hyperlink" xfId="26045" builtinId="9" hidden="1"/>
    <cellStyle name="Followed Hyperlink" xfId="26047" builtinId="9" hidden="1"/>
    <cellStyle name="Followed Hyperlink" xfId="26049" builtinId="9" hidden="1"/>
    <cellStyle name="Followed Hyperlink" xfId="26051" builtinId="9" hidden="1"/>
    <cellStyle name="Followed Hyperlink" xfId="26020" builtinId="9" hidden="1"/>
    <cellStyle name="Followed Hyperlink" xfId="26009" builtinId="9" hidden="1"/>
    <cellStyle name="Followed Hyperlink" xfId="26053" builtinId="9" hidden="1"/>
    <cellStyle name="Followed Hyperlink" xfId="26055" builtinId="9" hidden="1"/>
    <cellStyle name="Followed Hyperlink" xfId="26057" builtinId="9" hidden="1"/>
    <cellStyle name="Followed Hyperlink" xfId="26059" builtinId="9" hidden="1"/>
    <cellStyle name="Followed Hyperlink" xfId="26003" builtinId="9" hidden="1"/>
    <cellStyle name="Followed Hyperlink" xfId="26006" builtinId="9" hidden="1"/>
    <cellStyle name="Followed Hyperlink" xfId="26061" builtinId="9" hidden="1"/>
    <cellStyle name="Followed Hyperlink" xfId="26063" builtinId="9" hidden="1"/>
    <cellStyle name="Followed Hyperlink" xfId="26065" builtinId="9" hidden="1"/>
    <cellStyle name="Followed Hyperlink" xfId="26067" builtinId="9" hidden="1"/>
    <cellStyle name="Followed Hyperlink" xfId="26021" builtinId="9" hidden="1"/>
    <cellStyle name="Followed Hyperlink" xfId="26034" builtinId="9" hidden="1"/>
    <cellStyle name="Followed Hyperlink" xfId="26069" builtinId="9" hidden="1"/>
    <cellStyle name="Followed Hyperlink" xfId="26071" builtinId="9" hidden="1"/>
    <cellStyle name="Followed Hyperlink" xfId="26073" builtinId="9" hidden="1"/>
    <cellStyle name="Followed Hyperlink" xfId="26075" builtinId="9" hidden="1"/>
    <cellStyle name="Followed Hyperlink" xfId="26033" builtinId="9" hidden="1"/>
    <cellStyle name="Followed Hyperlink" xfId="26000" builtinId="9" hidden="1"/>
    <cellStyle name="Followed Hyperlink" xfId="26077" builtinId="9" hidden="1"/>
    <cellStyle name="Followed Hyperlink" xfId="26079" builtinId="9" hidden="1"/>
    <cellStyle name="Followed Hyperlink" xfId="26081" builtinId="9" hidden="1"/>
    <cellStyle name="Followed Hyperlink" xfId="26083" builtinId="9" hidden="1"/>
    <cellStyle name="Followed Hyperlink" xfId="26005" builtinId="9" hidden="1"/>
    <cellStyle name="Followed Hyperlink" xfId="26036" builtinId="9" hidden="1"/>
    <cellStyle name="Followed Hyperlink" xfId="26085" builtinId="9" hidden="1"/>
    <cellStyle name="Followed Hyperlink" xfId="26087" builtinId="9" hidden="1"/>
    <cellStyle name="Followed Hyperlink" xfId="26089" builtinId="9" hidden="1"/>
    <cellStyle name="Followed Hyperlink" xfId="26091" builtinId="9" hidden="1"/>
    <cellStyle name="Followed Hyperlink" xfId="26039" builtinId="9" hidden="1"/>
    <cellStyle name="Followed Hyperlink" xfId="26004" builtinId="9" hidden="1"/>
    <cellStyle name="Followed Hyperlink" xfId="26093" builtinId="9" hidden="1"/>
    <cellStyle name="Followed Hyperlink" xfId="26095" builtinId="9" hidden="1"/>
    <cellStyle name="Followed Hyperlink" xfId="26097" builtinId="9" hidden="1"/>
    <cellStyle name="Followed Hyperlink" xfId="26099" builtinId="9" hidden="1"/>
    <cellStyle name="Followed Hyperlink" xfId="26031" builtinId="9" hidden="1"/>
    <cellStyle name="Followed Hyperlink" xfId="26011" builtinId="9" hidden="1"/>
    <cellStyle name="Followed Hyperlink" xfId="26101" builtinId="9" hidden="1"/>
    <cellStyle name="Followed Hyperlink" xfId="26103" builtinId="9" hidden="1"/>
    <cellStyle name="Followed Hyperlink" xfId="26105" builtinId="9" hidden="1"/>
    <cellStyle name="Followed Hyperlink" xfId="26107" builtinId="9" hidden="1"/>
    <cellStyle name="Followed Hyperlink" xfId="26013" builtinId="9" hidden="1"/>
    <cellStyle name="Followed Hyperlink" xfId="26035" builtinId="9" hidden="1"/>
    <cellStyle name="Followed Hyperlink" xfId="26109" builtinId="9" hidden="1"/>
    <cellStyle name="Followed Hyperlink" xfId="26111" builtinId="9" hidden="1"/>
    <cellStyle name="Followed Hyperlink" xfId="26113" builtinId="9" hidden="1"/>
    <cellStyle name="Followed Hyperlink" xfId="26115" builtinId="9" hidden="1"/>
    <cellStyle name="Followed Hyperlink" xfId="26028" builtinId="9" hidden="1"/>
    <cellStyle name="Followed Hyperlink" xfId="26008" builtinId="9" hidden="1"/>
    <cellStyle name="Followed Hyperlink" xfId="26117" builtinId="9" hidden="1"/>
    <cellStyle name="Followed Hyperlink" xfId="26119" builtinId="9" hidden="1"/>
    <cellStyle name="Followed Hyperlink" xfId="26121" builtinId="9" hidden="1"/>
    <cellStyle name="Followed Hyperlink" xfId="26123" builtinId="9" hidden="1"/>
    <cellStyle name="Followed Hyperlink" xfId="26019" builtinId="9" hidden="1"/>
    <cellStyle name="Followed Hyperlink" xfId="26043" builtinId="9" hidden="1"/>
    <cellStyle name="Followed Hyperlink" xfId="26125" builtinId="9" hidden="1"/>
    <cellStyle name="Followed Hyperlink" xfId="26127" builtinId="9" hidden="1"/>
    <cellStyle name="Followed Hyperlink" xfId="26129" builtinId="9" hidden="1"/>
    <cellStyle name="Followed Hyperlink" xfId="26131" builtinId="9" hidden="1"/>
    <cellStyle name="Followed Hyperlink" xfId="26017" builtinId="9" hidden="1"/>
    <cellStyle name="Followed Hyperlink" xfId="26016" builtinId="9" hidden="1"/>
    <cellStyle name="Followed Hyperlink" xfId="26133" builtinId="9" hidden="1"/>
    <cellStyle name="Followed Hyperlink" xfId="26135" builtinId="9" hidden="1"/>
    <cellStyle name="Followed Hyperlink" xfId="26137" builtinId="9" hidden="1"/>
    <cellStyle name="Followed Hyperlink" xfId="26139" builtinId="9" hidden="1"/>
    <cellStyle name="Followed Hyperlink" xfId="26015" builtinId="9" hidden="1"/>
    <cellStyle name="Followed Hyperlink" xfId="26037" builtinId="9" hidden="1"/>
    <cellStyle name="Followed Hyperlink" xfId="26141" builtinId="9" hidden="1"/>
    <cellStyle name="Followed Hyperlink" xfId="26143" builtinId="9" hidden="1"/>
    <cellStyle name="Followed Hyperlink" xfId="26145" builtinId="9" hidden="1"/>
    <cellStyle name="Followed Hyperlink" xfId="26147" builtinId="9" hidden="1"/>
    <cellStyle name="Followed Hyperlink" xfId="19128" builtinId="9" hidden="1"/>
    <cellStyle name="Followed Hyperlink" xfId="21496" builtinId="9" hidden="1"/>
    <cellStyle name="Followed Hyperlink" xfId="21495" builtinId="9" hidden="1"/>
    <cellStyle name="Followed Hyperlink" xfId="19043" builtinId="9" hidden="1"/>
    <cellStyle name="Followed Hyperlink" xfId="19111" builtinId="9" hidden="1"/>
    <cellStyle name="Followed Hyperlink" xfId="19139" builtinId="9" hidden="1"/>
    <cellStyle name="Followed Hyperlink" xfId="23820" builtinId="9" hidden="1"/>
    <cellStyle name="Followed Hyperlink" xfId="19023" builtinId="9" hidden="1"/>
    <cellStyle name="Followed Hyperlink" xfId="19075" builtinId="9" hidden="1"/>
    <cellStyle name="Followed Hyperlink" xfId="19049" builtinId="9" hidden="1"/>
    <cellStyle name="Followed Hyperlink" xfId="19164" builtinId="9" hidden="1"/>
    <cellStyle name="Followed Hyperlink" xfId="19077" builtinId="9" hidden="1"/>
    <cellStyle name="Followed Hyperlink" xfId="19037" builtinId="9" hidden="1"/>
    <cellStyle name="Followed Hyperlink" xfId="19142" builtinId="9" hidden="1"/>
    <cellStyle name="Followed Hyperlink" xfId="26153" builtinId="9" hidden="1"/>
    <cellStyle name="Followed Hyperlink" xfId="26155" builtinId="9" hidden="1"/>
    <cellStyle name="Followed Hyperlink" xfId="26157" builtinId="9" hidden="1"/>
    <cellStyle name="Followed Hyperlink" xfId="26159" builtinId="9" hidden="1"/>
    <cellStyle name="Followed Hyperlink" xfId="26161" builtinId="9" hidden="1"/>
    <cellStyle name="Followed Hyperlink" xfId="26163" builtinId="9" hidden="1"/>
    <cellStyle name="Followed Hyperlink" xfId="26213" builtinId="9" hidden="1"/>
    <cellStyle name="Followed Hyperlink" xfId="26215" builtinId="9" hidden="1"/>
    <cellStyle name="Followed Hyperlink" xfId="26217" builtinId="9" hidden="1"/>
    <cellStyle name="Followed Hyperlink" xfId="26219" builtinId="9" hidden="1"/>
    <cellStyle name="Followed Hyperlink" xfId="26188" builtinId="9" hidden="1"/>
    <cellStyle name="Followed Hyperlink" xfId="26177" builtinId="9" hidden="1"/>
    <cellStyle name="Followed Hyperlink" xfId="26221" builtinId="9" hidden="1"/>
    <cellStyle name="Followed Hyperlink" xfId="26223" builtinId="9" hidden="1"/>
    <cellStyle name="Followed Hyperlink" xfId="26225" builtinId="9" hidden="1"/>
    <cellStyle name="Followed Hyperlink" xfId="26227" builtinId="9" hidden="1"/>
    <cellStyle name="Followed Hyperlink" xfId="26171" builtinId="9" hidden="1"/>
    <cellStyle name="Followed Hyperlink" xfId="26174" builtinId="9" hidden="1"/>
    <cellStyle name="Followed Hyperlink" xfId="26229" builtinId="9" hidden="1"/>
    <cellStyle name="Followed Hyperlink" xfId="26231" builtinId="9" hidden="1"/>
    <cellStyle name="Followed Hyperlink" xfId="26233" builtinId="9" hidden="1"/>
    <cellStyle name="Followed Hyperlink" xfId="26235" builtinId="9" hidden="1"/>
    <cellStyle name="Followed Hyperlink" xfId="26189" builtinId="9" hidden="1"/>
    <cellStyle name="Followed Hyperlink" xfId="26202" builtinId="9" hidden="1"/>
    <cellStyle name="Followed Hyperlink" xfId="26237" builtinId="9" hidden="1"/>
    <cellStyle name="Followed Hyperlink" xfId="26239" builtinId="9" hidden="1"/>
    <cellStyle name="Followed Hyperlink" xfId="26241" builtinId="9" hidden="1"/>
    <cellStyle name="Followed Hyperlink" xfId="26243" builtinId="9" hidden="1"/>
    <cellStyle name="Followed Hyperlink" xfId="26201" builtinId="9" hidden="1"/>
    <cellStyle name="Followed Hyperlink" xfId="26168" builtinId="9" hidden="1"/>
    <cellStyle name="Followed Hyperlink" xfId="26245" builtinId="9" hidden="1"/>
    <cellStyle name="Followed Hyperlink" xfId="26247" builtinId="9" hidden="1"/>
    <cellStyle name="Followed Hyperlink" xfId="26249" builtinId="9" hidden="1"/>
    <cellStyle name="Followed Hyperlink" xfId="26251" builtinId="9" hidden="1"/>
    <cellStyle name="Followed Hyperlink" xfId="26173" builtinId="9" hidden="1"/>
    <cellStyle name="Followed Hyperlink" xfId="26204" builtinId="9" hidden="1"/>
    <cellStyle name="Followed Hyperlink" xfId="26253" builtinId="9" hidden="1"/>
    <cellStyle name="Followed Hyperlink" xfId="26255" builtinId="9" hidden="1"/>
    <cellStyle name="Followed Hyperlink" xfId="26257" builtinId="9" hidden="1"/>
    <cellStyle name="Followed Hyperlink" xfId="26259" builtinId="9" hidden="1"/>
    <cellStyle name="Followed Hyperlink" xfId="26207" builtinId="9" hidden="1"/>
    <cellStyle name="Followed Hyperlink" xfId="26172" builtinId="9" hidden="1"/>
    <cellStyle name="Followed Hyperlink" xfId="26261" builtinId="9" hidden="1"/>
    <cellStyle name="Followed Hyperlink" xfId="26263" builtinId="9" hidden="1"/>
    <cellStyle name="Followed Hyperlink" xfId="26265" builtinId="9" hidden="1"/>
    <cellStyle name="Followed Hyperlink" xfId="26267" builtinId="9" hidden="1"/>
    <cellStyle name="Followed Hyperlink" xfId="26199" builtinId="9" hidden="1"/>
    <cellStyle name="Followed Hyperlink" xfId="26179" builtinId="9" hidden="1"/>
    <cellStyle name="Followed Hyperlink" xfId="26269" builtinId="9" hidden="1"/>
    <cellStyle name="Followed Hyperlink" xfId="26271" builtinId="9" hidden="1"/>
    <cellStyle name="Followed Hyperlink" xfId="26273" builtinId="9" hidden="1"/>
    <cellStyle name="Followed Hyperlink" xfId="26275" builtinId="9" hidden="1"/>
    <cellStyle name="Followed Hyperlink" xfId="26181" builtinId="9" hidden="1"/>
    <cellStyle name="Followed Hyperlink" xfId="26203" builtinId="9" hidden="1"/>
    <cellStyle name="Followed Hyperlink" xfId="26277" builtinId="9" hidden="1"/>
    <cellStyle name="Followed Hyperlink" xfId="26279" builtinId="9" hidden="1"/>
    <cellStyle name="Followed Hyperlink" xfId="26281" builtinId="9" hidden="1"/>
    <cellStyle name="Followed Hyperlink" xfId="26283" builtinId="9" hidden="1"/>
    <cellStyle name="Followed Hyperlink" xfId="26196" builtinId="9" hidden="1"/>
    <cellStyle name="Followed Hyperlink" xfId="26176" builtinId="9" hidden="1"/>
    <cellStyle name="Followed Hyperlink" xfId="26285" builtinId="9" hidden="1"/>
    <cellStyle name="Followed Hyperlink" xfId="26287" builtinId="9" hidden="1"/>
    <cellStyle name="Followed Hyperlink" xfId="26289" builtinId="9" hidden="1"/>
    <cellStyle name="Followed Hyperlink" xfId="26291" builtinId="9" hidden="1"/>
    <cellStyle name="Followed Hyperlink" xfId="26187" builtinId="9" hidden="1"/>
    <cellStyle name="Followed Hyperlink" xfId="26211" builtinId="9" hidden="1"/>
    <cellStyle name="Followed Hyperlink" xfId="26293" builtinId="9" hidden="1"/>
    <cellStyle name="Followed Hyperlink" xfId="26295" builtinId="9" hidden="1"/>
    <cellStyle name="Followed Hyperlink" xfId="26297" builtinId="9" hidden="1"/>
    <cellStyle name="Followed Hyperlink" xfId="26299" builtinId="9" hidden="1"/>
    <cellStyle name="Followed Hyperlink" xfId="26185" builtinId="9" hidden="1"/>
    <cellStyle name="Followed Hyperlink" xfId="26184" builtinId="9" hidden="1"/>
    <cellStyle name="Followed Hyperlink" xfId="26301" builtinId="9" hidden="1"/>
    <cellStyle name="Followed Hyperlink" xfId="26303" builtinId="9" hidden="1"/>
    <cellStyle name="Followed Hyperlink" xfId="26305" builtinId="9" hidden="1"/>
    <cellStyle name="Followed Hyperlink" xfId="26307" builtinId="9" hidden="1"/>
    <cellStyle name="Followed Hyperlink" xfId="26183" builtinId="9" hidden="1"/>
    <cellStyle name="Followed Hyperlink" xfId="26205" builtinId="9" hidden="1"/>
    <cellStyle name="Followed Hyperlink" xfId="26309" builtinId="9" hidden="1"/>
    <cellStyle name="Followed Hyperlink" xfId="26311" builtinId="9" hidden="1"/>
    <cellStyle name="Followed Hyperlink" xfId="26313" builtinId="9" hidden="1"/>
    <cellStyle name="Followed Hyperlink" xfId="26315" builtinId="9" hidden="1"/>
    <cellStyle name="Followed Hyperlink" xfId="26317" builtinId="9" hidden="1"/>
    <cellStyle name="Followed Hyperlink" xfId="26319" builtinId="9" hidden="1"/>
    <cellStyle name="Followed Hyperlink" xfId="26385" builtinId="9" hidden="1"/>
    <cellStyle name="Followed Hyperlink" xfId="26387" builtinId="9" hidden="1"/>
    <cellStyle name="Followed Hyperlink" xfId="26389" builtinId="9" hidden="1"/>
    <cellStyle name="Followed Hyperlink" xfId="26391" builtinId="9" hidden="1"/>
    <cellStyle name="Followed Hyperlink" xfId="26394" builtinId="9" hidden="1"/>
    <cellStyle name="Followed Hyperlink" xfId="26396" builtinId="9" hidden="1"/>
    <cellStyle name="Followed Hyperlink" xfId="26470" builtinId="9" hidden="1"/>
    <cellStyle name="Followed Hyperlink" xfId="26472" builtinId="9" hidden="1"/>
    <cellStyle name="Followed Hyperlink" xfId="26474" builtinId="9" hidden="1"/>
    <cellStyle name="Followed Hyperlink" xfId="26476" builtinId="9" hidden="1"/>
    <cellStyle name="Followed Hyperlink" xfId="26478" builtinId="9" hidden="1"/>
    <cellStyle name="Followed Hyperlink" xfId="26480" builtinId="9" hidden="1"/>
    <cellStyle name="Followed Hyperlink" xfId="26530" builtinId="9" hidden="1"/>
    <cellStyle name="Followed Hyperlink" xfId="26532" builtinId="9" hidden="1"/>
    <cellStyle name="Followed Hyperlink" xfId="26534" builtinId="9" hidden="1"/>
    <cellStyle name="Followed Hyperlink" xfId="26536" builtinId="9" hidden="1"/>
    <cellStyle name="Followed Hyperlink" xfId="26505" builtinId="9" hidden="1"/>
    <cellStyle name="Followed Hyperlink" xfId="26494" builtinId="9" hidden="1"/>
    <cellStyle name="Followed Hyperlink" xfId="26538" builtinId="9" hidden="1"/>
    <cellStyle name="Followed Hyperlink" xfId="26540" builtinId="9" hidden="1"/>
    <cellStyle name="Followed Hyperlink" xfId="26542" builtinId="9" hidden="1"/>
    <cellStyle name="Followed Hyperlink" xfId="26544" builtinId="9" hidden="1"/>
    <cellStyle name="Followed Hyperlink" xfId="26488" builtinId="9" hidden="1"/>
    <cellStyle name="Followed Hyperlink" xfId="26491" builtinId="9" hidden="1"/>
    <cellStyle name="Followed Hyperlink" xfId="26546" builtinId="9" hidden="1"/>
    <cellStyle name="Followed Hyperlink" xfId="26548" builtinId="9" hidden="1"/>
    <cellStyle name="Followed Hyperlink" xfId="26550" builtinId="9" hidden="1"/>
    <cellStyle name="Followed Hyperlink" xfId="26552" builtinId="9" hidden="1"/>
    <cellStyle name="Followed Hyperlink" xfId="26506" builtinId="9" hidden="1"/>
    <cellStyle name="Followed Hyperlink" xfId="26519" builtinId="9" hidden="1"/>
    <cellStyle name="Followed Hyperlink" xfId="26554" builtinId="9" hidden="1"/>
    <cellStyle name="Followed Hyperlink" xfId="26556" builtinId="9" hidden="1"/>
    <cellStyle name="Followed Hyperlink" xfId="26558" builtinId="9" hidden="1"/>
    <cellStyle name="Followed Hyperlink" xfId="26560" builtinId="9" hidden="1"/>
    <cellStyle name="Followed Hyperlink" xfId="26518" builtinId="9" hidden="1"/>
    <cellStyle name="Followed Hyperlink" xfId="26485" builtinId="9" hidden="1"/>
    <cellStyle name="Followed Hyperlink" xfId="26562" builtinId="9" hidden="1"/>
    <cellStyle name="Followed Hyperlink" xfId="26564" builtinId="9" hidden="1"/>
    <cellStyle name="Followed Hyperlink" xfId="26566" builtinId="9" hidden="1"/>
    <cellStyle name="Followed Hyperlink" xfId="26568" builtinId="9" hidden="1"/>
    <cellStyle name="Followed Hyperlink" xfId="26490" builtinId="9" hidden="1"/>
    <cellStyle name="Followed Hyperlink" xfId="26521" builtinId="9" hidden="1"/>
    <cellStyle name="Followed Hyperlink" xfId="26570" builtinId="9" hidden="1"/>
    <cellStyle name="Followed Hyperlink" xfId="26572" builtinId="9" hidden="1"/>
    <cellStyle name="Followed Hyperlink" xfId="26574" builtinId="9" hidden="1"/>
    <cellStyle name="Followed Hyperlink" xfId="26576" builtinId="9" hidden="1"/>
    <cellStyle name="Followed Hyperlink" xfId="26524" builtinId="9" hidden="1"/>
    <cellStyle name="Followed Hyperlink" xfId="26489" builtinId="9" hidden="1"/>
    <cellStyle name="Followed Hyperlink" xfId="26578" builtinId="9" hidden="1"/>
    <cellStyle name="Followed Hyperlink" xfId="26580" builtinId="9" hidden="1"/>
    <cellStyle name="Followed Hyperlink" xfId="26582" builtinId="9" hidden="1"/>
    <cellStyle name="Followed Hyperlink" xfId="26584" builtinId="9" hidden="1"/>
    <cellStyle name="Followed Hyperlink" xfId="26516" builtinId="9" hidden="1"/>
    <cellStyle name="Followed Hyperlink" xfId="26496" builtinId="9" hidden="1"/>
    <cellStyle name="Followed Hyperlink" xfId="26586" builtinId="9" hidden="1"/>
    <cellStyle name="Followed Hyperlink" xfId="26588" builtinId="9" hidden="1"/>
    <cellStyle name="Followed Hyperlink" xfId="26590" builtinId="9" hidden="1"/>
    <cellStyle name="Followed Hyperlink" xfId="26592" builtinId="9" hidden="1"/>
    <cellStyle name="Followed Hyperlink" xfId="26498" builtinId="9" hidden="1"/>
    <cellStyle name="Followed Hyperlink" xfId="26520" builtinId="9" hidden="1"/>
    <cellStyle name="Followed Hyperlink" xfId="26594" builtinId="9" hidden="1"/>
    <cellStyle name="Followed Hyperlink" xfId="26596" builtinId="9" hidden="1"/>
    <cellStyle name="Followed Hyperlink" xfId="26598" builtinId="9" hidden="1"/>
    <cellStyle name="Followed Hyperlink" xfId="26600" builtinId="9" hidden="1"/>
    <cellStyle name="Followed Hyperlink" xfId="26513" builtinId="9" hidden="1"/>
    <cellStyle name="Followed Hyperlink" xfId="26493" builtinId="9" hidden="1"/>
    <cellStyle name="Followed Hyperlink" xfId="26602" builtinId="9" hidden="1"/>
    <cellStyle name="Followed Hyperlink" xfId="26604" builtinId="9" hidden="1"/>
    <cellStyle name="Followed Hyperlink" xfId="26606" builtinId="9" hidden="1"/>
    <cellStyle name="Followed Hyperlink" xfId="26608" builtinId="9" hidden="1"/>
    <cellStyle name="Followed Hyperlink" xfId="26504" builtinId="9" hidden="1"/>
    <cellStyle name="Followed Hyperlink" xfId="26528" builtinId="9" hidden="1"/>
    <cellStyle name="Followed Hyperlink" xfId="26610" builtinId="9" hidden="1"/>
    <cellStyle name="Followed Hyperlink" xfId="26612" builtinId="9" hidden="1"/>
    <cellStyle name="Followed Hyperlink" xfId="26614" builtinId="9" hidden="1"/>
    <cellStyle name="Followed Hyperlink" xfId="26616" builtinId="9" hidden="1"/>
    <cellStyle name="Followed Hyperlink" xfId="26502" builtinId="9" hidden="1"/>
    <cellStyle name="Followed Hyperlink" xfId="26501" builtinId="9" hidden="1"/>
    <cellStyle name="Followed Hyperlink" xfId="26618" builtinId="9" hidden="1"/>
    <cellStyle name="Followed Hyperlink" xfId="26620" builtinId="9" hidden="1"/>
    <cellStyle name="Followed Hyperlink" xfId="26622" builtinId="9" hidden="1"/>
    <cellStyle name="Followed Hyperlink" xfId="26624" builtinId="9" hidden="1"/>
    <cellStyle name="Followed Hyperlink" xfId="26500" builtinId="9" hidden="1"/>
    <cellStyle name="Followed Hyperlink" xfId="26522" builtinId="9" hidden="1"/>
    <cellStyle name="Followed Hyperlink" xfId="26626" builtinId="9" hidden="1"/>
    <cellStyle name="Followed Hyperlink" xfId="26628" builtinId="9" hidden="1"/>
    <cellStyle name="Followed Hyperlink" xfId="26630" builtinId="9" hidden="1"/>
    <cellStyle name="Followed Hyperlink" xfId="26632" builtinId="9" hidden="1"/>
    <cellStyle name="Followed Hyperlink" xfId="26409" builtinId="9" hidden="1"/>
    <cellStyle name="Followed Hyperlink" xfId="26356" builtinId="9" hidden="1"/>
    <cellStyle name="Followed Hyperlink" xfId="26411" builtinId="9" hidden="1"/>
    <cellStyle name="Followed Hyperlink" xfId="26362" builtinId="9" hidden="1"/>
    <cellStyle name="Followed Hyperlink" xfId="26467" builtinId="9" hidden="1"/>
    <cellStyle name="Followed Hyperlink" xfId="26347" builtinId="9" hidden="1"/>
    <cellStyle name="Followed Hyperlink" xfId="26400" builtinId="9" hidden="1"/>
    <cellStyle name="Followed Hyperlink" xfId="26350" builtinId="9" hidden="1"/>
    <cellStyle name="Followed Hyperlink" xfId="26637" builtinId="9" hidden="1"/>
    <cellStyle name="Followed Hyperlink" xfId="26639" builtinId="9" hidden="1"/>
    <cellStyle name="Followed Hyperlink" xfId="26641" builtinId="9" hidden="1"/>
    <cellStyle name="Followed Hyperlink" xfId="26643" builtinId="9" hidden="1"/>
    <cellStyle name="Followed Hyperlink" xfId="26646" builtinId="9" hidden="1"/>
    <cellStyle name="Followed Hyperlink" xfId="26648" builtinId="9" hidden="1"/>
    <cellStyle name="Followed Hyperlink" xfId="26698" builtinId="9" hidden="1"/>
    <cellStyle name="Followed Hyperlink" xfId="26700" builtinId="9" hidden="1"/>
    <cellStyle name="Followed Hyperlink" xfId="26702" builtinId="9" hidden="1"/>
    <cellStyle name="Followed Hyperlink" xfId="26704" builtinId="9" hidden="1"/>
    <cellStyle name="Followed Hyperlink" xfId="26673" builtinId="9" hidden="1"/>
    <cellStyle name="Followed Hyperlink" xfId="26662" builtinId="9" hidden="1"/>
    <cellStyle name="Followed Hyperlink" xfId="26706" builtinId="9" hidden="1"/>
    <cellStyle name="Followed Hyperlink" xfId="26708" builtinId="9" hidden="1"/>
    <cellStyle name="Followed Hyperlink" xfId="26710" builtinId="9" hidden="1"/>
    <cellStyle name="Followed Hyperlink" xfId="26712" builtinId="9" hidden="1"/>
    <cellStyle name="Followed Hyperlink" xfId="26656" builtinId="9" hidden="1"/>
    <cellStyle name="Followed Hyperlink" xfId="26659" builtinId="9" hidden="1"/>
    <cellStyle name="Followed Hyperlink" xfId="26714" builtinId="9" hidden="1"/>
    <cellStyle name="Followed Hyperlink" xfId="26716" builtinId="9" hidden="1"/>
    <cellStyle name="Followed Hyperlink" xfId="26718" builtinId="9" hidden="1"/>
    <cellStyle name="Followed Hyperlink" xfId="26720" builtinId="9" hidden="1"/>
    <cellStyle name="Followed Hyperlink" xfId="26674" builtinId="9" hidden="1"/>
    <cellStyle name="Followed Hyperlink" xfId="26687" builtinId="9" hidden="1"/>
    <cellStyle name="Followed Hyperlink" xfId="26722" builtinId="9" hidden="1"/>
    <cellStyle name="Followed Hyperlink" xfId="26724" builtinId="9" hidden="1"/>
    <cellStyle name="Followed Hyperlink" xfId="26726" builtinId="9" hidden="1"/>
    <cellStyle name="Followed Hyperlink" xfId="26728" builtinId="9" hidden="1"/>
    <cellStyle name="Followed Hyperlink" xfId="26686" builtinId="9" hidden="1"/>
    <cellStyle name="Followed Hyperlink" xfId="26653" builtinId="9" hidden="1"/>
    <cellStyle name="Followed Hyperlink" xfId="26730" builtinId="9" hidden="1"/>
    <cellStyle name="Followed Hyperlink" xfId="26732" builtinId="9" hidden="1"/>
    <cellStyle name="Followed Hyperlink" xfId="26734" builtinId="9" hidden="1"/>
    <cellStyle name="Followed Hyperlink" xfId="26736" builtinId="9" hidden="1"/>
    <cellStyle name="Followed Hyperlink" xfId="26658" builtinId="9" hidden="1"/>
    <cellStyle name="Followed Hyperlink" xfId="26689" builtinId="9" hidden="1"/>
    <cellStyle name="Followed Hyperlink" xfId="26738" builtinId="9" hidden="1"/>
    <cellStyle name="Followed Hyperlink" xfId="26740" builtinId="9" hidden="1"/>
    <cellStyle name="Followed Hyperlink" xfId="26742" builtinId="9" hidden="1"/>
    <cellStyle name="Followed Hyperlink" xfId="26744" builtinId="9" hidden="1"/>
    <cellStyle name="Followed Hyperlink" xfId="26692" builtinId="9" hidden="1"/>
    <cellStyle name="Followed Hyperlink" xfId="26657" builtinId="9" hidden="1"/>
    <cellStyle name="Followed Hyperlink" xfId="26746" builtinId="9" hidden="1"/>
    <cellStyle name="Followed Hyperlink" xfId="26748" builtinId="9" hidden="1"/>
    <cellStyle name="Followed Hyperlink" xfId="26750" builtinId="9" hidden="1"/>
    <cellStyle name="Followed Hyperlink" xfId="26752" builtinId="9" hidden="1"/>
    <cellStyle name="Followed Hyperlink" xfId="26684" builtinId="9" hidden="1"/>
    <cellStyle name="Followed Hyperlink" xfId="26664" builtinId="9" hidden="1"/>
    <cellStyle name="Followed Hyperlink" xfId="26754" builtinId="9" hidden="1"/>
    <cellStyle name="Followed Hyperlink" xfId="26756" builtinId="9" hidden="1"/>
    <cellStyle name="Followed Hyperlink" xfId="26758" builtinId="9" hidden="1"/>
    <cellStyle name="Followed Hyperlink" xfId="26760" builtinId="9" hidden="1"/>
    <cellStyle name="Followed Hyperlink" xfId="26666" builtinId="9" hidden="1"/>
    <cellStyle name="Followed Hyperlink" xfId="26688" builtinId="9" hidden="1"/>
    <cellStyle name="Followed Hyperlink" xfId="26762" builtinId="9" hidden="1"/>
    <cellStyle name="Followed Hyperlink" xfId="26764" builtinId="9" hidden="1"/>
    <cellStyle name="Followed Hyperlink" xfId="26766" builtinId="9" hidden="1"/>
    <cellStyle name="Followed Hyperlink" xfId="26768" builtinId="9" hidden="1"/>
    <cellStyle name="Followed Hyperlink" xfId="26681" builtinId="9" hidden="1"/>
    <cellStyle name="Followed Hyperlink" xfId="26661" builtinId="9" hidden="1"/>
    <cellStyle name="Followed Hyperlink" xfId="26770" builtinId="9" hidden="1"/>
    <cellStyle name="Followed Hyperlink" xfId="26772" builtinId="9" hidden="1"/>
    <cellStyle name="Followed Hyperlink" xfId="26774" builtinId="9" hidden="1"/>
    <cellStyle name="Followed Hyperlink" xfId="26776" builtinId="9" hidden="1"/>
    <cellStyle name="Followed Hyperlink" xfId="26672" builtinId="9" hidden="1"/>
    <cellStyle name="Followed Hyperlink" xfId="26696" builtinId="9" hidden="1"/>
    <cellStyle name="Followed Hyperlink" xfId="26778" builtinId="9" hidden="1"/>
    <cellStyle name="Followed Hyperlink" xfId="26780" builtinId="9" hidden="1"/>
    <cellStyle name="Followed Hyperlink" xfId="26782" builtinId="9" hidden="1"/>
    <cellStyle name="Followed Hyperlink" xfId="26784" builtinId="9" hidden="1"/>
    <cellStyle name="Followed Hyperlink" xfId="26670" builtinId="9" hidden="1"/>
    <cellStyle name="Followed Hyperlink" xfId="26669" builtinId="9" hidden="1"/>
    <cellStyle name="Followed Hyperlink" xfId="26786" builtinId="9" hidden="1"/>
    <cellStyle name="Followed Hyperlink" xfId="26788" builtinId="9" hidden="1"/>
    <cellStyle name="Followed Hyperlink" xfId="26790" builtinId="9" hidden="1"/>
    <cellStyle name="Followed Hyperlink" xfId="26792" builtinId="9" hidden="1"/>
    <cellStyle name="Followed Hyperlink" xfId="26668" builtinId="9" hidden="1"/>
    <cellStyle name="Followed Hyperlink" xfId="26690" builtinId="9" hidden="1"/>
    <cellStyle name="Followed Hyperlink" xfId="26794" builtinId="9" hidden="1"/>
    <cellStyle name="Followed Hyperlink" xfId="26796" builtinId="9" hidden="1"/>
    <cellStyle name="Followed Hyperlink" xfId="26798" builtinId="9" hidden="1"/>
    <cellStyle name="Followed Hyperlink" xfId="26800" builtinId="9" hidden="1"/>
    <cellStyle name="Followed Hyperlink" xfId="19153" builtinId="9" hidden="1"/>
    <cellStyle name="Followed Hyperlink" xfId="26450" builtinId="9" hidden="1"/>
    <cellStyle name="Followed Hyperlink" xfId="26635" builtinId="9" hidden="1"/>
    <cellStyle name="Followed Hyperlink" xfId="26348" builtinId="9" hidden="1"/>
    <cellStyle name="Followed Hyperlink" xfId="26405" builtinId="9" hidden="1"/>
    <cellStyle name="Followed Hyperlink" xfId="26361" builtinId="9" hidden="1"/>
    <cellStyle name="Followed Hyperlink" xfId="26397" builtinId="9" hidden="1"/>
    <cellStyle name="Followed Hyperlink" xfId="26378" builtinId="9" hidden="1"/>
    <cellStyle name="Followed Hyperlink" xfId="26811" builtinId="9" hidden="1"/>
    <cellStyle name="Followed Hyperlink" xfId="26813" builtinId="9" hidden="1"/>
    <cellStyle name="Followed Hyperlink" xfId="26815" builtinId="9" hidden="1"/>
    <cellStyle name="Followed Hyperlink" xfId="26817" builtinId="9" hidden="1"/>
    <cellStyle name="Followed Hyperlink" xfId="26819" builtinId="9" hidden="1"/>
    <cellStyle name="Followed Hyperlink" xfId="26821" builtinId="9" hidden="1"/>
    <cellStyle name="Followed Hyperlink" xfId="26871" builtinId="9" hidden="1"/>
    <cellStyle name="Followed Hyperlink" xfId="26873" builtinId="9" hidden="1"/>
    <cellStyle name="Followed Hyperlink" xfId="26875" builtinId="9" hidden="1"/>
    <cellStyle name="Followed Hyperlink" xfId="26877" builtinId="9" hidden="1"/>
    <cellStyle name="Followed Hyperlink" xfId="26846" builtinId="9" hidden="1"/>
    <cellStyle name="Followed Hyperlink" xfId="26835" builtinId="9" hidden="1"/>
    <cellStyle name="Followed Hyperlink" xfId="26879" builtinId="9" hidden="1"/>
    <cellStyle name="Followed Hyperlink" xfId="26881" builtinId="9" hidden="1"/>
    <cellStyle name="Followed Hyperlink" xfId="26883" builtinId="9" hidden="1"/>
    <cellStyle name="Followed Hyperlink" xfId="26885" builtinId="9" hidden="1"/>
    <cellStyle name="Followed Hyperlink" xfId="26829" builtinId="9" hidden="1"/>
    <cellStyle name="Followed Hyperlink" xfId="26832" builtinId="9" hidden="1"/>
    <cellStyle name="Followed Hyperlink" xfId="26887" builtinId="9" hidden="1"/>
    <cellStyle name="Followed Hyperlink" xfId="26889" builtinId="9" hidden="1"/>
    <cellStyle name="Followed Hyperlink" xfId="26891" builtinId="9" hidden="1"/>
    <cellStyle name="Followed Hyperlink" xfId="26893" builtinId="9" hidden="1"/>
    <cellStyle name="Followed Hyperlink" xfId="26847" builtinId="9" hidden="1"/>
    <cellStyle name="Followed Hyperlink" xfId="26860" builtinId="9" hidden="1"/>
    <cellStyle name="Followed Hyperlink" xfId="26895" builtinId="9" hidden="1"/>
    <cellStyle name="Followed Hyperlink" xfId="26897" builtinId="9" hidden="1"/>
    <cellStyle name="Followed Hyperlink" xfId="26899" builtinId="9" hidden="1"/>
    <cellStyle name="Followed Hyperlink" xfId="26901" builtinId="9" hidden="1"/>
    <cellStyle name="Followed Hyperlink" xfId="26859" builtinId="9" hidden="1"/>
    <cellStyle name="Followed Hyperlink" xfId="26826" builtinId="9" hidden="1"/>
    <cellStyle name="Followed Hyperlink" xfId="26903" builtinId="9" hidden="1"/>
    <cellStyle name="Followed Hyperlink" xfId="26905" builtinId="9" hidden="1"/>
    <cellStyle name="Followed Hyperlink" xfId="26907" builtinId="9" hidden="1"/>
    <cellStyle name="Followed Hyperlink" xfId="26909" builtinId="9" hidden="1"/>
    <cellStyle name="Followed Hyperlink" xfId="26831" builtinId="9" hidden="1"/>
    <cellStyle name="Followed Hyperlink" xfId="26862" builtinId="9" hidden="1"/>
    <cellStyle name="Followed Hyperlink" xfId="26911" builtinId="9" hidden="1"/>
    <cellStyle name="Followed Hyperlink" xfId="26913" builtinId="9" hidden="1"/>
    <cellStyle name="Followed Hyperlink" xfId="26915" builtinId="9" hidden="1"/>
    <cellStyle name="Followed Hyperlink" xfId="26917" builtinId="9" hidden="1"/>
    <cellStyle name="Followed Hyperlink" xfId="26865" builtinId="9" hidden="1"/>
    <cellStyle name="Followed Hyperlink" xfId="26830" builtinId="9" hidden="1"/>
    <cellStyle name="Followed Hyperlink" xfId="26919" builtinId="9" hidden="1"/>
    <cellStyle name="Followed Hyperlink" xfId="26921" builtinId="9" hidden="1"/>
    <cellStyle name="Followed Hyperlink" xfId="26923" builtinId="9" hidden="1"/>
    <cellStyle name="Followed Hyperlink" xfId="26925" builtinId="9" hidden="1"/>
    <cellStyle name="Followed Hyperlink" xfId="26857" builtinId="9" hidden="1"/>
    <cellStyle name="Followed Hyperlink" xfId="26837" builtinId="9" hidden="1"/>
    <cellStyle name="Followed Hyperlink" xfId="26927" builtinId="9" hidden="1"/>
    <cellStyle name="Followed Hyperlink" xfId="26929" builtinId="9" hidden="1"/>
    <cellStyle name="Followed Hyperlink" xfId="26931" builtinId="9" hidden="1"/>
    <cellStyle name="Followed Hyperlink" xfId="26933" builtinId="9" hidden="1"/>
    <cellStyle name="Followed Hyperlink" xfId="26839" builtinId="9" hidden="1"/>
    <cellStyle name="Followed Hyperlink" xfId="26861" builtinId="9" hidden="1"/>
    <cellStyle name="Followed Hyperlink" xfId="26935" builtinId="9" hidden="1"/>
    <cellStyle name="Followed Hyperlink" xfId="26937" builtinId="9" hidden="1"/>
    <cellStyle name="Followed Hyperlink" xfId="26939" builtinId="9" hidden="1"/>
    <cellStyle name="Followed Hyperlink" xfId="26941" builtinId="9" hidden="1"/>
    <cellStyle name="Followed Hyperlink" xfId="26854" builtinId="9" hidden="1"/>
    <cellStyle name="Followed Hyperlink" xfId="26834" builtinId="9" hidden="1"/>
    <cellStyle name="Followed Hyperlink" xfId="26943" builtinId="9" hidden="1"/>
    <cellStyle name="Followed Hyperlink" xfId="26945" builtinId="9" hidden="1"/>
    <cellStyle name="Followed Hyperlink" xfId="26947" builtinId="9" hidden="1"/>
    <cellStyle name="Followed Hyperlink" xfId="26949" builtinId="9" hidden="1"/>
    <cellStyle name="Followed Hyperlink" xfId="26845" builtinId="9" hidden="1"/>
    <cellStyle name="Followed Hyperlink" xfId="26869" builtinId="9" hidden="1"/>
    <cellStyle name="Followed Hyperlink" xfId="26951" builtinId="9" hidden="1"/>
    <cellStyle name="Followed Hyperlink" xfId="26953" builtinId="9" hidden="1"/>
    <cellStyle name="Followed Hyperlink" xfId="26955" builtinId="9" hidden="1"/>
    <cellStyle name="Followed Hyperlink" xfId="26957" builtinId="9" hidden="1"/>
    <cellStyle name="Followed Hyperlink" xfId="26843" builtinId="9" hidden="1"/>
    <cellStyle name="Followed Hyperlink" xfId="26842" builtinId="9" hidden="1"/>
    <cellStyle name="Followed Hyperlink" xfId="26959" builtinId="9" hidden="1"/>
    <cellStyle name="Followed Hyperlink" xfId="26961" builtinId="9" hidden="1"/>
    <cellStyle name="Followed Hyperlink" xfId="26963" builtinId="9" hidden="1"/>
    <cellStyle name="Followed Hyperlink" xfId="26965" builtinId="9" hidden="1"/>
    <cellStyle name="Followed Hyperlink" xfId="26841" builtinId="9" hidden="1"/>
    <cellStyle name="Followed Hyperlink" xfId="26863" builtinId="9" hidden="1"/>
    <cellStyle name="Followed Hyperlink" xfId="26967" builtinId="9" hidden="1"/>
    <cellStyle name="Followed Hyperlink" xfId="26969" builtinId="9" hidden="1"/>
    <cellStyle name="Followed Hyperlink" xfId="26971" builtinId="9" hidden="1"/>
    <cellStyle name="Followed Hyperlink" xfId="26973" builtinId="9" hidden="1"/>
    <cellStyle name="Followed Hyperlink" xfId="26459" builtinId="9" hidden="1"/>
    <cellStyle name="Followed Hyperlink" xfId="26354" builtinId="9" hidden="1"/>
    <cellStyle name="Followed Hyperlink" xfId="26425" builtinId="9" hidden="1"/>
    <cellStyle name="Followed Hyperlink" xfId="26427" builtinId="9" hidden="1"/>
    <cellStyle name="Followed Hyperlink" xfId="26807" builtinId="9" hidden="1"/>
    <cellStyle name="Followed Hyperlink" xfId="26373" builtinId="9" hidden="1"/>
    <cellStyle name="Followed Hyperlink" xfId="26379" builtinId="9" hidden="1"/>
    <cellStyle name="Followed Hyperlink" xfId="26355" builtinId="9" hidden="1"/>
    <cellStyle name="Followed Hyperlink" xfId="26981" builtinId="9" hidden="1"/>
    <cellStyle name="Followed Hyperlink" xfId="26983" builtinId="9" hidden="1"/>
    <cellStyle name="Followed Hyperlink" xfId="26985" builtinId="9" hidden="1"/>
    <cellStyle name="Followed Hyperlink" xfId="26987" builtinId="9" hidden="1"/>
    <cellStyle name="Followed Hyperlink" xfId="26989" builtinId="9" hidden="1"/>
    <cellStyle name="Followed Hyperlink" xfId="26991" builtinId="9" hidden="1"/>
    <cellStyle name="Followed Hyperlink" xfId="27041" builtinId="9" hidden="1"/>
    <cellStyle name="Followed Hyperlink" xfId="27043" builtinId="9" hidden="1"/>
    <cellStyle name="Followed Hyperlink" xfId="27045" builtinId="9" hidden="1"/>
    <cellStyle name="Followed Hyperlink" xfId="27047" builtinId="9" hidden="1"/>
    <cellStyle name="Followed Hyperlink" xfId="27016" builtinId="9" hidden="1"/>
    <cellStyle name="Followed Hyperlink" xfId="27005" builtinId="9" hidden="1"/>
    <cellStyle name="Followed Hyperlink" xfId="27049" builtinId="9" hidden="1"/>
    <cellStyle name="Followed Hyperlink" xfId="27051" builtinId="9" hidden="1"/>
    <cellStyle name="Followed Hyperlink" xfId="27053" builtinId="9" hidden="1"/>
    <cellStyle name="Followed Hyperlink" xfId="27055" builtinId="9" hidden="1"/>
    <cellStyle name="Followed Hyperlink" xfId="26999" builtinId="9" hidden="1"/>
    <cellStyle name="Followed Hyperlink" xfId="27002" builtinId="9" hidden="1"/>
    <cellStyle name="Followed Hyperlink" xfId="27057" builtinId="9" hidden="1"/>
    <cellStyle name="Followed Hyperlink" xfId="27059" builtinId="9" hidden="1"/>
    <cellStyle name="Followed Hyperlink" xfId="27061" builtinId="9" hidden="1"/>
    <cellStyle name="Followed Hyperlink" xfId="27063" builtinId="9" hidden="1"/>
    <cellStyle name="Followed Hyperlink" xfId="27017" builtinId="9" hidden="1"/>
    <cellStyle name="Followed Hyperlink" xfId="27030" builtinId="9" hidden="1"/>
    <cellStyle name="Followed Hyperlink" xfId="27065" builtinId="9" hidden="1"/>
    <cellStyle name="Followed Hyperlink" xfId="27067" builtinId="9" hidden="1"/>
    <cellStyle name="Followed Hyperlink" xfId="27069" builtinId="9" hidden="1"/>
    <cellStyle name="Followed Hyperlink" xfId="27071" builtinId="9" hidden="1"/>
    <cellStyle name="Followed Hyperlink" xfId="27029" builtinId="9" hidden="1"/>
    <cellStyle name="Followed Hyperlink" xfId="26996" builtinId="9" hidden="1"/>
    <cellStyle name="Followed Hyperlink" xfId="27073" builtinId="9" hidden="1"/>
    <cellStyle name="Followed Hyperlink" xfId="27075" builtinId="9" hidden="1"/>
    <cellStyle name="Followed Hyperlink" xfId="27077" builtinId="9" hidden="1"/>
    <cellStyle name="Followed Hyperlink" xfId="27079" builtinId="9" hidden="1"/>
    <cellStyle name="Followed Hyperlink" xfId="27001" builtinId="9" hidden="1"/>
    <cellStyle name="Followed Hyperlink" xfId="27032" builtinId="9" hidden="1"/>
    <cellStyle name="Followed Hyperlink" xfId="27081" builtinId="9" hidden="1"/>
    <cellStyle name="Followed Hyperlink" xfId="27083" builtinId="9" hidden="1"/>
    <cellStyle name="Followed Hyperlink" xfId="27085" builtinId="9" hidden="1"/>
    <cellStyle name="Followed Hyperlink" xfId="27087" builtinId="9" hidden="1"/>
    <cellStyle name="Followed Hyperlink" xfId="27035" builtinId="9" hidden="1"/>
    <cellStyle name="Followed Hyperlink" xfId="27000" builtinId="9" hidden="1"/>
    <cellStyle name="Followed Hyperlink" xfId="27089" builtinId="9" hidden="1"/>
    <cellStyle name="Followed Hyperlink" xfId="27091" builtinId="9" hidden="1"/>
    <cellStyle name="Followed Hyperlink" xfId="27093" builtinId="9" hidden="1"/>
    <cellStyle name="Followed Hyperlink" xfId="27095" builtinId="9" hidden="1"/>
    <cellStyle name="Followed Hyperlink" xfId="27027" builtinId="9" hidden="1"/>
    <cellStyle name="Followed Hyperlink" xfId="27007" builtinId="9" hidden="1"/>
    <cellStyle name="Followed Hyperlink" xfId="27097" builtinId="9" hidden="1"/>
    <cellStyle name="Followed Hyperlink" xfId="27099" builtinId="9" hidden="1"/>
    <cellStyle name="Followed Hyperlink" xfId="27101" builtinId="9" hidden="1"/>
    <cellStyle name="Followed Hyperlink" xfId="27103" builtinId="9" hidden="1"/>
    <cellStyle name="Followed Hyperlink" xfId="27009" builtinId="9" hidden="1"/>
    <cellStyle name="Followed Hyperlink" xfId="27031" builtinId="9" hidden="1"/>
    <cellStyle name="Followed Hyperlink" xfId="27105" builtinId="9" hidden="1"/>
    <cellStyle name="Followed Hyperlink" xfId="27107" builtinId="9" hidden="1"/>
    <cellStyle name="Followed Hyperlink" xfId="27109" builtinId="9" hidden="1"/>
    <cellStyle name="Followed Hyperlink" xfId="27111" builtinId="9" hidden="1"/>
    <cellStyle name="Followed Hyperlink" xfId="27024" builtinId="9" hidden="1"/>
    <cellStyle name="Followed Hyperlink" xfId="27004" builtinId="9" hidden="1"/>
    <cellStyle name="Followed Hyperlink" xfId="27113" builtinId="9" hidden="1"/>
    <cellStyle name="Followed Hyperlink" xfId="27115" builtinId="9" hidden="1"/>
    <cellStyle name="Followed Hyperlink" xfId="27117" builtinId="9" hidden="1"/>
    <cellStyle name="Followed Hyperlink" xfId="27119" builtinId="9" hidden="1"/>
    <cellStyle name="Followed Hyperlink" xfId="27015" builtinId="9" hidden="1"/>
    <cellStyle name="Followed Hyperlink" xfId="27039" builtinId="9" hidden="1"/>
    <cellStyle name="Followed Hyperlink" xfId="27121" builtinId="9" hidden="1"/>
    <cellStyle name="Followed Hyperlink" xfId="27123" builtinId="9" hidden="1"/>
    <cellStyle name="Followed Hyperlink" xfId="27125" builtinId="9" hidden="1"/>
    <cellStyle name="Followed Hyperlink" xfId="27127" builtinId="9" hidden="1"/>
    <cellStyle name="Followed Hyperlink" xfId="27013" builtinId="9" hidden="1"/>
    <cellStyle name="Followed Hyperlink" xfId="27012" builtinId="9" hidden="1"/>
    <cellStyle name="Followed Hyperlink" xfId="27129" builtinId="9" hidden="1"/>
    <cellStyle name="Followed Hyperlink" xfId="27131" builtinId="9" hidden="1"/>
    <cellStyle name="Followed Hyperlink" xfId="27133" builtinId="9" hidden="1"/>
    <cellStyle name="Followed Hyperlink" xfId="27135" builtinId="9" hidden="1"/>
    <cellStyle name="Followed Hyperlink" xfId="27011" builtinId="9" hidden="1"/>
    <cellStyle name="Followed Hyperlink" xfId="27033" builtinId="9" hidden="1"/>
    <cellStyle name="Followed Hyperlink" xfId="27137" builtinId="9" hidden="1"/>
    <cellStyle name="Followed Hyperlink" xfId="27139" builtinId="9" hidden="1"/>
    <cellStyle name="Followed Hyperlink" xfId="27141" builtinId="9" hidden="1"/>
    <cellStyle name="Followed Hyperlink" xfId="27143" builtinId="9" hidden="1"/>
    <cellStyle name="Followed Hyperlink" xfId="26345" builtinId="9" hidden="1"/>
    <cellStyle name="Followed Hyperlink" xfId="26426" builtinId="9" hidden="1"/>
    <cellStyle name="Followed Hyperlink" xfId="26415" builtinId="9" hidden="1"/>
    <cellStyle name="Followed Hyperlink" xfId="26374" builtinId="9" hidden="1"/>
    <cellStyle name="Followed Hyperlink" xfId="26977" builtinId="9" hidden="1"/>
    <cellStyle name="Followed Hyperlink" xfId="26368" builtinId="9" hidden="1"/>
    <cellStyle name="Followed Hyperlink" xfId="26404" builtinId="9" hidden="1"/>
    <cellStyle name="Followed Hyperlink" xfId="26353" builtinId="9" hidden="1"/>
    <cellStyle name="Followed Hyperlink" xfId="27150" builtinId="9" hidden="1"/>
    <cellStyle name="Followed Hyperlink" xfId="27152" builtinId="9" hidden="1"/>
    <cellStyle name="Followed Hyperlink" xfId="27154" builtinId="9" hidden="1"/>
    <cellStyle name="Followed Hyperlink" xfId="27156" builtinId="9" hidden="1"/>
    <cellStyle name="Followed Hyperlink" xfId="27158" builtinId="9" hidden="1"/>
    <cellStyle name="Followed Hyperlink" xfId="27160" builtinId="9" hidden="1"/>
    <cellStyle name="Followed Hyperlink" xfId="27210" builtinId="9" hidden="1"/>
    <cellStyle name="Followed Hyperlink" xfId="27212" builtinId="9" hidden="1"/>
    <cellStyle name="Followed Hyperlink" xfId="27214" builtinId="9" hidden="1"/>
    <cellStyle name="Followed Hyperlink" xfId="27216" builtinId="9" hidden="1"/>
    <cellStyle name="Followed Hyperlink" xfId="27185" builtinId="9" hidden="1"/>
    <cellStyle name="Followed Hyperlink" xfId="27174" builtinId="9" hidden="1"/>
    <cellStyle name="Followed Hyperlink" xfId="27218" builtinId="9" hidden="1"/>
    <cellStyle name="Followed Hyperlink" xfId="27220" builtinId="9" hidden="1"/>
    <cellStyle name="Followed Hyperlink" xfId="27222" builtinId="9" hidden="1"/>
    <cellStyle name="Followed Hyperlink" xfId="27224" builtinId="9" hidden="1"/>
    <cellStyle name="Followed Hyperlink" xfId="27168" builtinId="9" hidden="1"/>
    <cellStyle name="Followed Hyperlink" xfId="27171" builtinId="9" hidden="1"/>
    <cellStyle name="Followed Hyperlink" xfId="27226" builtinId="9" hidden="1"/>
    <cellStyle name="Followed Hyperlink" xfId="27228" builtinId="9" hidden="1"/>
    <cellStyle name="Followed Hyperlink" xfId="27230" builtinId="9" hidden="1"/>
    <cellStyle name="Followed Hyperlink" xfId="27232" builtinId="9" hidden="1"/>
    <cellStyle name="Followed Hyperlink" xfId="27186" builtinId="9" hidden="1"/>
    <cellStyle name="Followed Hyperlink" xfId="27199" builtinId="9" hidden="1"/>
    <cellStyle name="Followed Hyperlink" xfId="27234" builtinId="9" hidden="1"/>
    <cellStyle name="Followed Hyperlink" xfId="27236" builtinId="9" hidden="1"/>
    <cellStyle name="Followed Hyperlink" xfId="27238" builtinId="9" hidden="1"/>
    <cellStyle name="Followed Hyperlink" xfId="27240" builtinId="9" hidden="1"/>
    <cellStyle name="Followed Hyperlink" xfId="27198" builtinId="9" hidden="1"/>
    <cellStyle name="Followed Hyperlink" xfId="27165" builtinId="9" hidden="1"/>
    <cellStyle name="Followed Hyperlink" xfId="27242" builtinId="9" hidden="1"/>
    <cellStyle name="Followed Hyperlink" xfId="27244" builtinId="9" hidden="1"/>
    <cellStyle name="Followed Hyperlink" xfId="27246" builtinId="9" hidden="1"/>
    <cellStyle name="Followed Hyperlink" xfId="27248" builtinId="9" hidden="1"/>
    <cellStyle name="Followed Hyperlink" xfId="27170" builtinId="9" hidden="1"/>
    <cellStyle name="Followed Hyperlink" xfId="27201" builtinId="9" hidden="1"/>
    <cellStyle name="Followed Hyperlink" xfId="27250" builtinId="9" hidden="1"/>
    <cellStyle name="Followed Hyperlink" xfId="27252" builtinId="9" hidden="1"/>
    <cellStyle name="Followed Hyperlink" xfId="27254" builtinId="9" hidden="1"/>
    <cellStyle name="Followed Hyperlink" xfId="27256" builtinId="9" hidden="1"/>
    <cellStyle name="Followed Hyperlink" xfId="27204" builtinId="9" hidden="1"/>
    <cellStyle name="Followed Hyperlink" xfId="27169" builtinId="9" hidden="1"/>
    <cellStyle name="Followed Hyperlink" xfId="27258" builtinId="9" hidden="1"/>
    <cellStyle name="Followed Hyperlink" xfId="27260" builtinId="9" hidden="1"/>
    <cellStyle name="Followed Hyperlink" xfId="27262" builtinId="9" hidden="1"/>
    <cellStyle name="Followed Hyperlink" xfId="27264" builtinId="9" hidden="1"/>
    <cellStyle name="Followed Hyperlink" xfId="27196" builtinId="9" hidden="1"/>
    <cellStyle name="Followed Hyperlink" xfId="27176" builtinId="9" hidden="1"/>
    <cellStyle name="Followed Hyperlink" xfId="27266" builtinId="9" hidden="1"/>
    <cellStyle name="Followed Hyperlink" xfId="27268" builtinId="9" hidden="1"/>
    <cellStyle name="Followed Hyperlink" xfId="27270" builtinId="9" hidden="1"/>
    <cellStyle name="Followed Hyperlink" xfId="27272" builtinId="9" hidden="1"/>
    <cellStyle name="Followed Hyperlink" xfId="27178" builtinId="9" hidden="1"/>
    <cellStyle name="Followed Hyperlink" xfId="27200" builtinId="9" hidden="1"/>
    <cellStyle name="Followed Hyperlink" xfId="27274" builtinId="9" hidden="1"/>
    <cellStyle name="Followed Hyperlink" xfId="27276" builtinId="9" hidden="1"/>
    <cellStyle name="Followed Hyperlink" xfId="27278" builtinId="9" hidden="1"/>
    <cellStyle name="Followed Hyperlink" xfId="27280" builtinId="9" hidden="1"/>
    <cellStyle name="Followed Hyperlink" xfId="27193" builtinId="9" hidden="1"/>
    <cellStyle name="Followed Hyperlink" xfId="27173" builtinId="9" hidden="1"/>
    <cellStyle name="Followed Hyperlink" xfId="27282" builtinId="9" hidden="1"/>
    <cellStyle name="Followed Hyperlink" xfId="27284" builtinId="9" hidden="1"/>
    <cellStyle name="Followed Hyperlink" xfId="27286" builtinId="9" hidden="1"/>
    <cellStyle name="Followed Hyperlink" xfId="27288" builtinId="9" hidden="1"/>
    <cellStyle name="Followed Hyperlink" xfId="27184" builtinId="9" hidden="1"/>
    <cellStyle name="Followed Hyperlink" xfId="27208" builtinId="9" hidden="1"/>
    <cellStyle name="Followed Hyperlink" xfId="27290" builtinId="9" hidden="1"/>
    <cellStyle name="Followed Hyperlink" xfId="27292" builtinId="9" hidden="1"/>
    <cellStyle name="Followed Hyperlink" xfId="27294" builtinId="9" hidden="1"/>
    <cellStyle name="Followed Hyperlink" xfId="27296" builtinId="9" hidden="1"/>
    <cellStyle name="Followed Hyperlink" xfId="27182" builtinId="9" hidden="1"/>
    <cellStyle name="Followed Hyperlink" xfId="27181" builtinId="9" hidden="1"/>
    <cellStyle name="Followed Hyperlink" xfId="27298" builtinId="9" hidden="1"/>
    <cellStyle name="Followed Hyperlink" xfId="27300" builtinId="9" hidden="1"/>
    <cellStyle name="Followed Hyperlink" xfId="27302" builtinId="9" hidden="1"/>
    <cellStyle name="Followed Hyperlink" xfId="27304" builtinId="9" hidden="1"/>
    <cellStyle name="Followed Hyperlink" xfId="27180" builtinId="9" hidden="1"/>
    <cellStyle name="Followed Hyperlink" xfId="27202" builtinId="9" hidden="1"/>
    <cellStyle name="Followed Hyperlink" xfId="27306" builtinId="9" hidden="1"/>
    <cellStyle name="Followed Hyperlink" xfId="27308" builtinId="9" hidden="1"/>
    <cellStyle name="Followed Hyperlink" xfId="27310" builtinId="9" hidden="1"/>
    <cellStyle name="Followed Hyperlink" xfId="27312" builtinId="9" hidden="1"/>
    <cellStyle name="Followed Hyperlink" xfId="26331" builtinId="9" hidden="1"/>
    <cellStyle name="Followed Hyperlink" xfId="26448" builtinId="9" hidden="1"/>
    <cellStyle name="Followed Hyperlink" xfId="26458" builtinId="9" hidden="1"/>
    <cellStyle name="Followed Hyperlink" xfId="26338" builtinId="9" hidden="1"/>
    <cellStyle name="Followed Hyperlink" xfId="27146" builtinId="9" hidden="1"/>
    <cellStyle name="Followed Hyperlink" xfId="26402" builtinId="9" hidden="1"/>
    <cellStyle name="Followed Hyperlink" xfId="26449" builtinId="9" hidden="1"/>
    <cellStyle name="Followed Hyperlink" xfId="26364" builtinId="9" hidden="1"/>
    <cellStyle name="Followed Hyperlink" xfId="27319" builtinId="9" hidden="1"/>
    <cellStyle name="Followed Hyperlink" xfId="27321" builtinId="9" hidden="1"/>
    <cellStyle name="Followed Hyperlink" xfId="27323" builtinId="9" hidden="1"/>
    <cellStyle name="Followed Hyperlink" xfId="27325" builtinId="9" hidden="1"/>
    <cellStyle name="Followed Hyperlink" xfId="27327" builtinId="9" hidden="1"/>
    <cellStyle name="Followed Hyperlink" xfId="27329" builtinId="9" hidden="1"/>
    <cellStyle name="Followed Hyperlink" xfId="27379" builtinId="9" hidden="1"/>
    <cellStyle name="Followed Hyperlink" xfId="27381" builtinId="9" hidden="1"/>
    <cellStyle name="Followed Hyperlink" xfId="27383" builtinId="9" hidden="1"/>
    <cellStyle name="Followed Hyperlink" xfId="27385" builtinId="9" hidden="1"/>
    <cellStyle name="Followed Hyperlink" xfId="27354" builtinId="9" hidden="1"/>
    <cellStyle name="Followed Hyperlink" xfId="27343" builtinId="9" hidden="1"/>
    <cellStyle name="Followed Hyperlink" xfId="27387" builtinId="9" hidden="1"/>
    <cellStyle name="Followed Hyperlink" xfId="27389" builtinId="9" hidden="1"/>
    <cellStyle name="Followed Hyperlink" xfId="27391" builtinId="9" hidden="1"/>
    <cellStyle name="Followed Hyperlink" xfId="27393" builtinId="9" hidden="1"/>
    <cellStyle name="Followed Hyperlink" xfId="27337" builtinId="9" hidden="1"/>
    <cellStyle name="Followed Hyperlink" xfId="27340" builtinId="9" hidden="1"/>
    <cellStyle name="Followed Hyperlink" xfId="27395" builtinId="9" hidden="1"/>
    <cellStyle name="Followed Hyperlink" xfId="27397" builtinId="9" hidden="1"/>
    <cellStyle name="Followed Hyperlink" xfId="27399" builtinId="9" hidden="1"/>
    <cellStyle name="Followed Hyperlink" xfId="27401" builtinId="9" hidden="1"/>
    <cellStyle name="Followed Hyperlink" xfId="27355" builtinId="9" hidden="1"/>
    <cellStyle name="Followed Hyperlink" xfId="27368" builtinId="9" hidden="1"/>
    <cellStyle name="Followed Hyperlink" xfId="27403" builtinId="9" hidden="1"/>
    <cellStyle name="Followed Hyperlink" xfId="27405" builtinId="9" hidden="1"/>
    <cellStyle name="Followed Hyperlink" xfId="27407" builtinId="9" hidden="1"/>
    <cellStyle name="Followed Hyperlink" xfId="27409" builtinId="9" hidden="1"/>
    <cellStyle name="Followed Hyperlink" xfId="27367" builtinId="9" hidden="1"/>
    <cellStyle name="Followed Hyperlink" xfId="27334" builtinId="9" hidden="1"/>
    <cellStyle name="Followed Hyperlink" xfId="27411" builtinId="9" hidden="1"/>
    <cellStyle name="Followed Hyperlink" xfId="27413" builtinId="9" hidden="1"/>
    <cellStyle name="Followed Hyperlink" xfId="27415" builtinId="9" hidden="1"/>
    <cellStyle name="Followed Hyperlink" xfId="27417" builtinId="9" hidden="1"/>
    <cellStyle name="Followed Hyperlink" xfId="27339" builtinId="9" hidden="1"/>
    <cellStyle name="Followed Hyperlink" xfId="27370" builtinId="9" hidden="1"/>
    <cellStyle name="Followed Hyperlink" xfId="27419" builtinId="9" hidden="1"/>
    <cellStyle name="Followed Hyperlink" xfId="27421" builtinId="9" hidden="1"/>
    <cellStyle name="Followed Hyperlink" xfId="27423" builtinId="9" hidden="1"/>
    <cellStyle name="Followed Hyperlink" xfId="27425" builtinId="9" hidden="1"/>
    <cellStyle name="Followed Hyperlink" xfId="27373" builtinId="9" hidden="1"/>
    <cellStyle name="Followed Hyperlink" xfId="27338" builtinId="9" hidden="1"/>
    <cellStyle name="Followed Hyperlink" xfId="27427" builtinId="9" hidden="1"/>
    <cellStyle name="Followed Hyperlink" xfId="27429" builtinId="9" hidden="1"/>
    <cellStyle name="Followed Hyperlink" xfId="27431" builtinId="9" hidden="1"/>
    <cellStyle name="Followed Hyperlink" xfId="27433" builtinId="9" hidden="1"/>
    <cellStyle name="Followed Hyperlink" xfId="27365" builtinId="9" hidden="1"/>
    <cellStyle name="Followed Hyperlink" xfId="27345" builtinId="9" hidden="1"/>
    <cellStyle name="Followed Hyperlink" xfId="27435" builtinId="9" hidden="1"/>
    <cellStyle name="Followed Hyperlink" xfId="27437" builtinId="9" hidden="1"/>
    <cellStyle name="Followed Hyperlink" xfId="27439" builtinId="9" hidden="1"/>
    <cellStyle name="Followed Hyperlink" xfId="27441" builtinId="9" hidden="1"/>
    <cellStyle name="Followed Hyperlink" xfId="27347" builtinId="9" hidden="1"/>
    <cellStyle name="Followed Hyperlink" xfId="27369" builtinId="9" hidden="1"/>
    <cellStyle name="Followed Hyperlink" xfId="27443" builtinId="9" hidden="1"/>
    <cellStyle name="Followed Hyperlink" xfId="27445" builtinId="9" hidden="1"/>
    <cellStyle name="Followed Hyperlink" xfId="27447" builtinId="9" hidden="1"/>
    <cellStyle name="Followed Hyperlink" xfId="27449" builtinId="9" hidden="1"/>
    <cellStyle name="Followed Hyperlink" xfId="27362" builtinId="9" hidden="1"/>
    <cellStyle name="Followed Hyperlink" xfId="27342" builtinId="9" hidden="1"/>
    <cellStyle name="Followed Hyperlink" xfId="27451" builtinId="9" hidden="1"/>
    <cellStyle name="Followed Hyperlink" xfId="27453" builtinId="9" hidden="1"/>
    <cellStyle name="Followed Hyperlink" xfId="27455" builtinId="9" hidden="1"/>
    <cellStyle name="Followed Hyperlink" xfId="27457" builtinId="9" hidden="1"/>
    <cellStyle name="Followed Hyperlink" xfId="27353" builtinId="9" hidden="1"/>
    <cellStyle name="Followed Hyperlink" xfId="27377" builtinId="9" hidden="1"/>
    <cellStyle name="Followed Hyperlink" xfId="27459" builtinId="9" hidden="1"/>
    <cellStyle name="Followed Hyperlink" xfId="27461" builtinId="9" hidden="1"/>
    <cellStyle name="Followed Hyperlink" xfId="27463" builtinId="9" hidden="1"/>
    <cellStyle name="Followed Hyperlink" xfId="27465" builtinId="9" hidden="1"/>
    <cellStyle name="Followed Hyperlink" xfId="27351" builtinId="9" hidden="1"/>
    <cellStyle name="Followed Hyperlink" xfId="27350" builtinId="9" hidden="1"/>
    <cellStyle name="Followed Hyperlink" xfId="27467" builtinId="9" hidden="1"/>
    <cellStyle name="Followed Hyperlink" xfId="27469" builtinId="9" hidden="1"/>
    <cellStyle name="Followed Hyperlink" xfId="27471" builtinId="9" hidden="1"/>
    <cellStyle name="Followed Hyperlink" xfId="27473" builtinId="9" hidden="1"/>
    <cellStyle name="Followed Hyperlink" xfId="27349" builtinId="9" hidden="1"/>
    <cellStyle name="Followed Hyperlink" xfId="27371" builtinId="9" hidden="1"/>
    <cellStyle name="Followed Hyperlink" xfId="27475" builtinId="9" hidden="1"/>
    <cellStyle name="Followed Hyperlink" xfId="27477" builtinId="9" hidden="1"/>
    <cellStyle name="Followed Hyperlink" xfId="27479" builtinId="9" hidden="1"/>
    <cellStyle name="Followed Hyperlink" xfId="27481" builtinId="9" hidden="1"/>
    <cellStyle name="Followed Hyperlink" xfId="26437" builtinId="9" hidden="1"/>
    <cellStyle name="Followed Hyperlink" xfId="26463" builtinId="9" hidden="1"/>
    <cellStyle name="Followed Hyperlink" xfId="26633" builtinId="9" hidden="1"/>
    <cellStyle name="Followed Hyperlink" xfId="26322" builtinId="9" hidden="1"/>
    <cellStyle name="Followed Hyperlink" xfId="27315" builtinId="9" hidden="1"/>
    <cellStyle name="Followed Hyperlink" xfId="26444" builtinId="9" hidden="1"/>
    <cellStyle name="Followed Hyperlink" xfId="26399" builtinId="9" hidden="1"/>
    <cellStyle name="Followed Hyperlink" xfId="26809" builtinId="9" hidden="1"/>
    <cellStyle name="Followed Hyperlink" xfId="27486" builtinId="9" hidden="1"/>
    <cellStyle name="Followed Hyperlink" xfId="27488" builtinId="9" hidden="1"/>
    <cellStyle name="Followed Hyperlink" xfId="27490" builtinId="9" hidden="1"/>
    <cellStyle name="Followed Hyperlink" xfId="27492" builtinId="9" hidden="1"/>
    <cellStyle name="Followed Hyperlink" xfId="27494" builtinId="9" hidden="1"/>
    <cellStyle name="Followed Hyperlink" xfId="27496" builtinId="9" hidden="1"/>
    <cellStyle name="Followed Hyperlink" xfId="27546" builtinId="9" hidden="1"/>
    <cellStyle name="Followed Hyperlink" xfId="27548" builtinId="9" hidden="1"/>
    <cellStyle name="Followed Hyperlink" xfId="27550" builtinId="9" hidden="1"/>
    <cellStyle name="Followed Hyperlink" xfId="27552" builtinId="9" hidden="1"/>
    <cellStyle name="Followed Hyperlink" xfId="27521" builtinId="9" hidden="1"/>
    <cellStyle name="Followed Hyperlink" xfId="27510" builtinId="9" hidden="1"/>
    <cellStyle name="Followed Hyperlink" xfId="27554" builtinId="9" hidden="1"/>
    <cellStyle name="Followed Hyperlink" xfId="27556" builtinId="9" hidden="1"/>
    <cellStyle name="Followed Hyperlink" xfId="27558" builtinId="9" hidden="1"/>
    <cellStyle name="Followed Hyperlink" xfId="27560" builtinId="9" hidden="1"/>
    <cellStyle name="Followed Hyperlink" xfId="27504" builtinId="9" hidden="1"/>
    <cellStyle name="Followed Hyperlink" xfId="27507" builtinId="9" hidden="1"/>
    <cellStyle name="Followed Hyperlink" xfId="27562" builtinId="9" hidden="1"/>
    <cellStyle name="Followed Hyperlink" xfId="27564" builtinId="9" hidden="1"/>
    <cellStyle name="Followed Hyperlink" xfId="27566" builtinId="9" hidden="1"/>
    <cellStyle name="Followed Hyperlink" xfId="27568" builtinId="9" hidden="1"/>
    <cellStyle name="Followed Hyperlink" xfId="27522" builtinId="9" hidden="1"/>
    <cellStyle name="Followed Hyperlink" xfId="27535" builtinId="9" hidden="1"/>
    <cellStyle name="Followed Hyperlink" xfId="27570" builtinId="9" hidden="1"/>
    <cellStyle name="Followed Hyperlink" xfId="27572" builtinId="9" hidden="1"/>
    <cellStyle name="Followed Hyperlink" xfId="27574" builtinId="9" hidden="1"/>
    <cellStyle name="Followed Hyperlink" xfId="27576" builtinId="9" hidden="1"/>
    <cellStyle name="Followed Hyperlink" xfId="27534" builtinId="9" hidden="1"/>
    <cellStyle name="Followed Hyperlink" xfId="27501" builtinId="9" hidden="1"/>
    <cellStyle name="Followed Hyperlink" xfId="27578" builtinId="9" hidden="1"/>
    <cellStyle name="Followed Hyperlink" xfId="27580" builtinId="9" hidden="1"/>
    <cellStyle name="Followed Hyperlink" xfId="27582" builtinId="9" hidden="1"/>
    <cellStyle name="Followed Hyperlink" xfId="27584" builtinId="9" hidden="1"/>
    <cellStyle name="Followed Hyperlink" xfId="27506" builtinId="9" hidden="1"/>
    <cellStyle name="Followed Hyperlink" xfId="27537" builtinId="9" hidden="1"/>
    <cellStyle name="Followed Hyperlink" xfId="27586" builtinId="9" hidden="1"/>
    <cellStyle name="Followed Hyperlink" xfId="27588" builtinId="9" hidden="1"/>
    <cellStyle name="Followed Hyperlink" xfId="27590" builtinId="9" hidden="1"/>
    <cellStyle name="Followed Hyperlink" xfId="27592" builtinId="9" hidden="1"/>
    <cellStyle name="Followed Hyperlink" xfId="27540" builtinId="9" hidden="1"/>
    <cellStyle name="Followed Hyperlink" xfId="27505" builtinId="9" hidden="1"/>
    <cellStyle name="Followed Hyperlink" xfId="27594" builtinId="9" hidden="1"/>
    <cellStyle name="Followed Hyperlink" xfId="27596" builtinId="9" hidden="1"/>
    <cellStyle name="Followed Hyperlink" xfId="27598" builtinId="9" hidden="1"/>
    <cellStyle name="Followed Hyperlink" xfId="27600" builtinId="9" hidden="1"/>
    <cellStyle name="Followed Hyperlink" xfId="27532" builtinId="9" hidden="1"/>
    <cellStyle name="Followed Hyperlink" xfId="27512" builtinId="9" hidden="1"/>
    <cellStyle name="Followed Hyperlink" xfId="27602" builtinId="9" hidden="1"/>
    <cellStyle name="Followed Hyperlink" xfId="27604" builtinId="9" hidden="1"/>
    <cellStyle name="Followed Hyperlink" xfId="27606" builtinId="9" hidden="1"/>
    <cellStyle name="Followed Hyperlink" xfId="27608" builtinId="9" hidden="1"/>
    <cellStyle name="Followed Hyperlink" xfId="27514" builtinId="9" hidden="1"/>
    <cellStyle name="Followed Hyperlink" xfId="27536" builtinId="9" hidden="1"/>
    <cellStyle name="Followed Hyperlink" xfId="27610" builtinId="9" hidden="1"/>
    <cellStyle name="Followed Hyperlink" xfId="27612" builtinId="9" hidden="1"/>
    <cellStyle name="Followed Hyperlink" xfId="27614" builtinId="9" hidden="1"/>
    <cellStyle name="Followed Hyperlink" xfId="27616" builtinId="9" hidden="1"/>
    <cellStyle name="Followed Hyperlink" xfId="27529" builtinId="9" hidden="1"/>
    <cellStyle name="Followed Hyperlink" xfId="27509" builtinId="9" hidden="1"/>
    <cellStyle name="Followed Hyperlink" xfId="27618" builtinId="9" hidden="1"/>
    <cellStyle name="Followed Hyperlink" xfId="27620" builtinId="9" hidden="1"/>
    <cellStyle name="Followed Hyperlink" xfId="27622" builtinId="9" hidden="1"/>
    <cellStyle name="Followed Hyperlink" xfId="27624" builtinId="9" hidden="1"/>
    <cellStyle name="Followed Hyperlink" xfId="27520" builtinId="9" hidden="1"/>
    <cellStyle name="Followed Hyperlink" xfId="27544" builtinId="9" hidden="1"/>
    <cellStyle name="Followed Hyperlink" xfId="27626" builtinId="9" hidden="1"/>
    <cellStyle name="Followed Hyperlink" xfId="27628" builtinId="9" hidden="1"/>
    <cellStyle name="Followed Hyperlink" xfId="27630" builtinId="9" hidden="1"/>
    <cellStyle name="Followed Hyperlink" xfId="27632" builtinId="9" hidden="1"/>
    <cellStyle name="Followed Hyperlink" xfId="27518" builtinId="9" hidden="1"/>
    <cellStyle name="Followed Hyperlink" xfId="27517" builtinId="9" hidden="1"/>
    <cellStyle name="Followed Hyperlink" xfId="27634" builtinId="9" hidden="1"/>
    <cellStyle name="Followed Hyperlink" xfId="27636" builtinId="9" hidden="1"/>
    <cellStyle name="Followed Hyperlink" xfId="27638" builtinId="9" hidden="1"/>
    <cellStyle name="Followed Hyperlink" xfId="27640" builtinId="9" hidden="1"/>
    <cellStyle name="Followed Hyperlink" xfId="27516" builtinId="9" hidden="1"/>
    <cellStyle name="Followed Hyperlink" xfId="27538" builtinId="9" hidden="1"/>
    <cellStyle name="Followed Hyperlink" xfId="27642" builtinId="9" hidden="1"/>
    <cellStyle name="Followed Hyperlink" xfId="27644" builtinId="9" hidden="1"/>
    <cellStyle name="Followed Hyperlink" xfId="27646" builtinId="9" hidden="1"/>
    <cellStyle name="Followed Hyperlink" xfId="27648" builtinId="9" hidden="1"/>
    <cellStyle name="Followed Hyperlink" xfId="26349" builtinId="9" hidden="1"/>
    <cellStyle name="Followed Hyperlink" xfId="26326" builtinId="9" hidden="1"/>
    <cellStyle name="Followed Hyperlink" xfId="26429" builtinId="9" hidden="1"/>
    <cellStyle name="Followed Hyperlink" xfId="26443" builtinId="9" hidden="1"/>
    <cellStyle name="Followed Hyperlink" xfId="27482" builtinId="9" hidden="1"/>
    <cellStyle name="Followed Hyperlink" xfId="26341" builtinId="9" hidden="1"/>
    <cellStyle name="Followed Hyperlink" xfId="26421" builtinId="9" hidden="1"/>
    <cellStyle name="Followed Hyperlink" xfId="26979" builtinId="9" hidden="1"/>
    <cellStyle name="Followed Hyperlink" xfId="27653" builtinId="9" hidden="1"/>
    <cellStyle name="Followed Hyperlink" xfId="27655" builtinId="9" hidden="1"/>
    <cellStyle name="Followed Hyperlink" xfId="27657" builtinId="9" hidden="1"/>
    <cellStyle name="Followed Hyperlink" xfId="27659" builtinId="9" hidden="1"/>
    <cellStyle name="Followed Hyperlink" xfId="27661" builtinId="9" hidden="1"/>
    <cellStyle name="Followed Hyperlink" xfId="27663" builtinId="9" hidden="1"/>
    <cellStyle name="Followed Hyperlink" xfId="27713" builtinId="9" hidden="1"/>
    <cellStyle name="Followed Hyperlink" xfId="27715" builtinId="9" hidden="1"/>
    <cellStyle name="Followed Hyperlink" xfId="27717" builtinId="9" hidden="1"/>
    <cellStyle name="Followed Hyperlink" xfId="27719" builtinId="9" hidden="1"/>
    <cellStyle name="Followed Hyperlink" xfId="27688" builtinId="9" hidden="1"/>
    <cellStyle name="Followed Hyperlink" xfId="27677" builtinId="9" hidden="1"/>
    <cellStyle name="Followed Hyperlink" xfId="27721" builtinId="9" hidden="1"/>
    <cellStyle name="Followed Hyperlink" xfId="27723" builtinId="9" hidden="1"/>
    <cellStyle name="Followed Hyperlink" xfId="27725" builtinId="9" hidden="1"/>
    <cellStyle name="Followed Hyperlink" xfId="27727" builtinId="9" hidden="1"/>
    <cellStyle name="Followed Hyperlink" xfId="27671" builtinId="9" hidden="1"/>
    <cellStyle name="Followed Hyperlink" xfId="27674" builtinId="9" hidden="1"/>
    <cellStyle name="Followed Hyperlink" xfId="27729" builtinId="9" hidden="1"/>
    <cellStyle name="Followed Hyperlink" xfId="27731" builtinId="9" hidden="1"/>
    <cellStyle name="Followed Hyperlink" xfId="27733" builtinId="9" hidden="1"/>
    <cellStyle name="Followed Hyperlink" xfId="27735" builtinId="9" hidden="1"/>
    <cellStyle name="Followed Hyperlink" xfId="27689" builtinId="9" hidden="1"/>
    <cellStyle name="Followed Hyperlink" xfId="27702" builtinId="9" hidden="1"/>
    <cellStyle name="Followed Hyperlink" xfId="27737" builtinId="9" hidden="1"/>
    <cellStyle name="Followed Hyperlink" xfId="27739" builtinId="9" hidden="1"/>
    <cellStyle name="Followed Hyperlink" xfId="27741" builtinId="9" hidden="1"/>
    <cellStyle name="Followed Hyperlink" xfId="27743" builtinId="9" hidden="1"/>
    <cellStyle name="Followed Hyperlink" xfId="27701" builtinId="9" hidden="1"/>
    <cellStyle name="Followed Hyperlink" xfId="27668" builtinId="9" hidden="1"/>
    <cellStyle name="Followed Hyperlink" xfId="27745" builtinId="9" hidden="1"/>
    <cellStyle name="Followed Hyperlink" xfId="27747" builtinId="9" hidden="1"/>
    <cellStyle name="Followed Hyperlink" xfId="27749" builtinId="9" hidden="1"/>
    <cellStyle name="Followed Hyperlink" xfId="27751" builtinId="9" hidden="1"/>
    <cellStyle name="Followed Hyperlink" xfId="27673" builtinId="9" hidden="1"/>
    <cellStyle name="Followed Hyperlink" xfId="27704" builtinId="9" hidden="1"/>
    <cellStyle name="Followed Hyperlink" xfId="27753" builtinId="9" hidden="1"/>
    <cellStyle name="Followed Hyperlink" xfId="27755" builtinId="9" hidden="1"/>
    <cellStyle name="Followed Hyperlink" xfId="27757" builtinId="9" hidden="1"/>
    <cellStyle name="Followed Hyperlink" xfId="27759" builtinId="9" hidden="1"/>
    <cellStyle name="Followed Hyperlink" xfId="27707" builtinId="9" hidden="1"/>
    <cellStyle name="Followed Hyperlink" xfId="27672" builtinId="9" hidden="1"/>
    <cellStyle name="Followed Hyperlink" xfId="27761" builtinId="9" hidden="1"/>
    <cellStyle name="Followed Hyperlink" xfId="27763" builtinId="9" hidden="1"/>
    <cellStyle name="Followed Hyperlink" xfId="27765" builtinId="9" hidden="1"/>
    <cellStyle name="Followed Hyperlink" xfId="27767" builtinId="9" hidden="1"/>
    <cellStyle name="Followed Hyperlink" xfId="27699" builtinId="9" hidden="1"/>
    <cellStyle name="Followed Hyperlink" xfId="27679" builtinId="9" hidden="1"/>
    <cellStyle name="Followed Hyperlink" xfId="27769" builtinId="9" hidden="1"/>
    <cellStyle name="Followed Hyperlink" xfId="27771" builtinId="9" hidden="1"/>
    <cellStyle name="Followed Hyperlink" xfId="27773" builtinId="9" hidden="1"/>
    <cellStyle name="Followed Hyperlink" xfId="27775" builtinId="9" hidden="1"/>
    <cellStyle name="Followed Hyperlink" xfId="27681" builtinId="9" hidden="1"/>
    <cellStyle name="Followed Hyperlink" xfId="27703" builtinId="9" hidden="1"/>
    <cellStyle name="Followed Hyperlink" xfId="27777" builtinId="9" hidden="1"/>
    <cellStyle name="Followed Hyperlink" xfId="27779" builtinId="9" hidden="1"/>
    <cellStyle name="Followed Hyperlink" xfId="27781" builtinId="9" hidden="1"/>
    <cellStyle name="Followed Hyperlink" xfId="27783" builtinId="9" hidden="1"/>
    <cellStyle name="Followed Hyperlink" xfId="27696" builtinId="9" hidden="1"/>
    <cellStyle name="Followed Hyperlink" xfId="27676" builtinId="9" hidden="1"/>
    <cellStyle name="Followed Hyperlink" xfId="27785" builtinId="9" hidden="1"/>
    <cellStyle name="Followed Hyperlink" xfId="27787" builtinId="9" hidden="1"/>
    <cellStyle name="Followed Hyperlink" xfId="27789" builtinId="9" hidden="1"/>
    <cellStyle name="Followed Hyperlink" xfId="27791" builtinId="9" hidden="1"/>
    <cellStyle name="Followed Hyperlink" xfId="27687" builtinId="9" hidden="1"/>
    <cellStyle name="Followed Hyperlink" xfId="27711" builtinId="9" hidden="1"/>
    <cellStyle name="Followed Hyperlink" xfId="27793" builtinId="9" hidden="1"/>
    <cellStyle name="Followed Hyperlink" xfId="27795" builtinId="9" hidden="1"/>
    <cellStyle name="Followed Hyperlink" xfId="27797" builtinId="9" hidden="1"/>
    <cellStyle name="Followed Hyperlink" xfId="27799" builtinId="9" hidden="1"/>
    <cellStyle name="Followed Hyperlink" xfId="27685" builtinId="9" hidden="1"/>
    <cellStyle name="Followed Hyperlink" xfId="27684" builtinId="9" hidden="1"/>
    <cellStyle name="Followed Hyperlink" xfId="27801" builtinId="9" hidden="1"/>
    <cellStyle name="Followed Hyperlink" xfId="27803" builtinId="9" hidden="1"/>
    <cellStyle name="Followed Hyperlink" xfId="27805" builtinId="9" hidden="1"/>
    <cellStyle name="Followed Hyperlink" xfId="27807" builtinId="9" hidden="1"/>
    <cellStyle name="Followed Hyperlink" xfId="27683" builtinId="9" hidden="1"/>
    <cellStyle name="Followed Hyperlink" xfId="27705" builtinId="9" hidden="1"/>
    <cellStyle name="Followed Hyperlink" xfId="27809" builtinId="9" hidden="1"/>
    <cellStyle name="Followed Hyperlink" xfId="27811" builtinId="9" hidden="1"/>
    <cellStyle name="Followed Hyperlink" xfId="27813" builtinId="9" hidden="1"/>
    <cellStyle name="Followed Hyperlink" xfId="27815" builtinId="9" hidden="1"/>
    <cellStyle name="Followed Hyperlink" xfId="26432" builtinId="9" hidden="1"/>
    <cellStyle name="Followed Hyperlink" xfId="26806" builtinId="9" hidden="1"/>
    <cellStyle name="Followed Hyperlink" xfId="26802" builtinId="9" hidden="1"/>
    <cellStyle name="Followed Hyperlink" xfId="26366" builtinId="9" hidden="1"/>
    <cellStyle name="Followed Hyperlink" xfId="27649" builtinId="9" hidden="1"/>
    <cellStyle name="Followed Hyperlink" xfId="26372" builtinId="9" hidden="1"/>
    <cellStyle name="Followed Hyperlink" xfId="26406" builtinId="9" hidden="1"/>
    <cellStyle name="Followed Hyperlink" xfId="27148" builtinId="9" hidden="1"/>
    <cellStyle name="Followed Hyperlink" xfId="27818" builtinId="9" hidden="1"/>
    <cellStyle name="Followed Hyperlink" xfId="27820" builtinId="9" hidden="1"/>
    <cellStyle name="Followed Hyperlink" xfId="27822" builtinId="9" hidden="1"/>
    <cellStyle name="Followed Hyperlink" xfId="27824" builtinId="9" hidden="1"/>
    <cellStyle name="Followed Hyperlink" xfId="27826" builtinId="9" hidden="1"/>
    <cellStyle name="Followed Hyperlink" xfId="27828" builtinId="9" hidden="1"/>
    <cellStyle name="Followed Hyperlink" xfId="27878" builtinId="9" hidden="1"/>
    <cellStyle name="Followed Hyperlink" xfId="27880" builtinId="9" hidden="1"/>
    <cellStyle name="Followed Hyperlink" xfId="27882" builtinId="9" hidden="1"/>
    <cellStyle name="Followed Hyperlink" xfId="27884" builtinId="9" hidden="1"/>
    <cellStyle name="Followed Hyperlink" xfId="27853" builtinId="9" hidden="1"/>
    <cellStyle name="Followed Hyperlink" xfId="27842" builtinId="9" hidden="1"/>
    <cellStyle name="Followed Hyperlink" xfId="27886" builtinId="9" hidden="1"/>
    <cellStyle name="Followed Hyperlink" xfId="27888" builtinId="9" hidden="1"/>
    <cellStyle name="Followed Hyperlink" xfId="27890" builtinId="9" hidden="1"/>
    <cellStyle name="Followed Hyperlink" xfId="27892" builtinId="9" hidden="1"/>
    <cellStyle name="Followed Hyperlink" xfId="27836" builtinId="9" hidden="1"/>
    <cellStyle name="Followed Hyperlink" xfId="27839" builtinId="9" hidden="1"/>
    <cellStyle name="Followed Hyperlink" xfId="27894" builtinId="9" hidden="1"/>
    <cellStyle name="Followed Hyperlink" xfId="27896" builtinId="9" hidden="1"/>
    <cellStyle name="Followed Hyperlink" xfId="27898" builtinId="9" hidden="1"/>
    <cellStyle name="Followed Hyperlink" xfId="27900" builtinId="9" hidden="1"/>
    <cellStyle name="Followed Hyperlink" xfId="27854" builtinId="9" hidden="1"/>
    <cellStyle name="Followed Hyperlink" xfId="27867" builtinId="9" hidden="1"/>
    <cellStyle name="Followed Hyperlink" xfId="27902" builtinId="9" hidden="1"/>
    <cellStyle name="Followed Hyperlink" xfId="27904" builtinId="9" hidden="1"/>
    <cellStyle name="Followed Hyperlink" xfId="27906" builtinId="9" hidden="1"/>
    <cellStyle name="Followed Hyperlink" xfId="27908" builtinId="9" hidden="1"/>
    <cellStyle name="Followed Hyperlink" xfId="27866" builtinId="9" hidden="1"/>
    <cellStyle name="Followed Hyperlink" xfId="27833" builtinId="9" hidden="1"/>
    <cellStyle name="Followed Hyperlink" xfId="27910" builtinId="9" hidden="1"/>
    <cellStyle name="Followed Hyperlink" xfId="27912" builtinId="9" hidden="1"/>
    <cellStyle name="Followed Hyperlink" xfId="27914" builtinId="9" hidden="1"/>
    <cellStyle name="Followed Hyperlink" xfId="27916" builtinId="9" hidden="1"/>
    <cellStyle name="Followed Hyperlink" xfId="27838" builtinId="9" hidden="1"/>
    <cellStyle name="Followed Hyperlink" xfId="27869" builtinId="9" hidden="1"/>
    <cellStyle name="Followed Hyperlink" xfId="27918" builtinId="9" hidden="1"/>
    <cellStyle name="Followed Hyperlink" xfId="27920" builtinId="9" hidden="1"/>
    <cellStyle name="Followed Hyperlink" xfId="27922" builtinId="9" hidden="1"/>
    <cellStyle name="Followed Hyperlink" xfId="27924" builtinId="9" hidden="1"/>
    <cellStyle name="Followed Hyperlink" xfId="27872" builtinId="9" hidden="1"/>
    <cellStyle name="Followed Hyperlink" xfId="27837" builtinId="9" hidden="1"/>
    <cellStyle name="Followed Hyperlink" xfId="27926" builtinId="9" hidden="1"/>
    <cellStyle name="Followed Hyperlink" xfId="27928" builtinId="9" hidden="1"/>
    <cellStyle name="Followed Hyperlink" xfId="27930" builtinId="9" hidden="1"/>
    <cellStyle name="Followed Hyperlink" xfId="27932" builtinId="9" hidden="1"/>
    <cellStyle name="Followed Hyperlink" xfId="27864" builtinId="9" hidden="1"/>
    <cellStyle name="Followed Hyperlink" xfId="27844" builtinId="9" hidden="1"/>
    <cellStyle name="Followed Hyperlink" xfId="27934" builtinId="9" hidden="1"/>
    <cellStyle name="Followed Hyperlink" xfId="27936" builtinId="9" hidden="1"/>
    <cellStyle name="Followed Hyperlink" xfId="27938" builtinId="9" hidden="1"/>
    <cellStyle name="Followed Hyperlink" xfId="27940" builtinId="9" hidden="1"/>
    <cellStyle name="Followed Hyperlink" xfId="27846" builtinId="9" hidden="1"/>
    <cellStyle name="Followed Hyperlink" xfId="27868" builtinId="9" hidden="1"/>
    <cellStyle name="Followed Hyperlink" xfId="27942" builtinId="9" hidden="1"/>
    <cellStyle name="Followed Hyperlink" xfId="27944" builtinId="9" hidden="1"/>
    <cellStyle name="Followed Hyperlink" xfId="27946" builtinId="9" hidden="1"/>
    <cellStyle name="Followed Hyperlink" xfId="27948" builtinId="9" hidden="1"/>
    <cellStyle name="Followed Hyperlink" xfId="27861" builtinId="9" hidden="1"/>
    <cellStyle name="Followed Hyperlink" xfId="27841" builtinId="9" hidden="1"/>
    <cellStyle name="Followed Hyperlink" xfId="27950" builtinId="9" hidden="1"/>
    <cellStyle name="Followed Hyperlink" xfId="27952" builtinId="9" hidden="1"/>
    <cellStyle name="Followed Hyperlink" xfId="27954" builtinId="9" hidden="1"/>
    <cellStyle name="Followed Hyperlink" xfId="27956" builtinId="9" hidden="1"/>
    <cellStyle name="Followed Hyperlink" xfId="27852" builtinId="9" hidden="1"/>
    <cellStyle name="Followed Hyperlink" xfId="27876" builtinId="9" hidden="1"/>
    <cellStyle name="Followed Hyperlink" xfId="27958" builtinId="9" hidden="1"/>
    <cellStyle name="Followed Hyperlink" xfId="27960" builtinId="9" hidden="1"/>
    <cellStyle name="Followed Hyperlink" xfId="27962" builtinId="9" hidden="1"/>
    <cellStyle name="Followed Hyperlink" xfId="27964" builtinId="9" hidden="1"/>
    <cellStyle name="Followed Hyperlink" xfId="27850" builtinId="9" hidden="1"/>
    <cellStyle name="Followed Hyperlink" xfId="27849" builtinId="9" hidden="1"/>
    <cellStyle name="Followed Hyperlink" xfId="27966" builtinId="9" hidden="1"/>
    <cellStyle name="Followed Hyperlink" xfId="27968" builtinId="9" hidden="1"/>
    <cellStyle name="Followed Hyperlink" xfId="27970" builtinId="9" hidden="1"/>
    <cellStyle name="Followed Hyperlink" xfId="27972" builtinId="9" hidden="1"/>
    <cellStyle name="Followed Hyperlink" xfId="27848" builtinId="9" hidden="1"/>
    <cellStyle name="Followed Hyperlink" xfId="27870" builtinId="9" hidden="1"/>
    <cellStyle name="Followed Hyperlink" xfId="27974" builtinId="9" hidden="1"/>
    <cellStyle name="Followed Hyperlink" xfId="27976" builtinId="9" hidden="1"/>
    <cellStyle name="Followed Hyperlink" xfId="27978" builtinId="9" hidden="1"/>
    <cellStyle name="Followed Hyperlink" xfId="27980" builtinId="9" hidden="1"/>
    <cellStyle name="Followed Hyperlink" xfId="26416" builtinId="9" hidden="1"/>
    <cellStyle name="Followed Hyperlink" xfId="26976" builtinId="9" hidden="1"/>
    <cellStyle name="Followed Hyperlink" xfId="26447" builtinId="9" hidden="1"/>
    <cellStyle name="Followed Hyperlink" xfId="26357" builtinId="9" hidden="1"/>
    <cellStyle name="Followed Hyperlink" xfId="27816" builtinId="9" hidden="1"/>
    <cellStyle name="Followed Hyperlink" xfId="26336" builtinId="9" hidden="1"/>
    <cellStyle name="Followed Hyperlink" xfId="26451" builtinId="9" hidden="1"/>
    <cellStyle name="Followed Hyperlink" xfId="27317" builtinId="9" hidden="1"/>
    <cellStyle name="Followed Hyperlink" xfId="27983" builtinId="9" hidden="1"/>
    <cellStyle name="Followed Hyperlink" xfId="27985" builtinId="9" hidden="1"/>
    <cellStyle name="Followed Hyperlink" xfId="27987" builtinId="9" hidden="1"/>
    <cellStyle name="Followed Hyperlink" xfId="27989" builtinId="9" hidden="1"/>
    <cellStyle name="Followed Hyperlink" xfId="27991" builtinId="9" hidden="1"/>
    <cellStyle name="Followed Hyperlink" xfId="27993" builtinId="9" hidden="1"/>
    <cellStyle name="Followed Hyperlink" xfId="28043" builtinId="9" hidden="1"/>
    <cellStyle name="Followed Hyperlink" xfId="28045" builtinId="9" hidden="1"/>
    <cellStyle name="Followed Hyperlink" xfId="28047" builtinId="9" hidden="1"/>
    <cellStyle name="Followed Hyperlink" xfId="28049" builtinId="9" hidden="1"/>
    <cellStyle name="Followed Hyperlink" xfId="28018" builtinId="9" hidden="1"/>
    <cellStyle name="Followed Hyperlink" xfId="28007" builtinId="9" hidden="1"/>
    <cellStyle name="Followed Hyperlink" xfId="28051" builtinId="9" hidden="1"/>
    <cellStyle name="Followed Hyperlink" xfId="28053" builtinId="9" hidden="1"/>
    <cellStyle name="Followed Hyperlink" xfId="28055" builtinId="9" hidden="1"/>
    <cellStyle name="Followed Hyperlink" xfId="28057" builtinId="9" hidden="1"/>
    <cellStyle name="Followed Hyperlink" xfId="28001" builtinId="9" hidden="1"/>
    <cellStyle name="Followed Hyperlink" xfId="28004" builtinId="9" hidden="1"/>
    <cellStyle name="Followed Hyperlink" xfId="28059" builtinId="9" hidden="1"/>
    <cellStyle name="Followed Hyperlink" xfId="28061" builtinId="9" hidden="1"/>
    <cellStyle name="Followed Hyperlink" xfId="28063" builtinId="9" hidden="1"/>
    <cellStyle name="Followed Hyperlink" xfId="28065" builtinId="9" hidden="1"/>
    <cellStyle name="Followed Hyperlink" xfId="28019" builtinId="9" hidden="1"/>
    <cellStyle name="Followed Hyperlink" xfId="28032" builtinId="9" hidden="1"/>
    <cellStyle name="Followed Hyperlink" xfId="28067" builtinId="9" hidden="1"/>
    <cellStyle name="Followed Hyperlink" xfId="28069" builtinId="9" hidden="1"/>
    <cellStyle name="Followed Hyperlink" xfId="28071" builtinId="9" hidden="1"/>
    <cellStyle name="Followed Hyperlink" xfId="28073" builtinId="9" hidden="1"/>
    <cellStyle name="Followed Hyperlink" xfId="28031" builtinId="9" hidden="1"/>
    <cellStyle name="Followed Hyperlink" xfId="27998" builtinId="9" hidden="1"/>
    <cellStyle name="Followed Hyperlink" xfId="28075" builtinId="9" hidden="1"/>
    <cellStyle name="Followed Hyperlink" xfId="28077" builtinId="9" hidden="1"/>
    <cellStyle name="Followed Hyperlink" xfId="28079" builtinId="9" hidden="1"/>
    <cellStyle name="Followed Hyperlink" xfId="28081" builtinId="9" hidden="1"/>
    <cellStyle name="Followed Hyperlink" xfId="28003" builtinId="9" hidden="1"/>
    <cellStyle name="Followed Hyperlink" xfId="28034" builtinId="9" hidden="1"/>
    <cellStyle name="Followed Hyperlink" xfId="28083" builtinId="9" hidden="1"/>
    <cellStyle name="Followed Hyperlink" xfId="28085" builtinId="9" hidden="1"/>
    <cellStyle name="Followed Hyperlink" xfId="28087" builtinId="9" hidden="1"/>
    <cellStyle name="Followed Hyperlink" xfId="28089" builtinId="9" hidden="1"/>
    <cellStyle name="Followed Hyperlink" xfId="28037" builtinId="9" hidden="1"/>
    <cellStyle name="Followed Hyperlink" xfId="28002" builtinId="9" hidden="1"/>
    <cellStyle name="Followed Hyperlink" xfId="28091" builtinId="9" hidden="1"/>
    <cellStyle name="Followed Hyperlink" xfId="28093" builtinId="9" hidden="1"/>
    <cellStyle name="Followed Hyperlink" xfId="28095" builtinId="9" hidden="1"/>
    <cellStyle name="Followed Hyperlink" xfId="28097" builtinId="9" hidden="1"/>
    <cellStyle name="Followed Hyperlink" xfId="28029" builtinId="9" hidden="1"/>
    <cellStyle name="Followed Hyperlink" xfId="28009" builtinId="9" hidden="1"/>
    <cellStyle name="Followed Hyperlink" xfId="28099" builtinId="9" hidden="1"/>
    <cellStyle name="Followed Hyperlink" xfId="28101" builtinId="9" hidden="1"/>
    <cellStyle name="Followed Hyperlink" xfId="28103" builtinId="9" hidden="1"/>
    <cellStyle name="Followed Hyperlink" xfId="28105" builtinId="9" hidden="1"/>
    <cellStyle name="Followed Hyperlink" xfId="28011" builtinId="9" hidden="1"/>
    <cellStyle name="Followed Hyperlink" xfId="28033" builtinId="9" hidden="1"/>
    <cellStyle name="Followed Hyperlink" xfId="28107" builtinId="9" hidden="1"/>
    <cellStyle name="Followed Hyperlink" xfId="28109" builtinId="9" hidden="1"/>
    <cellStyle name="Followed Hyperlink" xfId="28111" builtinId="9" hidden="1"/>
    <cellStyle name="Followed Hyperlink" xfId="28113" builtinId="9" hidden="1"/>
    <cellStyle name="Followed Hyperlink" xfId="28026" builtinId="9" hidden="1"/>
    <cellStyle name="Followed Hyperlink" xfId="28006" builtinId="9" hidden="1"/>
    <cellStyle name="Followed Hyperlink" xfId="28115" builtinId="9" hidden="1"/>
    <cellStyle name="Followed Hyperlink" xfId="28117" builtinId="9" hidden="1"/>
    <cellStyle name="Followed Hyperlink" xfId="28119" builtinId="9" hidden="1"/>
    <cellStyle name="Followed Hyperlink" xfId="28121" builtinId="9" hidden="1"/>
    <cellStyle name="Followed Hyperlink" xfId="28017" builtinId="9" hidden="1"/>
    <cellStyle name="Followed Hyperlink" xfId="28041" builtinId="9" hidden="1"/>
    <cellStyle name="Followed Hyperlink" xfId="28123" builtinId="9" hidden="1"/>
    <cellStyle name="Followed Hyperlink" xfId="28125" builtinId="9" hidden="1"/>
    <cellStyle name="Followed Hyperlink" xfId="28127" builtinId="9" hidden="1"/>
    <cellStyle name="Followed Hyperlink" xfId="28129" builtinId="9" hidden="1"/>
    <cellStyle name="Followed Hyperlink" xfId="28015" builtinId="9" hidden="1"/>
    <cellStyle name="Followed Hyperlink" xfId="28014" builtinId="9" hidden="1"/>
    <cellStyle name="Followed Hyperlink" xfId="28131" builtinId="9" hidden="1"/>
    <cellStyle name="Followed Hyperlink" xfId="28133" builtinId="9" hidden="1"/>
    <cellStyle name="Followed Hyperlink" xfId="28135" builtinId="9" hidden="1"/>
    <cellStyle name="Followed Hyperlink" xfId="28137" builtinId="9" hidden="1"/>
    <cellStyle name="Followed Hyperlink" xfId="28013" builtinId="9" hidden="1"/>
    <cellStyle name="Followed Hyperlink" xfId="28035" builtinId="9" hidden="1"/>
    <cellStyle name="Followed Hyperlink" xfId="28139" builtinId="9" hidden="1"/>
    <cellStyle name="Followed Hyperlink" xfId="28141" builtinId="9" hidden="1"/>
    <cellStyle name="Followed Hyperlink" xfId="28143" builtinId="9" hidden="1"/>
    <cellStyle name="Followed Hyperlink" xfId="28145" builtinId="9" hidden="1"/>
    <cellStyle name="Followed Hyperlink" xfId="26342" builtinId="9" hidden="1"/>
    <cellStyle name="Followed Hyperlink" xfId="27145" builtinId="9" hidden="1"/>
    <cellStyle name="Followed Hyperlink" xfId="26423" builtinId="9" hidden="1"/>
    <cellStyle name="Followed Hyperlink" xfId="26455" builtinId="9" hidden="1"/>
    <cellStyle name="Followed Hyperlink" xfId="27981" builtinId="9" hidden="1"/>
    <cellStyle name="Followed Hyperlink" xfId="26333" builtinId="9" hidden="1"/>
    <cellStyle name="Followed Hyperlink" xfId="26419" builtinId="9" hidden="1"/>
    <cellStyle name="Followed Hyperlink" xfId="27484" builtinId="9" hidden="1"/>
    <cellStyle name="Followed Hyperlink" xfId="28148" builtinId="9" hidden="1"/>
    <cellStyle name="Followed Hyperlink" xfId="28150" builtinId="9" hidden="1"/>
    <cellStyle name="Followed Hyperlink" xfId="28152" builtinId="9" hidden="1"/>
    <cellStyle name="Followed Hyperlink" xfId="28154" builtinId="9" hidden="1"/>
    <cellStyle name="Followed Hyperlink" xfId="28156" builtinId="9" hidden="1"/>
    <cellStyle name="Followed Hyperlink" xfId="28158" builtinId="9" hidden="1"/>
    <cellStyle name="Followed Hyperlink" xfId="28208" builtinId="9" hidden="1"/>
    <cellStyle name="Followed Hyperlink" xfId="28210" builtinId="9" hidden="1"/>
    <cellStyle name="Followed Hyperlink" xfId="28212" builtinId="9" hidden="1"/>
    <cellStyle name="Followed Hyperlink" xfId="28214" builtinId="9" hidden="1"/>
    <cellStyle name="Followed Hyperlink" xfId="28183" builtinId="9" hidden="1"/>
    <cellStyle name="Followed Hyperlink" xfId="28172" builtinId="9" hidden="1"/>
    <cellStyle name="Followed Hyperlink" xfId="28216" builtinId="9" hidden="1"/>
    <cellStyle name="Followed Hyperlink" xfId="28218" builtinId="9" hidden="1"/>
    <cellStyle name="Followed Hyperlink" xfId="28220" builtinId="9" hidden="1"/>
    <cellStyle name="Followed Hyperlink" xfId="28222" builtinId="9" hidden="1"/>
    <cellStyle name="Followed Hyperlink" xfId="28166" builtinId="9" hidden="1"/>
    <cellStyle name="Followed Hyperlink" xfId="28169" builtinId="9" hidden="1"/>
    <cellStyle name="Followed Hyperlink" xfId="28224" builtinId="9" hidden="1"/>
    <cellStyle name="Followed Hyperlink" xfId="28226" builtinId="9" hidden="1"/>
    <cellStyle name="Followed Hyperlink" xfId="28228" builtinId="9" hidden="1"/>
    <cellStyle name="Followed Hyperlink" xfId="28230" builtinId="9" hidden="1"/>
    <cellStyle name="Followed Hyperlink" xfId="28184" builtinId="9" hidden="1"/>
    <cellStyle name="Followed Hyperlink" xfId="28197" builtinId="9" hidden="1"/>
    <cellStyle name="Followed Hyperlink" xfId="28232" builtinId="9" hidden="1"/>
    <cellStyle name="Followed Hyperlink" xfId="28234" builtinId="9" hidden="1"/>
    <cellStyle name="Followed Hyperlink" xfId="28236" builtinId="9" hidden="1"/>
    <cellStyle name="Followed Hyperlink" xfId="28238" builtinId="9" hidden="1"/>
    <cellStyle name="Followed Hyperlink" xfId="28196" builtinId="9" hidden="1"/>
    <cellStyle name="Followed Hyperlink" xfId="28163" builtinId="9" hidden="1"/>
    <cellStyle name="Followed Hyperlink" xfId="28240" builtinId="9" hidden="1"/>
    <cellStyle name="Followed Hyperlink" xfId="28242" builtinId="9" hidden="1"/>
    <cellStyle name="Followed Hyperlink" xfId="28244" builtinId="9" hidden="1"/>
    <cellStyle name="Followed Hyperlink" xfId="28246" builtinId="9" hidden="1"/>
    <cellStyle name="Followed Hyperlink" xfId="28168" builtinId="9" hidden="1"/>
    <cellStyle name="Followed Hyperlink" xfId="28199" builtinId="9" hidden="1"/>
    <cellStyle name="Followed Hyperlink" xfId="28248" builtinId="9" hidden="1"/>
    <cellStyle name="Followed Hyperlink" xfId="28250" builtinId="9" hidden="1"/>
    <cellStyle name="Followed Hyperlink" xfId="28252" builtinId="9" hidden="1"/>
    <cellStyle name="Followed Hyperlink" xfId="28254" builtinId="9" hidden="1"/>
    <cellStyle name="Followed Hyperlink" xfId="28202" builtinId="9" hidden="1"/>
    <cellStyle name="Followed Hyperlink" xfId="28167" builtinId="9" hidden="1"/>
    <cellStyle name="Followed Hyperlink" xfId="28256" builtinId="9" hidden="1"/>
    <cellStyle name="Followed Hyperlink" xfId="28258" builtinId="9" hidden="1"/>
    <cellStyle name="Followed Hyperlink" xfId="28260" builtinId="9" hidden="1"/>
    <cellStyle name="Followed Hyperlink" xfId="28262" builtinId="9" hidden="1"/>
    <cellStyle name="Followed Hyperlink" xfId="28194" builtinId="9" hidden="1"/>
    <cellStyle name="Followed Hyperlink" xfId="28174" builtinId="9" hidden="1"/>
    <cellStyle name="Followed Hyperlink" xfId="28264" builtinId="9" hidden="1"/>
    <cellStyle name="Followed Hyperlink" xfId="28266" builtinId="9" hidden="1"/>
    <cellStyle name="Followed Hyperlink" xfId="28268" builtinId="9" hidden="1"/>
    <cellStyle name="Followed Hyperlink" xfId="28270" builtinId="9" hidden="1"/>
    <cellStyle name="Followed Hyperlink" xfId="28176" builtinId="9" hidden="1"/>
    <cellStyle name="Followed Hyperlink" xfId="28198" builtinId="9" hidden="1"/>
    <cellStyle name="Followed Hyperlink" xfId="28272" builtinId="9" hidden="1"/>
    <cellStyle name="Followed Hyperlink" xfId="28274" builtinId="9" hidden="1"/>
    <cellStyle name="Followed Hyperlink" xfId="28276" builtinId="9" hidden="1"/>
    <cellStyle name="Followed Hyperlink" xfId="28278" builtinId="9" hidden="1"/>
    <cellStyle name="Followed Hyperlink" xfId="28191" builtinId="9" hidden="1"/>
    <cellStyle name="Followed Hyperlink" xfId="28171" builtinId="9" hidden="1"/>
    <cellStyle name="Followed Hyperlink" xfId="28280" builtinId="9" hidden="1"/>
    <cellStyle name="Followed Hyperlink" xfId="28282" builtinId="9" hidden="1"/>
    <cellStyle name="Followed Hyperlink" xfId="28284" builtinId="9" hidden="1"/>
    <cellStyle name="Followed Hyperlink" xfId="28286" builtinId="9" hidden="1"/>
    <cellStyle name="Followed Hyperlink" xfId="28182" builtinId="9" hidden="1"/>
    <cellStyle name="Followed Hyperlink" xfId="28206" builtinId="9" hidden="1"/>
    <cellStyle name="Followed Hyperlink" xfId="28288" builtinId="9" hidden="1"/>
    <cellStyle name="Followed Hyperlink" xfId="28290" builtinId="9" hidden="1"/>
    <cellStyle name="Followed Hyperlink" xfId="28292" builtinId="9" hidden="1"/>
    <cellStyle name="Followed Hyperlink" xfId="28294" builtinId="9" hidden="1"/>
    <cellStyle name="Followed Hyperlink" xfId="28180" builtinId="9" hidden="1"/>
    <cellStyle name="Followed Hyperlink" xfId="28179" builtinId="9" hidden="1"/>
    <cellStyle name="Followed Hyperlink" xfId="28296" builtinId="9" hidden="1"/>
    <cellStyle name="Followed Hyperlink" xfId="28298" builtinId="9" hidden="1"/>
    <cellStyle name="Followed Hyperlink" xfId="28300" builtinId="9" hidden="1"/>
    <cellStyle name="Followed Hyperlink" xfId="28302" builtinId="9" hidden="1"/>
    <cellStyle name="Followed Hyperlink" xfId="28178" builtinId="9" hidden="1"/>
    <cellStyle name="Followed Hyperlink" xfId="28200" builtinId="9" hidden="1"/>
    <cellStyle name="Followed Hyperlink" xfId="28304" builtinId="9" hidden="1"/>
    <cellStyle name="Followed Hyperlink" xfId="28306" builtinId="9" hidden="1"/>
    <cellStyle name="Followed Hyperlink" xfId="28308" builtinId="9" hidden="1"/>
    <cellStyle name="Followed Hyperlink" xfId="28310" builtinId="9" hidden="1"/>
    <cellStyle name="Followed Hyperlink" xfId="26413" builtinId="9" hidden="1"/>
    <cellStyle name="Followed Hyperlink" xfId="27314" builtinId="9" hidden="1"/>
    <cellStyle name="Followed Hyperlink" xfId="26468" builtinId="9" hidden="1"/>
    <cellStyle name="Followed Hyperlink" xfId="26457" builtinId="9" hidden="1"/>
    <cellStyle name="Followed Hyperlink" xfId="28146" builtinId="9" hidden="1"/>
    <cellStyle name="Followed Hyperlink" xfId="26434" builtinId="9" hidden="1"/>
    <cellStyle name="Followed Hyperlink" xfId="26335" builtinId="9" hidden="1"/>
    <cellStyle name="Followed Hyperlink" xfId="27651" builtinId="9" hidden="1"/>
    <cellStyle name="Followed Hyperlink" xfId="28312" builtinId="9" hidden="1"/>
    <cellStyle name="Followed Hyperlink" xfId="28314" builtinId="9" hidden="1"/>
    <cellStyle name="Followed Hyperlink" xfId="28316" builtinId="9" hidden="1"/>
    <cellStyle name="Followed Hyperlink" xfId="28318" builtinId="9" hidden="1"/>
    <cellStyle name="Followed Hyperlink" xfId="28320" builtinId="9" hidden="1"/>
    <cellStyle name="Followed Hyperlink" xfId="28322" builtinId="9" hidden="1"/>
    <cellStyle name="Followed Hyperlink" xfId="28372" builtinId="9" hidden="1"/>
    <cellStyle name="Followed Hyperlink" xfId="28374" builtinId="9" hidden="1"/>
    <cellStyle name="Followed Hyperlink" xfId="28376" builtinId="9" hidden="1"/>
    <cellStyle name="Followed Hyperlink" xfId="28378" builtinId="9" hidden="1"/>
    <cellStyle name="Followed Hyperlink" xfId="28347" builtinId="9" hidden="1"/>
    <cellStyle name="Followed Hyperlink" xfId="28336" builtinId="9" hidden="1"/>
    <cellStyle name="Followed Hyperlink" xfId="28380" builtinId="9" hidden="1"/>
    <cellStyle name="Followed Hyperlink" xfId="28382" builtinId="9" hidden="1"/>
    <cellStyle name="Followed Hyperlink" xfId="28384" builtinId="9" hidden="1"/>
    <cellStyle name="Followed Hyperlink" xfId="28386" builtinId="9" hidden="1"/>
    <cellStyle name="Followed Hyperlink" xfId="28330" builtinId="9" hidden="1"/>
    <cellStyle name="Followed Hyperlink" xfId="28333" builtinId="9" hidden="1"/>
    <cellStyle name="Followed Hyperlink" xfId="28388" builtinId="9" hidden="1"/>
    <cellStyle name="Followed Hyperlink" xfId="28390" builtinId="9" hidden="1"/>
    <cellStyle name="Followed Hyperlink" xfId="28392" builtinId="9" hidden="1"/>
    <cellStyle name="Followed Hyperlink" xfId="28394" builtinId="9" hidden="1"/>
    <cellStyle name="Followed Hyperlink" xfId="28348" builtinId="9" hidden="1"/>
    <cellStyle name="Followed Hyperlink" xfId="28361" builtinId="9" hidden="1"/>
    <cellStyle name="Followed Hyperlink" xfId="28396" builtinId="9" hidden="1"/>
    <cellStyle name="Followed Hyperlink" xfId="28398" builtinId="9" hidden="1"/>
    <cellStyle name="Followed Hyperlink" xfId="28400" builtinId="9" hidden="1"/>
    <cellStyle name="Followed Hyperlink" xfId="28402" builtinId="9" hidden="1"/>
    <cellStyle name="Followed Hyperlink" xfId="28360" builtinId="9" hidden="1"/>
    <cellStyle name="Followed Hyperlink" xfId="28327" builtinId="9" hidden="1"/>
    <cellStyle name="Followed Hyperlink" xfId="28404" builtinId="9" hidden="1"/>
    <cellStyle name="Followed Hyperlink" xfId="28406" builtinId="9" hidden="1"/>
    <cellStyle name="Followed Hyperlink" xfId="28408" builtinId="9" hidden="1"/>
    <cellStyle name="Followed Hyperlink" xfId="28410" builtinId="9" hidden="1"/>
    <cellStyle name="Followed Hyperlink" xfId="28332" builtinId="9" hidden="1"/>
    <cellStyle name="Followed Hyperlink" xfId="28363" builtinId="9" hidden="1"/>
    <cellStyle name="Followed Hyperlink" xfId="28412" builtinId="9" hidden="1"/>
    <cellStyle name="Followed Hyperlink" xfId="28414" builtinId="9" hidden="1"/>
    <cellStyle name="Followed Hyperlink" xfId="28416" builtinId="9" hidden="1"/>
    <cellStyle name="Followed Hyperlink" xfId="28418" builtinId="9" hidden="1"/>
    <cellStyle name="Followed Hyperlink" xfId="28366" builtinId="9" hidden="1"/>
    <cellStyle name="Followed Hyperlink" xfId="28331" builtinId="9" hidden="1"/>
    <cellStyle name="Followed Hyperlink" xfId="28420" builtinId="9" hidden="1"/>
    <cellStyle name="Followed Hyperlink" xfId="28422" builtinId="9" hidden="1"/>
    <cellStyle name="Followed Hyperlink" xfId="28424" builtinId="9" hidden="1"/>
    <cellStyle name="Followed Hyperlink" xfId="28426" builtinId="9" hidden="1"/>
    <cellStyle name="Followed Hyperlink" xfId="28358" builtinId="9" hidden="1"/>
    <cellStyle name="Followed Hyperlink" xfId="28338" builtinId="9" hidden="1"/>
    <cellStyle name="Followed Hyperlink" xfId="28428" builtinId="9" hidden="1"/>
    <cellStyle name="Followed Hyperlink" xfId="28430" builtinId="9" hidden="1"/>
    <cellStyle name="Followed Hyperlink" xfId="28432" builtinId="9" hidden="1"/>
    <cellStyle name="Followed Hyperlink" xfId="28434" builtinId="9" hidden="1"/>
    <cellStyle name="Followed Hyperlink" xfId="28340" builtinId="9" hidden="1"/>
    <cellStyle name="Followed Hyperlink" xfId="28362" builtinId="9" hidden="1"/>
    <cellStyle name="Followed Hyperlink" xfId="28436" builtinId="9" hidden="1"/>
    <cellStyle name="Followed Hyperlink" xfId="28438" builtinId="9" hidden="1"/>
    <cellStyle name="Followed Hyperlink" xfId="28440" builtinId="9" hidden="1"/>
    <cellStyle name="Followed Hyperlink" xfId="28442" builtinId="9" hidden="1"/>
    <cellStyle name="Followed Hyperlink" xfId="28355" builtinId="9" hidden="1"/>
    <cellStyle name="Followed Hyperlink" xfId="28335" builtinId="9" hidden="1"/>
    <cellStyle name="Followed Hyperlink" xfId="28444" builtinId="9" hidden="1"/>
    <cellStyle name="Followed Hyperlink" xfId="28446" builtinId="9" hidden="1"/>
    <cellStyle name="Followed Hyperlink" xfId="28448" builtinId="9" hidden="1"/>
    <cellStyle name="Followed Hyperlink" xfId="28450" builtinId="9" hidden="1"/>
    <cellStyle name="Followed Hyperlink" xfId="28346" builtinId="9" hidden="1"/>
    <cellStyle name="Followed Hyperlink" xfId="28370" builtinId="9" hidden="1"/>
    <cellStyle name="Followed Hyperlink" xfId="28452" builtinId="9" hidden="1"/>
    <cellStyle name="Followed Hyperlink" xfId="28454" builtinId="9" hidden="1"/>
    <cellStyle name="Followed Hyperlink" xfId="28456" builtinId="9" hidden="1"/>
    <cellStyle name="Followed Hyperlink" xfId="28458" builtinId="9" hidden="1"/>
    <cellStyle name="Followed Hyperlink" xfId="28344" builtinId="9" hidden="1"/>
    <cellStyle name="Followed Hyperlink" xfId="28343" builtinId="9" hidden="1"/>
    <cellStyle name="Followed Hyperlink" xfId="28460" builtinId="9" hidden="1"/>
    <cellStyle name="Followed Hyperlink" xfId="28462" builtinId="9" hidden="1"/>
    <cellStyle name="Followed Hyperlink" xfId="28464" builtinId="9" hidden="1"/>
    <cellStyle name="Followed Hyperlink" xfId="28466" builtinId="9" hidden="1"/>
    <cellStyle name="Followed Hyperlink" xfId="28342" builtinId="9" hidden="1"/>
    <cellStyle name="Followed Hyperlink" xfId="28364" builtinId="9" hidden="1"/>
    <cellStyle name="Followed Hyperlink" xfId="28468" builtinId="9" hidden="1"/>
    <cellStyle name="Followed Hyperlink" xfId="28470" builtinId="9" hidden="1"/>
    <cellStyle name="Followed Hyperlink" xfId="28472" builtinId="9" hidden="1"/>
    <cellStyle name="Followed Hyperlink" xfId="28474" builtinId="9" hidden="1"/>
    <cellStyle name="Followed Hyperlink" xfId="19097" builtinId="9" hidden="1"/>
    <cellStyle name="Followed Hyperlink" xfId="23824" builtinId="9" hidden="1"/>
    <cellStyle name="Followed Hyperlink" xfId="23823" builtinId="9" hidden="1"/>
    <cellStyle name="Followed Hyperlink" xfId="19032" builtinId="9" hidden="1"/>
    <cellStyle name="Followed Hyperlink" xfId="19016" builtinId="9" hidden="1"/>
    <cellStyle name="Followed Hyperlink" xfId="19031" builtinId="9" hidden="1"/>
    <cellStyle name="Followed Hyperlink" xfId="26148" builtinId="9" hidden="1"/>
    <cellStyle name="Followed Hyperlink" xfId="19039" builtinId="9" hidden="1"/>
    <cellStyle name="Followed Hyperlink" xfId="19026" builtinId="9" hidden="1"/>
    <cellStyle name="Followed Hyperlink" xfId="19100" builtinId="9" hidden="1"/>
    <cellStyle name="Followed Hyperlink" xfId="21494" builtinId="9" hidden="1"/>
    <cellStyle name="Followed Hyperlink" xfId="19104" builtinId="9" hidden="1"/>
    <cellStyle name="Followed Hyperlink" xfId="19087" builtinId="9" hidden="1"/>
    <cellStyle name="Followed Hyperlink" xfId="19149" builtinId="9" hidden="1"/>
    <cellStyle name="Followed Hyperlink" xfId="28477" builtinId="9" hidden="1"/>
    <cellStyle name="Followed Hyperlink" xfId="28479" builtinId="9" hidden="1"/>
    <cellStyle name="Followed Hyperlink" xfId="28481" builtinId="9" hidden="1"/>
    <cellStyle name="Followed Hyperlink" xfId="28483" builtinId="9" hidden="1"/>
    <cellStyle name="Followed Hyperlink" xfId="28485" builtinId="9" hidden="1"/>
    <cellStyle name="Followed Hyperlink" xfId="28487" builtinId="9" hidden="1"/>
    <cellStyle name="Followed Hyperlink" xfId="28537" builtinId="9" hidden="1"/>
    <cellStyle name="Followed Hyperlink" xfId="28539" builtinId="9" hidden="1"/>
    <cellStyle name="Followed Hyperlink" xfId="28541" builtinId="9" hidden="1"/>
    <cellStyle name="Followed Hyperlink" xfId="28543" builtinId="9" hidden="1"/>
    <cellStyle name="Followed Hyperlink" xfId="28512" builtinId="9" hidden="1"/>
    <cellStyle name="Followed Hyperlink" xfId="28501" builtinId="9" hidden="1"/>
    <cellStyle name="Followed Hyperlink" xfId="28545" builtinId="9" hidden="1"/>
    <cellStyle name="Followed Hyperlink" xfId="28547" builtinId="9" hidden="1"/>
    <cellStyle name="Followed Hyperlink" xfId="28549" builtinId="9" hidden="1"/>
    <cellStyle name="Followed Hyperlink" xfId="28551" builtinId="9" hidden="1"/>
    <cellStyle name="Followed Hyperlink" xfId="28495" builtinId="9" hidden="1"/>
    <cellStyle name="Followed Hyperlink" xfId="28498" builtinId="9" hidden="1"/>
    <cellStyle name="Followed Hyperlink" xfId="28553" builtinId="9" hidden="1"/>
    <cellStyle name="Followed Hyperlink" xfId="28555" builtinId="9" hidden="1"/>
    <cellStyle name="Followed Hyperlink" xfId="28557" builtinId="9" hidden="1"/>
    <cellStyle name="Followed Hyperlink" xfId="28559" builtinId="9" hidden="1"/>
    <cellStyle name="Followed Hyperlink" xfId="28513" builtinId="9" hidden="1"/>
    <cellStyle name="Followed Hyperlink" xfId="28526" builtinId="9" hidden="1"/>
    <cellStyle name="Followed Hyperlink" xfId="28561" builtinId="9" hidden="1"/>
    <cellStyle name="Followed Hyperlink" xfId="28563" builtinId="9" hidden="1"/>
    <cellStyle name="Followed Hyperlink" xfId="28565" builtinId="9" hidden="1"/>
    <cellStyle name="Followed Hyperlink" xfId="28567" builtinId="9" hidden="1"/>
    <cellStyle name="Followed Hyperlink" xfId="28525" builtinId="9" hidden="1"/>
    <cellStyle name="Followed Hyperlink" xfId="28492" builtinId="9" hidden="1"/>
    <cellStyle name="Followed Hyperlink" xfId="28569" builtinId="9" hidden="1"/>
    <cellStyle name="Followed Hyperlink" xfId="28571" builtinId="9" hidden="1"/>
    <cellStyle name="Followed Hyperlink" xfId="28573" builtinId="9" hidden="1"/>
    <cellStyle name="Followed Hyperlink" xfId="28575" builtinId="9" hidden="1"/>
    <cellStyle name="Followed Hyperlink" xfId="28497" builtinId="9" hidden="1"/>
    <cellStyle name="Followed Hyperlink" xfId="28528" builtinId="9" hidden="1"/>
    <cellStyle name="Followed Hyperlink" xfId="28577" builtinId="9" hidden="1"/>
    <cellStyle name="Followed Hyperlink" xfId="28579" builtinId="9" hidden="1"/>
    <cellStyle name="Followed Hyperlink" xfId="28581" builtinId="9" hidden="1"/>
    <cellStyle name="Followed Hyperlink" xfId="28583" builtinId="9" hidden="1"/>
    <cellStyle name="Followed Hyperlink" xfId="28531" builtinId="9" hidden="1"/>
    <cellStyle name="Followed Hyperlink" xfId="28496" builtinId="9" hidden="1"/>
    <cellStyle name="Followed Hyperlink" xfId="28585" builtinId="9" hidden="1"/>
    <cellStyle name="Followed Hyperlink" xfId="28587" builtinId="9" hidden="1"/>
    <cellStyle name="Followed Hyperlink" xfId="28589" builtinId="9" hidden="1"/>
    <cellStyle name="Followed Hyperlink" xfId="28591" builtinId="9" hidden="1"/>
    <cellStyle name="Followed Hyperlink" xfId="28523" builtinId="9" hidden="1"/>
    <cellStyle name="Followed Hyperlink" xfId="28503" builtinId="9" hidden="1"/>
    <cellStyle name="Followed Hyperlink" xfId="28593" builtinId="9" hidden="1"/>
    <cellStyle name="Followed Hyperlink" xfId="28595" builtinId="9" hidden="1"/>
    <cellStyle name="Followed Hyperlink" xfId="28597" builtinId="9" hidden="1"/>
    <cellStyle name="Followed Hyperlink" xfId="28599" builtinId="9" hidden="1"/>
    <cellStyle name="Followed Hyperlink" xfId="28505" builtinId="9" hidden="1"/>
    <cellStyle name="Followed Hyperlink" xfId="28527" builtinId="9" hidden="1"/>
    <cellStyle name="Followed Hyperlink" xfId="28601" builtinId="9" hidden="1"/>
    <cellStyle name="Followed Hyperlink" xfId="28603" builtinId="9" hidden="1"/>
    <cellStyle name="Followed Hyperlink" xfId="28605" builtinId="9" hidden="1"/>
    <cellStyle name="Followed Hyperlink" xfId="28607" builtinId="9" hidden="1"/>
    <cellStyle name="Followed Hyperlink" xfId="28520" builtinId="9" hidden="1"/>
    <cellStyle name="Followed Hyperlink" xfId="28500" builtinId="9" hidden="1"/>
    <cellStyle name="Followed Hyperlink" xfId="28609" builtinId="9" hidden="1"/>
    <cellStyle name="Followed Hyperlink" xfId="28611" builtinId="9" hidden="1"/>
    <cellStyle name="Followed Hyperlink" xfId="28613" builtinId="9" hidden="1"/>
    <cellStyle name="Followed Hyperlink" xfId="28615" builtinId="9" hidden="1"/>
    <cellStyle name="Followed Hyperlink" xfId="28511" builtinId="9" hidden="1"/>
    <cellStyle name="Followed Hyperlink" xfId="28535" builtinId="9" hidden="1"/>
    <cellStyle name="Followed Hyperlink" xfId="28617" builtinId="9" hidden="1"/>
    <cellStyle name="Followed Hyperlink" xfId="28619" builtinId="9" hidden="1"/>
    <cellStyle name="Followed Hyperlink" xfId="28621" builtinId="9" hidden="1"/>
    <cellStyle name="Followed Hyperlink" xfId="28623" builtinId="9" hidden="1"/>
    <cellStyle name="Followed Hyperlink" xfId="28509" builtinId="9" hidden="1"/>
    <cellStyle name="Followed Hyperlink" xfId="28508" builtinId="9" hidden="1"/>
    <cellStyle name="Followed Hyperlink" xfId="28625" builtinId="9" hidden="1"/>
    <cellStyle name="Followed Hyperlink" xfId="28627" builtinId="9" hidden="1"/>
    <cellStyle name="Followed Hyperlink" xfId="28629" builtinId="9" hidden="1"/>
    <cellStyle name="Followed Hyperlink" xfId="28631" builtinId="9" hidden="1"/>
    <cellStyle name="Followed Hyperlink" xfId="28507" builtinId="9" hidden="1"/>
    <cellStyle name="Followed Hyperlink" xfId="28529" builtinId="9" hidden="1"/>
    <cellStyle name="Followed Hyperlink" xfId="28633" builtinId="9" hidden="1"/>
    <cellStyle name="Followed Hyperlink" xfId="28635" builtinId="9" hidden="1"/>
    <cellStyle name="Followed Hyperlink" xfId="28637" builtinId="9" hidden="1"/>
    <cellStyle name="Followed Hyperlink" xfId="28639" builtinId="9" hidden="1"/>
    <cellStyle name="Followed Hyperlink" xfId="28641" builtinId="9" hidden="1"/>
    <cellStyle name="Followed Hyperlink" xfId="28643" builtinId="9" hidden="1"/>
    <cellStyle name="Followed Hyperlink" xfId="28709" builtinId="9" hidden="1"/>
    <cellStyle name="Followed Hyperlink" xfId="28711" builtinId="9" hidden="1"/>
    <cellStyle name="Followed Hyperlink" xfId="28713" builtinId="9" hidden="1"/>
    <cellStyle name="Followed Hyperlink" xfId="28715" builtinId="9" hidden="1"/>
    <cellStyle name="Followed Hyperlink" xfId="28718" builtinId="9" hidden="1"/>
    <cellStyle name="Followed Hyperlink" xfId="28720" builtinId="9" hidden="1"/>
    <cellStyle name="Followed Hyperlink" xfId="28794" builtinId="9" hidden="1"/>
    <cellStyle name="Followed Hyperlink" xfId="28796" builtinId="9" hidden="1"/>
    <cellStyle name="Followed Hyperlink" xfId="28798" builtinId="9" hidden="1"/>
    <cellStyle name="Followed Hyperlink" xfId="28800" builtinId="9" hidden="1"/>
    <cellStyle name="Followed Hyperlink" xfId="28802" builtinId="9" hidden="1"/>
    <cellStyle name="Followed Hyperlink" xfId="28804" builtinId="9" hidden="1"/>
    <cellStyle name="Followed Hyperlink" xfId="28854" builtinId="9" hidden="1"/>
    <cellStyle name="Followed Hyperlink" xfId="28856" builtinId="9" hidden="1"/>
    <cellStyle name="Followed Hyperlink" xfId="28858" builtinId="9" hidden="1"/>
    <cellStyle name="Followed Hyperlink" xfId="28860" builtinId="9" hidden="1"/>
    <cellStyle name="Followed Hyperlink" xfId="28829" builtinId="9" hidden="1"/>
    <cellStyle name="Followed Hyperlink" xfId="28818" builtinId="9" hidden="1"/>
    <cellStyle name="Followed Hyperlink" xfId="28862" builtinId="9" hidden="1"/>
    <cellStyle name="Followed Hyperlink" xfId="28864" builtinId="9" hidden="1"/>
    <cellStyle name="Followed Hyperlink" xfId="28866" builtinId="9" hidden="1"/>
    <cellStyle name="Followed Hyperlink" xfId="28868" builtinId="9" hidden="1"/>
    <cellStyle name="Followed Hyperlink" xfId="28812" builtinId="9" hidden="1"/>
    <cellStyle name="Followed Hyperlink" xfId="28815" builtinId="9" hidden="1"/>
    <cellStyle name="Followed Hyperlink" xfId="28870" builtinId="9" hidden="1"/>
    <cellStyle name="Followed Hyperlink" xfId="28872" builtinId="9" hidden="1"/>
    <cellStyle name="Followed Hyperlink" xfId="28874" builtinId="9" hidden="1"/>
    <cellStyle name="Followed Hyperlink" xfId="28876" builtinId="9" hidden="1"/>
    <cellStyle name="Followed Hyperlink" xfId="28830" builtinId="9" hidden="1"/>
    <cellStyle name="Followed Hyperlink" xfId="28843" builtinId="9" hidden="1"/>
    <cellStyle name="Followed Hyperlink" xfId="28878" builtinId="9" hidden="1"/>
    <cellStyle name="Followed Hyperlink" xfId="28880" builtinId="9" hidden="1"/>
    <cellStyle name="Followed Hyperlink" xfId="28882" builtinId="9" hidden="1"/>
    <cellStyle name="Followed Hyperlink" xfId="28884" builtinId="9" hidden="1"/>
    <cellStyle name="Followed Hyperlink" xfId="28842" builtinId="9" hidden="1"/>
    <cellStyle name="Followed Hyperlink" xfId="28809" builtinId="9" hidden="1"/>
    <cellStyle name="Followed Hyperlink" xfId="28886" builtinId="9" hidden="1"/>
    <cellStyle name="Followed Hyperlink" xfId="28888" builtinId="9" hidden="1"/>
    <cellStyle name="Followed Hyperlink" xfId="28890" builtinId="9" hidden="1"/>
    <cellStyle name="Followed Hyperlink" xfId="28892" builtinId="9" hidden="1"/>
    <cellStyle name="Followed Hyperlink" xfId="28814" builtinId="9" hidden="1"/>
    <cellStyle name="Followed Hyperlink" xfId="28845" builtinId="9" hidden="1"/>
    <cellStyle name="Followed Hyperlink" xfId="28894" builtinId="9" hidden="1"/>
    <cellStyle name="Followed Hyperlink" xfId="28896" builtinId="9" hidden="1"/>
    <cellStyle name="Followed Hyperlink" xfId="28898" builtinId="9" hidden="1"/>
    <cellStyle name="Followed Hyperlink" xfId="28900" builtinId="9" hidden="1"/>
    <cellStyle name="Followed Hyperlink" xfId="28848" builtinId="9" hidden="1"/>
    <cellStyle name="Followed Hyperlink" xfId="28813" builtinId="9" hidden="1"/>
    <cellStyle name="Followed Hyperlink" xfId="28902" builtinId="9" hidden="1"/>
    <cellStyle name="Followed Hyperlink" xfId="28904" builtinId="9" hidden="1"/>
    <cellStyle name="Followed Hyperlink" xfId="28906" builtinId="9" hidden="1"/>
    <cellStyle name="Followed Hyperlink" xfId="28908" builtinId="9" hidden="1"/>
    <cellStyle name="Followed Hyperlink" xfId="28840" builtinId="9" hidden="1"/>
    <cellStyle name="Followed Hyperlink" xfId="28820" builtinId="9" hidden="1"/>
    <cellStyle name="Followed Hyperlink" xfId="28910" builtinId="9" hidden="1"/>
    <cellStyle name="Followed Hyperlink" xfId="28912" builtinId="9" hidden="1"/>
    <cellStyle name="Followed Hyperlink" xfId="28914" builtinId="9" hidden="1"/>
    <cellStyle name="Followed Hyperlink" xfId="28916" builtinId="9" hidden="1"/>
    <cellStyle name="Followed Hyperlink" xfId="28822" builtinId="9" hidden="1"/>
    <cellStyle name="Followed Hyperlink" xfId="28844" builtinId="9" hidden="1"/>
    <cellStyle name="Followed Hyperlink" xfId="28918" builtinId="9" hidden="1"/>
    <cellStyle name="Followed Hyperlink" xfId="28920" builtinId="9" hidden="1"/>
    <cellStyle name="Followed Hyperlink" xfId="28922" builtinId="9" hidden="1"/>
    <cellStyle name="Followed Hyperlink" xfId="28924" builtinId="9" hidden="1"/>
    <cellStyle name="Followed Hyperlink" xfId="28837" builtinId="9" hidden="1"/>
    <cellStyle name="Followed Hyperlink" xfId="28817" builtinId="9" hidden="1"/>
    <cellStyle name="Followed Hyperlink" xfId="28926" builtinId="9" hidden="1"/>
    <cellStyle name="Followed Hyperlink" xfId="28928" builtinId="9" hidden="1"/>
    <cellStyle name="Followed Hyperlink" xfId="28930" builtinId="9" hidden="1"/>
    <cellStyle name="Followed Hyperlink" xfId="28932" builtinId="9" hidden="1"/>
    <cellStyle name="Followed Hyperlink" xfId="28828" builtinId="9" hidden="1"/>
    <cellStyle name="Followed Hyperlink" xfId="28852" builtinId="9" hidden="1"/>
    <cellStyle name="Followed Hyperlink" xfId="28934" builtinId="9" hidden="1"/>
    <cellStyle name="Followed Hyperlink" xfId="28936" builtinId="9" hidden="1"/>
    <cellStyle name="Followed Hyperlink" xfId="28938" builtinId="9" hidden="1"/>
    <cellStyle name="Followed Hyperlink" xfId="28940" builtinId="9" hidden="1"/>
    <cellStyle name="Followed Hyperlink" xfId="28826" builtinId="9" hidden="1"/>
    <cellStyle name="Followed Hyperlink" xfId="28825" builtinId="9" hidden="1"/>
    <cellStyle name="Followed Hyperlink" xfId="28942" builtinId="9" hidden="1"/>
    <cellStyle name="Followed Hyperlink" xfId="28944" builtinId="9" hidden="1"/>
    <cellStyle name="Followed Hyperlink" xfId="28946" builtinId="9" hidden="1"/>
    <cellStyle name="Followed Hyperlink" xfId="28948" builtinId="9" hidden="1"/>
    <cellStyle name="Followed Hyperlink" xfId="28824" builtinId="9" hidden="1"/>
    <cellStyle name="Followed Hyperlink" xfId="28846" builtinId="9" hidden="1"/>
    <cellStyle name="Followed Hyperlink" xfId="28950" builtinId="9" hidden="1"/>
    <cellStyle name="Followed Hyperlink" xfId="28952" builtinId="9" hidden="1"/>
    <cellStyle name="Followed Hyperlink" xfId="28954" builtinId="9" hidden="1"/>
    <cellStyle name="Followed Hyperlink" xfId="28956" builtinId="9" hidden="1"/>
    <cellStyle name="Followed Hyperlink" xfId="28733" builtinId="9" hidden="1"/>
    <cellStyle name="Followed Hyperlink" xfId="28680" builtinId="9" hidden="1"/>
    <cellStyle name="Followed Hyperlink" xfId="28735" builtinId="9" hidden="1"/>
    <cellStyle name="Followed Hyperlink" xfId="28686" builtinId="9" hidden="1"/>
    <cellStyle name="Followed Hyperlink" xfId="28791" builtinId="9" hidden="1"/>
    <cellStyle name="Followed Hyperlink" xfId="28671" builtinId="9" hidden="1"/>
    <cellStyle name="Followed Hyperlink" xfId="28724" builtinId="9" hidden="1"/>
    <cellStyle name="Followed Hyperlink" xfId="28674" builtinId="9" hidden="1"/>
    <cellStyle name="Followed Hyperlink" xfId="28961" builtinId="9" hidden="1"/>
    <cellStyle name="Followed Hyperlink" xfId="28963" builtinId="9" hidden="1"/>
    <cellStyle name="Followed Hyperlink" xfId="28965" builtinId="9" hidden="1"/>
    <cellStyle name="Followed Hyperlink" xfId="28967" builtinId="9" hidden="1"/>
    <cellStyle name="Followed Hyperlink" xfId="28970" builtinId="9" hidden="1"/>
    <cellStyle name="Followed Hyperlink" xfId="28972" builtinId="9" hidden="1"/>
    <cellStyle name="Followed Hyperlink" xfId="29022" builtinId="9" hidden="1"/>
    <cellStyle name="Followed Hyperlink" xfId="29024" builtinId="9" hidden="1"/>
    <cellStyle name="Followed Hyperlink" xfId="29026" builtinId="9" hidden="1"/>
    <cellStyle name="Followed Hyperlink" xfId="29028" builtinId="9" hidden="1"/>
    <cellStyle name="Followed Hyperlink" xfId="28997" builtinId="9" hidden="1"/>
    <cellStyle name="Followed Hyperlink" xfId="28986" builtinId="9" hidden="1"/>
    <cellStyle name="Followed Hyperlink" xfId="29030" builtinId="9" hidden="1"/>
    <cellStyle name="Followed Hyperlink" xfId="29032" builtinId="9" hidden="1"/>
    <cellStyle name="Followed Hyperlink" xfId="29034" builtinId="9" hidden="1"/>
    <cellStyle name="Followed Hyperlink" xfId="29036" builtinId="9" hidden="1"/>
    <cellStyle name="Followed Hyperlink" xfId="28980" builtinId="9" hidden="1"/>
    <cellStyle name="Followed Hyperlink" xfId="28983" builtinId="9" hidden="1"/>
    <cellStyle name="Followed Hyperlink" xfId="29038" builtinId="9" hidden="1"/>
    <cellStyle name="Followed Hyperlink" xfId="29040" builtinId="9" hidden="1"/>
    <cellStyle name="Followed Hyperlink" xfId="29042" builtinId="9" hidden="1"/>
    <cellStyle name="Followed Hyperlink" xfId="29044" builtinId="9" hidden="1"/>
    <cellStyle name="Followed Hyperlink" xfId="28998" builtinId="9" hidden="1"/>
    <cellStyle name="Followed Hyperlink" xfId="29011" builtinId="9" hidden="1"/>
    <cellStyle name="Followed Hyperlink" xfId="29046" builtinId="9" hidden="1"/>
    <cellStyle name="Followed Hyperlink" xfId="29048" builtinId="9" hidden="1"/>
    <cellStyle name="Followed Hyperlink" xfId="29050" builtinId="9" hidden="1"/>
    <cellStyle name="Followed Hyperlink" xfId="29052" builtinId="9" hidden="1"/>
    <cellStyle name="Followed Hyperlink" xfId="29010" builtinId="9" hidden="1"/>
    <cellStyle name="Followed Hyperlink" xfId="28977" builtinId="9" hidden="1"/>
    <cellStyle name="Followed Hyperlink" xfId="29054" builtinId="9" hidden="1"/>
    <cellStyle name="Followed Hyperlink" xfId="29056" builtinId="9" hidden="1"/>
    <cellStyle name="Followed Hyperlink" xfId="29058" builtinId="9" hidden="1"/>
    <cellStyle name="Followed Hyperlink" xfId="29060" builtinId="9" hidden="1"/>
    <cellStyle name="Followed Hyperlink" xfId="28982" builtinId="9" hidden="1"/>
    <cellStyle name="Followed Hyperlink" xfId="29013" builtinId="9" hidden="1"/>
    <cellStyle name="Followed Hyperlink" xfId="29062" builtinId="9" hidden="1"/>
    <cellStyle name="Followed Hyperlink" xfId="29064" builtinId="9" hidden="1"/>
    <cellStyle name="Followed Hyperlink" xfId="29066" builtinId="9" hidden="1"/>
    <cellStyle name="Followed Hyperlink" xfId="29068" builtinId="9" hidden="1"/>
    <cellStyle name="Followed Hyperlink" xfId="29016" builtinId="9" hidden="1"/>
    <cellStyle name="Followed Hyperlink" xfId="28981" builtinId="9" hidden="1"/>
    <cellStyle name="Followed Hyperlink" xfId="29070" builtinId="9" hidden="1"/>
    <cellStyle name="Followed Hyperlink" xfId="29072" builtinId="9" hidden="1"/>
    <cellStyle name="Followed Hyperlink" xfId="29074" builtinId="9" hidden="1"/>
    <cellStyle name="Followed Hyperlink" xfId="29076" builtinId="9" hidden="1"/>
    <cellStyle name="Followed Hyperlink" xfId="29008" builtinId="9" hidden="1"/>
    <cellStyle name="Followed Hyperlink" xfId="28988" builtinId="9" hidden="1"/>
    <cellStyle name="Followed Hyperlink" xfId="29078" builtinId="9" hidden="1"/>
    <cellStyle name="Followed Hyperlink" xfId="29080" builtinId="9" hidden="1"/>
    <cellStyle name="Followed Hyperlink" xfId="29082" builtinId="9" hidden="1"/>
    <cellStyle name="Followed Hyperlink" xfId="29084" builtinId="9" hidden="1"/>
    <cellStyle name="Followed Hyperlink" xfId="28990" builtinId="9" hidden="1"/>
    <cellStyle name="Followed Hyperlink" xfId="29012" builtinId="9" hidden="1"/>
    <cellStyle name="Followed Hyperlink" xfId="29086" builtinId="9" hidden="1"/>
    <cellStyle name="Followed Hyperlink" xfId="29088" builtinId="9" hidden="1"/>
    <cellStyle name="Followed Hyperlink" xfId="29090" builtinId="9" hidden="1"/>
    <cellStyle name="Followed Hyperlink" xfId="29092" builtinId="9" hidden="1"/>
    <cellStyle name="Followed Hyperlink" xfId="29005" builtinId="9" hidden="1"/>
    <cellStyle name="Followed Hyperlink" xfId="28985" builtinId="9" hidden="1"/>
    <cellStyle name="Followed Hyperlink" xfId="29094" builtinId="9" hidden="1"/>
    <cellStyle name="Followed Hyperlink" xfId="29096" builtinId="9" hidden="1"/>
    <cellStyle name="Followed Hyperlink" xfId="29098" builtinId="9" hidden="1"/>
    <cellStyle name="Followed Hyperlink" xfId="29100" builtinId="9" hidden="1"/>
    <cellStyle name="Followed Hyperlink" xfId="28996" builtinId="9" hidden="1"/>
    <cellStyle name="Followed Hyperlink" xfId="29020" builtinId="9" hidden="1"/>
    <cellStyle name="Followed Hyperlink" xfId="29102" builtinId="9" hidden="1"/>
    <cellStyle name="Followed Hyperlink" xfId="29104" builtinId="9" hidden="1"/>
    <cellStyle name="Followed Hyperlink" xfId="29106" builtinId="9" hidden="1"/>
    <cellStyle name="Followed Hyperlink" xfId="29108" builtinId="9" hidden="1"/>
    <cellStyle name="Followed Hyperlink" xfId="28994" builtinId="9" hidden="1"/>
    <cellStyle name="Followed Hyperlink" xfId="28993" builtinId="9" hidden="1"/>
    <cellStyle name="Followed Hyperlink" xfId="29110" builtinId="9" hidden="1"/>
    <cellStyle name="Followed Hyperlink" xfId="29112" builtinId="9" hidden="1"/>
    <cellStyle name="Followed Hyperlink" xfId="29114" builtinId="9" hidden="1"/>
    <cellStyle name="Followed Hyperlink" xfId="29116" builtinId="9" hidden="1"/>
    <cellStyle name="Followed Hyperlink" xfId="28992" builtinId="9" hidden="1"/>
    <cellStyle name="Followed Hyperlink" xfId="29014" builtinId="9" hidden="1"/>
    <cellStyle name="Followed Hyperlink" xfId="29118" builtinId="9" hidden="1"/>
    <cellStyle name="Followed Hyperlink" xfId="29120" builtinId="9" hidden="1"/>
    <cellStyle name="Followed Hyperlink" xfId="29122" builtinId="9" hidden="1"/>
    <cellStyle name="Followed Hyperlink" xfId="29124" builtinId="9" hidden="1"/>
    <cellStyle name="Followed Hyperlink" xfId="19159" builtinId="9" hidden="1"/>
    <cellStyle name="Followed Hyperlink" xfId="28774" builtinId="9" hidden="1"/>
    <cellStyle name="Followed Hyperlink" xfId="28959" builtinId="9" hidden="1"/>
    <cellStyle name="Followed Hyperlink" xfId="28672" builtinId="9" hidden="1"/>
    <cellStyle name="Followed Hyperlink" xfId="28729" builtinId="9" hidden="1"/>
    <cellStyle name="Followed Hyperlink" xfId="28685" builtinId="9" hidden="1"/>
    <cellStyle name="Followed Hyperlink" xfId="28721" builtinId="9" hidden="1"/>
    <cellStyle name="Followed Hyperlink" xfId="28702" builtinId="9" hidden="1"/>
    <cellStyle name="Followed Hyperlink" xfId="29135" builtinId="9" hidden="1"/>
    <cellStyle name="Followed Hyperlink" xfId="29137" builtinId="9" hidden="1"/>
    <cellStyle name="Followed Hyperlink" xfId="29139" builtinId="9" hidden="1"/>
    <cellStyle name="Followed Hyperlink" xfId="29141" builtinId="9" hidden="1"/>
    <cellStyle name="Followed Hyperlink" xfId="29143" builtinId="9" hidden="1"/>
    <cellStyle name="Followed Hyperlink" xfId="29145" builtinId="9" hidden="1"/>
    <cellStyle name="Followed Hyperlink" xfId="29195" builtinId="9" hidden="1"/>
    <cellStyle name="Followed Hyperlink" xfId="29197" builtinId="9" hidden="1"/>
    <cellStyle name="Followed Hyperlink" xfId="29199" builtinId="9" hidden="1"/>
    <cellStyle name="Followed Hyperlink" xfId="29201" builtinId="9" hidden="1"/>
    <cellStyle name="Followed Hyperlink" xfId="29170" builtinId="9" hidden="1"/>
    <cellStyle name="Followed Hyperlink" xfId="29159" builtinId="9" hidden="1"/>
    <cellStyle name="Followed Hyperlink" xfId="29203" builtinId="9" hidden="1"/>
    <cellStyle name="Followed Hyperlink" xfId="29205" builtinId="9" hidden="1"/>
    <cellStyle name="Followed Hyperlink" xfId="29207" builtinId="9" hidden="1"/>
    <cellStyle name="Followed Hyperlink" xfId="29209" builtinId="9" hidden="1"/>
    <cellStyle name="Followed Hyperlink" xfId="29153" builtinId="9" hidden="1"/>
    <cellStyle name="Followed Hyperlink" xfId="29156" builtinId="9" hidden="1"/>
    <cellStyle name="Followed Hyperlink" xfId="29211" builtinId="9" hidden="1"/>
    <cellStyle name="Followed Hyperlink" xfId="29213" builtinId="9" hidden="1"/>
    <cellStyle name="Followed Hyperlink" xfId="29215" builtinId="9" hidden="1"/>
    <cellStyle name="Followed Hyperlink" xfId="29217" builtinId="9" hidden="1"/>
    <cellStyle name="Followed Hyperlink" xfId="29171" builtinId="9" hidden="1"/>
    <cellStyle name="Followed Hyperlink" xfId="29184" builtinId="9" hidden="1"/>
    <cellStyle name="Followed Hyperlink" xfId="29219" builtinId="9" hidden="1"/>
    <cellStyle name="Followed Hyperlink" xfId="29221" builtinId="9" hidden="1"/>
    <cellStyle name="Followed Hyperlink" xfId="29223" builtinId="9" hidden="1"/>
    <cellStyle name="Followed Hyperlink" xfId="29225" builtinId="9" hidden="1"/>
    <cellStyle name="Followed Hyperlink" xfId="29183" builtinId="9" hidden="1"/>
    <cellStyle name="Followed Hyperlink" xfId="29150" builtinId="9" hidden="1"/>
    <cellStyle name="Followed Hyperlink" xfId="29227" builtinId="9" hidden="1"/>
    <cellStyle name="Followed Hyperlink" xfId="29229" builtinId="9" hidden="1"/>
    <cellStyle name="Followed Hyperlink" xfId="29231" builtinId="9" hidden="1"/>
    <cellStyle name="Followed Hyperlink" xfId="29233" builtinId="9" hidden="1"/>
    <cellStyle name="Followed Hyperlink" xfId="29155" builtinId="9" hidden="1"/>
    <cellStyle name="Followed Hyperlink" xfId="29186" builtinId="9" hidden="1"/>
    <cellStyle name="Followed Hyperlink" xfId="29235" builtinId="9" hidden="1"/>
    <cellStyle name="Followed Hyperlink" xfId="29237" builtinId="9" hidden="1"/>
    <cellStyle name="Followed Hyperlink" xfId="29239" builtinId="9" hidden="1"/>
    <cellStyle name="Followed Hyperlink" xfId="29241" builtinId="9" hidden="1"/>
    <cellStyle name="Followed Hyperlink" xfId="29189" builtinId="9" hidden="1"/>
    <cellStyle name="Followed Hyperlink" xfId="29154" builtinId="9" hidden="1"/>
    <cellStyle name="Followed Hyperlink" xfId="29243" builtinId="9" hidden="1"/>
    <cellStyle name="Followed Hyperlink" xfId="29245" builtinId="9" hidden="1"/>
    <cellStyle name="Followed Hyperlink" xfId="29247" builtinId="9" hidden="1"/>
    <cellStyle name="Followed Hyperlink" xfId="29249" builtinId="9" hidden="1"/>
    <cellStyle name="Followed Hyperlink" xfId="29181" builtinId="9" hidden="1"/>
    <cellStyle name="Followed Hyperlink" xfId="29161" builtinId="9" hidden="1"/>
    <cellStyle name="Followed Hyperlink" xfId="29251" builtinId="9" hidden="1"/>
    <cellStyle name="Followed Hyperlink" xfId="29253" builtinId="9" hidden="1"/>
    <cellStyle name="Followed Hyperlink" xfId="29255" builtinId="9" hidden="1"/>
    <cellStyle name="Followed Hyperlink" xfId="29257" builtinId="9" hidden="1"/>
    <cellStyle name="Followed Hyperlink" xfId="29163" builtinId="9" hidden="1"/>
    <cellStyle name="Followed Hyperlink" xfId="29185" builtinId="9" hidden="1"/>
    <cellStyle name="Followed Hyperlink" xfId="29259" builtinId="9" hidden="1"/>
    <cellStyle name="Followed Hyperlink" xfId="29261" builtinId="9" hidden="1"/>
    <cellStyle name="Followed Hyperlink" xfId="29263" builtinId="9" hidden="1"/>
    <cellStyle name="Followed Hyperlink" xfId="29265" builtinId="9" hidden="1"/>
    <cellStyle name="Followed Hyperlink" xfId="29178" builtinId="9" hidden="1"/>
    <cellStyle name="Followed Hyperlink" xfId="29158" builtinId="9" hidden="1"/>
    <cellStyle name="Followed Hyperlink" xfId="29267" builtinId="9" hidden="1"/>
    <cellStyle name="Followed Hyperlink" xfId="29269" builtinId="9" hidden="1"/>
    <cellStyle name="Followed Hyperlink" xfId="29271" builtinId="9" hidden="1"/>
    <cellStyle name="Followed Hyperlink" xfId="29273" builtinId="9" hidden="1"/>
    <cellStyle name="Followed Hyperlink" xfId="29169" builtinId="9" hidden="1"/>
    <cellStyle name="Followed Hyperlink" xfId="29193" builtinId="9" hidden="1"/>
    <cellStyle name="Followed Hyperlink" xfId="29275" builtinId="9" hidden="1"/>
    <cellStyle name="Followed Hyperlink" xfId="29277" builtinId="9" hidden="1"/>
    <cellStyle name="Followed Hyperlink" xfId="29279" builtinId="9" hidden="1"/>
    <cellStyle name="Followed Hyperlink" xfId="29281" builtinId="9" hidden="1"/>
    <cellStyle name="Followed Hyperlink" xfId="29167" builtinId="9" hidden="1"/>
    <cellStyle name="Followed Hyperlink" xfId="29166" builtinId="9" hidden="1"/>
    <cellStyle name="Followed Hyperlink" xfId="29283" builtinId="9" hidden="1"/>
    <cellStyle name="Followed Hyperlink" xfId="29285" builtinId="9" hidden="1"/>
    <cellStyle name="Followed Hyperlink" xfId="29287" builtinId="9" hidden="1"/>
    <cellStyle name="Followed Hyperlink" xfId="29289" builtinId="9" hidden="1"/>
    <cellStyle name="Followed Hyperlink" xfId="29165" builtinId="9" hidden="1"/>
    <cellStyle name="Followed Hyperlink" xfId="29187" builtinId="9" hidden="1"/>
    <cellStyle name="Followed Hyperlink" xfId="29291" builtinId="9" hidden="1"/>
    <cellStyle name="Followed Hyperlink" xfId="29293" builtinId="9" hidden="1"/>
    <cellStyle name="Followed Hyperlink" xfId="29295" builtinId="9" hidden="1"/>
    <cellStyle name="Followed Hyperlink" xfId="29297" builtinId="9" hidden="1"/>
    <cellStyle name="Followed Hyperlink" xfId="28783" builtinId="9" hidden="1"/>
    <cellStyle name="Followed Hyperlink" xfId="28678" builtinId="9" hidden="1"/>
    <cellStyle name="Followed Hyperlink" xfId="28749" builtinId="9" hidden="1"/>
    <cellStyle name="Followed Hyperlink" xfId="28751" builtinId="9" hidden="1"/>
    <cellStyle name="Followed Hyperlink" xfId="29131" builtinId="9" hidden="1"/>
    <cellStyle name="Followed Hyperlink" xfId="28697" builtinId="9" hidden="1"/>
    <cellStyle name="Followed Hyperlink" xfId="28703" builtinId="9" hidden="1"/>
    <cellStyle name="Followed Hyperlink" xfId="28679" builtinId="9" hidden="1"/>
    <cellStyle name="Followed Hyperlink" xfId="29305" builtinId="9" hidden="1"/>
    <cellStyle name="Followed Hyperlink" xfId="29307" builtinId="9" hidden="1"/>
    <cellStyle name="Followed Hyperlink" xfId="29309" builtinId="9" hidden="1"/>
    <cellStyle name="Followed Hyperlink" xfId="29311" builtinId="9" hidden="1"/>
    <cellStyle name="Followed Hyperlink" xfId="29313" builtinId="9" hidden="1"/>
    <cellStyle name="Followed Hyperlink" xfId="29315" builtinId="9" hidden="1"/>
    <cellStyle name="Followed Hyperlink" xfId="29365" builtinId="9" hidden="1"/>
    <cellStyle name="Followed Hyperlink" xfId="29367" builtinId="9" hidden="1"/>
    <cellStyle name="Followed Hyperlink" xfId="29369" builtinId="9" hidden="1"/>
    <cellStyle name="Followed Hyperlink" xfId="29371" builtinId="9" hidden="1"/>
    <cellStyle name="Followed Hyperlink" xfId="29340" builtinId="9" hidden="1"/>
    <cellStyle name="Followed Hyperlink" xfId="29329" builtinId="9" hidden="1"/>
    <cellStyle name="Followed Hyperlink" xfId="29373" builtinId="9" hidden="1"/>
    <cellStyle name="Followed Hyperlink" xfId="29375" builtinId="9" hidden="1"/>
    <cellStyle name="Followed Hyperlink" xfId="29377" builtinId="9" hidden="1"/>
    <cellStyle name="Followed Hyperlink" xfId="29379" builtinId="9" hidden="1"/>
    <cellStyle name="Followed Hyperlink" xfId="29323" builtinId="9" hidden="1"/>
    <cellStyle name="Followed Hyperlink" xfId="29326" builtinId="9" hidden="1"/>
    <cellStyle name="Followed Hyperlink" xfId="29381" builtinId="9" hidden="1"/>
    <cellStyle name="Followed Hyperlink" xfId="29383" builtinId="9" hidden="1"/>
    <cellStyle name="Followed Hyperlink" xfId="29385" builtinId="9" hidden="1"/>
    <cellStyle name="Followed Hyperlink" xfId="29387" builtinId="9" hidden="1"/>
    <cellStyle name="Followed Hyperlink" xfId="29341" builtinId="9" hidden="1"/>
    <cellStyle name="Followed Hyperlink" xfId="29354" builtinId="9" hidden="1"/>
    <cellStyle name="Followed Hyperlink" xfId="29389" builtinId="9" hidden="1"/>
    <cellStyle name="Followed Hyperlink" xfId="29391" builtinId="9" hidden="1"/>
    <cellStyle name="Followed Hyperlink" xfId="29393" builtinId="9" hidden="1"/>
    <cellStyle name="Followed Hyperlink" xfId="29395" builtinId="9" hidden="1"/>
    <cellStyle name="Followed Hyperlink" xfId="29353" builtinId="9" hidden="1"/>
    <cellStyle name="Followed Hyperlink" xfId="29320" builtinId="9" hidden="1"/>
    <cellStyle name="Followed Hyperlink" xfId="29397" builtinId="9" hidden="1"/>
    <cellStyle name="Followed Hyperlink" xfId="29399" builtinId="9" hidden="1"/>
    <cellStyle name="Followed Hyperlink" xfId="29401" builtinId="9" hidden="1"/>
    <cellStyle name="Followed Hyperlink" xfId="29403" builtinId="9" hidden="1"/>
    <cellStyle name="Followed Hyperlink" xfId="29325" builtinId="9" hidden="1"/>
    <cellStyle name="Followed Hyperlink" xfId="29356" builtinId="9" hidden="1"/>
    <cellStyle name="Followed Hyperlink" xfId="29405" builtinId="9" hidden="1"/>
    <cellStyle name="Followed Hyperlink" xfId="29407" builtinId="9" hidden="1"/>
    <cellStyle name="Followed Hyperlink" xfId="29409" builtinId="9" hidden="1"/>
    <cellStyle name="Followed Hyperlink" xfId="29411" builtinId="9" hidden="1"/>
    <cellStyle name="Followed Hyperlink" xfId="29359" builtinId="9" hidden="1"/>
    <cellStyle name="Followed Hyperlink" xfId="29324" builtinId="9" hidden="1"/>
    <cellStyle name="Followed Hyperlink" xfId="29413" builtinId="9" hidden="1"/>
    <cellStyle name="Followed Hyperlink" xfId="29415" builtinId="9" hidden="1"/>
    <cellStyle name="Followed Hyperlink" xfId="29417" builtinId="9" hidden="1"/>
    <cellStyle name="Followed Hyperlink" xfId="29419" builtinId="9" hidden="1"/>
    <cellStyle name="Followed Hyperlink" xfId="29351" builtinId="9" hidden="1"/>
    <cellStyle name="Followed Hyperlink" xfId="29331" builtinId="9" hidden="1"/>
    <cellStyle name="Followed Hyperlink" xfId="29421" builtinId="9" hidden="1"/>
    <cellStyle name="Followed Hyperlink" xfId="29423" builtinId="9" hidden="1"/>
    <cellStyle name="Followed Hyperlink" xfId="29425" builtinId="9" hidden="1"/>
    <cellStyle name="Followed Hyperlink" xfId="29427" builtinId="9" hidden="1"/>
    <cellStyle name="Followed Hyperlink" xfId="29333" builtinId="9" hidden="1"/>
    <cellStyle name="Followed Hyperlink" xfId="29355" builtinId="9" hidden="1"/>
    <cellStyle name="Followed Hyperlink" xfId="29429" builtinId="9" hidden="1"/>
    <cellStyle name="Followed Hyperlink" xfId="29431" builtinId="9" hidden="1"/>
    <cellStyle name="Followed Hyperlink" xfId="29433" builtinId="9" hidden="1"/>
    <cellStyle name="Followed Hyperlink" xfId="29435" builtinId="9" hidden="1"/>
    <cellStyle name="Followed Hyperlink" xfId="29348" builtinId="9" hidden="1"/>
    <cellStyle name="Followed Hyperlink" xfId="29328" builtinId="9" hidden="1"/>
    <cellStyle name="Followed Hyperlink" xfId="29437" builtinId="9" hidden="1"/>
    <cellStyle name="Followed Hyperlink" xfId="29439" builtinId="9" hidden="1"/>
    <cellStyle name="Followed Hyperlink" xfId="29441" builtinId="9" hidden="1"/>
    <cellStyle name="Followed Hyperlink" xfId="29443" builtinId="9" hidden="1"/>
    <cellStyle name="Followed Hyperlink" xfId="29339" builtinId="9" hidden="1"/>
    <cellStyle name="Followed Hyperlink" xfId="29363" builtinId="9" hidden="1"/>
    <cellStyle name="Followed Hyperlink" xfId="29445" builtinId="9" hidden="1"/>
    <cellStyle name="Followed Hyperlink" xfId="29447" builtinId="9" hidden="1"/>
    <cellStyle name="Followed Hyperlink" xfId="29449" builtinId="9" hidden="1"/>
    <cellStyle name="Followed Hyperlink" xfId="29451" builtinId="9" hidden="1"/>
    <cellStyle name="Followed Hyperlink" xfId="29337" builtinId="9" hidden="1"/>
    <cellStyle name="Followed Hyperlink" xfId="29336" builtinId="9" hidden="1"/>
    <cellStyle name="Followed Hyperlink" xfId="29453" builtinId="9" hidden="1"/>
    <cellStyle name="Followed Hyperlink" xfId="29455" builtinId="9" hidden="1"/>
    <cellStyle name="Followed Hyperlink" xfId="29457" builtinId="9" hidden="1"/>
    <cellStyle name="Followed Hyperlink" xfId="29459" builtinId="9" hidden="1"/>
    <cellStyle name="Followed Hyperlink" xfId="29335" builtinId="9" hidden="1"/>
    <cellStyle name="Followed Hyperlink" xfId="29357" builtinId="9" hidden="1"/>
    <cellStyle name="Followed Hyperlink" xfId="29461" builtinId="9" hidden="1"/>
    <cellStyle name="Followed Hyperlink" xfId="29463" builtinId="9" hidden="1"/>
    <cellStyle name="Followed Hyperlink" xfId="29465" builtinId="9" hidden="1"/>
    <cellStyle name="Followed Hyperlink" xfId="29467" builtinId="9" hidden="1"/>
    <cellStyle name="Followed Hyperlink" xfId="28669" builtinId="9" hidden="1"/>
    <cellStyle name="Followed Hyperlink" xfId="28750" builtinId="9" hidden="1"/>
    <cellStyle name="Followed Hyperlink" xfId="28739" builtinId="9" hidden="1"/>
    <cellStyle name="Followed Hyperlink" xfId="28698" builtinId="9" hidden="1"/>
    <cellStyle name="Followed Hyperlink" xfId="29301" builtinId="9" hidden="1"/>
    <cellStyle name="Followed Hyperlink" xfId="28692" builtinId="9" hidden="1"/>
    <cellStyle name="Followed Hyperlink" xfId="28728" builtinId="9" hidden="1"/>
    <cellStyle name="Followed Hyperlink" xfId="28677" builtinId="9" hidden="1"/>
    <cellStyle name="Followed Hyperlink" xfId="29474" builtinId="9" hidden="1"/>
    <cellStyle name="Followed Hyperlink" xfId="29476" builtinId="9" hidden="1"/>
    <cellStyle name="Followed Hyperlink" xfId="29478" builtinId="9" hidden="1"/>
    <cellStyle name="Followed Hyperlink" xfId="29480" builtinId="9" hidden="1"/>
    <cellStyle name="Followed Hyperlink" xfId="29482" builtinId="9" hidden="1"/>
    <cellStyle name="Followed Hyperlink" xfId="29484" builtinId="9" hidden="1"/>
    <cellStyle name="Followed Hyperlink" xfId="29534" builtinId="9" hidden="1"/>
    <cellStyle name="Followed Hyperlink" xfId="29536" builtinId="9" hidden="1"/>
    <cellStyle name="Followed Hyperlink" xfId="29538" builtinId="9" hidden="1"/>
    <cellStyle name="Followed Hyperlink" xfId="29540" builtinId="9" hidden="1"/>
    <cellStyle name="Followed Hyperlink" xfId="29509" builtinId="9" hidden="1"/>
    <cellStyle name="Followed Hyperlink" xfId="29498" builtinId="9" hidden="1"/>
    <cellStyle name="Followed Hyperlink" xfId="29542" builtinId="9" hidden="1"/>
    <cellStyle name="Followed Hyperlink" xfId="29544" builtinId="9" hidden="1"/>
    <cellStyle name="Followed Hyperlink" xfId="29546" builtinId="9" hidden="1"/>
    <cellStyle name="Followed Hyperlink" xfId="29548" builtinId="9" hidden="1"/>
    <cellStyle name="Followed Hyperlink" xfId="29492" builtinId="9" hidden="1"/>
    <cellStyle name="Followed Hyperlink" xfId="29495" builtinId="9" hidden="1"/>
    <cellStyle name="Followed Hyperlink" xfId="29550" builtinId="9" hidden="1"/>
    <cellStyle name="Followed Hyperlink" xfId="29552" builtinId="9" hidden="1"/>
    <cellStyle name="Followed Hyperlink" xfId="29554" builtinId="9" hidden="1"/>
    <cellStyle name="Followed Hyperlink" xfId="29556" builtinId="9" hidden="1"/>
    <cellStyle name="Followed Hyperlink" xfId="29510" builtinId="9" hidden="1"/>
    <cellStyle name="Followed Hyperlink" xfId="29523" builtinId="9" hidden="1"/>
    <cellStyle name="Followed Hyperlink" xfId="29558" builtinId="9" hidden="1"/>
    <cellStyle name="Followed Hyperlink" xfId="29560" builtinId="9" hidden="1"/>
    <cellStyle name="Followed Hyperlink" xfId="29562" builtinId="9" hidden="1"/>
    <cellStyle name="Followed Hyperlink" xfId="29564" builtinId="9" hidden="1"/>
    <cellStyle name="Followed Hyperlink" xfId="29522" builtinId="9" hidden="1"/>
    <cellStyle name="Followed Hyperlink" xfId="29489" builtinId="9" hidden="1"/>
    <cellStyle name="Followed Hyperlink" xfId="29566" builtinId="9" hidden="1"/>
    <cellStyle name="Followed Hyperlink" xfId="29568" builtinId="9" hidden="1"/>
    <cellStyle name="Followed Hyperlink" xfId="29570" builtinId="9" hidden="1"/>
    <cellStyle name="Followed Hyperlink" xfId="29572" builtinId="9" hidden="1"/>
    <cellStyle name="Followed Hyperlink" xfId="29494" builtinId="9" hidden="1"/>
    <cellStyle name="Followed Hyperlink" xfId="29525" builtinId="9" hidden="1"/>
    <cellStyle name="Followed Hyperlink" xfId="29574" builtinId="9" hidden="1"/>
    <cellStyle name="Followed Hyperlink" xfId="29576" builtinId="9" hidden="1"/>
    <cellStyle name="Followed Hyperlink" xfId="29578" builtinId="9" hidden="1"/>
    <cellStyle name="Followed Hyperlink" xfId="29580" builtinId="9" hidden="1"/>
    <cellStyle name="Followed Hyperlink" xfId="29528" builtinId="9" hidden="1"/>
    <cellStyle name="Followed Hyperlink" xfId="29493" builtinId="9" hidden="1"/>
    <cellStyle name="Followed Hyperlink" xfId="29582" builtinId="9" hidden="1"/>
    <cellStyle name="Followed Hyperlink" xfId="29584" builtinId="9" hidden="1"/>
    <cellStyle name="Followed Hyperlink" xfId="29586" builtinId="9" hidden="1"/>
    <cellStyle name="Followed Hyperlink" xfId="29588" builtinId="9" hidden="1"/>
    <cellStyle name="Followed Hyperlink" xfId="29520" builtinId="9" hidden="1"/>
    <cellStyle name="Followed Hyperlink" xfId="29500" builtinId="9" hidden="1"/>
    <cellStyle name="Followed Hyperlink" xfId="29590" builtinId="9" hidden="1"/>
    <cellStyle name="Followed Hyperlink" xfId="29592" builtinId="9" hidden="1"/>
    <cellStyle name="Followed Hyperlink" xfId="29594" builtinId="9" hidden="1"/>
    <cellStyle name="Followed Hyperlink" xfId="29596" builtinId="9" hidden="1"/>
    <cellStyle name="Followed Hyperlink" xfId="29502" builtinId="9" hidden="1"/>
    <cellStyle name="Followed Hyperlink" xfId="29524" builtinId="9" hidden="1"/>
    <cellStyle name="Followed Hyperlink" xfId="29598" builtinId="9" hidden="1"/>
    <cellStyle name="Followed Hyperlink" xfId="29600" builtinId="9" hidden="1"/>
    <cellStyle name="Followed Hyperlink" xfId="29602" builtinId="9" hidden="1"/>
    <cellStyle name="Followed Hyperlink" xfId="29604" builtinId="9" hidden="1"/>
    <cellStyle name="Followed Hyperlink" xfId="29517" builtinId="9" hidden="1"/>
    <cellStyle name="Followed Hyperlink" xfId="29497" builtinId="9" hidden="1"/>
    <cellStyle name="Followed Hyperlink" xfId="29606" builtinId="9" hidden="1"/>
    <cellStyle name="Followed Hyperlink" xfId="29608" builtinId="9" hidden="1"/>
    <cellStyle name="Followed Hyperlink" xfId="29610" builtinId="9" hidden="1"/>
    <cellStyle name="Followed Hyperlink" xfId="29612" builtinId="9" hidden="1"/>
    <cellStyle name="Followed Hyperlink" xfId="29508" builtinId="9" hidden="1"/>
    <cellStyle name="Followed Hyperlink" xfId="29532" builtinId="9" hidden="1"/>
    <cellStyle name="Followed Hyperlink" xfId="29614" builtinId="9" hidden="1"/>
    <cellStyle name="Followed Hyperlink" xfId="29616" builtinId="9" hidden="1"/>
    <cellStyle name="Followed Hyperlink" xfId="29618" builtinId="9" hidden="1"/>
    <cellStyle name="Followed Hyperlink" xfId="29620" builtinId="9" hidden="1"/>
    <cellStyle name="Followed Hyperlink" xfId="29506" builtinId="9" hidden="1"/>
    <cellStyle name="Followed Hyperlink" xfId="29505" builtinId="9" hidden="1"/>
    <cellStyle name="Followed Hyperlink" xfId="29622" builtinId="9" hidden="1"/>
    <cellStyle name="Followed Hyperlink" xfId="29624" builtinId="9" hidden="1"/>
    <cellStyle name="Followed Hyperlink" xfId="29626" builtinId="9" hidden="1"/>
    <cellStyle name="Followed Hyperlink" xfId="29628" builtinId="9" hidden="1"/>
    <cellStyle name="Followed Hyperlink" xfId="29504" builtinId="9" hidden="1"/>
    <cellStyle name="Followed Hyperlink" xfId="29526" builtinId="9" hidden="1"/>
    <cellStyle name="Followed Hyperlink" xfId="29630" builtinId="9" hidden="1"/>
    <cellStyle name="Followed Hyperlink" xfId="29632" builtinId="9" hidden="1"/>
    <cellStyle name="Followed Hyperlink" xfId="29634" builtinId="9" hidden="1"/>
    <cellStyle name="Followed Hyperlink" xfId="29636" builtinId="9" hidden="1"/>
    <cellStyle name="Followed Hyperlink" xfId="28655" builtinId="9" hidden="1"/>
    <cellStyle name="Followed Hyperlink" xfId="28772" builtinId="9" hidden="1"/>
    <cellStyle name="Followed Hyperlink" xfId="28782" builtinId="9" hidden="1"/>
    <cellStyle name="Followed Hyperlink" xfId="28662" builtinId="9" hidden="1"/>
    <cellStyle name="Followed Hyperlink" xfId="29470" builtinId="9" hidden="1"/>
    <cellStyle name="Followed Hyperlink" xfId="28726" builtinId="9" hidden="1"/>
    <cellStyle name="Followed Hyperlink" xfId="28773" builtinId="9" hidden="1"/>
    <cellStyle name="Followed Hyperlink" xfId="28688" builtinId="9" hidden="1"/>
    <cellStyle name="Followed Hyperlink" xfId="29643" builtinId="9" hidden="1"/>
    <cellStyle name="Followed Hyperlink" xfId="29645" builtinId="9" hidden="1"/>
    <cellStyle name="Followed Hyperlink" xfId="29647" builtinId="9" hidden="1"/>
    <cellStyle name="Followed Hyperlink" xfId="29649" builtinId="9" hidden="1"/>
    <cellStyle name="Followed Hyperlink" xfId="29651" builtinId="9" hidden="1"/>
    <cellStyle name="Followed Hyperlink" xfId="29653" builtinId="9" hidden="1"/>
    <cellStyle name="Followed Hyperlink" xfId="29703" builtinId="9" hidden="1"/>
    <cellStyle name="Followed Hyperlink" xfId="29705" builtinId="9" hidden="1"/>
    <cellStyle name="Followed Hyperlink" xfId="29707" builtinId="9" hidden="1"/>
    <cellStyle name="Followed Hyperlink" xfId="29709" builtinId="9" hidden="1"/>
    <cellStyle name="Followed Hyperlink" xfId="29678" builtinId="9" hidden="1"/>
    <cellStyle name="Followed Hyperlink" xfId="29667" builtinId="9" hidden="1"/>
    <cellStyle name="Followed Hyperlink" xfId="29711" builtinId="9" hidden="1"/>
    <cellStyle name="Followed Hyperlink" xfId="29713" builtinId="9" hidden="1"/>
    <cellStyle name="Followed Hyperlink" xfId="29715" builtinId="9" hidden="1"/>
    <cellStyle name="Followed Hyperlink" xfId="29717" builtinId="9" hidden="1"/>
    <cellStyle name="Followed Hyperlink" xfId="29661" builtinId="9" hidden="1"/>
    <cellStyle name="Followed Hyperlink" xfId="29664" builtinId="9" hidden="1"/>
    <cellStyle name="Followed Hyperlink" xfId="29719" builtinId="9" hidden="1"/>
    <cellStyle name="Followed Hyperlink" xfId="29721" builtinId="9" hidden="1"/>
    <cellStyle name="Followed Hyperlink" xfId="29723" builtinId="9" hidden="1"/>
    <cellStyle name="Followed Hyperlink" xfId="29725" builtinId="9" hidden="1"/>
    <cellStyle name="Followed Hyperlink" xfId="29679" builtinId="9" hidden="1"/>
    <cellStyle name="Followed Hyperlink" xfId="29692" builtinId="9" hidden="1"/>
    <cellStyle name="Followed Hyperlink" xfId="29727" builtinId="9" hidden="1"/>
    <cellStyle name="Followed Hyperlink" xfId="29729" builtinId="9" hidden="1"/>
    <cellStyle name="Followed Hyperlink" xfId="29731" builtinId="9" hidden="1"/>
    <cellStyle name="Followed Hyperlink" xfId="29733" builtinId="9" hidden="1"/>
    <cellStyle name="Followed Hyperlink" xfId="29691" builtinId="9" hidden="1"/>
    <cellStyle name="Followed Hyperlink" xfId="29658" builtinId="9" hidden="1"/>
    <cellStyle name="Followed Hyperlink" xfId="29735" builtinId="9" hidden="1"/>
    <cellStyle name="Followed Hyperlink" xfId="29737" builtinId="9" hidden="1"/>
    <cellStyle name="Followed Hyperlink" xfId="29739" builtinId="9" hidden="1"/>
    <cellStyle name="Followed Hyperlink" xfId="29741" builtinId="9" hidden="1"/>
    <cellStyle name="Followed Hyperlink" xfId="29663" builtinId="9" hidden="1"/>
    <cellStyle name="Followed Hyperlink" xfId="29694" builtinId="9" hidden="1"/>
    <cellStyle name="Followed Hyperlink" xfId="29743" builtinId="9" hidden="1"/>
    <cellStyle name="Followed Hyperlink" xfId="29745" builtinId="9" hidden="1"/>
    <cellStyle name="Followed Hyperlink" xfId="29747" builtinId="9" hidden="1"/>
    <cellStyle name="Followed Hyperlink" xfId="29749" builtinId="9" hidden="1"/>
    <cellStyle name="Followed Hyperlink" xfId="29697" builtinId="9" hidden="1"/>
    <cellStyle name="Followed Hyperlink" xfId="29662" builtinId="9" hidden="1"/>
    <cellStyle name="Followed Hyperlink" xfId="29751" builtinId="9" hidden="1"/>
    <cellStyle name="Followed Hyperlink" xfId="29753" builtinId="9" hidden="1"/>
    <cellStyle name="Followed Hyperlink" xfId="29755" builtinId="9" hidden="1"/>
    <cellStyle name="Followed Hyperlink" xfId="29757" builtinId="9" hidden="1"/>
    <cellStyle name="Followed Hyperlink" xfId="29689" builtinId="9" hidden="1"/>
    <cellStyle name="Followed Hyperlink" xfId="29669" builtinId="9" hidden="1"/>
    <cellStyle name="Followed Hyperlink" xfId="29759" builtinId="9" hidden="1"/>
    <cellStyle name="Followed Hyperlink" xfId="29761" builtinId="9" hidden="1"/>
    <cellStyle name="Followed Hyperlink" xfId="29763" builtinId="9" hidden="1"/>
    <cellStyle name="Followed Hyperlink" xfId="29765" builtinId="9" hidden="1"/>
    <cellStyle name="Followed Hyperlink" xfId="29671" builtinId="9" hidden="1"/>
    <cellStyle name="Followed Hyperlink" xfId="29693" builtinId="9" hidden="1"/>
    <cellStyle name="Followed Hyperlink" xfId="29767" builtinId="9" hidden="1"/>
    <cellStyle name="Followed Hyperlink" xfId="29769" builtinId="9" hidden="1"/>
    <cellStyle name="Followed Hyperlink" xfId="29771" builtinId="9" hidden="1"/>
    <cellStyle name="Followed Hyperlink" xfId="29773" builtinId="9" hidden="1"/>
    <cellStyle name="Followed Hyperlink" xfId="29686" builtinId="9" hidden="1"/>
    <cellStyle name="Followed Hyperlink" xfId="29666" builtinId="9" hidden="1"/>
    <cellStyle name="Followed Hyperlink" xfId="29775" builtinId="9" hidden="1"/>
    <cellStyle name="Followed Hyperlink" xfId="29777" builtinId="9" hidden="1"/>
    <cellStyle name="Followed Hyperlink" xfId="29779" builtinId="9" hidden="1"/>
    <cellStyle name="Followed Hyperlink" xfId="29781" builtinId="9" hidden="1"/>
    <cellStyle name="Followed Hyperlink" xfId="29677" builtinId="9" hidden="1"/>
    <cellStyle name="Followed Hyperlink" xfId="29701" builtinId="9" hidden="1"/>
    <cellStyle name="Followed Hyperlink" xfId="29783" builtinId="9" hidden="1"/>
    <cellStyle name="Followed Hyperlink" xfId="29785" builtinId="9" hidden="1"/>
    <cellStyle name="Followed Hyperlink" xfId="29787" builtinId="9" hidden="1"/>
    <cellStyle name="Followed Hyperlink" xfId="29789" builtinId="9" hidden="1"/>
    <cellStyle name="Followed Hyperlink" xfId="29675" builtinId="9" hidden="1"/>
    <cellStyle name="Followed Hyperlink" xfId="29674" builtinId="9" hidden="1"/>
    <cellStyle name="Followed Hyperlink" xfId="29791" builtinId="9" hidden="1"/>
    <cellStyle name="Followed Hyperlink" xfId="29793" builtinId="9" hidden="1"/>
    <cellStyle name="Followed Hyperlink" xfId="29795" builtinId="9" hidden="1"/>
    <cellStyle name="Followed Hyperlink" xfId="29797" builtinId="9" hidden="1"/>
    <cellStyle name="Followed Hyperlink" xfId="29673" builtinId="9" hidden="1"/>
    <cellStyle name="Followed Hyperlink" xfId="29695" builtinId="9" hidden="1"/>
    <cellStyle name="Followed Hyperlink" xfId="29799" builtinId="9" hidden="1"/>
    <cellStyle name="Followed Hyperlink" xfId="29801" builtinId="9" hidden="1"/>
    <cellStyle name="Followed Hyperlink" xfId="29803" builtinId="9" hidden="1"/>
    <cellStyle name="Followed Hyperlink" xfId="29805" builtinId="9" hidden="1"/>
    <cellStyle name="Followed Hyperlink" xfId="28761" builtinId="9" hidden="1"/>
    <cellStyle name="Followed Hyperlink" xfId="28787" builtinId="9" hidden="1"/>
    <cellStyle name="Followed Hyperlink" xfId="28957" builtinId="9" hidden="1"/>
    <cellStyle name="Followed Hyperlink" xfId="28646" builtinId="9" hidden="1"/>
    <cellStyle name="Followed Hyperlink" xfId="29639" builtinId="9" hidden="1"/>
    <cellStyle name="Followed Hyperlink" xfId="28768" builtinId="9" hidden="1"/>
    <cellStyle name="Followed Hyperlink" xfId="28723" builtinId="9" hidden="1"/>
    <cellStyle name="Followed Hyperlink" xfId="29133" builtinId="9" hidden="1"/>
    <cellStyle name="Followed Hyperlink" xfId="29810" builtinId="9" hidden="1"/>
    <cellStyle name="Followed Hyperlink" xfId="29812" builtinId="9" hidden="1"/>
    <cellStyle name="Followed Hyperlink" xfId="29814" builtinId="9" hidden="1"/>
    <cellStyle name="Followed Hyperlink" xfId="29816" builtinId="9" hidden="1"/>
    <cellStyle name="Followed Hyperlink" xfId="29818" builtinId="9" hidden="1"/>
    <cellStyle name="Followed Hyperlink" xfId="29820" builtinId="9" hidden="1"/>
    <cellStyle name="Followed Hyperlink" xfId="29870" builtinId="9" hidden="1"/>
    <cellStyle name="Followed Hyperlink" xfId="29872" builtinId="9" hidden="1"/>
    <cellStyle name="Followed Hyperlink" xfId="29874" builtinId="9" hidden="1"/>
    <cellStyle name="Followed Hyperlink" xfId="29876" builtinId="9" hidden="1"/>
    <cellStyle name="Followed Hyperlink" xfId="29845" builtinId="9" hidden="1"/>
    <cellStyle name="Followed Hyperlink" xfId="29834" builtinId="9" hidden="1"/>
    <cellStyle name="Followed Hyperlink" xfId="29878" builtinId="9" hidden="1"/>
    <cellStyle name="Followed Hyperlink" xfId="29880" builtinId="9" hidden="1"/>
    <cellStyle name="Followed Hyperlink" xfId="29882" builtinId="9" hidden="1"/>
    <cellStyle name="Followed Hyperlink" xfId="29884" builtinId="9" hidden="1"/>
    <cellStyle name="Followed Hyperlink" xfId="29828" builtinId="9" hidden="1"/>
    <cellStyle name="Followed Hyperlink" xfId="29831" builtinId="9" hidden="1"/>
    <cellStyle name="Followed Hyperlink" xfId="29886" builtinId="9" hidden="1"/>
    <cellStyle name="Followed Hyperlink" xfId="29888" builtinId="9" hidden="1"/>
    <cellStyle name="Followed Hyperlink" xfId="29890" builtinId="9" hidden="1"/>
    <cellStyle name="Followed Hyperlink" xfId="29892" builtinId="9" hidden="1"/>
    <cellStyle name="Followed Hyperlink" xfId="29846" builtinId="9" hidden="1"/>
    <cellStyle name="Followed Hyperlink" xfId="29859" builtinId="9" hidden="1"/>
    <cellStyle name="Followed Hyperlink" xfId="29894" builtinId="9" hidden="1"/>
    <cellStyle name="Followed Hyperlink" xfId="29896" builtinId="9" hidden="1"/>
    <cellStyle name="Followed Hyperlink" xfId="29898" builtinId="9" hidden="1"/>
    <cellStyle name="Followed Hyperlink" xfId="29900" builtinId="9" hidden="1"/>
    <cellStyle name="Followed Hyperlink" xfId="29858" builtinId="9" hidden="1"/>
    <cellStyle name="Followed Hyperlink" xfId="29825" builtinId="9" hidden="1"/>
    <cellStyle name="Followed Hyperlink" xfId="29902" builtinId="9" hidden="1"/>
    <cellStyle name="Followed Hyperlink" xfId="29904" builtinId="9" hidden="1"/>
    <cellStyle name="Followed Hyperlink" xfId="29906" builtinId="9" hidden="1"/>
    <cellStyle name="Followed Hyperlink" xfId="29908" builtinId="9" hidden="1"/>
    <cellStyle name="Followed Hyperlink" xfId="29830" builtinId="9" hidden="1"/>
    <cellStyle name="Followed Hyperlink" xfId="29861" builtinId="9" hidden="1"/>
    <cellStyle name="Followed Hyperlink" xfId="29910" builtinId="9" hidden="1"/>
    <cellStyle name="Followed Hyperlink" xfId="29912" builtinId="9" hidden="1"/>
    <cellStyle name="Followed Hyperlink" xfId="29914" builtinId="9" hidden="1"/>
    <cellStyle name="Followed Hyperlink" xfId="29916" builtinId="9" hidden="1"/>
    <cellStyle name="Followed Hyperlink" xfId="29864" builtinId="9" hidden="1"/>
    <cellStyle name="Followed Hyperlink" xfId="29829" builtinId="9" hidden="1"/>
    <cellStyle name="Followed Hyperlink" xfId="29918" builtinId="9" hidden="1"/>
    <cellStyle name="Followed Hyperlink" xfId="29920" builtinId="9" hidden="1"/>
    <cellStyle name="Followed Hyperlink" xfId="29922" builtinId="9" hidden="1"/>
    <cellStyle name="Followed Hyperlink" xfId="29924" builtinId="9" hidden="1"/>
    <cellStyle name="Followed Hyperlink" xfId="29856" builtinId="9" hidden="1"/>
    <cellStyle name="Followed Hyperlink" xfId="29836" builtinId="9" hidden="1"/>
    <cellStyle name="Followed Hyperlink" xfId="29926" builtinId="9" hidden="1"/>
    <cellStyle name="Followed Hyperlink" xfId="29928" builtinId="9" hidden="1"/>
    <cellStyle name="Followed Hyperlink" xfId="29930" builtinId="9" hidden="1"/>
    <cellStyle name="Followed Hyperlink" xfId="29932" builtinId="9" hidden="1"/>
    <cellStyle name="Followed Hyperlink" xfId="29838" builtinId="9" hidden="1"/>
    <cellStyle name="Followed Hyperlink" xfId="29860" builtinId="9" hidden="1"/>
    <cellStyle name="Followed Hyperlink" xfId="29934" builtinId="9" hidden="1"/>
    <cellStyle name="Followed Hyperlink" xfId="29936" builtinId="9" hidden="1"/>
    <cellStyle name="Followed Hyperlink" xfId="29938" builtinId="9" hidden="1"/>
    <cellStyle name="Followed Hyperlink" xfId="29940" builtinId="9" hidden="1"/>
    <cellStyle name="Followed Hyperlink" xfId="29853" builtinId="9" hidden="1"/>
    <cellStyle name="Followed Hyperlink" xfId="29833" builtinId="9" hidden="1"/>
    <cellStyle name="Followed Hyperlink" xfId="29942" builtinId="9" hidden="1"/>
    <cellStyle name="Followed Hyperlink" xfId="29944" builtinId="9" hidden="1"/>
    <cellStyle name="Followed Hyperlink" xfId="29946" builtinId="9" hidden="1"/>
    <cellStyle name="Followed Hyperlink" xfId="29948" builtinId="9" hidden="1"/>
    <cellStyle name="Followed Hyperlink" xfId="29844" builtinId="9" hidden="1"/>
    <cellStyle name="Followed Hyperlink" xfId="29868" builtinId="9" hidden="1"/>
    <cellStyle name="Followed Hyperlink" xfId="29950" builtinId="9" hidden="1"/>
    <cellStyle name="Followed Hyperlink" xfId="29952" builtinId="9" hidden="1"/>
    <cellStyle name="Followed Hyperlink" xfId="29954" builtinId="9" hidden="1"/>
    <cellStyle name="Followed Hyperlink" xfId="29956" builtinId="9" hidden="1"/>
    <cellStyle name="Followed Hyperlink" xfId="29842" builtinId="9" hidden="1"/>
    <cellStyle name="Followed Hyperlink" xfId="29841" builtinId="9" hidden="1"/>
    <cellStyle name="Followed Hyperlink" xfId="29958" builtinId="9" hidden="1"/>
    <cellStyle name="Followed Hyperlink" xfId="29960" builtinId="9" hidden="1"/>
    <cellStyle name="Followed Hyperlink" xfId="29962" builtinId="9" hidden="1"/>
    <cellStyle name="Followed Hyperlink" xfId="29964" builtinId="9" hidden="1"/>
    <cellStyle name="Followed Hyperlink" xfId="29840" builtinId="9" hidden="1"/>
    <cellStyle name="Followed Hyperlink" xfId="29862" builtinId="9" hidden="1"/>
    <cellStyle name="Followed Hyperlink" xfId="29966" builtinId="9" hidden="1"/>
    <cellStyle name="Followed Hyperlink" xfId="29968" builtinId="9" hidden="1"/>
    <cellStyle name="Followed Hyperlink" xfId="29970" builtinId="9" hidden="1"/>
    <cellStyle name="Followed Hyperlink" xfId="29972" builtinId="9" hidden="1"/>
    <cellStyle name="Followed Hyperlink" xfId="28673" builtinId="9" hidden="1"/>
    <cellStyle name="Followed Hyperlink" xfId="28650" builtinId="9" hidden="1"/>
    <cellStyle name="Followed Hyperlink" xfId="28753" builtinId="9" hidden="1"/>
    <cellStyle name="Followed Hyperlink" xfId="28767" builtinId="9" hidden="1"/>
    <cellStyle name="Followed Hyperlink" xfId="29806" builtinId="9" hidden="1"/>
    <cellStyle name="Followed Hyperlink" xfId="28665" builtinId="9" hidden="1"/>
    <cellStyle name="Followed Hyperlink" xfId="28745" builtinId="9" hidden="1"/>
    <cellStyle name="Followed Hyperlink" xfId="29303" builtinId="9" hidden="1"/>
    <cellStyle name="Followed Hyperlink" xfId="29977" builtinId="9" hidden="1"/>
    <cellStyle name="Followed Hyperlink" xfId="29979" builtinId="9" hidden="1"/>
    <cellStyle name="Followed Hyperlink" xfId="29981" builtinId="9" hidden="1"/>
    <cellStyle name="Followed Hyperlink" xfId="29983" builtinId="9" hidden="1"/>
    <cellStyle name="Followed Hyperlink" xfId="29985" builtinId="9" hidden="1"/>
    <cellStyle name="Followed Hyperlink" xfId="29987" builtinId="9" hidden="1"/>
    <cellStyle name="Followed Hyperlink" xfId="30037" builtinId="9" hidden="1"/>
    <cellStyle name="Followed Hyperlink" xfId="30039" builtinId="9" hidden="1"/>
    <cellStyle name="Followed Hyperlink" xfId="30041" builtinId="9" hidden="1"/>
    <cellStyle name="Followed Hyperlink" xfId="30043" builtinId="9" hidden="1"/>
    <cellStyle name="Followed Hyperlink" xfId="30012" builtinId="9" hidden="1"/>
    <cellStyle name="Followed Hyperlink" xfId="30001" builtinId="9" hidden="1"/>
    <cellStyle name="Followed Hyperlink" xfId="30045" builtinId="9" hidden="1"/>
    <cellStyle name="Followed Hyperlink" xfId="30047" builtinId="9" hidden="1"/>
    <cellStyle name="Followed Hyperlink" xfId="30049" builtinId="9" hidden="1"/>
    <cellStyle name="Followed Hyperlink" xfId="30051" builtinId="9" hidden="1"/>
    <cellStyle name="Followed Hyperlink" xfId="29995" builtinId="9" hidden="1"/>
    <cellStyle name="Followed Hyperlink" xfId="29998" builtinId="9" hidden="1"/>
    <cellStyle name="Followed Hyperlink" xfId="30053" builtinId="9" hidden="1"/>
    <cellStyle name="Followed Hyperlink" xfId="30055" builtinId="9" hidden="1"/>
    <cellStyle name="Followed Hyperlink" xfId="30057" builtinId="9" hidden="1"/>
    <cellStyle name="Followed Hyperlink" xfId="30059" builtinId="9" hidden="1"/>
    <cellStyle name="Followed Hyperlink" xfId="30013" builtinId="9" hidden="1"/>
    <cellStyle name="Followed Hyperlink" xfId="30026" builtinId="9" hidden="1"/>
    <cellStyle name="Followed Hyperlink" xfId="30061" builtinId="9" hidden="1"/>
    <cellStyle name="Followed Hyperlink" xfId="30063" builtinId="9" hidden="1"/>
    <cellStyle name="Followed Hyperlink" xfId="30065" builtinId="9" hidden="1"/>
    <cellStyle name="Followed Hyperlink" xfId="30067" builtinId="9" hidden="1"/>
    <cellStyle name="Followed Hyperlink" xfId="30025" builtinId="9" hidden="1"/>
    <cellStyle name="Followed Hyperlink" xfId="29992" builtinId="9" hidden="1"/>
    <cellStyle name="Followed Hyperlink" xfId="30069" builtinId="9" hidden="1"/>
    <cellStyle name="Followed Hyperlink" xfId="30071" builtinId="9" hidden="1"/>
    <cellStyle name="Followed Hyperlink" xfId="30073" builtinId="9" hidden="1"/>
    <cellStyle name="Followed Hyperlink" xfId="30075" builtinId="9" hidden="1"/>
    <cellStyle name="Followed Hyperlink" xfId="29997" builtinId="9" hidden="1"/>
    <cellStyle name="Followed Hyperlink" xfId="30028" builtinId="9" hidden="1"/>
    <cellStyle name="Followed Hyperlink" xfId="30077" builtinId="9" hidden="1"/>
    <cellStyle name="Followed Hyperlink" xfId="30079" builtinId="9" hidden="1"/>
    <cellStyle name="Followed Hyperlink" xfId="30081" builtinId="9" hidden="1"/>
    <cellStyle name="Followed Hyperlink" xfId="30083" builtinId="9" hidden="1"/>
    <cellStyle name="Followed Hyperlink" xfId="30031" builtinId="9" hidden="1"/>
    <cellStyle name="Followed Hyperlink" xfId="29996" builtinId="9" hidden="1"/>
    <cellStyle name="Followed Hyperlink" xfId="30085" builtinId="9" hidden="1"/>
    <cellStyle name="Followed Hyperlink" xfId="30087" builtinId="9" hidden="1"/>
    <cellStyle name="Followed Hyperlink" xfId="30089" builtinId="9" hidden="1"/>
    <cellStyle name="Followed Hyperlink" xfId="30091" builtinId="9" hidden="1"/>
    <cellStyle name="Followed Hyperlink" xfId="30023" builtinId="9" hidden="1"/>
    <cellStyle name="Followed Hyperlink" xfId="30003" builtinId="9" hidden="1"/>
    <cellStyle name="Followed Hyperlink" xfId="30093" builtinId="9" hidden="1"/>
    <cellStyle name="Followed Hyperlink" xfId="30095" builtinId="9" hidden="1"/>
    <cellStyle name="Followed Hyperlink" xfId="30097" builtinId="9" hidden="1"/>
    <cellStyle name="Followed Hyperlink" xfId="30099" builtinId="9" hidden="1"/>
    <cellStyle name="Followed Hyperlink" xfId="30005" builtinId="9" hidden="1"/>
    <cellStyle name="Followed Hyperlink" xfId="30027" builtinId="9" hidden="1"/>
    <cellStyle name="Followed Hyperlink" xfId="30101" builtinId="9" hidden="1"/>
    <cellStyle name="Followed Hyperlink" xfId="30103" builtinId="9" hidden="1"/>
    <cellStyle name="Followed Hyperlink" xfId="30105" builtinId="9" hidden="1"/>
    <cellStyle name="Followed Hyperlink" xfId="30107" builtinId="9" hidden="1"/>
    <cellStyle name="Followed Hyperlink" xfId="30020" builtinId="9" hidden="1"/>
    <cellStyle name="Followed Hyperlink" xfId="30000" builtinId="9" hidden="1"/>
    <cellStyle name="Followed Hyperlink" xfId="30109" builtinId="9" hidden="1"/>
    <cellStyle name="Followed Hyperlink" xfId="30111" builtinId="9" hidden="1"/>
    <cellStyle name="Followed Hyperlink" xfId="30113" builtinId="9" hidden="1"/>
    <cellStyle name="Followed Hyperlink" xfId="30115" builtinId="9" hidden="1"/>
    <cellStyle name="Followed Hyperlink" xfId="30011" builtinId="9" hidden="1"/>
    <cellStyle name="Followed Hyperlink" xfId="30035" builtinId="9" hidden="1"/>
    <cellStyle name="Followed Hyperlink" xfId="30117" builtinId="9" hidden="1"/>
    <cellStyle name="Followed Hyperlink" xfId="30119" builtinId="9" hidden="1"/>
    <cellStyle name="Followed Hyperlink" xfId="30121" builtinId="9" hidden="1"/>
    <cellStyle name="Followed Hyperlink" xfId="30123" builtinId="9" hidden="1"/>
    <cellStyle name="Followed Hyperlink" xfId="30009" builtinId="9" hidden="1"/>
    <cellStyle name="Followed Hyperlink" xfId="30008" builtinId="9" hidden="1"/>
    <cellStyle name="Followed Hyperlink" xfId="30125" builtinId="9" hidden="1"/>
    <cellStyle name="Followed Hyperlink" xfId="30127" builtinId="9" hidden="1"/>
    <cellStyle name="Followed Hyperlink" xfId="30129" builtinId="9" hidden="1"/>
    <cellStyle name="Followed Hyperlink" xfId="30131" builtinId="9" hidden="1"/>
    <cellStyle name="Followed Hyperlink" xfId="30007" builtinId="9" hidden="1"/>
    <cellStyle name="Followed Hyperlink" xfId="30029" builtinId="9" hidden="1"/>
    <cellStyle name="Followed Hyperlink" xfId="30133" builtinId="9" hidden="1"/>
    <cellStyle name="Followed Hyperlink" xfId="30135" builtinId="9" hidden="1"/>
    <cellStyle name="Followed Hyperlink" xfId="30137" builtinId="9" hidden="1"/>
    <cellStyle name="Followed Hyperlink" xfId="30139" builtinId="9" hidden="1"/>
    <cellStyle name="Followed Hyperlink" xfId="28756" builtinId="9" hidden="1"/>
    <cellStyle name="Followed Hyperlink" xfId="29130" builtinId="9" hidden="1"/>
    <cellStyle name="Followed Hyperlink" xfId="29126" builtinId="9" hidden="1"/>
    <cellStyle name="Followed Hyperlink" xfId="28690" builtinId="9" hidden="1"/>
    <cellStyle name="Followed Hyperlink" xfId="29973" builtinId="9" hidden="1"/>
    <cellStyle name="Followed Hyperlink" xfId="28696" builtinId="9" hidden="1"/>
    <cellStyle name="Followed Hyperlink" xfId="28730" builtinId="9" hidden="1"/>
    <cellStyle name="Followed Hyperlink" xfId="29472" builtinId="9" hidden="1"/>
    <cellStyle name="Followed Hyperlink" xfId="30142" builtinId="9" hidden="1"/>
    <cellStyle name="Followed Hyperlink" xfId="30144" builtinId="9" hidden="1"/>
    <cellStyle name="Followed Hyperlink" xfId="30146" builtinId="9" hidden="1"/>
    <cellStyle name="Followed Hyperlink" xfId="30148" builtinId="9" hidden="1"/>
    <cellStyle name="Followed Hyperlink" xfId="30150" builtinId="9" hidden="1"/>
    <cellStyle name="Followed Hyperlink" xfId="30152" builtinId="9" hidden="1"/>
    <cellStyle name="Followed Hyperlink" xfId="30202" builtinId="9" hidden="1"/>
    <cellStyle name="Followed Hyperlink" xfId="30204" builtinId="9" hidden="1"/>
    <cellStyle name="Followed Hyperlink" xfId="30206" builtinId="9" hidden="1"/>
    <cellStyle name="Followed Hyperlink" xfId="30208" builtinId="9" hidden="1"/>
    <cellStyle name="Followed Hyperlink" xfId="30177" builtinId="9" hidden="1"/>
    <cellStyle name="Followed Hyperlink" xfId="30166" builtinId="9" hidden="1"/>
    <cellStyle name="Followed Hyperlink" xfId="30210" builtinId="9" hidden="1"/>
    <cellStyle name="Followed Hyperlink" xfId="30212" builtinId="9" hidden="1"/>
    <cellStyle name="Followed Hyperlink" xfId="30214" builtinId="9" hidden="1"/>
    <cellStyle name="Followed Hyperlink" xfId="30216" builtinId="9" hidden="1"/>
    <cellStyle name="Followed Hyperlink" xfId="30160" builtinId="9" hidden="1"/>
    <cellStyle name="Followed Hyperlink" xfId="30163" builtinId="9" hidden="1"/>
    <cellStyle name="Followed Hyperlink" xfId="30218" builtinId="9" hidden="1"/>
    <cellStyle name="Followed Hyperlink" xfId="30220" builtinId="9" hidden="1"/>
    <cellStyle name="Followed Hyperlink" xfId="30222" builtinId="9" hidden="1"/>
    <cellStyle name="Followed Hyperlink" xfId="30224" builtinId="9" hidden="1"/>
    <cellStyle name="Followed Hyperlink" xfId="30178" builtinId="9" hidden="1"/>
    <cellStyle name="Followed Hyperlink" xfId="30191" builtinId="9" hidden="1"/>
    <cellStyle name="Followed Hyperlink" xfId="30226" builtinId="9" hidden="1"/>
    <cellStyle name="Followed Hyperlink" xfId="30228" builtinId="9" hidden="1"/>
    <cellStyle name="Followed Hyperlink" xfId="30230" builtinId="9" hidden="1"/>
    <cellStyle name="Followed Hyperlink" xfId="30232" builtinId="9" hidden="1"/>
    <cellStyle name="Followed Hyperlink" xfId="30190" builtinId="9" hidden="1"/>
    <cellStyle name="Followed Hyperlink" xfId="30157" builtinId="9" hidden="1"/>
    <cellStyle name="Followed Hyperlink" xfId="30234" builtinId="9" hidden="1"/>
    <cellStyle name="Followed Hyperlink" xfId="30236" builtinId="9" hidden="1"/>
    <cellStyle name="Followed Hyperlink" xfId="30238" builtinId="9" hidden="1"/>
    <cellStyle name="Followed Hyperlink" xfId="30240" builtinId="9" hidden="1"/>
    <cellStyle name="Followed Hyperlink" xfId="30162" builtinId="9" hidden="1"/>
    <cellStyle name="Followed Hyperlink" xfId="30193" builtinId="9" hidden="1"/>
    <cellStyle name="Followed Hyperlink" xfId="30242" builtinId="9" hidden="1"/>
    <cellStyle name="Followed Hyperlink" xfId="30244" builtinId="9" hidden="1"/>
    <cellStyle name="Followed Hyperlink" xfId="30246" builtinId="9" hidden="1"/>
    <cellStyle name="Followed Hyperlink" xfId="30248" builtinId="9" hidden="1"/>
    <cellStyle name="Followed Hyperlink" xfId="30196" builtinId="9" hidden="1"/>
    <cellStyle name="Followed Hyperlink" xfId="30161" builtinId="9" hidden="1"/>
    <cellStyle name="Followed Hyperlink" xfId="30250" builtinId="9" hidden="1"/>
    <cellStyle name="Followed Hyperlink" xfId="30252" builtinId="9" hidden="1"/>
    <cellStyle name="Followed Hyperlink" xfId="30254" builtinId="9" hidden="1"/>
    <cellStyle name="Followed Hyperlink" xfId="30256" builtinId="9" hidden="1"/>
    <cellStyle name="Followed Hyperlink" xfId="30188" builtinId="9" hidden="1"/>
    <cellStyle name="Followed Hyperlink" xfId="30168" builtinId="9" hidden="1"/>
    <cellStyle name="Followed Hyperlink" xfId="30258" builtinId="9" hidden="1"/>
    <cellStyle name="Followed Hyperlink" xfId="30260" builtinId="9" hidden="1"/>
    <cellStyle name="Followed Hyperlink" xfId="30262" builtinId="9" hidden="1"/>
    <cellStyle name="Followed Hyperlink" xfId="30264" builtinId="9" hidden="1"/>
    <cellStyle name="Followed Hyperlink" xfId="30170" builtinId="9" hidden="1"/>
    <cellStyle name="Followed Hyperlink" xfId="30192" builtinId="9" hidden="1"/>
    <cellStyle name="Followed Hyperlink" xfId="30266" builtinId="9" hidden="1"/>
    <cellStyle name="Followed Hyperlink" xfId="30268" builtinId="9" hidden="1"/>
    <cellStyle name="Followed Hyperlink" xfId="30270" builtinId="9" hidden="1"/>
    <cellStyle name="Followed Hyperlink" xfId="30272" builtinId="9" hidden="1"/>
    <cellStyle name="Followed Hyperlink" xfId="30185" builtinId="9" hidden="1"/>
    <cellStyle name="Followed Hyperlink" xfId="30165" builtinId="9" hidden="1"/>
    <cellStyle name="Followed Hyperlink" xfId="30274" builtinId="9" hidden="1"/>
    <cellStyle name="Followed Hyperlink" xfId="30276" builtinId="9" hidden="1"/>
    <cellStyle name="Followed Hyperlink" xfId="30278" builtinId="9" hidden="1"/>
    <cellStyle name="Followed Hyperlink" xfId="30280" builtinId="9" hidden="1"/>
    <cellStyle name="Followed Hyperlink" xfId="30176" builtinId="9" hidden="1"/>
    <cellStyle name="Followed Hyperlink" xfId="30200" builtinId="9" hidden="1"/>
    <cellStyle name="Followed Hyperlink" xfId="30282" builtinId="9" hidden="1"/>
    <cellStyle name="Followed Hyperlink" xfId="30284" builtinId="9" hidden="1"/>
    <cellStyle name="Followed Hyperlink" xfId="30286" builtinId="9" hidden="1"/>
    <cellStyle name="Followed Hyperlink" xfId="30288" builtinId="9" hidden="1"/>
    <cellStyle name="Followed Hyperlink" xfId="30174" builtinId="9" hidden="1"/>
    <cellStyle name="Followed Hyperlink" xfId="30173" builtinId="9" hidden="1"/>
    <cellStyle name="Followed Hyperlink" xfId="30290" builtinId="9" hidden="1"/>
    <cellStyle name="Followed Hyperlink" xfId="30292" builtinId="9" hidden="1"/>
    <cellStyle name="Followed Hyperlink" xfId="30294" builtinId="9" hidden="1"/>
    <cellStyle name="Followed Hyperlink" xfId="30296" builtinId="9" hidden="1"/>
    <cellStyle name="Followed Hyperlink" xfId="30172" builtinId="9" hidden="1"/>
    <cellStyle name="Followed Hyperlink" xfId="30194" builtinId="9" hidden="1"/>
    <cellStyle name="Followed Hyperlink" xfId="30298" builtinId="9" hidden="1"/>
    <cellStyle name="Followed Hyperlink" xfId="30300" builtinId="9" hidden="1"/>
    <cellStyle name="Followed Hyperlink" xfId="30302" builtinId="9" hidden="1"/>
    <cellStyle name="Followed Hyperlink" xfId="30304" builtinId="9" hidden="1"/>
    <cellStyle name="Followed Hyperlink" xfId="28740" builtinId="9" hidden="1"/>
    <cellStyle name="Followed Hyperlink" xfId="29300" builtinId="9" hidden="1"/>
    <cellStyle name="Followed Hyperlink" xfId="28771" builtinId="9" hidden="1"/>
    <cellStyle name="Followed Hyperlink" xfId="28681" builtinId="9" hidden="1"/>
    <cellStyle name="Followed Hyperlink" xfId="30140" builtinId="9" hidden="1"/>
    <cellStyle name="Followed Hyperlink" xfId="28660" builtinId="9" hidden="1"/>
    <cellStyle name="Followed Hyperlink" xfId="28775" builtinId="9" hidden="1"/>
    <cellStyle name="Followed Hyperlink" xfId="29641" builtinId="9" hidden="1"/>
    <cellStyle name="Followed Hyperlink" xfId="30307" builtinId="9" hidden="1"/>
    <cellStyle name="Followed Hyperlink" xfId="30309" builtinId="9" hidden="1"/>
    <cellStyle name="Followed Hyperlink" xfId="30311" builtinId="9" hidden="1"/>
    <cellStyle name="Followed Hyperlink" xfId="30313" builtinId="9" hidden="1"/>
    <cellStyle name="Followed Hyperlink" xfId="30315" builtinId="9" hidden="1"/>
    <cellStyle name="Followed Hyperlink" xfId="30317" builtinId="9" hidden="1"/>
    <cellStyle name="Followed Hyperlink" xfId="30367" builtinId="9" hidden="1"/>
    <cellStyle name="Followed Hyperlink" xfId="30369" builtinId="9" hidden="1"/>
    <cellStyle name="Followed Hyperlink" xfId="30371" builtinId="9" hidden="1"/>
    <cellStyle name="Followed Hyperlink" xfId="30373" builtinId="9" hidden="1"/>
    <cellStyle name="Followed Hyperlink" xfId="30342" builtinId="9" hidden="1"/>
    <cellStyle name="Followed Hyperlink" xfId="30331" builtinId="9" hidden="1"/>
    <cellStyle name="Followed Hyperlink" xfId="30375" builtinId="9" hidden="1"/>
    <cellStyle name="Followed Hyperlink" xfId="30377" builtinId="9" hidden="1"/>
    <cellStyle name="Followed Hyperlink" xfId="30379" builtinId="9" hidden="1"/>
    <cellStyle name="Followed Hyperlink" xfId="30381" builtinId="9" hidden="1"/>
    <cellStyle name="Followed Hyperlink" xfId="30325" builtinId="9" hidden="1"/>
    <cellStyle name="Followed Hyperlink" xfId="30328" builtinId="9" hidden="1"/>
    <cellStyle name="Followed Hyperlink" xfId="30383" builtinId="9" hidden="1"/>
    <cellStyle name="Followed Hyperlink" xfId="30385" builtinId="9" hidden="1"/>
    <cellStyle name="Followed Hyperlink" xfId="30387" builtinId="9" hidden="1"/>
    <cellStyle name="Followed Hyperlink" xfId="30389" builtinId="9" hidden="1"/>
    <cellStyle name="Followed Hyperlink" xfId="30343" builtinId="9" hidden="1"/>
    <cellStyle name="Followed Hyperlink" xfId="30356" builtinId="9" hidden="1"/>
    <cellStyle name="Followed Hyperlink" xfId="30391" builtinId="9" hidden="1"/>
    <cellStyle name="Followed Hyperlink" xfId="30393" builtinId="9" hidden="1"/>
    <cellStyle name="Followed Hyperlink" xfId="30395" builtinId="9" hidden="1"/>
    <cellStyle name="Followed Hyperlink" xfId="30397" builtinId="9" hidden="1"/>
    <cellStyle name="Followed Hyperlink" xfId="30355" builtinId="9" hidden="1"/>
    <cellStyle name="Followed Hyperlink" xfId="30322" builtinId="9" hidden="1"/>
    <cellStyle name="Followed Hyperlink" xfId="30399" builtinId="9" hidden="1"/>
    <cellStyle name="Followed Hyperlink" xfId="30401" builtinId="9" hidden="1"/>
    <cellStyle name="Followed Hyperlink" xfId="30403" builtinId="9" hidden="1"/>
    <cellStyle name="Followed Hyperlink" xfId="30405" builtinId="9" hidden="1"/>
    <cellStyle name="Followed Hyperlink" xfId="30327" builtinId="9" hidden="1"/>
    <cellStyle name="Followed Hyperlink" xfId="30358" builtinId="9" hidden="1"/>
    <cellStyle name="Followed Hyperlink" xfId="30407" builtinId="9" hidden="1"/>
    <cellStyle name="Followed Hyperlink" xfId="30409" builtinId="9" hidden="1"/>
    <cellStyle name="Followed Hyperlink" xfId="30411" builtinId="9" hidden="1"/>
    <cellStyle name="Followed Hyperlink" xfId="30413" builtinId="9" hidden="1"/>
    <cellStyle name="Followed Hyperlink" xfId="30361" builtinId="9" hidden="1"/>
    <cellStyle name="Followed Hyperlink" xfId="30326" builtinId="9" hidden="1"/>
    <cellStyle name="Followed Hyperlink" xfId="30415" builtinId="9" hidden="1"/>
    <cellStyle name="Followed Hyperlink" xfId="30417" builtinId="9" hidden="1"/>
    <cellStyle name="Followed Hyperlink" xfId="30419" builtinId="9" hidden="1"/>
    <cellStyle name="Followed Hyperlink" xfId="30421" builtinId="9" hidden="1"/>
    <cellStyle name="Followed Hyperlink" xfId="30353" builtinId="9" hidden="1"/>
    <cellStyle name="Followed Hyperlink" xfId="30333" builtinId="9" hidden="1"/>
    <cellStyle name="Followed Hyperlink" xfId="30423" builtinId="9" hidden="1"/>
    <cellStyle name="Followed Hyperlink" xfId="30425" builtinId="9" hidden="1"/>
    <cellStyle name="Followed Hyperlink" xfId="30427" builtinId="9" hidden="1"/>
    <cellStyle name="Followed Hyperlink" xfId="30429" builtinId="9" hidden="1"/>
    <cellStyle name="Followed Hyperlink" xfId="30335" builtinId="9" hidden="1"/>
    <cellStyle name="Followed Hyperlink" xfId="30357" builtinId="9" hidden="1"/>
    <cellStyle name="Followed Hyperlink" xfId="30431" builtinId="9" hidden="1"/>
    <cellStyle name="Followed Hyperlink" xfId="30433" builtinId="9" hidden="1"/>
    <cellStyle name="Followed Hyperlink" xfId="30435" builtinId="9" hidden="1"/>
    <cellStyle name="Followed Hyperlink" xfId="30437" builtinId="9" hidden="1"/>
    <cellStyle name="Followed Hyperlink" xfId="30350" builtinId="9" hidden="1"/>
    <cellStyle name="Followed Hyperlink" xfId="30330" builtinId="9" hidden="1"/>
    <cellStyle name="Followed Hyperlink" xfId="30439" builtinId="9" hidden="1"/>
    <cellStyle name="Followed Hyperlink" xfId="30441" builtinId="9" hidden="1"/>
    <cellStyle name="Followed Hyperlink" xfId="30443" builtinId="9" hidden="1"/>
    <cellStyle name="Followed Hyperlink" xfId="30445" builtinId="9" hidden="1"/>
    <cellStyle name="Followed Hyperlink" xfId="30341" builtinId="9" hidden="1"/>
    <cellStyle name="Followed Hyperlink" xfId="30365" builtinId="9" hidden="1"/>
    <cellStyle name="Followed Hyperlink" xfId="30447" builtinId="9" hidden="1"/>
    <cellStyle name="Followed Hyperlink" xfId="30449" builtinId="9" hidden="1"/>
    <cellStyle name="Followed Hyperlink" xfId="30451" builtinId="9" hidden="1"/>
    <cellStyle name="Followed Hyperlink" xfId="30453" builtinId="9" hidden="1"/>
    <cellStyle name="Followed Hyperlink" xfId="30339" builtinId="9" hidden="1"/>
    <cellStyle name="Followed Hyperlink" xfId="30338" builtinId="9" hidden="1"/>
    <cellStyle name="Followed Hyperlink" xfId="30455" builtinId="9" hidden="1"/>
    <cellStyle name="Followed Hyperlink" xfId="30457" builtinId="9" hidden="1"/>
    <cellStyle name="Followed Hyperlink" xfId="30459" builtinId="9" hidden="1"/>
    <cellStyle name="Followed Hyperlink" xfId="30461" builtinId="9" hidden="1"/>
    <cellStyle name="Followed Hyperlink" xfId="30337" builtinId="9" hidden="1"/>
    <cellStyle name="Followed Hyperlink" xfId="30359" builtinId="9" hidden="1"/>
    <cellStyle name="Followed Hyperlink" xfId="30463" builtinId="9" hidden="1"/>
    <cellStyle name="Followed Hyperlink" xfId="30465" builtinId="9" hidden="1"/>
    <cellStyle name="Followed Hyperlink" xfId="30467" builtinId="9" hidden="1"/>
    <cellStyle name="Followed Hyperlink" xfId="30469" builtinId="9" hidden="1"/>
    <cellStyle name="Followed Hyperlink" xfId="28666" builtinId="9" hidden="1"/>
    <cellStyle name="Followed Hyperlink" xfId="29469" builtinId="9" hidden="1"/>
    <cellStyle name="Followed Hyperlink" xfId="28747" builtinId="9" hidden="1"/>
    <cellStyle name="Followed Hyperlink" xfId="28779" builtinId="9" hidden="1"/>
    <cellStyle name="Followed Hyperlink" xfId="30305" builtinId="9" hidden="1"/>
    <cellStyle name="Followed Hyperlink" xfId="28657" builtinId="9" hidden="1"/>
    <cellStyle name="Followed Hyperlink" xfId="28743" builtinId="9" hidden="1"/>
    <cellStyle name="Followed Hyperlink" xfId="29808" builtinId="9" hidden="1"/>
    <cellStyle name="Followed Hyperlink" xfId="30472" builtinId="9" hidden="1"/>
    <cellStyle name="Followed Hyperlink" xfId="30474" builtinId="9" hidden="1"/>
    <cellStyle name="Followed Hyperlink" xfId="30476" builtinId="9" hidden="1"/>
    <cellStyle name="Followed Hyperlink" xfId="30478" builtinId="9" hidden="1"/>
    <cellStyle name="Followed Hyperlink" xfId="30480" builtinId="9" hidden="1"/>
    <cellStyle name="Followed Hyperlink" xfId="30482" builtinId="9" hidden="1"/>
    <cellStyle name="Followed Hyperlink" xfId="30532" builtinId="9" hidden="1"/>
    <cellStyle name="Followed Hyperlink" xfId="30534" builtinId="9" hidden="1"/>
    <cellStyle name="Followed Hyperlink" xfId="30536" builtinId="9" hidden="1"/>
    <cellStyle name="Followed Hyperlink" xfId="30538" builtinId="9" hidden="1"/>
    <cellStyle name="Followed Hyperlink" xfId="30507" builtinId="9" hidden="1"/>
    <cellStyle name="Followed Hyperlink" xfId="30496" builtinId="9" hidden="1"/>
    <cellStyle name="Followed Hyperlink" xfId="30540" builtinId="9" hidden="1"/>
    <cellStyle name="Followed Hyperlink" xfId="30542" builtinId="9" hidden="1"/>
    <cellStyle name="Followed Hyperlink" xfId="30544" builtinId="9" hidden="1"/>
    <cellStyle name="Followed Hyperlink" xfId="30546" builtinId="9" hidden="1"/>
    <cellStyle name="Followed Hyperlink" xfId="30490" builtinId="9" hidden="1"/>
    <cellStyle name="Followed Hyperlink" xfId="30493" builtinId="9" hidden="1"/>
    <cellStyle name="Followed Hyperlink" xfId="30548" builtinId="9" hidden="1"/>
    <cellStyle name="Followed Hyperlink" xfId="30550" builtinId="9" hidden="1"/>
    <cellStyle name="Followed Hyperlink" xfId="30552" builtinId="9" hidden="1"/>
    <cellStyle name="Followed Hyperlink" xfId="30554" builtinId="9" hidden="1"/>
    <cellStyle name="Followed Hyperlink" xfId="30508" builtinId="9" hidden="1"/>
    <cellStyle name="Followed Hyperlink" xfId="30521" builtinId="9" hidden="1"/>
    <cellStyle name="Followed Hyperlink" xfId="30556" builtinId="9" hidden="1"/>
    <cellStyle name="Followed Hyperlink" xfId="30558" builtinId="9" hidden="1"/>
    <cellStyle name="Followed Hyperlink" xfId="30560" builtinId="9" hidden="1"/>
    <cellStyle name="Followed Hyperlink" xfId="30562" builtinId="9" hidden="1"/>
    <cellStyle name="Followed Hyperlink" xfId="30520" builtinId="9" hidden="1"/>
    <cellStyle name="Followed Hyperlink" xfId="30487" builtinId="9" hidden="1"/>
    <cellStyle name="Followed Hyperlink" xfId="30564" builtinId="9" hidden="1"/>
    <cellStyle name="Followed Hyperlink" xfId="30566" builtinId="9" hidden="1"/>
    <cellStyle name="Followed Hyperlink" xfId="30568" builtinId="9" hidden="1"/>
    <cellStyle name="Followed Hyperlink" xfId="30570" builtinId="9" hidden="1"/>
    <cellStyle name="Followed Hyperlink" xfId="30492" builtinId="9" hidden="1"/>
    <cellStyle name="Followed Hyperlink" xfId="30523" builtinId="9" hidden="1"/>
    <cellStyle name="Followed Hyperlink" xfId="30572" builtinId="9" hidden="1"/>
    <cellStyle name="Followed Hyperlink" xfId="30574" builtinId="9" hidden="1"/>
    <cellStyle name="Followed Hyperlink" xfId="30576" builtinId="9" hidden="1"/>
    <cellStyle name="Followed Hyperlink" xfId="30578" builtinId="9" hidden="1"/>
    <cellStyle name="Followed Hyperlink" xfId="30526" builtinId="9" hidden="1"/>
    <cellStyle name="Followed Hyperlink" xfId="30491" builtinId="9" hidden="1"/>
    <cellStyle name="Followed Hyperlink" xfId="30580" builtinId="9" hidden="1"/>
    <cellStyle name="Followed Hyperlink" xfId="30582" builtinId="9" hidden="1"/>
    <cellStyle name="Followed Hyperlink" xfId="30584" builtinId="9" hidden="1"/>
    <cellStyle name="Followed Hyperlink" xfId="30586" builtinId="9" hidden="1"/>
    <cellStyle name="Followed Hyperlink" xfId="30518" builtinId="9" hidden="1"/>
    <cellStyle name="Followed Hyperlink" xfId="30498" builtinId="9" hidden="1"/>
    <cellStyle name="Followed Hyperlink" xfId="30588" builtinId="9" hidden="1"/>
    <cellStyle name="Followed Hyperlink" xfId="30590" builtinId="9" hidden="1"/>
    <cellStyle name="Followed Hyperlink" xfId="30592" builtinId="9" hidden="1"/>
    <cellStyle name="Followed Hyperlink" xfId="30594" builtinId="9" hidden="1"/>
    <cellStyle name="Followed Hyperlink" xfId="30500" builtinId="9" hidden="1"/>
    <cellStyle name="Followed Hyperlink" xfId="30522" builtinId="9" hidden="1"/>
    <cellStyle name="Followed Hyperlink" xfId="30596" builtinId="9" hidden="1"/>
    <cellStyle name="Followed Hyperlink" xfId="30598" builtinId="9" hidden="1"/>
    <cellStyle name="Followed Hyperlink" xfId="30600" builtinId="9" hidden="1"/>
    <cellStyle name="Followed Hyperlink" xfId="30602" builtinId="9" hidden="1"/>
    <cellStyle name="Followed Hyperlink" xfId="30515" builtinId="9" hidden="1"/>
    <cellStyle name="Followed Hyperlink" xfId="30495" builtinId="9" hidden="1"/>
    <cellStyle name="Followed Hyperlink" xfId="30604" builtinId="9" hidden="1"/>
    <cellStyle name="Followed Hyperlink" xfId="30606" builtinId="9" hidden="1"/>
    <cellStyle name="Followed Hyperlink" xfId="30608" builtinId="9" hidden="1"/>
    <cellStyle name="Followed Hyperlink" xfId="30610" builtinId="9" hidden="1"/>
    <cellStyle name="Followed Hyperlink" xfId="30506" builtinId="9" hidden="1"/>
    <cellStyle name="Followed Hyperlink" xfId="30530" builtinId="9" hidden="1"/>
    <cellStyle name="Followed Hyperlink" xfId="30612" builtinId="9" hidden="1"/>
    <cellStyle name="Followed Hyperlink" xfId="30614" builtinId="9" hidden="1"/>
    <cellStyle name="Followed Hyperlink" xfId="30616" builtinId="9" hidden="1"/>
    <cellStyle name="Followed Hyperlink" xfId="30618" builtinId="9" hidden="1"/>
    <cellStyle name="Followed Hyperlink" xfId="30504" builtinId="9" hidden="1"/>
    <cellStyle name="Followed Hyperlink" xfId="30503" builtinId="9" hidden="1"/>
    <cellStyle name="Followed Hyperlink" xfId="30620" builtinId="9" hidden="1"/>
    <cellStyle name="Followed Hyperlink" xfId="30622" builtinId="9" hidden="1"/>
    <cellStyle name="Followed Hyperlink" xfId="30624" builtinId="9" hidden="1"/>
    <cellStyle name="Followed Hyperlink" xfId="30626" builtinId="9" hidden="1"/>
    <cellStyle name="Followed Hyperlink" xfId="30502" builtinId="9" hidden="1"/>
    <cellStyle name="Followed Hyperlink" xfId="30524" builtinId="9" hidden="1"/>
    <cellStyle name="Followed Hyperlink" xfId="30628" builtinId="9" hidden="1"/>
    <cellStyle name="Followed Hyperlink" xfId="30630" builtinId="9" hidden="1"/>
    <cellStyle name="Followed Hyperlink" xfId="30632" builtinId="9" hidden="1"/>
    <cellStyle name="Followed Hyperlink" xfId="30634" builtinId="9" hidden="1"/>
    <cellStyle name="Followed Hyperlink" xfId="28737" builtinId="9" hidden="1"/>
    <cellStyle name="Followed Hyperlink" xfId="29638" builtinId="9" hidden="1"/>
    <cellStyle name="Followed Hyperlink" xfId="28792" builtinId="9" hidden="1"/>
    <cellStyle name="Followed Hyperlink" xfId="28781" builtinId="9" hidden="1"/>
    <cellStyle name="Followed Hyperlink" xfId="30470" builtinId="9" hidden="1"/>
    <cellStyle name="Followed Hyperlink" xfId="28758" builtinId="9" hidden="1"/>
    <cellStyle name="Followed Hyperlink" xfId="28659" builtinId="9" hidden="1"/>
    <cellStyle name="Followed Hyperlink" xfId="29975" builtinId="9" hidden="1"/>
    <cellStyle name="Followed Hyperlink" xfId="30636" builtinId="9" hidden="1"/>
    <cellStyle name="Followed Hyperlink" xfId="30638" builtinId="9" hidden="1"/>
    <cellStyle name="Followed Hyperlink" xfId="30640" builtinId="9" hidden="1"/>
    <cellStyle name="Followed Hyperlink" xfId="30642" builtinId="9" hidden="1"/>
    <cellStyle name="Followed Hyperlink" xfId="30644" builtinId="9" hidden="1"/>
    <cellStyle name="Followed Hyperlink" xfId="30646" builtinId="9" hidden="1"/>
    <cellStyle name="Followed Hyperlink" xfId="30696" builtinId="9" hidden="1"/>
    <cellStyle name="Followed Hyperlink" xfId="30698" builtinId="9" hidden="1"/>
    <cellStyle name="Followed Hyperlink" xfId="30700" builtinId="9" hidden="1"/>
    <cellStyle name="Followed Hyperlink" xfId="30702" builtinId="9" hidden="1"/>
    <cellStyle name="Followed Hyperlink" xfId="30671" builtinId="9" hidden="1"/>
    <cellStyle name="Followed Hyperlink" xfId="30660" builtinId="9" hidden="1"/>
    <cellStyle name="Followed Hyperlink" xfId="30704" builtinId="9" hidden="1"/>
    <cellStyle name="Followed Hyperlink" xfId="30706" builtinId="9" hidden="1"/>
    <cellStyle name="Followed Hyperlink" xfId="30708" builtinId="9" hidden="1"/>
    <cellStyle name="Followed Hyperlink" xfId="30710" builtinId="9" hidden="1"/>
    <cellStyle name="Followed Hyperlink" xfId="30654" builtinId="9" hidden="1"/>
    <cellStyle name="Followed Hyperlink" xfId="30657" builtinId="9" hidden="1"/>
    <cellStyle name="Followed Hyperlink" xfId="30712" builtinId="9" hidden="1"/>
    <cellStyle name="Followed Hyperlink" xfId="30714" builtinId="9" hidden="1"/>
    <cellStyle name="Followed Hyperlink" xfId="30716" builtinId="9" hidden="1"/>
    <cellStyle name="Followed Hyperlink" xfId="30718" builtinId="9" hidden="1"/>
    <cellStyle name="Followed Hyperlink" xfId="30672" builtinId="9" hidden="1"/>
    <cellStyle name="Followed Hyperlink" xfId="30685" builtinId="9" hidden="1"/>
    <cellStyle name="Followed Hyperlink" xfId="30720" builtinId="9" hidden="1"/>
    <cellStyle name="Followed Hyperlink" xfId="30722" builtinId="9" hidden="1"/>
    <cellStyle name="Followed Hyperlink" xfId="30724" builtinId="9" hidden="1"/>
    <cellStyle name="Followed Hyperlink" xfId="30726" builtinId="9" hidden="1"/>
    <cellStyle name="Followed Hyperlink" xfId="30684" builtinId="9" hidden="1"/>
    <cellStyle name="Followed Hyperlink" xfId="30651" builtinId="9" hidden="1"/>
    <cellStyle name="Followed Hyperlink" xfId="30728" builtinId="9" hidden="1"/>
    <cellStyle name="Followed Hyperlink" xfId="30730" builtinId="9" hidden="1"/>
    <cellStyle name="Followed Hyperlink" xfId="30732" builtinId="9" hidden="1"/>
    <cellStyle name="Followed Hyperlink" xfId="30734" builtinId="9" hidden="1"/>
    <cellStyle name="Followed Hyperlink" xfId="30656" builtinId="9" hidden="1"/>
    <cellStyle name="Followed Hyperlink" xfId="30687" builtinId="9" hidden="1"/>
    <cellStyle name="Followed Hyperlink" xfId="30736" builtinId="9" hidden="1"/>
    <cellStyle name="Followed Hyperlink" xfId="30738" builtinId="9" hidden="1"/>
    <cellStyle name="Followed Hyperlink" xfId="30740" builtinId="9" hidden="1"/>
    <cellStyle name="Followed Hyperlink" xfId="30742" builtinId="9" hidden="1"/>
    <cellStyle name="Followed Hyperlink" xfId="30690" builtinId="9" hidden="1"/>
    <cellStyle name="Followed Hyperlink" xfId="30655" builtinId="9" hidden="1"/>
    <cellStyle name="Followed Hyperlink" xfId="30744" builtinId="9" hidden="1"/>
    <cellStyle name="Followed Hyperlink" xfId="30746" builtinId="9" hidden="1"/>
    <cellStyle name="Followed Hyperlink" xfId="30748" builtinId="9" hidden="1"/>
    <cellStyle name="Followed Hyperlink" xfId="30750" builtinId="9" hidden="1"/>
    <cellStyle name="Followed Hyperlink" xfId="30682" builtinId="9" hidden="1"/>
    <cellStyle name="Followed Hyperlink" xfId="30662" builtinId="9" hidden="1"/>
    <cellStyle name="Followed Hyperlink" xfId="30752" builtinId="9" hidden="1"/>
    <cellStyle name="Followed Hyperlink" xfId="30754" builtinId="9" hidden="1"/>
    <cellStyle name="Followed Hyperlink" xfId="30756" builtinId="9" hidden="1"/>
    <cellStyle name="Followed Hyperlink" xfId="30758" builtinId="9" hidden="1"/>
    <cellStyle name="Followed Hyperlink" xfId="30664" builtinId="9" hidden="1"/>
    <cellStyle name="Followed Hyperlink" xfId="30686" builtinId="9" hidden="1"/>
    <cellStyle name="Followed Hyperlink" xfId="30760" builtinId="9" hidden="1"/>
    <cellStyle name="Followed Hyperlink" xfId="30762" builtinId="9" hidden="1"/>
    <cellStyle name="Followed Hyperlink" xfId="30764" builtinId="9" hidden="1"/>
    <cellStyle name="Followed Hyperlink" xfId="30766" builtinId="9" hidden="1"/>
    <cellStyle name="Followed Hyperlink" xfId="30679" builtinId="9" hidden="1"/>
    <cellStyle name="Followed Hyperlink" xfId="30659" builtinId="9" hidden="1"/>
    <cellStyle name="Followed Hyperlink" xfId="30768" builtinId="9" hidden="1"/>
    <cellStyle name="Followed Hyperlink" xfId="30770" builtinId="9" hidden="1"/>
    <cellStyle name="Followed Hyperlink" xfId="30772" builtinId="9" hidden="1"/>
    <cellStyle name="Followed Hyperlink" xfId="30774" builtinId="9" hidden="1"/>
    <cellStyle name="Followed Hyperlink" xfId="30670" builtinId="9" hidden="1"/>
    <cellStyle name="Followed Hyperlink" xfId="30694" builtinId="9" hidden="1"/>
    <cellStyle name="Followed Hyperlink" xfId="30776" builtinId="9" hidden="1"/>
    <cellStyle name="Followed Hyperlink" xfId="30778" builtinId="9" hidden="1"/>
    <cellStyle name="Followed Hyperlink" xfId="30780" builtinId="9" hidden="1"/>
    <cellStyle name="Followed Hyperlink" xfId="30782" builtinId="9" hidden="1"/>
    <cellStyle name="Followed Hyperlink" xfId="30668" builtinId="9" hidden="1"/>
    <cellStyle name="Followed Hyperlink" xfId="30667" builtinId="9" hidden="1"/>
    <cellStyle name="Followed Hyperlink" xfId="30784" builtinId="9" hidden="1"/>
    <cellStyle name="Followed Hyperlink" xfId="30786" builtinId="9" hidden="1"/>
    <cellStyle name="Followed Hyperlink" xfId="30788" builtinId="9" hidden="1"/>
    <cellStyle name="Followed Hyperlink" xfId="30790" builtinId="9" hidden="1"/>
    <cellStyle name="Followed Hyperlink" xfId="30666" builtinId="9" hidden="1"/>
    <cellStyle name="Followed Hyperlink" xfId="30688" builtinId="9" hidden="1"/>
    <cellStyle name="Followed Hyperlink" xfId="30792" builtinId="9" hidden="1"/>
    <cellStyle name="Followed Hyperlink" xfId="30794" builtinId="9" hidden="1"/>
    <cellStyle name="Followed Hyperlink" xfId="30796" builtinId="9" hidden="1"/>
    <cellStyle name="Followed Hyperlink" xfId="30798" builtinId="9" hidden="1"/>
    <cellStyle name="Followed Hyperlink" xfId="19140" builtinId="9" hidden="1"/>
    <cellStyle name="Followed Hyperlink" xfId="26151" builtinId="9" hidden="1"/>
    <cellStyle name="Followed Hyperlink" xfId="26150" builtinId="9" hidden="1"/>
    <cellStyle name="Followed Hyperlink" xfId="19161" builtinId="9" hidden="1"/>
    <cellStyle name="Followed Hyperlink" xfId="19152" builtinId="9" hidden="1"/>
    <cellStyle name="Followed Hyperlink" xfId="19143" builtinId="9" hidden="1"/>
    <cellStyle name="Followed Hyperlink" xfId="28475" builtinId="9" hidden="1"/>
    <cellStyle name="Followed Hyperlink" xfId="19095" builtinId="9" hidden="1"/>
    <cellStyle name="Followed Hyperlink" xfId="19134" builtinId="9" hidden="1"/>
    <cellStyle name="Followed Hyperlink" xfId="19058" builtinId="9" hidden="1"/>
    <cellStyle name="Followed Hyperlink" xfId="23822" builtinId="9" hidden="1"/>
    <cellStyle name="Followed Hyperlink" xfId="19057" builtinId="9" hidden="1"/>
    <cellStyle name="Followed Hyperlink" xfId="19165" builtinId="9" hidden="1"/>
    <cellStyle name="Followed Hyperlink" xfId="19096" builtinId="9" hidden="1"/>
    <cellStyle name="Followed Hyperlink" xfId="30800" builtinId="9" hidden="1"/>
    <cellStyle name="Followed Hyperlink" xfId="30802" builtinId="9" hidden="1"/>
    <cellStyle name="Followed Hyperlink" xfId="30804" builtinId="9" hidden="1"/>
    <cellStyle name="Followed Hyperlink" xfId="30806" builtinId="9" hidden="1"/>
    <cellStyle name="Followed Hyperlink" xfId="30808" builtinId="9" hidden="1"/>
    <cellStyle name="Followed Hyperlink" xfId="30810" builtinId="9" hidden="1"/>
    <cellStyle name="Followed Hyperlink" xfId="30860" builtinId="9" hidden="1"/>
    <cellStyle name="Followed Hyperlink" xfId="30862" builtinId="9" hidden="1"/>
    <cellStyle name="Followed Hyperlink" xfId="30864" builtinId="9" hidden="1"/>
    <cellStyle name="Followed Hyperlink" xfId="30866" builtinId="9" hidden="1"/>
    <cellStyle name="Followed Hyperlink" xfId="30835" builtinId="9" hidden="1"/>
    <cellStyle name="Followed Hyperlink" xfId="30824" builtinId="9" hidden="1"/>
    <cellStyle name="Followed Hyperlink" xfId="30868" builtinId="9" hidden="1"/>
    <cellStyle name="Followed Hyperlink" xfId="30870" builtinId="9" hidden="1"/>
    <cellStyle name="Followed Hyperlink" xfId="30872" builtinId="9" hidden="1"/>
    <cellStyle name="Followed Hyperlink" xfId="30874" builtinId="9" hidden="1"/>
    <cellStyle name="Followed Hyperlink" xfId="30818" builtinId="9" hidden="1"/>
    <cellStyle name="Followed Hyperlink" xfId="30821" builtinId="9" hidden="1"/>
    <cellStyle name="Followed Hyperlink" xfId="30876" builtinId="9" hidden="1"/>
    <cellStyle name="Followed Hyperlink" xfId="30878" builtinId="9" hidden="1"/>
    <cellStyle name="Followed Hyperlink" xfId="30880" builtinId="9" hidden="1"/>
    <cellStyle name="Followed Hyperlink" xfId="30882" builtinId="9" hidden="1"/>
    <cellStyle name="Followed Hyperlink" xfId="30836" builtinId="9" hidden="1"/>
    <cellStyle name="Followed Hyperlink" xfId="30849" builtinId="9" hidden="1"/>
    <cellStyle name="Followed Hyperlink" xfId="30884" builtinId="9" hidden="1"/>
    <cellStyle name="Followed Hyperlink" xfId="30886" builtinId="9" hidden="1"/>
    <cellStyle name="Followed Hyperlink" xfId="30888" builtinId="9" hidden="1"/>
    <cellStyle name="Followed Hyperlink" xfId="30890" builtinId="9" hidden="1"/>
    <cellStyle name="Followed Hyperlink" xfId="30848" builtinId="9" hidden="1"/>
    <cellStyle name="Followed Hyperlink" xfId="30815" builtinId="9" hidden="1"/>
    <cellStyle name="Followed Hyperlink" xfId="30892" builtinId="9" hidden="1"/>
    <cellStyle name="Followed Hyperlink" xfId="30894" builtinId="9" hidden="1"/>
    <cellStyle name="Followed Hyperlink" xfId="30896" builtinId="9" hidden="1"/>
    <cellStyle name="Followed Hyperlink" xfId="30898" builtinId="9" hidden="1"/>
    <cellStyle name="Followed Hyperlink" xfId="30820" builtinId="9" hidden="1"/>
    <cellStyle name="Followed Hyperlink" xfId="30851" builtinId="9" hidden="1"/>
    <cellStyle name="Followed Hyperlink" xfId="30900" builtinId="9" hidden="1"/>
    <cellStyle name="Followed Hyperlink" xfId="30902" builtinId="9" hidden="1"/>
    <cellStyle name="Followed Hyperlink" xfId="30904" builtinId="9" hidden="1"/>
    <cellStyle name="Followed Hyperlink" xfId="30906" builtinId="9" hidden="1"/>
    <cellStyle name="Followed Hyperlink" xfId="30854" builtinId="9" hidden="1"/>
    <cellStyle name="Followed Hyperlink" xfId="30819" builtinId="9" hidden="1"/>
    <cellStyle name="Followed Hyperlink" xfId="30908" builtinId="9" hidden="1"/>
    <cellStyle name="Followed Hyperlink" xfId="30910" builtinId="9" hidden="1"/>
    <cellStyle name="Followed Hyperlink" xfId="30912" builtinId="9" hidden="1"/>
    <cellStyle name="Followed Hyperlink" xfId="30914" builtinId="9" hidden="1"/>
    <cellStyle name="Followed Hyperlink" xfId="30846" builtinId="9" hidden="1"/>
    <cellStyle name="Followed Hyperlink" xfId="30826" builtinId="9" hidden="1"/>
    <cellStyle name="Followed Hyperlink" xfId="30916" builtinId="9" hidden="1"/>
    <cellStyle name="Followed Hyperlink" xfId="30918" builtinId="9" hidden="1"/>
    <cellStyle name="Followed Hyperlink" xfId="30920" builtinId="9" hidden="1"/>
    <cellStyle name="Followed Hyperlink" xfId="30922" builtinId="9" hidden="1"/>
    <cellStyle name="Followed Hyperlink" xfId="30828" builtinId="9" hidden="1"/>
    <cellStyle name="Followed Hyperlink" xfId="30850" builtinId="9" hidden="1"/>
    <cellStyle name="Followed Hyperlink" xfId="30924" builtinId="9" hidden="1"/>
    <cellStyle name="Followed Hyperlink" xfId="30926" builtinId="9" hidden="1"/>
    <cellStyle name="Followed Hyperlink" xfId="30928" builtinId="9" hidden="1"/>
    <cellStyle name="Followed Hyperlink" xfId="30930" builtinId="9" hidden="1"/>
    <cellStyle name="Followed Hyperlink" xfId="30843" builtinId="9" hidden="1"/>
    <cellStyle name="Followed Hyperlink" xfId="30823" builtinId="9" hidden="1"/>
    <cellStyle name="Followed Hyperlink" xfId="30932" builtinId="9" hidden="1"/>
    <cellStyle name="Followed Hyperlink" xfId="30934" builtinId="9" hidden="1"/>
    <cellStyle name="Followed Hyperlink" xfId="30936" builtinId="9" hidden="1"/>
    <cellStyle name="Followed Hyperlink" xfId="30938" builtinId="9" hidden="1"/>
    <cellStyle name="Followed Hyperlink" xfId="30834" builtinId="9" hidden="1"/>
    <cellStyle name="Followed Hyperlink" xfId="30858" builtinId="9" hidden="1"/>
    <cellStyle name="Followed Hyperlink" xfId="30940" builtinId="9" hidden="1"/>
    <cellStyle name="Followed Hyperlink" xfId="30942" builtinId="9" hidden="1"/>
    <cellStyle name="Followed Hyperlink" xfId="30944" builtinId="9" hidden="1"/>
    <cellStyle name="Followed Hyperlink" xfId="30946" builtinId="9" hidden="1"/>
    <cellStyle name="Followed Hyperlink" xfId="30832" builtinId="9" hidden="1"/>
    <cellStyle name="Followed Hyperlink" xfId="30831" builtinId="9" hidden="1"/>
    <cellStyle name="Followed Hyperlink" xfId="30948" builtinId="9" hidden="1"/>
    <cellStyle name="Followed Hyperlink" xfId="30950" builtinId="9" hidden="1"/>
    <cellStyle name="Followed Hyperlink" xfId="30952" builtinId="9" hidden="1"/>
    <cellStyle name="Followed Hyperlink" xfId="30954" builtinId="9" hidden="1"/>
    <cellStyle name="Followed Hyperlink" xfId="30830" builtinId="9" hidden="1"/>
    <cellStyle name="Followed Hyperlink" xfId="30852" builtinId="9" hidden="1"/>
    <cellStyle name="Followed Hyperlink" xfId="30956" builtinId="9" hidden="1"/>
    <cellStyle name="Followed Hyperlink" xfId="30958" builtinId="9" hidden="1"/>
    <cellStyle name="Followed Hyperlink" xfId="30960" builtinId="9" hidden="1"/>
    <cellStyle name="Followed Hyperlink" xfId="30962" builtinId="9" hidden="1"/>
    <cellStyle name="Followed Hyperlink" xfId="30964" builtinId="9" hidden="1"/>
    <cellStyle name="Followed Hyperlink" xfId="30966" builtinId="9" hidden="1"/>
    <cellStyle name="Followed Hyperlink" xfId="31032" builtinId="9" hidden="1"/>
    <cellStyle name="Followed Hyperlink" xfId="31034" builtinId="9" hidden="1"/>
    <cellStyle name="Followed Hyperlink" xfId="31036" builtinId="9" hidden="1"/>
    <cellStyle name="Followed Hyperlink" xfId="31038" builtinId="9" hidden="1"/>
    <cellStyle name="Followed Hyperlink" xfId="31041" builtinId="9" hidden="1"/>
    <cellStyle name="Followed Hyperlink" xfId="31043" builtinId="9" hidden="1"/>
    <cellStyle name="Followed Hyperlink" xfId="31117" builtinId="9" hidden="1"/>
    <cellStyle name="Followed Hyperlink" xfId="31119" builtinId="9" hidden="1"/>
    <cellStyle name="Followed Hyperlink" xfId="31121" builtinId="9" hidden="1"/>
    <cellStyle name="Followed Hyperlink" xfId="31123" builtinId="9" hidden="1"/>
    <cellStyle name="Followed Hyperlink" xfId="31125" builtinId="9" hidden="1"/>
    <cellStyle name="Followed Hyperlink" xfId="31127" builtinId="9" hidden="1"/>
    <cellStyle name="Followed Hyperlink" xfId="31177" builtinId="9" hidden="1"/>
    <cellStyle name="Followed Hyperlink" xfId="31179" builtinId="9" hidden="1"/>
    <cellStyle name="Followed Hyperlink" xfId="31181" builtinId="9" hidden="1"/>
    <cellStyle name="Followed Hyperlink" xfId="31183" builtinId="9" hidden="1"/>
    <cellStyle name="Followed Hyperlink" xfId="31152" builtinId="9" hidden="1"/>
    <cellStyle name="Followed Hyperlink" xfId="31141" builtinId="9" hidden="1"/>
    <cellStyle name="Followed Hyperlink" xfId="31185" builtinId="9" hidden="1"/>
    <cellStyle name="Followed Hyperlink" xfId="31187" builtinId="9" hidden="1"/>
    <cellStyle name="Followed Hyperlink" xfId="31189" builtinId="9" hidden="1"/>
    <cellStyle name="Followed Hyperlink" xfId="31191" builtinId="9" hidden="1"/>
    <cellStyle name="Followed Hyperlink" xfId="31135" builtinId="9" hidden="1"/>
    <cellStyle name="Followed Hyperlink" xfId="31138" builtinId="9" hidden="1"/>
    <cellStyle name="Followed Hyperlink" xfId="31193" builtinId="9" hidden="1"/>
    <cellStyle name="Followed Hyperlink" xfId="31195" builtinId="9" hidden="1"/>
    <cellStyle name="Followed Hyperlink" xfId="31197" builtinId="9" hidden="1"/>
    <cellStyle name="Followed Hyperlink" xfId="31199" builtinId="9" hidden="1"/>
    <cellStyle name="Followed Hyperlink" xfId="31153" builtinId="9" hidden="1"/>
    <cellStyle name="Followed Hyperlink" xfId="31166" builtinId="9" hidden="1"/>
    <cellStyle name="Followed Hyperlink" xfId="31201" builtinId="9" hidden="1"/>
    <cellStyle name="Followed Hyperlink" xfId="31203" builtinId="9" hidden="1"/>
    <cellStyle name="Followed Hyperlink" xfId="31205" builtinId="9" hidden="1"/>
    <cellStyle name="Followed Hyperlink" xfId="31207" builtinId="9" hidden="1"/>
    <cellStyle name="Followed Hyperlink" xfId="31165" builtinId="9" hidden="1"/>
    <cellStyle name="Followed Hyperlink" xfId="31132" builtinId="9" hidden="1"/>
    <cellStyle name="Followed Hyperlink" xfId="31209" builtinId="9" hidden="1"/>
    <cellStyle name="Followed Hyperlink" xfId="31211" builtinId="9" hidden="1"/>
    <cellStyle name="Followed Hyperlink" xfId="31213" builtinId="9" hidden="1"/>
    <cellStyle name="Followed Hyperlink" xfId="31215" builtinId="9" hidden="1"/>
    <cellStyle name="Followed Hyperlink" xfId="31137" builtinId="9" hidden="1"/>
    <cellStyle name="Followed Hyperlink" xfId="31168" builtinId="9" hidden="1"/>
    <cellStyle name="Followed Hyperlink" xfId="31217" builtinId="9" hidden="1"/>
    <cellStyle name="Followed Hyperlink" xfId="31219" builtinId="9" hidden="1"/>
    <cellStyle name="Followed Hyperlink" xfId="31221" builtinId="9" hidden="1"/>
    <cellStyle name="Followed Hyperlink" xfId="31223" builtinId="9" hidden="1"/>
    <cellStyle name="Followed Hyperlink" xfId="31171" builtinId="9" hidden="1"/>
    <cellStyle name="Followed Hyperlink" xfId="31136" builtinId="9" hidden="1"/>
    <cellStyle name="Followed Hyperlink" xfId="31225" builtinId="9" hidden="1"/>
    <cellStyle name="Followed Hyperlink" xfId="31227" builtinId="9" hidden="1"/>
    <cellStyle name="Followed Hyperlink" xfId="31229" builtinId="9" hidden="1"/>
    <cellStyle name="Followed Hyperlink" xfId="31231" builtinId="9" hidden="1"/>
    <cellStyle name="Followed Hyperlink" xfId="31163" builtinId="9" hidden="1"/>
    <cellStyle name="Followed Hyperlink" xfId="31143" builtinId="9" hidden="1"/>
    <cellStyle name="Followed Hyperlink" xfId="31233" builtinId="9" hidden="1"/>
    <cellStyle name="Followed Hyperlink" xfId="31235" builtinId="9" hidden="1"/>
    <cellStyle name="Followed Hyperlink" xfId="31237" builtinId="9" hidden="1"/>
    <cellStyle name="Followed Hyperlink" xfId="31239" builtinId="9" hidden="1"/>
    <cellStyle name="Followed Hyperlink" xfId="31145" builtinId="9" hidden="1"/>
    <cellStyle name="Followed Hyperlink" xfId="31167" builtinId="9" hidden="1"/>
    <cellStyle name="Followed Hyperlink" xfId="31241" builtinId="9" hidden="1"/>
    <cellStyle name="Followed Hyperlink" xfId="31243" builtinId="9" hidden="1"/>
    <cellStyle name="Followed Hyperlink" xfId="31245" builtinId="9" hidden="1"/>
    <cellStyle name="Followed Hyperlink" xfId="31247" builtinId="9" hidden="1"/>
    <cellStyle name="Followed Hyperlink" xfId="31160" builtinId="9" hidden="1"/>
    <cellStyle name="Followed Hyperlink" xfId="31140" builtinId="9" hidden="1"/>
    <cellStyle name="Followed Hyperlink" xfId="31249" builtinId="9" hidden="1"/>
    <cellStyle name="Followed Hyperlink" xfId="31251" builtinId="9" hidden="1"/>
    <cellStyle name="Followed Hyperlink" xfId="31253" builtinId="9" hidden="1"/>
    <cellStyle name="Followed Hyperlink" xfId="31255" builtinId="9" hidden="1"/>
    <cellStyle name="Followed Hyperlink" xfId="31151" builtinId="9" hidden="1"/>
    <cellStyle name="Followed Hyperlink" xfId="31175" builtinId="9" hidden="1"/>
    <cellStyle name="Followed Hyperlink" xfId="31257" builtinId="9" hidden="1"/>
    <cellStyle name="Followed Hyperlink" xfId="31259" builtinId="9" hidden="1"/>
    <cellStyle name="Followed Hyperlink" xfId="31261" builtinId="9" hidden="1"/>
    <cellStyle name="Followed Hyperlink" xfId="31263" builtinId="9" hidden="1"/>
    <cellStyle name="Followed Hyperlink" xfId="31149" builtinId="9" hidden="1"/>
    <cellStyle name="Followed Hyperlink" xfId="31148" builtinId="9" hidden="1"/>
    <cellStyle name="Followed Hyperlink" xfId="31265" builtinId="9" hidden="1"/>
    <cellStyle name="Followed Hyperlink" xfId="31267" builtinId="9" hidden="1"/>
    <cellStyle name="Followed Hyperlink" xfId="31269" builtinId="9" hidden="1"/>
    <cellStyle name="Followed Hyperlink" xfId="31271" builtinId="9" hidden="1"/>
    <cellStyle name="Followed Hyperlink" xfId="31147" builtinId="9" hidden="1"/>
    <cellStyle name="Followed Hyperlink" xfId="31169" builtinId="9" hidden="1"/>
    <cellStyle name="Followed Hyperlink" xfId="31273" builtinId="9" hidden="1"/>
    <cellStyle name="Followed Hyperlink" xfId="31275" builtinId="9" hidden="1"/>
    <cellStyle name="Followed Hyperlink" xfId="31277" builtinId="9" hidden="1"/>
    <cellStyle name="Followed Hyperlink" xfId="31279" builtinId="9" hidden="1"/>
    <cellStyle name="Followed Hyperlink" xfId="31056" builtinId="9" hidden="1"/>
    <cellStyle name="Followed Hyperlink" xfId="31003" builtinId="9" hidden="1"/>
    <cellStyle name="Followed Hyperlink" xfId="31058" builtinId="9" hidden="1"/>
    <cellStyle name="Followed Hyperlink" xfId="31009" builtinId="9" hidden="1"/>
    <cellStyle name="Followed Hyperlink" xfId="31114" builtinId="9" hidden="1"/>
    <cellStyle name="Followed Hyperlink" xfId="30994" builtinId="9" hidden="1"/>
    <cellStyle name="Followed Hyperlink" xfId="31047" builtinId="9" hidden="1"/>
    <cellStyle name="Followed Hyperlink" xfId="30997" builtinId="9" hidden="1"/>
    <cellStyle name="Followed Hyperlink" xfId="31284" builtinId="9" hidden="1"/>
    <cellStyle name="Followed Hyperlink" xfId="31286" builtinId="9" hidden="1"/>
    <cellStyle name="Followed Hyperlink" xfId="31288" builtinId="9" hidden="1"/>
    <cellStyle name="Followed Hyperlink" xfId="31290" builtinId="9" hidden="1"/>
    <cellStyle name="Followed Hyperlink" xfId="31293" builtinId="9" hidden="1"/>
    <cellStyle name="Followed Hyperlink" xfId="31295" builtinId="9" hidden="1"/>
    <cellStyle name="Followed Hyperlink" xfId="31345" builtinId="9" hidden="1"/>
    <cellStyle name="Followed Hyperlink" xfId="31347" builtinId="9" hidden="1"/>
    <cellStyle name="Followed Hyperlink" xfId="31349" builtinId="9" hidden="1"/>
    <cellStyle name="Followed Hyperlink" xfId="31351" builtinId="9" hidden="1"/>
    <cellStyle name="Followed Hyperlink" xfId="31320" builtinId="9" hidden="1"/>
    <cellStyle name="Followed Hyperlink" xfId="31309" builtinId="9" hidden="1"/>
    <cellStyle name="Followed Hyperlink" xfId="31353" builtinId="9" hidden="1"/>
    <cellStyle name="Followed Hyperlink" xfId="31355" builtinId="9" hidden="1"/>
    <cellStyle name="Followed Hyperlink" xfId="31357" builtinId="9" hidden="1"/>
    <cellStyle name="Followed Hyperlink" xfId="31359" builtinId="9" hidden="1"/>
    <cellStyle name="Followed Hyperlink" xfId="31303" builtinId="9" hidden="1"/>
    <cellStyle name="Followed Hyperlink" xfId="31306" builtinId="9" hidden="1"/>
    <cellStyle name="Followed Hyperlink" xfId="31361" builtinId="9" hidden="1"/>
    <cellStyle name="Followed Hyperlink" xfId="31363" builtinId="9" hidden="1"/>
    <cellStyle name="Followed Hyperlink" xfId="31365" builtinId="9" hidden="1"/>
    <cellStyle name="Followed Hyperlink" xfId="31367" builtinId="9" hidden="1"/>
    <cellStyle name="Followed Hyperlink" xfId="31321" builtinId="9" hidden="1"/>
    <cellStyle name="Followed Hyperlink" xfId="31334" builtinId="9" hidden="1"/>
    <cellStyle name="Followed Hyperlink" xfId="31369" builtinId="9" hidden="1"/>
    <cellStyle name="Followed Hyperlink" xfId="31371" builtinId="9" hidden="1"/>
    <cellStyle name="Followed Hyperlink" xfId="31373" builtinId="9" hidden="1"/>
    <cellStyle name="Followed Hyperlink" xfId="31375" builtinId="9" hidden="1"/>
    <cellStyle name="Followed Hyperlink" xfId="31333" builtinId="9" hidden="1"/>
    <cellStyle name="Followed Hyperlink" xfId="31300" builtinId="9" hidden="1"/>
    <cellStyle name="Followed Hyperlink" xfId="31377" builtinId="9" hidden="1"/>
    <cellStyle name="Followed Hyperlink" xfId="31379" builtinId="9" hidden="1"/>
    <cellStyle name="Followed Hyperlink" xfId="31381" builtinId="9" hidden="1"/>
    <cellStyle name="Followed Hyperlink" xfId="31383" builtinId="9" hidden="1"/>
    <cellStyle name="Followed Hyperlink" xfId="31305" builtinId="9" hidden="1"/>
    <cellStyle name="Followed Hyperlink" xfId="31336" builtinId="9" hidden="1"/>
    <cellStyle name="Followed Hyperlink" xfId="31385" builtinId="9" hidden="1"/>
    <cellStyle name="Followed Hyperlink" xfId="31387" builtinId="9" hidden="1"/>
    <cellStyle name="Followed Hyperlink" xfId="31389" builtinId="9" hidden="1"/>
    <cellStyle name="Followed Hyperlink" xfId="31391" builtinId="9" hidden="1"/>
    <cellStyle name="Followed Hyperlink" xfId="31339" builtinId="9" hidden="1"/>
    <cellStyle name="Followed Hyperlink" xfId="31304" builtinId="9" hidden="1"/>
    <cellStyle name="Followed Hyperlink" xfId="31393" builtinId="9" hidden="1"/>
    <cellStyle name="Followed Hyperlink" xfId="31395" builtinId="9" hidden="1"/>
    <cellStyle name="Followed Hyperlink" xfId="31397" builtinId="9" hidden="1"/>
    <cellStyle name="Followed Hyperlink" xfId="31399" builtinId="9" hidden="1"/>
    <cellStyle name="Followed Hyperlink" xfId="31331" builtinId="9" hidden="1"/>
    <cellStyle name="Followed Hyperlink" xfId="31311" builtinId="9" hidden="1"/>
    <cellStyle name="Followed Hyperlink" xfId="31401" builtinId="9" hidden="1"/>
    <cellStyle name="Followed Hyperlink" xfId="31403" builtinId="9" hidden="1"/>
    <cellStyle name="Followed Hyperlink" xfId="31405" builtinId="9" hidden="1"/>
    <cellStyle name="Followed Hyperlink" xfId="31407" builtinId="9" hidden="1"/>
    <cellStyle name="Followed Hyperlink" xfId="31313" builtinId="9" hidden="1"/>
    <cellStyle name="Followed Hyperlink" xfId="31335" builtinId="9" hidden="1"/>
    <cellStyle name="Followed Hyperlink" xfId="31409" builtinId="9" hidden="1"/>
    <cellStyle name="Followed Hyperlink" xfId="31411" builtinId="9" hidden="1"/>
    <cellStyle name="Followed Hyperlink" xfId="31413" builtinId="9" hidden="1"/>
    <cellStyle name="Followed Hyperlink" xfId="31415" builtinId="9" hidden="1"/>
    <cellStyle name="Followed Hyperlink" xfId="31328" builtinId="9" hidden="1"/>
    <cellStyle name="Followed Hyperlink" xfId="31308" builtinId="9" hidden="1"/>
    <cellStyle name="Followed Hyperlink" xfId="31417" builtinId="9" hidden="1"/>
    <cellStyle name="Followed Hyperlink" xfId="31419" builtinId="9" hidden="1"/>
    <cellStyle name="Followed Hyperlink" xfId="31421" builtinId="9" hidden="1"/>
    <cellStyle name="Followed Hyperlink" xfId="31423" builtinId="9" hidden="1"/>
    <cellStyle name="Followed Hyperlink" xfId="31319" builtinId="9" hidden="1"/>
    <cellStyle name="Followed Hyperlink" xfId="31343" builtinId="9" hidden="1"/>
    <cellStyle name="Followed Hyperlink" xfId="31425" builtinId="9" hidden="1"/>
    <cellStyle name="Followed Hyperlink" xfId="31427" builtinId="9" hidden="1"/>
    <cellStyle name="Followed Hyperlink" xfId="31429" builtinId="9" hidden="1"/>
    <cellStyle name="Followed Hyperlink" xfId="31431" builtinId="9" hidden="1"/>
    <cellStyle name="Followed Hyperlink" xfId="31317" builtinId="9" hidden="1"/>
    <cellStyle name="Followed Hyperlink" xfId="31316" builtinId="9" hidden="1"/>
    <cellStyle name="Followed Hyperlink" xfId="31433" builtinId="9" hidden="1"/>
    <cellStyle name="Followed Hyperlink" xfId="31435" builtinId="9" hidden="1"/>
    <cellStyle name="Followed Hyperlink" xfId="31437" builtinId="9" hidden="1"/>
    <cellStyle name="Followed Hyperlink" xfId="31439" builtinId="9" hidden="1"/>
    <cellStyle name="Followed Hyperlink" xfId="31315" builtinId="9" hidden="1"/>
    <cellStyle name="Followed Hyperlink" xfId="31337" builtinId="9" hidden="1"/>
    <cellStyle name="Followed Hyperlink" xfId="31441" builtinId="9" hidden="1"/>
    <cellStyle name="Followed Hyperlink" xfId="31443" builtinId="9" hidden="1"/>
    <cellStyle name="Followed Hyperlink" xfId="31445" builtinId="9" hidden="1"/>
    <cellStyle name="Followed Hyperlink" xfId="31447" builtinId="9" hidden="1"/>
    <cellStyle name="Followed Hyperlink" xfId="19176" builtinId="9" hidden="1"/>
    <cellStyle name="Followed Hyperlink" xfId="31097" builtinId="9" hidden="1"/>
    <cellStyle name="Followed Hyperlink" xfId="31282" builtinId="9" hidden="1"/>
    <cellStyle name="Followed Hyperlink" xfId="30995" builtinId="9" hidden="1"/>
    <cellStyle name="Followed Hyperlink" xfId="31052" builtinId="9" hidden="1"/>
    <cellStyle name="Followed Hyperlink" xfId="31008" builtinId="9" hidden="1"/>
    <cellStyle name="Followed Hyperlink" xfId="31044" builtinId="9" hidden="1"/>
    <cellStyle name="Followed Hyperlink" xfId="31025" builtinId="9" hidden="1"/>
    <cellStyle name="Followed Hyperlink" xfId="31458" builtinId="9" hidden="1"/>
    <cellStyle name="Followed Hyperlink" xfId="31460" builtinId="9" hidden="1"/>
    <cellStyle name="Followed Hyperlink" xfId="31462" builtinId="9" hidden="1"/>
    <cellStyle name="Followed Hyperlink" xfId="31464" builtinId="9" hidden="1"/>
    <cellStyle name="Followed Hyperlink" xfId="31466" builtinId="9" hidden="1"/>
    <cellStyle name="Followed Hyperlink" xfId="31468" builtinId="9" hidden="1"/>
    <cellStyle name="Followed Hyperlink" xfId="31518" builtinId="9" hidden="1"/>
    <cellStyle name="Followed Hyperlink" xfId="31520" builtinId="9" hidden="1"/>
    <cellStyle name="Followed Hyperlink" xfId="31522" builtinId="9" hidden="1"/>
    <cellStyle name="Followed Hyperlink" xfId="31524" builtinId="9" hidden="1"/>
    <cellStyle name="Followed Hyperlink" xfId="31493" builtinId="9" hidden="1"/>
    <cellStyle name="Followed Hyperlink" xfId="31482" builtinId="9" hidden="1"/>
    <cellStyle name="Followed Hyperlink" xfId="31526" builtinId="9" hidden="1"/>
    <cellStyle name="Followed Hyperlink" xfId="31528" builtinId="9" hidden="1"/>
    <cellStyle name="Followed Hyperlink" xfId="31530" builtinId="9" hidden="1"/>
    <cellStyle name="Followed Hyperlink" xfId="31532" builtinId="9" hidden="1"/>
    <cellStyle name="Followed Hyperlink" xfId="31476" builtinId="9" hidden="1"/>
    <cellStyle name="Followed Hyperlink" xfId="31479" builtinId="9" hidden="1"/>
    <cellStyle name="Followed Hyperlink" xfId="31534" builtinId="9" hidden="1"/>
    <cellStyle name="Followed Hyperlink" xfId="31536" builtinId="9" hidden="1"/>
    <cellStyle name="Followed Hyperlink" xfId="31538" builtinId="9" hidden="1"/>
    <cellStyle name="Followed Hyperlink" xfId="31540" builtinId="9" hidden="1"/>
    <cellStyle name="Followed Hyperlink" xfId="31494" builtinId="9" hidden="1"/>
    <cellStyle name="Followed Hyperlink" xfId="31507" builtinId="9" hidden="1"/>
    <cellStyle name="Followed Hyperlink" xfId="31542" builtinId="9" hidden="1"/>
    <cellStyle name="Followed Hyperlink" xfId="31544" builtinId="9" hidden="1"/>
    <cellStyle name="Followed Hyperlink" xfId="31546" builtinId="9" hidden="1"/>
    <cellStyle name="Followed Hyperlink" xfId="31548" builtinId="9" hidden="1"/>
    <cellStyle name="Followed Hyperlink" xfId="31506" builtinId="9" hidden="1"/>
    <cellStyle name="Followed Hyperlink" xfId="31473" builtinId="9" hidden="1"/>
    <cellStyle name="Followed Hyperlink" xfId="31550" builtinId="9" hidden="1"/>
    <cellStyle name="Followed Hyperlink" xfId="31552" builtinId="9" hidden="1"/>
    <cellStyle name="Followed Hyperlink" xfId="31554" builtinId="9" hidden="1"/>
    <cellStyle name="Followed Hyperlink" xfId="31556" builtinId="9" hidden="1"/>
    <cellStyle name="Followed Hyperlink" xfId="31478" builtinId="9" hidden="1"/>
    <cellStyle name="Followed Hyperlink" xfId="31509" builtinId="9" hidden="1"/>
    <cellStyle name="Followed Hyperlink" xfId="31558" builtinId="9" hidden="1"/>
    <cellStyle name="Followed Hyperlink" xfId="31560" builtinId="9" hidden="1"/>
    <cellStyle name="Followed Hyperlink" xfId="31562" builtinId="9" hidden="1"/>
    <cellStyle name="Followed Hyperlink" xfId="31564" builtinId="9" hidden="1"/>
    <cellStyle name="Followed Hyperlink" xfId="31512" builtinId="9" hidden="1"/>
    <cellStyle name="Followed Hyperlink" xfId="31477" builtinId="9" hidden="1"/>
    <cellStyle name="Followed Hyperlink" xfId="31566" builtinId="9" hidden="1"/>
    <cellStyle name="Followed Hyperlink" xfId="31568" builtinId="9" hidden="1"/>
    <cellStyle name="Followed Hyperlink" xfId="31570" builtinId="9" hidden="1"/>
    <cellStyle name="Followed Hyperlink" xfId="31572" builtinId="9" hidden="1"/>
    <cellStyle name="Followed Hyperlink" xfId="31504" builtinId="9" hidden="1"/>
    <cellStyle name="Followed Hyperlink" xfId="31484" builtinId="9" hidden="1"/>
    <cellStyle name="Followed Hyperlink" xfId="31574" builtinId="9" hidden="1"/>
    <cellStyle name="Followed Hyperlink" xfId="31576" builtinId="9" hidden="1"/>
    <cellStyle name="Followed Hyperlink" xfId="31578" builtinId="9" hidden="1"/>
    <cellStyle name="Followed Hyperlink" xfId="31580" builtinId="9" hidden="1"/>
    <cellStyle name="Followed Hyperlink" xfId="31486" builtinId="9" hidden="1"/>
    <cellStyle name="Followed Hyperlink" xfId="31508" builtinId="9" hidden="1"/>
    <cellStyle name="Followed Hyperlink" xfId="31582" builtinId="9" hidden="1"/>
    <cellStyle name="Followed Hyperlink" xfId="31584" builtinId="9" hidden="1"/>
    <cellStyle name="Followed Hyperlink" xfId="31586" builtinId="9" hidden="1"/>
    <cellStyle name="Followed Hyperlink" xfId="31588" builtinId="9" hidden="1"/>
    <cellStyle name="Followed Hyperlink" xfId="31501" builtinId="9" hidden="1"/>
    <cellStyle name="Followed Hyperlink" xfId="31481" builtinId="9" hidden="1"/>
    <cellStyle name="Followed Hyperlink" xfId="31590" builtinId="9" hidden="1"/>
    <cellStyle name="Followed Hyperlink" xfId="31592" builtinId="9" hidden="1"/>
    <cellStyle name="Followed Hyperlink" xfId="31594" builtinId="9" hidden="1"/>
    <cellStyle name="Followed Hyperlink" xfId="31596" builtinId="9" hidden="1"/>
    <cellStyle name="Followed Hyperlink" xfId="31492" builtinId="9" hidden="1"/>
    <cellStyle name="Followed Hyperlink" xfId="31516" builtinId="9" hidden="1"/>
    <cellStyle name="Followed Hyperlink" xfId="31598" builtinId="9" hidden="1"/>
    <cellStyle name="Followed Hyperlink" xfId="31600" builtinId="9" hidden="1"/>
    <cellStyle name="Followed Hyperlink" xfId="31602" builtinId="9" hidden="1"/>
    <cellStyle name="Followed Hyperlink" xfId="31604" builtinId="9" hidden="1"/>
    <cellStyle name="Followed Hyperlink" xfId="31490" builtinId="9" hidden="1"/>
    <cellStyle name="Followed Hyperlink" xfId="31489" builtinId="9" hidden="1"/>
    <cellStyle name="Followed Hyperlink" xfId="31606" builtinId="9" hidden="1"/>
    <cellStyle name="Followed Hyperlink" xfId="31608" builtinId="9" hidden="1"/>
    <cellStyle name="Followed Hyperlink" xfId="31610" builtinId="9" hidden="1"/>
    <cellStyle name="Followed Hyperlink" xfId="31612" builtinId="9" hidden="1"/>
    <cellStyle name="Followed Hyperlink" xfId="31488" builtinId="9" hidden="1"/>
    <cellStyle name="Followed Hyperlink" xfId="31510" builtinId="9" hidden="1"/>
    <cellStyle name="Followed Hyperlink" xfId="31614" builtinId="9" hidden="1"/>
    <cellStyle name="Followed Hyperlink" xfId="31616" builtinId="9" hidden="1"/>
    <cellStyle name="Followed Hyperlink" xfId="31618" builtinId="9" hidden="1"/>
    <cellStyle name="Followed Hyperlink" xfId="31620" builtinId="9" hidden="1"/>
    <cellStyle name="Followed Hyperlink" xfId="31106" builtinId="9" hidden="1"/>
    <cellStyle name="Followed Hyperlink" xfId="31001" builtinId="9" hidden="1"/>
    <cellStyle name="Followed Hyperlink" xfId="31072" builtinId="9" hidden="1"/>
    <cellStyle name="Followed Hyperlink" xfId="31074" builtinId="9" hidden="1"/>
    <cellStyle name="Followed Hyperlink" xfId="31454" builtinId="9" hidden="1"/>
    <cellStyle name="Followed Hyperlink" xfId="31020" builtinId="9" hidden="1"/>
    <cellStyle name="Followed Hyperlink" xfId="31026" builtinId="9" hidden="1"/>
    <cellStyle name="Followed Hyperlink" xfId="31002" builtinId="9" hidden="1"/>
    <cellStyle name="Followed Hyperlink" xfId="31628" builtinId="9" hidden="1"/>
    <cellStyle name="Followed Hyperlink" xfId="31630" builtinId="9" hidden="1"/>
    <cellStyle name="Followed Hyperlink" xfId="31632" builtinId="9" hidden="1"/>
    <cellStyle name="Followed Hyperlink" xfId="31634" builtinId="9" hidden="1"/>
    <cellStyle name="Followed Hyperlink" xfId="31636" builtinId="9" hidden="1"/>
    <cellStyle name="Followed Hyperlink" xfId="31638" builtinId="9" hidden="1"/>
    <cellStyle name="Followed Hyperlink" xfId="31688" builtinId="9" hidden="1"/>
    <cellStyle name="Followed Hyperlink" xfId="31690" builtinId="9" hidden="1"/>
    <cellStyle name="Followed Hyperlink" xfId="31692" builtinId="9" hidden="1"/>
    <cellStyle name="Followed Hyperlink" xfId="31694" builtinId="9" hidden="1"/>
    <cellStyle name="Followed Hyperlink" xfId="31663" builtinId="9" hidden="1"/>
    <cellStyle name="Followed Hyperlink" xfId="31652" builtinId="9" hidden="1"/>
    <cellStyle name="Followed Hyperlink" xfId="31696" builtinId="9" hidden="1"/>
    <cellStyle name="Followed Hyperlink" xfId="31698" builtinId="9" hidden="1"/>
    <cellStyle name="Followed Hyperlink" xfId="31700" builtinId="9" hidden="1"/>
    <cellStyle name="Followed Hyperlink" xfId="31702" builtinId="9" hidden="1"/>
    <cellStyle name="Followed Hyperlink" xfId="31646" builtinId="9" hidden="1"/>
    <cellStyle name="Followed Hyperlink" xfId="31649" builtinId="9" hidden="1"/>
    <cellStyle name="Followed Hyperlink" xfId="31704" builtinId="9" hidden="1"/>
    <cellStyle name="Followed Hyperlink" xfId="31706" builtinId="9" hidden="1"/>
    <cellStyle name="Followed Hyperlink" xfId="31708" builtinId="9" hidden="1"/>
    <cellStyle name="Followed Hyperlink" xfId="31710" builtinId="9" hidden="1"/>
    <cellStyle name="Followed Hyperlink" xfId="31664" builtinId="9" hidden="1"/>
    <cellStyle name="Followed Hyperlink" xfId="31677" builtinId="9" hidden="1"/>
    <cellStyle name="Followed Hyperlink" xfId="31712" builtinId="9" hidden="1"/>
    <cellStyle name="Followed Hyperlink" xfId="31714" builtinId="9" hidden="1"/>
    <cellStyle name="Followed Hyperlink" xfId="31716" builtinId="9" hidden="1"/>
    <cellStyle name="Followed Hyperlink" xfId="31718" builtinId="9" hidden="1"/>
    <cellStyle name="Followed Hyperlink" xfId="31676" builtinId="9" hidden="1"/>
    <cellStyle name="Followed Hyperlink" xfId="31643" builtinId="9" hidden="1"/>
    <cellStyle name="Followed Hyperlink" xfId="31720" builtinId="9" hidden="1"/>
    <cellStyle name="Followed Hyperlink" xfId="31722" builtinId="9" hidden="1"/>
    <cellStyle name="Followed Hyperlink" xfId="31724" builtinId="9" hidden="1"/>
    <cellStyle name="Followed Hyperlink" xfId="31726" builtinId="9" hidden="1"/>
    <cellStyle name="Followed Hyperlink" xfId="31648" builtinId="9" hidden="1"/>
    <cellStyle name="Followed Hyperlink" xfId="31679" builtinId="9" hidden="1"/>
    <cellStyle name="Followed Hyperlink" xfId="31728" builtinId="9" hidden="1"/>
    <cellStyle name="Followed Hyperlink" xfId="31730" builtinId="9" hidden="1"/>
    <cellStyle name="Followed Hyperlink" xfId="31732" builtinId="9" hidden="1"/>
    <cellStyle name="Followed Hyperlink" xfId="31734" builtinId="9" hidden="1"/>
    <cellStyle name="Followed Hyperlink" xfId="31682" builtinId="9" hidden="1"/>
    <cellStyle name="Followed Hyperlink" xfId="31647" builtinId="9" hidden="1"/>
    <cellStyle name="Followed Hyperlink" xfId="31736" builtinId="9" hidden="1"/>
    <cellStyle name="Followed Hyperlink" xfId="31738" builtinId="9" hidden="1"/>
    <cellStyle name="Followed Hyperlink" xfId="31740" builtinId="9" hidden="1"/>
    <cellStyle name="Followed Hyperlink" xfId="31742" builtinId="9" hidden="1"/>
    <cellStyle name="Followed Hyperlink" xfId="31674" builtinId="9" hidden="1"/>
    <cellStyle name="Followed Hyperlink" xfId="31654" builtinId="9" hidden="1"/>
    <cellStyle name="Followed Hyperlink" xfId="31744" builtinId="9" hidden="1"/>
    <cellStyle name="Followed Hyperlink" xfId="31746" builtinId="9" hidden="1"/>
    <cellStyle name="Followed Hyperlink" xfId="31748" builtinId="9" hidden="1"/>
    <cellStyle name="Followed Hyperlink" xfId="31750" builtinId="9" hidden="1"/>
    <cellStyle name="Followed Hyperlink" xfId="31656" builtinId="9" hidden="1"/>
    <cellStyle name="Followed Hyperlink" xfId="31678" builtinId="9" hidden="1"/>
    <cellStyle name="Followed Hyperlink" xfId="31752" builtinId="9" hidden="1"/>
    <cellStyle name="Followed Hyperlink" xfId="31754" builtinId="9" hidden="1"/>
    <cellStyle name="Followed Hyperlink" xfId="31756" builtinId="9" hidden="1"/>
    <cellStyle name="Followed Hyperlink" xfId="31758" builtinId="9" hidden="1"/>
    <cellStyle name="Followed Hyperlink" xfId="31671" builtinId="9" hidden="1"/>
    <cellStyle name="Followed Hyperlink" xfId="31651" builtinId="9" hidden="1"/>
    <cellStyle name="Followed Hyperlink" xfId="31760" builtinId="9" hidden="1"/>
    <cellStyle name="Followed Hyperlink" xfId="31762" builtinId="9" hidden="1"/>
    <cellStyle name="Followed Hyperlink" xfId="31764" builtinId="9" hidden="1"/>
    <cellStyle name="Followed Hyperlink" xfId="31766" builtinId="9" hidden="1"/>
    <cellStyle name="Followed Hyperlink" xfId="31662" builtinId="9" hidden="1"/>
    <cellStyle name="Followed Hyperlink" xfId="31686" builtinId="9" hidden="1"/>
    <cellStyle name="Followed Hyperlink" xfId="31768" builtinId="9" hidden="1"/>
    <cellStyle name="Followed Hyperlink" xfId="31770" builtinId="9" hidden="1"/>
    <cellStyle name="Followed Hyperlink" xfId="31772" builtinId="9" hidden="1"/>
    <cellStyle name="Followed Hyperlink" xfId="31774" builtinId="9" hidden="1"/>
    <cellStyle name="Followed Hyperlink" xfId="31660" builtinId="9" hidden="1"/>
    <cellStyle name="Followed Hyperlink" xfId="31659" builtinId="9" hidden="1"/>
    <cellStyle name="Followed Hyperlink" xfId="31776" builtinId="9" hidden="1"/>
    <cellStyle name="Followed Hyperlink" xfId="31778" builtinId="9" hidden="1"/>
    <cellStyle name="Followed Hyperlink" xfId="31780" builtinId="9" hidden="1"/>
    <cellStyle name="Followed Hyperlink" xfId="31782" builtinId="9" hidden="1"/>
    <cellStyle name="Followed Hyperlink" xfId="31658" builtinId="9" hidden="1"/>
    <cellStyle name="Followed Hyperlink" xfId="31680" builtinId="9" hidden="1"/>
    <cellStyle name="Followed Hyperlink" xfId="31784" builtinId="9" hidden="1"/>
    <cellStyle name="Followed Hyperlink" xfId="31786" builtinId="9" hidden="1"/>
    <cellStyle name="Followed Hyperlink" xfId="31788" builtinId="9" hidden="1"/>
    <cellStyle name="Followed Hyperlink" xfId="31790" builtinId="9" hidden="1"/>
    <cellStyle name="Followed Hyperlink" xfId="30992" builtinId="9" hidden="1"/>
    <cellStyle name="Followed Hyperlink" xfId="31073" builtinId="9" hidden="1"/>
    <cellStyle name="Followed Hyperlink" xfId="31062" builtinId="9" hidden="1"/>
    <cellStyle name="Followed Hyperlink" xfId="31021" builtinId="9" hidden="1"/>
    <cellStyle name="Followed Hyperlink" xfId="31624" builtinId="9" hidden="1"/>
    <cellStyle name="Followed Hyperlink" xfId="31015" builtinId="9" hidden="1"/>
    <cellStyle name="Followed Hyperlink" xfId="31051" builtinId="9" hidden="1"/>
    <cellStyle name="Followed Hyperlink" xfId="31000" builtinId="9" hidden="1"/>
    <cellStyle name="Followed Hyperlink" xfId="31797" builtinId="9" hidden="1"/>
    <cellStyle name="Followed Hyperlink" xfId="31799" builtinId="9" hidden="1"/>
    <cellStyle name="Followed Hyperlink" xfId="31801" builtinId="9" hidden="1"/>
    <cellStyle name="Followed Hyperlink" xfId="31803" builtinId="9" hidden="1"/>
    <cellStyle name="Followed Hyperlink" xfId="31805" builtinId="9" hidden="1"/>
    <cellStyle name="Followed Hyperlink" xfId="31807" builtinId="9" hidden="1"/>
    <cellStyle name="Followed Hyperlink" xfId="31857" builtinId="9" hidden="1"/>
    <cellStyle name="Followed Hyperlink" xfId="31859" builtinId="9" hidden="1"/>
    <cellStyle name="Followed Hyperlink" xfId="31861" builtinId="9" hidden="1"/>
    <cellStyle name="Followed Hyperlink" xfId="31863" builtinId="9" hidden="1"/>
    <cellStyle name="Followed Hyperlink" xfId="31832" builtinId="9" hidden="1"/>
    <cellStyle name="Followed Hyperlink" xfId="31821" builtinId="9" hidden="1"/>
    <cellStyle name="Followed Hyperlink" xfId="31865" builtinId="9" hidden="1"/>
    <cellStyle name="Followed Hyperlink" xfId="31867" builtinId="9" hidden="1"/>
    <cellStyle name="Followed Hyperlink" xfId="31869" builtinId="9" hidden="1"/>
    <cellStyle name="Followed Hyperlink" xfId="31871" builtinId="9" hidden="1"/>
    <cellStyle name="Followed Hyperlink" xfId="31815" builtinId="9" hidden="1"/>
    <cellStyle name="Followed Hyperlink" xfId="31818" builtinId="9" hidden="1"/>
    <cellStyle name="Followed Hyperlink" xfId="31873" builtinId="9" hidden="1"/>
    <cellStyle name="Followed Hyperlink" xfId="31875" builtinId="9" hidden="1"/>
    <cellStyle name="Followed Hyperlink" xfId="31877" builtinId="9" hidden="1"/>
    <cellStyle name="Followed Hyperlink" xfId="31879" builtinId="9" hidden="1"/>
    <cellStyle name="Followed Hyperlink" xfId="31833" builtinId="9" hidden="1"/>
    <cellStyle name="Followed Hyperlink" xfId="31846" builtinId="9" hidden="1"/>
    <cellStyle name="Followed Hyperlink" xfId="31881" builtinId="9" hidden="1"/>
    <cellStyle name="Followed Hyperlink" xfId="31883" builtinId="9" hidden="1"/>
    <cellStyle name="Followed Hyperlink" xfId="31885" builtinId="9" hidden="1"/>
    <cellStyle name="Followed Hyperlink" xfId="31887" builtinId="9" hidden="1"/>
    <cellStyle name="Followed Hyperlink" xfId="31845" builtinId="9" hidden="1"/>
    <cellStyle name="Followed Hyperlink" xfId="31812" builtinId="9" hidden="1"/>
    <cellStyle name="Followed Hyperlink" xfId="31889" builtinId="9" hidden="1"/>
    <cellStyle name="Followed Hyperlink" xfId="31891" builtinId="9" hidden="1"/>
    <cellStyle name="Followed Hyperlink" xfId="31893" builtinId="9" hidden="1"/>
    <cellStyle name="Followed Hyperlink" xfId="31895" builtinId="9" hidden="1"/>
    <cellStyle name="Followed Hyperlink" xfId="31817" builtinId="9" hidden="1"/>
    <cellStyle name="Followed Hyperlink" xfId="31848" builtinId="9" hidden="1"/>
    <cellStyle name="Followed Hyperlink" xfId="31897" builtinId="9" hidden="1"/>
    <cellStyle name="Followed Hyperlink" xfId="31899" builtinId="9" hidden="1"/>
    <cellStyle name="Followed Hyperlink" xfId="31901" builtinId="9" hidden="1"/>
    <cellStyle name="Followed Hyperlink" xfId="31903" builtinId="9" hidden="1"/>
    <cellStyle name="Followed Hyperlink" xfId="31851" builtinId="9" hidden="1"/>
    <cellStyle name="Followed Hyperlink" xfId="31816" builtinId="9" hidden="1"/>
    <cellStyle name="Followed Hyperlink" xfId="31905" builtinId="9" hidden="1"/>
    <cellStyle name="Followed Hyperlink" xfId="31907" builtinId="9" hidden="1"/>
    <cellStyle name="Followed Hyperlink" xfId="31909" builtinId="9" hidden="1"/>
    <cellStyle name="Followed Hyperlink" xfId="31911" builtinId="9" hidden="1"/>
    <cellStyle name="Followed Hyperlink" xfId="31843" builtinId="9" hidden="1"/>
    <cellStyle name="Followed Hyperlink" xfId="31823" builtinId="9" hidden="1"/>
    <cellStyle name="Followed Hyperlink" xfId="31913" builtinId="9" hidden="1"/>
    <cellStyle name="Followed Hyperlink" xfId="31915" builtinId="9" hidden="1"/>
    <cellStyle name="Followed Hyperlink" xfId="31917" builtinId="9" hidden="1"/>
    <cellStyle name="Followed Hyperlink" xfId="31919" builtinId="9" hidden="1"/>
    <cellStyle name="Followed Hyperlink" xfId="31825" builtinId="9" hidden="1"/>
    <cellStyle name="Followed Hyperlink" xfId="31847" builtinId="9" hidden="1"/>
    <cellStyle name="Followed Hyperlink" xfId="31921" builtinId="9" hidden="1"/>
    <cellStyle name="Followed Hyperlink" xfId="31923" builtinId="9" hidden="1"/>
    <cellStyle name="Followed Hyperlink" xfId="31925" builtinId="9" hidden="1"/>
    <cellStyle name="Followed Hyperlink" xfId="31927" builtinId="9" hidden="1"/>
    <cellStyle name="Followed Hyperlink" xfId="31840" builtinId="9" hidden="1"/>
    <cellStyle name="Followed Hyperlink" xfId="31820" builtinId="9" hidden="1"/>
    <cellStyle name="Followed Hyperlink" xfId="31929" builtinId="9" hidden="1"/>
    <cellStyle name="Followed Hyperlink" xfId="31931" builtinId="9" hidden="1"/>
    <cellStyle name="Followed Hyperlink" xfId="31933" builtinId="9" hidden="1"/>
    <cellStyle name="Followed Hyperlink" xfId="31935" builtinId="9" hidden="1"/>
    <cellStyle name="Followed Hyperlink" xfId="31831" builtinId="9" hidden="1"/>
    <cellStyle name="Followed Hyperlink" xfId="31855" builtinId="9" hidden="1"/>
    <cellStyle name="Followed Hyperlink" xfId="31937" builtinId="9" hidden="1"/>
    <cellStyle name="Followed Hyperlink" xfId="31939" builtinId="9" hidden="1"/>
    <cellStyle name="Followed Hyperlink" xfId="31941" builtinId="9" hidden="1"/>
    <cellStyle name="Followed Hyperlink" xfId="31943" builtinId="9" hidden="1"/>
    <cellStyle name="Followed Hyperlink" xfId="31829" builtinId="9" hidden="1"/>
    <cellStyle name="Followed Hyperlink" xfId="31828" builtinId="9" hidden="1"/>
    <cellStyle name="Followed Hyperlink" xfId="31945" builtinId="9" hidden="1"/>
    <cellStyle name="Followed Hyperlink" xfId="31947" builtinId="9" hidden="1"/>
    <cellStyle name="Followed Hyperlink" xfId="31949" builtinId="9" hidden="1"/>
    <cellStyle name="Followed Hyperlink" xfId="31951" builtinId="9" hidden="1"/>
    <cellStyle name="Followed Hyperlink" xfId="31827" builtinId="9" hidden="1"/>
    <cellStyle name="Followed Hyperlink" xfId="31849" builtinId="9" hidden="1"/>
    <cellStyle name="Followed Hyperlink" xfId="31953" builtinId="9" hidden="1"/>
    <cellStyle name="Followed Hyperlink" xfId="31955" builtinId="9" hidden="1"/>
    <cellStyle name="Followed Hyperlink" xfId="31957" builtinId="9" hidden="1"/>
    <cellStyle name="Followed Hyperlink" xfId="31959" builtinId="9" hidden="1"/>
    <cellStyle name="Followed Hyperlink" xfId="30978" builtinId="9" hidden="1"/>
    <cellStyle name="Followed Hyperlink" xfId="31095" builtinId="9" hidden="1"/>
    <cellStyle name="Followed Hyperlink" xfId="31105" builtinId="9" hidden="1"/>
    <cellStyle name="Followed Hyperlink" xfId="30985" builtinId="9" hidden="1"/>
    <cellStyle name="Followed Hyperlink" xfId="31793" builtinId="9" hidden="1"/>
    <cellStyle name="Followed Hyperlink" xfId="31049" builtinId="9" hidden="1"/>
    <cellStyle name="Followed Hyperlink" xfId="31096" builtinId="9" hidden="1"/>
    <cellStyle name="Followed Hyperlink" xfId="31011" builtinId="9" hidden="1"/>
    <cellStyle name="Followed Hyperlink" xfId="31966" builtinId="9" hidden="1"/>
    <cellStyle name="Followed Hyperlink" xfId="31968" builtinId="9" hidden="1"/>
    <cellStyle name="Followed Hyperlink" xfId="31970" builtinId="9" hidden="1"/>
    <cellStyle name="Followed Hyperlink" xfId="31972" builtinId="9" hidden="1"/>
    <cellStyle name="Followed Hyperlink" xfId="31974" builtinId="9" hidden="1"/>
    <cellStyle name="Followed Hyperlink" xfId="31976" builtinId="9" hidden="1"/>
    <cellStyle name="Followed Hyperlink" xfId="32026" builtinId="9" hidden="1"/>
    <cellStyle name="Followed Hyperlink" xfId="32028" builtinId="9" hidden="1"/>
    <cellStyle name="Followed Hyperlink" xfId="32030" builtinId="9" hidden="1"/>
    <cellStyle name="Followed Hyperlink" xfId="32032" builtinId="9" hidden="1"/>
    <cellStyle name="Followed Hyperlink" xfId="32001" builtinId="9" hidden="1"/>
    <cellStyle name="Followed Hyperlink" xfId="31990" builtinId="9" hidden="1"/>
    <cellStyle name="Followed Hyperlink" xfId="32034" builtinId="9" hidden="1"/>
    <cellStyle name="Followed Hyperlink" xfId="32036" builtinId="9" hidden="1"/>
    <cellStyle name="Followed Hyperlink" xfId="32038" builtinId="9" hidden="1"/>
    <cellStyle name="Followed Hyperlink" xfId="32040" builtinId="9" hidden="1"/>
    <cellStyle name="Followed Hyperlink" xfId="31984" builtinId="9" hidden="1"/>
    <cellStyle name="Followed Hyperlink" xfId="31987" builtinId="9" hidden="1"/>
    <cellStyle name="Followed Hyperlink" xfId="32042" builtinId="9" hidden="1"/>
    <cellStyle name="Followed Hyperlink" xfId="32044" builtinId="9" hidden="1"/>
    <cellStyle name="Followed Hyperlink" xfId="32046" builtinId="9" hidden="1"/>
    <cellStyle name="Followed Hyperlink" xfId="32048" builtinId="9" hidden="1"/>
    <cellStyle name="Followed Hyperlink" xfId="32002" builtinId="9" hidden="1"/>
    <cellStyle name="Followed Hyperlink" xfId="32015" builtinId="9" hidden="1"/>
    <cellStyle name="Followed Hyperlink" xfId="32050" builtinId="9" hidden="1"/>
    <cellStyle name="Followed Hyperlink" xfId="32052" builtinId="9" hidden="1"/>
    <cellStyle name="Followed Hyperlink" xfId="32054" builtinId="9" hidden="1"/>
    <cellStyle name="Followed Hyperlink" xfId="32056" builtinId="9" hidden="1"/>
    <cellStyle name="Followed Hyperlink" xfId="32014" builtinId="9" hidden="1"/>
    <cellStyle name="Followed Hyperlink" xfId="31981" builtinId="9" hidden="1"/>
    <cellStyle name="Followed Hyperlink" xfId="32058" builtinId="9" hidden="1"/>
    <cellStyle name="Followed Hyperlink" xfId="32060" builtinId="9" hidden="1"/>
    <cellStyle name="Followed Hyperlink" xfId="32062" builtinId="9" hidden="1"/>
    <cellStyle name="Followed Hyperlink" xfId="32064" builtinId="9" hidden="1"/>
    <cellStyle name="Followed Hyperlink" xfId="31986" builtinId="9" hidden="1"/>
    <cellStyle name="Followed Hyperlink" xfId="32017" builtinId="9" hidden="1"/>
    <cellStyle name="Followed Hyperlink" xfId="32066" builtinId="9" hidden="1"/>
    <cellStyle name="Followed Hyperlink" xfId="32068" builtinId="9" hidden="1"/>
    <cellStyle name="Followed Hyperlink" xfId="32070" builtinId="9" hidden="1"/>
    <cellStyle name="Followed Hyperlink" xfId="32072" builtinId="9" hidden="1"/>
    <cellStyle name="Followed Hyperlink" xfId="32020" builtinId="9" hidden="1"/>
    <cellStyle name="Followed Hyperlink" xfId="31985" builtinId="9" hidden="1"/>
    <cellStyle name="Followed Hyperlink" xfId="32074" builtinId="9" hidden="1"/>
    <cellStyle name="Followed Hyperlink" xfId="32076" builtinId="9" hidden="1"/>
    <cellStyle name="Followed Hyperlink" xfId="32078" builtinId="9" hidden="1"/>
    <cellStyle name="Followed Hyperlink" xfId="32080" builtinId="9" hidden="1"/>
    <cellStyle name="Followed Hyperlink" xfId="32012" builtinId="9" hidden="1"/>
    <cellStyle name="Followed Hyperlink" xfId="31992" builtinId="9" hidden="1"/>
    <cellStyle name="Followed Hyperlink" xfId="32082" builtinId="9" hidden="1"/>
    <cellStyle name="Followed Hyperlink" xfId="32084" builtinId="9" hidden="1"/>
    <cellStyle name="Followed Hyperlink" xfId="32086" builtinId="9" hidden="1"/>
    <cellStyle name="Followed Hyperlink" xfId="32088" builtinId="9" hidden="1"/>
    <cellStyle name="Followed Hyperlink" xfId="31994" builtinId="9" hidden="1"/>
    <cellStyle name="Followed Hyperlink" xfId="32016" builtinId="9" hidden="1"/>
    <cellStyle name="Followed Hyperlink" xfId="32090" builtinId="9" hidden="1"/>
    <cellStyle name="Followed Hyperlink" xfId="32092" builtinId="9" hidden="1"/>
    <cellStyle name="Followed Hyperlink" xfId="32094" builtinId="9" hidden="1"/>
    <cellStyle name="Followed Hyperlink" xfId="32096" builtinId="9" hidden="1"/>
    <cellStyle name="Followed Hyperlink" xfId="32009" builtinId="9" hidden="1"/>
    <cellStyle name="Followed Hyperlink" xfId="31989" builtinId="9" hidden="1"/>
    <cellStyle name="Followed Hyperlink" xfId="32098" builtinId="9" hidden="1"/>
    <cellStyle name="Followed Hyperlink" xfId="32100" builtinId="9" hidden="1"/>
    <cellStyle name="Followed Hyperlink" xfId="32102" builtinId="9" hidden="1"/>
    <cellStyle name="Followed Hyperlink" xfId="32104" builtinId="9" hidden="1"/>
    <cellStyle name="Followed Hyperlink" xfId="32000" builtinId="9" hidden="1"/>
    <cellStyle name="Followed Hyperlink" xfId="32024" builtinId="9" hidden="1"/>
    <cellStyle name="Followed Hyperlink" xfId="32106" builtinId="9" hidden="1"/>
    <cellStyle name="Followed Hyperlink" xfId="32108" builtinId="9" hidden="1"/>
    <cellStyle name="Followed Hyperlink" xfId="32110" builtinId="9" hidden="1"/>
    <cellStyle name="Followed Hyperlink" xfId="32112" builtinId="9" hidden="1"/>
    <cellStyle name="Followed Hyperlink" xfId="31998" builtinId="9" hidden="1"/>
    <cellStyle name="Followed Hyperlink" xfId="31997" builtinId="9" hidden="1"/>
    <cellStyle name="Followed Hyperlink" xfId="32114" builtinId="9" hidden="1"/>
    <cellStyle name="Followed Hyperlink" xfId="32116" builtinId="9" hidden="1"/>
    <cellStyle name="Followed Hyperlink" xfId="32118" builtinId="9" hidden="1"/>
    <cellStyle name="Followed Hyperlink" xfId="32120" builtinId="9" hidden="1"/>
    <cellStyle name="Followed Hyperlink" xfId="31996" builtinId="9" hidden="1"/>
    <cellStyle name="Followed Hyperlink" xfId="32018" builtinId="9" hidden="1"/>
    <cellStyle name="Followed Hyperlink" xfId="32122" builtinId="9" hidden="1"/>
    <cellStyle name="Followed Hyperlink" xfId="32124" builtinId="9" hidden="1"/>
    <cellStyle name="Followed Hyperlink" xfId="32126" builtinId="9" hidden="1"/>
    <cellStyle name="Followed Hyperlink" xfId="32128" builtinId="9" hidden="1"/>
    <cellStyle name="Followed Hyperlink" xfId="31084" builtinId="9" hidden="1"/>
    <cellStyle name="Followed Hyperlink" xfId="31110" builtinId="9" hidden="1"/>
    <cellStyle name="Followed Hyperlink" xfId="31280" builtinId="9" hidden="1"/>
    <cellStyle name="Followed Hyperlink" xfId="30969" builtinId="9" hidden="1"/>
    <cellStyle name="Followed Hyperlink" xfId="31962" builtinId="9" hidden="1"/>
    <cellStyle name="Followed Hyperlink" xfId="31091" builtinId="9" hidden="1"/>
    <cellStyle name="Followed Hyperlink" xfId="31046" builtinId="9" hidden="1"/>
    <cellStyle name="Followed Hyperlink" xfId="31456" builtinId="9" hidden="1"/>
    <cellStyle name="Followed Hyperlink" xfId="32133" builtinId="9" hidden="1"/>
    <cellStyle name="Followed Hyperlink" xfId="32135" builtinId="9" hidden="1"/>
    <cellStyle name="Followed Hyperlink" xfId="32137" builtinId="9" hidden="1"/>
    <cellStyle name="Followed Hyperlink" xfId="32139" builtinId="9" hidden="1"/>
    <cellStyle name="Followed Hyperlink" xfId="32141" builtinId="9" hidden="1"/>
    <cellStyle name="Followed Hyperlink" xfId="32143" builtinId="9" hidden="1"/>
    <cellStyle name="Followed Hyperlink" xfId="32193" builtinId="9" hidden="1"/>
    <cellStyle name="Followed Hyperlink" xfId="32195" builtinId="9" hidden="1"/>
    <cellStyle name="Followed Hyperlink" xfId="32197" builtinId="9" hidden="1"/>
    <cellStyle name="Followed Hyperlink" xfId="32199" builtinId="9" hidden="1"/>
    <cellStyle name="Followed Hyperlink" xfId="32168" builtinId="9" hidden="1"/>
    <cellStyle name="Followed Hyperlink" xfId="32157" builtinId="9" hidden="1"/>
    <cellStyle name="Followed Hyperlink" xfId="32201" builtinId="9" hidden="1"/>
    <cellStyle name="Followed Hyperlink" xfId="32203" builtinId="9" hidden="1"/>
    <cellStyle name="Followed Hyperlink" xfId="32205" builtinId="9" hidden="1"/>
    <cellStyle name="Followed Hyperlink" xfId="32207" builtinId="9" hidden="1"/>
    <cellStyle name="Followed Hyperlink" xfId="32151" builtinId="9" hidden="1"/>
    <cellStyle name="Followed Hyperlink" xfId="32154" builtinId="9" hidden="1"/>
    <cellStyle name="Followed Hyperlink" xfId="32209" builtinId="9" hidden="1"/>
    <cellStyle name="Followed Hyperlink" xfId="32211" builtinId="9" hidden="1"/>
    <cellStyle name="Followed Hyperlink" xfId="32213" builtinId="9" hidden="1"/>
    <cellStyle name="Followed Hyperlink" xfId="32215" builtinId="9" hidden="1"/>
    <cellStyle name="Followed Hyperlink" xfId="32169" builtinId="9" hidden="1"/>
    <cellStyle name="Followed Hyperlink" xfId="32182" builtinId="9" hidden="1"/>
    <cellStyle name="Followed Hyperlink" xfId="32217" builtinId="9" hidden="1"/>
    <cellStyle name="Followed Hyperlink" xfId="32219" builtinId="9" hidden="1"/>
    <cellStyle name="Followed Hyperlink" xfId="32221" builtinId="9" hidden="1"/>
    <cellStyle name="Followed Hyperlink" xfId="32223" builtinId="9" hidden="1"/>
    <cellStyle name="Followed Hyperlink" xfId="32181" builtinId="9" hidden="1"/>
    <cellStyle name="Followed Hyperlink" xfId="32148" builtinId="9" hidden="1"/>
    <cellStyle name="Followed Hyperlink" xfId="32225" builtinId="9" hidden="1"/>
    <cellStyle name="Followed Hyperlink" xfId="32227" builtinId="9" hidden="1"/>
    <cellStyle name="Followed Hyperlink" xfId="32229" builtinId="9" hidden="1"/>
    <cellStyle name="Followed Hyperlink" xfId="32231" builtinId="9" hidden="1"/>
    <cellStyle name="Followed Hyperlink" xfId="32153" builtinId="9" hidden="1"/>
    <cellStyle name="Followed Hyperlink" xfId="32184" builtinId="9" hidden="1"/>
    <cellStyle name="Followed Hyperlink" xfId="32233" builtinId="9" hidden="1"/>
    <cellStyle name="Followed Hyperlink" xfId="32235" builtinId="9" hidden="1"/>
    <cellStyle name="Followed Hyperlink" xfId="32237" builtinId="9" hidden="1"/>
    <cellStyle name="Followed Hyperlink" xfId="32239" builtinId="9" hidden="1"/>
    <cellStyle name="Followed Hyperlink" xfId="32187" builtinId="9" hidden="1"/>
    <cellStyle name="Followed Hyperlink" xfId="32152" builtinId="9" hidden="1"/>
    <cellStyle name="Followed Hyperlink" xfId="32241" builtinId="9" hidden="1"/>
    <cellStyle name="Followed Hyperlink" xfId="32243" builtinId="9" hidden="1"/>
    <cellStyle name="Followed Hyperlink" xfId="32245" builtinId="9" hidden="1"/>
    <cellStyle name="Followed Hyperlink" xfId="32247" builtinId="9" hidden="1"/>
    <cellStyle name="Followed Hyperlink" xfId="32179" builtinId="9" hidden="1"/>
    <cellStyle name="Followed Hyperlink" xfId="32159" builtinId="9" hidden="1"/>
    <cellStyle name="Followed Hyperlink" xfId="32249" builtinId="9" hidden="1"/>
    <cellStyle name="Followed Hyperlink" xfId="32251" builtinId="9" hidden="1"/>
    <cellStyle name="Followed Hyperlink" xfId="32253" builtinId="9" hidden="1"/>
    <cellStyle name="Followed Hyperlink" xfId="32255" builtinId="9" hidden="1"/>
    <cellStyle name="Followed Hyperlink" xfId="32161" builtinId="9" hidden="1"/>
    <cellStyle name="Followed Hyperlink" xfId="32183" builtinId="9" hidden="1"/>
    <cellStyle name="Followed Hyperlink" xfId="32257" builtinId="9" hidden="1"/>
    <cellStyle name="Followed Hyperlink" xfId="32259" builtinId="9" hidden="1"/>
    <cellStyle name="Followed Hyperlink" xfId="32261" builtinId="9" hidden="1"/>
    <cellStyle name="Followed Hyperlink" xfId="32263" builtinId="9" hidden="1"/>
    <cellStyle name="Followed Hyperlink" xfId="32176" builtinId="9" hidden="1"/>
    <cellStyle name="Followed Hyperlink" xfId="32156" builtinId="9" hidden="1"/>
    <cellStyle name="Followed Hyperlink" xfId="32265" builtinId="9" hidden="1"/>
    <cellStyle name="Followed Hyperlink" xfId="32267" builtinId="9" hidden="1"/>
    <cellStyle name="Followed Hyperlink" xfId="32269" builtinId="9" hidden="1"/>
    <cellStyle name="Followed Hyperlink" xfId="32271" builtinId="9" hidden="1"/>
    <cellStyle name="Followed Hyperlink" xfId="32167" builtinId="9" hidden="1"/>
    <cellStyle name="Followed Hyperlink" xfId="32191" builtinId="9" hidden="1"/>
    <cellStyle name="Followed Hyperlink" xfId="32273" builtinId="9" hidden="1"/>
    <cellStyle name="Followed Hyperlink" xfId="32275" builtinId="9" hidden="1"/>
    <cellStyle name="Followed Hyperlink" xfId="32277" builtinId="9" hidden="1"/>
    <cellStyle name="Followed Hyperlink" xfId="32279" builtinId="9" hidden="1"/>
    <cellStyle name="Followed Hyperlink" xfId="32165" builtinId="9" hidden="1"/>
    <cellStyle name="Followed Hyperlink" xfId="32164" builtinId="9" hidden="1"/>
    <cellStyle name="Followed Hyperlink" xfId="32281" builtinId="9" hidden="1"/>
    <cellStyle name="Followed Hyperlink" xfId="32283" builtinId="9" hidden="1"/>
    <cellStyle name="Followed Hyperlink" xfId="32285" builtinId="9" hidden="1"/>
    <cellStyle name="Followed Hyperlink" xfId="32287" builtinId="9" hidden="1"/>
    <cellStyle name="Followed Hyperlink" xfId="32163" builtinId="9" hidden="1"/>
    <cellStyle name="Followed Hyperlink" xfId="32185" builtinId="9" hidden="1"/>
    <cellStyle name="Followed Hyperlink" xfId="32289" builtinId="9" hidden="1"/>
    <cellStyle name="Followed Hyperlink" xfId="32291" builtinId="9" hidden="1"/>
    <cellStyle name="Followed Hyperlink" xfId="32293" builtinId="9" hidden="1"/>
    <cellStyle name="Followed Hyperlink" xfId="32295" builtinId="9" hidden="1"/>
    <cellStyle name="Followed Hyperlink" xfId="30996" builtinId="9" hidden="1"/>
    <cellStyle name="Followed Hyperlink" xfId="30973" builtinId="9" hidden="1"/>
    <cellStyle name="Followed Hyperlink" xfId="31076" builtinId="9" hidden="1"/>
    <cellStyle name="Followed Hyperlink" xfId="31090" builtinId="9" hidden="1"/>
    <cellStyle name="Followed Hyperlink" xfId="32129" builtinId="9" hidden="1"/>
    <cellStyle name="Followed Hyperlink" xfId="30988" builtinId="9" hidden="1"/>
    <cellStyle name="Followed Hyperlink" xfId="31068" builtinId="9" hidden="1"/>
    <cellStyle name="Followed Hyperlink" xfId="31626" builtinId="9" hidden="1"/>
    <cellStyle name="Followed Hyperlink" xfId="32300" builtinId="9" hidden="1"/>
    <cellStyle name="Followed Hyperlink" xfId="32302" builtinId="9" hidden="1"/>
    <cellStyle name="Followed Hyperlink" xfId="32304" builtinId="9" hidden="1"/>
    <cellStyle name="Followed Hyperlink" xfId="32306" builtinId="9" hidden="1"/>
    <cellStyle name="Followed Hyperlink" xfId="32308" builtinId="9" hidden="1"/>
    <cellStyle name="Followed Hyperlink" xfId="32310" builtinId="9" hidden="1"/>
    <cellStyle name="Followed Hyperlink" xfId="32360" builtinId="9" hidden="1"/>
    <cellStyle name="Followed Hyperlink" xfId="32362" builtinId="9" hidden="1"/>
    <cellStyle name="Followed Hyperlink" xfId="32364" builtinId="9" hidden="1"/>
    <cellStyle name="Followed Hyperlink" xfId="32366" builtinId="9" hidden="1"/>
    <cellStyle name="Followed Hyperlink" xfId="32335" builtinId="9" hidden="1"/>
    <cellStyle name="Followed Hyperlink" xfId="32324" builtinId="9" hidden="1"/>
    <cellStyle name="Followed Hyperlink" xfId="32368" builtinId="9" hidden="1"/>
    <cellStyle name="Followed Hyperlink" xfId="32370" builtinId="9" hidden="1"/>
    <cellStyle name="Followed Hyperlink" xfId="32372" builtinId="9" hidden="1"/>
    <cellStyle name="Followed Hyperlink" xfId="32374" builtinId="9" hidden="1"/>
    <cellStyle name="Followed Hyperlink" xfId="32318" builtinId="9" hidden="1"/>
    <cellStyle name="Followed Hyperlink" xfId="32321" builtinId="9" hidden="1"/>
    <cellStyle name="Followed Hyperlink" xfId="32376" builtinId="9" hidden="1"/>
    <cellStyle name="Followed Hyperlink" xfId="32378" builtinId="9" hidden="1"/>
    <cellStyle name="Followed Hyperlink" xfId="32380" builtinId="9" hidden="1"/>
    <cellStyle name="Followed Hyperlink" xfId="32382" builtinId="9" hidden="1"/>
    <cellStyle name="Followed Hyperlink" xfId="32336" builtinId="9" hidden="1"/>
    <cellStyle name="Followed Hyperlink" xfId="32349" builtinId="9" hidden="1"/>
    <cellStyle name="Followed Hyperlink" xfId="32384" builtinId="9" hidden="1"/>
    <cellStyle name="Followed Hyperlink" xfId="32386" builtinId="9" hidden="1"/>
    <cellStyle name="Followed Hyperlink" xfId="32388" builtinId="9" hidden="1"/>
    <cellStyle name="Followed Hyperlink" xfId="32390" builtinId="9" hidden="1"/>
    <cellStyle name="Followed Hyperlink" xfId="32348" builtinId="9" hidden="1"/>
    <cellStyle name="Followed Hyperlink" xfId="32315" builtinId="9" hidden="1"/>
    <cellStyle name="Followed Hyperlink" xfId="32392" builtinId="9" hidden="1"/>
    <cellStyle name="Followed Hyperlink" xfId="32394" builtinId="9" hidden="1"/>
    <cellStyle name="Followed Hyperlink" xfId="32396" builtinId="9" hidden="1"/>
    <cellStyle name="Followed Hyperlink" xfId="32398" builtinId="9" hidden="1"/>
    <cellStyle name="Followed Hyperlink" xfId="32320" builtinId="9" hidden="1"/>
    <cellStyle name="Followed Hyperlink" xfId="32351" builtinId="9" hidden="1"/>
    <cellStyle name="Followed Hyperlink" xfId="32400" builtinId="9" hidden="1"/>
    <cellStyle name="Followed Hyperlink" xfId="32402" builtinId="9" hidden="1"/>
    <cellStyle name="Followed Hyperlink" xfId="32404" builtinId="9" hidden="1"/>
    <cellStyle name="Followed Hyperlink" xfId="32406" builtinId="9" hidden="1"/>
    <cellStyle name="Followed Hyperlink" xfId="32354" builtinId="9" hidden="1"/>
    <cellStyle name="Followed Hyperlink" xfId="32319" builtinId="9" hidden="1"/>
    <cellStyle name="Followed Hyperlink" xfId="32408" builtinId="9" hidden="1"/>
    <cellStyle name="Followed Hyperlink" xfId="32410" builtinId="9" hidden="1"/>
    <cellStyle name="Followed Hyperlink" xfId="32412" builtinId="9" hidden="1"/>
    <cellStyle name="Followed Hyperlink" xfId="32414" builtinId="9" hidden="1"/>
    <cellStyle name="Followed Hyperlink" xfId="32346" builtinId="9" hidden="1"/>
    <cellStyle name="Followed Hyperlink" xfId="32326" builtinId="9" hidden="1"/>
    <cellStyle name="Followed Hyperlink" xfId="32416" builtinId="9" hidden="1"/>
    <cellStyle name="Followed Hyperlink" xfId="32418" builtinId="9" hidden="1"/>
    <cellStyle name="Followed Hyperlink" xfId="32420" builtinId="9" hidden="1"/>
    <cellStyle name="Followed Hyperlink" xfId="32422" builtinId="9" hidden="1"/>
    <cellStyle name="Followed Hyperlink" xfId="32328" builtinId="9" hidden="1"/>
    <cellStyle name="Followed Hyperlink" xfId="32350" builtinId="9" hidden="1"/>
    <cellStyle name="Followed Hyperlink" xfId="32424" builtinId="9" hidden="1"/>
    <cellStyle name="Followed Hyperlink" xfId="32426" builtinId="9" hidden="1"/>
    <cellStyle name="Followed Hyperlink" xfId="32428" builtinId="9" hidden="1"/>
    <cellStyle name="Followed Hyperlink" xfId="32430" builtinId="9" hidden="1"/>
    <cellStyle name="Followed Hyperlink" xfId="32343" builtinId="9" hidden="1"/>
    <cellStyle name="Followed Hyperlink" xfId="32323" builtinId="9" hidden="1"/>
    <cellStyle name="Followed Hyperlink" xfId="32432" builtinId="9" hidden="1"/>
    <cellStyle name="Followed Hyperlink" xfId="32434" builtinId="9" hidden="1"/>
    <cellStyle name="Followed Hyperlink" xfId="32436" builtinId="9" hidden="1"/>
    <cellStyle name="Followed Hyperlink" xfId="32438" builtinId="9" hidden="1"/>
    <cellStyle name="Followed Hyperlink" xfId="32334" builtinId="9" hidden="1"/>
    <cellStyle name="Followed Hyperlink" xfId="32358" builtinId="9" hidden="1"/>
    <cellStyle name="Followed Hyperlink" xfId="32440" builtinId="9" hidden="1"/>
    <cellStyle name="Followed Hyperlink" xfId="32442" builtinId="9" hidden="1"/>
    <cellStyle name="Followed Hyperlink" xfId="32444" builtinId="9" hidden="1"/>
    <cellStyle name="Followed Hyperlink" xfId="32446" builtinId="9" hidden="1"/>
    <cellStyle name="Followed Hyperlink" xfId="32332" builtinId="9" hidden="1"/>
    <cellStyle name="Followed Hyperlink" xfId="32331" builtinId="9" hidden="1"/>
    <cellStyle name="Followed Hyperlink" xfId="32448" builtinId="9" hidden="1"/>
    <cellStyle name="Followed Hyperlink" xfId="32450" builtinId="9" hidden="1"/>
    <cellStyle name="Followed Hyperlink" xfId="32452" builtinId="9" hidden="1"/>
    <cellStyle name="Followed Hyperlink" xfId="32454" builtinId="9" hidden="1"/>
    <cellStyle name="Followed Hyperlink" xfId="32330" builtinId="9" hidden="1"/>
    <cellStyle name="Followed Hyperlink" xfId="32352" builtinId="9" hidden="1"/>
    <cellStyle name="Followed Hyperlink" xfId="32456" builtinId="9" hidden="1"/>
    <cellStyle name="Followed Hyperlink" xfId="32458" builtinId="9" hidden="1"/>
    <cellStyle name="Followed Hyperlink" xfId="32460" builtinId="9" hidden="1"/>
    <cellStyle name="Followed Hyperlink" xfId="32462" builtinId="9" hidden="1"/>
    <cellStyle name="Followed Hyperlink" xfId="31079" builtinId="9" hidden="1"/>
    <cellStyle name="Followed Hyperlink" xfId="31453" builtinId="9" hidden="1"/>
    <cellStyle name="Followed Hyperlink" xfId="31449" builtinId="9" hidden="1"/>
    <cellStyle name="Followed Hyperlink" xfId="31013" builtinId="9" hidden="1"/>
    <cellStyle name="Followed Hyperlink" xfId="32296" builtinId="9" hidden="1"/>
    <cellStyle name="Followed Hyperlink" xfId="31019" builtinId="9" hidden="1"/>
    <cellStyle name="Followed Hyperlink" xfId="31053" builtinId="9" hidden="1"/>
    <cellStyle name="Followed Hyperlink" xfId="31795" builtinId="9" hidden="1"/>
    <cellStyle name="Followed Hyperlink" xfId="32465" builtinId="9" hidden="1"/>
    <cellStyle name="Followed Hyperlink" xfId="32467" builtinId="9" hidden="1"/>
    <cellStyle name="Followed Hyperlink" xfId="32469" builtinId="9" hidden="1"/>
    <cellStyle name="Followed Hyperlink" xfId="32471" builtinId="9" hidden="1"/>
    <cellStyle name="Followed Hyperlink" xfId="32473" builtinId="9" hidden="1"/>
    <cellStyle name="Followed Hyperlink" xfId="32475" builtinId="9" hidden="1"/>
    <cellStyle name="Followed Hyperlink" xfId="32525" builtinId="9" hidden="1"/>
    <cellStyle name="Followed Hyperlink" xfId="32527" builtinId="9" hidden="1"/>
    <cellStyle name="Followed Hyperlink" xfId="32529" builtinId="9" hidden="1"/>
    <cellStyle name="Followed Hyperlink" xfId="32531" builtinId="9" hidden="1"/>
    <cellStyle name="Followed Hyperlink" xfId="32500" builtinId="9" hidden="1"/>
    <cellStyle name="Followed Hyperlink" xfId="32489" builtinId="9" hidden="1"/>
    <cellStyle name="Followed Hyperlink" xfId="32533" builtinId="9" hidden="1"/>
    <cellStyle name="Followed Hyperlink" xfId="32535" builtinId="9" hidden="1"/>
    <cellStyle name="Followed Hyperlink" xfId="32537" builtinId="9" hidden="1"/>
    <cellStyle name="Followed Hyperlink" xfId="32539" builtinId="9" hidden="1"/>
    <cellStyle name="Followed Hyperlink" xfId="32483" builtinId="9" hidden="1"/>
    <cellStyle name="Followed Hyperlink" xfId="32486" builtinId="9" hidden="1"/>
    <cellStyle name="Followed Hyperlink" xfId="32541" builtinId="9" hidden="1"/>
    <cellStyle name="Followed Hyperlink" xfId="32543" builtinId="9" hidden="1"/>
    <cellStyle name="Followed Hyperlink" xfId="32545" builtinId="9" hidden="1"/>
    <cellStyle name="Followed Hyperlink" xfId="32547" builtinId="9" hidden="1"/>
    <cellStyle name="Followed Hyperlink" xfId="32501" builtinId="9" hidden="1"/>
    <cellStyle name="Followed Hyperlink" xfId="32514" builtinId="9" hidden="1"/>
    <cellStyle name="Followed Hyperlink" xfId="32549" builtinId="9" hidden="1"/>
    <cellStyle name="Followed Hyperlink" xfId="32551" builtinId="9" hidden="1"/>
    <cellStyle name="Followed Hyperlink" xfId="32553" builtinId="9" hidden="1"/>
    <cellStyle name="Followed Hyperlink" xfId="32555" builtinId="9" hidden="1"/>
    <cellStyle name="Followed Hyperlink" xfId="32513" builtinId="9" hidden="1"/>
    <cellStyle name="Followed Hyperlink" xfId="32480" builtinId="9" hidden="1"/>
    <cellStyle name="Followed Hyperlink" xfId="32557" builtinId="9" hidden="1"/>
    <cellStyle name="Followed Hyperlink" xfId="32559" builtinId="9" hidden="1"/>
    <cellStyle name="Followed Hyperlink" xfId="32561" builtinId="9" hidden="1"/>
    <cellStyle name="Followed Hyperlink" xfId="32563" builtinId="9" hidden="1"/>
    <cellStyle name="Followed Hyperlink" xfId="32485" builtinId="9" hidden="1"/>
    <cellStyle name="Followed Hyperlink" xfId="32516" builtinId="9" hidden="1"/>
    <cellStyle name="Followed Hyperlink" xfId="32565" builtinId="9" hidden="1"/>
    <cellStyle name="Followed Hyperlink" xfId="32567" builtinId="9" hidden="1"/>
    <cellStyle name="Followed Hyperlink" xfId="32569" builtinId="9" hidden="1"/>
    <cellStyle name="Followed Hyperlink" xfId="32571" builtinId="9" hidden="1"/>
    <cellStyle name="Followed Hyperlink" xfId="32519" builtinId="9" hidden="1"/>
    <cellStyle name="Followed Hyperlink" xfId="32484" builtinId="9" hidden="1"/>
    <cellStyle name="Followed Hyperlink" xfId="32573" builtinId="9" hidden="1"/>
    <cellStyle name="Followed Hyperlink" xfId="32575" builtinId="9" hidden="1"/>
    <cellStyle name="Followed Hyperlink" xfId="32577" builtinId="9" hidden="1"/>
    <cellStyle name="Followed Hyperlink" xfId="32579" builtinId="9" hidden="1"/>
    <cellStyle name="Followed Hyperlink" xfId="32511" builtinId="9" hidden="1"/>
    <cellStyle name="Followed Hyperlink" xfId="32491" builtinId="9" hidden="1"/>
    <cellStyle name="Followed Hyperlink" xfId="32581" builtinId="9" hidden="1"/>
    <cellStyle name="Followed Hyperlink" xfId="32583" builtinId="9" hidden="1"/>
    <cellStyle name="Followed Hyperlink" xfId="32585" builtinId="9" hidden="1"/>
    <cellStyle name="Followed Hyperlink" xfId="32587" builtinId="9" hidden="1"/>
    <cellStyle name="Followed Hyperlink" xfId="32493" builtinId="9" hidden="1"/>
    <cellStyle name="Followed Hyperlink" xfId="32515" builtinId="9" hidden="1"/>
    <cellStyle name="Followed Hyperlink" xfId="32589" builtinId="9" hidden="1"/>
    <cellStyle name="Followed Hyperlink" xfId="32591" builtinId="9" hidden="1"/>
    <cellStyle name="Followed Hyperlink" xfId="32593" builtinId="9" hidden="1"/>
    <cellStyle name="Followed Hyperlink" xfId="32595" builtinId="9" hidden="1"/>
    <cellStyle name="Followed Hyperlink" xfId="32508" builtinId="9" hidden="1"/>
    <cellStyle name="Followed Hyperlink" xfId="32488" builtinId="9" hidden="1"/>
    <cellStyle name="Followed Hyperlink" xfId="32597" builtinId="9" hidden="1"/>
    <cellStyle name="Followed Hyperlink" xfId="32599" builtinId="9" hidden="1"/>
    <cellStyle name="Followed Hyperlink" xfId="32601" builtinId="9" hidden="1"/>
    <cellStyle name="Followed Hyperlink" xfId="32603" builtinId="9" hidden="1"/>
    <cellStyle name="Followed Hyperlink" xfId="32499" builtinId="9" hidden="1"/>
    <cellStyle name="Followed Hyperlink" xfId="32523" builtinId="9" hidden="1"/>
    <cellStyle name="Followed Hyperlink" xfId="32605" builtinId="9" hidden="1"/>
    <cellStyle name="Followed Hyperlink" xfId="32607" builtinId="9" hidden="1"/>
    <cellStyle name="Followed Hyperlink" xfId="32609" builtinId="9" hidden="1"/>
    <cellStyle name="Followed Hyperlink" xfId="32611" builtinId="9" hidden="1"/>
    <cellStyle name="Followed Hyperlink" xfId="32497" builtinId="9" hidden="1"/>
    <cellStyle name="Followed Hyperlink" xfId="32496" builtinId="9" hidden="1"/>
    <cellStyle name="Followed Hyperlink" xfId="32613" builtinId="9" hidden="1"/>
    <cellStyle name="Followed Hyperlink" xfId="32615" builtinId="9" hidden="1"/>
    <cellStyle name="Followed Hyperlink" xfId="32617" builtinId="9" hidden="1"/>
    <cellStyle name="Followed Hyperlink" xfId="32619" builtinId="9" hidden="1"/>
    <cellStyle name="Followed Hyperlink" xfId="32495" builtinId="9" hidden="1"/>
    <cellStyle name="Followed Hyperlink" xfId="32517" builtinId="9" hidden="1"/>
    <cellStyle name="Followed Hyperlink" xfId="32621" builtinId="9" hidden="1"/>
    <cellStyle name="Followed Hyperlink" xfId="32623" builtinId="9" hidden="1"/>
    <cellStyle name="Followed Hyperlink" xfId="32625" builtinId="9" hidden="1"/>
    <cellStyle name="Followed Hyperlink" xfId="32627" builtinId="9" hidden="1"/>
    <cellStyle name="Followed Hyperlink" xfId="31063" builtinId="9" hidden="1"/>
    <cellStyle name="Followed Hyperlink" xfId="31623" builtinId="9" hidden="1"/>
    <cellStyle name="Followed Hyperlink" xfId="31094" builtinId="9" hidden="1"/>
    <cellStyle name="Followed Hyperlink" xfId="31004" builtinId="9" hidden="1"/>
    <cellStyle name="Followed Hyperlink" xfId="32463" builtinId="9" hidden="1"/>
    <cellStyle name="Followed Hyperlink" xfId="30983" builtinId="9" hidden="1"/>
    <cellStyle name="Followed Hyperlink" xfId="31098" builtinId="9" hidden="1"/>
    <cellStyle name="Followed Hyperlink" xfId="31964" builtinId="9" hidden="1"/>
    <cellStyle name="Followed Hyperlink" xfId="32630" builtinId="9" hidden="1"/>
    <cellStyle name="Followed Hyperlink" xfId="32632" builtinId="9" hidden="1"/>
    <cellStyle name="Followed Hyperlink" xfId="32634" builtinId="9" hidden="1"/>
    <cellStyle name="Followed Hyperlink" xfId="32636" builtinId="9" hidden="1"/>
    <cellStyle name="Followed Hyperlink" xfId="32638" builtinId="9" hidden="1"/>
    <cellStyle name="Followed Hyperlink" xfId="32640" builtinId="9" hidden="1"/>
    <cellStyle name="Followed Hyperlink" xfId="32690" builtinId="9" hidden="1"/>
    <cellStyle name="Followed Hyperlink" xfId="32692" builtinId="9" hidden="1"/>
    <cellStyle name="Followed Hyperlink" xfId="32694" builtinId="9" hidden="1"/>
    <cellStyle name="Followed Hyperlink" xfId="32696" builtinId="9" hidden="1"/>
    <cellStyle name="Followed Hyperlink" xfId="32665" builtinId="9" hidden="1"/>
    <cellStyle name="Followed Hyperlink" xfId="32654" builtinId="9" hidden="1"/>
    <cellStyle name="Followed Hyperlink" xfId="32698" builtinId="9" hidden="1"/>
    <cellStyle name="Followed Hyperlink" xfId="32700" builtinId="9" hidden="1"/>
    <cellStyle name="Followed Hyperlink" xfId="32702" builtinId="9" hidden="1"/>
    <cellStyle name="Followed Hyperlink" xfId="32704" builtinId="9" hidden="1"/>
    <cellStyle name="Followed Hyperlink" xfId="32648" builtinId="9" hidden="1"/>
    <cellStyle name="Followed Hyperlink" xfId="32651" builtinId="9" hidden="1"/>
    <cellStyle name="Followed Hyperlink" xfId="32706" builtinId="9" hidden="1"/>
    <cellStyle name="Followed Hyperlink" xfId="32708" builtinId="9" hidden="1"/>
    <cellStyle name="Followed Hyperlink" xfId="32710" builtinId="9" hidden="1"/>
    <cellStyle name="Followed Hyperlink" xfId="32712" builtinId="9" hidden="1"/>
    <cellStyle name="Followed Hyperlink" xfId="32666" builtinId="9" hidden="1"/>
    <cellStyle name="Followed Hyperlink" xfId="32679" builtinId="9" hidden="1"/>
    <cellStyle name="Followed Hyperlink" xfId="32714" builtinId="9" hidden="1"/>
    <cellStyle name="Followed Hyperlink" xfId="32716" builtinId="9" hidden="1"/>
    <cellStyle name="Followed Hyperlink" xfId="32718" builtinId="9" hidden="1"/>
    <cellStyle name="Followed Hyperlink" xfId="32720" builtinId="9" hidden="1"/>
    <cellStyle name="Followed Hyperlink" xfId="32678" builtinId="9" hidden="1"/>
    <cellStyle name="Followed Hyperlink" xfId="32645" builtinId="9" hidden="1"/>
    <cellStyle name="Followed Hyperlink" xfId="32722" builtinId="9" hidden="1"/>
    <cellStyle name="Followed Hyperlink" xfId="32724" builtinId="9" hidden="1"/>
    <cellStyle name="Followed Hyperlink" xfId="32726" builtinId="9" hidden="1"/>
    <cellStyle name="Followed Hyperlink" xfId="32728" builtinId="9" hidden="1"/>
    <cellStyle name="Followed Hyperlink" xfId="32650" builtinId="9" hidden="1"/>
    <cellStyle name="Followed Hyperlink" xfId="32681" builtinId="9" hidden="1"/>
    <cellStyle name="Followed Hyperlink" xfId="32730" builtinId="9" hidden="1"/>
    <cellStyle name="Followed Hyperlink" xfId="32732" builtinId="9" hidden="1"/>
    <cellStyle name="Followed Hyperlink" xfId="32734" builtinId="9" hidden="1"/>
    <cellStyle name="Followed Hyperlink" xfId="32736" builtinId="9" hidden="1"/>
    <cellStyle name="Followed Hyperlink" xfId="32684" builtinId="9" hidden="1"/>
    <cellStyle name="Followed Hyperlink" xfId="32649" builtinId="9" hidden="1"/>
    <cellStyle name="Followed Hyperlink" xfId="32738" builtinId="9" hidden="1"/>
    <cellStyle name="Followed Hyperlink" xfId="32740" builtinId="9" hidden="1"/>
    <cellStyle name="Followed Hyperlink" xfId="32742" builtinId="9" hidden="1"/>
    <cellStyle name="Followed Hyperlink" xfId="32744" builtinId="9" hidden="1"/>
    <cellStyle name="Followed Hyperlink" xfId="32676" builtinId="9" hidden="1"/>
    <cellStyle name="Followed Hyperlink" xfId="32656" builtinId="9" hidden="1"/>
    <cellStyle name="Followed Hyperlink" xfId="32746" builtinId="9" hidden="1"/>
    <cellStyle name="Followed Hyperlink" xfId="32748" builtinId="9" hidden="1"/>
    <cellStyle name="Followed Hyperlink" xfId="32750" builtinId="9" hidden="1"/>
    <cellStyle name="Followed Hyperlink" xfId="32752" builtinId="9" hidden="1"/>
    <cellStyle name="Followed Hyperlink" xfId="32658" builtinId="9" hidden="1"/>
    <cellStyle name="Followed Hyperlink" xfId="32680" builtinId="9" hidden="1"/>
    <cellStyle name="Followed Hyperlink" xfId="32754" builtinId="9" hidden="1"/>
    <cellStyle name="Followed Hyperlink" xfId="32756" builtinId="9" hidden="1"/>
    <cellStyle name="Followed Hyperlink" xfId="32758" builtinId="9" hidden="1"/>
    <cellStyle name="Followed Hyperlink" xfId="32760" builtinId="9" hidden="1"/>
    <cellStyle name="Followed Hyperlink" xfId="32673" builtinId="9" hidden="1"/>
    <cellStyle name="Followed Hyperlink" xfId="32653" builtinId="9" hidden="1"/>
    <cellStyle name="Followed Hyperlink" xfId="32762" builtinId="9" hidden="1"/>
    <cellStyle name="Followed Hyperlink" xfId="32764" builtinId="9" hidden="1"/>
    <cellStyle name="Followed Hyperlink" xfId="32766" builtinId="9" hidden="1"/>
    <cellStyle name="Followed Hyperlink" xfId="32768" builtinId="9" hidden="1"/>
    <cellStyle name="Followed Hyperlink" xfId="32664" builtinId="9" hidden="1"/>
    <cellStyle name="Followed Hyperlink" xfId="32688" builtinId="9" hidden="1"/>
    <cellStyle name="Followed Hyperlink" xfId="32770" builtinId="9" hidden="1"/>
    <cellStyle name="Followed Hyperlink" xfId="32772" builtinId="9" hidden="1"/>
    <cellStyle name="Followed Hyperlink" xfId="32774" builtinId="9" hidden="1"/>
    <cellStyle name="Followed Hyperlink" xfId="32776" builtinId="9" hidden="1"/>
    <cellStyle name="Followed Hyperlink" xfId="32662" builtinId="9" hidden="1"/>
    <cellStyle name="Followed Hyperlink" xfId="32661" builtinId="9" hidden="1"/>
    <cellStyle name="Followed Hyperlink" xfId="32778" builtinId="9" hidden="1"/>
    <cellStyle name="Followed Hyperlink" xfId="32780" builtinId="9" hidden="1"/>
    <cellStyle name="Followed Hyperlink" xfId="32782" builtinId="9" hidden="1"/>
    <cellStyle name="Followed Hyperlink" xfId="32784" builtinId="9" hidden="1"/>
    <cellStyle name="Followed Hyperlink" xfId="32660" builtinId="9" hidden="1"/>
    <cellStyle name="Followed Hyperlink" xfId="32682" builtinId="9" hidden="1"/>
    <cellStyle name="Followed Hyperlink" xfId="32786" builtinId="9" hidden="1"/>
    <cellStyle name="Followed Hyperlink" xfId="32788" builtinId="9" hidden="1"/>
    <cellStyle name="Followed Hyperlink" xfId="32790" builtinId="9" hidden="1"/>
    <cellStyle name="Followed Hyperlink" xfId="32792" builtinId="9" hidden="1"/>
    <cellStyle name="Followed Hyperlink" xfId="30989" builtinId="9" hidden="1"/>
    <cellStyle name="Followed Hyperlink" xfId="31792" builtinId="9" hidden="1"/>
    <cellStyle name="Followed Hyperlink" xfId="31070" builtinId="9" hidden="1"/>
    <cellStyle name="Followed Hyperlink" xfId="31102" builtinId="9" hidden="1"/>
    <cellStyle name="Followed Hyperlink" xfId="32628" builtinId="9" hidden="1"/>
    <cellStyle name="Followed Hyperlink" xfId="30980" builtinId="9" hidden="1"/>
    <cellStyle name="Followed Hyperlink" xfId="31066" builtinId="9" hidden="1"/>
    <cellStyle name="Followed Hyperlink" xfId="32131" builtinId="9" hidden="1"/>
    <cellStyle name="Followed Hyperlink" xfId="32795" builtinId="9" hidden="1"/>
    <cellStyle name="Followed Hyperlink" xfId="32797" builtinId="9" hidden="1"/>
    <cellStyle name="Followed Hyperlink" xfId="32799" builtinId="9" hidden="1"/>
    <cellStyle name="Followed Hyperlink" xfId="32801" builtinId="9" hidden="1"/>
    <cellStyle name="Followed Hyperlink" xfId="32803" builtinId="9" hidden="1"/>
    <cellStyle name="Followed Hyperlink" xfId="32805" builtinId="9" hidden="1"/>
    <cellStyle name="Followed Hyperlink" xfId="32855" builtinId="9" hidden="1"/>
    <cellStyle name="Followed Hyperlink" xfId="32857" builtinId="9" hidden="1"/>
    <cellStyle name="Followed Hyperlink" xfId="32859" builtinId="9" hidden="1"/>
    <cellStyle name="Followed Hyperlink" xfId="32861" builtinId="9" hidden="1"/>
    <cellStyle name="Followed Hyperlink" xfId="32830" builtinId="9" hidden="1"/>
    <cellStyle name="Followed Hyperlink" xfId="32819" builtinId="9" hidden="1"/>
    <cellStyle name="Followed Hyperlink" xfId="32863" builtinId="9" hidden="1"/>
    <cellStyle name="Followed Hyperlink" xfId="32865" builtinId="9" hidden="1"/>
    <cellStyle name="Followed Hyperlink" xfId="32867" builtinId="9" hidden="1"/>
    <cellStyle name="Followed Hyperlink" xfId="32869" builtinId="9" hidden="1"/>
    <cellStyle name="Followed Hyperlink" xfId="32813" builtinId="9" hidden="1"/>
    <cellStyle name="Followed Hyperlink" xfId="32816" builtinId="9" hidden="1"/>
    <cellStyle name="Followed Hyperlink" xfId="32871" builtinId="9" hidden="1"/>
    <cellStyle name="Followed Hyperlink" xfId="32873" builtinId="9" hidden="1"/>
    <cellStyle name="Followed Hyperlink" xfId="32875" builtinId="9" hidden="1"/>
    <cellStyle name="Followed Hyperlink" xfId="32877" builtinId="9" hidden="1"/>
    <cellStyle name="Followed Hyperlink" xfId="32831" builtinId="9" hidden="1"/>
    <cellStyle name="Followed Hyperlink" xfId="32844" builtinId="9" hidden="1"/>
    <cellStyle name="Followed Hyperlink" xfId="32879" builtinId="9" hidden="1"/>
    <cellStyle name="Followed Hyperlink" xfId="32881" builtinId="9" hidden="1"/>
    <cellStyle name="Followed Hyperlink" xfId="32883" builtinId="9" hidden="1"/>
    <cellStyle name="Followed Hyperlink" xfId="32885" builtinId="9" hidden="1"/>
    <cellStyle name="Followed Hyperlink" xfId="32843" builtinId="9" hidden="1"/>
    <cellStyle name="Followed Hyperlink" xfId="32810" builtinId="9" hidden="1"/>
    <cellStyle name="Followed Hyperlink" xfId="32887" builtinId="9" hidden="1"/>
    <cellStyle name="Followed Hyperlink" xfId="32889" builtinId="9" hidden="1"/>
    <cellStyle name="Followed Hyperlink" xfId="32891" builtinId="9" hidden="1"/>
    <cellStyle name="Followed Hyperlink" xfId="32893" builtinId="9" hidden="1"/>
    <cellStyle name="Followed Hyperlink" xfId="32815" builtinId="9" hidden="1"/>
    <cellStyle name="Followed Hyperlink" xfId="32846" builtinId="9" hidden="1"/>
    <cellStyle name="Followed Hyperlink" xfId="32895" builtinId="9" hidden="1"/>
    <cellStyle name="Followed Hyperlink" xfId="32897" builtinId="9" hidden="1"/>
    <cellStyle name="Followed Hyperlink" xfId="32899" builtinId="9" hidden="1"/>
    <cellStyle name="Followed Hyperlink" xfId="32901" builtinId="9" hidden="1"/>
    <cellStyle name="Followed Hyperlink" xfId="32849" builtinId="9" hidden="1"/>
    <cellStyle name="Followed Hyperlink" xfId="32814" builtinId="9" hidden="1"/>
    <cellStyle name="Followed Hyperlink" xfId="32903" builtinId="9" hidden="1"/>
    <cellStyle name="Followed Hyperlink" xfId="32905" builtinId="9" hidden="1"/>
    <cellStyle name="Followed Hyperlink" xfId="32907" builtinId="9" hidden="1"/>
    <cellStyle name="Followed Hyperlink" xfId="32909" builtinId="9" hidden="1"/>
    <cellStyle name="Followed Hyperlink" xfId="32841" builtinId="9" hidden="1"/>
    <cellStyle name="Followed Hyperlink" xfId="32821" builtinId="9" hidden="1"/>
    <cellStyle name="Followed Hyperlink" xfId="32911" builtinId="9" hidden="1"/>
    <cellStyle name="Followed Hyperlink" xfId="32913" builtinId="9" hidden="1"/>
    <cellStyle name="Followed Hyperlink" xfId="32915" builtinId="9" hidden="1"/>
    <cellStyle name="Followed Hyperlink" xfId="32917" builtinId="9" hidden="1"/>
    <cellStyle name="Followed Hyperlink" xfId="32823" builtinId="9" hidden="1"/>
    <cellStyle name="Followed Hyperlink" xfId="32845" builtinId="9" hidden="1"/>
    <cellStyle name="Followed Hyperlink" xfId="32919" builtinId="9" hidden="1"/>
    <cellStyle name="Followed Hyperlink" xfId="32921" builtinId="9" hidden="1"/>
    <cellStyle name="Followed Hyperlink" xfId="32923" builtinId="9" hidden="1"/>
    <cellStyle name="Followed Hyperlink" xfId="32925" builtinId="9" hidden="1"/>
    <cellStyle name="Followed Hyperlink" xfId="32838" builtinId="9" hidden="1"/>
    <cellStyle name="Followed Hyperlink" xfId="32818" builtinId="9" hidden="1"/>
    <cellStyle name="Followed Hyperlink" xfId="32927" builtinId="9" hidden="1"/>
    <cellStyle name="Followed Hyperlink" xfId="32929" builtinId="9" hidden="1"/>
    <cellStyle name="Followed Hyperlink" xfId="32931" builtinId="9" hidden="1"/>
    <cellStyle name="Followed Hyperlink" xfId="32933" builtinId="9" hidden="1"/>
    <cellStyle name="Followed Hyperlink" xfId="32829" builtinId="9" hidden="1"/>
    <cellStyle name="Followed Hyperlink" xfId="32853" builtinId="9" hidden="1"/>
    <cellStyle name="Followed Hyperlink" xfId="32935" builtinId="9" hidden="1"/>
    <cellStyle name="Followed Hyperlink" xfId="32937" builtinId="9" hidden="1"/>
    <cellStyle name="Followed Hyperlink" xfId="32939" builtinId="9" hidden="1"/>
    <cellStyle name="Followed Hyperlink" xfId="32941" builtinId="9" hidden="1"/>
    <cellStyle name="Followed Hyperlink" xfId="32827" builtinId="9" hidden="1"/>
    <cellStyle name="Followed Hyperlink" xfId="32826" builtinId="9" hidden="1"/>
    <cellStyle name="Followed Hyperlink" xfId="32943" builtinId="9" hidden="1"/>
    <cellStyle name="Followed Hyperlink" xfId="32945" builtinId="9" hidden="1"/>
    <cellStyle name="Followed Hyperlink" xfId="32947" builtinId="9" hidden="1"/>
    <cellStyle name="Followed Hyperlink" xfId="32949" builtinId="9" hidden="1"/>
    <cellStyle name="Followed Hyperlink" xfId="32825" builtinId="9" hidden="1"/>
    <cellStyle name="Followed Hyperlink" xfId="32847" builtinId="9" hidden="1"/>
    <cellStyle name="Followed Hyperlink" xfId="32951" builtinId="9" hidden="1"/>
    <cellStyle name="Followed Hyperlink" xfId="32953" builtinId="9" hidden="1"/>
    <cellStyle name="Followed Hyperlink" xfId="32955" builtinId="9" hidden="1"/>
    <cellStyle name="Followed Hyperlink" xfId="32957" builtinId="9" hidden="1"/>
    <cellStyle name="Followed Hyperlink" xfId="31060" builtinId="9" hidden="1"/>
    <cellStyle name="Followed Hyperlink" xfId="31961" builtinId="9" hidden="1"/>
    <cellStyle name="Followed Hyperlink" xfId="31115" builtinId="9" hidden="1"/>
    <cellStyle name="Followed Hyperlink" xfId="31104" builtinId="9" hidden="1"/>
    <cellStyle name="Followed Hyperlink" xfId="32793" builtinId="9" hidden="1"/>
    <cellStyle name="Followed Hyperlink" xfId="31081" builtinId="9" hidden="1"/>
    <cellStyle name="Followed Hyperlink" xfId="30982" builtinId="9" hidden="1"/>
    <cellStyle name="Followed Hyperlink" xfId="32298" builtinId="9" hidden="1"/>
    <cellStyle name="Followed Hyperlink" xfId="32959" builtinId="9" hidden="1"/>
    <cellStyle name="Followed Hyperlink" xfId="32961" builtinId="9" hidden="1"/>
    <cellStyle name="Followed Hyperlink" xfId="32963" builtinId="9" hidden="1"/>
    <cellStyle name="Followed Hyperlink" xfId="32965" builtinId="9" hidden="1"/>
    <cellStyle name="Followed Hyperlink" xfId="32967" builtinId="9" hidden="1"/>
    <cellStyle name="Followed Hyperlink" xfId="32969" builtinId="9" hidden="1"/>
    <cellStyle name="Followed Hyperlink" xfId="33019" builtinId="9" hidden="1"/>
    <cellStyle name="Followed Hyperlink" xfId="33021" builtinId="9" hidden="1"/>
    <cellStyle name="Followed Hyperlink" xfId="33023" builtinId="9" hidden="1"/>
    <cellStyle name="Followed Hyperlink" xfId="33025" builtinId="9" hidden="1"/>
    <cellStyle name="Followed Hyperlink" xfId="32994" builtinId="9" hidden="1"/>
    <cellStyle name="Followed Hyperlink" xfId="32983" builtinId="9" hidden="1"/>
    <cellStyle name="Followed Hyperlink" xfId="33027" builtinId="9" hidden="1"/>
    <cellStyle name="Followed Hyperlink" xfId="33029" builtinId="9" hidden="1"/>
    <cellStyle name="Followed Hyperlink" xfId="33031" builtinId="9" hidden="1"/>
    <cellStyle name="Followed Hyperlink" xfId="33033" builtinId="9" hidden="1"/>
    <cellStyle name="Followed Hyperlink" xfId="32977" builtinId="9" hidden="1"/>
    <cellStyle name="Followed Hyperlink" xfId="32980" builtinId="9" hidden="1"/>
    <cellStyle name="Followed Hyperlink" xfId="33035" builtinId="9" hidden="1"/>
    <cellStyle name="Followed Hyperlink" xfId="33037" builtinId="9" hidden="1"/>
    <cellStyle name="Followed Hyperlink" xfId="33039" builtinId="9" hidden="1"/>
    <cellStyle name="Followed Hyperlink" xfId="33041" builtinId="9" hidden="1"/>
    <cellStyle name="Followed Hyperlink" xfId="32995" builtinId="9" hidden="1"/>
    <cellStyle name="Followed Hyperlink" xfId="33008" builtinId="9" hidden="1"/>
    <cellStyle name="Followed Hyperlink" xfId="33043" builtinId="9" hidden="1"/>
    <cellStyle name="Followed Hyperlink" xfId="33045" builtinId="9" hidden="1"/>
    <cellStyle name="Followed Hyperlink" xfId="33047" builtinId="9" hidden="1"/>
    <cellStyle name="Followed Hyperlink" xfId="33049" builtinId="9" hidden="1"/>
    <cellStyle name="Followed Hyperlink" xfId="33007" builtinId="9" hidden="1"/>
    <cellStyle name="Followed Hyperlink" xfId="32974" builtinId="9" hidden="1"/>
    <cellStyle name="Followed Hyperlink" xfId="33051" builtinId="9" hidden="1"/>
    <cellStyle name="Followed Hyperlink" xfId="33053" builtinId="9" hidden="1"/>
    <cellStyle name="Followed Hyperlink" xfId="33055" builtinId="9" hidden="1"/>
    <cellStyle name="Followed Hyperlink" xfId="33057" builtinId="9" hidden="1"/>
    <cellStyle name="Followed Hyperlink" xfId="32979" builtinId="9" hidden="1"/>
    <cellStyle name="Followed Hyperlink" xfId="33010" builtinId="9" hidden="1"/>
    <cellStyle name="Followed Hyperlink" xfId="33059" builtinId="9" hidden="1"/>
    <cellStyle name="Followed Hyperlink" xfId="33061" builtinId="9" hidden="1"/>
    <cellStyle name="Followed Hyperlink" xfId="33063" builtinId="9" hidden="1"/>
    <cellStyle name="Followed Hyperlink" xfId="33065" builtinId="9" hidden="1"/>
    <cellStyle name="Followed Hyperlink" xfId="33013" builtinId="9" hidden="1"/>
    <cellStyle name="Followed Hyperlink" xfId="32978" builtinId="9" hidden="1"/>
    <cellStyle name="Followed Hyperlink" xfId="33067" builtinId="9" hidden="1"/>
    <cellStyle name="Followed Hyperlink" xfId="33069" builtinId="9" hidden="1"/>
    <cellStyle name="Followed Hyperlink" xfId="33071" builtinId="9" hidden="1"/>
    <cellStyle name="Followed Hyperlink" xfId="33073" builtinId="9" hidden="1"/>
    <cellStyle name="Followed Hyperlink" xfId="33005" builtinId="9" hidden="1"/>
    <cellStyle name="Followed Hyperlink" xfId="32985" builtinId="9" hidden="1"/>
    <cellStyle name="Followed Hyperlink" xfId="33075" builtinId="9" hidden="1"/>
    <cellStyle name="Followed Hyperlink" xfId="33077" builtinId="9" hidden="1"/>
    <cellStyle name="Followed Hyperlink" xfId="33079" builtinId="9" hidden="1"/>
    <cellStyle name="Followed Hyperlink" xfId="33081" builtinId="9" hidden="1"/>
    <cellStyle name="Followed Hyperlink" xfId="32987" builtinId="9" hidden="1"/>
    <cellStyle name="Followed Hyperlink" xfId="33009" builtinId="9" hidden="1"/>
    <cellStyle name="Followed Hyperlink" xfId="33083" builtinId="9" hidden="1"/>
    <cellStyle name="Followed Hyperlink" xfId="33085" builtinId="9" hidden="1"/>
    <cellStyle name="Followed Hyperlink" xfId="33087" builtinId="9" hidden="1"/>
    <cellStyle name="Followed Hyperlink" xfId="33089" builtinId="9" hidden="1"/>
    <cellStyle name="Followed Hyperlink" xfId="33002" builtinId="9" hidden="1"/>
    <cellStyle name="Followed Hyperlink" xfId="32982" builtinId="9" hidden="1"/>
    <cellStyle name="Followed Hyperlink" xfId="33091" builtinId="9" hidden="1"/>
    <cellStyle name="Followed Hyperlink" xfId="33093" builtinId="9" hidden="1"/>
    <cellStyle name="Followed Hyperlink" xfId="33095" builtinId="9" hidden="1"/>
    <cellStyle name="Followed Hyperlink" xfId="33097" builtinId="9" hidden="1"/>
    <cellStyle name="Followed Hyperlink" xfId="32993" builtinId="9" hidden="1"/>
    <cellStyle name="Followed Hyperlink" xfId="33017" builtinId="9" hidden="1"/>
    <cellStyle name="Followed Hyperlink" xfId="33099" builtinId="9" hidden="1"/>
    <cellStyle name="Followed Hyperlink" xfId="33101" builtinId="9" hidden="1"/>
    <cellStyle name="Followed Hyperlink" xfId="33103" builtinId="9" hidden="1"/>
    <cellStyle name="Followed Hyperlink" xfId="33105" builtinId="9" hidden="1"/>
    <cellStyle name="Followed Hyperlink" xfId="32991" builtinId="9" hidden="1"/>
    <cellStyle name="Followed Hyperlink" xfId="32990" builtinId="9" hidden="1"/>
    <cellStyle name="Followed Hyperlink" xfId="33107" builtinId="9" hidden="1"/>
    <cellStyle name="Followed Hyperlink" xfId="33109" builtinId="9" hidden="1"/>
    <cellStyle name="Followed Hyperlink" xfId="33111" builtinId="9" hidden="1"/>
    <cellStyle name="Followed Hyperlink" xfId="33113" builtinId="9" hidden="1"/>
    <cellStyle name="Followed Hyperlink" xfId="32989" builtinId="9" hidden="1"/>
    <cellStyle name="Followed Hyperlink" xfId="33011" builtinId="9" hidden="1"/>
    <cellStyle name="Followed Hyperlink" xfId="33115" builtinId="9" hidden="1"/>
    <cellStyle name="Followed Hyperlink" xfId="33117" builtinId="9" hidden="1"/>
    <cellStyle name="Followed Hyperlink" xfId="33119" builtinId="9" hidden="1"/>
    <cellStyle name="Followed Hyperlink" xfId="33121" builtinId="9" hidden="1"/>
    <cellStyle name="Good" xfId="33122" builtinId="26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98" builtinId="8" hidden="1"/>
    <cellStyle name="Hyperlink" xfId="8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82" builtinId="8" hidden="1"/>
    <cellStyle name="Hyperlink" xfId="68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87" builtinId="8" hidden="1"/>
    <cellStyle name="Hyperlink" xfId="56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57" builtinId="8" hidden="1"/>
    <cellStyle name="Hyperlink" xfId="90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59" builtinId="8" hidden="1"/>
    <cellStyle name="Hyperlink" xfId="10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80" builtinId="8" hidden="1"/>
    <cellStyle name="Hyperlink" xfId="83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84" builtinId="8" hidden="1"/>
    <cellStyle name="Hyperlink" xfId="81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99" builtinId="8" hidden="1"/>
    <cellStyle name="Hyperlink" xfId="76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54" builtinId="8" hidden="1"/>
    <cellStyle name="Hyperlink" xfId="55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60" builtinId="8" hidden="1"/>
    <cellStyle name="Hyperlink" xfId="96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65" builtinId="8" hidden="1"/>
    <cellStyle name="Hyperlink" xfId="85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72" builtinId="8" hidden="1"/>
    <cellStyle name="Hyperlink" xfId="70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3" builtinId="8" hidden="1"/>
    <cellStyle name="Hyperlink" xfId="285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15" builtinId="8" hidden="1"/>
    <cellStyle name="Hyperlink" xfId="40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399" builtinId="8" hidden="1"/>
    <cellStyle name="Hyperlink" xfId="385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04" builtinId="8" hidden="1"/>
    <cellStyle name="Hyperlink" xfId="373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374" builtinId="8" hidden="1"/>
    <cellStyle name="Hyperlink" xfId="407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376" builtinId="8" hidden="1"/>
    <cellStyle name="Hyperlink" xfId="41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397" builtinId="8" hidden="1"/>
    <cellStyle name="Hyperlink" xfId="400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01" builtinId="8" hidden="1"/>
    <cellStyle name="Hyperlink" xfId="398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16" builtinId="8" hidden="1"/>
    <cellStyle name="Hyperlink" xfId="393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371" builtinId="8" hidden="1"/>
    <cellStyle name="Hyperlink" xfId="372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377" builtinId="8" hidden="1"/>
    <cellStyle name="Hyperlink" xfId="413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382" builtinId="8" hidden="1"/>
    <cellStyle name="Hyperlink" xfId="402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389" builtinId="8" hidden="1"/>
    <cellStyle name="Hyperlink" xfId="387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220" builtinId="8" hidden="1"/>
    <cellStyle name="Hyperlink" xfId="332" builtinId="8" hidden="1"/>
    <cellStyle name="Hyperlink" xfId="224" builtinId="8" hidden="1"/>
    <cellStyle name="Hyperlink" xfId="335" builtinId="8" hidden="1"/>
    <cellStyle name="Hyperlink" xfId="318" builtinId="8" hidden="1"/>
    <cellStyle name="Hyperlink" xfId="270" builtinId="8" hidden="1"/>
    <cellStyle name="Hyperlink" xfId="211" builtinId="8" hidden="1"/>
    <cellStyle name="Hyperlink" xfId="323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5" builtinId="8" hidden="1"/>
    <cellStyle name="Hyperlink" xfId="537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83" builtinId="8" hidden="1"/>
    <cellStyle name="Hyperlink" xfId="57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567" builtinId="8" hidden="1"/>
    <cellStyle name="Hyperlink" xfId="553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572" builtinId="8" hidden="1"/>
    <cellStyle name="Hyperlink" xfId="541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542" builtinId="8" hidden="1"/>
    <cellStyle name="Hyperlink" xfId="575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544" builtinId="8" hidden="1"/>
    <cellStyle name="Hyperlink" xfId="58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565" builtinId="8" hidden="1"/>
    <cellStyle name="Hyperlink" xfId="568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569" builtinId="8" hidden="1"/>
    <cellStyle name="Hyperlink" xfId="566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584" builtinId="8" hidden="1"/>
    <cellStyle name="Hyperlink" xfId="561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539" builtinId="8" hidden="1"/>
    <cellStyle name="Hyperlink" xfId="540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545" builtinId="8" hidden="1"/>
    <cellStyle name="Hyperlink" xfId="581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550" builtinId="8" hidden="1"/>
    <cellStyle name="Hyperlink" xfId="570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557" builtinId="8" hidden="1"/>
    <cellStyle name="Hyperlink" xfId="555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266" builtinId="8" hidden="1"/>
    <cellStyle name="Hyperlink" xfId="267" builtinId="8" hidden="1"/>
    <cellStyle name="Hyperlink" xfId="241" builtinId="8" hidden="1"/>
    <cellStyle name="Hyperlink" xfId="242" builtinId="8" hidden="1"/>
    <cellStyle name="Hyperlink" xfId="257" builtinId="8" hidden="1"/>
    <cellStyle name="Hyperlink" xfId="255" builtinId="8" hidden="1"/>
    <cellStyle name="Hyperlink" xfId="248" builtinId="8" hidden="1"/>
    <cellStyle name="Hyperlink" xfId="249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56" builtinId="8" hidden="1"/>
    <cellStyle name="Hyperlink" xfId="74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40" builtinId="8" hidden="1"/>
    <cellStyle name="Hyperlink" xfId="726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45" builtinId="8" hidden="1"/>
    <cellStyle name="Hyperlink" xfId="714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15" builtinId="8" hidden="1"/>
    <cellStyle name="Hyperlink" xfId="748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717" builtinId="8" hidden="1"/>
    <cellStyle name="Hyperlink" xfId="75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738" builtinId="8" hidden="1"/>
    <cellStyle name="Hyperlink" xfId="741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742" builtinId="8" hidden="1"/>
    <cellStyle name="Hyperlink" xfId="739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757" builtinId="8" hidden="1"/>
    <cellStyle name="Hyperlink" xfId="734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712" builtinId="8" hidden="1"/>
    <cellStyle name="Hyperlink" xfId="713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718" builtinId="8" hidden="1"/>
    <cellStyle name="Hyperlink" xfId="754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723" builtinId="8" hidden="1"/>
    <cellStyle name="Hyperlink" xfId="743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730" builtinId="8" hidden="1"/>
    <cellStyle name="Hyperlink" xfId="728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307" builtinId="8" hidden="1"/>
    <cellStyle name="Hyperlink" xfId="250" builtinId="8" hidden="1"/>
    <cellStyle name="Hyperlink" xfId="260" builtinId="8" hidden="1"/>
    <cellStyle name="Hyperlink" xfId="227" builtinId="8" hidden="1"/>
    <cellStyle name="Hyperlink" xfId="310" builtinId="8" hidden="1"/>
    <cellStyle name="Hyperlink" xfId="342" builtinId="8" hidden="1"/>
    <cellStyle name="Hyperlink" xfId="321" builtinId="8" hidden="1"/>
    <cellStyle name="Hyperlink" xfId="271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26" builtinId="8" hidden="1"/>
    <cellStyle name="Hyperlink" xfId="91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10" builtinId="8" hidden="1"/>
    <cellStyle name="Hyperlink" xfId="896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15" builtinId="8" hidden="1"/>
    <cellStyle name="Hyperlink" xfId="884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885" builtinId="8" hidden="1"/>
    <cellStyle name="Hyperlink" xfId="918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887" builtinId="8" hidden="1"/>
    <cellStyle name="Hyperlink" xfId="92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08" builtinId="8" hidden="1"/>
    <cellStyle name="Hyperlink" xfId="911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12" builtinId="8" hidden="1"/>
    <cellStyle name="Hyperlink" xfId="909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27" builtinId="8" hidden="1"/>
    <cellStyle name="Hyperlink" xfId="904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882" builtinId="8" hidden="1"/>
    <cellStyle name="Hyperlink" xfId="883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888" builtinId="8" hidden="1"/>
    <cellStyle name="Hyperlink" xfId="924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893" builtinId="8" hidden="1"/>
    <cellStyle name="Hyperlink" xfId="913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900" builtinId="8" hidden="1"/>
    <cellStyle name="Hyperlink" xfId="898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282" builtinId="8" hidden="1"/>
    <cellStyle name="Hyperlink" xfId="253" builtinId="8" hidden="1"/>
    <cellStyle name="Hyperlink" xfId="300" builtinId="8" hidden="1"/>
    <cellStyle name="Hyperlink" xfId="218" builtinId="8" hidden="1"/>
    <cellStyle name="Hyperlink" xfId="297" builtinId="8" hidden="1"/>
    <cellStyle name="Hyperlink" xfId="233" builtinId="8" hidden="1"/>
    <cellStyle name="Hyperlink" xfId="304" builtinId="8" hidden="1"/>
    <cellStyle name="Hyperlink" xfId="259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095" builtinId="8" hidden="1"/>
    <cellStyle name="Hyperlink" xfId="108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079" builtinId="8" hidden="1"/>
    <cellStyle name="Hyperlink" xfId="1065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084" builtinId="8" hidden="1"/>
    <cellStyle name="Hyperlink" xfId="1053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054" builtinId="8" hidden="1"/>
    <cellStyle name="Hyperlink" xfId="1087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056" builtinId="8" hidden="1"/>
    <cellStyle name="Hyperlink" xfId="109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077" builtinId="8" hidden="1"/>
    <cellStyle name="Hyperlink" xfId="1080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081" builtinId="8" hidden="1"/>
    <cellStyle name="Hyperlink" xfId="1078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096" builtinId="8" hidden="1"/>
    <cellStyle name="Hyperlink" xfId="1073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051" builtinId="8" hidden="1"/>
    <cellStyle name="Hyperlink" xfId="1052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057" builtinId="8" hidden="1"/>
    <cellStyle name="Hyperlink" xfId="1093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062" builtinId="8" hidden="1"/>
    <cellStyle name="Hyperlink" xfId="1082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069" builtinId="8" hidden="1"/>
    <cellStyle name="Hyperlink" xfId="1067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524" builtinId="8" hidden="1"/>
    <cellStyle name="Hyperlink" xfId="691" builtinId="8" hidden="1"/>
    <cellStyle name="Hyperlink" xfId="328" builtinId="8" hidden="1"/>
    <cellStyle name="Hyperlink" xfId="217" builtinId="8" hidden="1"/>
    <cellStyle name="Hyperlink" xfId="213" builtinId="8" hidden="1"/>
    <cellStyle name="Hyperlink" xfId="261" builtinId="8" hidden="1"/>
    <cellStyle name="Hyperlink" xfId="222" builtinId="8" hidden="1"/>
    <cellStyle name="Hyperlink" xfId="298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64" builtinId="8" hidden="1"/>
    <cellStyle name="Hyperlink" xfId="125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48" builtinId="8" hidden="1"/>
    <cellStyle name="Hyperlink" xfId="1234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53" builtinId="8" hidden="1"/>
    <cellStyle name="Hyperlink" xfId="1222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223" builtinId="8" hidden="1"/>
    <cellStyle name="Hyperlink" xfId="1256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225" builtinId="8" hidden="1"/>
    <cellStyle name="Hyperlink" xfId="126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246" builtinId="8" hidden="1"/>
    <cellStyle name="Hyperlink" xfId="1249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250" builtinId="8" hidden="1"/>
    <cellStyle name="Hyperlink" xfId="1247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265" builtinId="8" hidden="1"/>
    <cellStyle name="Hyperlink" xfId="1242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220" builtinId="8" hidden="1"/>
    <cellStyle name="Hyperlink" xfId="1221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226" builtinId="8" hidden="1"/>
    <cellStyle name="Hyperlink" xfId="1262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231" builtinId="8" hidden="1"/>
    <cellStyle name="Hyperlink" xfId="1251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238" builtinId="8" hidden="1"/>
    <cellStyle name="Hyperlink" xfId="1236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214" builtinId="8" hidden="1"/>
    <cellStyle name="Hyperlink" xfId="329" builtinId="8" hidden="1"/>
    <cellStyle name="Hyperlink" xfId="698" builtinId="8" hidden="1"/>
    <cellStyle name="Hyperlink" xfId="331" builtinId="8" hidden="1"/>
    <cellStyle name="Hyperlink" xfId="312" builtinId="8" hidden="1"/>
    <cellStyle name="Hyperlink" xfId="344" builtinId="8" hidden="1"/>
    <cellStyle name="Hyperlink" xfId="219" builtinId="8" hidden="1"/>
    <cellStyle name="Hyperlink" xfId="346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31" builtinId="8" hidden="1"/>
    <cellStyle name="Hyperlink" xfId="142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15" builtinId="8" hidden="1"/>
    <cellStyle name="Hyperlink" xfId="1401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20" builtinId="8" hidden="1"/>
    <cellStyle name="Hyperlink" xfId="1389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390" builtinId="8" hidden="1"/>
    <cellStyle name="Hyperlink" xfId="1423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392" builtinId="8" hidden="1"/>
    <cellStyle name="Hyperlink" xfId="143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13" builtinId="8" hidden="1"/>
    <cellStyle name="Hyperlink" xfId="1416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17" builtinId="8" hidden="1"/>
    <cellStyle name="Hyperlink" xfId="1414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32" builtinId="8" hidden="1"/>
    <cellStyle name="Hyperlink" xfId="1409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387" builtinId="8" hidden="1"/>
    <cellStyle name="Hyperlink" xfId="1388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393" builtinId="8" hidden="1"/>
    <cellStyle name="Hyperlink" xfId="1429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398" builtinId="8" hidden="1"/>
    <cellStyle name="Hyperlink" xfId="1418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405" builtinId="8" hidden="1"/>
    <cellStyle name="Hyperlink" xfId="1403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355" builtinId="8" hidden="1"/>
    <cellStyle name="Hyperlink" xfId="326" builtinId="8" hidden="1"/>
    <cellStyle name="Hyperlink" xfId="868" builtinId="8" hidden="1"/>
    <cellStyle name="Hyperlink" xfId="351" builtinId="8" hidden="1"/>
    <cellStyle name="Hyperlink" xfId="288" builtinId="8" hidden="1"/>
    <cellStyle name="Hyperlink" xfId="229" builtinId="8" hidden="1"/>
    <cellStyle name="Hyperlink" xfId="343" builtinId="8" hidden="1"/>
    <cellStyle name="Hyperlink" xfId="336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598" builtinId="8" hidden="1"/>
    <cellStyle name="Hyperlink" xfId="158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582" builtinId="8" hidden="1"/>
    <cellStyle name="Hyperlink" xfId="1568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587" builtinId="8" hidden="1"/>
    <cellStyle name="Hyperlink" xfId="1556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557" builtinId="8" hidden="1"/>
    <cellStyle name="Hyperlink" xfId="1590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559" builtinId="8" hidden="1"/>
    <cellStyle name="Hyperlink" xfId="160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580" builtinId="8" hidden="1"/>
    <cellStyle name="Hyperlink" xfId="1583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584" builtinId="8" hidden="1"/>
    <cellStyle name="Hyperlink" xfId="1581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599" builtinId="8" hidden="1"/>
    <cellStyle name="Hyperlink" xfId="1576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554" builtinId="8" hidden="1"/>
    <cellStyle name="Hyperlink" xfId="1555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560" builtinId="8" hidden="1"/>
    <cellStyle name="Hyperlink" xfId="1596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565" builtinId="8" hidden="1"/>
    <cellStyle name="Hyperlink" xfId="1585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572" builtinId="8" hidden="1"/>
    <cellStyle name="Hyperlink" xfId="1570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330" builtinId="8" hidden="1"/>
    <cellStyle name="Hyperlink" xfId="314" builtinId="8" hidden="1"/>
    <cellStyle name="Hyperlink" xfId="1037" builtinId="8" hidden="1"/>
    <cellStyle name="Hyperlink" xfId="293" builtinId="8" hidden="1"/>
    <cellStyle name="Hyperlink" xfId="210" builtinId="8" hidden="1"/>
    <cellStyle name="Hyperlink" xfId="272" builtinId="8" hidden="1"/>
    <cellStyle name="Hyperlink" xfId="694" builtinId="8" hidden="1"/>
    <cellStyle name="Hyperlink" xfId="291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63" builtinId="8" hidden="1"/>
    <cellStyle name="Hyperlink" xfId="175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47" builtinId="8" hidden="1"/>
    <cellStyle name="Hyperlink" xfId="1733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52" builtinId="8" hidden="1"/>
    <cellStyle name="Hyperlink" xfId="1721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22" builtinId="8" hidden="1"/>
    <cellStyle name="Hyperlink" xfId="1755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724" builtinId="8" hidden="1"/>
    <cellStyle name="Hyperlink" xfId="176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745" builtinId="8" hidden="1"/>
    <cellStyle name="Hyperlink" xfId="1748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749" builtinId="8" hidden="1"/>
    <cellStyle name="Hyperlink" xfId="1746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764" builtinId="8" hidden="1"/>
    <cellStyle name="Hyperlink" xfId="1741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719" builtinId="8" hidden="1"/>
    <cellStyle name="Hyperlink" xfId="1720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725" builtinId="8" hidden="1"/>
    <cellStyle name="Hyperlink" xfId="1761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730" builtinId="8" hidden="1"/>
    <cellStyle name="Hyperlink" xfId="1750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737" builtinId="8" hidden="1"/>
    <cellStyle name="Hyperlink" xfId="1735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350" builtinId="8" hidden="1"/>
    <cellStyle name="Hyperlink" xfId="234" builtinId="8" hidden="1"/>
    <cellStyle name="Hyperlink" xfId="1206" builtinId="8" hidden="1"/>
    <cellStyle name="Hyperlink" xfId="215" builtinId="8" hidden="1"/>
    <cellStyle name="Hyperlink" xfId="273" builtinId="8" hidden="1"/>
    <cellStyle name="Hyperlink" xfId="308" builtinId="8" hidden="1"/>
    <cellStyle name="Hyperlink" xfId="864" builtinId="8" hidden="1"/>
    <cellStyle name="Hyperlink" xfId="23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28" builtinId="8" hidden="1"/>
    <cellStyle name="Hyperlink" xfId="191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12" builtinId="8" hidden="1"/>
    <cellStyle name="Hyperlink" xfId="1898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17" builtinId="8" hidden="1"/>
    <cellStyle name="Hyperlink" xfId="1886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887" builtinId="8" hidden="1"/>
    <cellStyle name="Hyperlink" xfId="1920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889" builtinId="8" hidden="1"/>
    <cellStyle name="Hyperlink" xfId="193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10" builtinId="8" hidden="1"/>
    <cellStyle name="Hyperlink" xfId="1913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14" builtinId="8" hidden="1"/>
    <cellStyle name="Hyperlink" xfId="1911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29" builtinId="8" hidden="1"/>
    <cellStyle name="Hyperlink" xfId="1906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1884" builtinId="8" hidden="1"/>
    <cellStyle name="Hyperlink" xfId="1885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1890" builtinId="8" hidden="1"/>
    <cellStyle name="Hyperlink" xfId="1926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1895" builtinId="8" hidden="1"/>
    <cellStyle name="Hyperlink" xfId="1915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1902" builtinId="8" hidden="1"/>
    <cellStyle name="Hyperlink" xfId="1900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534" builtinId="8" hidden="1"/>
    <cellStyle name="Hyperlink" xfId="693" builtinId="8" hidden="1"/>
    <cellStyle name="Hyperlink" xfId="1373" builtinId="8" hidden="1"/>
    <cellStyle name="Hyperlink" xfId="695" builtinId="8" hidden="1"/>
    <cellStyle name="Hyperlink" xfId="352" builtinId="8" hidden="1"/>
    <cellStyle name="Hyperlink" xfId="302" builtinId="8" hidden="1"/>
    <cellStyle name="Hyperlink" xfId="1034" builtinId="8" hidden="1"/>
    <cellStyle name="Hyperlink" xfId="320" builtinId="8" hidden="1"/>
    <cellStyle name="Hyperlink" xfId="2037" builtinId="8" hidden="1"/>
    <cellStyle name="Hyperlink" xfId="2039" builtinId="8" hidden="1"/>
    <cellStyle name="Hyperlink" xfId="2041" builtinId="8" hidden="1"/>
    <cellStyle name="Hyperlink" xfId="2043" builtinId="8" hidden="1"/>
    <cellStyle name="Hyperlink" xfId="2045" builtinId="8" hidden="1"/>
    <cellStyle name="Hyperlink" xfId="2047" builtinId="8" hidden="1"/>
    <cellStyle name="Hyperlink" xfId="2097" builtinId="8" hidden="1"/>
    <cellStyle name="Hyperlink" xfId="2099" builtinId="8" hidden="1"/>
    <cellStyle name="Hyperlink" xfId="2101" builtinId="8" hidden="1"/>
    <cellStyle name="Hyperlink" xfId="2103" builtinId="8" hidden="1"/>
    <cellStyle name="Hyperlink" xfId="2093" builtinId="8" hidden="1"/>
    <cellStyle name="Hyperlink" xfId="2083" builtinId="8" hidden="1"/>
    <cellStyle name="Hyperlink" xfId="2105" builtinId="8" hidden="1"/>
    <cellStyle name="Hyperlink" xfId="2107" builtinId="8" hidden="1"/>
    <cellStyle name="Hyperlink" xfId="2109" builtinId="8" hidden="1"/>
    <cellStyle name="Hyperlink" xfId="2111" builtinId="8" hidden="1"/>
    <cellStyle name="Hyperlink" xfId="2077" builtinId="8" hidden="1"/>
    <cellStyle name="Hyperlink" xfId="2063" builtinId="8" hidden="1"/>
    <cellStyle name="Hyperlink" xfId="2113" builtinId="8" hidden="1"/>
    <cellStyle name="Hyperlink" xfId="2115" builtinId="8" hidden="1"/>
    <cellStyle name="Hyperlink" xfId="2117" builtinId="8" hidden="1"/>
    <cellStyle name="Hyperlink" xfId="2119" builtinId="8" hidden="1"/>
    <cellStyle name="Hyperlink" xfId="2082" builtinId="8" hidden="1"/>
    <cellStyle name="Hyperlink" xfId="2051" builtinId="8" hidden="1"/>
    <cellStyle name="Hyperlink" xfId="2121" builtinId="8" hidden="1"/>
    <cellStyle name="Hyperlink" xfId="2123" builtinId="8" hidden="1"/>
    <cellStyle name="Hyperlink" xfId="2125" builtinId="8" hidden="1"/>
    <cellStyle name="Hyperlink" xfId="2127" builtinId="8" hidden="1"/>
    <cellStyle name="Hyperlink" xfId="2052" builtinId="8" hidden="1"/>
    <cellStyle name="Hyperlink" xfId="2085" builtinId="8" hidden="1"/>
    <cellStyle name="Hyperlink" xfId="2129" builtinId="8" hidden="1"/>
    <cellStyle name="Hyperlink" xfId="2131" builtinId="8" hidden="1"/>
    <cellStyle name="Hyperlink" xfId="2133" builtinId="8" hidden="1"/>
    <cellStyle name="Hyperlink" xfId="2135" builtinId="8" hidden="1"/>
    <cellStyle name="Hyperlink" xfId="2054" builtinId="8" hidden="1"/>
    <cellStyle name="Hyperlink" xfId="2095" builtinId="8" hidden="1"/>
    <cellStyle name="Hyperlink" xfId="2137" builtinId="8" hidden="1"/>
    <cellStyle name="Hyperlink" xfId="2139" builtinId="8" hidden="1"/>
    <cellStyle name="Hyperlink" xfId="2141" builtinId="8" hidden="1"/>
    <cellStyle name="Hyperlink" xfId="2143" builtinId="8" hidden="1"/>
    <cellStyle name="Hyperlink" xfId="2075" builtinId="8" hidden="1"/>
    <cellStyle name="Hyperlink" xfId="2078" builtinId="8" hidden="1"/>
    <cellStyle name="Hyperlink" xfId="2145" builtinId="8" hidden="1"/>
    <cellStyle name="Hyperlink" xfId="2147" builtinId="8" hidden="1"/>
    <cellStyle name="Hyperlink" xfId="2149" builtinId="8" hidden="1"/>
    <cellStyle name="Hyperlink" xfId="2151" builtinId="8" hidden="1"/>
    <cellStyle name="Hyperlink" xfId="2079" builtinId="8" hidden="1"/>
    <cellStyle name="Hyperlink" xfId="2076" builtinId="8" hidden="1"/>
    <cellStyle name="Hyperlink" xfId="2153" builtinId="8" hidden="1"/>
    <cellStyle name="Hyperlink" xfId="2155" builtinId="8" hidden="1"/>
    <cellStyle name="Hyperlink" xfId="2157" builtinId="8" hidden="1"/>
    <cellStyle name="Hyperlink" xfId="2159" builtinId="8" hidden="1"/>
    <cellStyle name="Hyperlink" xfId="2094" builtinId="8" hidden="1"/>
    <cellStyle name="Hyperlink" xfId="2071" builtinId="8" hidden="1"/>
    <cellStyle name="Hyperlink" xfId="2161" builtinId="8" hidden="1"/>
    <cellStyle name="Hyperlink" xfId="2163" builtinId="8" hidden="1"/>
    <cellStyle name="Hyperlink" xfId="2165" builtinId="8" hidden="1"/>
    <cellStyle name="Hyperlink" xfId="2167" builtinId="8" hidden="1"/>
    <cellStyle name="Hyperlink" xfId="2049" builtinId="8" hidden="1"/>
    <cellStyle name="Hyperlink" xfId="2050" builtinId="8" hidden="1"/>
    <cellStyle name="Hyperlink" xfId="2169" builtinId="8" hidden="1"/>
    <cellStyle name="Hyperlink" xfId="2171" builtinId="8" hidden="1"/>
    <cellStyle name="Hyperlink" xfId="2173" builtinId="8" hidden="1"/>
    <cellStyle name="Hyperlink" xfId="2175" builtinId="8" hidden="1"/>
    <cellStyle name="Hyperlink" xfId="2055" builtinId="8" hidden="1"/>
    <cellStyle name="Hyperlink" xfId="2091" builtinId="8" hidden="1"/>
    <cellStyle name="Hyperlink" xfId="2177" builtinId="8" hidden="1"/>
    <cellStyle name="Hyperlink" xfId="2179" builtinId="8" hidden="1"/>
    <cellStyle name="Hyperlink" xfId="2181" builtinId="8" hidden="1"/>
    <cellStyle name="Hyperlink" xfId="2183" builtinId="8" hidden="1"/>
    <cellStyle name="Hyperlink" xfId="2060" builtinId="8" hidden="1"/>
    <cellStyle name="Hyperlink" xfId="2080" builtinId="8" hidden="1"/>
    <cellStyle name="Hyperlink" xfId="2185" builtinId="8" hidden="1"/>
    <cellStyle name="Hyperlink" xfId="2187" builtinId="8" hidden="1"/>
    <cellStyle name="Hyperlink" xfId="2189" builtinId="8" hidden="1"/>
    <cellStyle name="Hyperlink" xfId="2191" builtinId="8" hidden="1"/>
    <cellStyle name="Hyperlink" xfId="2067" builtinId="8" hidden="1"/>
    <cellStyle name="Hyperlink" xfId="2065" builtinId="8" hidden="1"/>
    <cellStyle name="Hyperlink" xfId="2193" builtinId="8" hidden="1"/>
    <cellStyle name="Hyperlink" xfId="2195" builtinId="8" hidden="1"/>
    <cellStyle name="Hyperlink" xfId="2197" builtinId="8" hidden="1"/>
    <cellStyle name="Hyperlink" xfId="2199" builtinId="8" hidden="1"/>
    <cellStyle name="Hyperlink" xfId="236" builtinId="8" hidden="1"/>
    <cellStyle name="Hyperlink" xfId="325" builtinId="8" hidden="1"/>
    <cellStyle name="Hyperlink" xfId="1540" builtinId="8" hidden="1"/>
    <cellStyle name="Hyperlink" xfId="865" builtinId="8" hidden="1"/>
    <cellStyle name="Hyperlink" xfId="354" builtinId="8" hidden="1"/>
    <cellStyle name="Hyperlink" xfId="265" builtinId="8" hidden="1"/>
    <cellStyle name="Hyperlink" xfId="1203" builtinId="8" hidden="1"/>
    <cellStyle name="Hyperlink" xfId="356" builtinId="8" hidden="1"/>
    <cellStyle name="Hyperlink" xfId="2201" builtinId="8" hidden="1"/>
    <cellStyle name="Hyperlink" xfId="2203" builtinId="8" hidden="1"/>
    <cellStyle name="Hyperlink" xfId="2205" builtinId="8" hidden="1"/>
    <cellStyle name="Hyperlink" xfId="2207" builtinId="8" hidden="1"/>
    <cellStyle name="Hyperlink" xfId="2209" builtinId="8" hidden="1"/>
    <cellStyle name="Hyperlink" xfId="2211" builtinId="8" hidden="1"/>
    <cellStyle name="Hyperlink" xfId="2261" builtinId="8" hidden="1"/>
    <cellStyle name="Hyperlink" xfId="2263" builtinId="8" hidden="1"/>
    <cellStyle name="Hyperlink" xfId="2265" builtinId="8" hidden="1"/>
    <cellStyle name="Hyperlink" xfId="2267" builtinId="8" hidden="1"/>
    <cellStyle name="Hyperlink" xfId="2257" builtinId="8" hidden="1"/>
    <cellStyle name="Hyperlink" xfId="2247" builtinId="8" hidden="1"/>
    <cellStyle name="Hyperlink" xfId="2269" builtinId="8" hidden="1"/>
    <cellStyle name="Hyperlink" xfId="2271" builtinId="8" hidden="1"/>
    <cellStyle name="Hyperlink" xfId="2273" builtinId="8" hidden="1"/>
    <cellStyle name="Hyperlink" xfId="2275" builtinId="8" hidden="1"/>
    <cellStyle name="Hyperlink" xfId="2241" builtinId="8" hidden="1"/>
    <cellStyle name="Hyperlink" xfId="2227" builtinId="8" hidden="1"/>
    <cellStyle name="Hyperlink" xfId="2277" builtinId="8" hidden="1"/>
    <cellStyle name="Hyperlink" xfId="2279" builtinId="8" hidden="1"/>
    <cellStyle name="Hyperlink" xfId="2281" builtinId="8" hidden="1"/>
    <cellStyle name="Hyperlink" xfId="2283" builtinId="8" hidden="1"/>
    <cellStyle name="Hyperlink" xfId="2246" builtinId="8" hidden="1"/>
    <cellStyle name="Hyperlink" xfId="2215" builtinId="8" hidden="1"/>
    <cellStyle name="Hyperlink" xfId="2285" builtinId="8" hidden="1"/>
    <cellStyle name="Hyperlink" xfId="2287" builtinId="8" hidden="1"/>
    <cellStyle name="Hyperlink" xfId="2289" builtinId="8" hidden="1"/>
    <cellStyle name="Hyperlink" xfId="2291" builtinId="8" hidden="1"/>
    <cellStyle name="Hyperlink" xfId="2216" builtinId="8" hidden="1"/>
    <cellStyle name="Hyperlink" xfId="2249" builtinId="8" hidden="1"/>
    <cellStyle name="Hyperlink" xfId="2293" builtinId="8" hidden="1"/>
    <cellStyle name="Hyperlink" xfId="2295" builtinId="8" hidden="1"/>
    <cellStyle name="Hyperlink" xfId="2297" builtinId="8" hidden="1"/>
    <cellStyle name="Hyperlink" xfId="2299" builtinId="8" hidden="1"/>
    <cellStyle name="Hyperlink" xfId="2218" builtinId="8" hidden="1"/>
    <cellStyle name="Hyperlink" xfId="2259" builtinId="8" hidden="1"/>
    <cellStyle name="Hyperlink" xfId="2301" builtinId="8" hidden="1"/>
    <cellStyle name="Hyperlink" xfId="2303" builtinId="8" hidden="1"/>
    <cellStyle name="Hyperlink" xfId="2305" builtinId="8" hidden="1"/>
    <cellStyle name="Hyperlink" xfId="2307" builtinId="8" hidden="1"/>
    <cellStyle name="Hyperlink" xfId="2239" builtinId="8" hidden="1"/>
    <cellStyle name="Hyperlink" xfId="2242" builtinId="8" hidden="1"/>
    <cellStyle name="Hyperlink" xfId="2309" builtinId="8" hidden="1"/>
    <cellStyle name="Hyperlink" xfId="2311" builtinId="8" hidden="1"/>
    <cellStyle name="Hyperlink" xfId="2313" builtinId="8" hidden="1"/>
    <cellStyle name="Hyperlink" xfId="2315" builtinId="8" hidden="1"/>
    <cellStyle name="Hyperlink" xfId="2243" builtinId="8" hidden="1"/>
    <cellStyle name="Hyperlink" xfId="2240" builtinId="8" hidden="1"/>
    <cellStyle name="Hyperlink" xfId="2317" builtinId="8" hidden="1"/>
    <cellStyle name="Hyperlink" xfId="2319" builtinId="8" hidden="1"/>
    <cellStyle name="Hyperlink" xfId="2321" builtinId="8" hidden="1"/>
    <cellStyle name="Hyperlink" xfId="2323" builtinId="8" hidden="1"/>
    <cellStyle name="Hyperlink" xfId="2258" builtinId="8" hidden="1"/>
    <cellStyle name="Hyperlink" xfId="2235" builtinId="8" hidden="1"/>
    <cellStyle name="Hyperlink" xfId="2325" builtinId="8" hidden="1"/>
    <cellStyle name="Hyperlink" xfId="2327" builtinId="8" hidden="1"/>
    <cellStyle name="Hyperlink" xfId="2329" builtinId="8" hidden="1"/>
    <cellStyle name="Hyperlink" xfId="2331" builtinId="8" hidden="1"/>
    <cellStyle name="Hyperlink" xfId="2213" builtinId="8" hidden="1"/>
    <cellStyle name="Hyperlink" xfId="2214" builtinId="8" hidden="1"/>
    <cellStyle name="Hyperlink" xfId="2333" builtinId="8" hidden="1"/>
    <cellStyle name="Hyperlink" xfId="2335" builtinId="8" hidden="1"/>
    <cellStyle name="Hyperlink" xfId="2337" builtinId="8" hidden="1"/>
    <cellStyle name="Hyperlink" xfId="2339" builtinId="8" hidden="1"/>
    <cellStyle name="Hyperlink" xfId="2219" builtinId="8" hidden="1"/>
    <cellStyle name="Hyperlink" xfId="2255" builtinId="8" hidden="1"/>
    <cellStyle name="Hyperlink" xfId="2341" builtinId="8" hidden="1"/>
    <cellStyle name="Hyperlink" xfId="2343" builtinId="8" hidden="1"/>
    <cellStyle name="Hyperlink" xfId="2345" builtinId="8" hidden="1"/>
    <cellStyle name="Hyperlink" xfId="2347" builtinId="8" hidden="1"/>
    <cellStyle name="Hyperlink" xfId="2224" builtinId="8" hidden="1"/>
    <cellStyle name="Hyperlink" xfId="2244" builtinId="8" hidden="1"/>
    <cellStyle name="Hyperlink" xfId="2349" builtinId="8" hidden="1"/>
    <cellStyle name="Hyperlink" xfId="2351" builtinId="8" hidden="1"/>
    <cellStyle name="Hyperlink" xfId="2353" builtinId="8" hidden="1"/>
    <cellStyle name="Hyperlink" xfId="2355" builtinId="8" hidden="1"/>
    <cellStyle name="Hyperlink" xfId="2231" builtinId="8" hidden="1"/>
    <cellStyle name="Hyperlink" xfId="2229" builtinId="8" hidden="1"/>
    <cellStyle name="Hyperlink" xfId="2357" builtinId="8" hidden="1"/>
    <cellStyle name="Hyperlink" xfId="2359" builtinId="8" hidden="1"/>
    <cellStyle name="Hyperlink" xfId="2361" builtinId="8" hidden="1"/>
    <cellStyle name="Hyperlink" xfId="2363" builtinId="8" hidden="1"/>
    <cellStyle name="Hyperlink" xfId="2365" builtinId="8" hidden="1"/>
    <cellStyle name="Hyperlink" xfId="2367" builtinId="8" hidden="1"/>
    <cellStyle name="Hyperlink" xfId="2415" builtinId="8" hidden="1"/>
    <cellStyle name="Hyperlink" xfId="2417" builtinId="8" hidden="1"/>
    <cellStyle name="Hyperlink" xfId="2419" builtinId="8" hidden="1"/>
    <cellStyle name="Hyperlink" xfId="2421" builtinId="8" hidden="1"/>
    <cellStyle name="Hyperlink" xfId="2424" builtinId="8" hidden="1"/>
    <cellStyle name="Hyperlink" xfId="2426" builtinId="8" hidden="1"/>
    <cellStyle name="Hyperlink" xfId="2471" builtinId="8" hidden="1"/>
    <cellStyle name="Hyperlink" xfId="2473" builtinId="8" hidden="1"/>
    <cellStyle name="Hyperlink" xfId="2475" builtinId="8" hidden="1"/>
    <cellStyle name="Hyperlink" xfId="2477" builtinId="8" hidden="1"/>
    <cellStyle name="Hyperlink" xfId="2479" builtinId="8" hidden="1"/>
    <cellStyle name="Hyperlink" xfId="2481" builtinId="8" hidden="1"/>
    <cellStyle name="Hyperlink" xfId="2523" builtinId="8" hidden="1"/>
    <cellStyle name="Hyperlink" xfId="2525" builtinId="8" hidden="1"/>
    <cellStyle name="Hyperlink" xfId="2527" builtinId="8" hidden="1"/>
    <cellStyle name="Hyperlink" xfId="2529" builtinId="8" hidden="1"/>
    <cellStyle name="Hyperlink" xfId="2532" builtinId="8" hidden="1"/>
    <cellStyle name="Hyperlink" xfId="2534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80" builtinId="8" hidden="1"/>
    <cellStyle name="Hyperlink" xfId="257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564" builtinId="8" hidden="1"/>
    <cellStyle name="Hyperlink" xfId="2550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569" builtinId="8" hidden="1"/>
    <cellStyle name="Hyperlink" xfId="2538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539" builtinId="8" hidden="1"/>
    <cellStyle name="Hyperlink" xfId="2572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541" builtinId="8" hidden="1"/>
    <cellStyle name="Hyperlink" xfId="258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562" builtinId="8" hidden="1"/>
    <cellStyle name="Hyperlink" xfId="2565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566" builtinId="8" hidden="1"/>
    <cellStyle name="Hyperlink" xfId="2563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581" builtinId="8" hidden="1"/>
    <cellStyle name="Hyperlink" xfId="2558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536" builtinId="8" hidden="1"/>
    <cellStyle name="Hyperlink" xfId="2537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542" builtinId="8" hidden="1"/>
    <cellStyle name="Hyperlink" xfId="2578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547" builtinId="8" hidden="1"/>
    <cellStyle name="Hyperlink" xfId="2567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554" builtinId="8" hidden="1"/>
    <cellStyle name="Hyperlink" xfId="2552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5" builtinId="8" hidden="1"/>
    <cellStyle name="Hyperlink" xfId="2767" builtinId="8" hidden="1"/>
    <cellStyle name="Hyperlink" xfId="2841" builtinId="8" hidden="1"/>
    <cellStyle name="Hyperlink" xfId="2843" builtinId="8" hidden="1"/>
    <cellStyle name="Hyperlink" xfId="2845" builtinId="8" hidden="1"/>
    <cellStyle name="Hyperlink" xfId="2847" builtinId="8" hidden="1"/>
    <cellStyle name="Hyperlink" xfId="2849" builtinId="8" hidden="1"/>
    <cellStyle name="Hyperlink" xfId="2851" builtinId="8" hidden="1"/>
    <cellStyle name="Hyperlink" xfId="2901" builtinId="8" hidden="1"/>
    <cellStyle name="Hyperlink" xfId="2903" builtinId="8" hidden="1"/>
    <cellStyle name="Hyperlink" xfId="2905" builtinId="8" hidden="1"/>
    <cellStyle name="Hyperlink" xfId="2907" builtinId="8" hidden="1"/>
    <cellStyle name="Hyperlink" xfId="2897" builtinId="8" hidden="1"/>
    <cellStyle name="Hyperlink" xfId="2887" builtinId="8" hidden="1"/>
    <cellStyle name="Hyperlink" xfId="2909" builtinId="8" hidden="1"/>
    <cellStyle name="Hyperlink" xfId="2911" builtinId="8" hidden="1"/>
    <cellStyle name="Hyperlink" xfId="2913" builtinId="8" hidden="1"/>
    <cellStyle name="Hyperlink" xfId="2915" builtinId="8" hidden="1"/>
    <cellStyle name="Hyperlink" xfId="2881" builtinId="8" hidden="1"/>
    <cellStyle name="Hyperlink" xfId="2867" builtinId="8" hidden="1"/>
    <cellStyle name="Hyperlink" xfId="2917" builtinId="8" hidden="1"/>
    <cellStyle name="Hyperlink" xfId="2919" builtinId="8" hidden="1"/>
    <cellStyle name="Hyperlink" xfId="2921" builtinId="8" hidden="1"/>
    <cellStyle name="Hyperlink" xfId="2923" builtinId="8" hidden="1"/>
    <cellStyle name="Hyperlink" xfId="2886" builtinId="8" hidden="1"/>
    <cellStyle name="Hyperlink" xfId="2855" builtinId="8" hidden="1"/>
    <cellStyle name="Hyperlink" xfId="2925" builtinId="8" hidden="1"/>
    <cellStyle name="Hyperlink" xfId="2927" builtinId="8" hidden="1"/>
    <cellStyle name="Hyperlink" xfId="2929" builtinId="8" hidden="1"/>
    <cellStyle name="Hyperlink" xfId="2931" builtinId="8" hidden="1"/>
    <cellStyle name="Hyperlink" xfId="2856" builtinId="8" hidden="1"/>
    <cellStyle name="Hyperlink" xfId="2889" builtinId="8" hidden="1"/>
    <cellStyle name="Hyperlink" xfId="2933" builtinId="8" hidden="1"/>
    <cellStyle name="Hyperlink" xfId="2935" builtinId="8" hidden="1"/>
    <cellStyle name="Hyperlink" xfId="2937" builtinId="8" hidden="1"/>
    <cellStyle name="Hyperlink" xfId="2939" builtinId="8" hidden="1"/>
    <cellStyle name="Hyperlink" xfId="2858" builtinId="8" hidden="1"/>
    <cellStyle name="Hyperlink" xfId="2899" builtinId="8" hidden="1"/>
    <cellStyle name="Hyperlink" xfId="2941" builtinId="8" hidden="1"/>
    <cellStyle name="Hyperlink" xfId="2943" builtinId="8" hidden="1"/>
    <cellStyle name="Hyperlink" xfId="2945" builtinId="8" hidden="1"/>
    <cellStyle name="Hyperlink" xfId="2947" builtinId="8" hidden="1"/>
    <cellStyle name="Hyperlink" xfId="2879" builtinId="8" hidden="1"/>
    <cellStyle name="Hyperlink" xfId="2882" builtinId="8" hidden="1"/>
    <cellStyle name="Hyperlink" xfId="2949" builtinId="8" hidden="1"/>
    <cellStyle name="Hyperlink" xfId="2951" builtinId="8" hidden="1"/>
    <cellStyle name="Hyperlink" xfId="2953" builtinId="8" hidden="1"/>
    <cellStyle name="Hyperlink" xfId="2955" builtinId="8" hidden="1"/>
    <cellStyle name="Hyperlink" xfId="2883" builtinId="8" hidden="1"/>
    <cellStyle name="Hyperlink" xfId="2880" builtinId="8" hidden="1"/>
    <cellStyle name="Hyperlink" xfId="2957" builtinId="8" hidden="1"/>
    <cellStyle name="Hyperlink" xfId="2959" builtinId="8" hidden="1"/>
    <cellStyle name="Hyperlink" xfId="2961" builtinId="8" hidden="1"/>
    <cellStyle name="Hyperlink" xfId="2963" builtinId="8" hidden="1"/>
    <cellStyle name="Hyperlink" xfId="2898" builtinId="8" hidden="1"/>
    <cellStyle name="Hyperlink" xfId="2875" builtinId="8" hidden="1"/>
    <cellStyle name="Hyperlink" xfId="2965" builtinId="8" hidden="1"/>
    <cellStyle name="Hyperlink" xfId="2967" builtinId="8" hidden="1"/>
    <cellStyle name="Hyperlink" xfId="2969" builtinId="8" hidden="1"/>
    <cellStyle name="Hyperlink" xfId="2971" builtinId="8" hidden="1"/>
    <cellStyle name="Hyperlink" xfId="2853" builtinId="8" hidden="1"/>
    <cellStyle name="Hyperlink" xfId="2854" builtinId="8" hidden="1"/>
    <cellStyle name="Hyperlink" xfId="2973" builtinId="8" hidden="1"/>
    <cellStyle name="Hyperlink" xfId="2975" builtinId="8" hidden="1"/>
    <cellStyle name="Hyperlink" xfId="2977" builtinId="8" hidden="1"/>
    <cellStyle name="Hyperlink" xfId="2979" builtinId="8" hidden="1"/>
    <cellStyle name="Hyperlink" xfId="2859" builtinId="8" hidden="1"/>
    <cellStyle name="Hyperlink" xfId="2895" builtinId="8" hidden="1"/>
    <cellStyle name="Hyperlink" xfId="2981" builtinId="8" hidden="1"/>
    <cellStyle name="Hyperlink" xfId="2983" builtinId="8" hidden="1"/>
    <cellStyle name="Hyperlink" xfId="2985" builtinId="8" hidden="1"/>
    <cellStyle name="Hyperlink" xfId="2987" builtinId="8" hidden="1"/>
    <cellStyle name="Hyperlink" xfId="2864" builtinId="8" hidden="1"/>
    <cellStyle name="Hyperlink" xfId="2884" builtinId="8" hidden="1"/>
    <cellStyle name="Hyperlink" xfId="2989" builtinId="8" hidden="1"/>
    <cellStyle name="Hyperlink" xfId="2991" builtinId="8" hidden="1"/>
    <cellStyle name="Hyperlink" xfId="2993" builtinId="8" hidden="1"/>
    <cellStyle name="Hyperlink" xfId="2995" builtinId="8" hidden="1"/>
    <cellStyle name="Hyperlink" xfId="2871" builtinId="8" hidden="1"/>
    <cellStyle name="Hyperlink" xfId="2869" builtinId="8" hidden="1"/>
    <cellStyle name="Hyperlink" xfId="2997" builtinId="8" hidden="1"/>
    <cellStyle name="Hyperlink" xfId="2999" builtinId="8" hidden="1"/>
    <cellStyle name="Hyperlink" xfId="3001" builtinId="8" hidden="1"/>
    <cellStyle name="Hyperlink" xfId="3003" builtinId="8" hidden="1"/>
    <cellStyle name="Hyperlink" xfId="2702" builtinId="8" hidden="1"/>
    <cellStyle name="Hyperlink" xfId="2814" builtinId="8" hidden="1"/>
    <cellStyle name="Hyperlink" xfId="2706" builtinId="8" hidden="1"/>
    <cellStyle name="Hyperlink" xfId="2817" builtinId="8" hidden="1"/>
    <cellStyle name="Hyperlink" xfId="2800" builtinId="8" hidden="1"/>
    <cellStyle name="Hyperlink" xfId="2752" builtinId="8" hidden="1"/>
    <cellStyle name="Hyperlink" xfId="2693" builtinId="8" hidden="1"/>
    <cellStyle name="Hyperlink" xfId="2805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7" builtinId="8" hidden="1"/>
    <cellStyle name="Hyperlink" xfId="3019" builtinId="8" hidden="1"/>
    <cellStyle name="Hyperlink" xfId="3069" builtinId="8" hidden="1"/>
    <cellStyle name="Hyperlink" xfId="3071" builtinId="8" hidden="1"/>
    <cellStyle name="Hyperlink" xfId="3073" builtinId="8" hidden="1"/>
    <cellStyle name="Hyperlink" xfId="3075" builtinId="8" hidden="1"/>
    <cellStyle name="Hyperlink" xfId="3065" builtinId="8" hidden="1"/>
    <cellStyle name="Hyperlink" xfId="3055" builtinId="8" hidden="1"/>
    <cellStyle name="Hyperlink" xfId="3077" builtinId="8" hidden="1"/>
    <cellStyle name="Hyperlink" xfId="3079" builtinId="8" hidden="1"/>
    <cellStyle name="Hyperlink" xfId="3081" builtinId="8" hidden="1"/>
    <cellStyle name="Hyperlink" xfId="3083" builtinId="8" hidden="1"/>
    <cellStyle name="Hyperlink" xfId="3049" builtinId="8" hidden="1"/>
    <cellStyle name="Hyperlink" xfId="3035" builtinId="8" hidden="1"/>
    <cellStyle name="Hyperlink" xfId="3085" builtinId="8" hidden="1"/>
    <cellStyle name="Hyperlink" xfId="3087" builtinId="8" hidden="1"/>
    <cellStyle name="Hyperlink" xfId="3089" builtinId="8" hidden="1"/>
    <cellStyle name="Hyperlink" xfId="3091" builtinId="8" hidden="1"/>
    <cellStyle name="Hyperlink" xfId="3054" builtinId="8" hidden="1"/>
    <cellStyle name="Hyperlink" xfId="3023" builtinId="8" hidden="1"/>
    <cellStyle name="Hyperlink" xfId="3093" builtinId="8" hidden="1"/>
    <cellStyle name="Hyperlink" xfId="3095" builtinId="8" hidden="1"/>
    <cellStyle name="Hyperlink" xfId="3097" builtinId="8" hidden="1"/>
    <cellStyle name="Hyperlink" xfId="3099" builtinId="8" hidden="1"/>
    <cellStyle name="Hyperlink" xfId="3024" builtinId="8" hidden="1"/>
    <cellStyle name="Hyperlink" xfId="3057" builtinId="8" hidden="1"/>
    <cellStyle name="Hyperlink" xfId="3101" builtinId="8" hidden="1"/>
    <cellStyle name="Hyperlink" xfId="3103" builtinId="8" hidden="1"/>
    <cellStyle name="Hyperlink" xfId="3105" builtinId="8" hidden="1"/>
    <cellStyle name="Hyperlink" xfId="3107" builtinId="8" hidden="1"/>
    <cellStyle name="Hyperlink" xfId="3026" builtinId="8" hidden="1"/>
    <cellStyle name="Hyperlink" xfId="3067" builtinId="8" hidden="1"/>
    <cellStyle name="Hyperlink" xfId="3109" builtinId="8" hidden="1"/>
    <cellStyle name="Hyperlink" xfId="3111" builtinId="8" hidden="1"/>
    <cellStyle name="Hyperlink" xfId="3113" builtinId="8" hidden="1"/>
    <cellStyle name="Hyperlink" xfId="3115" builtinId="8" hidden="1"/>
    <cellStyle name="Hyperlink" xfId="3047" builtinId="8" hidden="1"/>
    <cellStyle name="Hyperlink" xfId="3050" builtinId="8" hidden="1"/>
    <cellStyle name="Hyperlink" xfId="3117" builtinId="8" hidden="1"/>
    <cellStyle name="Hyperlink" xfId="3119" builtinId="8" hidden="1"/>
    <cellStyle name="Hyperlink" xfId="3121" builtinId="8" hidden="1"/>
    <cellStyle name="Hyperlink" xfId="3123" builtinId="8" hidden="1"/>
    <cellStyle name="Hyperlink" xfId="3051" builtinId="8" hidden="1"/>
    <cellStyle name="Hyperlink" xfId="3048" builtinId="8" hidden="1"/>
    <cellStyle name="Hyperlink" xfId="3125" builtinId="8" hidden="1"/>
    <cellStyle name="Hyperlink" xfId="3127" builtinId="8" hidden="1"/>
    <cellStyle name="Hyperlink" xfId="3129" builtinId="8" hidden="1"/>
    <cellStyle name="Hyperlink" xfId="3131" builtinId="8" hidden="1"/>
    <cellStyle name="Hyperlink" xfId="3066" builtinId="8" hidden="1"/>
    <cellStyle name="Hyperlink" xfId="3043" builtinId="8" hidden="1"/>
    <cellStyle name="Hyperlink" xfId="3133" builtinId="8" hidden="1"/>
    <cellStyle name="Hyperlink" xfId="3135" builtinId="8" hidden="1"/>
    <cellStyle name="Hyperlink" xfId="3137" builtinId="8" hidden="1"/>
    <cellStyle name="Hyperlink" xfId="3139" builtinId="8" hidden="1"/>
    <cellStyle name="Hyperlink" xfId="3021" builtinId="8" hidden="1"/>
    <cellStyle name="Hyperlink" xfId="3022" builtinId="8" hidden="1"/>
    <cellStyle name="Hyperlink" xfId="3141" builtinId="8" hidden="1"/>
    <cellStyle name="Hyperlink" xfId="3143" builtinId="8" hidden="1"/>
    <cellStyle name="Hyperlink" xfId="3145" builtinId="8" hidden="1"/>
    <cellStyle name="Hyperlink" xfId="3147" builtinId="8" hidden="1"/>
    <cellStyle name="Hyperlink" xfId="3027" builtinId="8" hidden="1"/>
    <cellStyle name="Hyperlink" xfId="3063" builtinId="8" hidden="1"/>
    <cellStyle name="Hyperlink" xfId="3149" builtinId="8" hidden="1"/>
    <cellStyle name="Hyperlink" xfId="3151" builtinId="8" hidden="1"/>
    <cellStyle name="Hyperlink" xfId="3153" builtinId="8" hidden="1"/>
    <cellStyle name="Hyperlink" xfId="3155" builtinId="8" hidden="1"/>
    <cellStyle name="Hyperlink" xfId="3032" builtinId="8" hidden="1"/>
    <cellStyle name="Hyperlink" xfId="3052" builtinId="8" hidden="1"/>
    <cellStyle name="Hyperlink" xfId="3157" builtinId="8" hidden="1"/>
    <cellStyle name="Hyperlink" xfId="3159" builtinId="8" hidden="1"/>
    <cellStyle name="Hyperlink" xfId="3161" builtinId="8" hidden="1"/>
    <cellStyle name="Hyperlink" xfId="3163" builtinId="8" hidden="1"/>
    <cellStyle name="Hyperlink" xfId="3039" builtinId="8" hidden="1"/>
    <cellStyle name="Hyperlink" xfId="3037" builtinId="8" hidden="1"/>
    <cellStyle name="Hyperlink" xfId="3165" builtinId="8" hidden="1"/>
    <cellStyle name="Hyperlink" xfId="3167" builtinId="8" hidden="1"/>
    <cellStyle name="Hyperlink" xfId="3169" builtinId="8" hidden="1"/>
    <cellStyle name="Hyperlink" xfId="3171" builtinId="8" hidden="1"/>
    <cellStyle name="Hyperlink" xfId="2748" builtinId="8" hidden="1"/>
    <cellStyle name="Hyperlink" xfId="2749" builtinId="8" hidden="1"/>
    <cellStyle name="Hyperlink" xfId="2723" builtinId="8" hidden="1"/>
    <cellStyle name="Hyperlink" xfId="2724" builtinId="8" hidden="1"/>
    <cellStyle name="Hyperlink" xfId="2739" builtinId="8" hidden="1"/>
    <cellStyle name="Hyperlink" xfId="2737" builtinId="8" hidden="1"/>
    <cellStyle name="Hyperlink" xfId="2730" builtinId="8" hidden="1"/>
    <cellStyle name="Hyperlink" xfId="2731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38" builtinId="8" hidden="1"/>
    <cellStyle name="Hyperlink" xfId="322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22" builtinId="8" hidden="1"/>
    <cellStyle name="Hyperlink" xfId="3208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27" builtinId="8" hidden="1"/>
    <cellStyle name="Hyperlink" xfId="3196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197" builtinId="8" hidden="1"/>
    <cellStyle name="Hyperlink" xfId="3230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199" builtinId="8" hidden="1"/>
    <cellStyle name="Hyperlink" xfId="324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20" builtinId="8" hidden="1"/>
    <cellStyle name="Hyperlink" xfId="3223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24" builtinId="8" hidden="1"/>
    <cellStyle name="Hyperlink" xfId="3221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239" builtinId="8" hidden="1"/>
    <cellStyle name="Hyperlink" xfId="3216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194" builtinId="8" hidden="1"/>
    <cellStyle name="Hyperlink" xfId="3195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200" builtinId="8" hidden="1"/>
    <cellStyle name="Hyperlink" xfId="3236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205" builtinId="8" hidden="1"/>
    <cellStyle name="Hyperlink" xfId="3225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212" builtinId="8" hidden="1"/>
    <cellStyle name="Hyperlink" xfId="3210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2789" builtinId="8" hidden="1"/>
    <cellStyle name="Hyperlink" xfId="2732" builtinId="8" hidden="1"/>
    <cellStyle name="Hyperlink" xfId="2742" builtinId="8" hidden="1"/>
    <cellStyle name="Hyperlink" xfId="2709" builtinId="8" hidden="1"/>
    <cellStyle name="Hyperlink" xfId="2792" builtinId="8" hidden="1"/>
    <cellStyle name="Hyperlink" xfId="2824" builtinId="8" hidden="1"/>
    <cellStyle name="Hyperlink" xfId="2803" builtinId="8" hidden="1"/>
    <cellStyle name="Hyperlink" xfId="2753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08" builtinId="8" hidden="1"/>
    <cellStyle name="Hyperlink" xfId="339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392" builtinId="8" hidden="1"/>
    <cellStyle name="Hyperlink" xfId="3378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397" builtinId="8" hidden="1"/>
    <cellStyle name="Hyperlink" xfId="3366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367" builtinId="8" hidden="1"/>
    <cellStyle name="Hyperlink" xfId="3400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369" builtinId="8" hidden="1"/>
    <cellStyle name="Hyperlink" xfId="341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390" builtinId="8" hidden="1"/>
    <cellStyle name="Hyperlink" xfId="3393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394" builtinId="8" hidden="1"/>
    <cellStyle name="Hyperlink" xfId="3391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09" builtinId="8" hidden="1"/>
    <cellStyle name="Hyperlink" xfId="3386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364" builtinId="8" hidden="1"/>
    <cellStyle name="Hyperlink" xfId="3365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370" builtinId="8" hidden="1"/>
    <cellStyle name="Hyperlink" xfId="3406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375" builtinId="8" hidden="1"/>
    <cellStyle name="Hyperlink" xfId="3395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382" builtinId="8" hidden="1"/>
    <cellStyle name="Hyperlink" xfId="3380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2764" builtinId="8" hidden="1"/>
    <cellStyle name="Hyperlink" xfId="2735" builtinId="8" hidden="1"/>
    <cellStyle name="Hyperlink" xfId="2782" builtinId="8" hidden="1"/>
    <cellStyle name="Hyperlink" xfId="2700" builtinId="8" hidden="1"/>
    <cellStyle name="Hyperlink" xfId="2779" builtinId="8" hidden="1"/>
    <cellStyle name="Hyperlink" xfId="2715" builtinId="8" hidden="1"/>
    <cellStyle name="Hyperlink" xfId="2786" builtinId="8" hidden="1"/>
    <cellStyle name="Hyperlink" xfId="2741" builtinId="8" hidden="1"/>
    <cellStyle name="Hyperlink" xfId="3521" builtinId="8" hidden="1"/>
    <cellStyle name="Hyperlink" xfId="3523" builtinId="8" hidden="1"/>
    <cellStyle name="Hyperlink" xfId="3525" builtinId="8" hidden="1"/>
    <cellStyle name="Hyperlink" xfId="3527" builtinId="8" hidden="1"/>
    <cellStyle name="Hyperlink" xfId="3529" builtinId="8" hidden="1"/>
    <cellStyle name="Hyperlink" xfId="3531" builtinId="8" hidden="1"/>
    <cellStyle name="Hyperlink" xfId="3581" builtinId="8" hidden="1"/>
    <cellStyle name="Hyperlink" xfId="3583" builtinId="8" hidden="1"/>
    <cellStyle name="Hyperlink" xfId="3585" builtinId="8" hidden="1"/>
    <cellStyle name="Hyperlink" xfId="3587" builtinId="8" hidden="1"/>
    <cellStyle name="Hyperlink" xfId="3577" builtinId="8" hidden="1"/>
    <cellStyle name="Hyperlink" xfId="3567" builtinId="8" hidden="1"/>
    <cellStyle name="Hyperlink" xfId="3589" builtinId="8" hidden="1"/>
    <cellStyle name="Hyperlink" xfId="3591" builtinId="8" hidden="1"/>
    <cellStyle name="Hyperlink" xfId="3593" builtinId="8" hidden="1"/>
    <cellStyle name="Hyperlink" xfId="3595" builtinId="8" hidden="1"/>
    <cellStyle name="Hyperlink" xfId="3561" builtinId="8" hidden="1"/>
    <cellStyle name="Hyperlink" xfId="3547" builtinId="8" hidden="1"/>
    <cellStyle name="Hyperlink" xfId="3597" builtinId="8" hidden="1"/>
    <cellStyle name="Hyperlink" xfId="3599" builtinId="8" hidden="1"/>
    <cellStyle name="Hyperlink" xfId="3601" builtinId="8" hidden="1"/>
    <cellStyle name="Hyperlink" xfId="3603" builtinId="8" hidden="1"/>
    <cellStyle name="Hyperlink" xfId="3566" builtinId="8" hidden="1"/>
    <cellStyle name="Hyperlink" xfId="3535" builtinId="8" hidden="1"/>
    <cellStyle name="Hyperlink" xfId="3605" builtinId="8" hidden="1"/>
    <cellStyle name="Hyperlink" xfId="3607" builtinId="8" hidden="1"/>
    <cellStyle name="Hyperlink" xfId="3609" builtinId="8" hidden="1"/>
    <cellStyle name="Hyperlink" xfId="3611" builtinId="8" hidden="1"/>
    <cellStyle name="Hyperlink" xfId="3536" builtinId="8" hidden="1"/>
    <cellStyle name="Hyperlink" xfId="3569" builtinId="8" hidden="1"/>
    <cellStyle name="Hyperlink" xfId="3613" builtinId="8" hidden="1"/>
    <cellStyle name="Hyperlink" xfId="3615" builtinId="8" hidden="1"/>
    <cellStyle name="Hyperlink" xfId="3617" builtinId="8" hidden="1"/>
    <cellStyle name="Hyperlink" xfId="3619" builtinId="8" hidden="1"/>
    <cellStyle name="Hyperlink" xfId="3538" builtinId="8" hidden="1"/>
    <cellStyle name="Hyperlink" xfId="3579" builtinId="8" hidden="1"/>
    <cellStyle name="Hyperlink" xfId="3621" builtinId="8" hidden="1"/>
    <cellStyle name="Hyperlink" xfId="3623" builtinId="8" hidden="1"/>
    <cellStyle name="Hyperlink" xfId="3625" builtinId="8" hidden="1"/>
    <cellStyle name="Hyperlink" xfId="3627" builtinId="8" hidden="1"/>
    <cellStyle name="Hyperlink" xfId="3559" builtinId="8" hidden="1"/>
    <cellStyle name="Hyperlink" xfId="3562" builtinId="8" hidden="1"/>
    <cellStyle name="Hyperlink" xfId="3629" builtinId="8" hidden="1"/>
    <cellStyle name="Hyperlink" xfId="3631" builtinId="8" hidden="1"/>
    <cellStyle name="Hyperlink" xfId="3633" builtinId="8" hidden="1"/>
    <cellStyle name="Hyperlink" xfId="3635" builtinId="8" hidden="1"/>
    <cellStyle name="Hyperlink" xfId="3563" builtinId="8" hidden="1"/>
    <cellStyle name="Hyperlink" xfId="3560" builtinId="8" hidden="1"/>
    <cellStyle name="Hyperlink" xfId="3637" builtinId="8" hidden="1"/>
    <cellStyle name="Hyperlink" xfId="3639" builtinId="8" hidden="1"/>
    <cellStyle name="Hyperlink" xfId="3641" builtinId="8" hidden="1"/>
    <cellStyle name="Hyperlink" xfId="3643" builtinId="8" hidden="1"/>
    <cellStyle name="Hyperlink" xfId="3578" builtinId="8" hidden="1"/>
    <cellStyle name="Hyperlink" xfId="3555" builtinId="8" hidden="1"/>
    <cellStyle name="Hyperlink" xfId="3645" builtinId="8" hidden="1"/>
    <cellStyle name="Hyperlink" xfId="3647" builtinId="8" hidden="1"/>
    <cellStyle name="Hyperlink" xfId="3649" builtinId="8" hidden="1"/>
    <cellStyle name="Hyperlink" xfId="3651" builtinId="8" hidden="1"/>
    <cellStyle name="Hyperlink" xfId="3533" builtinId="8" hidden="1"/>
    <cellStyle name="Hyperlink" xfId="3534" builtinId="8" hidden="1"/>
    <cellStyle name="Hyperlink" xfId="3653" builtinId="8" hidden="1"/>
    <cellStyle name="Hyperlink" xfId="3655" builtinId="8" hidden="1"/>
    <cellStyle name="Hyperlink" xfId="3657" builtinId="8" hidden="1"/>
    <cellStyle name="Hyperlink" xfId="3659" builtinId="8" hidden="1"/>
    <cellStyle name="Hyperlink" xfId="3539" builtinId="8" hidden="1"/>
    <cellStyle name="Hyperlink" xfId="3575" builtinId="8" hidden="1"/>
    <cellStyle name="Hyperlink" xfId="3661" builtinId="8" hidden="1"/>
    <cellStyle name="Hyperlink" xfId="3663" builtinId="8" hidden="1"/>
    <cellStyle name="Hyperlink" xfId="3665" builtinId="8" hidden="1"/>
    <cellStyle name="Hyperlink" xfId="3667" builtinId="8" hidden="1"/>
    <cellStyle name="Hyperlink" xfId="3544" builtinId="8" hidden="1"/>
    <cellStyle name="Hyperlink" xfId="3564" builtinId="8" hidden="1"/>
    <cellStyle name="Hyperlink" xfId="3669" builtinId="8" hidden="1"/>
    <cellStyle name="Hyperlink" xfId="3671" builtinId="8" hidden="1"/>
    <cellStyle name="Hyperlink" xfId="3673" builtinId="8" hidden="1"/>
    <cellStyle name="Hyperlink" xfId="3675" builtinId="8" hidden="1"/>
    <cellStyle name="Hyperlink" xfId="3551" builtinId="8" hidden="1"/>
    <cellStyle name="Hyperlink" xfId="3549" builtinId="8" hidden="1"/>
    <cellStyle name="Hyperlink" xfId="3677" builtinId="8" hidden="1"/>
    <cellStyle name="Hyperlink" xfId="3679" builtinId="8" hidden="1"/>
    <cellStyle name="Hyperlink" xfId="3681" builtinId="8" hidden="1"/>
    <cellStyle name="Hyperlink" xfId="3683" builtinId="8" hidden="1"/>
    <cellStyle name="Hyperlink" xfId="3006" builtinId="8" hidden="1"/>
    <cellStyle name="Hyperlink" xfId="3173" builtinId="8" hidden="1"/>
    <cellStyle name="Hyperlink" xfId="2810" builtinId="8" hidden="1"/>
    <cellStyle name="Hyperlink" xfId="2699" builtinId="8" hidden="1"/>
    <cellStyle name="Hyperlink" xfId="2695" builtinId="8" hidden="1"/>
    <cellStyle name="Hyperlink" xfId="2743" builtinId="8" hidden="1"/>
    <cellStyle name="Hyperlink" xfId="2704" builtinId="8" hidden="1"/>
    <cellStyle name="Hyperlink" xfId="2780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46" builtinId="8" hidden="1"/>
    <cellStyle name="Hyperlink" xfId="373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30" builtinId="8" hidden="1"/>
    <cellStyle name="Hyperlink" xfId="3716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35" builtinId="8" hidden="1"/>
    <cellStyle name="Hyperlink" xfId="3704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05" builtinId="8" hidden="1"/>
    <cellStyle name="Hyperlink" xfId="3738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07" builtinId="8" hidden="1"/>
    <cellStyle name="Hyperlink" xfId="374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28" builtinId="8" hidden="1"/>
    <cellStyle name="Hyperlink" xfId="3731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732" builtinId="8" hidden="1"/>
    <cellStyle name="Hyperlink" xfId="3729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747" builtinId="8" hidden="1"/>
    <cellStyle name="Hyperlink" xfId="3724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702" builtinId="8" hidden="1"/>
    <cellStyle name="Hyperlink" xfId="3703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708" builtinId="8" hidden="1"/>
    <cellStyle name="Hyperlink" xfId="3744" builtinId="8" hidden="1"/>
    <cellStyle name="Hyperlink" xfId="3830" builtinId="8" hidden="1"/>
    <cellStyle name="Hyperlink" xfId="3832" builtinId="8" hidden="1"/>
    <cellStyle name="Hyperlink" xfId="3834" builtinId="8" hidden="1"/>
    <cellStyle name="Hyperlink" xfId="3836" builtinId="8" hidden="1"/>
    <cellStyle name="Hyperlink" xfId="3713" builtinId="8" hidden="1"/>
    <cellStyle name="Hyperlink" xfId="3733" builtinId="8" hidden="1"/>
    <cellStyle name="Hyperlink" xfId="3838" builtinId="8" hidden="1"/>
    <cellStyle name="Hyperlink" xfId="3840" builtinId="8" hidden="1"/>
    <cellStyle name="Hyperlink" xfId="3842" builtinId="8" hidden="1"/>
    <cellStyle name="Hyperlink" xfId="3844" builtinId="8" hidden="1"/>
    <cellStyle name="Hyperlink" xfId="3720" builtinId="8" hidden="1"/>
    <cellStyle name="Hyperlink" xfId="3718" builtinId="8" hidden="1"/>
    <cellStyle name="Hyperlink" xfId="3846" builtinId="8" hidden="1"/>
    <cellStyle name="Hyperlink" xfId="3848" builtinId="8" hidden="1"/>
    <cellStyle name="Hyperlink" xfId="3850" builtinId="8" hidden="1"/>
    <cellStyle name="Hyperlink" xfId="3852" builtinId="8" hidden="1"/>
    <cellStyle name="Hyperlink" xfId="2696" builtinId="8" hidden="1"/>
    <cellStyle name="Hyperlink" xfId="2811" builtinId="8" hidden="1"/>
    <cellStyle name="Hyperlink" xfId="3180" builtinId="8" hidden="1"/>
    <cellStyle name="Hyperlink" xfId="2813" builtinId="8" hidden="1"/>
    <cellStyle name="Hyperlink" xfId="2794" builtinId="8" hidden="1"/>
    <cellStyle name="Hyperlink" xfId="2826" builtinId="8" hidden="1"/>
    <cellStyle name="Hyperlink" xfId="2701" builtinId="8" hidden="1"/>
    <cellStyle name="Hyperlink" xfId="2828" builtinId="8" hidden="1"/>
    <cellStyle name="Hyperlink" xfId="3857" builtinId="8" hidden="1"/>
    <cellStyle name="Hyperlink" xfId="3859" builtinId="8" hidden="1"/>
    <cellStyle name="Hyperlink" xfId="3861" builtinId="8" hidden="1"/>
    <cellStyle name="Hyperlink" xfId="3863" builtinId="8" hidden="1"/>
    <cellStyle name="Hyperlink" xfId="3865" builtinId="8" hidden="1"/>
    <cellStyle name="Hyperlink" xfId="3867" builtinId="8" hidden="1"/>
    <cellStyle name="Hyperlink" xfId="3917" builtinId="8" hidden="1"/>
    <cellStyle name="Hyperlink" xfId="3919" builtinId="8" hidden="1"/>
    <cellStyle name="Hyperlink" xfId="3921" builtinId="8" hidden="1"/>
    <cellStyle name="Hyperlink" xfId="3923" builtinId="8" hidden="1"/>
    <cellStyle name="Hyperlink" xfId="3913" builtinId="8" hidden="1"/>
    <cellStyle name="Hyperlink" xfId="3903" builtinId="8" hidden="1"/>
    <cellStyle name="Hyperlink" xfId="3925" builtinId="8" hidden="1"/>
    <cellStyle name="Hyperlink" xfId="3927" builtinId="8" hidden="1"/>
    <cellStyle name="Hyperlink" xfId="3929" builtinId="8" hidden="1"/>
    <cellStyle name="Hyperlink" xfId="3931" builtinId="8" hidden="1"/>
    <cellStyle name="Hyperlink" xfId="3897" builtinId="8" hidden="1"/>
    <cellStyle name="Hyperlink" xfId="3883" builtinId="8" hidden="1"/>
    <cellStyle name="Hyperlink" xfId="3933" builtinId="8" hidden="1"/>
    <cellStyle name="Hyperlink" xfId="3935" builtinId="8" hidden="1"/>
    <cellStyle name="Hyperlink" xfId="3937" builtinId="8" hidden="1"/>
    <cellStyle name="Hyperlink" xfId="3939" builtinId="8" hidden="1"/>
    <cellStyle name="Hyperlink" xfId="3902" builtinId="8" hidden="1"/>
    <cellStyle name="Hyperlink" xfId="3871" builtinId="8" hidden="1"/>
    <cellStyle name="Hyperlink" xfId="3941" builtinId="8" hidden="1"/>
    <cellStyle name="Hyperlink" xfId="3943" builtinId="8" hidden="1"/>
    <cellStyle name="Hyperlink" xfId="3945" builtinId="8" hidden="1"/>
    <cellStyle name="Hyperlink" xfId="3947" builtinId="8" hidden="1"/>
    <cellStyle name="Hyperlink" xfId="3872" builtinId="8" hidden="1"/>
    <cellStyle name="Hyperlink" xfId="3905" builtinId="8" hidden="1"/>
    <cellStyle name="Hyperlink" xfId="3949" builtinId="8" hidden="1"/>
    <cellStyle name="Hyperlink" xfId="3951" builtinId="8" hidden="1"/>
    <cellStyle name="Hyperlink" xfId="3953" builtinId="8" hidden="1"/>
    <cellStyle name="Hyperlink" xfId="3955" builtinId="8" hidden="1"/>
    <cellStyle name="Hyperlink" xfId="3874" builtinId="8" hidden="1"/>
    <cellStyle name="Hyperlink" xfId="3915" builtinId="8" hidden="1"/>
    <cellStyle name="Hyperlink" xfId="3957" builtinId="8" hidden="1"/>
    <cellStyle name="Hyperlink" xfId="3959" builtinId="8" hidden="1"/>
    <cellStyle name="Hyperlink" xfId="3961" builtinId="8" hidden="1"/>
    <cellStyle name="Hyperlink" xfId="3963" builtinId="8" hidden="1"/>
    <cellStyle name="Hyperlink" xfId="3895" builtinId="8" hidden="1"/>
    <cellStyle name="Hyperlink" xfId="3898" builtinId="8" hidden="1"/>
    <cellStyle name="Hyperlink" xfId="3965" builtinId="8" hidden="1"/>
    <cellStyle name="Hyperlink" xfId="3967" builtinId="8" hidden="1"/>
    <cellStyle name="Hyperlink" xfId="3969" builtinId="8" hidden="1"/>
    <cellStyle name="Hyperlink" xfId="3971" builtinId="8" hidden="1"/>
    <cellStyle name="Hyperlink" xfId="3899" builtinId="8" hidden="1"/>
    <cellStyle name="Hyperlink" xfId="3896" builtinId="8" hidden="1"/>
    <cellStyle name="Hyperlink" xfId="3973" builtinId="8" hidden="1"/>
    <cellStyle name="Hyperlink" xfId="3975" builtinId="8" hidden="1"/>
    <cellStyle name="Hyperlink" xfId="3977" builtinId="8" hidden="1"/>
    <cellStyle name="Hyperlink" xfId="3979" builtinId="8" hidden="1"/>
    <cellStyle name="Hyperlink" xfId="3914" builtinId="8" hidden="1"/>
    <cellStyle name="Hyperlink" xfId="3891" builtinId="8" hidden="1"/>
    <cellStyle name="Hyperlink" xfId="3981" builtinId="8" hidden="1"/>
    <cellStyle name="Hyperlink" xfId="3983" builtinId="8" hidden="1"/>
    <cellStyle name="Hyperlink" xfId="3985" builtinId="8" hidden="1"/>
    <cellStyle name="Hyperlink" xfId="3987" builtinId="8" hidden="1"/>
    <cellStyle name="Hyperlink" xfId="3869" builtinId="8" hidden="1"/>
    <cellStyle name="Hyperlink" xfId="3870" builtinId="8" hidden="1"/>
    <cellStyle name="Hyperlink" xfId="3989" builtinId="8" hidden="1"/>
    <cellStyle name="Hyperlink" xfId="3991" builtinId="8" hidden="1"/>
    <cellStyle name="Hyperlink" xfId="3993" builtinId="8" hidden="1"/>
    <cellStyle name="Hyperlink" xfId="3995" builtinId="8" hidden="1"/>
    <cellStyle name="Hyperlink" xfId="3875" builtinId="8" hidden="1"/>
    <cellStyle name="Hyperlink" xfId="3911" builtinId="8" hidden="1"/>
    <cellStyle name="Hyperlink" xfId="3997" builtinId="8" hidden="1"/>
    <cellStyle name="Hyperlink" xfId="3999" builtinId="8" hidden="1"/>
    <cellStyle name="Hyperlink" xfId="4001" builtinId="8" hidden="1"/>
    <cellStyle name="Hyperlink" xfId="4003" builtinId="8" hidden="1"/>
    <cellStyle name="Hyperlink" xfId="3880" builtinId="8" hidden="1"/>
    <cellStyle name="Hyperlink" xfId="3900" builtinId="8" hidden="1"/>
    <cellStyle name="Hyperlink" xfId="4005" builtinId="8" hidden="1"/>
    <cellStyle name="Hyperlink" xfId="4007" builtinId="8" hidden="1"/>
    <cellStyle name="Hyperlink" xfId="4009" builtinId="8" hidden="1"/>
    <cellStyle name="Hyperlink" xfId="4011" builtinId="8" hidden="1"/>
    <cellStyle name="Hyperlink" xfId="3887" builtinId="8" hidden="1"/>
    <cellStyle name="Hyperlink" xfId="3885" builtinId="8" hidden="1"/>
    <cellStyle name="Hyperlink" xfId="4013" builtinId="8" hidden="1"/>
    <cellStyle name="Hyperlink" xfId="4015" builtinId="8" hidden="1"/>
    <cellStyle name="Hyperlink" xfId="4017" builtinId="8" hidden="1"/>
    <cellStyle name="Hyperlink" xfId="4019" builtinId="8" hidden="1"/>
    <cellStyle name="Hyperlink" xfId="2837" builtinId="8" hidden="1"/>
    <cellStyle name="Hyperlink" xfId="2808" builtinId="8" hidden="1"/>
    <cellStyle name="Hyperlink" xfId="3350" builtinId="8" hidden="1"/>
    <cellStyle name="Hyperlink" xfId="2833" builtinId="8" hidden="1"/>
    <cellStyle name="Hyperlink" xfId="2770" builtinId="8" hidden="1"/>
    <cellStyle name="Hyperlink" xfId="2711" builtinId="8" hidden="1"/>
    <cellStyle name="Hyperlink" xfId="2825" builtinId="8" hidden="1"/>
    <cellStyle name="Hyperlink" xfId="2818" builtinId="8" hidden="1"/>
    <cellStyle name="Hyperlink" xfId="4024" builtinId="8" hidden="1"/>
    <cellStyle name="Hyperlink" xfId="4026" builtinId="8" hidden="1"/>
    <cellStyle name="Hyperlink" xfId="4028" builtinId="8" hidden="1"/>
    <cellStyle name="Hyperlink" xfId="4030" builtinId="8" hidden="1"/>
    <cellStyle name="Hyperlink" xfId="4032" builtinId="8" hidden="1"/>
    <cellStyle name="Hyperlink" xfId="4034" builtinId="8" hidden="1"/>
    <cellStyle name="Hyperlink" xfId="4084" builtinId="8" hidden="1"/>
    <cellStyle name="Hyperlink" xfId="4086" builtinId="8" hidden="1"/>
    <cellStyle name="Hyperlink" xfId="4088" builtinId="8" hidden="1"/>
    <cellStyle name="Hyperlink" xfId="4090" builtinId="8" hidden="1"/>
    <cellStyle name="Hyperlink" xfId="4080" builtinId="8" hidden="1"/>
    <cellStyle name="Hyperlink" xfId="4070" builtinId="8" hidden="1"/>
    <cellStyle name="Hyperlink" xfId="4092" builtinId="8" hidden="1"/>
    <cellStyle name="Hyperlink" xfId="4094" builtinId="8" hidden="1"/>
    <cellStyle name="Hyperlink" xfId="4096" builtinId="8" hidden="1"/>
    <cellStyle name="Hyperlink" xfId="4098" builtinId="8" hidden="1"/>
    <cellStyle name="Hyperlink" xfId="4064" builtinId="8" hidden="1"/>
    <cellStyle name="Hyperlink" xfId="4050" builtinId="8" hidden="1"/>
    <cellStyle name="Hyperlink" xfId="4100" builtinId="8" hidden="1"/>
    <cellStyle name="Hyperlink" xfId="4102" builtinId="8" hidden="1"/>
    <cellStyle name="Hyperlink" xfId="4104" builtinId="8" hidden="1"/>
    <cellStyle name="Hyperlink" xfId="4106" builtinId="8" hidden="1"/>
    <cellStyle name="Hyperlink" xfId="4069" builtinId="8" hidden="1"/>
    <cellStyle name="Hyperlink" xfId="4038" builtinId="8" hidden="1"/>
    <cellStyle name="Hyperlink" xfId="4108" builtinId="8" hidden="1"/>
    <cellStyle name="Hyperlink" xfId="4110" builtinId="8" hidden="1"/>
    <cellStyle name="Hyperlink" xfId="4112" builtinId="8" hidden="1"/>
    <cellStyle name="Hyperlink" xfId="4114" builtinId="8" hidden="1"/>
    <cellStyle name="Hyperlink" xfId="4039" builtinId="8" hidden="1"/>
    <cellStyle name="Hyperlink" xfId="4072" builtinId="8" hidden="1"/>
    <cellStyle name="Hyperlink" xfId="4116" builtinId="8" hidden="1"/>
    <cellStyle name="Hyperlink" xfId="4118" builtinId="8" hidden="1"/>
    <cellStyle name="Hyperlink" xfId="4120" builtinId="8" hidden="1"/>
    <cellStyle name="Hyperlink" xfId="4122" builtinId="8" hidden="1"/>
    <cellStyle name="Hyperlink" xfId="4041" builtinId="8" hidden="1"/>
    <cellStyle name="Hyperlink" xfId="4082" builtinId="8" hidden="1"/>
    <cellStyle name="Hyperlink" xfId="4124" builtinId="8" hidden="1"/>
    <cellStyle name="Hyperlink" xfId="4126" builtinId="8" hidden="1"/>
    <cellStyle name="Hyperlink" xfId="4128" builtinId="8" hidden="1"/>
    <cellStyle name="Hyperlink" xfId="4130" builtinId="8" hidden="1"/>
    <cellStyle name="Hyperlink" xfId="4062" builtinId="8" hidden="1"/>
    <cellStyle name="Hyperlink" xfId="4065" builtinId="8" hidden="1"/>
    <cellStyle name="Hyperlink" xfId="4132" builtinId="8" hidden="1"/>
    <cellStyle name="Hyperlink" xfId="4134" builtinId="8" hidden="1"/>
    <cellStyle name="Hyperlink" xfId="4136" builtinId="8" hidden="1"/>
    <cellStyle name="Hyperlink" xfId="4138" builtinId="8" hidden="1"/>
    <cellStyle name="Hyperlink" xfId="4066" builtinId="8" hidden="1"/>
    <cellStyle name="Hyperlink" xfId="4063" builtinId="8" hidden="1"/>
    <cellStyle name="Hyperlink" xfId="4140" builtinId="8" hidden="1"/>
    <cellStyle name="Hyperlink" xfId="4142" builtinId="8" hidden="1"/>
    <cellStyle name="Hyperlink" xfId="4144" builtinId="8" hidden="1"/>
    <cellStyle name="Hyperlink" xfId="4146" builtinId="8" hidden="1"/>
    <cellStyle name="Hyperlink" xfId="4081" builtinId="8" hidden="1"/>
    <cellStyle name="Hyperlink" xfId="4058" builtinId="8" hidden="1"/>
    <cellStyle name="Hyperlink" xfId="4148" builtinId="8" hidden="1"/>
    <cellStyle name="Hyperlink" xfId="4150" builtinId="8" hidden="1"/>
    <cellStyle name="Hyperlink" xfId="4152" builtinId="8" hidden="1"/>
    <cellStyle name="Hyperlink" xfId="4154" builtinId="8" hidden="1"/>
    <cellStyle name="Hyperlink" xfId="4036" builtinId="8" hidden="1"/>
    <cellStyle name="Hyperlink" xfId="4037" builtinId="8" hidden="1"/>
    <cellStyle name="Hyperlink" xfId="4156" builtinId="8" hidden="1"/>
    <cellStyle name="Hyperlink" xfId="4158" builtinId="8" hidden="1"/>
    <cellStyle name="Hyperlink" xfId="4160" builtinId="8" hidden="1"/>
    <cellStyle name="Hyperlink" xfId="4162" builtinId="8" hidden="1"/>
    <cellStyle name="Hyperlink" xfId="4042" builtinId="8" hidden="1"/>
    <cellStyle name="Hyperlink" xfId="4078" builtinId="8" hidden="1"/>
    <cellStyle name="Hyperlink" xfId="4164" builtinId="8" hidden="1"/>
    <cellStyle name="Hyperlink" xfId="4166" builtinId="8" hidden="1"/>
    <cellStyle name="Hyperlink" xfId="4168" builtinId="8" hidden="1"/>
    <cellStyle name="Hyperlink" xfId="4170" builtinId="8" hidden="1"/>
    <cellStyle name="Hyperlink" xfId="4047" builtinId="8" hidden="1"/>
    <cellStyle name="Hyperlink" xfId="4067" builtinId="8" hidden="1"/>
    <cellStyle name="Hyperlink" xfId="4172" builtinId="8" hidden="1"/>
    <cellStyle name="Hyperlink" xfId="4174" builtinId="8" hidden="1"/>
    <cellStyle name="Hyperlink" xfId="4176" builtinId="8" hidden="1"/>
    <cellStyle name="Hyperlink" xfId="4178" builtinId="8" hidden="1"/>
    <cellStyle name="Hyperlink" xfId="4054" builtinId="8" hidden="1"/>
    <cellStyle name="Hyperlink" xfId="4052" builtinId="8" hidden="1"/>
    <cellStyle name="Hyperlink" xfId="4180" builtinId="8" hidden="1"/>
    <cellStyle name="Hyperlink" xfId="4182" builtinId="8" hidden="1"/>
    <cellStyle name="Hyperlink" xfId="4184" builtinId="8" hidden="1"/>
    <cellStyle name="Hyperlink" xfId="4186" builtinId="8" hidden="1"/>
    <cellStyle name="Hyperlink" xfId="2812" builtinId="8" hidden="1"/>
    <cellStyle name="Hyperlink" xfId="2796" builtinId="8" hidden="1"/>
    <cellStyle name="Hyperlink" xfId="3519" builtinId="8" hidden="1"/>
    <cellStyle name="Hyperlink" xfId="2775" builtinId="8" hidden="1"/>
    <cellStyle name="Hyperlink" xfId="2692" builtinId="8" hidden="1"/>
    <cellStyle name="Hyperlink" xfId="2754" builtinId="8" hidden="1"/>
    <cellStyle name="Hyperlink" xfId="3176" builtinId="8" hidden="1"/>
    <cellStyle name="Hyperlink" xfId="2773" builtinId="8" hidden="1"/>
    <cellStyle name="Hyperlink" xfId="4189" builtinId="8" hidden="1"/>
    <cellStyle name="Hyperlink" xfId="4191" builtinId="8" hidden="1"/>
    <cellStyle name="Hyperlink" xfId="4193" builtinId="8" hidden="1"/>
    <cellStyle name="Hyperlink" xfId="4195" builtinId="8" hidden="1"/>
    <cellStyle name="Hyperlink" xfId="4197" builtinId="8" hidden="1"/>
    <cellStyle name="Hyperlink" xfId="4199" builtinId="8" hidden="1"/>
    <cellStyle name="Hyperlink" xfId="4249" builtinId="8" hidden="1"/>
    <cellStyle name="Hyperlink" xfId="4251" builtinId="8" hidden="1"/>
    <cellStyle name="Hyperlink" xfId="4253" builtinId="8" hidden="1"/>
    <cellStyle name="Hyperlink" xfId="4255" builtinId="8" hidden="1"/>
    <cellStyle name="Hyperlink" xfId="4245" builtinId="8" hidden="1"/>
    <cellStyle name="Hyperlink" xfId="4235" builtinId="8" hidden="1"/>
    <cellStyle name="Hyperlink" xfId="4257" builtinId="8" hidden="1"/>
    <cellStyle name="Hyperlink" xfId="4259" builtinId="8" hidden="1"/>
    <cellStyle name="Hyperlink" xfId="4261" builtinId="8" hidden="1"/>
    <cellStyle name="Hyperlink" xfId="4263" builtinId="8" hidden="1"/>
    <cellStyle name="Hyperlink" xfId="4229" builtinId="8" hidden="1"/>
    <cellStyle name="Hyperlink" xfId="4215" builtinId="8" hidden="1"/>
    <cellStyle name="Hyperlink" xfId="4265" builtinId="8" hidden="1"/>
    <cellStyle name="Hyperlink" xfId="4267" builtinId="8" hidden="1"/>
    <cellStyle name="Hyperlink" xfId="4269" builtinId="8" hidden="1"/>
    <cellStyle name="Hyperlink" xfId="4271" builtinId="8" hidden="1"/>
    <cellStyle name="Hyperlink" xfId="4234" builtinId="8" hidden="1"/>
    <cellStyle name="Hyperlink" xfId="4203" builtinId="8" hidden="1"/>
    <cellStyle name="Hyperlink" xfId="4273" builtinId="8" hidden="1"/>
    <cellStyle name="Hyperlink" xfId="4275" builtinId="8" hidden="1"/>
    <cellStyle name="Hyperlink" xfId="4277" builtinId="8" hidden="1"/>
    <cellStyle name="Hyperlink" xfId="4279" builtinId="8" hidden="1"/>
    <cellStyle name="Hyperlink" xfId="4204" builtinId="8" hidden="1"/>
    <cellStyle name="Hyperlink" xfId="4237" builtinId="8" hidden="1"/>
    <cellStyle name="Hyperlink" xfId="4281" builtinId="8" hidden="1"/>
    <cellStyle name="Hyperlink" xfId="4283" builtinId="8" hidden="1"/>
    <cellStyle name="Hyperlink" xfId="4285" builtinId="8" hidden="1"/>
    <cellStyle name="Hyperlink" xfId="4287" builtinId="8" hidden="1"/>
    <cellStyle name="Hyperlink" xfId="4206" builtinId="8" hidden="1"/>
    <cellStyle name="Hyperlink" xfId="4247" builtinId="8" hidden="1"/>
    <cellStyle name="Hyperlink" xfId="4289" builtinId="8" hidden="1"/>
    <cellStyle name="Hyperlink" xfId="4291" builtinId="8" hidden="1"/>
    <cellStyle name="Hyperlink" xfId="4293" builtinId="8" hidden="1"/>
    <cellStyle name="Hyperlink" xfId="4295" builtinId="8" hidden="1"/>
    <cellStyle name="Hyperlink" xfId="4227" builtinId="8" hidden="1"/>
    <cellStyle name="Hyperlink" xfId="4230" builtinId="8" hidden="1"/>
    <cellStyle name="Hyperlink" xfId="4297" builtinId="8" hidden="1"/>
    <cellStyle name="Hyperlink" xfId="4299" builtinId="8" hidden="1"/>
    <cellStyle name="Hyperlink" xfId="4301" builtinId="8" hidden="1"/>
    <cellStyle name="Hyperlink" xfId="4303" builtinId="8" hidden="1"/>
    <cellStyle name="Hyperlink" xfId="4231" builtinId="8" hidden="1"/>
    <cellStyle name="Hyperlink" xfId="4228" builtinId="8" hidden="1"/>
    <cellStyle name="Hyperlink" xfId="4305" builtinId="8" hidden="1"/>
    <cellStyle name="Hyperlink" xfId="4307" builtinId="8" hidden="1"/>
    <cellStyle name="Hyperlink" xfId="4309" builtinId="8" hidden="1"/>
    <cellStyle name="Hyperlink" xfId="4311" builtinId="8" hidden="1"/>
    <cellStyle name="Hyperlink" xfId="4246" builtinId="8" hidden="1"/>
    <cellStyle name="Hyperlink" xfId="4223" builtinId="8" hidden="1"/>
    <cellStyle name="Hyperlink" xfId="4313" builtinId="8" hidden="1"/>
    <cellStyle name="Hyperlink" xfId="4315" builtinId="8" hidden="1"/>
    <cellStyle name="Hyperlink" xfId="4317" builtinId="8" hidden="1"/>
    <cellStyle name="Hyperlink" xfId="4319" builtinId="8" hidden="1"/>
    <cellStyle name="Hyperlink" xfId="4201" builtinId="8" hidden="1"/>
    <cellStyle name="Hyperlink" xfId="4202" builtinId="8" hidden="1"/>
    <cellStyle name="Hyperlink" xfId="4321" builtinId="8" hidden="1"/>
    <cellStyle name="Hyperlink" xfId="4323" builtinId="8" hidden="1"/>
    <cellStyle name="Hyperlink" xfId="4325" builtinId="8" hidden="1"/>
    <cellStyle name="Hyperlink" xfId="4327" builtinId="8" hidden="1"/>
    <cellStyle name="Hyperlink" xfId="4207" builtinId="8" hidden="1"/>
    <cellStyle name="Hyperlink" xfId="4243" builtinId="8" hidden="1"/>
    <cellStyle name="Hyperlink" xfId="4329" builtinId="8" hidden="1"/>
    <cellStyle name="Hyperlink" xfId="4331" builtinId="8" hidden="1"/>
    <cellStyle name="Hyperlink" xfId="4333" builtinId="8" hidden="1"/>
    <cellStyle name="Hyperlink" xfId="4335" builtinId="8" hidden="1"/>
    <cellStyle name="Hyperlink" xfId="4212" builtinId="8" hidden="1"/>
    <cellStyle name="Hyperlink" xfId="4232" builtinId="8" hidden="1"/>
    <cellStyle name="Hyperlink" xfId="4337" builtinId="8" hidden="1"/>
    <cellStyle name="Hyperlink" xfId="4339" builtinId="8" hidden="1"/>
    <cellStyle name="Hyperlink" xfId="4341" builtinId="8" hidden="1"/>
    <cellStyle name="Hyperlink" xfId="4343" builtinId="8" hidden="1"/>
    <cellStyle name="Hyperlink" xfId="4219" builtinId="8" hidden="1"/>
    <cellStyle name="Hyperlink" xfId="4217" builtinId="8" hidden="1"/>
    <cellStyle name="Hyperlink" xfId="4345" builtinId="8" hidden="1"/>
    <cellStyle name="Hyperlink" xfId="4347" builtinId="8" hidden="1"/>
    <cellStyle name="Hyperlink" xfId="4349" builtinId="8" hidden="1"/>
    <cellStyle name="Hyperlink" xfId="4351" builtinId="8" hidden="1"/>
    <cellStyle name="Hyperlink" xfId="2832" builtinId="8" hidden="1"/>
    <cellStyle name="Hyperlink" xfId="2716" builtinId="8" hidden="1"/>
    <cellStyle name="Hyperlink" xfId="3688" builtinId="8" hidden="1"/>
    <cellStyle name="Hyperlink" xfId="2697" builtinId="8" hidden="1"/>
    <cellStyle name="Hyperlink" xfId="2755" builtinId="8" hidden="1"/>
    <cellStyle name="Hyperlink" xfId="2790" builtinId="8" hidden="1"/>
    <cellStyle name="Hyperlink" xfId="3346" builtinId="8" hidden="1"/>
    <cellStyle name="Hyperlink" xfId="2712" builtinId="8" hidden="1"/>
    <cellStyle name="Hyperlink" xfId="4354" builtinId="8" hidden="1"/>
    <cellStyle name="Hyperlink" xfId="4356" builtinId="8" hidden="1"/>
    <cellStyle name="Hyperlink" xfId="4358" builtinId="8" hidden="1"/>
    <cellStyle name="Hyperlink" xfId="4360" builtinId="8" hidden="1"/>
    <cellStyle name="Hyperlink" xfId="4362" builtinId="8" hidden="1"/>
    <cellStyle name="Hyperlink" xfId="4364" builtinId="8" hidden="1"/>
    <cellStyle name="Hyperlink" xfId="4414" builtinId="8" hidden="1"/>
    <cellStyle name="Hyperlink" xfId="4416" builtinId="8" hidden="1"/>
    <cellStyle name="Hyperlink" xfId="4418" builtinId="8" hidden="1"/>
    <cellStyle name="Hyperlink" xfId="4420" builtinId="8" hidden="1"/>
    <cellStyle name="Hyperlink" xfId="4410" builtinId="8" hidden="1"/>
    <cellStyle name="Hyperlink" xfId="4400" builtinId="8" hidden="1"/>
    <cellStyle name="Hyperlink" xfId="4422" builtinId="8" hidden="1"/>
    <cellStyle name="Hyperlink" xfId="4424" builtinId="8" hidden="1"/>
    <cellStyle name="Hyperlink" xfId="4426" builtinId="8" hidden="1"/>
    <cellStyle name="Hyperlink" xfId="4428" builtinId="8" hidden="1"/>
    <cellStyle name="Hyperlink" xfId="4394" builtinId="8" hidden="1"/>
    <cellStyle name="Hyperlink" xfId="4380" builtinId="8" hidden="1"/>
    <cellStyle name="Hyperlink" xfId="4430" builtinId="8" hidden="1"/>
    <cellStyle name="Hyperlink" xfId="4432" builtinId="8" hidden="1"/>
    <cellStyle name="Hyperlink" xfId="4434" builtinId="8" hidden="1"/>
    <cellStyle name="Hyperlink" xfId="4436" builtinId="8" hidden="1"/>
    <cellStyle name="Hyperlink" xfId="4399" builtinId="8" hidden="1"/>
    <cellStyle name="Hyperlink" xfId="4368" builtinId="8" hidden="1"/>
    <cellStyle name="Hyperlink" xfId="4438" builtinId="8" hidden="1"/>
    <cellStyle name="Hyperlink" xfId="4440" builtinId="8" hidden="1"/>
    <cellStyle name="Hyperlink" xfId="4442" builtinId="8" hidden="1"/>
    <cellStyle name="Hyperlink" xfId="4444" builtinId="8" hidden="1"/>
    <cellStyle name="Hyperlink" xfId="4369" builtinId="8" hidden="1"/>
    <cellStyle name="Hyperlink" xfId="4402" builtinId="8" hidden="1"/>
    <cellStyle name="Hyperlink" xfId="4446" builtinId="8" hidden="1"/>
    <cellStyle name="Hyperlink" xfId="4448" builtinId="8" hidden="1"/>
    <cellStyle name="Hyperlink" xfId="4450" builtinId="8" hidden="1"/>
    <cellStyle name="Hyperlink" xfId="4452" builtinId="8" hidden="1"/>
    <cellStyle name="Hyperlink" xfId="4371" builtinId="8" hidden="1"/>
    <cellStyle name="Hyperlink" xfId="4412" builtinId="8" hidden="1"/>
    <cellStyle name="Hyperlink" xfId="4454" builtinId="8" hidden="1"/>
    <cellStyle name="Hyperlink" xfId="4456" builtinId="8" hidden="1"/>
    <cellStyle name="Hyperlink" xfId="4458" builtinId="8" hidden="1"/>
    <cellStyle name="Hyperlink" xfId="4460" builtinId="8" hidden="1"/>
    <cellStyle name="Hyperlink" xfId="4392" builtinId="8" hidden="1"/>
    <cellStyle name="Hyperlink" xfId="4395" builtinId="8" hidden="1"/>
    <cellStyle name="Hyperlink" xfId="4462" builtinId="8" hidden="1"/>
    <cellStyle name="Hyperlink" xfId="4464" builtinId="8" hidden="1"/>
    <cellStyle name="Hyperlink" xfId="4466" builtinId="8" hidden="1"/>
    <cellStyle name="Hyperlink" xfId="4468" builtinId="8" hidden="1"/>
    <cellStyle name="Hyperlink" xfId="4396" builtinId="8" hidden="1"/>
    <cellStyle name="Hyperlink" xfId="4393" builtinId="8" hidden="1"/>
    <cellStyle name="Hyperlink" xfId="4470" builtinId="8" hidden="1"/>
    <cellStyle name="Hyperlink" xfId="4472" builtinId="8" hidden="1"/>
    <cellStyle name="Hyperlink" xfId="4474" builtinId="8" hidden="1"/>
    <cellStyle name="Hyperlink" xfId="4476" builtinId="8" hidden="1"/>
    <cellStyle name="Hyperlink" xfId="4411" builtinId="8" hidden="1"/>
    <cellStyle name="Hyperlink" xfId="4388" builtinId="8" hidden="1"/>
    <cellStyle name="Hyperlink" xfId="4478" builtinId="8" hidden="1"/>
    <cellStyle name="Hyperlink" xfId="4480" builtinId="8" hidden="1"/>
    <cellStyle name="Hyperlink" xfId="4482" builtinId="8" hidden="1"/>
    <cellStyle name="Hyperlink" xfId="4484" builtinId="8" hidden="1"/>
    <cellStyle name="Hyperlink" xfId="4366" builtinId="8" hidden="1"/>
    <cellStyle name="Hyperlink" xfId="4367" builtinId="8" hidden="1"/>
    <cellStyle name="Hyperlink" xfId="4486" builtinId="8" hidden="1"/>
    <cellStyle name="Hyperlink" xfId="4488" builtinId="8" hidden="1"/>
    <cellStyle name="Hyperlink" xfId="4490" builtinId="8" hidden="1"/>
    <cellStyle name="Hyperlink" xfId="4492" builtinId="8" hidden="1"/>
    <cellStyle name="Hyperlink" xfId="4372" builtinId="8" hidden="1"/>
    <cellStyle name="Hyperlink" xfId="4408" builtinId="8" hidden="1"/>
    <cellStyle name="Hyperlink" xfId="4494" builtinId="8" hidden="1"/>
    <cellStyle name="Hyperlink" xfId="4496" builtinId="8" hidden="1"/>
    <cellStyle name="Hyperlink" xfId="4498" builtinId="8" hidden="1"/>
    <cellStyle name="Hyperlink" xfId="4500" builtinId="8" hidden="1"/>
    <cellStyle name="Hyperlink" xfId="4377" builtinId="8" hidden="1"/>
    <cellStyle name="Hyperlink" xfId="4397" builtinId="8" hidden="1"/>
    <cellStyle name="Hyperlink" xfId="4502" builtinId="8" hidden="1"/>
    <cellStyle name="Hyperlink" xfId="4504" builtinId="8" hidden="1"/>
    <cellStyle name="Hyperlink" xfId="4506" builtinId="8" hidden="1"/>
    <cellStyle name="Hyperlink" xfId="4508" builtinId="8" hidden="1"/>
    <cellStyle name="Hyperlink" xfId="4384" builtinId="8" hidden="1"/>
    <cellStyle name="Hyperlink" xfId="4382" builtinId="8" hidden="1"/>
    <cellStyle name="Hyperlink" xfId="4510" builtinId="8" hidden="1"/>
    <cellStyle name="Hyperlink" xfId="4512" builtinId="8" hidden="1"/>
    <cellStyle name="Hyperlink" xfId="4514" builtinId="8" hidden="1"/>
    <cellStyle name="Hyperlink" xfId="4516" builtinId="8" hidden="1"/>
    <cellStyle name="Hyperlink" xfId="3016" builtinId="8" hidden="1"/>
    <cellStyle name="Hyperlink" xfId="3175" builtinId="8" hidden="1"/>
    <cellStyle name="Hyperlink" xfId="3855" builtinId="8" hidden="1"/>
    <cellStyle name="Hyperlink" xfId="3177" builtinId="8" hidden="1"/>
    <cellStyle name="Hyperlink" xfId="2834" builtinId="8" hidden="1"/>
    <cellStyle name="Hyperlink" xfId="2784" builtinId="8" hidden="1"/>
    <cellStyle name="Hyperlink" xfId="3516" builtinId="8" hidden="1"/>
    <cellStyle name="Hyperlink" xfId="2802" builtinId="8" hidden="1"/>
    <cellStyle name="Hyperlink" xfId="4519" builtinId="8" hidden="1"/>
    <cellStyle name="Hyperlink" xfId="4521" builtinId="8" hidden="1"/>
    <cellStyle name="Hyperlink" xfId="4523" builtinId="8" hidden="1"/>
    <cellStyle name="Hyperlink" xfId="4525" builtinId="8" hidden="1"/>
    <cellStyle name="Hyperlink" xfId="4527" builtinId="8" hidden="1"/>
    <cellStyle name="Hyperlink" xfId="4529" builtinId="8" hidden="1"/>
    <cellStyle name="Hyperlink" xfId="4579" builtinId="8" hidden="1"/>
    <cellStyle name="Hyperlink" xfId="4581" builtinId="8" hidden="1"/>
    <cellStyle name="Hyperlink" xfId="4583" builtinId="8" hidden="1"/>
    <cellStyle name="Hyperlink" xfId="4585" builtinId="8" hidden="1"/>
    <cellStyle name="Hyperlink" xfId="4575" builtinId="8" hidden="1"/>
    <cellStyle name="Hyperlink" xfId="4565" builtinId="8" hidden="1"/>
    <cellStyle name="Hyperlink" xfId="4587" builtinId="8" hidden="1"/>
    <cellStyle name="Hyperlink" xfId="4589" builtinId="8" hidden="1"/>
    <cellStyle name="Hyperlink" xfId="4591" builtinId="8" hidden="1"/>
    <cellStyle name="Hyperlink" xfId="4593" builtinId="8" hidden="1"/>
    <cellStyle name="Hyperlink" xfId="4559" builtinId="8" hidden="1"/>
    <cellStyle name="Hyperlink" xfId="4545" builtinId="8" hidden="1"/>
    <cellStyle name="Hyperlink" xfId="4595" builtinId="8" hidden="1"/>
    <cellStyle name="Hyperlink" xfId="4597" builtinId="8" hidden="1"/>
    <cellStyle name="Hyperlink" xfId="4599" builtinId="8" hidden="1"/>
    <cellStyle name="Hyperlink" xfId="4601" builtinId="8" hidden="1"/>
    <cellStyle name="Hyperlink" xfId="4564" builtinId="8" hidden="1"/>
    <cellStyle name="Hyperlink" xfId="4533" builtinId="8" hidden="1"/>
    <cellStyle name="Hyperlink" xfId="4603" builtinId="8" hidden="1"/>
    <cellStyle name="Hyperlink" xfId="4605" builtinId="8" hidden="1"/>
    <cellStyle name="Hyperlink" xfId="4607" builtinId="8" hidden="1"/>
    <cellStyle name="Hyperlink" xfId="4609" builtinId="8" hidden="1"/>
    <cellStyle name="Hyperlink" xfId="4534" builtinId="8" hidden="1"/>
    <cellStyle name="Hyperlink" xfId="4567" builtinId="8" hidden="1"/>
    <cellStyle name="Hyperlink" xfId="4611" builtinId="8" hidden="1"/>
    <cellStyle name="Hyperlink" xfId="4613" builtinId="8" hidden="1"/>
    <cellStyle name="Hyperlink" xfId="4615" builtinId="8" hidden="1"/>
    <cellStyle name="Hyperlink" xfId="4617" builtinId="8" hidden="1"/>
    <cellStyle name="Hyperlink" xfId="4536" builtinId="8" hidden="1"/>
    <cellStyle name="Hyperlink" xfId="4577" builtinId="8" hidden="1"/>
    <cellStyle name="Hyperlink" xfId="4619" builtinId="8" hidden="1"/>
    <cellStyle name="Hyperlink" xfId="4621" builtinId="8" hidden="1"/>
    <cellStyle name="Hyperlink" xfId="4623" builtinId="8" hidden="1"/>
    <cellStyle name="Hyperlink" xfId="4625" builtinId="8" hidden="1"/>
    <cellStyle name="Hyperlink" xfId="4557" builtinId="8" hidden="1"/>
    <cellStyle name="Hyperlink" xfId="4560" builtinId="8" hidden="1"/>
    <cellStyle name="Hyperlink" xfId="4627" builtinId="8" hidden="1"/>
    <cellStyle name="Hyperlink" xfId="4629" builtinId="8" hidden="1"/>
    <cellStyle name="Hyperlink" xfId="4631" builtinId="8" hidden="1"/>
    <cellStyle name="Hyperlink" xfId="4633" builtinId="8" hidden="1"/>
    <cellStyle name="Hyperlink" xfId="4561" builtinId="8" hidden="1"/>
    <cellStyle name="Hyperlink" xfId="4558" builtinId="8" hidden="1"/>
    <cellStyle name="Hyperlink" xfId="4635" builtinId="8" hidden="1"/>
    <cellStyle name="Hyperlink" xfId="4637" builtinId="8" hidden="1"/>
    <cellStyle name="Hyperlink" xfId="4639" builtinId="8" hidden="1"/>
    <cellStyle name="Hyperlink" xfId="4641" builtinId="8" hidden="1"/>
    <cellStyle name="Hyperlink" xfId="4576" builtinId="8" hidden="1"/>
    <cellStyle name="Hyperlink" xfId="4553" builtinId="8" hidden="1"/>
    <cellStyle name="Hyperlink" xfId="4643" builtinId="8" hidden="1"/>
    <cellStyle name="Hyperlink" xfId="4645" builtinId="8" hidden="1"/>
    <cellStyle name="Hyperlink" xfId="4647" builtinId="8" hidden="1"/>
    <cellStyle name="Hyperlink" xfId="4649" builtinId="8" hidden="1"/>
    <cellStyle name="Hyperlink" xfId="4531" builtinId="8" hidden="1"/>
    <cellStyle name="Hyperlink" xfId="4532" builtinId="8" hidden="1"/>
    <cellStyle name="Hyperlink" xfId="4651" builtinId="8" hidden="1"/>
    <cellStyle name="Hyperlink" xfId="4653" builtinId="8" hidden="1"/>
    <cellStyle name="Hyperlink" xfId="4655" builtinId="8" hidden="1"/>
    <cellStyle name="Hyperlink" xfId="4657" builtinId="8" hidden="1"/>
    <cellStyle name="Hyperlink" xfId="4537" builtinId="8" hidden="1"/>
    <cellStyle name="Hyperlink" xfId="4573" builtinId="8" hidden="1"/>
    <cellStyle name="Hyperlink" xfId="4659" builtinId="8" hidden="1"/>
    <cellStyle name="Hyperlink" xfId="4661" builtinId="8" hidden="1"/>
    <cellStyle name="Hyperlink" xfId="4663" builtinId="8" hidden="1"/>
    <cellStyle name="Hyperlink" xfId="4665" builtinId="8" hidden="1"/>
    <cellStyle name="Hyperlink" xfId="4542" builtinId="8" hidden="1"/>
    <cellStyle name="Hyperlink" xfId="4562" builtinId="8" hidden="1"/>
    <cellStyle name="Hyperlink" xfId="4667" builtinId="8" hidden="1"/>
    <cellStyle name="Hyperlink" xfId="4669" builtinId="8" hidden="1"/>
    <cellStyle name="Hyperlink" xfId="4671" builtinId="8" hidden="1"/>
    <cellStyle name="Hyperlink" xfId="4673" builtinId="8" hidden="1"/>
    <cellStyle name="Hyperlink" xfId="4549" builtinId="8" hidden="1"/>
    <cellStyle name="Hyperlink" xfId="4547" builtinId="8" hidden="1"/>
    <cellStyle name="Hyperlink" xfId="4675" builtinId="8" hidden="1"/>
    <cellStyle name="Hyperlink" xfId="4677" builtinId="8" hidden="1"/>
    <cellStyle name="Hyperlink" xfId="4679" builtinId="8" hidden="1"/>
    <cellStyle name="Hyperlink" xfId="4681" builtinId="8" hidden="1"/>
    <cellStyle name="Hyperlink" xfId="2718" builtinId="8" hidden="1"/>
    <cellStyle name="Hyperlink" xfId="2807" builtinId="8" hidden="1"/>
    <cellStyle name="Hyperlink" xfId="4022" builtinId="8" hidden="1"/>
    <cellStyle name="Hyperlink" xfId="3347" builtinId="8" hidden="1"/>
    <cellStyle name="Hyperlink" xfId="2836" builtinId="8" hidden="1"/>
    <cellStyle name="Hyperlink" xfId="2747" builtinId="8" hidden="1"/>
    <cellStyle name="Hyperlink" xfId="3685" builtinId="8" hidden="1"/>
    <cellStyle name="Hyperlink" xfId="2838" builtinId="8" hidden="1"/>
    <cellStyle name="Hyperlink" xfId="4683" builtinId="8" hidden="1"/>
    <cellStyle name="Hyperlink" xfId="4685" builtinId="8" hidden="1"/>
    <cellStyle name="Hyperlink" xfId="4687" builtinId="8" hidden="1"/>
    <cellStyle name="Hyperlink" xfId="4689" builtinId="8" hidden="1"/>
    <cellStyle name="Hyperlink" xfId="4691" builtinId="8" hidden="1"/>
    <cellStyle name="Hyperlink" xfId="4693" builtinId="8" hidden="1"/>
    <cellStyle name="Hyperlink" xfId="4743" builtinId="8" hidden="1"/>
    <cellStyle name="Hyperlink" xfId="4745" builtinId="8" hidden="1"/>
    <cellStyle name="Hyperlink" xfId="4747" builtinId="8" hidden="1"/>
    <cellStyle name="Hyperlink" xfId="4749" builtinId="8" hidden="1"/>
    <cellStyle name="Hyperlink" xfId="4739" builtinId="8" hidden="1"/>
    <cellStyle name="Hyperlink" xfId="4729" builtinId="8" hidden="1"/>
    <cellStyle name="Hyperlink" xfId="4751" builtinId="8" hidden="1"/>
    <cellStyle name="Hyperlink" xfId="4753" builtinId="8" hidden="1"/>
    <cellStyle name="Hyperlink" xfId="4755" builtinId="8" hidden="1"/>
    <cellStyle name="Hyperlink" xfId="4757" builtinId="8" hidden="1"/>
    <cellStyle name="Hyperlink" xfId="4723" builtinId="8" hidden="1"/>
    <cellStyle name="Hyperlink" xfId="4709" builtinId="8" hidden="1"/>
    <cellStyle name="Hyperlink" xfId="4759" builtinId="8" hidden="1"/>
    <cellStyle name="Hyperlink" xfId="4761" builtinId="8" hidden="1"/>
    <cellStyle name="Hyperlink" xfId="4763" builtinId="8" hidden="1"/>
    <cellStyle name="Hyperlink" xfId="4765" builtinId="8" hidden="1"/>
    <cellStyle name="Hyperlink" xfId="4728" builtinId="8" hidden="1"/>
    <cellStyle name="Hyperlink" xfId="4697" builtinId="8" hidden="1"/>
    <cellStyle name="Hyperlink" xfId="4767" builtinId="8" hidden="1"/>
    <cellStyle name="Hyperlink" xfId="4769" builtinId="8" hidden="1"/>
    <cellStyle name="Hyperlink" xfId="4771" builtinId="8" hidden="1"/>
    <cellStyle name="Hyperlink" xfId="4773" builtinId="8" hidden="1"/>
    <cellStyle name="Hyperlink" xfId="4698" builtinId="8" hidden="1"/>
    <cellStyle name="Hyperlink" xfId="4731" builtinId="8" hidden="1"/>
    <cellStyle name="Hyperlink" xfId="4775" builtinId="8" hidden="1"/>
    <cellStyle name="Hyperlink" xfId="4777" builtinId="8" hidden="1"/>
    <cellStyle name="Hyperlink" xfId="4779" builtinId="8" hidden="1"/>
    <cellStyle name="Hyperlink" xfId="4781" builtinId="8" hidden="1"/>
    <cellStyle name="Hyperlink" xfId="4700" builtinId="8" hidden="1"/>
    <cellStyle name="Hyperlink" xfId="4741" builtinId="8" hidden="1"/>
    <cellStyle name="Hyperlink" xfId="4783" builtinId="8" hidden="1"/>
    <cellStyle name="Hyperlink" xfId="4785" builtinId="8" hidden="1"/>
    <cellStyle name="Hyperlink" xfId="4787" builtinId="8" hidden="1"/>
    <cellStyle name="Hyperlink" xfId="4789" builtinId="8" hidden="1"/>
    <cellStyle name="Hyperlink" xfId="4721" builtinId="8" hidden="1"/>
    <cellStyle name="Hyperlink" xfId="4724" builtinId="8" hidden="1"/>
    <cellStyle name="Hyperlink" xfId="4791" builtinId="8" hidden="1"/>
    <cellStyle name="Hyperlink" xfId="4793" builtinId="8" hidden="1"/>
    <cellStyle name="Hyperlink" xfId="4795" builtinId="8" hidden="1"/>
    <cellStyle name="Hyperlink" xfId="4797" builtinId="8" hidden="1"/>
    <cellStyle name="Hyperlink" xfId="4725" builtinId="8" hidden="1"/>
    <cellStyle name="Hyperlink" xfId="4722" builtinId="8" hidden="1"/>
    <cellStyle name="Hyperlink" xfId="4799" builtinId="8" hidden="1"/>
    <cellStyle name="Hyperlink" xfId="4801" builtinId="8" hidden="1"/>
    <cellStyle name="Hyperlink" xfId="4803" builtinId="8" hidden="1"/>
    <cellStyle name="Hyperlink" xfId="4805" builtinId="8" hidden="1"/>
    <cellStyle name="Hyperlink" xfId="4740" builtinId="8" hidden="1"/>
    <cellStyle name="Hyperlink" xfId="4717" builtinId="8" hidden="1"/>
    <cellStyle name="Hyperlink" xfId="4807" builtinId="8" hidden="1"/>
    <cellStyle name="Hyperlink" xfId="4809" builtinId="8" hidden="1"/>
    <cellStyle name="Hyperlink" xfId="4811" builtinId="8" hidden="1"/>
    <cellStyle name="Hyperlink" xfId="4813" builtinId="8" hidden="1"/>
    <cellStyle name="Hyperlink" xfId="4695" builtinId="8" hidden="1"/>
    <cellStyle name="Hyperlink" xfId="4696" builtinId="8" hidden="1"/>
    <cellStyle name="Hyperlink" xfId="4815" builtinId="8" hidden="1"/>
    <cellStyle name="Hyperlink" xfId="4817" builtinId="8" hidden="1"/>
    <cellStyle name="Hyperlink" xfId="4819" builtinId="8" hidden="1"/>
    <cellStyle name="Hyperlink" xfId="4821" builtinId="8" hidden="1"/>
    <cellStyle name="Hyperlink" xfId="4701" builtinId="8" hidden="1"/>
    <cellStyle name="Hyperlink" xfId="4737" builtinId="8" hidden="1"/>
    <cellStyle name="Hyperlink" xfId="4823" builtinId="8" hidden="1"/>
    <cellStyle name="Hyperlink" xfId="4825" builtinId="8" hidden="1"/>
    <cellStyle name="Hyperlink" xfId="4827" builtinId="8" hidden="1"/>
    <cellStyle name="Hyperlink" xfId="4829" builtinId="8" hidden="1"/>
    <cellStyle name="Hyperlink" xfId="4706" builtinId="8" hidden="1"/>
    <cellStyle name="Hyperlink" xfId="4726" builtinId="8" hidden="1"/>
    <cellStyle name="Hyperlink" xfId="4831" builtinId="8" hidden="1"/>
    <cellStyle name="Hyperlink" xfId="4833" builtinId="8" hidden="1"/>
    <cellStyle name="Hyperlink" xfId="4835" builtinId="8" hidden="1"/>
    <cellStyle name="Hyperlink" xfId="4837" builtinId="8" hidden="1"/>
    <cellStyle name="Hyperlink" xfId="4713" builtinId="8" hidden="1"/>
    <cellStyle name="Hyperlink" xfId="4711" builtinId="8" hidden="1"/>
    <cellStyle name="Hyperlink" xfId="4839" builtinId="8" hidden="1"/>
    <cellStyle name="Hyperlink" xfId="4841" builtinId="8" hidden="1"/>
    <cellStyle name="Hyperlink" xfId="4843" builtinId="8" hidden="1"/>
    <cellStyle name="Hyperlink" xfId="4845" builtinId="8" hidden="1"/>
    <cellStyle name="Hyperlink" xfId="2509" builtinId="8" hidden="1"/>
    <cellStyle name="Hyperlink" xfId="2375" builtinId="8" hidden="1"/>
    <cellStyle name="Hyperlink" xfId="2406" builtinId="8" hidden="1"/>
    <cellStyle name="Hyperlink" xfId="2370" builtinId="8" hidden="1"/>
    <cellStyle name="Hyperlink" xfId="2486" builtinId="8" hidden="1"/>
    <cellStyle name="Hyperlink" xfId="2506" builtinId="8" hidden="1"/>
    <cellStyle name="Hyperlink" xfId="2468" builtinId="8" hidden="1"/>
    <cellStyle name="Hyperlink" xfId="2410" builtinId="8" hidden="1"/>
    <cellStyle name="Hyperlink" xfId="2467" builtinId="8" hidden="1"/>
    <cellStyle name="Hyperlink" xfId="2408" builtinId="8" hidden="1"/>
    <cellStyle name="Hyperlink" xfId="2441" builtinId="8" hidden="1"/>
    <cellStyle name="Hyperlink" xfId="2460" builtinId="8" hidden="1"/>
    <cellStyle name="Hyperlink" xfId="2376" builtinId="8" hidden="1"/>
    <cellStyle name="Hyperlink" xfId="2488" builtinId="8" hidden="1"/>
    <cellStyle name="Hyperlink" xfId="4852" builtinId="8" hidden="1"/>
    <cellStyle name="Hyperlink" xfId="4854" builtinId="8" hidden="1"/>
    <cellStyle name="Hyperlink" xfId="4856" builtinId="8" hidden="1"/>
    <cellStyle name="Hyperlink" xfId="4858" builtinId="8" hidden="1"/>
    <cellStyle name="Hyperlink" xfId="4860" builtinId="8" hidden="1"/>
    <cellStyle name="Hyperlink" xfId="4862" builtinId="8" hidden="1"/>
    <cellStyle name="Hyperlink" xfId="4912" builtinId="8" hidden="1"/>
    <cellStyle name="Hyperlink" xfId="4914" builtinId="8" hidden="1"/>
    <cellStyle name="Hyperlink" xfId="4916" builtinId="8" hidden="1"/>
    <cellStyle name="Hyperlink" xfId="4918" builtinId="8" hidden="1"/>
    <cellStyle name="Hyperlink" xfId="4908" builtinId="8" hidden="1"/>
    <cellStyle name="Hyperlink" xfId="4898" builtinId="8" hidden="1"/>
    <cellStyle name="Hyperlink" xfId="4920" builtinId="8" hidden="1"/>
    <cellStyle name="Hyperlink" xfId="4922" builtinId="8" hidden="1"/>
    <cellStyle name="Hyperlink" xfId="4924" builtinId="8" hidden="1"/>
    <cellStyle name="Hyperlink" xfId="4926" builtinId="8" hidden="1"/>
    <cellStyle name="Hyperlink" xfId="4892" builtinId="8" hidden="1"/>
    <cellStyle name="Hyperlink" xfId="4878" builtinId="8" hidden="1"/>
    <cellStyle name="Hyperlink" xfId="4928" builtinId="8" hidden="1"/>
    <cellStyle name="Hyperlink" xfId="4930" builtinId="8" hidden="1"/>
    <cellStyle name="Hyperlink" xfId="4932" builtinId="8" hidden="1"/>
    <cellStyle name="Hyperlink" xfId="4934" builtinId="8" hidden="1"/>
    <cellStyle name="Hyperlink" xfId="4897" builtinId="8" hidden="1"/>
    <cellStyle name="Hyperlink" xfId="4866" builtinId="8" hidden="1"/>
    <cellStyle name="Hyperlink" xfId="4936" builtinId="8" hidden="1"/>
    <cellStyle name="Hyperlink" xfId="4938" builtinId="8" hidden="1"/>
    <cellStyle name="Hyperlink" xfId="4940" builtinId="8" hidden="1"/>
    <cellStyle name="Hyperlink" xfId="4942" builtinId="8" hidden="1"/>
    <cellStyle name="Hyperlink" xfId="4867" builtinId="8" hidden="1"/>
    <cellStyle name="Hyperlink" xfId="4900" builtinId="8" hidden="1"/>
    <cellStyle name="Hyperlink" xfId="4944" builtinId="8" hidden="1"/>
    <cellStyle name="Hyperlink" xfId="4946" builtinId="8" hidden="1"/>
    <cellStyle name="Hyperlink" xfId="4948" builtinId="8" hidden="1"/>
    <cellStyle name="Hyperlink" xfId="4950" builtinId="8" hidden="1"/>
    <cellStyle name="Hyperlink" xfId="4869" builtinId="8" hidden="1"/>
    <cellStyle name="Hyperlink" xfId="4910" builtinId="8" hidden="1"/>
    <cellStyle name="Hyperlink" xfId="4952" builtinId="8" hidden="1"/>
    <cellStyle name="Hyperlink" xfId="4954" builtinId="8" hidden="1"/>
    <cellStyle name="Hyperlink" xfId="4956" builtinId="8" hidden="1"/>
    <cellStyle name="Hyperlink" xfId="4958" builtinId="8" hidden="1"/>
    <cellStyle name="Hyperlink" xfId="4890" builtinId="8" hidden="1"/>
    <cellStyle name="Hyperlink" xfId="4893" builtinId="8" hidden="1"/>
    <cellStyle name="Hyperlink" xfId="4960" builtinId="8" hidden="1"/>
    <cellStyle name="Hyperlink" xfId="4962" builtinId="8" hidden="1"/>
    <cellStyle name="Hyperlink" xfId="4964" builtinId="8" hidden="1"/>
    <cellStyle name="Hyperlink" xfId="4966" builtinId="8" hidden="1"/>
    <cellStyle name="Hyperlink" xfId="4894" builtinId="8" hidden="1"/>
    <cellStyle name="Hyperlink" xfId="4891" builtinId="8" hidden="1"/>
    <cellStyle name="Hyperlink" xfId="4968" builtinId="8" hidden="1"/>
    <cellStyle name="Hyperlink" xfId="4970" builtinId="8" hidden="1"/>
    <cellStyle name="Hyperlink" xfId="4972" builtinId="8" hidden="1"/>
    <cellStyle name="Hyperlink" xfId="4974" builtinId="8" hidden="1"/>
    <cellStyle name="Hyperlink" xfId="4909" builtinId="8" hidden="1"/>
    <cellStyle name="Hyperlink" xfId="4886" builtinId="8" hidden="1"/>
    <cellStyle name="Hyperlink" xfId="4976" builtinId="8" hidden="1"/>
    <cellStyle name="Hyperlink" xfId="4978" builtinId="8" hidden="1"/>
    <cellStyle name="Hyperlink" xfId="4980" builtinId="8" hidden="1"/>
    <cellStyle name="Hyperlink" xfId="4982" builtinId="8" hidden="1"/>
    <cellStyle name="Hyperlink" xfId="4864" builtinId="8" hidden="1"/>
    <cellStyle name="Hyperlink" xfId="4865" builtinId="8" hidden="1"/>
    <cellStyle name="Hyperlink" xfId="4984" builtinId="8" hidden="1"/>
    <cellStyle name="Hyperlink" xfId="4986" builtinId="8" hidden="1"/>
    <cellStyle name="Hyperlink" xfId="4988" builtinId="8" hidden="1"/>
    <cellStyle name="Hyperlink" xfId="4990" builtinId="8" hidden="1"/>
    <cellStyle name="Hyperlink" xfId="4870" builtinId="8" hidden="1"/>
    <cellStyle name="Hyperlink" xfId="4906" builtinId="8" hidden="1"/>
    <cellStyle name="Hyperlink" xfId="4992" builtinId="8" hidden="1"/>
    <cellStyle name="Hyperlink" xfId="4994" builtinId="8" hidden="1"/>
    <cellStyle name="Hyperlink" xfId="4996" builtinId="8" hidden="1"/>
    <cellStyle name="Hyperlink" xfId="4998" builtinId="8" hidden="1"/>
    <cellStyle name="Hyperlink" xfId="4875" builtinId="8" hidden="1"/>
    <cellStyle name="Hyperlink" xfId="4895" builtinId="8" hidden="1"/>
    <cellStyle name="Hyperlink" xfId="5000" builtinId="8" hidden="1"/>
    <cellStyle name="Hyperlink" xfId="5002" builtinId="8" hidden="1"/>
    <cellStyle name="Hyperlink" xfId="5004" builtinId="8" hidden="1"/>
    <cellStyle name="Hyperlink" xfId="5006" builtinId="8" hidden="1"/>
    <cellStyle name="Hyperlink" xfId="4882" builtinId="8" hidden="1"/>
    <cellStyle name="Hyperlink" xfId="4880" builtinId="8" hidden="1"/>
    <cellStyle name="Hyperlink" xfId="5008" builtinId="8" hidden="1"/>
    <cellStyle name="Hyperlink" xfId="5010" builtinId="8" hidden="1"/>
    <cellStyle name="Hyperlink" xfId="5012" builtinId="8" hidden="1"/>
    <cellStyle name="Hyperlink" xfId="5014" builtinId="8" hidden="1"/>
    <cellStyle name="Hyperlink" xfId="5016" builtinId="8" hidden="1"/>
    <cellStyle name="Hyperlink" xfId="5018" builtinId="8" hidden="1"/>
    <cellStyle name="Hyperlink" xfId="5084" builtinId="8" hidden="1"/>
    <cellStyle name="Hyperlink" xfId="5086" builtinId="8" hidden="1"/>
    <cellStyle name="Hyperlink" xfId="5088" builtinId="8" hidden="1"/>
    <cellStyle name="Hyperlink" xfId="5090" builtinId="8" hidden="1"/>
    <cellStyle name="Hyperlink" xfId="5093" builtinId="8" hidden="1"/>
    <cellStyle name="Hyperlink" xfId="5095" builtinId="8" hidden="1"/>
    <cellStyle name="Hyperlink" xfId="5169" builtinId="8" hidden="1"/>
    <cellStyle name="Hyperlink" xfId="5171" builtinId="8" hidden="1"/>
    <cellStyle name="Hyperlink" xfId="5173" builtinId="8" hidden="1"/>
    <cellStyle name="Hyperlink" xfId="5175" builtinId="8" hidden="1"/>
    <cellStyle name="Hyperlink" xfId="5177" builtinId="8" hidden="1"/>
    <cellStyle name="Hyperlink" xfId="5179" builtinId="8" hidden="1"/>
    <cellStyle name="Hyperlink" xfId="5229" builtinId="8" hidden="1"/>
    <cellStyle name="Hyperlink" xfId="5231" builtinId="8" hidden="1"/>
    <cellStyle name="Hyperlink" xfId="5233" builtinId="8" hidden="1"/>
    <cellStyle name="Hyperlink" xfId="5235" builtinId="8" hidden="1"/>
    <cellStyle name="Hyperlink" xfId="5225" builtinId="8" hidden="1"/>
    <cellStyle name="Hyperlink" xfId="5215" builtinId="8" hidden="1"/>
    <cellStyle name="Hyperlink" xfId="5237" builtinId="8" hidden="1"/>
    <cellStyle name="Hyperlink" xfId="5239" builtinId="8" hidden="1"/>
    <cellStyle name="Hyperlink" xfId="5241" builtinId="8" hidden="1"/>
    <cellStyle name="Hyperlink" xfId="5243" builtinId="8" hidden="1"/>
    <cellStyle name="Hyperlink" xfId="5209" builtinId="8" hidden="1"/>
    <cellStyle name="Hyperlink" xfId="5195" builtinId="8" hidden="1"/>
    <cellStyle name="Hyperlink" xfId="5245" builtinId="8" hidden="1"/>
    <cellStyle name="Hyperlink" xfId="5247" builtinId="8" hidden="1"/>
    <cellStyle name="Hyperlink" xfId="5249" builtinId="8" hidden="1"/>
    <cellStyle name="Hyperlink" xfId="5251" builtinId="8" hidden="1"/>
    <cellStyle name="Hyperlink" xfId="5214" builtinId="8" hidden="1"/>
    <cellStyle name="Hyperlink" xfId="5183" builtinId="8" hidden="1"/>
    <cellStyle name="Hyperlink" xfId="5253" builtinId="8" hidden="1"/>
    <cellStyle name="Hyperlink" xfId="5255" builtinId="8" hidden="1"/>
    <cellStyle name="Hyperlink" xfId="5257" builtinId="8" hidden="1"/>
    <cellStyle name="Hyperlink" xfId="5259" builtinId="8" hidden="1"/>
    <cellStyle name="Hyperlink" xfId="5184" builtinId="8" hidden="1"/>
    <cellStyle name="Hyperlink" xfId="5217" builtinId="8" hidden="1"/>
    <cellStyle name="Hyperlink" xfId="5261" builtinId="8" hidden="1"/>
    <cellStyle name="Hyperlink" xfId="5263" builtinId="8" hidden="1"/>
    <cellStyle name="Hyperlink" xfId="5265" builtinId="8" hidden="1"/>
    <cellStyle name="Hyperlink" xfId="5267" builtinId="8" hidden="1"/>
    <cellStyle name="Hyperlink" xfId="5186" builtinId="8" hidden="1"/>
    <cellStyle name="Hyperlink" xfId="5227" builtinId="8" hidden="1"/>
    <cellStyle name="Hyperlink" xfId="5269" builtinId="8" hidden="1"/>
    <cellStyle name="Hyperlink" xfId="5271" builtinId="8" hidden="1"/>
    <cellStyle name="Hyperlink" xfId="5273" builtinId="8" hidden="1"/>
    <cellStyle name="Hyperlink" xfId="5275" builtinId="8" hidden="1"/>
    <cellStyle name="Hyperlink" xfId="5207" builtinId="8" hidden="1"/>
    <cellStyle name="Hyperlink" xfId="5210" builtinId="8" hidden="1"/>
    <cellStyle name="Hyperlink" xfId="5277" builtinId="8" hidden="1"/>
    <cellStyle name="Hyperlink" xfId="5279" builtinId="8" hidden="1"/>
    <cellStyle name="Hyperlink" xfId="5281" builtinId="8" hidden="1"/>
    <cellStyle name="Hyperlink" xfId="5283" builtinId="8" hidden="1"/>
    <cellStyle name="Hyperlink" xfId="5211" builtinId="8" hidden="1"/>
    <cellStyle name="Hyperlink" xfId="5208" builtinId="8" hidden="1"/>
    <cellStyle name="Hyperlink" xfId="5285" builtinId="8" hidden="1"/>
    <cellStyle name="Hyperlink" xfId="5287" builtinId="8" hidden="1"/>
    <cellStyle name="Hyperlink" xfId="5289" builtinId="8" hidden="1"/>
    <cellStyle name="Hyperlink" xfId="5291" builtinId="8" hidden="1"/>
    <cellStyle name="Hyperlink" xfId="5226" builtinId="8" hidden="1"/>
    <cellStyle name="Hyperlink" xfId="5203" builtinId="8" hidden="1"/>
    <cellStyle name="Hyperlink" xfId="5293" builtinId="8" hidden="1"/>
    <cellStyle name="Hyperlink" xfId="5295" builtinId="8" hidden="1"/>
    <cellStyle name="Hyperlink" xfId="5297" builtinId="8" hidden="1"/>
    <cellStyle name="Hyperlink" xfId="5299" builtinId="8" hidden="1"/>
    <cellStyle name="Hyperlink" xfId="5181" builtinId="8" hidden="1"/>
    <cellStyle name="Hyperlink" xfId="5182" builtinId="8" hidden="1"/>
    <cellStyle name="Hyperlink" xfId="5301" builtinId="8" hidden="1"/>
    <cellStyle name="Hyperlink" xfId="5303" builtinId="8" hidden="1"/>
    <cellStyle name="Hyperlink" xfId="5305" builtinId="8" hidden="1"/>
    <cellStyle name="Hyperlink" xfId="5307" builtinId="8" hidden="1"/>
    <cellStyle name="Hyperlink" xfId="5187" builtinId="8" hidden="1"/>
    <cellStyle name="Hyperlink" xfId="5223" builtinId="8" hidden="1"/>
    <cellStyle name="Hyperlink" xfId="5309" builtinId="8" hidden="1"/>
    <cellStyle name="Hyperlink" xfId="5311" builtinId="8" hidden="1"/>
    <cellStyle name="Hyperlink" xfId="5313" builtinId="8" hidden="1"/>
    <cellStyle name="Hyperlink" xfId="5315" builtinId="8" hidden="1"/>
    <cellStyle name="Hyperlink" xfId="5192" builtinId="8" hidden="1"/>
    <cellStyle name="Hyperlink" xfId="5212" builtinId="8" hidden="1"/>
    <cellStyle name="Hyperlink" xfId="5317" builtinId="8" hidden="1"/>
    <cellStyle name="Hyperlink" xfId="5319" builtinId="8" hidden="1"/>
    <cellStyle name="Hyperlink" xfId="5321" builtinId="8" hidden="1"/>
    <cellStyle name="Hyperlink" xfId="5323" builtinId="8" hidden="1"/>
    <cellStyle name="Hyperlink" xfId="5199" builtinId="8" hidden="1"/>
    <cellStyle name="Hyperlink" xfId="5197" builtinId="8" hidden="1"/>
    <cellStyle name="Hyperlink" xfId="5325" builtinId="8" hidden="1"/>
    <cellStyle name="Hyperlink" xfId="5327" builtinId="8" hidden="1"/>
    <cellStyle name="Hyperlink" xfId="5329" builtinId="8" hidden="1"/>
    <cellStyle name="Hyperlink" xfId="5331" builtinId="8" hidden="1"/>
    <cellStyle name="Hyperlink" xfId="5030" builtinId="8" hidden="1"/>
    <cellStyle name="Hyperlink" xfId="5142" builtinId="8" hidden="1"/>
    <cellStyle name="Hyperlink" xfId="5034" builtinId="8" hidden="1"/>
    <cellStyle name="Hyperlink" xfId="5145" builtinId="8" hidden="1"/>
    <cellStyle name="Hyperlink" xfId="5128" builtinId="8" hidden="1"/>
    <cellStyle name="Hyperlink" xfId="5080" builtinId="8" hidden="1"/>
    <cellStyle name="Hyperlink" xfId="5021" builtinId="8" hidden="1"/>
    <cellStyle name="Hyperlink" xfId="5133" builtinId="8" hidden="1"/>
    <cellStyle name="Hyperlink" xfId="5336" builtinId="8" hidden="1"/>
    <cellStyle name="Hyperlink" xfId="5338" builtinId="8" hidden="1"/>
    <cellStyle name="Hyperlink" xfId="5340" builtinId="8" hidden="1"/>
    <cellStyle name="Hyperlink" xfId="5342" builtinId="8" hidden="1"/>
    <cellStyle name="Hyperlink" xfId="5345" builtinId="8" hidden="1"/>
    <cellStyle name="Hyperlink" xfId="5347" builtinId="8" hidden="1"/>
    <cellStyle name="Hyperlink" xfId="5397" builtinId="8" hidden="1"/>
    <cellStyle name="Hyperlink" xfId="5399" builtinId="8" hidden="1"/>
    <cellStyle name="Hyperlink" xfId="5401" builtinId="8" hidden="1"/>
    <cellStyle name="Hyperlink" xfId="5403" builtinId="8" hidden="1"/>
    <cellStyle name="Hyperlink" xfId="5393" builtinId="8" hidden="1"/>
    <cellStyle name="Hyperlink" xfId="5383" builtinId="8" hidden="1"/>
    <cellStyle name="Hyperlink" xfId="5405" builtinId="8" hidden="1"/>
    <cellStyle name="Hyperlink" xfId="5407" builtinId="8" hidden="1"/>
    <cellStyle name="Hyperlink" xfId="5409" builtinId="8" hidden="1"/>
    <cellStyle name="Hyperlink" xfId="5411" builtinId="8" hidden="1"/>
    <cellStyle name="Hyperlink" xfId="5377" builtinId="8" hidden="1"/>
    <cellStyle name="Hyperlink" xfId="5363" builtinId="8" hidden="1"/>
    <cellStyle name="Hyperlink" xfId="5413" builtinId="8" hidden="1"/>
    <cellStyle name="Hyperlink" xfId="5415" builtinId="8" hidden="1"/>
    <cellStyle name="Hyperlink" xfId="5417" builtinId="8" hidden="1"/>
    <cellStyle name="Hyperlink" xfId="5419" builtinId="8" hidden="1"/>
    <cellStyle name="Hyperlink" xfId="5382" builtinId="8" hidden="1"/>
    <cellStyle name="Hyperlink" xfId="5351" builtinId="8" hidden="1"/>
    <cellStyle name="Hyperlink" xfId="5421" builtinId="8" hidden="1"/>
    <cellStyle name="Hyperlink" xfId="5423" builtinId="8" hidden="1"/>
    <cellStyle name="Hyperlink" xfId="5425" builtinId="8" hidden="1"/>
    <cellStyle name="Hyperlink" xfId="5427" builtinId="8" hidden="1"/>
    <cellStyle name="Hyperlink" xfId="5352" builtinId="8" hidden="1"/>
    <cellStyle name="Hyperlink" xfId="5385" builtinId="8" hidden="1"/>
    <cellStyle name="Hyperlink" xfId="5429" builtinId="8" hidden="1"/>
    <cellStyle name="Hyperlink" xfId="5431" builtinId="8" hidden="1"/>
    <cellStyle name="Hyperlink" xfId="5433" builtinId="8" hidden="1"/>
    <cellStyle name="Hyperlink" xfId="5435" builtinId="8" hidden="1"/>
    <cellStyle name="Hyperlink" xfId="5354" builtinId="8" hidden="1"/>
    <cellStyle name="Hyperlink" xfId="5395" builtinId="8" hidden="1"/>
    <cellStyle name="Hyperlink" xfId="5437" builtinId="8" hidden="1"/>
    <cellStyle name="Hyperlink" xfId="5439" builtinId="8" hidden="1"/>
    <cellStyle name="Hyperlink" xfId="5441" builtinId="8" hidden="1"/>
    <cellStyle name="Hyperlink" xfId="5443" builtinId="8" hidden="1"/>
    <cellStyle name="Hyperlink" xfId="5375" builtinId="8" hidden="1"/>
    <cellStyle name="Hyperlink" xfId="5378" builtinId="8" hidden="1"/>
    <cellStyle name="Hyperlink" xfId="5445" builtinId="8" hidden="1"/>
    <cellStyle name="Hyperlink" xfId="5447" builtinId="8" hidden="1"/>
    <cellStyle name="Hyperlink" xfId="5449" builtinId="8" hidden="1"/>
    <cellStyle name="Hyperlink" xfId="5451" builtinId="8" hidden="1"/>
    <cellStyle name="Hyperlink" xfId="5379" builtinId="8" hidden="1"/>
    <cellStyle name="Hyperlink" xfId="5376" builtinId="8" hidden="1"/>
    <cellStyle name="Hyperlink" xfId="5453" builtinId="8" hidden="1"/>
    <cellStyle name="Hyperlink" xfId="5455" builtinId="8" hidden="1"/>
    <cellStyle name="Hyperlink" xfId="5457" builtinId="8" hidden="1"/>
    <cellStyle name="Hyperlink" xfId="5459" builtinId="8" hidden="1"/>
    <cellStyle name="Hyperlink" xfId="5394" builtinId="8" hidden="1"/>
    <cellStyle name="Hyperlink" xfId="5371" builtinId="8" hidden="1"/>
    <cellStyle name="Hyperlink" xfId="5461" builtinId="8" hidden="1"/>
    <cellStyle name="Hyperlink" xfId="5463" builtinId="8" hidden="1"/>
    <cellStyle name="Hyperlink" xfId="5465" builtinId="8" hidden="1"/>
    <cellStyle name="Hyperlink" xfId="5467" builtinId="8" hidden="1"/>
    <cellStyle name="Hyperlink" xfId="5349" builtinId="8" hidden="1"/>
    <cellStyle name="Hyperlink" xfId="5350" builtinId="8" hidden="1"/>
    <cellStyle name="Hyperlink" xfId="5469" builtinId="8" hidden="1"/>
    <cellStyle name="Hyperlink" xfId="5471" builtinId="8" hidden="1"/>
    <cellStyle name="Hyperlink" xfId="5473" builtinId="8" hidden="1"/>
    <cellStyle name="Hyperlink" xfId="5475" builtinId="8" hidden="1"/>
    <cellStyle name="Hyperlink" xfId="5355" builtinId="8" hidden="1"/>
    <cellStyle name="Hyperlink" xfId="5391" builtinId="8" hidden="1"/>
    <cellStyle name="Hyperlink" xfId="5477" builtinId="8" hidden="1"/>
    <cellStyle name="Hyperlink" xfId="5479" builtinId="8" hidden="1"/>
    <cellStyle name="Hyperlink" xfId="5481" builtinId="8" hidden="1"/>
    <cellStyle name="Hyperlink" xfId="5483" builtinId="8" hidden="1"/>
    <cellStyle name="Hyperlink" xfId="5360" builtinId="8" hidden="1"/>
    <cellStyle name="Hyperlink" xfId="5380" builtinId="8" hidden="1"/>
    <cellStyle name="Hyperlink" xfId="5485" builtinId="8" hidden="1"/>
    <cellStyle name="Hyperlink" xfId="5487" builtinId="8" hidden="1"/>
    <cellStyle name="Hyperlink" xfId="5489" builtinId="8" hidden="1"/>
    <cellStyle name="Hyperlink" xfId="5491" builtinId="8" hidden="1"/>
    <cellStyle name="Hyperlink" xfId="5367" builtinId="8" hidden="1"/>
    <cellStyle name="Hyperlink" xfId="5365" builtinId="8" hidden="1"/>
    <cellStyle name="Hyperlink" xfId="5493" builtinId="8" hidden="1"/>
    <cellStyle name="Hyperlink" xfId="5495" builtinId="8" hidden="1"/>
    <cellStyle name="Hyperlink" xfId="5497" builtinId="8" hidden="1"/>
    <cellStyle name="Hyperlink" xfId="5499" builtinId="8" hidden="1"/>
    <cellStyle name="Hyperlink" xfId="5076" builtinId="8" hidden="1"/>
    <cellStyle name="Hyperlink" xfId="5077" builtinId="8" hidden="1"/>
    <cellStyle name="Hyperlink" xfId="5051" builtinId="8" hidden="1"/>
    <cellStyle name="Hyperlink" xfId="5052" builtinId="8" hidden="1"/>
    <cellStyle name="Hyperlink" xfId="5067" builtinId="8" hidden="1"/>
    <cellStyle name="Hyperlink" xfId="5065" builtinId="8" hidden="1"/>
    <cellStyle name="Hyperlink" xfId="5058" builtinId="8" hidden="1"/>
    <cellStyle name="Hyperlink" xfId="5059" builtinId="8" hidden="1"/>
    <cellStyle name="Hyperlink" xfId="5510" builtinId="8" hidden="1"/>
    <cellStyle name="Hyperlink" xfId="5512" builtinId="8" hidden="1"/>
    <cellStyle name="Hyperlink" xfId="5514" builtinId="8" hidden="1"/>
    <cellStyle name="Hyperlink" xfId="5516" builtinId="8" hidden="1"/>
    <cellStyle name="Hyperlink" xfId="5518" builtinId="8" hidden="1"/>
    <cellStyle name="Hyperlink" xfId="5520" builtinId="8" hidden="1"/>
    <cellStyle name="Hyperlink" xfId="5570" builtinId="8" hidden="1"/>
    <cellStyle name="Hyperlink" xfId="5572" builtinId="8" hidden="1"/>
    <cellStyle name="Hyperlink" xfId="5574" builtinId="8" hidden="1"/>
    <cellStyle name="Hyperlink" xfId="5576" builtinId="8" hidden="1"/>
    <cellStyle name="Hyperlink" xfId="5566" builtinId="8" hidden="1"/>
    <cellStyle name="Hyperlink" xfId="5556" builtinId="8" hidden="1"/>
    <cellStyle name="Hyperlink" xfId="5578" builtinId="8" hidden="1"/>
    <cellStyle name="Hyperlink" xfId="5580" builtinId="8" hidden="1"/>
    <cellStyle name="Hyperlink" xfId="5582" builtinId="8" hidden="1"/>
    <cellStyle name="Hyperlink" xfId="5584" builtinId="8" hidden="1"/>
    <cellStyle name="Hyperlink" xfId="5550" builtinId="8" hidden="1"/>
    <cellStyle name="Hyperlink" xfId="5536" builtinId="8" hidden="1"/>
    <cellStyle name="Hyperlink" xfId="5586" builtinId="8" hidden="1"/>
    <cellStyle name="Hyperlink" xfId="5588" builtinId="8" hidden="1"/>
    <cellStyle name="Hyperlink" xfId="5590" builtinId="8" hidden="1"/>
    <cellStyle name="Hyperlink" xfId="5592" builtinId="8" hidden="1"/>
    <cellStyle name="Hyperlink" xfId="5555" builtinId="8" hidden="1"/>
    <cellStyle name="Hyperlink" xfId="5524" builtinId="8" hidden="1"/>
    <cellStyle name="Hyperlink" xfId="5594" builtinId="8" hidden="1"/>
    <cellStyle name="Hyperlink" xfId="5596" builtinId="8" hidden="1"/>
    <cellStyle name="Hyperlink" xfId="5598" builtinId="8" hidden="1"/>
    <cellStyle name="Hyperlink" xfId="5600" builtinId="8" hidden="1"/>
    <cellStyle name="Hyperlink" xfId="5525" builtinId="8" hidden="1"/>
    <cellStyle name="Hyperlink" xfId="5558" builtinId="8" hidden="1"/>
    <cellStyle name="Hyperlink" xfId="5602" builtinId="8" hidden="1"/>
    <cellStyle name="Hyperlink" xfId="5604" builtinId="8" hidden="1"/>
    <cellStyle name="Hyperlink" xfId="5606" builtinId="8" hidden="1"/>
    <cellStyle name="Hyperlink" xfId="5608" builtinId="8" hidden="1"/>
    <cellStyle name="Hyperlink" xfId="5527" builtinId="8" hidden="1"/>
    <cellStyle name="Hyperlink" xfId="5568" builtinId="8" hidden="1"/>
    <cellStyle name="Hyperlink" xfId="5610" builtinId="8" hidden="1"/>
    <cellStyle name="Hyperlink" xfId="5612" builtinId="8" hidden="1"/>
    <cellStyle name="Hyperlink" xfId="5614" builtinId="8" hidden="1"/>
    <cellStyle name="Hyperlink" xfId="5616" builtinId="8" hidden="1"/>
    <cellStyle name="Hyperlink" xfId="5548" builtinId="8" hidden="1"/>
    <cellStyle name="Hyperlink" xfId="5551" builtinId="8" hidden="1"/>
    <cellStyle name="Hyperlink" xfId="5618" builtinId="8" hidden="1"/>
    <cellStyle name="Hyperlink" xfId="5620" builtinId="8" hidden="1"/>
    <cellStyle name="Hyperlink" xfId="5622" builtinId="8" hidden="1"/>
    <cellStyle name="Hyperlink" xfId="5624" builtinId="8" hidden="1"/>
    <cellStyle name="Hyperlink" xfId="5552" builtinId="8" hidden="1"/>
    <cellStyle name="Hyperlink" xfId="5549" builtinId="8" hidden="1"/>
    <cellStyle name="Hyperlink" xfId="5626" builtinId="8" hidden="1"/>
    <cellStyle name="Hyperlink" xfId="5628" builtinId="8" hidden="1"/>
    <cellStyle name="Hyperlink" xfId="5630" builtinId="8" hidden="1"/>
    <cellStyle name="Hyperlink" xfId="5632" builtinId="8" hidden="1"/>
    <cellStyle name="Hyperlink" xfId="5567" builtinId="8" hidden="1"/>
    <cellStyle name="Hyperlink" xfId="5544" builtinId="8" hidden="1"/>
    <cellStyle name="Hyperlink" xfId="5634" builtinId="8" hidden="1"/>
    <cellStyle name="Hyperlink" xfId="5636" builtinId="8" hidden="1"/>
    <cellStyle name="Hyperlink" xfId="5638" builtinId="8" hidden="1"/>
    <cellStyle name="Hyperlink" xfId="5640" builtinId="8" hidden="1"/>
    <cellStyle name="Hyperlink" xfId="5522" builtinId="8" hidden="1"/>
    <cellStyle name="Hyperlink" xfId="5523" builtinId="8" hidden="1"/>
    <cellStyle name="Hyperlink" xfId="5642" builtinId="8" hidden="1"/>
    <cellStyle name="Hyperlink" xfId="5644" builtinId="8" hidden="1"/>
    <cellStyle name="Hyperlink" xfId="5646" builtinId="8" hidden="1"/>
    <cellStyle name="Hyperlink" xfId="5648" builtinId="8" hidden="1"/>
    <cellStyle name="Hyperlink" xfId="5528" builtinId="8" hidden="1"/>
    <cellStyle name="Hyperlink" xfId="5564" builtinId="8" hidden="1"/>
    <cellStyle name="Hyperlink" xfId="5650" builtinId="8" hidden="1"/>
    <cellStyle name="Hyperlink" xfId="5652" builtinId="8" hidden="1"/>
    <cellStyle name="Hyperlink" xfId="5654" builtinId="8" hidden="1"/>
    <cellStyle name="Hyperlink" xfId="5656" builtinId="8" hidden="1"/>
    <cellStyle name="Hyperlink" xfId="5533" builtinId="8" hidden="1"/>
    <cellStyle name="Hyperlink" xfId="5553" builtinId="8" hidden="1"/>
    <cellStyle name="Hyperlink" xfId="5658" builtinId="8" hidden="1"/>
    <cellStyle name="Hyperlink" xfId="5660" builtinId="8" hidden="1"/>
    <cellStyle name="Hyperlink" xfId="5662" builtinId="8" hidden="1"/>
    <cellStyle name="Hyperlink" xfId="5664" builtinId="8" hidden="1"/>
    <cellStyle name="Hyperlink" xfId="5540" builtinId="8" hidden="1"/>
    <cellStyle name="Hyperlink" xfId="5538" builtinId="8" hidden="1"/>
    <cellStyle name="Hyperlink" xfId="5666" builtinId="8" hidden="1"/>
    <cellStyle name="Hyperlink" xfId="5668" builtinId="8" hidden="1"/>
    <cellStyle name="Hyperlink" xfId="5670" builtinId="8" hidden="1"/>
    <cellStyle name="Hyperlink" xfId="5672" builtinId="8" hidden="1"/>
    <cellStyle name="Hyperlink" xfId="5117" builtinId="8" hidden="1"/>
    <cellStyle name="Hyperlink" xfId="5060" builtinId="8" hidden="1"/>
    <cellStyle name="Hyperlink" xfId="5070" builtinId="8" hidden="1"/>
    <cellStyle name="Hyperlink" xfId="5037" builtinId="8" hidden="1"/>
    <cellStyle name="Hyperlink" xfId="5120" builtinId="8" hidden="1"/>
    <cellStyle name="Hyperlink" xfId="5152" builtinId="8" hidden="1"/>
    <cellStyle name="Hyperlink" xfId="5131" builtinId="8" hidden="1"/>
    <cellStyle name="Hyperlink" xfId="5081" builtinId="8" hidden="1"/>
    <cellStyle name="Hyperlink" xfId="5680" builtinId="8" hidden="1"/>
    <cellStyle name="Hyperlink" xfId="5682" builtinId="8" hidden="1"/>
    <cellStyle name="Hyperlink" xfId="5684" builtinId="8" hidden="1"/>
    <cellStyle name="Hyperlink" xfId="5686" builtinId="8" hidden="1"/>
    <cellStyle name="Hyperlink" xfId="5688" builtinId="8" hidden="1"/>
    <cellStyle name="Hyperlink" xfId="5690" builtinId="8" hidden="1"/>
    <cellStyle name="Hyperlink" xfId="5740" builtinId="8" hidden="1"/>
    <cellStyle name="Hyperlink" xfId="5742" builtinId="8" hidden="1"/>
    <cellStyle name="Hyperlink" xfId="5744" builtinId="8" hidden="1"/>
    <cellStyle name="Hyperlink" xfId="5746" builtinId="8" hidden="1"/>
    <cellStyle name="Hyperlink" xfId="5736" builtinId="8" hidden="1"/>
    <cellStyle name="Hyperlink" xfId="5726" builtinId="8" hidden="1"/>
    <cellStyle name="Hyperlink" xfId="5748" builtinId="8" hidden="1"/>
    <cellStyle name="Hyperlink" xfId="5750" builtinId="8" hidden="1"/>
    <cellStyle name="Hyperlink" xfId="5752" builtinId="8" hidden="1"/>
    <cellStyle name="Hyperlink" xfId="5754" builtinId="8" hidden="1"/>
    <cellStyle name="Hyperlink" xfId="5720" builtinId="8" hidden="1"/>
    <cellStyle name="Hyperlink" xfId="5706" builtinId="8" hidden="1"/>
    <cellStyle name="Hyperlink" xfId="5756" builtinId="8" hidden="1"/>
    <cellStyle name="Hyperlink" xfId="5758" builtinId="8" hidden="1"/>
    <cellStyle name="Hyperlink" xfId="5760" builtinId="8" hidden="1"/>
    <cellStyle name="Hyperlink" xfId="5762" builtinId="8" hidden="1"/>
    <cellStyle name="Hyperlink" xfId="5725" builtinId="8" hidden="1"/>
    <cellStyle name="Hyperlink" xfId="5694" builtinId="8" hidden="1"/>
    <cellStyle name="Hyperlink" xfId="5764" builtinId="8" hidden="1"/>
    <cellStyle name="Hyperlink" xfId="5766" builtinId="8" hidden="1"/>
    <cellStyle name="Hyperlink" xfId="5768" builtinId="8" hidden="1"/>
    <cellStyle name="Hyperlink" xfId="5770" builtinId="8" hidden="1"/>
    <cellStyle name="Hyperlink" xfId="5695" builtinId="8" hidden="1"/>
    <cellStyle name="Hyperlink" xfId="5728" builtinId="8" hidden="1"/>
    <cellStyle name="Hyperlink" xfId="5772" builtinId="8" hidden="1"/>
    <cellStyle name="Hyperlink" xfId="5774" builtinId="8" hidden="1"/>
    <cellStyle name="Hyperlink" xfId="5776" builtinId="8" hidden="1"/>
    <cellStyle name="Hyperlink" xfId="5778" builtinId="8" hidden="1"/>
    <cellStyle name="Hyperlink" xfId="5697" builtinId="8" hidden="1"/>
    <cellStyle name="Hyperlink" xfId="5738" builtinId="8" hidden="1"/>
    <cellStyle name="Hyperlink" xfId="5780" builtinId="8" hidden="1"/>
    <cellStyle name="Hyperlink" xfId="5782" builtinId="8" hidden="1"/>
    <cellStyle name="Hyperlink" xfId="5784" builtinId="8" hidden="1"/>
    <cellStyle name="Hyperlink" xfId="5786" builtinId="8" hidden="1"/>
    <cellStyle name="Hyperlink" xfId="5718" builtinId="8" hidden="1"/>
    <cellStyle name="Hyperlink" xfId="5721" builtinId="8" hidden="1"/>
    <cellStyle name="Hyperlink" xfId="5788" builtinId="8" hidden="1"/>
    <cellStyle name="Hyperlink" xfId="5790" builtinId="8" hidden="1"/>
    <cellStyle name="Hyperlink" xfId="5792" builtinId="8" hidden="1"/>
    <cellStyle name="Hyperlink" xfId="5794" builtinId="8" hidden="1"/>
    <cellStyle name="Hyperlink" xfId="5722" builtinId="8" hidden="1"/>
    <cellStyle name="Hyperlink" xfId="5719" builtinId="8" hidden="1"/>
    <cellStyle name="Hyperlink" xfId="5796" builtinId="8" hidden="1"/>
    <cellStyle name="Hyperlink" xfId="5798" builtinId="8" hidden="1"/>
    <cellStyle name="Hyperlink" xfId="5800" builtinId="8" hidden="1"/>
    <cellStyle name="Hyperlink" xfId="5802" builtinId="8" hidden="1"/>
    <cellStyle name="Hyperlink" xfId="5737" builtinId="8" hidden="1"/>
    <cellStyle name="Hyperlink" xfId="5714" builtinId="8" hidden="1"/>
    <cellStyle name="Hyperlink" xfId="5804" builtinId="8" hidden="1"/>
    <cellStyle name="Hyperlink" xfId="5806" builtinId="8" hidden="1"/>
    <cellStyle name="Hyperlink" xfId="5808" builtinId="8" hidden="1"/>
    <cellStyle name="Hyperlink" xfId="5810" builtinId="8" hidden="1"/>
    <cellStyle name="Hyperlink" xfId="5692" builtinId="8" hidden="1"/>
    <cellStyle name="Hyperlink" xfId="5693" builtinId="8" hidden="1"/>
    <cellStyle name="Hyperlink" xfId="5812" builtinId="8" hidden="1"/>
    <cellStyle name="Hyperlink" xfId="5814" builtinId="8" hidden="1"/>
    <cellStyle name="Hyperlink" xfId="5816" builtinId="8" hidden="1"/>
    <cellStyle name="Hyperlink" xfId="5818" builtinId="8" hidden="1"/>
    <cellStyle name="Hyperlink" xfId="5698" builtinId="8" hidden="1"/>
    <cellStyle name="Hyperlink" xfId="5734" builtinId="8" hidden="1"/>
    <cellStyle name="Hyperlink" xfId="5820" builtinId="8" hidden="1"/>
    <cellStyle name="Hyperlink" xfId="5822" builtinId="8" hidden="1"/>
    <cellStyle name="Hyperlink" xfId="5824" builtinId="8" hidden="1"/>
    <cellStyle name="Hyperlink" xfId="5826" builtinId="8" hidden="1"/>
    <cellStyle name="Hyperlink" xfId="5703" builtinId="8" hidden="1"/>
    <cellStyle name="Hyperlink" xfId="5723" builtinId="8" hidden="1"/>
    <cellStyle name="Hyperlink" xfId="5828" builtinId="8" hidden="1"/>
    <cellStyle name="Hyperlink" xfId="5830" builtinId="8" hidden="1"/>
    <cellStyle name="Hyperlink" xfId="5832" builtinId="8" hidden="1"/>
    <cellStyle name="Hyperlink" xfId="5834" builtinId="8" hidden="1"/>
    <cellStyle name="Hyperlink" xfId="5710" builtinId="8" hidden="1"/>
    <cellStyle name="Hyperlink" xfId="5708" builtinId="8" hidden="1"/>
    <cellStyle name="Hyperlink" xfId="5836" builtinId="8" hidden="1"/>
    <cellStyle name="Hyperlink" xfId="5838" builtinId="8" hidden="1"/>
    <cellStyle name="Hyperlink" xfId="5840" builtinId="8" hidden="1"/>
    <cellStyle name="Hyperlink" xfId="5842" builtinId="8" hidden="1"/>
    <cellStyle name="Hyperlink" xfId="5092" builtinId="8" hidden="1"/>
    <cellStyle name="Hyperlink" xfId="5063" builtinId="8" hidden="1"/>
    <cellStyle name="Hyperlink" xfId="5110" builtinId="8" hidden="1"/>
    <cellStyle name="Hyperlink" xfId="5028" builtinId="8" hidden="1"/>
    <cellStyle name="Hyperlink" xfId="5107" builtinId="8" hidden="1"/>
    <cellStyle name="Hyperlink" xfId="5043" builtinId="8" hidden="1"/>
    <cellStyle name="Hyperlink" xfId="5114" builtinId="8" hidden="1"/>
    <cellStyle name="Hyperlink" xfId="5069" builtinId="8" hidden="1"/>
    <cellStyle name="Hyperlink" xfId="5849" builtinId="8" hidden="1"/>
    <cellStyle name="Hyperlink" xfId="5851" builtinId="8" hidden="1"/>
    <cellStyle name="Hyperlink" xfId="5853" builtinId="8" hidden="1"/>
    <cellStyle name="Hyperlink" xfId="5855" builtinId="8" hidden="1"/>
    <cellStyle name="Hyperlink" xfId="5857" builtinId="8" hidden="1"/>
    <cellStyle name="Hyperlink" xfId="5859" builtinId="8" hidden="1"/>
    <cellStyle name="Hyperlink" xfId="5909" builtinId="8" hidden="1"/>
    <cellStyle name="Hyperlink" xfId="5911" builtinId="8" hidden="1"/>
    <cellStyle name="Hyperlink" xfId="5913" builtinId="8" hidden="1"/>
    <cellStyle name="Hyperlink" xfId="5915" builtinId="8" hidden="1"/>
    <cellStyle name="Hyperlink" xfId="5905" builtinId="8" hidden="1"/>
    <cellStyle name="Hyperlink" xfId="5895" builtinId="8" hidden="1"/>
    <cellStyle name="Hyperlink" xfId="5917" builtinId="8" hidden="1"/>
    <cellStyle name="Hyperlink" xfId="5919" builtinId="8" hidden="1"/>
    <cellStyle name="Hyperlink" xfId="5921" builtinId="8" hidden="1"/>
    <cellStyle name="Hyperlink" xfId="5923" builtinId="8" hidden="1"/>
    <cellStyle name="Hyperlink" xfId="5889" builtinId="8" hidden="1"/>
    <cellStyle name="Hyperlink" xfId="5875" builtinId="8" hidden="1"/>
    <cellStyle name="Hyperlink" xfId="5925" builtinId="8" hidden="1"/>
    <cellStyle name="Hyperlink" xfId="5927" builtinId="8" hidden="1"/>
    <cellStyle name="Hyperlink" xfId="5929" builtinId="8" hidden="1"/>
    <cellStyle name="Hyperlink" xfId="5931" builtinId="8" hidden="1"/>
    <cellStyle name="Hyperlink" xfId="5894" builtinId="8" hidden="1"/>
    <cellStyle name="Hyperlink" xfId="5863" builtinId="8" hidden="1"/>
    <cellStyle name="Hyperlink" xfId="5933" builtinId="8" hidden="1"/>
    <cellStyle name="Hyperlink" xfId="5935" builtinId="8" hidden="1"/>
    <cellStyle name="Hyperlink" xfId="5937" builtinId="8" hidden="1"/>
    <cellStyle name="Hyperlink" xfId="5939" builtinId="8" hidden="1"/>
    <cellStyle name="Hyperlink" xfId="5864" builtinId="8" hidden="1"/>
    <cellStyle name="Hyperlink" xfId="5897" builtinId="8" hidden="1"/>
    <cellStyle name="Hyperlink" xfId="5941" builtinId="8" hidden="1"/>
    <cellStyle name="Hyperlink" xfId="5943" builtinId="8" hidden="1"/>
    <cellStyle name="Hyperlink" xfId="5945" builtinId="8" hidden="1"/>
    <cellStyle name="Hyperlink" xfId="5947" builtinId="8" hidden="1"/>
    <cellStyle name="Hyperlink" xfId="5866" builtinId="8" hidden="1"/>
    <cellStyle name="Hyperlink" xfId="5907" builtinId="8" hidden="1"/>
    <cellStyle name="Hyperlink" xfId="5949" builtinId="8" hidden="1"/>
    <cellStyle name="Hyperlink" xfId="5951" builtinId="8" hidden="1"/>
    <cellStyle name="Hyperlink" xfId="5953" builtinId="8" hidden="1"/>
    <cellStyle name="Hyperlink" xfId="5955" builtinId="8" hidden="1"/>
    <cellStyle name="Hyperlink" xfId="5887" builtinId="8" hidden="1"/>
    <cellStyle name="Hyperlink" xfId="5890" builtinId="8" hidden="1"/>
    <cellStyle name="Hyperlink" xfId="5957" builtinId="8" hidden="1"/>
    <cellStyle name="Hyperlink" xfId="5959" builtinId="8" hidden="1"/>
    <cellStyle name="Hyperlink" xfId="5961" builtinId="8" hidden="1"/>
    <cellStyle name="Hyperlink" xfId="5963" builtinId="8" hidden="1"/>
    <cellStyle name="Hyperlink" xfId="5891" builtinId="8" hidden="1"/>
    <cellStyle name="Hyperlink" xfId="5888" builtinId="8" hidden="1"/>
    <cellStyle name="Hyperlink" xfId="5965" builtinId="8" hidden="1"/>
    <cellStyle name="Hyperlink" xfId="5967" builtinId="8" hidden="1"/>
    <cellStyle name="Hyperlink" xfId="5969" builtinId="8" hidden="1"/>
    <cellStyle name="Hyperlink" xfId="5971" builtinId="8" hidden="1"/>
    <cellStyle name="Hyperlink" xfId="5906" builtinId="8" hidden="1"/>
    <cellStyle name="Hyperlink" xfId="5883" builtinId="8" hidden="1"/>
    <cellStyle name="Hyperlink" xfId="5973" builtinId="8" hidden="1"/>
    <cellStyle name="Hyperlink" xfId="5975" builtinId="8" hidden="1"/>
    <cellStyle name="Hyperlink" xfId="5977" builtinId="8" hidden="1"/>
    <cellStyle name="Hyperlink" xfId="5979" builtinId="8" hidden="1"/>
    <cellStyle name="Hyperlink" xfId="5861" builtinId="8" hidden="1"/>
    <cellStyle name="Hyperlink" xfId="5862" builtinId="8" hidden="1"/>
    <cellStyle name="Hyperlink" xfId="5981" builtinId="8" hidden="1"/>
    <cellStyle name="Hyperlink" xfId="5983" builtinId="8" hidden="1"/>
    <cellStyle name="Hyperlink" xfId="5985" builtinId="8" hidden="1"/>
    <cellStyle name="Hyperlink" xfId="5987" builtinId="8" hidden="1"/>
    <cellStyle name="Hyperlink" xfId="5867" builtinId="8" hidden="1"/>
    <cellStyle name="Hyperlink" xfId="5903" builtinId="8" hidden="1"/>
    <cellStyle name="Hyperlink" xfId="5989" builtinId="8" hidden="1"/>
    <cellStyle name="Hyperlink" xfId="5991" builtinId="8" hidden="1"/>
    <cellStyle name="Hyperlink" xfId="5993" builtinId="8" hidden="1"/>
    <cellStyle name="Hyperlink" xfId="5995" builtinId="8" hidden="1"/>
    <cellStyle name="Hyperlink" xfId="5872" builtinId="8" hidden="1"/>
    <cellStyle name="Hyperlink" xfId="5892" builtinId="8" hidden="1"/>
    <cellStyle name="Hyperlink" xfId="5997" builtinId="8" hidden="1"/>
    <cellStyle name="Hyperlink" xfId="5999" builtinId="8" hidden="1"/>
    <cellStyle name="Hyperlink" xfId="6001" builtinId="8" hidden="1"/>
    <cellStyle name="Hyperlink" xfId="6003" builtinId="8" hidden="1"/>
    <cellStyle name="Hyperlink" xfId="5879" builtinId="8" hidden="1"/>
    <cellStyle name="Hyperlink" xfId="5877" builtinId="8" hidden="1"/>
    <cellStyle name="Hyperlink" xfId="6005" builtinId="8" hidden="1"/>
    <cellStyle name="Hyperlink" xfId="6007" builtinId="8" hidden="1"/>
    <cellStyle name="Hyperlink" xfId="6009" builtinId="8" hidden="1"/>
    <cellStyle name="Hyperlink" xfId="6011" builtinId="8" hidden="1"/>
    <cellStyle name="Hyperlink" xfId="5334" builtinId="8" hidden="1"/>
    <cellStyle name="Hyperlink" xfId="5501" builtinId="8" hidden="1"/>
    <cellStyle name="Hyperlink" xfId="5138" builtinId="8" hidden="1"/>
    <cellStyle name="Hyperlink" xfId="5027" builtinId="8" hidden="1"/>
    <cellStyle name="Hyperlink" xfId="5023" builtinId="8" hidden="1"/>
    <cellStyle name="Hyperlink" xfId="5071" builtinId="8" hidden="1"/>
    <cellStyle name="Hyperlink" xfId="5032" builtinId="8" hidden="1"/>
    <cellStyle name="Hyperlink" xfId="5108" builtinId="8" hidden="1"/>
    <cellStyle name="Hyperlink" xfId="6018" builtinId="8" hidden="1"/>
    <cellStyle name="Hyperlink" xfId="6020" builtinId="8" hidden="1"/>
    <cellStyle name="Hyperlink" xfId="6022" builtinId="8" hidden="1"/>
    <cellStyle name="Hyperlink" xfId="6024" builtinId="8" hidden="1"/>
    <cellStyle name="Hyperlink" xfId="6026" builtinId="8" hidden="1"/>
    <cellStyle name="Hyperlink" xfId="6028" builtinId="8" hidden="1"/>
    <cellStyle name="Hyperlink" xfId="6078" builtinId="8" hidden="1"/>
    <cellStyle name="Hyperlink" xfId="6080" builtinId="8" hidden="1"/>
    <cellStyle name="Hyperlink" xfId="6082" builtinId="8" hidden="1"/>
    <cellStyle name="Hyperlink" xfId="6084" builtinId="8" hidden="1"/>
    <cellStyle name="Hyperlink" xfId="6074" builtinId="8" hidden="1"/>
    <cellStyle name="Hyperlink" xfId="6064" builtinId="8" hidden="1"/>
    <cellStyle name="Hyperlink" xfId="6086" builtinId="8" hidden="1"/>
    <cellStyle name="Hyperlink" xfId="6088" builtinId="8" hidden="1"/>
    <cellStyle name="Hyperlink" xfId="6090" builtinId="8" hidden="1"/>
    <cellStyle name="Hyperlink" xfId="6092" builtinId="8" hidden="1"/>
    <cellStyle name="Hyperlink" xfId="6058" builtinId="8" hidden="1"/>
    <cellStyle name="Hyperlink" xfId="6044" builtinId="8" hidden="1"/>
    <cellStyle name="Hyperlink" xfId="6094" builtinId="8" hidden="1"/>
    <cellStyle name="Hyperlink" xfId="6096" builtinId="8" hidden="1"/>
    <cellStyle name="Hyperlink" xfId="6098" builtinId="8" hidden="1"/>
    <cellStyle name="Hyperlink" xfId="6100" builtinId="8" hidden="1"/>
    <cellStyle name="Hyperlink" xfId="6063" builtinId="8" hidden="1"/>
    <cellStyle name="Hyperlink" xfId="6032" builtinId="8" hidden="1"/>
    <cellStyle name="Hyperlink" xfId="6102" builtinId="8" hidden="1"/>
    <cellStyle name="Hyperlink" xfId="6104" builtinId="8" hidden="1"/>
    <cellStyle name="Hyperlink" xfId="6106" builtinId="8" hidden="1"/>
    <cellStyle name="Hyperlink" xfId="6108" builtinId="8" hidden="1"/>
    <cellStyle name="Hyperlink" xfId="6033" builtinId="8" hidden="1"/>
    <cellStyle name="Hyperlink" xfId="6066" builtinId="8" hidden="1"/>
    <cellStyle name="Hyperlink" xfId="6110" builtinId="8" hidden="1"/>
    <cellStyle name="Hyperlink" xfId="6112" builtinId="8" hidden="1"/>
    <cellStyle name="Hyperlink" xfId="6114" builtinId="8" hidden="1"/>
    <cellStyle name="Hyperlink" xfId="6116" builtinId="8" hidden="1"/>
    <cellStyle name="Hyperlink" xfId="6035" builtinId="8" hidden="1"/>
    <cellStyle name="Hyperlink" xfId="6076" builtinId="8" hidden="1"/>
    <cellStyle name="Hyperlink" xfId="6118" builtinId="8" hidden="1"/>
    <cellStyle name="Hyperlink" xfId="6120" builtinId="8" hidden="1"/>
    <cellStyle name="Hyperlink" xfId="6122" builtinId="8" hidden="1"/>
    <cellStyle name="Hyperlink" xfId="6124" builtinId="8" hidden="1"/>
    <cellStyle name="Hyperlink" xfId="6056" builtinId="8" hidden="1"/>
    <cellStyle name="Hyperlink" xfId="6059" builtinId="8" hidden="1"/>
    <cellStyle name="Hyperlink" xfId="6126" builtinId="8" hidden="1"/>
    <cellStyle name="Hyperlink" xfId="6128" builtinId="8" hidden="1"/>
    <cellStyle name="Hyperlink" xfId="6130" builtinId="8" hidden="1"/>
    <cellStyle name="Hyperlink" xfId="6132" builtinId="8" hidden="1"/>
    <cellStyle name="Hyperlink" xfId="6060" builtinId="8" hidden="1"/>
    <cellStyle name="Hyperlink" xfId="6057" builtinId="8" hidden="1"/>
    <cellStyle name="Hyperlink" xfId="6134" builtinId="8" hidden="1"/>
    <cellStyle name="Hyperlink" xfId="6136" builtinId="8" hidden="1"/>
    <cellStyle name="Hyperlink" xfId="6138" builtinId="8" hidden="1"/>
    <cellStyle name="Hyperlink" xfId="6140" builtinId="8" hidden="1"/>
    <cellStyle name="Hyperlink" xfId="6075" builtinId="8" hidden="1"/>
    <cellStyle name="Hyperlink" xfId="6052" builtinId="8" hidden="1"/>
    <cellStyle name="Hyperlink" xfId="6142" builtinId="8" hidden="1"/>
    <cellStyle name="Hyperlink" xfId="6144" builtinId="8" hidden="1"/>
    <cellStyle name="Hyperlink" xfId="6146" builtinId="8" hidden="1"/>
    <cellStyle name="Hyperlink" xfId="6148" builtinId="8" hidden="1"/>
    <cellStyle name="Hyperlink" xfId="6030" builtinId="8" hidden="1"/>
    <cellStyle name="Hyperlink" xfId="6031" builtinId="8" hidden="1"/>
    <cellStyle name="Hyperlink" xfId="6150" builtinId="8" hidden="1"/>
    <cellStyle name="Hyperlink" xfId="6152" builtinId="8" hidden="1"/>
    <cellStyle name="Hyperlink" xfId="6154" builtinId="8" hidden="1"/>
    <cellStyle name="Hyperlink" xfId="6156" builtinId="8" hidden="1"/>
    <cellStyle name="Hyperlink" xfId="6036" builtinId="8" hidden="1"/>
    <cellStyle name="Hyperlink" xfId="6072" builtinId="8" hidden="1"/>
    <cellStyle name="Hyperlink" xfId="6158" builtinId="8" hidden="1"/>
    <cellStyle name="Hyperlink" xfId="6160" builtinId="8" hidden="1"/>
    <cellStyle name="Hyperlink" xfId="6162" builtinId="8" hidden="1"/>
    <cellStyle name="Hyperlink" xfId="6164" builtinId="8" hidden="1"/>
    <cellStyle name="Hyperlink" xfId="6041" builtinId="8" hidden="1"/>
    <cellStyle name="Hyperlink" xfId="6061" builtinId="8" hidden="1"/>
    <cellStyle name="Hyperlink" xfId="6166" builtinId="8" hidden="1"/>
    <cellStyle name="Hyperlink" xfId="6168" builtinId="8" hidden="1"/>
    <cellStyle name="Hyperlink" xfId="6170" builtinId="8" hidden="1"/>
    <cellStyle name="Hyperlink" xfId="6172" builtinId="8" hidden="1"/>
    <cellStyle name="Hyperlink" xfId="6048" builtinId="8" hidden="1"/>
    <cellStyle name="Hyperlink" xfId="6046" builtinId="8" hidden="1"/>
    <cellStyle name="Hyperlink" xfId="6174" builtinId="8" hidden="1"/>
    <cellStyle name="Hyperlink" xfId="6176" builtinId="8" hidden="1"/>
    <cellStyle name="Hyperlink" xfId="6178" builtinId="8" hidden="1"/>
    <cellStyle name="Hyperlink" xfId="6180" builtinId="8" hidden="1"/>
    <cellStyle name="Hyperlink" xfId="5024" builtinId="8" hidden="1"/>
    <cellStyle name="Hyperlink" xfId="5139" builtinId="8" hidden="1"/>
    <cellStyle name="Hyperlink" xfId="5508" builtinId="8" hidden="1"/>
    <cellStyle name="Hyperlink" xfId="5141" builtinId="8" hidden="1"/>
    <cellStyle name="Hyperlink" xfId="5122" builtinId="8" hidden="1"/>
    <cellStyle name="Hyperlink" xfId="5154" builtinId="8" hidden="1"/>
    <cellStyle name="Hyperlink" xfId="5029" builtinId="8" hidden="1"/>
    <cellStyle name="Hyperlink" xfId="5156" builtinId="8" hidden="1"/>
    <cellStyle name="Hyperlink" xfId="6185" builtinId="8" hidden="1"/>
    <cellStyle name="Hyperlink" xfId="6187" builtinId="8" hidden="1"/>
    <cellStyle name="Hyperlink" xfId="6189" builtinId="8" hidden="1"/>
    <cellStyle name="Hyperlink" xfId="6191" builtinId="8" hidden="1"/>
    <cellStyle name="Hyperlink" xfId="6193" builtinId="8" hidden="1"/>
    <cellStyle name="Hyperlink" xfId="6195" builtinId="8" hidden="1"/>
    <cellStyle name="Hyperlink" xfId="6245" builtinId="8" hidden="1"/>
    <cellStyle name="Hyperlink" xfId="6247" builtinId="8" hidden="1"/>
    <cellStyle name="Hyperlink" xfId="6249" builtinId="8" hidden="1"/>
    <cellStyle name="Hyperlink" xfId="6251" builtinId="8" hidden="1"/>
    <cellStyle name="Hyperlink" xfId="6241" builtinId="8" hidden="1"/>
    <cellStyle name="Hyperlink" xfId="6231" builtinId="8" hidden="1"/>
    <cellStyle name="Hyperlink" xfId="6253" builtinId="8" hidden="1"/>
    <cellStyle name="Hyperlink" xfId="6255" builtinId="8" hidden="1"/>
    <cellStyle name="Hyperlink" xfId="6257" builtinId="8" hidden="1"/>
    <cellStyle name="Hyperlink" xfId="6259" builtinId="8" hidden="1"/>
    <cellStyle name="Hyperlink" xfId="6225" builtinId="8" hidden="1"/>
    <cellStyle name="Hyperlink" xfId="6211" builtinId="8" hidden="1"/>
    <cellStyle name="Hyperlink" xfId="6261" builtinId="8" hidden="1"/>
    <cellStyle name="Hyperlink" xfId="6263" builtinId="8" hidden="1"/>
    <cellStyle name="Hyperlink" xfId="6265" builtinId="8" hidden="1"/>
    <cellStyle name="Hyperlink" xfId="6267" builtinId="8" hidden="1"/>
    <cellStyle name="Hyperlink" xfId="6230" builtinId="8" hidden="1"/>
    <cellStyle name="Hyperlink" xfId="6199" builtinId="8" hidden="1"/>
    <cellStyle name="Hyperlink" xfId="6269" builtinId="8" hidden="1"/>
    <cellStyle name="Hyperlink" xfId="6271" builtinId="8" hidden="1"/>
    <cellStyle name="Hyperlink" xfId="6273" builtinId="8" hidden="1"/>
    <cellStyle name="Hyperlink" xfId="6275" builtinId="8" hidden="1"/>
    <cellStyle name="Hyperlink" xfId="6200" builtinId="8" hidden="1"/>
    <cellStyle name="Hyperlink" xfId="6233" builtinId="8" hidden="1"/>
    <cellStyle name="Hyperlink" xfId="6277" builtinId="8" hidden="1"/>
    <cellStyle name="Hyperlink" xfId="6279" builtinId="8" hidden="1"/>
    <cellStyle name="Hyperlink" xfId="6281" builtinId="8" hidden="1"/>
    <cellStyle name="Hyperlink" xfId="6283" builtinId="8" hidden="1"/>
    <cellStyle name="Hyperlink" xfId="6202" builtinId="8" hidden="1"/>
    <cellStyle name="Hyperlink" xfId="6243" builtinId="8" hidden="1"/>
    <cellStyle name="Hyperlink" xfId="6285" builtinId="8" hidden="1"/>
    <cellStyle name="Hyperlink" xfId="6287" builtinId="8" hidden="1"/>
    <cellStyle name="Hyperlink" xfId="6289" builtinId="8" hidden="1"/>
    <cellStyle name="Hyperlink" xfId="6291" builtinId="8" hidden="1"/>
    <cellStyle name="Hyperlink" xfId="6223" builtinId="8" hidden="1"/>
    <cellStyle name="Hyperlink" xfId="6226" builtinId="8" hidden="1"/>
    <cellStyle name="Hyperlink" xfId="6293" builtinId="8" hidden="1"/>
    <cellStyle name="Hyperlink" xfId="6295" builtinId="8" hidden="1"/>
    <cellStyle name="Hyperlink" xfId="6297" builtinId="8" hidden="1"/>
    <cellStyle name="Hyperlink" xfId="6299" builtinId="8" hidden="1"/>
    <cellStyle name="Hyperlink" xfId="6227" builtinId="8" hidden="1"/>
    <cellStyle name="Hyperlink" xfId="6224" builtinId="8" hidden="1"/>
    <cellStyle name="Hyperlink" xfId="6301" builtinId="8" hidden="1"/>
    <cellStyle name="Hyperlink" xfId="6303" builtinId="8" hidden="1"/>
    <cellStyle name="Hyperlink" xfId="6305" builtinId="8" hidden="1"/>
    <cellStyle name="Hyperlink" xfId="6307" builtinId="8" hidden="1"/>
    <cellStyle name="Hyperlink" xfId="6242" builtinId="8" hidden="1"/>
    <cellStyle name="Hyperlink" xfId="6219" builtinId="8" hidden="1"/>
    <cellStyle name="Hyperlink" xfId="6309" builtinId="8" hidden="1"/>
    <cellStyle name="Hyperlink" xfId="6311" builtinId="8" hidden="1"/>
    <cellStyle name="Hyperlink" xfId="6313" builtinId="8" hidden="1"/>
    <cellStyle name="Hyperlink" xfId="6315" builtinId="8" hidden="1"/>
    <cellStyle name="Hyperlink" xfId="6197" builtinId="8" hidden="1"/>
    <cellStyle name="Hyperlink" xfId="6198" builtinId="8" hidden="1"/>
    <cellStyle name="Hyperlink" xfId="6317" builtinId="8" hidden="1"/>
    <cellStyle name="Hyperlink" xfId="6319" builtinId="8" hidden="1"/>
    <cellStyle name="Hyperlink" xfId="6321" builtinId="8" hidden="1"/>
    <cellStyle name="Hyperlink" xfId="6323" builtinId="8" hidden="1"/>
    <cellStyle name="Hyperlink" xfId="6203" builtinId="8" hidden="1"/>
    <cellStyle name="Hyperlink" xfId="6239" builtinId="8" hidden="1"/>
    <cellStyle name="Hyperlink" xfId="6325" builtinId="8" hidden="1"/>
    <cellStyle name="Hyperlink" xfId="6327" builtinId="8" hidden="1"/>
    <cellStyle name="Hyperlink" xfId="6329" builtinId="8" hidden="1"/>
    <cellStyle name="Hyperlink" xfId="6331" builtinId="8" hidden="1"/>
    <cellStyle name="Hyperlink" xfId="6208" builtinId="8" hidden="1"/>
    <cellStyle name="Hyperlink" xfId="6228" builtinId="8" hidden="1"/>
    <cellStyle name="Hyperlink" xfId="6333" builtinId="8" hidden="1"/>
    <cellStyle name="Hyperlink" xfId="6335" builtinId="8" hidden="1"/>
    <cellStyle name="Hyperlink" xfId="6337" builtinId="8" hidden="1"/>
    <cellStyle name="Hyperlink" xfId="6339" builtinId="8" hidden="1"/>
    <cellStyle name="Hyperlink" xfId="6215" builtinId="8" hidden="1"/>
    <cellStyle name="Hyperlink" xfId="6213" builtinId="8" hidden="1"/>
    <cellStyle name="Hyperlink" xfId="6341" builtinId="8" hidden="1"/>
    <cellStyle name="Hyperlink" xfId="6343" builtinId="8" hidden="1"/>
    <cellStyle name="Hyperlink" xfId="6345" builtinId="8" hidden="1"/>
    <cellStyle name="Hyperlink" xfId="6347" builtinId="8" hidden="1"/>
    <cellStyle name="Hyperlink" xfId="5165" builtinId="8" hidden="1"/>
    <cellStyle name="Hyperlink" xfId="5136" builtinId="8" hidden="1"/>
    <cellStyle name="Hyperlink" xfId="5678" builtinId="8" hidden="1"/>
    <cellStyle name="Hyperlink" xfId="5161" builtinId="8" hidden="1"/>
    <cellStyle name="Hyperlink" xfId="5098" builtinId="8" hidden="1"/>
    <cellStyle name="Hyperlink" xfId="5039" builtinId="8" hidden="1"/>
    <cellStyle name="Hyperlink" xfId="5153" builtinId="8" hidden="1"/>
    <cellStyle name="Hyperlink" xfId="5146" builtinId="8" hidden="1"/>
    <cellStyle name="Hyperlink" xfId="6352" builtinId="8" hidden="1"/>
    <cellStyle name="Hyperlink" xfId="6354" builtinId="8" hidden="1"/>
    <cellStyle name="Hyperlink" xfId="6356" builtinId="8" hidden="1"/>
    <cellStyle name="Hyperlink" xfId="6358" builtinId="8" hidden="1"/>
    <cellStyle name="Hyperlink" xfId="6360" builtinId="8" hidden="1"/>
    <cellStyle name="Hyperlink" xfId="6362" builtinId="8" hidden="1"/>
    <cellStyle name="Hyperlink" xfId="6412" builtinId="8" hidden="1"/>
    <cellStyle name="Hyperlink" xfId="6414" builtinId="8" hidden="1"/>
    <cellStyle name="Hyperlink" xfId="6416" builtinId="8" hidden="1"/>
    <cellStyle name="Hyperlink" xfId="6418" builtinId="8" hidden="1"/>
    <cellStyle name="Hyperlink" xfId="6408" builtinId="8" hidden="1"/>
    <cellStyle name="Hyperlink" xfId="6398" builtinId="8" hidden="1"/>
    <cellStyle name="Hyperlink" xfId="6420" builtinId="8" hidden="1"/>
    <cellStyle name="Hyperlink" xfId="6422" builtinId="8" hidden="1"/>
    <cellStyle name="Hyperlink" xfId="6424" builtinId="8" hidden="1"/>
    <cellStyle name="Hyperlink" xfId="6426" builtinId="8" hidden="1"/>
    <cellStyle name="Hyperlink" xfId="6392" builtinId="8" hidden="1"/>
    <cellStyle name="Hyperlink" xfId="6378" builtinId="8" hidden="1"/>
    <cellStyle name="Hyperlink" xfId="6428" builtinId="8" hidden="1"/>
    <cellStyle name="Hyperlink" xfId="6430" builtinId="8" hidden="1"/>
    <cellStyle name="Hyperlink" xfId="6432" builtinId="8" hidden="1"/>
    <cellStyle name="Hyperlink" xfId="6434" builtinId="8" hidden="1"/>
    <cellStyle name="Hyperlink" xfId="6397" builtinId="8" hidden="1"/>
    <cellStyle name="Hyperlink" xfId="6366" builtinId="8" hidden="1"/>
    <cellStyle name="Hyperlink" xfId="6436" builtinId="8" hidden="1"/>
    <cellStyle name="Hyperlink" xfId="6438" builtinId="8" hidden="1"/>
    <cellStyle name="Hyperlink" xfId="6440" builtinId="8" hidden="1"/>
    <cellStyle name="Hyperlink" xfId="6442" builtinId="8" hidden="1"/>
    <cellStyle name="Hyperlink" xfId="6367" builtinId="8" hidden="1"/>
    <cellStyle name="Hyperlink" xfId="6400" builtinId="8" hidden="1"/>
    <cellStyle name="Hyperlink" xfId="6444" builtinId="8" hidden="1"/>
    <cellStyle name="Hyperlink" xfId="6446" builtinId="8" hidden="1"/>
    <cellStyle name="Hyperlink" xfId="6448" builtinId="8" hidden="1"/>
    <cellStyle name="Hyperlink" xfId="6450" builtinId="8" hidden="1"/>
    <cellStyle name="Hyperlink" xfId="6369" builtinId="8" hidden="1"/>
    <cellStyle name="Hyperlink" xfId="6410" builtinId="8" hidden="1"/>
    <cellStyle name="Hyperlink" xfId="6452" builtinId="8" hidden="1"/>
    <cellStyle name="Hyperlink" xfId="6454" builtinId="8" hidden="1"/>
    <cellStyle name="Hyperlink" xfId="6456" builtinId="8" hidden="1"/>
    <cellStyle name="Hyperlink" xfId="6458" builtinId="8" hidden="1"/>
    <cellStyle name="Hyperlink" xfId="6390" builtinId="8" hidden="1"/>
    <cellStyle name="Hyperlink" xfId="6393" builtinId="8" hidden="1"/>
    <cellStyle name="Hyperlink" xfId="6460" builtinId="8" hidden="1"/>
    <cellStyle name="Hyperlink" xfId="6462" builtinId="8" hidden="1"/>
    <cellStyle name="Hyperlink" xfId="6464" builtinId="8" hidden="1"/>
    <cellStyle name="Hyperlink" xfId="6466" builtinId="8" hidden="1"/>
    <cellStyle name="Hyperlink" xfId="6394" builtinId="8" hidden="1"/>
    <cellStyle name="Hyperlink" xfId="6391" builtinId="8" hidden="1"/>
    <cellStyle name="Hyperlink" xfId="6468" builtinId="8" hidden="1"/>
    <cellStyle name="Hyperlink" xfId="6470" builtinId="8" hidden="1"/>
    <cellStyle name="Hyperlink" xfId="6472" builtinId="8" hidden="1"/>
    <cellStyle name="Hyperlink" xfId="6474" builtinId="8" hidden="1"/>
    <cellStyle name="Hyperlink" xfId="6409" builtinId="8" hidden="1"/>
    <cellStyle name="Hyperlink" xfId="6386" builtinId="8" hidden="1"/>
    <cellStyle name="Hyperlink" xfId="6476" builtinId="8" hidden="1"/>
    <cellStyle name="Hyperlink" xfId="6478" builtinId="8" hidden="1"/>
    <cellStyle name="Hyperlink" xfId="6480" builtinId="8" hidden="1"/>
    <cellStyle name="Hyperlink" xfId="6482" builtinId="8" hidden="1"/>
    <cellStyle name="Hyperlink" xfId="6364" builtinId="8" hidden="1"/>
    <cellStyle name="Hyperlink" xfId="6365" builtinId="8" hidden="1"/>
    <cellStyle name="Hyperlink" xfId="6484" builtinId="8" hidden="1"/>
    <cellStyle name="Hyperlink" xfId="6486" builtinId="8" hidden="1"/>
    <cellStyle name="Hyperlink" xfId="6488" builtinId="8" hidden="1"/>
    <cellStyle name="Hyperlink" xfId="6490" builtinId="8" hidden="1"/>
    <cellStyle name="Hyperlink" xfId="6370" builtinId="8" hidden="1"/>
    <cellStyle name="Hyperlink" xfId="6406" builtinId="8" hidden="1"/>
    <cellStyle name="Hyperlink" xfId="6492" builtinId="8" hidden="1"/>
    <cellStyle name="Hyperlink" xfId="6494" builtinId="8" hidden="1"/>
    <cellStyle name="Hyperlink" xfId="6496" builtinId="8" hidden="1"/>
    <cellStyle name="Hyperlink" xfId="6498" builtinId="8" hidden="1"/>
    <cellStyle name="Hyperlink" xfId="6375" builtinId="8" hidden="1"/>
    <cellStyle name="Hyperlink" xfId="6395" builtinId="8" hidden="1"/>
    <cellStyle name="Hyperlink" xfId="6500" builtinId="8" hidden="1"/>
    <cellStyle name="Hyperlink" xfId="6502" builtinId="8" hidden="1"/>
    <cellStyle name="Hyperlink" xfId="6504" builtinId="8" hidden="1"/>
    <cellStyle name="Hyperlink" xfId="6506" builtinId="8" hidden="1"/>
    <cellStyle name="Hyperlink" xfId="6382" builtinId="8" hidden="1"/>
    <cellStyle name="Hyperlink" xfId="6380" builtinId="8" hidden="1"/>
    <cellStyle name="Hyperlink" xfId="6508" builtinId="8" hidden="1"/>
    <cellStyle name="Hyperlink" xfId="6510" builtinId="8" hidden="1"/>
    <cellStyle name="Hyperlink" xfId="6512" builtinId="8" hidden="1"/>
    <cellStyle name="Hyperlink" xfId="6514" builtinId="8" hidden="1"/>
    <cellStyle name="Hyperlink" xfId="5140" builtinId="8" hidden="1"/>
    <cellStyle name="Hyperlink" xfId="5124" builtinId="8" hidden="1"/>
    <cellStyle name="Hyperlink" xfId="5847" builtinId="8" hidden="1"/>
    <cellStyle name="Hyperlink" xfId="5103" builtinId="8" hidden="1"/>
    <cellStyle name="Hyperlink" xfId="5020" builtinId="8" hidden="1"/>
    <cellStyle name="Hyperlink" xfId="5082" builtinId="8" hidden="1"/>
    <cellStyle name="Hyperlink" xfId="5504" builtinId="8" hidden="1"/>
    <cellStyle name="Hyperlink" xfId="5101" builtinId="8" hidden="1"/>
    <cellStyle name="Hyperlink" xfId="6517" builtinId="8" hidden="1"/>
    <cellStyle name="Hyperlink" xfId="6519" builtinId="8" hidden="1"/>
    <cellStyle name="Hyperlink" xfId="6521" builtinId="8" hidden="1"/>
    <cellStyle name="Hyperlink" xfId="6523" builtinId="8" hidden="1"/>
    <cellStyle name="Hyperlink" xfId="6525" builtinId="8" hidden="1"/>
    <cellStyle name="Hyperlink" xfId="6527" builtinId="8" hidden="1"/>
    <cellStyle name="Hyperlink" xfId="6577" builtinId="8" hidden="1"/>
    <cellStyle name="Hyperlink" xfId="6579" builtinId="8" hidden="1"/>
    <cellStyle name="Hyperlink" xfId="6581" builtinId="8" hidden="1"/>
    <cellStyle name="Hyperlink" xfId="6583" builtinId="8" hidden="1"/>
    <cellStyle name="Hyperlink" xfId="6573" builtinId="8" hidden="1"/>
    <cellStyle name="Hyperlink" xfId="6563" builtinId="8" hidden="1"/>
    <cellStyle name="Hyperlink" xfId="6585" builtinId="8" hidden="1"/>
    <cellStyle name="Hyperlink" xfId="6587" builtinId="8" hidden="1"/>
    <cellStyle name="Hyperlink" xfId="6589" builtinId="8" hidden="1"/>
    <cellStyle name="Hyperlink" xfId="6591" builtinId="8" hidden="1"/>
    <cellStyle name="Hyperlink" xfId="6557" builtinId="8" hidden="1"/>
    <cellStyle name="Hyperlink" xfId="6543" builtinId="8" hidden="1"/>
    <cellStyle name="Hyperlink" xfId="6593" builtinId="8" hidden="1"/>
    <cellStyle name="Hyperlink" xfId="6595" builtinId="8" hidden="1"/>
    <cellStyle name="Hyperlink" xfId="6597" builtinId="8" hidden="1"/>
    <cellStyle name="Hyperlink" xfId="6599" builtinId="8" hidden="1"/>
    <cellStyle name="Hyperlink" xfId="6562" builtinId="8" hidden="1"/>
    <cellStyle name="Hyperlink" xfId="6531" builtinId="8" hidden="1"/>
    <cellStyle name="Hyperlink" xfId="6601" builtinId="8" hidden="1"/>
    <cellStyle name="Hyperlink" xfId="6603" builtinId="8" hidden="1"/>
    <cellStyle name="Hyperlink" xfId="6605" builtinId="8" hidden="1"/>
    <cellStyle name="Hyperlink" xfId="6607" builtinId="8" hidden="1"/>
    <cellStyle name="Hyperlink" xfId="6532" builtinId="8" hidden="1"/>
    <cellStyle name="Hyperlink" xfId="6565" builtinId="8" hidden="1"/>
    <cellStyle name="Hyperlink" xfId="6609" builtinId="8" hidden="1"/>
    <cellStyle name="Hyperlink" xfId="6611" builtinId="8" hidden="1"/>
    <cellStyle name="Hyperlink" xfId="6613" builtinId="8" hidden="1"/>
    <cellStyle name="Hyperlink" xfId="6615" builtinId="8" hidden="1"/>
    <cellStyle name="Hyperlink" xfId="6534" builtinId="8" hidden="1"/>
    <cellStyle name="Hyperlink" xfId="6575" builtinId="8" hidden="1"/>
    <cellStyle name="Hyperlink" xfId="6617" builtinId="8" hidden="1"/>
    <cellStyle name="Hyperlink" xfId="6619" builtinId="8" hidden="1"/>
    <cellStyle name="Hyperlink" xfId="6621" builtinId="8" hidden="1"/>
    <cellStyle name="Hyperlink" xfId="6623" builtinId="8" hidden="1"/>
    <cellStyle name="Hyperlink" xfId="6555" builtinId="8" hidden="1"/>
    <cellStyle name="Hyperlink" xfId="6558" builtinId="8" hidden="1"/>
    <cellStyle name="Hyperlink" xfId="6625" builtinId="8" hidden="1"/>
    <cellStyle name="Hyperlink" xfId="6627" builtinId="8" hidden="1"/>
    <cellStyle name="Hyperlink" xfId="6629" builtinId="8" hidden="1"/>
    <cellStyle name="Hyperlink" xfId="6631" builtinId="8" hidden="1"/>
    <cellStyle name="Hyperlink" xfId="6559" builtinId="8" hidden="1"/>
    <cellStyle name="Hyperlink" xfId="6556" builtinId="8" hidden="1"/>
    <cellStyle name="Hyperlink" xfId="6633" builtinId="8" hidden="1"/>
    <cellStyle name="Hyperlink" xfId="6635" builtinId="8" hidden="1"/>
    <cellStyle name="Hyperlink" xfId="6637" builtinId="8" hidden="1"/>
    <cellStyle name="Hyperlink" xfId="6639" builtinId="8" hidden="1"/>
    <cellStyle name="Hyperlink" xfId="6574" builtinId="8" hidden="1"/>
    <cellStyle name="Hyperlink" xfId="6551" builtinId="8" hidden="1"/>
    <cellStyle name="Hyperlink" xfId="6641" builtinId="8" hidden="1"/>
    <cellStyle name="Hyperlink" xfId="6643" builtinId="8" hidden="1"/>
    <cellStyle name="Hyperlink" xfId="6645" builtinId="8" hidden="1"/>
    <cellStyle name="Hyperlink" xfId="6647" builtinId="8" hidden="1"/>
    <cellStyle name="Hyperlink" xfId="6529" builtinId="8" hidden="1"/>
    <cellStyle name="Hyperlink" xfId="6530" builtinId="8" hidden="1"/>
    <cellStyle name="Hyperlink" xfId="6649" builtinId="8" hidden="1"/>
    <cellStyle name="Hyperlink" xfId="6651" builtinId="8" hidden="1"/>
    <cellStyle name="Hyperlink" xfId="6653" builtinId="8" hidden="1"/>
    <cellStyle name="Hyperlink" xfId="6655" builtinId="8" hidden="1"/>
    <cellStyle name="Hyperlink" xfId="6535" builtinId="8" hidden="1"/>
    <cellStyle name="Hyperlink" xfId="6571" builtinId="8" hidden="1"/>
    <cellStyle name="Hyperlink" xfId="6657" builtinId="8" hidden="1"/>
    <cellStyle name="Hyperlink" xfId="6659" builtinId="8" hidden="1"/>
    <cellStyle name="Hyperlink" xfId="6661" builtinId="8" hidden="1"/>
    <cellStyle name="Hyperlink" xfId="6663" builtinId="8" hidden="1"/>
    <cellStyle name="Hyperlink" xfId="6540" builtinId="8" hidden="1"/>
    <cellStyle name="Hyperlink" xfId="6560" builtinId="8" hidden="1"/>
    <cellStyle name="Hyperlink" xfId="6665" builtinId="8" hidden="1"/>
    <cellStyle name="Hyperlink" xfId="6667" builtinId="8" hidden="1"/>
    <cellStyle name="Hyperlink" xfId="6669" builtinId="8" hidden="1"/>
    <cellStyle name="Hyperlink" xfId="6671" builtinId="8" hidden="1"/>
    <cellStyle name="Hyperlink" xfId="6547" builtinId="8" hidden="1"/>
    <cellStyle name="Hyperlink" xfId="6545" builtinId="8" hidden="1"/>
    <cellStyle name="Hyperlink" xfId="6673" builtinId="8" hidden="1"/>
    <cellStyle name="Hyperlink" xfId="6675" builtinId="8" hidden="1"/>
    <cellStyle name="Hyperlink" xfId="6677" builtinId="8" hidden="1"/>
    <cellStyle name="Hyperlink" xfId="6679" builtinId="8" hidden="1"/>
    <cellStyle name="Hyperlink" xfId="5160" builtinId="8" hidden="1"/>
    <cellStyle name="Hyperlink" xfId="5044" builtinId="8" hidden="1"/>
    <cellStyle name="Hyperlink" xfId="6016" builtinId="8" hidden="1"/>
    <cellStyle name="Hyperlink" xfId="5025" builtinId="8" hidden="1"/>
    <cellStyle name="Hyperlink" xfId="5083" builtinId="8" hidden="1"/>
    <cellStyle name="Hyperlink" xfId="5118" builtinId="8" hidden="1"/>
    <cellStyle name="Hyperlink" xfId="5674" builtinId="8" hidden="1"/>
    <cellStyle name="Hyperlink" xfId="5040" builtinId="8" hidden="1"/>
    <cellStyle name="Hyperlink" xfId="6682" builtinId="8" hidden="1"/>
    <cellStyle name="Hyperlink" xfId="6684" builtinId="8" hidden="1"/>
    <cellStyle name="Hyperlink" xfId="6686" builtinId="8" hidden="1"/>
    <cellStyle name="Hyperlink" xfId="6688" builtinId="8" hidden="1"/>
    <cellStyle name="Hyperlink" xfId="6690" builtinId="8" hidden="1"/>
    <cellStyle name="Hyperlink" xfId="6692" builtinId="8" hidden="1"/>
    <cellStyle name="Hyperlink" xfId="6742" builtinId="8" hidden="1"/>
    <cellStyle name="Hyperlink" xfId="6744" builtinId="8" hidden="1"/>
    <cellStyle name="Hyperlink" xfId="6746" builtinId="8" hidden="1"/>
    <cellStyle name="Hyperlink" xfId="6748" builtinId="8" hidden="1"/>
    <cellStyle name="Hyperlink" xfId="6738" builtinId="8" hidden="1"/>
    <cellStyle name="Hyperlink" xfId="6728" builtinId="8" hidden="1"/>
    <cellStyle name="Hyperlink" xfId="6750" builtinId="8" hidden="1"/>
    <cellStyle name="Hyperlink" xfId="6752" builtinId="8" hidden="1"/>
    <cellStyle name="Hyperlink" xfId="6754" builtinId="8" hidden="1"/>
    <cellStyle name="Hyperlink" xfId="6756" builtinId="8" hidden="1"/>
    <cellStyle name="Hyperlink" xfId="6722" builtinId="8" hidden="1"/>
    <cellStyle name="Hyperlink" xfId="6708" builtinId="8" hidden="1"/>
    <cellStyle name="Hyperlink" xfId="6758" builtinId="8" hidden="1"/>
    <cellStyle name="Hyperlink" xfId="6760" builtinId="8" hidden="1"/>
    <cellStyle name="Hyperlink" xfId="6762" builtinId="8" hidden="1"/>
    <cellStyle name="Hyperlink" xfId="6764" builtinId="8" hidden="1"/>
    <cellStyle name="Hyperlink" xfId="6727" builtinId="8" hidden="1"/>
    <cellStyle name="Hyperlink" xfId="6696" builtinId="8" hidden="1"/>
    <cellStyle name="Hyperlink" xfId="6766" builtinId="8" hidden="1"/>
    <cellStyle name="Hyperlink" xfId="6768" builtinId="8" hidden="1"/>
    <cellStyle name="Hyperlink" xfId="6770" builtinId="8" hidden="1"/>
    <cellStyle name="Hyperlink" xfId="6772" builtinId="8" hidden="1"/>
    <cellStyle name="Hyperlink" xfId="6697" builtinId="8" hidden="1"/>
    <cellStyle name="Hyperlink" xfId="6730" builtinId="8" hidden="1"/>
    <cellStyle name="Hyperlink" xfId="6774" builtinId="8" hidden="1"/>
    <cellStyle name="Hyperlink" xfId="6776" builtinId="8" hidden="1"/>
    <cellStyle name="Hyperlink" xfId="6778" builtinId="8" hidden="1"/>
    <cellStyle name="Hyperlink" xfId="6780" builtinId="8" hidden="1"/>
    <cellStyle name="Hyperlink" xfId="6699" builtinId="8" hidden="1"/>
    <cellStyle name="Hyperlink" xfId="6740" builtinId="8" hidden="1"/>
    <cellStyle name="Hyperlink" xfId="6782" builtinId="8" hidden="1"/>
    <cellStyle name="Hyperlink" xfId="6784" builtinId="8" hidden="1"/>
    <cellStyle name="Hyperlink" xfId="6786" builtinId="8" hidden="1"/>
    <cellStyle name="Hyperlink" xfId="6788" builtinId="8" hidden="1"/>
    <cellStyle name="Hyperlink" xfId="6720" builtinId="8" hidden="1"/>
    <cellStyle name="Hyperlink" xfId="6723" builtinId="8" hidden="1"/>
    <cellStyle name="Hyperlink" xfId="6790" builtinId="8" hidden="1"/>
    <cellStyle name="Hyperlink" xfId="6792" builtinId="8" hidden="1"/>
    <cellStyle name="Hyperlink" xfId="6794" builtinId="8" hidden="1"/>
    <cellStyle name="Hyperlink" xfId="6796" builtinId="8" hidden="1"/>
    <cellStyle name="Hyperlink" xfId="6724" builtinId="8" hidden="1"/>
    <cellStyle name="Hyperlink" xfId="6721" builtinId="8" hidden="1"/>
    <cellStyle name="Hyperlink" xfId="6798" builtinId="8" hidden="1"/>
    <cellStyle name="Hyperlink" xfId="6800" builtinId="8" hidden="1"/>
    <cellStyle name="Hyperlink" xfId="6802" builtinId="8" hidden="1"/>
    <cellStyle name="Hyperlink" xfId="6804" builtinId="8" hidden="1"/>
    <cellStyle name="Hyperlink" xfId="6739" builtinId="8" hidden="1"/>
    <cellStyle name="Hyperlink" xfId="6716" builtinId="8" hidden="1"/>
    <cellStyle name="Hyperlink" xfId="6806" builtinId="8" hidden="1"/>
    <cellStyle name="Hyperlink" xfId="6808" builtinId="8" hidden="1"/>
    <cellStyle name="Hyperlink" xfId="6810" builtinId="8" hidden="1"/>
    <cellStyle name="Hyperlink" xfId="6812" builtinId="8" hidden="1"/>
    <cellStyle name="Hyperlink" xfId="6694" builtinId="8" hidden="1"/>
    <cellStyle name="Hyperlink" xfId="6695" builtinId="8" hidden="1"/>
    <cellStyle name="Hyperlink" xfId="6814" builtinId="8" hidden="1"/>
    <cellStyle name="Hyperlink" xfId="6816" builtinId="8" hidden="1"/>
    <cellStyle name="Hyperlink" xfId="6818" builtinId="8" hidden="1"/>
    <cellStyle name="Hyperlink" xfId="6820" builtinId="8" hidden="1"/>
    <cellStyle name="Hyperlink" xfId="6700" builtinId="8" hidden="1"/>
    <cellStyle name="Hyperlink" xfId="6736" builtinId="8" hidden="1"/>
    <cellStyle name="Hyperlink" xfId="6822" builtinId="8" hidden="1"/>
    <cellStyle name="Hyperlink" xfId="6824" builtinId="8" hidden="1"/>
    <cellStyle name="Hyperlink" xfId="6826" builtinId="8" hidden="1"/>
    <cellStyle name="Hyperlink" xfId="6828" builtinId="8" hidden="1"/>
    <cellStyle name="Hyperlink" xfId="6705" builtinId="8" hidden="1"/>
    <cellStyle name="Hyperlink" xfId="6725" builtinId="8" hidden="1"/>
    <cellStyle name="Hyperlink" xfId="6830" builtinId="8" hidden="1"/>
    <cellStyle name="Hyperlink" xfId="6832" builtinId="8" hidden="1"/>
    <cellStyle name="Hyperlink" xfId="6834" builtinId="8" hidden="1"/>
    <cellStyle name="Hyperlink" xfId="6836" builtinId="8" hidden="1"/>
    <cellStyle name="Hyperlink" xfId="6712" builtinId="8" hidden="1"/>
    <cellStyle name="Hyperlink" xfId="6710" builtinId="8" hidden="1"/>
    <cellStyle name="Hyperlink" xfId="6838" builtinId="8" hidden="1"/>
    <cellStyle name="Hyperlink" xfId="6840" builtinId="8" hidden="1"/>
    <cellStyle name="Hyperlink" xfId="6842" builtinId="8" hidden="1"/>
    <cellStyle name="Hyperlink" xfId="6844" builtinId="8" hidden="1"/>
    <cellStyle name="Hyperlink" xfId="5344" builtinId="8" hidden="1"/>
    <cellStyle name="Hyperlink" xfId="5503" builtinId="8" hidden="1"/>
    <cellStyle name="Hyperlink" xfId="6183" builtinId="8" hidden="1"/>
    <cellStyle name="Hyperlink" xfId="5505" builtinId="8" hidden="1"/>
    <cellStyle name="Hyperlink" xfId="5162" builtinId="8" hidden="1"/>
    <cellStyle name="Hyperlink" xfId="5112" builtinId="8" hidden="1"/>
    <cellStyle name="Hyperlink" xfId="5844" builtinId="8" hidden="1"/>
    <cellStyle name="Hyperlink" xfId="5130" builtinId="8" hidden="1"/>
    <cellStyle name="Hyperlink" xfId="6847" builtinId="8" hidden="1"/>
    <cellStyle name="Hyperlink" xfId="6849" builtinId="8" hidden="1"/>
    <cellStyle name="Hyperlink" xfId="6851" builtinId="8" hidden="1"/>
    <cellStyle name="Hyperlink" xfId="6853" builtinId="8" hidden="1"/>
    <cellStyle name="Hyperlink" xfId="6855" builtinId="8" hidden="1"/>
    <cellStyle name="Hyperlink" xfId="6857" builtinId="8" hidden="1"/>
    <cellStyle name="Hyperlink" xfId="6907" builtinId="8" hidden="1"/>
    <cellStyle name="Hyperlink" xfId="6909" builtinId="8" hidden="1"/>
    <cellStyle name="Hyperlink" xfId="6911" builtinId="8" hidden="1"/>
    <cellStyle name="Hyperlink" xfId="6913" builtinId="8" hidden="1"/>
    <cellStyle name="Hyperlink" xfId="6903" builtinId="8" hidden="1"/>
    <cellStyle name="Hyperlink" xfId="6893" builtinId="8" hidden="1"/>
    <cellStyle name="Hyperlink" xfId="6915" builtinId="8" hidden="1"/>
    <cellStyle name="Hyperlink" xfId="6917" builtinId="8" hidden="1"/>
    <cellStyle name="Hyperlink" xfId="6919" builtinId="8" hidden="1"/>
    <cellStyle name="Hyperlink" xfId="6921" builtinId="8" hidden="1"/>
    <cellStyle name="Hyperlink" xfId="6887" builtinId="8" hidden="1"/>
    <cellStyle name="Hyperlink" xfId="6873" builtinId="8" hidden="1"/>
    <cellStyle name="Hyperlink" xfId="6923" builtinId="8" hidden="1"/>
    <cellStyle name="Hyperlink" xfId="6925" builtinId="8" hidden="1"/>
    <cellStyle name="Hyperlink" xfId="6927" builtinId="8" hidden="1"/>
    <cellStyle name="Hyperlink" xfId="6929" builtinId="8" hidden="1"/>
    <cellStyle name="Hyperlink" xfId="6892" builtinId="8" hidden="1"/>
    <cellStyle name="Hyperlink" xfId="6861" builtinId="8" hidden="1"/>
    <cellStyle name="Hyperlink" xfId="6931" builtinId="8" hidden="1"/>
    <cellStyle name="Hyperlink" xfId="6933" builtinId="8" hidden="1"/>
    <cellStyle name="Hyperlink" xfId="6935" builtinId="8" hidden="1"/>
    <cellStyle name="Hyperlink" xfId="6937" builtinId="8" hidden="1"/>
    <cellStyle name="Hyperlink" xfId="6862" builtinId="8" hidden="1"/>
    <cellStyle name="Hyperlink" xfId="6895" builtinId="8" hidden="1"/>
    <cellStyle name="Hyperlink" xfId="6939" builtinId="8" hidden="1"/>
    <cellStyle name="Hyperlink" xfId="6941" builtinId="8" hidden="1"/>
    <cellStyle name="Hyperlink" xfId="6943" builtinId="8" hidden="1"/>
    <cellStyle name="Hyperlink" xfId="6945" builtinId="8" hidden="1"/>
    <cellStyle name="Hyperlink" xfId="6864" builtinId="8" hidden="1"/>
    <cellStyle name="Hyperlink" xfId="6905" builtinId="8" hidden="1"/>
    <cellStyle name="Hyperlink" xfId="6947" builtinId="8" hidden="1"/>
    <cellStyle name="Hyperlink" xfId="6949" builtinId="8" hidden="1"/>
    <cellStyle name="Hyperlink" xfId="6951" builtinId="8" hidden="1"/>
    <cellStyle name="Hyperlink" xfId="6953" builtinId="8" hidden="1"/>
    <cellStyle name="Hyperlink" xfId="6885" builtinId="8" hidden="1"/>
    <cellStyle name="Hyperlink" xfId="6888" builtinId="8" hidden="1"/>
    <cellStyle name="Hyperlink" xfId="6955" builtinId="8" hidden="1"/>
    <cellStyle name="Hyperlink" xfId="6957" builtinId="8" hidden="1"/>
    <cellStyle name="Hyperlink" xfId="6959" builtinId="8" hidden="1"/>
    <cellStyle name="Hyperlink" xfId="6961" builtinId="8" hidden="1"/>
    <cellStyle name="Hyperlink" xfId="6889" builtinId="8" hidden="1"/>
    <cellStyle name="Hyperlink" xfId="6886" builtinId="8" hidden="1"/>
    <cellStyle name="Hyperlink" xfId="6963" builtinId="8" hidden="1"/>
    <cellStyle name="Hyperlink" xfId="6965" builtinId="8" hidden="1"/>
    <cellStyle name="Hyperlink" xfId="6967" builtinId="8" hidden="1"/>
    <cellStyle name="Hyperlink" xfId="6969" builtinId="8" hidden="1"/>
    <cellStyle name="Hyperlink" xfId="6904" builtinId="8" hidden="1"/>
    <cellStyle name="Hyperlink" xfId="6881" builtinId="8" hidden="1"/>
    <cellStyle name="Hyperlink" xfId="6971" builtinId="8" hidden="1"/>
    <cellStyle name="Hyperlink" xfId="6973" builtinId="8" hidden="1"/>
    <cellStyle name="Hyperlink" xfId="6975" builtinId="8" hidden="1"/>
    <cellStyle name="Hyperlink" xfId="6977" builtinId="8" hidden="1"/>
    <cellStyle name="Hyperlink" xfId="6859" builtinId="8" hidden="1"/>
    <cellStyle name="Hyperlink" xfId="6860" builtinId="8" hidden="1"/>
    <cellStyle name="Hyperlink" xfId="6979" builtinId="8" hidden="1"/>
    <cellStyle name="Hyperlink" xfId="6981" builtinId="8" hidden="1"/>
    <cellStyle name="Hyperlink" xfId="6983" builtinId="8" hidden="1"/>
    <cellStyle name="Hyperlink" xfId="6985" builtinId="8" hidden="1"/>
    <cellStyle name="Hyperlink" xfId="6865" builtinId="8" hidden="1"/>
    <cellStyle name="Hyperlink" xfId="6901" builtinId="8" hidden="1"/>
    <cellStyle name="Hyperlink" xfId="6987" builtinId="8" hidden="1"/>
    <cellStyle name="Hyperlink" xfId="6989" builtinId="8" hidden="1"/>
    <cellStyle name="Hyperlink" xfId="6991" builtinId="8" hidden="1"/>
    <cellStyle name="Hyperlink" xfId="6993" builtinId="8" hidden="1"/>
    <cellStyle name="Hyperlink" xfId="6870" builtinId="8" hidden="1"/>
    <cellStyle name="Hyperlink" xfId="6890" builtinId="8" hidden="1"/>
    <cellStyle name="Hyperlink" xfId="6995" builtinId="8" hidden="1"/>
    <cellStyle name="Hyperlink" xfId="6997" builtinId="8" hidden="1"/>
    <cellStyle name="Hyperlink" xfId="6999" builtinId="8" hidden="1"/>
    <cellStyle name="Hyperlink" xfId="7001" builtinId="8" hidden="1"/>
    <cellStyle name="Hyperlink" xfId="6877" builtinId="8" hidden="1"/>
    <cellStyle name="Hyperlink" xfId="6875" builtinId="8" hidden="1"/>
    <cellStyle name="Hyperlink" xfId="7003" builtinId="8" hidden="1"/>
    <cellStyle name="Hyperlink" xfId="7005" builtinId="8" hidden="1"/>
    <cellStyle name="Hyperlink" xfId="7007" builtinId="8" hidden="1"/>
    <cellStyle name="Hyperlink" xfId="7009" builtinId="8" hidden="1"/>
    <cellStyle name="Hyperlink" xfId="5046" builtinId="8" hidden="1"/>
    <cellStyle name="Hyperlink" xfId="5135" builtinId="8" hidden="1"/>
    <cellStyle name="Hyperlink" xfId="6350" builtinId="8" hidden="1"/>
    <cellStyle name="Hyperlink" xfId="5675" builtinId="8" hidden="1"/>
    <cellStyle name="Hyperlink" xfId="5164" builtinId="8" hidden="1"/>
    <cellStyle name="Hyperlink" xfId="5075" builtinId="8" hidden="1"/>
    <cellStyle name="Hyperlink" xfId="6013" builtinId="8" hidden="1"/>
    <cellStyle name="Hyperlink" xfId="5166" builtinId="8" hidden="1"/>
    <cellStyle name="Hyperlink" xfId="7011" builtinId="8" hidden="1"/>
    <cellStyle name="Hyperlink" xfId="7013" builtinId="8" hidden="1"/>
    <cellStyle name="Hyperlink" xfId="7015" builtinId="8" hidden="1"/>
    <cellStyle name="Hyperlink" xfId="7017" builtinId="8" hidden="1"/>
    <cellStyle name="Hyperlink" xfId="7019" builtinId="8" hidden="1"/>
    <cellStyle name="Hyperlink" xfId="7021" builtinId="8" hidden="1"/>
    <cellStyle name="Hyperlink" xfId="7071" builtinId="8" hidden="1"/>
    <cellStyle name="Hyperlink" xfId="7073" builtinId="8" hidden="1"/>
    <cellStyle name="Hyperlink" xfId="7075" builtinId="8" hidden="1"/>
    <cellStyle name="Hyperlink" xfId="7077" builtinId="8" hidden="1"/>
    <cellStyle name="Hyperlink" xfId="7067" builtinId="8" hidden="1"/>
    <cellStyle name="Hyperlink" xfId="7057" builtinId="8" hidden="1"/>
    <cellStyle name="Hyperlink" xfId="7079" builtinId="8" hidden="1"/>
    <cellStyle name="Hyperlink" xfId="7081" builtinId="8" hidden="1"/>
    <cellStyle name="Hyperlink" xfId="7083" builtinId="8" hidden="1"/>
    <cellStyle name="Hyperlink" xfId="7085" builtinId="8" hidden="1"/>
    <cellStyle name="Hyperlink" xfId="7051" builtinId="8" hidden="1"/>
    <cellStyle name="Hyperlink" xfId="7037" builtinId="8" hidden="1"/>
    <cellStyle name="Hyperlink" xfId="7087" builtinId="8" hidden="1"/>
    <cellStyle name="Hyperlink" xfId="7089" builtinId="8" hidden="1"/>
    <cellStyle name="Hyperlink" xfId="7091" builtinId="8" hidden="1"/>
    <cellStyle name="Hyperlink" xfId="7093" builtinId="8" hidden="1"/>
    <cellStyle name="Hyperlink" xfId="7056" builtinId="8" hidden="1"/>
    <cellStyle name="Hyperlink" xfId="7025" builtinId="8" hidden="1"/>
    <cellStyle name="Hyperlink" xfId="7095" builtinId="8" hidden="1"/>
    <cellStyle name="Hyperlink" xfId="7097" builtinId="8" hidden="1"/>
    <cellStyle name="Hyperlink" xfId="7099" builtinId="8" hidden="1"/>
    <cellStyle name="Hyperlink" xfId="7101" builtinId="8" hidden="1"/>
    <cellStyle name="Hyperlink" xfId="7026" builtinId="8" hidden="1"/>
    <cellStyle name="Hyperlink" xfId="7059" builtinId="8" hidden="1"/>
    <cellStyle name="Hyperlink" xfId="7103" builtinId="8" hidden="1"/>
    <cellStyle name="Hyperlink" xfId="7105" builtinId="8" hidden="1"/>
    <cellStyle name="Hyperlink" xfId="7107" builtinId="8" hidden="1"/>
    <cellStyle name="Hyperlink" xfId="7109" builtinId="8" hidden="1"/>
    <cellStyle name="Hyperlink" xfId="7028" builtinId="8" hidden="1"/>
    <cellStyle name="Hyperlink" xfId="7069" builtinId="8" hidden="1"/>
    <cellStyle name="Hyperlink" xfId="7111" builtinId="8" hidden="1"/>
    <cellStyle name="Hyperlink" xfId="7113" builtinId="8" hidden="1"/>
    <cellStyle name="Hyperlink" xfId="7115" builtinId="8" hidden="1"/>
    <cellStyle name="Hyperlink" xfId="7117" builtinId="8" hidden="1"/>
    <cellStyle name="Hyperlink" xfId="7049" builtinId="8" hidden="1"/>
    <cellStyle name="Hyperlink" xfId="7052" builtinId="8" hidden="1"/>
    <cellStyle name="Hyperlink" xfId="7119" builtinId="8" hidden="1"/>
    <cellStyle name="Hyperlink" xfId="7121" builtinId="8" hidden="1"/>
    <cellStyle name="Hyperlink" xfId="7123" builtinId="8" hidden="1"/>
    <cellStyle name="Hyperlink" xfId="7125" builtinId="8" hidden="1"/>
    <cellStyle name="Hyperlink" xfId="7053" builtinId="8" hidden="1"/>
    <cellStyle name="Hyperlink" xfId="7050" builtinId="8" hidden="1"/>
    <cellStyle name="Hyperlink" xfId="7127" builtinId="8" hidden="1"/>
    <cellStyle name="Hyperlink" xfId="7129" builtinId="8" hidden="1"/>
    <cellStyle name="Hyperlink" xfId="7131" builtinId="8" hidden="1"/>
    <cellStyle name="Hyperlink" xfId="7133" builtinId="8" hidden="1"/>
    <cellStyle name="Hyperlink" xfId="7068" builtinId="8" hidden="1"/>
    <cellStyle name="Hyperlink" xfId="7045" builtinId="8" hidden="1"/>
    <cellStyle name="Hyperlink" xfId="7135" builtinId="8" hidden="1"/>
    <cellStyle name="Hyperlink" xfId="7137" builtinId="8" hidden="1"/>
    <cellStyle name="Hyperlink" xfId="7139" builtinId="8" hidden="1"/>
    <cellStyle name="Hyperlink" xfId="7141" builtinId="8" hidden="1"/>
    <cellStyle name="Hyperlink" xfId="7023" builtinId="8" hidden="1"/>
    <cellStyle name="Hyperlink" xfId="7024" builtinId="8" hidden="1"/>
    <cellStyle name="Hyperlink" xfId="7143" builtinId="8" hidden="1"/>
    <cellStyle name="Hyperlink" xfId="7145" builtinId="8" hidden="1"/>
    <cellStyle name="Hyperlink" xfId="7147" builtinId="8" hidden="1"/>
    <cellStyle name="Hyperlink" xfId="7149" builtinId="8" hidden="1"/>
    <cellStyle name="Hyperlink" xfId="7029" builtinId="8" hidden="1"/>
    <cellStyle name="Hyperlink" xfId="7065" builtinId="8" hidden="1"/>
    <cellStyle name="Hyperlink" xfId="7151" builtinId="8" hidden="1"/>
    <cellStyle name="Hyperlink" xfId="7153" builtinId="8" hidden="1"/>
    <cellStyle name="Hyperlink" xfId="7155" builtinId="8" hidden="1"/>
    <cellStyle name="Hyperlink" xfId="7157" builtinId="8" hidden="1"/>
    <cellStyle name="Hyperlink" xfId="7034" builtinId="8" hidden="1"/>
    <cellStyle name="Hyperlink" xfId="7054" builtinId="8" hidden="1"/>
    <cellStyle name="Hyperlink" xfId="7159" builtinId="8" hidden="1"/>
    <cellStyle name="Hyperlink" xfId="7161" builtinId="8" hidden="1"/>
    <cellStyle name="Hyperlink" xfId="7163" builtinId="8" hidden="1"/>
    <cellStyle name="Hyperlink" xfId="7165" builtinId="8" hidden="1"/>
    <cellStyle name="Hyperlink" xfId="7041" builtinId="8" hidden="1"/>
    <cellStyle name="Hyperlink" xfId="7039" builtinId="8" hidden="1"/>
    <cellStyle name="Hyperlink" xfId="7167" builtinId="8" hidden="1"/>
    <cellStyle name="Hyperlink" xfId="7169" builtinId="8" hidden="1"/>
    <cellStyle name="Hyperlink" xfId="7171" builtinId="8" hidden="1"/>
    <cellStyle name="Hyperlink" xfId="7173" builtinId="8" hidden="1"/>
    <cellStyle name="Hyperlink" xfId="2440" builtinId="8" hidden="1"/>
    <cellStyle name="Hyperlink" xfId="2431" builtinId="8" hidden="1"/>
    <cellStyle name="Hyperlink" xfId="2407" builtinId="8" hidden="1"/>
    <cellStyle name="Hyperlink" xfId="2487" builtinId="8" hidden="1"/>
    <cellStyle name="Hyperlink" xfId="2513" builtinId="8" hidden="1"/>
    <cellStyle name="Hyperlink" xfId="2443" builtinId="8" hidden="1"/>
    <cellStyle name="Hyperlink" xfId="2405" builtinId="8" hidden="1"/>
    <cellStyle name="Hyperlink" xfId="2502" builtinId="8" hidden="1"/>
    <cellStyle name="Hyperlink" xfId="2499" builtinId="8" hidden="1"/>
    <cellStyle name="Hyperlink" xfId="2511" builtinId="8" hidden="1"/>
    <cellStyle name="Hyperlink" xfId="2401" builtinId="8" hidden="1"/>
    <cellStyle name="Hyperlink" xfId="2463" builtinId="8" hidden="1"/>
    <cellStyle name="Hyperlink" xfId="2485" builtinId="8" hidden="1"/>
    <cellStyle name="Hyperlink" xfId="2518" builtinId="8" hidden="1"/>
    <cellStyle name="Hyperlink" xfId="7180" builtinId="8" hidden="1"/>
    <cellStyle name="Hyperlink" xfId="7182" builtinId="8" hidden="1"/>
    <cellStyle name="Hyperlink" xfId="7184" builtinId="8" hidden="1"/>
    <cellStyle name="Hyperlink" xfId="7186" builtinId="8" hidden="1"/>
    <cellStyle name="Hyperlink" xfId="7188" builtinId="8" hidden="1"/>
    <cellStyle name="Hyperlink" xfId="7190" builtinId="8" hidden="1"/>
    <cellStyle name="Hyperlink" xfId="7240" builtinId="8" hidden="1"/>
    <cellStyle name="Hyperlink" xfId="7242" builtinId="8" hidden="1"/>
    <cellStyle name="Hyperlink" xfId="7244" builtinId="8" hidden="1"/>
    <cellStyle name="Hyperlink" xfId="7246" builtinId="8" hidden="1"/>
    <cellStyle name="Hyperlink" xfId="7236" builtinId="8" hidden="1"/>
    <cellStyle name="Hyperlink" xfId="7226" builtinId="8" hidden="1"/>
    <cellStyle name="Hyperlink" xfId="7248" builtinId="8" hidden="1"/>
    <cellStyle name="Hyperlink" xfId="7250" builtinId="8" hidden="1"/>
    <cellStyle name="Hyperlink" xfId="7252" builtinId="8" hidden="1"/>
    <cellStyle name="Hyperlink" xfId="7254" builtinId="8" hidden="1"/>
    <cellStyle name="Hyperlink" xfId="7220" builtinId="8" hidden="1"/>
    <cellStyle name="Hyperlink" xfId="7206" builtinId="8" hidden="1"/>
    <cellStyle name="Hyperlink" xfId="7256" builtinId="8" hidden="1"/>
    <cellStyle name="Hyperlink" xfId="7258" builtinId="8" hidden="1"/>
    <cellStyle name="Hyperlink" xfId="7260" builtinId="8" hidden="1"/>
    <cellStyle name="Hyperlink" xfId="7262" builtinId="8" hidden="1"/>
    <cellStyle name="Hyperlink" xfId="7225" builtinId="8" hidden="1"/>
    <cellStyle name="Hyperlink" xfId="7194" builtinId="8" hidden="1"/>
    <cellStyle name="Hyperlink" xfId="7264" builtinId="8" hidden="1"/>
    <cellStyle name="Hyperlink" xfId="7266" builtinId="8" hidden="1"/>
    <cellStyle name="Hyperlink" xfId="7268" builtinId="8" hidden="1"/>
    <cellStyle name="Hyperlink" xfId="7270" builtinId="8" hidden="1"/>
    <cellStyle name="Hyperlink" xfId="7195" builtinId="8" hidden="1"/>
    <cellStyle name="Hyperlink" xfId="7228" builtinId="8" hidden="1"/>
    <cellStyle name="Hyperlink" xfId="7272" builtinId="8" hidden="1"/>
    <cellStyle name="Hyperlink" xfId="7274" builtinId="8" hidden="1"/>
    <cellStyle name="Hyperlink" xfId="7276" builtinId="8" hidden="1"/>
    <cellStyle name="Hyperlink" xfId="7278" builtinId="8" hidden="1"/>
    <cellStyle name="Hyperlink" xfId="7197" builtinId="8" hidden="1"/>
    <cellStyle name="Hyperlink" xfId="7238" builtinId="8" hidden="1"/>
    <cellStyle name="Hyperlink" xfId="7280" builtinId="8" hidden="1"/>
    <cellStyle name="Hyperlink" xfId="7282" builtinId="8" hidden="1"/>
    <cellStyle name="Hyperlink" xfId="7284" builtinId="8" hidden="1"/>
    <cellStyle name="Hyperlink" xfId="7286" builtinId="8" hidden="1"/>
    <cellStyle name="Hyperlink" xfId="7218" builtinId="8" hidden="1"/>
    <cellStyle name="Hyperlink" xfId="7221" builtinId="8" hidden="1"/>
    <cellStyle name="Hyperlink" xfId="7288" builtinId="8" hidden="1"/>
    <cellStyle name="Hyperlink" xfId="7290" builtinId="8" hidden="1"/>
    <cellStyle name="Hyperlink" xfId="7292" builtinId="8" hidden="1"/>
    <cellStyle name="Hyperlink" xfId="7294" builtinId="8" hidden="1"/>
    <cellStyle name="Hyperlink" xfId="7222" builtinId="8" hidden="1"/>
    <cellStyle name="Hyperlink" xfId="7219" builtinId="8" hidden="1"/>
    <cellStyle name="Hyperlink" xfId="7296" builtinId="8" hidden="1"/>
    <cellStyle name="Hyperlink" xfId="7298" builtinId="8" hidden="1"/>
    <cellStyle name="Hyperlink" xfId="7300" builtinId="8" hidden="1"/>
    <cellStyle name="Hyperlink" xfId="7302" builtinId="8" hidden="1"/>
    <cellStyle name="Hyperlink" xfId="7237" builtinId="8" hidden="1"/>
    <cellStyle name="Hyperlink" xfId="7214" builtinId="8" hidden="1"/>
    <cellStyle name="Hyperlink" xfId="7304" builtinId="8" hidden="1"/>
    <cellStyle name="Hyperlink" xfId="7306" builtinId="8" hidden="1"/>
    <cellStyle name="Hyperlink" xfId="7308" builtinId="8" hidden="1"/>
    <cellStyle name="Hyperlink" xfId="7310" builtinId="8" hidden="1"/>
    <cellStyle name="Hyperlink" xfId="7192" builtinId="8" hidden="1"/>
    <cellStyle name="Hyperlink" xfId="7193" builtinId="8" hidden="1"/>
    <cellStyle name="Hyperlink" xfId="7312" builtinId="8" hidden="1"/>
    <cellStyle name="Hyperlink" xfId="7314" builtinId="8" hidden="1"/>
    <cellStyle name="Hyperlink" xfId="7316" builtinId="8" hidden="1"/>
    <cellStyle name="Hyperlink" xfId="7318" builtinId="8" hidden="1"/>
    <cellStyle name="Hyperlink" xfId="7198" builtinId="8" hidden="1"/>
    <cellStyle name="Hyperlink" xfId="7234" builtinId="8" hidden="1"/>
    <cellStyle name="Hyperlink" xfId="7320" builtinId="8" hidden="1"/>
    <cellStyle name="Hyperlink" xfId="7322" builtinId="8" hidden="1"/>
    <cellStyle name="Hyperlink" xfId="7324" builtinId="8" hidden="1"/>
    <cellStyle name="Hyperlink" xfId="7326" builtinId="8" hidden="1"/>
    <cellStyle name="Hyperlink" xfId="7203" builtinId="8" hidden="1"/>
    <cellStyle name="Hyperlink" xfId="7223" builtinId="8" hidden="1"/>
    <cellStyle name="Hyperlink" xfId="7328" builtinId="8" hidden="1"/>
    <cellStyle name="Hyperlink" xfId="7330" builtinId="8" hidden="1"/>
    <cellStyle name="Hyperlink" xfId="7332" builtinId="8" hidden="1"/>
    <cellStyle name="Hyperlink" xfId="7334" builtinId="8" hidden="1"/>
    <cellStyle name="Hyperlink" xfId="7210" builtinId="8" hidden="1"/>
    <cellStyle name="Hyperlink" xfId="7208" builtinId="8" hidden="1"/>
    <cellStyle name="Hyperlink" xfId="7336" builtinId="8" hidden="1"/>
    <cellStyle name="Hyperlink" xfId="7338" builtinId="8" hidden="1"/>
    <cellStyle name="Hyperlink" xfId="7340" builtinId="8" hidden="1"/>
    <cellStyle name="Hyperlink" xfId="7342" builtinId="8" hidden="1"/>
    <cellStyle name="Hyperlink" xfId="7344" builtinId="8" hidden="1"/>
    <cellStyle name="Hyperlink" xfId="7346" builtinId="8" hidden="1"/>
    <cellStyle name="Hyperlink" xfId="7412" builtinId="8" hidden="1"/>
    <cellStyle name="Hyperlink" xfId="7414" builtinId="8" hidden="1"/>
    <cellStyle name="Hyperlink" xfId="7416" builtinId="8" hidden="1"/>
    <cellStyle name="Hyperlink" xfId="7418" builtinId="8" hidden="1"/>
    <cellStyle name="Hyperlink" xfId="7421" builtinId="8" hidden="1"/>
    <cellStyle name="Hyperlink" xfId="7423" builtinId="8" hidden="1"/>
    <cellStyle name="Hyperlink" xfId="7497" builtinId="8" hidden="1"/>
    <cellStyle name="Hyperlink" xfId="7499" builtinId="8" hidden="1"/>
    <cellStyle name="Hyperlink" xfId="7501" builtinId="8" hidden="1"/>
    <cellStyle name="Hyperlink" xfId="7503" builtinId="8" hidden="1"/>
    <cellStyle name="Hyperlink" xfId="7505" builtinId="8" hidden="1"/>
    <cellStyle name="Hyperlink" xfId="7507" builtinId="8" hidden="1"/>
    <cellStyle name="Hyperlink" xfId="7557" builtinId="8" hidden="1"/>
    <cellStyle name="Hyperlink" xfId="7559" builtinId="8" hidden="1"/>
    <cellStyle name="Hyperlink" xfId="7561" builtinId="8" hidden="1"/>
    <cellStyle name="Hyperlink" xfId="7563" builtinId="8" hidden="1"/>
    <cellStyle name="Hyperlink" xfId="7553" builtinId="8" hidden="1"/>
    <cellStyle name="Hyperlink" xfId="7543" builtinId="8" hidden="1"/>
    <cellStyle name="Hyperlink" xfId="7565" builtinId="8" hidden="1"/>
    <cellStyle name="Hyperlink" xfId="7567" builtinId="8" hidden="1"/>
    <cellStyle name="Hyperlink" xfId="7569" builtinId="8" hidden="1"/>
    <cellStyle name="Hyperlink" xfId="7571" builtinId="8" hidden="1"/>
    <cellStyle name="Hyperlink" xfId="7537" builtinId="8" hidden="1"/>
    <cellStyle name="Hyperlink" xfId="7523" builtinId="8" hidden="1"/>
    <cellStyle name="Hyperlink" xfId="7573" builtinId="8" hidden="1"/>
    <cellStyle name="Hyperlink" xfId="7575" builtinId="8" hidden="1"/>
    <cellStyle name="Hyperlink" xfId="7577" builtinId="8" hidden="1"/>
    <cellStyle name="Hyperlink" xfId="7579" builtinId="8" hidden="1"/>
    <cellStyle name="Hyperlink" xfId="7542" builtinId="8" hidden="1"/>
    <cellStyle name="Hyperlink" xfId="7511" builtinId="8" hidden="1"/>
    <cellStyle name="Hyperlink" xfId="7581" builtinId="8" hidden="1"/>
    <cellStyle name="Hyperlink" xfId="7583" builtinId="8" hidden="1"/>
    <cellStyle name="Hyperlink" xfId="7585" builtinId="8" hidden="1"/>
    <cellStyle name="Hyperlink" xfId="7587" builtinId="8" hidden="1"/>
    <cellStyle name="Hyperlink" xfId="7512" builtinId="8" hidden="1"/>
    <cellStyle name="Hyperlink" xfId="7545" builtinId="8" hidden="1"/>
    <cellStyle name="Hyperlink" xfId="7589" builtinId="8" hidden="1"/>
    <cellStyle name="Hyperlink" xfId="7591" builtinId="8" hidden="1"/>
    <cellStyle name="Hyperlink" xfId="7593" builtinId="8" hidden="1"/>
    <cellStyle name="Hyperlink" xfId="7595" builtinId="8" hidden="1"/>
    <cellStyle name="Hyperlink" xfId="7514" builtinId="8" hidden="1"/>
    <cellStyle name="Hyperlink" xfId="7555" builtinId="8" hidden="1"/>
    <cellStyle name="Hyperlink" xfId="7597" builtinId="8" hidden="1"/>
    <cellStyle name="Hyperlink" xfId="7599" builtinId="8" hidden="1"/>
    <cellStyle name="Hyperlink" xfId="7601" builtinId="8" hidden="1"/>
    <cellStyle name="Hyperlink" xfId="7603" builtinId="8" hidden="1"/>
    <cellStyle name="Hyperlink" xfId="7535" builtinId="8" hidden="1"/>
    <cellStyle name="Hyperlink" xfId="7538" builtinId="8" hidden="1"/>
    <cellStyle name="Hyperlink" xfId="7605" builtinId="8" hidden="1"/>
    <cellStyle name="Hyperlink" xfId="7607" builtinId="8" hidden="1"/>
    <cellStyle name="Hyperlink" xfId="7609" builtinId="8" hidden="1"/>
    <cellStyle name="Hyperlink" xfId="7611" builtinId="8" hidden="1"/>
    <cellStyle name="Hyperlink" xfId="7539" builtinId="8" hidden="1"/>
    <cellStyle name="Hyperlink" xfId="7536" builtinId="8" hidden="1"/>
    <cellStyle name="Hyperlink" xfId="7613" builtinId="8" hidden="1"/>
    <cellStyle name="Hyperlink" xfId="7615" builtinId="8" hidden="1"/>
    <cellStyle name="Hyperlink" xfId="7617" builtinId="8" hidden="1"/>
    <cellStyle name="Hyperlink" xfId="7619" builtinId="8" hidden="1"/>
    <cellStyle name="Hyperlink" xfId="7554" builtinId="8" hidden="1"/>
    <cellStyle name="Hyperlink" xfId="7531" builtinId="8" hidden="1"/>
    <cellStyle name="Hyperlink" xfId="7621" builtinId="8" hidden="1"/>
    <cellStyle name="Hyperlink" xfId="7623" builtinId="8" hidden="1"/>
    <cellStyle name="Hyperlink" xfId="7625" builtinId="8" hidden="1"/>
    <cellStyle name="Hyperlink" xfId="7627" builtinId="8" hidden="1"/>
    <cellStyle name="Hyperlink" xfId="7509" builtinId="8" hidden="1"/>
    <cellStyle name="Hyperlink" xfId="7510" builtinId="8" hidden="1"/>
    <cellStyle name="Hyperlink" xfId="7629" builtinId="8" hidden="1"/>
    <cellStyle name="Hyperlink" xfId="7631" builtinId="8" hidden="1"/>
    <cellStyle name="Hyperlink" xfId="7633" builtinId="8" hidden="1"/>
    <cellStyle name="Hyperlink" xfId="7635" builtinId="8" hidden="1"/>
    <cellStyle name="Hyperlink" xfId="7515" builtinId="8" hidden="1"/>
    <cellStyle name="Hyperlink" xfId="7551" builtinId="8" hidden="1"/>
    <cellStyle name="Hyperlink" xfId="7637" builtinId="8" hidden="1"/>
    <cellStyle name="Hyperlink" xfId="7639" builtinId="8" hidden="1"/>
    <cellStyle name="Hyperlink" xfId="7641" builtinId="8" hidden="1"/>
    <cellStyle name="Hyperlink" xfId="7643" builtinId="8" hidden="1"/>
    <cellStyle name="Hyperlink" xfId="7520" builtinId="8" hidden="1"/>
    <cellStyle name="Hyperlink" xfId="7540" builtinId="8" hidden="1"/>
    <cellStyle name="Hyperlink" xfId="7645" builtinId="8" hidden="1"/>
    <cellStyle name="Hyperlink" xfId="7647" builtinId="8" hidden="1"/>
    <cellStyle name="Hyperlink" xfId="7649" builtinId="8" hidden="1"/>
    <cellStyle name="Hyperlink" xfId="7651" builtinId="8" hidden="1"/>
    <cellStyle name="Hyperlink" xfId="7527" builtinId="8" hidden="1"/>
    <cellStyle name="Hyperlink" xfId="7525" builtinId="8" hidden="1"/>
    <cellStyle name="Hyperlink" xfId="7653" builtinId="8" hidden="1"/>
    <cellStyle name="Hyperlink" xfId="7655" builtinId="8" hidden="1"/>
    <cellStyle name="Hyperlink" xfId="7657" builtinId="8" hidden="1"/>
    <cellStyle name="Hyperlink" xfId="7659" builtinId="8" hidden="1"/>
    <cellStyle name="Hyperlink" xfId="7358" builtinId="8" hidden="1"/>
    <cellStyle name="Hyperlink" xfId="7470" builtinId="8" hidden="1"/>
    <cellStyle name="Hyperlink" xfId="7362" builtinId="8" hidden="1"/>
    <cellStyle name="Hyperlink" xfId="7473" builtinId="8" hidden="1"/>
    <cellStyle name="Hyperlink" xfId="7456" builtinId="8" hidden="1"/>
    <cellStyle name="Hyperlink" xfId="7408" builtinId="8" hidden="1"/>
    <cellStyle name="Hyperlink" xfId="7349" builtinId="8" hidden="1"/>
    <cellStyle name="Hyperlink" xfId="7461" builtinId="8" hidden="1"/>
    <cellStyle name="Hyperlink" xfId="7664" builtinId="8" hidden="1"/>
    <cellStyle name="Hyperlink" xfId="7666" builtinId="8" hidden="1"/>
    <cellStyle name="Hyperlink" xfId="7668" builtinId="8" hidden="1"/>
    <cellStyle name="Hyperlink" xfId="7670" builtinId="8" hidden="1"/>
    <cellStyle name="Hyperlink" xfId="7673" builtinId="8" hidden="1"/>
    <cellStyle name="Hyperlink" xfId="7675" builtinId="8" hidden="1"/>
    <cellStyle name="Hyperlink" xfId="7725" builtinId="8" hidden="1"/>
    <cellStyle name="Hyperlink" xfId="7727" builtinId="8" hidden="1"/>
    <cellStyle name="Hyperlink" xfId="7729" builtinId="8" hidden="1"/>
    <cellStyle name="Hyperlink" xfId="7731" builtinId="8" hidden="1"/>
    <cellStyle name="Hyperlink" xfId="7721" builtinId="8" hidden="1"/>
    <cellStyle name="Hyperlink" xfId="7711" builtinId="8" hidden="1"/>
    <cellStyle name="Hyperlink" xfId="7733" builtinId="8" hidden="1"/>
    <cellStyle name="Hyperlink" xfId="7735" builtinId="8" hidden="1"/>
    <cellStyle name="Hyperlink" xfId="7737" builtinId="8" hidden="1"/>
    <cellStyle name="Hyperlink" xfId="7739" builtinId="8" hidden="1"/>
    <cellStyle name="Hyperlink" xfId="7705" builtinId="8" hidden="1"/>
    <cellStyle name="Hyperlink" xfId="7691" builtinId="8" hidden="1"/>
    <cellStyle name="Hyperlink" xfId="7741" builtinId="8" hidden="1"/>
    <cellStyle name="Hyperlink" xfId="7743" builtinId="8" hidden="1"/>
    <cellStyle name="Hyperlink" xfId="7745" builtinId="8" hidden="1"/>
    <cellStyle name="Hyperlink" xfId="7747" builtinId="8" hidden="1"/>
    <cellStyle name="Hyperlink" xfId="7710" builtinId="8" hidden="1"/>
    <cellStyle name="Hyperlink" xfId="7679" builtinId="8" hidden="1"/>
    <cellStyle name="Hyperlink" xfId="7749" builtinId="8" hidden="1"/>
    <cellStyle name="Hyperlink" xfId="7751" builtinId="8" hidden="1"/>
    <cellStyle name="Hyperlink" xfId="7753" builtinId="8" hidden="1"/>
    <cellStyle name="Hyperlink" xfId="7755" builtinId="8" hidden="1"/>
    <cellStyle name="Hyperlink" xfId="7680" builtinId="8" hidden="1"/>
    <cellStyle name="Hyperlink" xfId="7713" builtinId="8" hidden="1"/>
    <cellStyle name="Hyperlink" xfId="7757" builtinId="8" hidden="1"/>
    <cellStyle name="Hyperlink" xfId="7759" builtinId="8" hidden="1"/>
    <cellStyle name="Hyperlink" xfId="7761" builtinId="8" hidden="1"/>
    <cellStyle name="Hyperlink" xfId="7763" builtinId="8" hidden="1"/>
    <cellStyle name="Hyperlink" xfId="7682" builtinId="8" hidden="1"/>
    <cellStyle name="Hyperlink" xfId="7723" builtinId="8" hidden="1"/>
    <cellStyle name="Hyperlink" xfId="7765" builtinId="8" hidden="1"/>
    <cellStyle name="Hyperlink" xfId="7767" builtinId="8" hidden="1"/>
    <cellStyle name="Hyperlink" xfId="7769" builtinId="8" hidden="1"/>
    <cellStyle name="Hyperlink" xfId="7771" builtinId="8" hidden="1"/>
    <cellStyle name="Hyperlink" xfId="7703" builtinId="8" hidden="1"/>
    <cellStyle name="Hyperlink" xfId="7706" builtinId="8" hidden="1"/>
    <cellStyle name="Hyperlink" xfId="7773" builtinId="8" hidden="1"/>
    <cellStyle name="Hyperlink" xfId="7775" builtinId="8" hidden="1"/>
    <cellStyle name="Hyperlink" xfId="7777" builtinId="8" hidden="1"/>
    <cellStyle name="Hyperlink" xfId="7779" builtinId="8" hidden="1"/>
    <cellStyle name="Hyperlink" xfId="7707" builtinId="8" hidden="1"/>
    <cellStyle name="Hyperlink" xfId="7704" builtinId="8" hidden="1"/>
    <cellStyle name="Hyperlink" xfId="7781" builtinId="8" hidden="1"/>
    <cellStyle name="Hyperlink" xfId="7783" builtinId="8" hidden="1"/>
    <cellStyle name="Hyperlink" xfId="7785" builtinId="8" hidden="1"/>
    <cellStyle name="Hyperlink" xfId="7787" builtinId="8" hidden="1"/>
    <cellStyle name="Hyperlink" xfId="7722" builtinId="8" hidden="1"/>
    <cellStyle name="Hyperlink" xfId="7699" builtinId="8" hidden="1"/>
    <cellStyle name="Hyperlink" xfId="7789" builtinId="8" hidden="1"/>
    <cellStyle name="Hyperlink" xfId="7791" builtinId="8" hidden="1"/>
    <cellStyle name="Hyperlink" xfId="7793" builtinId="8" hidden="1"/>
    <cellStyle name="Hyperlink" xfId="7795" builtinId="8" hidden="1"/>
    <cellStyle name="Hyperlink" xfId="7677" builtinId="8" hidden="1"/>
    <cellStyle name="Hyperlink" xfId="7678" builtinId="8" hidden="1"/>
    <cellStyle name="Hyperlink" xfId="7797" builtinId="8" hidden="1"/>
    <cellStyle name="Hyperlink" xfId="7799" builtinId="8" hidden="1"/>
    <cellStyle name="Hyperlink" xfId="7801" builtinId="8" hidden="1"/>
    <cellStyle name="Hyperlink" xfId="7803" builtinId="8" hidden="1"/>
    <cellStyle name="Hyperlink" xfId="7683" builtinId="8" hidden="1"/>
    <cellStyle name="Hyperlink" xfId="7719" builtinId="8" hidden="1"/>
    <cellStyle name="Hyperlink" xfId="7805" builtinId="8" hidden="1"/>
    <cellStyle name="Hyperlink" xfId="7807" builtinId="8" hidden="1"/>
    <cellStyle name="Hyperlink" xfId="7809" builtinId="8" hidden="1"/>
    <cellStyle name="Hyperlink" xfId="7811" builtinId="8" hidden="1"/>
    <cellStyle name="Hyperlink" xfId="7688" builtinId="8" hidden="1"/>
    <cellStyle name="Hyperlink" xfId="7708" builtinId="8" hidden="1"/>
    <cellStyle name="Hyperlink" xfId="7813" builtinId="8" hidden="1"/>
    <cellStyle name="Hyperlink" xfId="7815" builtinId="8" hidden="1"/>
    <cellStyle name="Hyperlink" xfId="7817" builtinId="8" hidden="1"/>
    <cellStyle name="Hyperlink" xfId="7819" builtinId="8" hidden="1"/>
    <cellStyle name="Hyperlink" xfId="7695" builtinId="8" hidden="1"/>
    <cellStyle name="Hyperlink" xfId="7693" builtinId="8" hidden="1"/>
    <cellStyle name="Hyperlink" xfId="7821" builtinId="8" hidden="1"/>
    <cellStyle name="Hyperlink" xfId="7823" builtinId="8" hidden="1"/>
    <cellStyle name="Hyperlink" xfId="7825" builtinId="8" hidden="1"/>
    <cellStyle name="Hyperlink" xfId="7827" builtinId="8" hidden="1"/>
    <cellStyle name="Hyperlink" xfId="7404" builtinId="8" hidden="1"/>
    <cellStyle name="Hyperlink" xfId="7405" builtinId="8" hidden="1"/>
    <cellStyle name="Hyperlink" xfId="7379" builtinId="8" hidden="1"/>
    <cellStyle name="Hyperlink" xfId="7380" builtinId="8" hidden="1"/>
    <cellStyle name="Hyperlink" xfId="7395" builtinId="8" hidden="1"/>
    <cellStyle name="Hyperlink" xfId="7393" builtinId="8" hidden="1"/>
    <cellStyle name="Hyperlink" xfId="7386" builtinId="8" hidden="1"/>
    <cellStyle name="Hyperlink" xfId="7387" builtinId="8" hidden="1"/>
    <cellStyle name="Hyperlink" xfId="7838" builtinId="8" hidden="1"/>
    <cellStyle name="Hyperlink" xfId="7840" builtinId="8" hidden="1"/>
    <cellStyle name="Hyperlink" xfId="7842" builtinId="8" hidden="1"/>
    <cellStyle name="Hyperlink" xfId="7844" builtinId="8" hidden="1"/>
    <cellStyle name="Hyperlink" xfId="7846" builtinId="8" hidden="1"/>
    <cellStyle name="Hyperlink" xfId="7848" builtinId="8" hidden="1"/>
    <cellStyle name="Hyperlink" xfId="7898" builtinId="8" hidden="1"/>
    <cellStyle name="Hyperlink" xfId="7900" builtinId="8" hidden="1"/>
    <cellStyle name="Hyperlink" xfId="7902" builtinId="8" hidden="1"/>
    <cellStyle name="Hyperlink" xfId="7904" builtinId="8" hidden="1"/>
    <cellStyle name="Hyperlink" xfId="7894" builtinId="8" hidden="1"/>
    <cellStyle name="Hyperlink" xfId="7884" builtinId="8" hidden="1"/>
    <cellStyle name="Hyperlink" xfId="7906" builtinId="8" hidden="1"/>
    <cellStyle name="Hyperlink" xfId="7908" builtinId="8" hidden="1"/>
    <cellStyle name="Hyperlink" xfId="7910" builtinId="8" hidden="1"/>
    <cellStyle name="Hyperlink" xfId="7912" builtinId="8" hidden="1"/>
    <cellStyle name="Hyperlink" xfId="7878" builtinId="8" hidden="1"/>
    <cellStyle name="Hyperlink" xfId="7864" builtinId="8" hidden="1"/>
    <cellStyle name="Hyperlink" xfId="7914" builtinId="8" hidden="1"/>
    <cellStyle name="Hyperlink" xfId="7916" builtinId="8" hidden="1"/>
    <cellStyle name="Hyperlink" xfId="7918" builtinId="8" hidden="1"/>
    <cellStyle name="Hyperlink" xfId="7920" builtinId="8" hidden="1"/>
    <cellStyle name="Hyperlink" xfId="7883" builtinId="8" hidden="1"/>
    <cellStyle name="Hyperlink" xfId="7852" builtinId="8" hidden="1"/>
    <cellStyle name="Hyperlink" xfId="7922" builtinId="8" hidden="1"/>
    <cellStyle name="Hyperlink" xfId="7924" builtinId="8" hidden="1"/>
    <cellStyle name="Hyperlink" xfId="7926" builtinId="8" hidden="1"/>
    <cellStyle name="Hyperlink" xfId="7928" builtinId="8" hidden="1"/>
    <cellStyle name="Hyperlink" xfId="7853" builtinId="8" hidden="1"/>
    <cellStyle name="Hyperlink" xfId="7886" builtinId="8" hidden="1"/>
    <cellStyle name="Hyperlink" xfId="7930" builtinId="8" hidden="1"/>
    <cellStyle name="Hyperlink" xfId="7932" builtinId="8" hidden="1"/>
    <cellStyle name="Hyperlink" xfId="7934" builtinId="8" hidden="1"/>
    <cellStyle name="Hyperlink" xfId="7936" builtinId="8" hidden="1"/>
    <cellStyle name="Hyperlink" xfId="7855" builtinId="8" hidden="1"/>
    <cellStyle name="Hyperlink" xfId="7896" builtinId="8" hidden="1"/>
    <cellStyle name="Hyperlink" xfId="7938" builtinId="8" hidden="1"/>
    <cellStyle name="Hyperlink" xfId="7940" builtinId="8" hidden="1"/>
    <cellStyle name="Hyperlink" xfId="7942" builtinId="8" hidden="1"/>
    <cellStyle name="Hyperlink" xfId="7944" builtinId="8" hidden="1"/>
    <cellStyle name="Hyperlink" xfId="7876" builtinId="8" hidden="1"/>
    <cellStyle name="Hyperlink" xfId="7879" builtinId="8" hidden="1"/>
    <cellStyle name="Hyperlink" xfId="7946" builtinId="8" hidden="1"/>
    <cellStyle name="Hyperlink" xfId="7948" builtinId="8" hidden="1"/>
    <cellStyle name="Hyperlink" xfId="7950" builtinId="8" hidden="1"/>
    <cellStyle name="Hyperlink" xfId="7952" builtinId="8" hidden="1"/>
    <cellStyle name="Hyperlink" xfId="7880" builtinId="8" hidden="1"/>
    <cellStyle name="Hyperlink" xfId="7877" builtinId="8" hidden="1"/>
    <cellStyle name="Hyperlink" xfId="7954" builtinId="8" hidden="1"/>
    <cellStyle name="Hyperlink" xfId="7956" builtinId="8" hidden="1"/>
    <cellStyle name="Hyperlink" xfId="7958" builtinId="8" hidden="1"/>
    <cellStyle name="Hyperlink" xfId="7960" builtinId="8" hidden="1"/>
    <cellStyle name="Hyperlink" xfId="7895" builtinId="8" hidden="1"/>
    <cellStyle name="Hyperlink" xfId="7872" builtinId="8" hidden="1"/>
    <cellStyle name="Hyperlink" xfId="7962" builtinId="8" hidden="1"/>
    <cellStyle name="Hyperlink" xfId="7964" builtinId="8" hidden="1"/>
    <cellStyle name="Hyperlink" xfId="7966" builtinId="8" hidden="1"/>
    <cellStyle name="Hyperlink" xfId="7968" builtinId="8" hidden="1"/>
    <cellStyle name="Hyperlink" xfId="7850" builtinId="8" hidden="1"/>
    <cellStyle name="Hyperlink" xfId="7851" builtinId="8" hidden="1"/>
    <cellStyle name="Hyperlink" xfId="7970" builtinId="8" hidden="1"/>
    <cellStyle name="Hyperlink" xfId="7972" builtinId="8" hidden="1"/>
    <cellStyle name="Hyperlink" xfId="7974" builtinId="8" hidden="1"/>
    <cellStyle name="Hyperlink" xfId="7976" builtinId="8" hidden="1"/>
    <cellStyle name="Hyperlink" xfId="7856" builtinId="8" hidden="1"/>
    <cellStyle name="Hyperlink" xfId="7892" builtinId="8" hidden="1"/>
    <cellStyle name="Hyperlink" xfId="7978" builtinId="8" hidden="1"/>
    <cellStyle name="Hyperlink" xfId="7980" builtinId="8" hidden="1"/>
    <cellStyle name="Hyperlink" xfId="7982" builtinId="8" hidden="1"/>
    <cellStyle name="Hyperlink" xfId="7984" builtinId="8" hidden="1"/>
    <cellStyle name="Hyperlink" xfId="7861" builtinId="8" hidden="1"/>
    <cellStyle name="Hyperlink" xfId="7881" builtinId="8" hidden="1"/>
    <cellStyle name="Hyperlink" xfId="7986" builtinId="8" hidden="1"/>
    <cellStyle name="Hyperlink" xfId="7988" builtinId="8" hidden="1"/>
    <cellStyle name="Hyperlink" xfId="7990" builtinId="8" hidden="1"/>
    <cellStyle name="Hyperlink" xfId="7992" builtinId="8" hidden="1"/>
    <cellStyle name="Hyperlink" xfId="7868" builtinId="8" hidden="1"/>
    <cellStyle name="Hyperlink" xfId="7866" builtinId="8" hidden="1"/>
    <cellStyle name="Hyperlink" xfId="7994" builtinId="8" hidden="1"/>
    <cellStyle name="Hyperlink" xfId="7996" builtinId="8" hidden="1"/>
    <cellStyle name="Hyperlink" xfId="7998" builtinId="8" hidden="1"/>
    <cellStyle name="Hyperlink" xfId="8000" builtinId="8" hidden="1"/>
    <cellStyle name="Hyperlink" xfId="7445" builtinId="8" hidden="1"/>
    <cellStyle name="Hyperlink" xfId="7388" builtinId="8" hidden="1"/>
    <cellStyle name="Hyperlink" xfId="7398" builtinId="8" hidden="1"/>
    <cellStyle name="Hyperlink" xfId="7365" builtinId="8" hidden="1"/>
    <cellStyle name="Hyperlink" xfId="7448" builtinId="8" hidden="1"/>
    <cellStyle name="Hyperlink" xfId="7480" builtinId="8" hidden="1"/>
    <cellStyle name="Hyperlink" xfId="7459" builtinId="8" hidden="1"/>
    <cellStyle name="Hyperlink" xfId="7409" builtinId="8" hidden="1"/>
    <cellStyle name="Hyperlink" xfId="8008" builtinId="8" hidden="1"/>
    <cellStyle name="Hyperlink" xfId="8010" builtinId="8" hidden="1"/>
    <cellStyle name="Hyperlink" xfId="8012" builtinId="8" hidden="1"/>
    <cellStyle name="Hyperlink" xfId="8014" builtinId="8" hidden="1"/>
    <cellStyle name="Hyperlink" xfId="8016" builtinId="8" hidden="1"/>
    <cellStyle name="Hyperlink" xfId="8018" builtinId="8" hidden="1"/>
    <cellStyle name="Hyperlink" xfId="8068" builtinId="8" hidden="1"/>
    <cellStyle name="Hyperlink" xfId="8070" builtinId="8" hidden="1"/>
    <cellStyle name="Hyperlink" xfId="8072" builtinId="8" hidden="1"/>
    <cellStyle name="Hyperlink" xfId="8074" builtinId="8" hidden="1"/>
    <cellStyle name="Hyperlink" xfId="8064" builtinId="8" hidden="1"/>
    <cellStyle name="Hyperlink" xfId="8054" builtinId="8" hidden="1"/>
    <cellStyle name="Hyperlink" xfId="8076" builtinId="8" hidden="1"/>
    <cellStyle name="Hyperlink" xfId="8078" builtinId="8" hidden="1"/>
    <cellStyle name="Hyperlink" xfId="8080" builtinId="8" hidden="1"/>
    <cellStyle name="Hyperlink" xfId="8082" builtinId="8" hidden="1"/>
    <cellStyle name="Hyperlink" xfId="8048" builtinId="8" hidden="1"/>
    <cellStyle name="Hyperlink" xfId="8034" builtinId="8" hidden="1"/>
    <cellStyle name="Hyperlink" xfId="8084" builtinId="8" hidden="1"/>
    <cellStyle name="Hyperlink" xfId="8086" builtinId="8" hidden="1"/>
    <cellStyle name="Hyperlink" xfId="8088" builtinId="8" hidden="1"/>
    <cellStyle name="Hyperlink" xfId="8090" builtinId="8" hidden="1"/>
    <cellStyle name="Hyperlink" xfId="8053" builtinId="8" hidden="1"/>
    <cellStyle name="Hyperlink" xfId="8022" builtinId="8" hidden="1"/>
    <cellStyle name="Hyperlink" xfId="8092" builtinId="8" hidden="1"/>
    <cellStyle name="Hyperlink" xfId="8094" builtinId="8" hidden="1"/>
    <cellStyle name="Hyperlink" xfId="8096" builtinId="8" hidden="1"/>
    <cellStyle name="Hyperlink" xfId="8098" builtinId="8" hidden="1"/>
    <cellStyle name="Hyperlink" xfId="8023" builtinId="8" hidden="1"/>
    <cellStyle name="Hyperlink" xfId="8056" builtinId="8" hidden="1"/>
    <cellStyle name="Hyperlink" xfId="8100" builtinId="8" hidden="1"/>
    <cellStyle name="Hyperlink" xfId="8102" builtinId="8" hidden="1"/>
    <cellStyle name="Hyperlink" xfId="8104" builtinId="8" hidden="1"/>
    <cellStyle name="Hyperlink" xfId="8106" builtinId="8" hidden="1"/>
    <cellStyle name="Hyperlink" xfId="8025" builtinId="8" hidden="1"/>
    <cellStyle name="Hyperlink" xfId="8066" builtinId="8" hidden="1"/>
    <cellStyle name="Hyperlink" xfId="8108" builtinId="8" hidden="1"/>
    <cellStyle name="Hyperlink" xfId="8110" builtinId="8" hidden="1"/>
    <cellStyle name="Hyperlink" xfId="8112" builtinId="8" hidden="1"/>
    <cellStyle name="Hyperlink" xfId="8114" builtinId="8" hidden="1"/>
    <cellStyle name="Hyperlink" xfId="8046" builtinId="8" hidden="1"/>
    <cellStyle name="Hyperlink" xfId="8049" builtinId="8" hidden="1"/>
    <cellStyle name="Hyperlink" xfId="8116" builtinId="8" hidden="1"/>
    <cellStyle name="Hyperlink" xfId="8118" builtinId="8" hidden="1"/>
    <cellStyle name="Hyperlink" xfId="8120" builtinId="8" hidden="1"/>
    <cellStyle name="Hyperlink" xfId="8122" builtinId="8" hidden="1"/>
    <cellStyle name="Hyperlink" xfId="8050" builtinId="8" hidden="1"/>
    <cellStyle name="Hyperlink" xfId="8047" builtinId="8" hidden="1"/>
    <cellStyle name="Hyperlink" xfId="8124" builtinId="8" hidden="1"/>
    <cellStyle name="Hyperlink" xfId="8126" builtinId="8" hidden="1"/>
    <cellStyle name="Hyperlink" xfId="8128" builtinId="8" hidden="1"/>
    <cellStyle name="Hyperlink" xfId="8130" builtinId="8" hidden="1"/>
    <cellStyle name="Hyperlink" xfId="8065" builtinId="8" hidden="1"/>
    <cellStyle name="Hyperlink" xfId="8042" builtinId="8" hidden="1"/>
    <cellStyle name="Hyperlink" xfId="8132" builtinId="8" hidden="1"/>
    <cellStyle name="Hyperlink" xfId="8134" builtinId="8" hidden="1"/>
    <cellStyle name="Hyperlink" xfId="8136" builtinId="8" hidden="1"/>
    <cellStyle name="Hyperlink" xfId="8138" builtinId="8" hidden="1"/>
    <cellStyle name="Hyperlink" xfId="8020" builtinId="8" hidden="1"/>
    <cellStyle name="Hyperlink" xfId="8021" builtinId="8" hidden="1"/>
    <cellStyle name="Hyperlink" xfId="8140" builtinId="8" hidden="1"/>
    <cellStyle name="Hyperlink" xfId="8142" builtinId="8" hidden="1"/>
    <cellStyle name="Hyperlink" xfId="8144" builtinId="8" hidden="1"/>
    <cellStyle name="Hyperlink" xfId="8146" builtinId="8" hidden="1"/>
    <cellStyle name="Hyperlink" xfId="8026" builtinId="8" hidden="1"/>
    <cellStyle name="Hyperlink" xfId="8062" builtinId="8" hidden="1"/>
    <cellStyle name="Hyperlink" xfId="8148" builtinId="8" hidden="1"/>
    <cellStyle name="Hyperlink" xfId="8150" builtinId="8" hidden="1"/>
    <cellStyle name="Hyperlink" xfId="8152" builtinId="8" hidden="1"/>
    <cellStyle name="Hyperlink" xfId="8154" builtinId="8" hidden="1"/>
    <cellStyle name="Hyperlink" xfId="8031" builtinId="8" hidden="1"/>
    <cellStyle name="Hyperlink" xfId="8051" builtinId="8" hidden="1"/>
    <cellStyle name="Hyperlink" xfId="8156" builtinId="8" hidden="1"/>
    <cellStyle name="Hyperlink" xfId="8158" builtinId="8" hidden="1"/>
    <cellStyle name="Hyperlink" xfId="8160" builtinId="8" hidden="1"/>
    <cellStyle name="Hyperlink" xfId="8162" builtinId="8" hidden="1"/>
    <cellStyle name="Hyperlink" xfId="8038" builtinId="8" hidden="1"/>
    <cellStyle name="Hyperlink" xfId="8036" builtinId="8" hidden="1"/>
    <cellStyle name="Hyperlink" xfId="8164" builtinId="8" hidden="1"/>
    <cellStyle name="Hyperlink" xfId="8166" builtinId="8" hidden="1"/>
    <cellStyle name="Hyperlink" xfId="8168" builtinId="8" hidden="1"/>
    <cellStyle name="Hyperlink" xfId="8170" builtinId="8" hidden="1"/>
    <cellStyle name="Hyperlink" xfId="7420" builtinId="8" hidden="1"/>
    <cellStyle name="Hyperlink" xfId="7391" builtinId="8" hidden="1"/>
    <cellStyle name="Hyperlink" xfId="7438" builtinId="8" hidden="1"/>
    <cellStyle name="Hyperlink" xfId="7356" builtinId="8" hidden="1"/>
    <cellStyle name="Hyperlink" xfId="7435" builtinId="8" hidden="1"/>
    <cellStyle name="Hyperlink" xfId="7371" builtinId="8" hidden="1"/>
    <cellStyle name="Hyperlink" xfId="7442" builtinId="8" hidden="1"/>
    <cellStyle name="Hyperlink" xfId="7397" builtinId="8" hidden="1"/>
    <cellStyle name="Hyperlink" xfId="8177" builtinId="8" hidden="1"/>
    <cellStyle name="Hyperlink" xfId="8179" builtinId="8" hidden="1"/>
    <cellStyle name="Hyperlink" xfId="8181" builtinId="8" hidden="1"/>
    <cellStyle name="Hyperlink" xfId="8183" builtinId="8" hidden="1"/>
    <cellStyle name="Hyperlink" xfId="8185" builtinId="8" hidden="1"/>
    <cellStyle name="Hyperlink" xfId="8187" builtinId="8" hidden="1"/>
    <cellStyle name="Hyperlink" xfId="8237" builtinId="8" hidden="1"/>
    <cellStyle name="Hyperlink" xfId="8239" builtinId="8" hidden="1"/>
    <cellStyle name="Hyperlink" xfId="8241" builtinId="8" hidden="1"/>
    <cellStyle name="Hyperlink" xfId="8243" builtinId="8" hidden="1"/>
    <cellStyle name="Hyperlink" xfId="8233" builtinId="8" hidden="1"/>
    <cellStyle name="Hyperlink" xfId="8223" builtinId="8" hidden="1"/>
    <cellStyle name="Hyperlink" xfId="8245" builtinId="8" hidden="1"/>
    <cellStyle name="Hyperlink" xfId="8247" builtinId="8" hidden="1"/>
    <cellStyle name="Hyperlink" xfId="8249" builtinId="8" hidden="1"/>
    <cellStyle name="Hyperlink" xfId="8251" builtinId="8" hidden="1"/>
    <cellStyle name="Hyperlink" xfId="8217" builtinId="8" hidden="1"/>
    <cellStyle name="Hyperlink" xfId="8203" builtinId="8" hidden="1"/>
    <cellStyle name="Hyperlink" xfId="8253" builtinId="8" hidden="1"/>
    <cellStyle name="Hyperlink" xfId="8255" builtinId="8" hidden="1"/>
    <cellStyle name="Hyperlink" xfId="8257" builtinId="8" hidden="1"/>
    <cellStyle name="Hyperlink" xfId="8259" builtinId="8" hidden="1"/>
    <cellStyle name="Hyperlink" xfId="8222" builtinId="8" hidden="1"/>
    <cellStyle name="Hyperlink" xfId="8191" builtinId="8" hidden="1"/>
    <cellStyle name="Hyperlink" xfId="8261" builtinId="8" hidden="1"/>
    <cellStyle name="Hyperlink" xfId="8263" builtinId="8" hidden="1"/>
    <cellStyle name="Hyperlink" xfId="8265" builtinId="8" hidden="1"/>
    <cellStyle name="Hyperlink" xfId="8267" builtinId="8" hidden="1"/>
    <cellStyle name="Hyperlink" xfId="8192" builtinId="8" hidden="1"/>
    <cellStyle name="Hyperlink" xfId="8225" builtinId="8" hidden="1"/>
    <cellStyle name="Hyperlink" xfId="8269" builtinId="8" hidden="1"/>
    <cellStyle name="Hyperlink" xfId="8271" builtinId="8" hidden="1"/>
    <cellStyle name="Hyperlink" xfId="8273" builtinId="8" hidden="1"/>
    <cellStyle name="Hyperlink" xfId="8275" builtinId="8" hidden="1"/>
    <cellStyle name="Hyperlink" xfId="8194" builtinId="8" hidden="1"/>
    <cellStyle name="Hyperlink" xfId="8235" builtinId="8" hidden="1"/>
    <cellStyle name="Hyperlink" xfId="8277" builtinId="8" hidden="1"/>
    <cellStyle name="Hyperlink" xfId="8279" builtinId="8" hidden="1"/>
    <cellStyle name="Hyperlink" xfId="8281" builtinId="8" hidden="1"/>
    <cellStyle name="Hyperlink" xfId="8283" builtinId="8" hidden="1"/>
    <cellStyle name="Hyperlink" xfId="8215" builtinId="8" hidden="1"/>
    <cellStyle name="Hyperlink" xfId="8218" builtinId="8" hidden="1"/>
    <cellStyle name="Hyperlink" xfId="8285" builtinId="8" hidden="1"/>
    <cellStyle name="Hyperlink" xfId="8287" builtinId="8" hidden="1"/>
    <cellStyle name="Hyperlink" xfId="8289" builtinId="8" hidden="1"/>
    <cellStyle name="Hyperlink" xfId="8291" builtinId="8" hidden="1"/>
    <cellStyle name="Hyperlink" xfId="8219" builtinId="8" hidden="1"/>
    <cellStyle name="Hyperlink" xfId="8216" builtinId="8" hidden="1"/>
    <cellStyle name="Hyperlink" xfId="8293" builtinId="8" hidden="1"/>
    <cellStyle name="Hyperlink" xfId="8295" builtinId="8" hidden="1"/>
    <cellStyle name="Hyperlink" xfId="8297" builtinId="8" hidden="1"/>
    <cellStyle name="Hyperlink" xfId="8299" builtinId="8" hidden="1"/>
    <cellStyle name="Hyperlink" xfId="8234" builtinId="8" hidden="1"/>
    <cellStyle name="Hyperlink" xfId="8211" builtinId="8" hidden="1"/>
    <cellStyle name="Hyperlink" xfId="8301" builtinId="8" hidden="1"/>
    <cellStyle name="Hyperlink" xfId="8303" builtinId="8" hidden="1"/>
    <cellStyle name="Hyperlink" xfId="8305" builtinId="8" hidden="1"/>
    <cellStyle name="Hyperlink" xfId="8307" builtinId="8" hidden="1"/>
    <cellStyle name="Hyperlink" xfId="8189" builtinId="8" hidden="1"/>
    <cellStyle name="Hyperlink" xfId="8190" builtinId="8" hidden="1"/>
    <cellStyle name="Hyperlink" xfId="8309" builtinId="8" hidden="1"/>
    <cellStyle name="Hyperlink" xfId="8311" builtinId="8" hidden="1"/>
    <cellStyle name="Hyperlink" xfId="8313" builtinId="8" hidden="1"/>
    <cellStyle name="Hyperlink" xfId="8315" builtinId="8" hidden="1"/>
    <cellStyle name="Hyperlink" xfId="8195" builtinId="8" hidden="1"/>
    <cellStyle name="Hyperlink" xfId="8231" builtinId="8" hidden="1"/>
    <cellStyle name="Hyperlink" xfId="8317" builtinId="8" hidden="1"/>
    <cellStyle name="Hyperlink" xfId="8319" builtinId="8" hidden="1"/>
    <cellStyle name="Hyperlink" xfId="8321" builtinId="8" hidden="1"/>
    <cellStyle name="Hyperlink" xfId="8323" builtinId="8" hidden="1"/>
    <cellStyle name="Hyperlink" xfId="8200" builtinId="8" hidden="1"/>
    <cellStyle name="Hyperlink" xfId="8220" builtinId="8" hidden="1"/>
    <cellStyle name="Hyperlink" xfId="8325" builtinId="8" hidden="1"/>
    <cellStyle name="Hyperlink" xfId="8327" builtinId="8" hidden="1"/>
    <cellStyle name="Hyperlink" xfId="8329" builtinId="8" hidden="1"/>
    <cellStyle name="Hyperlink" xfId="8331" builtinId="8" hidden="1"/>
    <cellStyle name="Hyperlink" xfId="8207" builtinId="8" hidden="1"/>
    <cellStyle name="Hyperlink" xfId="8205" builtinId="8" hidden="1"/>
    <cellStyle name="Hyperlink" xfId="8333" builtinId="8" hidden="1"/>
    <cellStyle name="Hyperlink" xfId="8335" builtinId="8" hidden="1"/>
    <cellStyle name="Hyperlink" xfId="8337" builtinId="8" hidden="1"/>
    <cellStyle name="Hyperlink" xfId="8339" builtinId="8" hidden="1"/>
    <cellStyle name="Hyperlink" xfId="7662" builtinId="8" hidden="1"/>
    <cellStyle name="Hyperlink" xfId="7829" builtinId="8" hidden="1"/>
    <cellStyle name="Hyperlink" xfId="7466" builtinId="8" hidden="1"/>
    <cellStyle name="Hyperlink" xfId="7355" builtinId="8" hidden="1"/>
    <cellStyle name="Hyperlink" xfId="7351" builtinId="8" hidden="1"/>
    <cellStyle name="Hyperlink" xfId="7399" builtinId="8" hidden="1"/>
    <cellStyle name="Hyperlink" xfId="7360" builtinId="8" hidden="1"/>
    <cellStyle name="Hyperlink" xfId="7436" builtinId="8" hidden="1"/>
    <cellStyle name="Hyperlink" xfId="8346" builtinId="8" hidden="1"/>
    <cellStyle name="Hyperlink" xfId="8348" builtinId="8" hidden="1"/>
    <cellStyle name="Hyperlink" xfId="8350" builtinId="8" hidden="1"/>
    <cellStyle name="Hyperlink" xfId="8352" builtinId="8" hidden="1"/>
    <cellStyle name="Hyperlink" xfId="8354" builtinId="8" hidden="1"/>
    <cellStyle name="Hyperlink" xfId="8356" builtinId="8" hidden="1"/>
    <cellStyle name="Hyperlink" xfId="8406" builtinId="8" hidden="1"/>
    <cellStyle name="Hyperlink" xfId="8408" builtinId="8" hidden="1"/>
    <cellStyle name="Hyperlink" xfId="8410" builtinId="8" hidden="1"/>
    <cellStyle name="Hyperlink" xfId="8412" builtinId="8" hidden="1"/>
    <cellStyle name="Hyperlink" xfId="8402" builtinId="8" hidden="1"/>
    <cellStyle name="Hyperlink" xfId="8392" builtinId="8" hidden="1"/>
    <cellStyle name="Hyperlink" xfId="8414" builtinId="8" hidden="1"/>
    <cellStyle name="Hyperlink" xfId="8416" builtinId="8" hidden="1"/>
    <cellStyle name="Hyperlink" xfId="8418" builtinId="8" hidden="1"/>
    <cellStyle name="Hyperlink" xfId="8420" builtinId="8" hidden="1"/>
    <cellStyle name="Hyperlink" xfId="8386" builtinId="8" hidden="1"/>
    <cellStyle name="Hyperlink" xfId="8372" builtinId="8" hidden="1"/>
    <cellStyle name="Hyperlink" xfId="8422" builtinId="8" hidden="1"/>
    <cellStyle name="Hyperlink" xfId="8424" builtinId="8" hidden="1"/>
    <cellStyle name="Hyperlink" xfId="8426" builtinId="8" hidden="1"/>
    <cellStyle name="Hyperlink" xfId="8428" builtinId="8" hidden="1"/>
    <cellStyle name="Hyperlink" xfId="8391" builtinId="8" hidden="1"/>
    <cellStyle name="Hyperlink" xfId="8360" builtinId="8" hidden="1"/>
    <cellStyle name="Hyperlink" xfId="8430" builtinId="8" hidden="1"/>
    <cellStyle name="Hyperlink" xfId="8432" builtinId="8" hidden="1"/>
    <cellStyle name="Hyperlink" xfId="8434" builtinId="8" hidden="1"/>
    <cellStyle name="Hyperlink" xfId="8436" builtinId="8" hidden="1"/>
    <cellStyle name="Hyperlink" xfId="8361" builtinId="8" hidden="1"/>
    <cellStyle name="Hyperlink" xfId="8394" builtinId="8" hidden="1"/>
    <cellStyle name="Hyperlink" xfId="8438" builtinId="8" hidden="1"/>
    <cellStyle name="Hyperlink" xfId="8440" builtinId="8" hidden="1"/>
    <cellStyle name="Hyperlink" xfId="8442" builtinId="8" hidden="1"/>
    <cellStyle name="Hyperlink" xfId="8444" builtinId="8" hidden="1"/>
    <cellStyle name="Hyperlink" xfId="8363" builtinId="8" hidden="1"/>
    <cellStyle name="Hyperlink" xfId="8404" builtinId="8" hidden="1"/>
    <cellStyle name="Hyperlink" xfId="8446" builtinId="8" hidden="1"/>
    <cellStyle name="Hyperlink" xfId="8448" builtinId="8" hidden="1"/>
    <cellStyle name="Hyperlink" xfId="8450" builtinId="8" hidden="1"/>
    <cellStyle name="Hyperlink" xfId="8452" builtinId="8" hidden="1"/>
    <cellStyle name="Hyperlink" xfId="8384" builtinId="8" hidden="1"/>
    <cellStyle name="Hyperlink" xfId="8387" builtinId="8" hidden="1"/>
    <cellStyle name="Hyperlink" xfId="8454" builtinId="8" hidden="1"/>
    <cellStyle name="Hyperlink" xfId="8456" builtinId="8" hidden="1"/>
    <cellStyle name="Hyperlink" xfId="8458" builtinId="8" hidden="1"/>
    <cellStyle name="Hyperlink" xfId="8460" builtinId="8" hidden="1"/>
    <cellStyle name="Hyperlink" xfId="8388" builtinId="8" hidden="1"/>
    <cellStyle name="Hyperlink" xfId="8385" builtinId="8" hidden="1"/>
    <cellStyle name="Hyperlink" xfId="8462" builtinId="8" hidden="1"/>
    <cellStyle name="Hyperlink" xfId="8464" builtinId="8" hidden="1"/>
    <cellStyle name="Hyperlink" xfId="8466" builtinId="8" hidden="1"/>
    <cellStyle name="Hyperlink" xfId="8468" builtinId="8" hidden="1"/>
    <cellStyle name="Hyperlink" xfId="8403" builtinId="8" hidden="1"/>
    <cellStyle name="Hyperlink" xfId="8380" builtinId="8" hidden="1"/>
    <cellStyle name="Hyperlink" xfId="8470" builtinId="8" hidden="1"/>
    <cellStyle name="Hyperlink" xfId="8472" builtinId="8" hidden="1"/>
    <cellStyle name="Hyperlink" xfId="8474" builtinId="8" hidden="1"/>
    <cellStyle name="Hyperlink" xfId="8476" builtinId="8" hidden="1"/>
    <cellStyle name="Hyperlink" xfId="8358" builtinId="8" hidden="1"/>
    <cellStyle name="Hyperlink" xfId="8359" builtinId="8" hidden="1"/>
    <cellStyle name="Hyperlink" xfId="8478" builtinId="8" hidden="1"/>
    <cellStyle name="Hyperlink" xfId="8480" builtinId="8" hidden="1"/>
    <cellStyle name="Hyperlink" xfId="8482" builtinId="8" hidden="1"/>
    <cellStyle name="Hyperlink" xfId="8484" builtinId="8" hidden="1"/>
    <cellStyle name="Hyperlink" xfId="8364" builtinId="8" hidden="1"/>
    <cellStyle name="Hyperlink" xfId="8400" builtinId="8" hidden="1"/>
    <cellStyle name="Hyperlink" xfId="8486" builtinId="8" hidden="1"/>
    <cellStyle name="Hyperlink" xfId="8488" builtinId="8" hidden="1"/>
    <cellStyle name="Hyperlink" xfId="8490" builtinId="8" hidden="1"/>
    <cellStyle name="Hyperlink" xfId="8492" builtinId="8" hidden="1"/>
    <cellStyle name="Hyperlink" xfId="8369" builtinId="8" hidden="1"/>
    <cellStyle name="Hyperlink" xfId="8389" builtinId="8" hidden="1"/>
    <cellStyle name="Hyperlink" xfId="8494" builtinId="8" hidden="1"/>
    <cellStyle name="Hyperlink" xfId="8496" builtinId="8" hidden="1"/>
    <cellStyle name="Hyperlink" xfId="8498" builtinId="8" hidden="1"/>
    <cellStyle name="Hyperlink" xfId="8500" builtinId="8" hidden="1"/>
    <cellStyle name="Hyperlink" xfId="8376" builtinId="8" hidden="1"/>
    <cellStyle name="Hyperlink" xfId="8374" builtinId="8" hidden="1"/>
    <cellStyle name="Hyperlink" xfId="8502" builtinId="8" hidden="1"/>
    <cellStyle name="Hyperlink" xfId="8504" builtinId="8" hidden="1"/>
    <cellStyle name="Hyperlink" xfId="8506" builtinId="8" hidden="1"/>
    <cellStyle name="Hyperlink" xfId="8508" builtinId="8" hidden="1"/>
    <cellStyle name="Hyperlink" xfId="7352" builtinId="8" hidden="1"/>
    <cellStyle name="Hyperlink" xfId="7467" builtinId="8" hidden="1"/>
    <cellStyle name="Hyperlink" xfId="7836" builtinId="8" hidden="1"/>
    <cellStyle name="Hyperlink" xfId="7469" builtinId="8" hidden="1"/>
    <cellStyle name="Hyperlink" xfId="7450" builtinId="8" hidden="1"/>
    <cellStyle name="Hyperlink" xfId="7482" builtinId="8" hidden="1"/>
    <cellStyle name="Hyperlink" xfId="7357" builtinId="8" hidden="1"/>
    <cellStyle name="Hyperlink" xfId="7484" builtinId="8" hidden="1"/>
    <cellStyle name="Hyperlink" xfId="8513" builtinId="8" hidden="1"/>
    <cellStyle name="Hyperlink" xfId="8515" builtinId="8" hidden="1"/>
    <cellStyle name="Hyperlink" xfId="8517" builtinId="8" hidden="1"/>
    <cellStyle name="Hyperlink" xfId="8519" builtinId="8" hidden="1"/>
    <cellStyle name="Hyperlink" xfId="8521" builtinId="8" hidden="1"/>
    <cellStyle name="Hyperlink" xfId="8523" builtinId="8" hidden="1"/>
    <cellStyle name="Hyperlink" xfId="8573" builtinId="8" hidden="1"/>
    <cellStyle name="Hyperlink" xfId="8575" builtinId="8" hidden="1"/>
    <cellStyle name="Hyperlink" xfId="8577" builtinId="8" hidden="1"/>
    <cellStyle name="Hyperlink" xfId="8579" builtinId="8" hidden="1"/>
    <cellStyle name="Hyperlink" xfId="8569" builtinId="8" hidden="1"/>
    <cellStyle name="Hyperlink" xfId="8559" builtinId="8" hidden="1"/>
    <cellStyle name="Hyperlink" xfId="8581" builtinId="8" hidden="1"/>
    <cellStyle name="Hyperlink" xfId="8583" builtinId="8" hidden="1"/>
    <cellStyle name="Hyperlink" xfId="8585" builtinId="8" hidden="1"/>
    <cellStyle name="Hyperlink" xfId="8587" builtinId="8" hidden="1"/>
    <cellStyle name="Hyperlink" xfId="8553" builtinId="8" hidden="1"/>
    <cellStyle name="Hyperlink" xfId="8539" builtinId="8" hidden="1"/>
    <cellStyle name="Hyperlink" xfId="8589" builtinId="8" hidden="1"/>
    <cellStyle name="Hyperlink" xfId="8591" builtinId="8" hidden="1"/>
    <cellStyle name="Hyperlink" xfId="8593" builtinId="8" hidden="1"/>
    <cellStyle name="Hyperlink" xfId="8595" builtinId="8" hidden="1"/>
    <cellStyle name="Hyperlink" xfId="8558" builtinId="8" hidden="1"/>
    <cellStyle name="Hyperlink" xfId="8527" builtinId="8" hidden="1"/>
    <cellStyle name="Hyperlink" xfId="8597" builtinId="8" hidden="1"/>
    <cellStyle name="Hyperlink" xfId="8599" builtinId="8" hidden="1"/>
    <cellStyle name="Hyperlink" xfId="8601" builtinId="8" hidden="1"/>
    <cellStyle name="Hyperlink" xfId="8603" builtinId="8" hidden="1"/>
    <cellStyle name="Hyperlink" xfId="8528" builtinId="8" hidden="1"/>
    <cellStyle name="Hyperlink" xfId="8561" builtinId="8" hidden="1"/>
    <cellStyle name="Hyperlink" xfId="8605" builtinId="8" hidden="1"/>
    <cellStyle name="Hyperlink" xfId="8607" builtinId="8" hidden="1"/>
    <cellStyle name="Hyperlink" xfId="8609" builtinId="8" hidden="1"/>
    <cellStyle name="Hyperlink" xfId="8611" builtinId="8" hidden="1"/>
    <cellStyle name="Hyperlink" xfId="8530" builtinId="8" hidden="1"/>
    <cellStyle name="Hyperlink" xfId="8571" builtinId="8" hidden="1"/>
    <cellStyle name="Hyperlink" xfId="8613" builtinId="8" hidden="1"/>
    <cellStyle name="Hyperlink" xfId="8615" builtinId="8" hidden="1"/>
    <cellStyle name="Hyperlink" xfId="8617" builtinId="8" hidden="1"/>
    <cellStyle name="Hyperlink" xfId="8619" builtinId="8" hidden="1"/>
    <cellStyle name="Hyperlink" xfId="8551" builtinId="8" hidden="1"/>
    <cellStyle name="Hyperlink" xfId="8554" builtinId="8" hidden="1"/>
    <cellStyle name="Hyperlink" xfId="8621" builtinId="8" hidden="1"/>
    <cellStyle name="Hyperlink" xfId="8623" builtinId="8" hidden="1"/>
    <cellStyle name="Hyperlink" xfId="8625" builtinId="8" hidden="1"/>
    <cellStyle name="Hyperlink" xfId="8627" builtinId="8" hidden="1"/>
    <cellStyle name="Hyperlink" xfId="8555" builtinId="8" hidden="1"/>
    <cellStyle name="Hyperlink" xfId="8552" builtinId="8" hidden="1"/>
    <cellStyle name="Hyperlink" xfId="8629" builtinId="8" hidden="1"/>
    <cellStyle name="Hyperlink" xfId="8631" builtinId="8" hidden="1"/>
    <cellStyle name="Hyperlink" xfId="8633" builtinId="8" hidden="1"/>
    <cellStyle name="Hyperlink" xfId="8635" builtinId="8" hidden="1"/>
    <cellStyle name="Hyperlink" xfId="8570" builtinId="8" hidden="1"/>
    <cellStyle name="Hyperlink" xfId="8547" builtinId="8" hidden="1"/>
    <cellStyle name="Hyperlink" xfId="8637" builtinId="8" hidden="1"/>
    <cellStyle name="Hyperlink" xfId="8639" builtinId="8" hidden="1"/>
    <cellStyle name="Hyperlink" xfId="8641" builtinId="8" hidden="1"/>
    <cellStyle name="Hyperlink" xfId="8643" builtinId="8" hidden="1"/>
    <cellStyle name="Hyperlink" xfId="8525" builtinId="8" hidden="1"/>
    <cellStyle name="Hyperlink" xfId="8526" builtinId="8" hidden="1"/>
    <cellStyle name="Hyperlink" xfId="8645" builtinId="8" hidden="1"/>
    <cellStyle name="Hyperlink" xfId="8647" builtinId="8" hidden="1"/>
    <cellStyle name="Hyperlink" xfId="8649" builtinId="8" hidden="1"/>
    <cellStyle name="Hyperlink" xfId="8651" builtinId="8" hidden="1"/>
    <cellStyle name="Hyperlink" xfId="8531" builtinId="8" hidden="1"/>
    <cellStyle name="Hyperlink" xfId="8567" builtinId="8" hidden="1"/>
    <cellStyle name="Hyperlink" xfId="8653" builtinId="8" hidden="1"/>
    <cellStyle name="Hyperlink" xfId="8655" builtinId="8" hidden="1"/>
    <cellStyle name="Hyperlink" xfId="8657" builtinId="8" hidden="1"/>
    <cellStyle name="Hyperlink" xfId="8659" builtinId="8" hidden="1"/>
    <cellStyle name="Hyperlink" xfId="8536" builtinId="8" hidden="1"/>
    <cellStyle name="Hyperlink" xfId="8556" builtinId="8" hidden="1"/>
    <cellStyle name="Hyperlink" xfId="8661" builtinId="8" hidden="1"/>
    <cellStyle name="Hyperlink" xfId="8663" builtinId="8" hidden="1"/>
    <cellStyle name="Hyperlink" xfId="8665" builtinId="8" hidden="1"/>
    <cellStyle name="Hyperlink" xfId="8667" builtinId="8" hidden="1"/>
    <cellStyle name="Hyperlink" xfId="8543" builtinId="8" hidden="1"/>
    <cellStyle name="Hyperlink" xfId="8541" builtinId="8" hidden="1"/>
    <cellStyle name="Hyperlink" xfId="8669" builtinId="8" hidden="1"/>
    <cellStyle name="Hyperlink" xfId="8671" builtinId="8" hidden="1"/>
    <cellStyle name="Hyperlink" xfId="8673" builtinId="8" hidden="1"/>
    <cellStyle name="Hyperlink" xfId="8675" builtinId="8" hidden="1"/>
    <cellStyle name="Hyperlink" xfId="7493" builtinId="8" hidden="1"/>
    <cellStyle name="Hyperlink" xfId="7464" builtinId="8" hidden="1"/>
    <cellStyle name="Hyperlink" xfId="8006" builtinId="8" hidden="1"/>
    <cellStyle name="Hyperlink" xfId="7489" builtinId="8" hidden="1"/>
    <cellStyle name="Hyperlink" xfId="7426" builtinId="8" hidden="1"/>
    <cellStyle name="Hyperlink" xfId="7367" builtinId="8" hidden="1"/>
    <cellStyle name="Hyperlink" xfId="7481" builtinId="8" hidden="1"/>
    <cellStyle name="Hyperlink" xfId="7474" builtinId="8" hidden="1"/>
    <cellStyle name="Hyperlink" xfId="8680" builtinId="8" hidden="1"/>
    <cellStyle name="Hyperlink" xfId="8682" builtinId="8" hidden="1"/>
    <cellStyle name="Hyperlink" xfId="8684" builtinId="8" hidden="1"/>
    <cellStyle name="Hyperlink" xfId="8686" builtinId="8" hidden="1"/>
    <cellStyle name="Hyperlink" xfId="8688" builtinId="8" hidden="1"/>
    <cellStyle name="Hyperlink" xfId="8690" builtinId="8" hidden="1"/>
    <cellStyle name="Hyperlink" xfId="8740" builtinId="8" hidden="1"/>
    <cellStyle name="Hyperlink" xfId="8742" builtinId="8" hidden="1"/>
    <cellStyle name="Hyperlink" xfId="8744" builtinId="8" hidden="1"/>
    <cellStyle name="Hyperlink" xfId="8746" builtinId="8" hidden="1"/>
    <cellStyle name="Hyperlink" xfId="8736" builtinId="8" hidden="1"/>
    <cellStyle name="Hyperlink" xfId="8726" builtinId="8" hidden="1"/>
    <cellStyle name="Hyperlink" xfId="8748" builtinId="8" hidden="1"/>
    <cellStyle name="Hyperlink" xfId="8750" builtinId="8" hidden="1"/>
    <cellStyle name="Hyperlink" xfId="8752" builtinId="8" hidden="1"/>
    <cellStyle name="Hyperlink" xfId="8754" builtinId="8" hidden="1"/>
    <cellStyle name="Hyperlink" xfId="8720" builtinId="8" hidden="1"/>
    <cellStyle name="Hyperlink" xfId="8706" builtinId="8" hidden="1"/>
    <cellStyle name="Hyperlink" xfId="8756" builtinId="8" hidden="1"/>
    <cellStyle name="Hyperlink" xfId="8758" builtinId="8" hidden="1"/>
    <cellStyle name="Hyperlink" xfId="8760" builtinId="8" hidden="1"/>
    <cellStyle name="Hyperlink" xfId="8762" builtinId="8" hidden="1"/>
    <cellStyle name="Hyperlink" xfId="8725" builtinId="8" hidden="1"/>
    <cellStyle name="Hyperlink" xfId="8694" builtinId="8" hidden="1"/>
    <cellStyle name="Hyperlink" xfId="8764" builtinId="8" hidden="1"/>
    <cellStyle name="Hyperlink" xfId="8766" builtinId="8" hidden="1"/>
    <cellStyle name="Hyperlink" xfId="8768" builtinId="8" hidden="1"/>
    <cellStyle name="Hyperlink" xfId="8770" builtinId="8" hidden="1"/>
    <cellStyle name="Hyperlink" xfId="8695" builtinId="8" hidden="1"/>
    <cellStyle name="Hyperlink" xfId="8728" builtinId="8" hidden="1"/>
    <cellStyle name="Hyperlink" xfId="8772" builtinId="8" hidden="1"/>
    <cellStyle name="Hyperlink" xfId="8774" builtinId="8" hidden="1"/>
    <cellStyle name="Hyperlink" xfId="8776" builtinId="8" hidden="1"/>
    <cellStyle name="Hyperlink" xfId="8778" builtinId="8" hidden="1"/>
    <cellStyle name="Hyperlink" xfId="8697" builtinId="8" hidden="1"/>
    <cellStyle name="Hyperlink" xfId="8738" builtinId="8" hidden="1"/>
    <cellStyle name="Hyperlink" xfId="8780" builtinId="8" hidden="1"/>
    <cellStyle name="Hyperlink" xfId="8782" builtinId="8" hidden="1"/>
    <cellStyle name="Hyperlink" xfId="8784" builtinId="8" hidden="1"/>
    <cellStyle name="Hyperlink" xfId="8786" builtinId="8" hidden="1"/>
    <cellStyle name="Hyperlink" xfId="8718" builtinId="8" hidden="1"/>
    <cellStyle name="Hyperlink" xfId="8721" builtinId="8" hidden="1"/>
    <cellStyle name="Hyperlink" xfId="8788" builtinId="8" hidden="1"/>
    <cellStyle name="Hyperlink" xfId="8790" builtinId="8" hidden="1"/>
    <cellStyle name="Hyperlink" xfId="8792" builtinId="8" hidden="1"/>
    <cellStyle name="Hyperlink" xfId="8794" builtinId="8" hidden="1"/>
    <cellStyle name="Hyperlink" xfId="8722" builtinId="8" hidden="1"/>
    <cellStyle name="Hyperlink" xfId="8719" builtinId="8" hidden="1"/>
    <cellStyle name="Hyperlink" xfId="8796" builtinId="8" hidden="1"/>
    <cellStyle name="Hyperlink" xfId="8798" builtinId="8" hidden="1"/>
    <cellStyle name="Hyperlink" xfId="8800" builtinId="8" hidden="1"/>
    <cellStyle name="Hyperlink" xfId="8802" builtinId="8" hidden="1"/>
    <cellStyle name="Hyperlink" xfId="8737" builtinId="8" hidden="1"/>
    <cellStyle name="Hyperlink" xfId="8714" builtinId="8" hidden="1"/>
    <cellStyle name="Hyperlink" xfId="8804" builtinId="8" hidden="1"/>
    <cellStyle name="Hyperlink" xfId="8806" builtinId="8" hidden="1"/>
    <cellStyle name="Hyperlink" xfId="8808" builtinId="8" hidden="1"/>
    <cellStyle name="Hyperlink" xfId="8810" builtinId="8" hidden="1"/>
    <cellStyle name="Hyperlink" xfId="8692" builtinId="8" hidden="1"/>
    <cellStyle name="Hyperlink" xfId="8693" builtinId="8" hidden="1"/>
    <cellStyle name="Hyperlink" xfId="8812" builtinId="8" hidden="1"/>
    <cellStyle name="Hyperlink" xfId="8814" builtinId="8" hidden="1"/>
    <cellStyle name="Hyperlink" xfId="8816" builtinId="8" hidden="1"/>
    <cellStyle name="Hyperlink" xfId="8818" builtinId="8" hidden="1"/>
    <cellStyle name="Hyperlink" xfId="8698" builtinId="8" hidden="1"/>
    <cellStyle name="Hyperlink" xfId="8734" builtinId="8" hidden="1"/>
    <cellStyle name="Hyperlink" xfId="8820" builtinId="8" hidden="1"/>
    <cellStyle name="Hyperlink" xfId="8822" builtinId="8" hidden="1"/>
    <cellStyle name="Hyperlink" xfId="8824" builtinId="8" hidden="1"/>
    <cellStyle name="Hyperlink" xfId="8826" builtinId="8" hidden="1"/>
    <cellStyle name="Hyperlink" xfId="8703" builtinId="8" hidden="1"/>
    <cellStyle name="Hyperlink" xfId="8723" builtinId="8" hidden="1"/>
    <cellStyle name="Hyperlink" xfId="8828" builtinId="8" hidden="1"/>
    <cellStyle name="Hyperlink" xfId="8830" builtinId="8" hidden="1"/>
    <cellStyle name="Hyperlink" xfId="8832" builtinId="8" hidden="1"/>
    <cellStyle name="Hyperlink" xfId="8834" builtinId="8" hidden="1"/>
    <cellStyle name="Hyperlink" xfId="8710" builtinId="8" hidden="1"/>
    <cellStyle name="Hyperlink" xfId="8708" builtinId="8" hidden="1"/>
    <cellStyle name="Hyperlink" xfId="8836" builtinId="8" hidden="1"/>
    <cellStyle name="Hyperlink" xfId="8838" builtinId="8" hidden="1"/>
    <cellStyle name="Hyperlink" xfId="8840" builtinId="8" hidden="1"/>
    <cellStyle name="Hyperlink" xfId="8842" builtinId="8" hidden="1"/>
    <cellStyle name="Hyperlink" xfId="7468" builtinId="8" hidden="1"/>
    <cellStyle name="Hyperlink" xfId="7452" builtinId="8" hidden="1"/>
    <cellStyle name="Hyperlink" xfId="8175" builtinId="8" hidden="1"/>
    <cellStyle name="Hyperlink" xfId="7431" builtinId="8" hidden="1"/>
    <cellStyle name="Hyperlink" xfId="7348" builtinId="8" hidden="1"/>
    <cellStyle name="Hyperlink" xfId="7410" builtinId="8" hidden="1"/>
    <cellStyle name="Hyperlink" xfId="7832" builtinId="8" hidden="1"/>
    <cellStyle name="Hyperlink" xfId="7429" builtinId="8" hidden="1"/>
    <cellStyle name="Hyperlink" xfId="8845" builtinId="8" hidden="1"/>
    <cellStyle name="Hyperlink" xfId="8847" builtinId="8" hidden="1"/>
    <cellStyle name="Hyperlink" xfId="8849" builtinId="8" hidden="1"/>
    <cellStyle name="Hyperlink" xfId="8851" builtinId="8" hidden="1"/>
    <cellStyle name="Hyperlink" xfId="8853" builtinId="8" hidden="1"/>
    <cellStyle name="Hyperlink" xfId="8855" builtinId="8" hidden="1"/>
    <cellStyle name="Hyperlink" xfId="8905" builtinId="8" hidden="1"/>
    <cellStyle name="Hyperlink" xfId="8907" builtinId="8" hidden="1"/>
    <cellStyle name="Hyperlink" xfId="8909" builtinId="8" hidden="1"/>
    <cellStyle name="Hyperlink" xfId="8911" builtinId="8" hidden="1"/>
    <cellStyle name="Hyperlink" xfId="8901" builtinId="8" hidden="1"/>
    <cellStyle name="Hyperlink" xfId="8891" builtinId="8" hidden="1"/>
    <cellStyle name="Hyperlink" xfId="8913" builtinId="8" hidden="1"/>
    <cellStyle name="Hyperlink" xfId="8915" builtinId="8" hidden="1"/>
    <cellStyle name="Hyperlink" xfId="8917" builtinId="8" hidden="1"/>
    <cellStyle name="Hyperlink" xfId="8919" builtinId="8" hidden="1"/>
    <cellStyle name="Hyperlink" xfId="8885" builtinId="8" hidden="1"/>
    <cellStyle name="Hyperlink" xfId="8871" builtinId="8" hidden="1"/>
    <cellStyle name="Hyperlink" xfId="8921" builtinId="8" hidden="1"/>
    <cellStyle name="Hyperlink" xfId="8923" builtinId="8" hidden="1"/>
    <cellStyle name="Hyperlink" xfId="8925" builtinId="8" hidden="1"/>
    <cellStyle name="Hyperlink" xfId="8927" builtinId="8" hidden="1"/>
    <cellStyle name="Hyperlink" xfId="8890" builtinId="8" hidden="1"/>
    <cellStyle name="Hyperlink" xfId="8859" builtinId="8" hidden="1"/>
    <cellStyle name="Hyperlink" xfId="8929" builtinId="8" hidden="1"/>
    <cellStyle name="Hyperlink" xfId="8931" builtinId="8" hidden="1"/>
    <cellStyle name="Hyperlink" xfId="8933" builtinId="8" hidden="1"/>
    <cellStyle name="Hyperlink" xfId="8935" builtinId="8" hidden="1"/>
    <cellStyle name="Hyperlink" xfId="8860" builtinId="8" hidden="1"/>
    <cellStyle name="Hyperlink" xfId="8893" builtinId="8" hidden="1"/>
    <cellStyle name="Hyperlink" xfId="8937" builtinId="8" hidden="1"/>
    <cellStyle name="Hyperlink" xfId="8939" builtinId="8" hidden="1"/>
    <cellStyle name="Hyperlink" xfId="8941" builtinId="8" hidden="1"/>
    <cellStyle name="Hyperlink" xfId="8943" builtinId="8" hidden="1"/>
    <cellStyle name="Hyperlink" xfId="8862" builtinId="8" hidden="1"/>
    <cellStyle name="Hyperlink" xfId="8903" builtinId="8" hidden="1"/>
    <cellStyle name="Hyperlink" xfId="8945" builtinId="8" hidden="1"/>
    <cellStyle name="Hyperlink" xfId="8947" builtinId="8" hidden="1"/>
    <cellStyle name="Hyperlink" xfId="8949" builtinId="8" hidden="1"/>
    <cellStyle name="Hyperlink" xfId="8951" builtinId="8" hidden="1"/>
    <cellStyle name="Hyperlink" xfId="8883" builtinId="8" hidden="1"/>
    <cellStyle name="Hyperlink" xfId="8886" builtinId="8" hidden="1"/>
    <cellStyle name="Hyperlink" xfId="8953" builtinId="8" hidden="1"/>
    <cellStyle name="Hyperlink" xfId="8955" builtinId="8" hidden="1"/>
    <cellStyle name="Hyperlink" xfId="8957" builtinId="8" hidden="1"/>
    <cellStyle name="Hyperlink" xfId="8959" builtinId="8" hidden="1"/>
    <cellStyle name="Hyperlink" xfId="8887" builtinId="8" hidden="1"/>
    <cellStyle name="Hyperlink" xfId="8884" builtinId="8" hidden="1"/>
    <cellStyle name="Hyperlink" xfId="8961" builtinId="8" hidden="1"/>
    <cellStyle name="Hyperlink" xfId="8963" builtinId="8" hidden="1"/>
    <cellStyle name="Hyperlink" xfId="8965" builtinId="8" hidden="1"/>
    <cellStyle name="Hyperlink" xfId="8967" builtinId="8" hidden="1"/>
    <cellStyle name="Hyperlink" xfId="8902" builtinId="8" hidden="1"/>
    <cellStyle name="Hyperlink" xfId="8879" builtinId="8" hidden="1"/>
    <cellStyle name="Hyperlink" xfId="8969" builtinId="8" hidden="1"/>
    <cellStyle name="Hyperlink" xfId="8971" builtinId="8" hidden="1"/>
    <cellStyle name="Hyperlink" xfId="8973" builtinId="8" hidden="1"/>
    <cellStyle name="Hyperlink" xfId="8975" builtinId="8" hidden="1"/>
    <cellStyle name="Hyperlink" xfId="8857" builtinId="8" hidden="1"/>
    <cellStyle name="Hyperlink" xfId="8858" builtinId="8" hidden="1"/>
    <cellStyle name="Hyperlink" xfId="8977" builtinId="8" hidden="1"/>
    <cellStyle name="Hyperlink" xfId="8979" builtinId="8" hidden="1"/>
    <cellStyle name="Hyperlink" xfId="8981" builtinId="8" hidden="1"/>
    <cellStyle name="Hyperlink" xfId="8983" builtinId="8" hidden="1"/>
    <cellStyle name="Hyperlink" xfId="8863" builtinId="8" hidden="1"/>
    <cellStyle name="Hyperlink" xfId="8899" builtinId="8" hidden="1"/>
    <cellStyle name="Hyperlink" xfId="8985" builtinId="8" hidden="1"/>
    <cellStyle name="Hyperlink" xfId="8987" builtinId="8" hidden="1"/>
    <cellStyle name="Hyperlink" xfId="8989" builtinId="8" hidden="1"/>
    <cellStyle name="Hyperlink" xfId="8991" builtinId="8" hidden="1"/>
    <cellStyle name="Hyperlink" xfId="8868" builtinId="8" hidden="1"/>
    <cellStyle name="Hyperlink" xfId="8888" builtinId="8" hidden="1"/>
    <cellStyle name="Hyperlink" xfId="8993" builtinId="8" hidden="1"/>
    <cellStyle name="Hyperlink" xfId="8995" builtinId="8" hidden="1"/>
    <cellStyle name="Hyperlink" xfId="8997" builtinId="8" hidden="1"/>
    <cellStyle name="Hyperlink" xfId="8999" builtinId="8" hidden="1"/>
    <cellStyle name="Hyperlink" xfId="8875" builtinId="8" hidden="1"/>
    <cellStyle name="Hyperlink" xfId="8873" builtinId="8" hidden="1"/>
    <cellStyle name="Hyperlink" xfId="9001" builtinId="8" hidden="1"/>
    <cellStyle name="Hyperlink" xfId="9003" builtinId="8" hidden="1"/>
    <cellStyle name="Hyperlink" xfId="9005" builtinId="8" hidden="1"/>
    <cellStyle name="Hyperlink" xfId="9007" builtinId="8" hidden="1"/>
    <cellStyle name="Hyperlink" xfId="7488" builtinId="8" hidden="1"/>
    <cellStyle name="Hyperlink" xfId="7372" builtinId="8" hidden="1"/>
    <cellStyle name="Hyperlink" xfId="8344" builtinId="8" hidden="1"/>
    <cellStyle name="Hyperlink" xfId="7353" builtinId="8" hidden="1"/>
    <cellStyle name="Hyperlink" xfId="7411" builtinId="8" hidden="1"/>
    <cellStyle name="Hyperlink" xfId="7446" builtinId="8" hidden="1"/>
    <cellStyle name="Hyperlink" xfId="8002" builtinId="8" hidden="1"/>
    <cellStyle name="Hyperlink" xfId="7368" builtinId="8" hidden="1"/>
    <cellStyle name="Hyperlink" xfId="9010" builtinId="8" hidden="1"/>
    <cellStyle name="Hyperlink" xfId="9012" builtinId="8" hidden="1"/>
    <cellStyle name="Hyperlink" xfId="9014" builtinId="8" hidden="1"/>
    <cellStyle name="Hyperlink" xfId="9016" builtinId="8" hidden="1"/>
    <cellStyle name="Hyperlink" xfId="9018" builtinId="8" hidden="1"/>
    <cellStyle name="Hyperlink" xfId="9020" builtinId="8" hidden="1"/>
    <cellStyle name="Hyperlink" xfId="9070" builtinId="8" hidden="1"/>
    <cellStyle name="Hyperlink" xfId="9072" builtinId="8" hidden="1"/>
    <cellStyle name="Hyperlink" xfId="9074" builtinId="8" hidden="1"/>
    <cellStyle name="Hyperlink" xfId="9076" builtinId="8" hidden="1"/>
    <cellStyle name="Hyperlink" xfId="9066" builtinId="8" hidden="1"/>
    <cellStyle name="Hyperlink" xfId="9056" builtinId="8" hidden="1"/>
    <cellStyle name="Hyperlink" xfId="9078" builtinId="8" hidden="1"/>
    <cellStyle name="Hyperlink" xfId="9080" builtinId="8" hidden="1"/>
    <cellStyle name="Hyperlink" xfId="9082" builtinId="8" hidden="1"/>
    <cellStyle name="Hyperlink" xfId="9084" builtinId="8" hidden="1"/>
    <cellStyle name="Hyperlink" xfId="9050" builtinId="8" hidden="1"/>
    <cellStyle name="Hyperlink" xfId="9036" builtinId="8" hidden="1"/>
    <cellStyle name="Hyperlink" xfId="9086" builtinId="8" hidden="1"/>
    <cellStyle name="Hyperlink" xfId="9088" builtinId="8" hidden="1"/>
    <cellStyle name="Hyperlink" xfId="9090" builtinId="8" hidden="1"/>
    <cellStyle name="Hyperlink" xfId="9092" builtinId="8" hidden="1"/>
    <cellStyle name="Hyperlink" xfId="9055" builtinId="8" hidden="1"/>
    <cellStyle name="Hyperlink" xfId="9024" builtinId="8" hidden="1"/>
    <cellStyle name="Hyperlink" xfId="9094" builtinId="8" hidden="1"/>
    <cellStyle name="Hyperlink" xfId="9096" builtinId="8" hidden="1"/>
    <cellStyle name="Hyperlink" xfId="9098" builtinId="8" hidden="1"/>
    <cellStyle name="Hyperlink" xfId="9100" builtinId="8" hidden="1"/>
    <cellStyle name="Hyperlink" xfId="9025" builtinId="8" hidden="1"/>
    <cellStyle name="Hyperlink" xfId="9058" builtinId="8" hidden="1"/>
    <cellStyle name="Hyperlink" xfId="9102" builtinId="8" hidden="1"/>
    <cellStyle name="Hyperlink" xfId="9104" builtinId="8" hidden="1"/>
    <cellStyle name="Hyperlink" xfId="9106" builtinId="8" hidden="1"/>
    <cellStyle name="Hyperlink" xfId="9108" builtinId="8" hidden="1"/>
    <cellStyle name="Hyperlink" xfId="9027" builtinId="8" hidden="1"/>
    <cellStyle name="Hyperlink" xfId="9068" builtinId="8" hidden="1"/>
    <cellStyle name="Hyperlink" xfId="9110" builtinId="8" hidden="1"/>
    <cellStyle name="Hyperlink" xfId="9112" builtinId="8" hidden="1"/>
    <cellStyle name="Hyperlink" xfId="9114" builtinId="8" hidden="1"/>
    <cellStyle name="Hyperlink" xfId="9116" builtinId="8" hidden="1"/>
    <cellStyle name="Hyperlink" xfId="9048" builtinId="8" hidden="1"/>
    <cellStyle name="Hyperlink" xfId="9051" builtinId="8" hidden="1"/>
    <cellStyle name="Hyperlink" xfId="9118" builtinId="8" hidden="1"/>
    <cellStyle name="Hyperlink" xfId="9120" builtinId="8" hidden="1"/>
    <cellStyle name="Hyperlink" xfId="9122" builtinId="8" hidden="1"/>
    <cellStyle name="Hyperlink" xfId="9124" builtinId="8" hidden="1"/>
    <cellStyle name="Hyperlink" xfId="9052" builtinId="8" hidden="1"/>
    <cellStyle name="Hyperlink" xfId="9049" builtinId="8" hidden="1"/>
    <cellStyle name="Hyperlink" xfId="9126" builtinId="8" hidden="1"/>
    <cellStyle name="Hyperlink" xfId="9128" builtinId="8" hidden="1"/>
    <cellStyle name="Hyperlink" xfId="9130" builtinId="8" hidden="1"/>
    <cellStyle name="Hyperlink" xfId="9132" builtinId="8" hidden="1"/>
    <cellStyle name="Hyperlink" xfId="9067" builtinId="8" hidden="1"/>
    <cellStyle name="Hyperlink" xfId="9044" builtinId="8" hidden="1"/>
    <cellStyle name="Hyperlink" xfId="9134" builtinId="8" hidden="1"/>
    <cellStyle name="Hyperlink" xfId="9136" builtinId="8" hidden="1"/>
    <cellStyle name="Hyperlink" xfId="9138" builtinId="8" hidden="1"/>
    <cellStyle name="Hyperlink" xfId="9140" builtinId="8" hidden="1"/>
    <cellStyle name="Hyperlink" xfId="9022" builtinId="8" hidden="1"/>
    <cellStyle name="Hyperlink" xfId="9023" builtinId="8" hidden="1"/>
    <cellStyle name="Hyperlink" xfId="9142" builtinId="8" hidden="1"/>
    <cellStyle name="Hyperlink" xfId="9144" builtinId="8" hidden="1"/>
    <cellStyle name="Hyperlink" xfId="9146" builtinId="8" hidden="1"/>
    <cellStyle name="Hyperlink" xfId="9148" builtinId="8" hidden="1"/>
    <cellStyle name="Hyperlink" xfId="9028" builtinId="8" hidden="1"/>
    <cellStyle name="Hyperlink" xfId="9064" builtinId="8" hidden="1"/>
    <cellStyle name="Hyperlink" xfId="9150" builtinId="8" hidden="1"/>
    <cellStyle name="Hyperlink" xfId="9152" builtinId="8" hidden="1"/>
    <cellStyle name="Hyperlink" xfId="9154" builtinId="8" hidden="1"/>
    <cellStyle name="Hyperlink" xfId="9156" builtinId="8" hidden="1"/>
    <cellStyle name="Hyperlink" xfId="9033" builtinId="8" hidden="1"/>
    <cellStyle name="Hyperlink" xfId="9053" builtinId="8" hidden="1"/>
    <cellStyle name="Hyperlink" xfId="9158" builtinId="8" hidden="1"/>
    <cellStyle name="Hyperlink" xfId="9160" builtinId="8" hidden="1"/>
    <cellStyle name="Hyperlink" xfId="9162" builtinId="8" hidden="1"/>
    <cellStyle name="Hyperlink" xfId="9164" builtinId="8" hidden="1"/>
    <cellStyle name="Hyperlink" xfId="9040" builtinId="8" hidden="1"/>
    <cellStyle name="Hyperlink" xfId="9038" builtinId="8" hidden="1"/>
    <cellStyle name="Hyperlink" xfId="9166" builtinId="8" hidden="1"/>
    <cellStyle name="Hyperlink" xfId="9168" builtinId="8" hidden="1"/>
    <cellStyle name="Hyperlink" xfId="9170" builtinId="8" hidden="1"/>
    <cellStyle name="Hyperlink" xfId="9172" builtinId="8" hidden="1"/>
    <cellStyle name="Hyperlink" xfId="7672" builtinId="8" hidden="1"/>
    <cellStyle name="Hyperlink" xfId="7831" builtinId="8" hidden="1"/>
    <cellStyle name="Hyperlink" xfId="8511" builtinId="8" hidden="1"/>
    <cellStyle name="Hyperlink" xfId="7833" builtinId="8" hidden="1"/>
    <cellStyle name="Hyperlink" xfId="7490" builtinId="8" hidden="1"/>
    <cellStyle name="Hyperlink" xfId="7440" builtinId="8" hidden="1"/>
    <cellStyle name="Hyperlink" xfId="8172" builtinId="8" hidden="1"/>
    <cellStyle name="Hyperlink" xfId="7458" builtinId="8" hidden="1"/>
    <cellStyle name="Hyperlink" xfId="9175" builtinId="8" hidden="1"/>
    <cellStyle name="Hyperlink" xfId="9177" builtinId="8" hidden="1"/>
    <cellStyle name="Hyperlink" xfId="9179" builtinId="8" hidden="1"/>
    <cellStyle name="Hyperlink" xfId="9181" builtinId="8" hidden="1"/>
    <cellStyle name="Hyperlink" xfId="9183" builtinId="8" hidden="1"/>
    <cellStyle name="Hyperlink" xfId="9185" builtinId="8" hidden="1"/>
    <cellStyle name="Hyperlink" xfId="9235" builtinId="8" hidden="1"/>
    <cellStyle name="Hyperlink" xfId="9237" builtinId="8" hidden="1"/>
    <cellStyle name="Hyperlink" xfId="9239" builtinId="8" hidden="1"/>
    <cellStyle name="Hyperlink" xfId="9241" builtinId="8" hidden="1"/>
    <cellStyle name="Hyperlink" xfId="9231" builtinId="8" hidden="1"/>
    <cellStyle name="Hyperlink" xfId="9221" builtinId="8" hidden="1"/>
    <cellStyle name="Hyperlink" xfId="9243" builtinId="8" hidden="1"/>
    <cellStyle name="Hyperlink" xfId="9245" builtinId="8" hidden="1"/>
    <cellStyle name="Hyperlink" xfId="9247" builtinId="8" hidden="1"/>
    <cellStyle name="Hyperlink" xfId="9249" builtinId="8" hidden="1"/>
    <cellStyle name="Hyperlink" xfId="9215" builtinId="8" hidden="1"/>
    <cellStyle name="Hyperlink" xfId="9201" builtinId="8" hidden="1"/>
    <cellStyle name="Hyperlink" xfId="9251" builtinId="8" hidden="1"/>
    <cellStyle name="Hyperlink" xfId="9253" builtinId="8" hidden="1"/>
    <cellStyle name="Hyperlink" xfId="9255" builtinId="8" hidden="1"/>
    <cellStyle name="Hyperlink" xfId="9257" builtinId="8" hidden="1"/>
    <cellStyle name="Hyperlink" xfId="9220" builtinId="8" hidden="1"/>
    <cellStyle name="Hyperlink" xfId="9189" builtinId="8" hidden="1"/>
    <cellStyle name="Hyperlink" xfId="9259" builtinId="8" hidden="1"/>
    <cellStyle name="Hyperlink" xfId="9261" builtinId="8" hidden="1"/>
    <cellStyle name="Hyperlink" xfId="9263" builtinId="8" hidden="1"/>
    <cellStyle name="Hyperlink" xfId="9265" builtinId="8" hidden="1"/>
    <cellStyle name="Hyperlink" xfId="9190" builtinId="8" hidden="1"/>
    <cellStyle name="Hyperlink" xfId="9223" builtinId="8" hidden="1"/>
    <cellStyle name="Hyperlink" xfId="9267" builtinId="8" hidden="1"/>
    <cellStyle name="Hyperlink" xfId="9269" builtinId="8" hidden="1"/>
    <cellStyle name="Hyperlink" xfId="9271" builtinId="8" hidden="1"/>
    <cellStyle name="Hyperlink" xfId="9273" builtinId="8" hidden="1"/>
    <cellStyle name="Hyperlink" xfId="9192" builtinId="8" hidden="1"/>
    <cellStyle name="Hyperlink" xfId="9233" builtinId="8" hidden="1"/>
    <cellStyle name="Hyperlink" xfId="9275" builtinId="8" hidden="1"/>
    <cellStyle name="Hyperlink" xfId="9277" builtinId="8" hidden="1"/>
    <cellStyle name="Hyperlink" xfId="9279" builtinId="8" hidden="1"/>
    <cellStyle name="Hyperlink" xfId="9281" builtinId="8" hidden="1"/>
    <cellStyle name="Hyperlink" xfId="9213" builtinId="8" hidden="1"/>
    <cellStyle name="Hyperlink" xfId="9216" builtinId="8" hidden="1"/>
    <cellStyle name="Hyperlink" xfId="9283" builtinId="8" hidden="1"/>
    <cellStyle name="Hyperlink" xfId="9285" builtinId="8" hidden="1"/>
    <cellStyle name="Hyperlink" xfId="9287" builtinId="8" hidden="1"/>
    <cellStyle name="Hyperlink" xfId="9289" builtinId="8" hidden="1"/>
    <cellStyle name="Hyperlink" xfId="9217" builtinId="8" hidden="1"/>
    <cellStyle name="Hyperlink" xfId="9214" builtinId="8" hidden="1"/>
    <cellStyle name="Hyperlink" xfId="9291" builtinId="8" hidden="1"/>
    <cellStyle name="Hyperlink" xfId="9293" builtinId="8" hidden="1"/>
    <cellStyle name="Hyperlink" xfId="9295" builtinId="8" hidden="1"/>
    <cellStyle name="Hyperlink" xfId="9297" builtinId="8" hidden="1"/>
    <cellStyle name="Hyperlink" xfId="9232" builtinId="8" hidden="1"/>
    <cellStyle name="Hyperlink" xfId="9209" builtinId="8" hidden="1"/>
    <cellStyle name="Hyperlink" xfId="9299" builtinId="8" hidden="1"/>
    <cellStyle name="Hyperlink" xfId="9301" builtinId="8" hidden="1"/>
    <cellStyle name="Hyperlink" xfId="9303" builtinId="8" hidden="1"/>
    <cellStyle name="Hyperlink" xfId="9305" builtinId="8" hidden="1"/>
    <cellStyle name="Hyperlink" xfId="9187" builtinId="8" hidden="1"/>
    <cellStyle name="Hyperlink" xfId="9188" builtinId="8" hidden="1"/>
    <cellStyle name="Hyperlink" xfId="9307" builtinId="8" hidden="1"/>
    <cellStyle name="Hyperlink" xfId="9309" builtinId="8" hidden="1"/>
    <cellStyle name="Hyperlink" xfId="9311" builtinId="8" hidden="1"/>
    <cellStyle name="Hyperlink" xfId="9313" builtinId="8" hidden="1"/>
    <cellStyle name="Hyperlink" xfId="9193" builtinId="8" hidden="1"/>
    <cellStyle name="Hyperlink" xfId="9229" builtinId="8" hidden="1"/>
    <cellStyle name="Hyperlink" xfId="9315" builtinId="8" hidden="1"/>
    <cellStyle name="Hyperlink" xfId="9317" builtinId="8" hidden="1"/>
    <cellStyle name="Hyperlink" xfId="9319" builtinId="8" hidden="1"/>
    <cellStyle name="Hyperlink" xfId="9321" builtinId="8" hidden="1"/>
    <cellStyle name="Hyperlink" xfId="9198" builtinId="8" hidden="1"/>
    <cellStyle name="Hyperlink" xfId="9218" builtinId="8" hidden="1"/>
    <cellStyle name="Hyperlink" xfId="9323" builtinId="8" hidden="1"/>
    <cellStyle name="Hyperlink" xfId="9325" builtinId="8" hidden="1"/>
    <cellStyle name="Hyperlink" xfId="9327" builtinId="8" hidden="1"/>
    <cellStyle name="Hyperlink" xfId="9329" builtinId="8" hidden="1"/>
    <cellStyle name="Hyperlink" xfId="9205" builtinId="8" hidden="1"/>
    <cellStyle name="Hyperlink" xfId="9203" builtinId="8" hidden="1"/>
    <cellStyle name="Hyperlink" xfId="9331" builtinId="8" hidden="1"/>
    <cellStyle name="Hyperlink" xfId="9333" builtinId="8" hidden="1"/>
    <cellStyle name="Hyperlink" xfId="9335" builtinId="8" hidden="1"/>
    <cellStyle name="Hyperlink" xfId="9337" builtinId="8" hidden="1"/>
    <cellStyle name="Hyperlink" xfId="7374" builtinId="8" hidden="1"/>
    <cellStyle name="Hyperlink" xfId="7463" builtinId="8" hidden="1"/>
    <cellStyle name="Hyperlink" xfId="8678" builtinId="8" hidden="1"/>
    <cellStyle name="Hyperlink" xfId="8003" builtinId="8" hidden="1"/>
    <cellStyle name="Hyperlink" xfId="7492" builtinId="8" hidden="1"/>
    <cellStyle name="Hyperlink" xfId="7403" builtinId="8" hidden="1"/>
    <cellStyle name="Hyperlink" xfId="8341" builtinId="8" hidden="1"/>
    <cellStyle name="Hyperlink" xfId="7494" builtinId="8" hidden="1"/>
    <cellStyle name="Hyperlink" xfId="9339" builtinId="8" hidden="1"/>
    <cellStyle name="Hyperlink" xfId="9341" builtinId="8" hidden="1"/>
    <cellStyle name="Hyperlink" xfId="9343" builtinId="8" hidden="1"/>
    <cellStyle name="Hyperlink" xfId="9345" builtinId="8" hidden="1"/>
    <cellStyle name="Hyperlink" xfId="9347" builtinId="8" hidden="1"/>
    <cellStyle name="Hyperlink" xfId="9349" builtinId="8" hidden="1"/>
    <cellStyle name="Hyperlink" xfId="9399" builtinId="8" hidden="1"/>
    <cellStyle name="Hyperlink" xfId="9401" builtinId="8" hidden="1"/>
    <cellStyle name="Hyperlink" xfId="9403" builtinId="8" hidden="1"/>
    <cellStyle name="Hyperlink" xfId="9405" builtinId="8" hidden="1"/>
    <cellStyle name="Hyperlink" xfId="9395" builtinId="8" hidden="1"/>
    <cellStyle name="Hyperlink" xfId="9385" builtinId="8" hidden="1"/>
    <cellStyle name="Hyperlink" xfId="9407" builtinId="8" hidden="1"/>
    <cellStyle name="Hyperlink" xfId="9409" builtinId="8" hidden="1"/>
    <cellStyle name="Hyperlink" xfId="9411" builtinId="8" hidden="1"/>
    <cellStyle name="Hyperlink" xfId="9413" builtinId="8" hidden="1"/>
    <cellStyle name="Hyperlink" xfId="9379" builtinId="8" hidden="1"/>
    <cellStyle name="Hyperlink" xfId="9365" builtinId="8" hidden="1"/>
    <cellStyle name="Hyperlink" xfId="9415" builtinId="8" hidden="1"/>
    <cellStyle name="Hyperlink" xfId="9417" builtinId="8" hidden="1"/>
    <cellStyle name="Hyperlink" xfId="9419" builtinId="8" hidden="1"/>
    <cellStyle name="Hyperlink" xfId="9421" builtinId="8" hidden="1"/>
    <cellStyle name="Hyperlink" xfId="9384" builtinId="8" hidden="1"/>
    <cellStyle name="Hyperlink" xfId="9353" builtinId="8" hidden="1"/>
    <cellStyle name="Hyperlink" xfId="9423" builtinId="8" hidden="1"/>
    <cellStyle name="Hyperlink" xfId="9425" builtinId="8" hidden="1"/>
    <cellStyle name="Hyperlink" xfId="9427" builtinId="8" hidden="1"/>
    <cellStyle name="Hyperlink" xfId="9429" builtinId="8" hidden="1"/>
    <cellStyle name="Hyperlink" xfId="9354" builtinId="8" hidden="1"/>
    <cellStyle name="Hyperlink" xfId="9387" builtinId="8" hidden="1"/>
    <cellStyle name="Hyperlink" xfId="9431" builtinId="8" hidden="1"/>
    <cellStyle name="Hyperlink" xfId="9433" builtinId="8" hidden="1"/>
    <cellStyle name="Hyperlink" xfId="9435" builtinId="8" hidden="1"/>
    <cellStyle name="Hyperlink" xfId="9437" builtinId="8" hidden="1"/>
    <cellStyle name="Hyperlink" xfId="9356" builtinId="8" hidden="1"/>
    <cellStyle name="Hyperlink" xfId="9397" builtinId="8" hidden="1"/>
    <cellStyle name="Hyperlink" xfId="9439" builtinId="8" hidden="1"/>
    <cellStyle name="Hyperlink" xfId="9441" builtinId="8" hidden="1"/>
    <cellStyle name="Hyperlink" xfId="9443" builtinId="8" hidden="1"/>
    <cellStyle name="Hyperlink" xfId="9445" builtinId="8" hidden="1"/>
    <cellStyle name="Hyperlink" xfId="9377" builtinId="8" hidden="1"/>
    <cellStyle name="Hyperlink" xfId="9380" builtinId="8" hidden="1"/>
    <cellStyle name="Hyperlink" xfId="9447" builtinId="8" hidden="1"/>
    <cellStyle name="Hyperlink" xfId="9449" builtinId="8" hidden="1"/>
    <cellStyle name="Hyperlink" xfId="9451" builtinId="8" hidden="1"/>
    <cellStyle name="Hyperlink" xfId="9453" builtinId="8" hidden="1"/>
    <cellStyle name="Hyperlink" xfId="9381" builtinId="8" hidden="1"/>
    <cellStyle name="Hyperlink" xfId="9378" builtinId="8" hidden="1"/>
    <cellStyle name="Hyperlink" xfId="9455" builtinId="8" hidden="1"/>
    <cellStyle name="Hyperlink" xfId="9457" builtinId="8" hidden="1"/>
    <cellStyle name="Hyperlink" xfId="9459" builtinId="8" hidden="1"/>
    <cellStyle name="Hyperlink" xfId="9461" builtinId="8" hidden="1"/>
    <cellStyle name="Hyperlink" xfId="9396" builtinId="8" hidden="1"/>
    <cellStyle name="Hyperlink" xfId="9373" builtinId="8" hidden="1"/>
    <cellStyle name="Hyperlink" xfId="9463" builtinId="8" hidden="1"/>
    <cellStyle name="Hyperlink" xfId="9465" builtinId="8" hidden="1"/>
    <cellStyle name="Hyperlink" xfId="9467" builtinId="8" hidden="1"/>
    <cellStyle name="Hyperlink" xfId="9469" builtinId="8" hidden="1"/>
    <cellStyle name="Hyperlink" xfId="9351" builtinId="8" hidden="1"/>
    <cellStyle name="Hyperlink" xfId="9352" builtinId="8" hidden="1"/>
    <cellStyle name="Hyperlink" xfId="9471" builtinId="8" hidden="1"/>
    <cellStyle name="Hyperlink" xfId="9473" builtinId="8" hidden="1"/>
    <cellStyle name="Hyperlink" xfId="9475" builtinId="8" hidden="1"/>
    <cellStyle name="Hyperlink" xfId="9477" builtinId="8" hidden="1"/>
    <cellStyle name="Hyperlink" xfId="9357" builtinId="8" hidden="1"/>
    <cellStyle name="Hyperlink" xfId="9393" builtinId="8" hidden="1"/>
    <cellStyle name="Hyperlink" xfId="9479" builtinId="8" hidden="1"/>
    <cellStyle name="Hyperlink" xfId="9481" builtinId="8" hidden="1"/>
    <cellStyle name="Hyperlink" xfId="9483" builtinId="8" hidden="1"/>
    <cellStyle name="Hyperlink" xfId="9485" builtinId="8" hidden="1"/>
    <cellStyle name="Hyperlink" xfId="9362" builtinId="8" hidden="1"/>
    <cellStyle name="Hyperlink" xfId="9382" builtinId="8" hidden="1"/>
    <cellStyle name="Hyperlink" xfId="9487" builtinId="8" hidden="1"/>
    <cellStyle name="Hyperlink" xfId="9489" builtinId="8" hidden="1"/>
    <cellStyle name="Hyperlink" xfId="9491" builtinId="8" hidden="1"/>
    <cellStyle name="Hyperlink" xfId="9493" builtinId="8" hidden="1"/>
    <cellStyle name="Hyperlink" xfId="9369" builtinId="8" hidden="1"/>
    <cellStyle name="Hyperlink" xfId="9367" builtinId="8" hidden="1"/>
    <cellStyle name="Hyperlink" xfId="9495" builtinId="8" hidden="1"/>
    <cellStyle name="Hyperlink" xfId="9497" builtinId="8" hidden="1"/>
    <cellStyle name="Hyperlink" xfId="9499" builtinId="8" hidden="1"/>
    <cellStyle name="Hyperlink" xfId="9501" builtinId="8" hidden="1"/>
    <cellStyle name="Hyperlink" xfId="2493" builtinId="8" hidden="1"/>
    <cellStyle name="Hyperlink" xfId="2490" builtinId="8" hidden="1"/>
    <cellStyle name="Hyperlink" xfId="2461" builtinId="8" hidden="1"/>
    <cellStyle name="Hyperlink" xfId="2372" builtinId="8" hidden="1"/>
    <cellStyle name="Hyperlink" xfId="2414" builtinId="8" hidden="1"/>
    <cellStyle name="Hyperlink" xfId="2449" builtinId="8" hidden="1"/>
    <cellStyle name="Hyperlink" xfId="2393" builtinId="8" hidden="1"/>
    <cellStyle name="Hyperlink" xfId="2453" builtinId="8" hidden="1"/>
    <cellStyle name="Hyperlink" xfId="2462" builtinId="8" hidden="1"/>
    <cellStyle name="Hyperlink" xfId="2399" builtinId="8" hidden="1"/>
    <cellStyle name="Hyperlink" xfId="2439" builtinId="8" hidden="1"/>
    <cellStyle name="Hyperlink" xfId="2469" builtinId="8" hidden="1"/>
    <cellStyle name="Hyperlink" xfId="2391" builtinId="8" hidden="1"/>
    <cellStyle name="Hyperlink" xfId="4848" builtinId="8" hidden="1"/>
    <cellStyle name="Hyperlink" xfId="9507" builtinId="8" hidden="1"/>
    <cellStyle name="Hyperlink" xfId="9509" builtinId="8" hidden="1"/>
    <cellStyle name="Hyperlink" xfId="9511" builtinId="8" hidden="1"/>
    <cellStyle name="Hyperlink" xfId="9513" builtinId="8" hidden="1"/>
    <cellStyle name="Hyperlink" xfId="9515" builtinId="8" hidden="1"/>
    <cellStyle name="Hyperlink" xfId="9517" builtinId="8" hidden="1"/>
    <cellStyle name="Hyperlink" xfId="9567" builtinId="8" hidden="1"/>
    <cellStyle name="Hyperlink" xfId="9569" builtinId="8" hidden="1"/>
    <cellStyle name="Hyperlink" xfId="9571" builtinId="8" hidden="1"/>
    <cellStyle name="Hyperlink" xfId="9573" builtinId="8" hidden="1"/>
    <cellStyle name="Hyperlink" xfId="9563" builtinId="8" hidden="1"/>
    <cellStyle name="Hyperlink" xfId="9553" builtinId="8" hidden="1"/>
    <cellStyle name="Hyperlink" xfId="9575" builtinId="8" hidden="1"/>
    <cellStyle name="Hyperlink" xfId="9577" builtinId="8" hidden="1"/>
    <cellStyle name="Hyperlink" xfId="9579" builtinId="8" hidden="1"/>
    <cellStyle name="Hyperlink" xfId="9581" builtinId="8" hidden="1"/>
    <cellStyle name="Hyperlink" xfId="9547" builtinId="8" hidden="1"/>
    <cellStyle name="Hyperlink" xfId="9533" builtinId="8" hidden="1"/>
    <cellStyle name="Hyperlink" xfId="9583" builtinId="8" hidden="1"/>
    <cellStyle name="Hyperlink" xfId="9585" builtinId="8" hidden="1"/>
    <cellStyle name="Hyperlink" xfId="9587" builtinId="8" hidden="1"/>
    <cellStyle name="Hyperlink" xfId="9589" builtinId="8" hidden="1"/>
    <cellStyle name="Hyperlink" xfId="9552" builtinId="8" hidden="1"/>
    <cellStyle name="Hyperlink" xfId="9521" builtinId="8" hidden="1"/>
    <cellStyle name="Hyperlink" xfId="9591" builtinId="8" hidden="1"/>
    <cellStyle name="Hyperlink" xfId="9593" builtinId="8" hidden="1"/>
    <cellStyle name="Hyperlink" xfId="9595" builtinId="8" hidden="1"/>
    <cellStyle name="Hyperlink" xfId="9597" builtinId="8" hidden="1"/>
    <cellStyle name="Hyperlink" xfId="9522" builtinId="8" hidden="1"/>
    <cellStyle name="Hyperlink" xfId="9555" builtinId="8" hidden="1"/>
    <cellStyle name="Hyperlink" xfId="9599" builtinId="8" hidden="1"/>
    <cellStyle name="Hyperlink" xfId="9601" builtinId="8" hidden="1"/>
    <cellStyle name="Hyperlink" xfId="9603" builtinId="8" hidden="1"/>
    <cellStyle name="Hyperlink" xfId="9605" builtinId="8" hidden="1"/>
    <cellStyle name="Hyperlink" xfId="9524" builtinId="8" hidden="1"/>
    <cellStyle name="Hyperlink" xfId="9565" builtinId="8" hidden="1"/>
    <cellStyle name="Hyperlink" xfId="9607" builtinId="8" hidden="1"/>
    <cellStyle name="Hyperlink" xfId="9609" builtinId="8" hidden="1"/>
    <cellStyle name="Hyperlink" xfId="9611" builtinId="8" hidden="1"/>
    <cellStyle name="Hyperlink" xfId="9613" builtinId="8" hidden="1"/>
    <cellStyle name="Hyperlink" xfId="9545" builtinId="8" hidden="1"/>
    <cellStyle name="Hyperlink" xfId="9548" builtinId="8" hidden="1"/>
    <cellStyle name="Hyperlink" xfId="9615" builtinId="8" hidden="1"/>
    <cellStyle name="Hyperlink" xfId="9617" builtinId="8" hidden="1"/>
    <cellStyle name="Hyperlink" xfId="9619" builtinId="8" hidden="1"/>
    <cellStyle name="Hyperlink" xfId="9621" builtinId="8" hidden="1"/>
    <cellStyle name="Hyperlink" xfId="9549" builtinId="8" hidden="1"/>
    <cellStyle name="Hyperlink" xfId="9546" builtinId="8" hidden="1"/>
    <cellStyle name="Hyperlink" xfId="9623" builtinId="8" hidden="1"/>
    <cellStyle name="Hyperlink" xfId="9625" builtinId="8" hidden="1"/>
    <cellStyle name="Hyperlink" xfId="9627" builtinId="8" hidden="1"/>
    <cellStyle name="Hyperlink" xfId="9629" builtinId="8" hidden="1"/>
    <cellStyle name="Hyperlink" xfId="9564" builtinId="8" hidden="1"/>
    <cellStyle name="Hyperlink" xfId="9541" builtinId="8" hidden="1"/>
    <cellStyle name="Hyperlink" xfId="9631" builtinId="8" hidden="1"/>
    <cellStyle name="Hyperlink" xfId="9633" builtinId="8" hidden="1"/>
    <cellStyle name="Hyperlink" xfId="9635" builtinId="8" hidden="1"/>
    <cellStyle name="Hyperlink" xfId="9637" builtinId="8" hidden="1"/>
    <cellStyle name="Hyperlink" xfId="9519" builtinId="8" hidden="1"/>
    <cellStyle name="Hyperlink" xfId="9520" builtinId="8" hidden="1"/>
    <cellStyle name="Hyperlink" xfId="9639" builtinId="8" hidden="1"/>
    <cellStyle name="Hyperlink" xfId="9641" builtinId="8" hidden="1"/>
    <cellStyle name="Hyperlink" xfId="9643" builtinId="8" hidden="1"/>
    <cellStyle name="Hyperlink" xfId="9645" builtinId="8" hidden="1"/>
    <cellStyle name="Hyperlink" xfId="9525" builtinId="8" hidden="1"/>
    <cellStyle name="Hyperlink" xfId="9561" builtinId="8" hidden="1"/>
    <cellStyle name="Hyperlink" xfId="9647" builtinId="8" hidden="1"/>
    <cellStyle name="Hyperlink" xfId="9649" builtinId="8" hidden="1"/>
    <cellStyle name="Hyperlink" xfId="9651" builtinId="8" hidden="1"/>
    <cellStyle name="Hyperlink" xfId="9653" builtinId="8" hidden="1"/>
    <cellStyle name="Hyperlink" xfId="9530" builtinId="8" hidden="1"/>
    <cellStyle name="Hyperlink" xfId="9550" builtinId="8" hidden="1"/>
    <cellStyle name="Hyperlink" xfId="9655" builtinId="8" hidden="1"/>
    <cellStyle name="Hyperlink" xfId="9657" builtinId="8" hidden="1"/>
    <cellStyle name="Hyperlink" xfId="9659" builtinId="8" hidden="1"/>
    <cellStyle name="Hyperlink" xfId="9661" builtinId="8" hidden="1"/>
    <cellStyle name="Hyperlink" xfId="9537" builtinId="8" hidden="1"/>
    <cellStyle name="Hyperlink" xfId="9535" builtinId="8" hidden="1"/>
    <cellStyle name="Hyperlink" xfId="9663" builtinId="8" hidden="1"/>
    <cellStyle name="Hyperlink" xfId="9665" builtinId="8" hidden="1"/>
    <cellStyle name="Hyperlink" xfId="9667" builtinId="8" hidden="1"/>
    <cellStyle name="Hyperlink" xfId="9669" builtinId="8" hidden="1"/>
    <cellStyle name="Hyperlink" xfId="9671" builtinId="8" hidden="1"/>
    <cellStyle name="Hyperlink" xfId="9673" builtinId="8" hidden="1"/>
    <cellStyle name="Hyperlink" xfId="9739" builtinId="8" hidden="1"/>
    <cellStyle name="Hyperlink" xfId="9741" builtinId="8" hidden="1"/>
    <cellStyle name="Hyperlink" xfId="9743" builtinId="8" hidden="1"/>
    <cellStyle name="Hyperlink" xfId="9745" builtinId="8" hidden="1"/>
    <cellStyle name="Hyperlink" xfId="9748" builtinId="8" hidden="1"/>
    <cellStyle name="Hyperlink" xfId="9750" builtinId="8" hidden="1"/>
    <cellStyle name="Hyperlink" xfId="9824" builtinId="8" hidden="1"/>
    <cellStyle name="Hyperlink" xfId="9826" builtinId="8" hidden="1"/>
    <cellStyle name="Hyperlink" xfId="9828" builtinId="8" hidden="1"/>
    <cellStyle name="Hyperlink" xfId="9830" builtinId="8" hidden="1"/>
    <cellStyle name="Hyperlink" xfId="9832" builtinId="8" hidden="1"/>
    <cellStyle name="Hyperlink" xfId="9834" builtinId="8" hidden="1"/>
    <cellStyle name="Hyperlink" xfId="9884" builtinId="8" hidden="1"/>
    <cellStyle name="Hyperlink" xfId="9886" builtinId="8" hidden="1"/>
    <cellStyle name="Hyperlink" xfId="9888" builtinId="8" hidden="1"/>
    <cellStyle name="Hyperlink" xfId="9890" builtinId="8" hidden="1"/>
    <cellStyle name="Hyperlink" xfId="9880" builtinId="8" hidden="1"/>
    <cellStyle name="Hyperlink" xfId="9870" builtinId="8" hidden="1"/>
    <cellStyle name="Hyperlink" xfId="9892" builtinId="8" hidden="1"/>
    <cellStyle name="Hyperlink" xfId="9894" builtinId="8" hidden="1"/>
    <cellStyle name="Hyperlink" xfId="9896" builtinId="8" hidden="1"/>
    <cellStyle name="Hyperlink" xfId="9898" builtinId="8" hidden="1"/>
    <cellStyle name="Hyperlink" xfId="9864" builtinId="8" hidden="1"/>
    <cellStyle name="Hyperlink" xfId="9850" builtinId="8" hidden="1"/>
    <cellStyle name="Hyperlink" xfId="9900" builtinId="8" hidden="1"/>
    <cellStyle name="Hyperlink" xfId="9902" builtinId="8" hidden="1"/>
    <cellStyle name="Hyperlink" xfId="9904" builtinId="8" hidden="1"/>
    <cellStyle name="Hyperlink" xfId="9906" builtinId="8" hidden="1"/>
    <cellStyle name="Hyperlink" xfId="9869" builtinId="8" hidden="1"/>
    <cellStyle name="Hyperlink" xfId="9838" builtinId="8" hidden="1"/>
    <cellStyle name="Hyperlink" xfId="9908" builtinId="8" hidden="1"/>
    <cellStyle name="Hyperlink" xfId="9910" builtinId="8" hidden="1"/>
    <cellStyle name="Hyperlink" xfId="9912" builtinId="8" hidden="1"/>
    <cellStyle name="Hyperlink" xfId="9914" builtinId="8" hidden="1"/>
    <cellStyle name="Hyperlink" xfId="9839" builtinId="8" hidden="1"/>
    <cellStyle name="Hyperlink" xfId="9872" builtinId="8" hidden="1"/>
    <cellStyle name="Hyperlink" xfId="9916" builtinId="8" hidden="1"/>
    <cellStyle name="Hyperlink" xfId="9918" builtinId="8" hidden="1"/>
    <cellStyle name="Hyperlink" xfId="9920" builtinId="8" hidden="1"/>
    <cellStyle name="Hyperlink" xfId="9922" builtinId="8" hidden="1"/>
    <cellStyle name="Hyperlink" xfId="9841" builtinId="8" hidden="1"/>
    <cellStyle name="Hyperlink" xfId="9882" builtinId="8" hidden="1"/>
    <cellStyle name="Hyperlink" xfId="9924" builtinId="8" hidden="1"/>
    <cellStyle name="Hyperlink" xfId="9926" builtinId="8" hidden="1"/>
    <cellStyle name="Hyperlink" xfId="9928" builtinId="8" hidden="1"/>
    <cellStyle name="Hyperlink" xfId="9930" builtinId="8" hidden="1"/>
    <cellStyle name="Hyperlink" xfId="9862" builtinId="8" hidden="1"/>
    <cellStyle name="Hyperlink" xfId="9865" builtinId="8" hidden="1"/>
    <cellStyle name="Hyperlink" xfId="9932" builtinId="8" hidden="1"/>
    <cellStyle name="Hyperlink" xfId="9934" builtinId="8" hidden="1"/>
    <cellStyle name="Hyperlink" xfId="9936" builtinId="8" hidden="1"/>
    <cellStyle name="Hyperlink" xfId="9938" builtinId="8" hidden="1"/>
    <cellStyle name="Hyperlink" xfId="9866" builtinId="8" hidden="1"/>
    <cellStyle name="Hyperlink" xfId="9863" builtinId="8" hidden="1"/>
    <cellStyle name="Hyperlink" xfId="9940" builtinId="8" hidden="1"/>
    <cellStyle name="Hyperlink" xfId="9942" builtinId="8" hidden="1"/>
    <cellStyle name="Hyperlink" xfId="9944" builtinId="8" hidden="1"/>
    <cellStyle name="Hyperlink" xfId="9946" builtinId="8" hidden="1"/>
    <cellStyle name="Hyperlink" xfId="9881" builtinId="8" hidden="1"/>
    <cellStyle name="Hyperlink" xfId="9858" builtinId="8" hidden="1"/>
    <cellStyle name="Hyperlink" xfId="9948" builtinId="8" hidden="1"/>
    <cellStyle name="Hyperlink" xfId="9950" builtinId="8" hidden="1"/>
    <cellStyle name="Hyperlink" xfId="9952" builtinId="8" hidden="1"/>
    <cellStyle name="Hyperlink" xfId="9954" builtinId="8" hidden="1"/>
    <cellStyle name="Hyperlink" xfId="9836" builtinId="8" hidden="1"/>
    <cellStyle name="Hyperlink" xfId="9837" builtinId="8" hidden="1"/>
    <cellStyle name="Hyperlink" xfId="9956" builtinId="8" hidden="1"/>
    <cellStyle name="Hyperlink" xfId="9958" builtinId="8" hidden="1"/>
    <cellStyle name="Hyperlink" xfId="9960" builtinId="8" hidden="1"/>
    <cellStyle name="Hyperlink" xfId="9962" builtinId="8" hidden="1"/>
    <cellStyle name="Hyperlink" xfId="9842" builtinId="8" hidden="1"/>
    <cellStyle name="Hyperlink" xfId="9878" builtinId="8" hidden="1"/>
    <cellStyle name="Hyperlink" xfId="9964" builtinId="8" hidden="1"/>
    <cellStyle name="Hyperlink" xfId="9966" builtinId="8" hidden="1"/>
    <cellStyle name="Hyperlink" xfId="9968" builtinId="8" hidden="1"/>
    <cellStyle name="Hyperlink" xfId="9970" builtinId="8" hidden="1"/>
    <cellStyle name="Hyperlink" xfId="9847" builtinId="8" hidden="1"/>
    <cellStyle name="Hyperlink" xfId="9867" builtinId="8" hidden="1"/>
    <cellStyle name="Hyperlink" xfId="9972" builtinId="8" hidden="1"/>
    <cellStyle name="Hyperlink" xfId="9974" builtinId="8" hidden="1"/>
    <cellStyle name="Hyperlink" xfId="9976" builtinId="8" hidden="1"/>
    <cellStyle name="Hyperlink" xfId="9978" builtinId="8" hidden="1"/>
    <cellStyle name="Hyperlink" xfId="9854" builtinId="8" hidden="1"/>
    <cellStyle name="Hyperlink" xfId="9852" builtinId="8" hidden="1"/>
    <cellStyle name="Hyperlink" xfId="9980" builtinId="8" hidden="1"/>
    <cellStyle name="Hyperlink" xfId="9982" builtinId="8" hidden="1"/>
    <cellStyle name="Hyperlink" xfId="9984" builtinId="8" hidden="1"/>
    <cellStyle name="Hyperlink" xfId="9986" builtinId="8" hidden="1"/>
    <cellStyle name="Hyperlink" xfId="9685" builtinId="8" hidden="1"/>
    <cellStyle name="Hyperlink" xfId="9797" builtinId="8" hidden="1"/>
    <cellStyle name="Hyperlink" xfId="9689" builtinId="8" hidden="1"/>
    <cellStyle name="Hyperlink" xfId="9800" builtinId="8" hidden="1"/>
    <cellStyle name="Hyperlink" xfId="9783" builtinId="8" hidden="1"/>
    <cellStyle name="Hyperlink" xfId="9735" builtinId="8" hidden="1"/>
    <cellStyle name="Hyperlink" xfId="9676" builtinId="8" hidden="1"/>
    <cellStyle name="Hyperlink" xfId="9788" builtinId="8" hidden="1"/>
    <cellStyle name="Hyperlink" xfId="9991" builtinId="8" hidden="1"/>
    <cellStyle name="Hyperlink" xfId="9993" builtinId="8" hidden="1"/>
    <cellStyle name="Hyperlink" xfId="9995" builtinId="8" hidden="1"/>
    <cellStyle name="Hyperlink" xfId="9997" builtinId="8" hidden="1"/>
    <cellStyle name="Hyperlink" xfId="10000" builtinId="8" hidden="1"/>
    <cellStyle name="Hyperlink" xfId="10002" builtinId="8" hidden="1"/>
    <cellStyle name="Hyperlink" xfId="10052" builtinId="8" hidden="1"/>
    <cellStyle name="Hyperlink" xfId="10054" builtinId="8" hidden="1"/>
    <cellStyle name="Hyperlink" xfId="10056" builtinId="8" hidden="1"/>
    <cellStyle name="Hyperlink" xfId="10058" builtinId="8" hidden="1"/>
    <cellStyle name="Hyperlink" xfId="10048" builtinId="8" hidden="1"/>
    <cellStyle name="Hyperlink" xfId="10038" builtinId="8" hidden="1"/>
    <cellStyle name="Hyperlink" xfId="10060" builtinId="8" hidden="1"/>
    <cellStyle name="Hyperlink" xfId="10062" builtinId="8" hidden="1"/>
    <cellStyle name="Hyperlink" xfId="10064" builtinId="8" hidden="1"/>
    <cellStyle name="Hyperlink" xfId="10066" builtinId="8" hidden="1"/>
    <cellStyle name="Hyperlink" xfId="10032" builtinId="8" hidden="1"/>
    <cellStyle name="Hyperlink" xfId="10018" builtinId="8" hidden="1"/>
    <cellStyle name="Hyperlink" xfId="10068" builtinId="8" hidden="1"/>
    <cellStyle name="Hyperlink" xfId="10070" builtinId="8" hidden="1"/>
    <cellStyle name="Hyperlink" xfId="10072" builtinId="8" hidden="1"/>
    <cellStyle name="Hyperlink" xfId="10074" builtinId="8" hidden="1"/>
    <cellStyle name="Hyperlink" xfId="10037" builtinId="8" hidden="1"/>
    <cellStyle name="Hyperlink" xfId="10006" builtinId="8" hidden="1"/>
    <cellStyle name="Hyperlink" xfId="10076" builtinId="8" hidden="1"/>
    <cellStyle name="Hyperlink" xfId="10078" builtinId="8" hidden="1"/>
    <cellStyle name="Hyperlink" xfId="10080" builtinId="8" hidden="1"/>
    <cellStyle name="Hyperlink" xfId="10082" builtinId="8" hidden="1"/>
    <cellStyle name="Hyperlink" xfId="10007" builtinId="8" hidden="1"/>
    <cellStyle name="Hyperlink" xfId="10040" builtinId="8" hidden="1"/>
    <cellStyle name="Hyperlink" xfId="10084" builtinId="8" hidden="1"/>
    <cellStyle name="Hyperlink" xfId="10086" builtinId="8" hidden="1"/>
    <cellStyle name="Hyperlink" xfId="10088" builtinId="8" hidden="1"/>
    <cellStyle name="Hyperlink" xfId="10090" builtinId="8" hidden="1"/>
    <cellStyle name="Hyperlink" xfId="10009" builtinId="8" hidden="1"/>
    <cellStyle name="Hyperlink" xfId="10050" builtinId="8" hidden="1"/>
    <cellStyle name="Hyperlink" xfId="10092" builtinId="8" hidden="1"/>
    <cellStyle name="Hyperlink" xfId="10094" builtinId="8" hidden="1"/>
    <cellStyle name="Hyperlink" xfId="10096" builtinId="8" hidden="1"/>
    <cellStyle name="Hyperlink" xfId="10098" builtinId="8" hidden="1"/>
    <cellStyle name="Hyperlink" xfId="10030" builtinId="8" hidden="1"/>
    <cellStyle name="Hyperlink" xfId="10033" builtinId="8" hidden="1"/>
    <cellStyle name="Hyperlink" xfId="10100" builtinId="8" hidden="1"/>
    <cellStyle name="Hyperlink" xfId="10102" builtinId="8" hidden="1"/>
    <cellStyle name="Hyperlink" xfId="10104" builtinId="8" hidden="1"/>
    <cellStyle name="Hyperlink" xfId="10106" builtinId="8" hidden="1"/>
    <cellStyle name="Hyperlink" xfId="10034" builtinId="8" hidden="1"/>
    <cellStyle name="Hyperlink" xfId="10031" builtinId="8" hidden="1"/>
    <cellStyle name="Hyperlink" xfId="10108" builtinId="8" hidden="1"/>
    <cellStyle name="Hyperlink" xfId="10110" builtinId="8" hidden="1"/>
    <cellStyle name="Hyperlink" xfId="10112" builtinId="8" hidden="1"/>
    <cellStyle name="Hyperlink" xfId="10114" builtinId="8" hidden="1"/>
    <cellStyle name="Hyperlink" xfId="10049" builtinId="8" hidden="1"/>
    <cellStyle name="Hyperlink" xfId="10026" builtinId="8" hidden="1"/>
    <cellStyle name="Hyperlink" xfId="10116" builtinId="8" hidden="1"/>
    <cellStyle name="Hyperlink" xfId="10118" builtinId="8" hidden="1"/>
    <cellStyle name="Hyperlink" xfId="10120" builtinId="8" hidden="1"/>
    <cellStyle name="Hyperlink" xfId="10122" builtinId="8" hidden="1"/>
    <cellStyle name="Hyperlink" xfId="10004" builtinId="8" hidden="1"/>
    <cellStyle name="Hyperlink" xfId="10005" builtinId="8" hidden="1"/>
    <cellStyle name="Hyperlink" xfId="10124" builtinId="8" hidden="1"/>
    <cellStyle name="Hyperlink" xfId="10126" builtinId="8" hidden="1"/>
    <cellStyle name="Hyperlink" xfId="10128" builtinId="8" hidden="1"/>
    <cellStyle name="Hyperlink" xfId="10130" builtinId="8" hidden="1"/>
    <cellStyle name="Hyperlink" xfId="10010" builtinId="8" hidden="1"/>
    <cellStyle name="Hyperlink" xfId="10046" builtinId="8" hidden="1"/>
    <cellStyle name="Hyperlink" xfId="10132" builtinId="8" hidden="1"/>
    <cellStyle name="Hyperlink" xfId="10134" builtinId="8" hidden="1"/>
    <cellStyle name="Hyperlink" xfId="10136" builtinId="8" hidden="1"/>
    <cellStyle name="Hyperlink" xfId="10138" builtinId="8" hidden="1"/>
    <cellStyle name="Hyperlink" xfId="10015" builtinId="8" hidden="1"/>
    <cellStyle name="Hyperlink" xfId="10035" builtinId="8" hidden="1"/>
    <cellStyle name="Hyperlink" xfId="10140" builtinId="8" hidden="1"/>
    <cellStyle name="Hyperlink" xfId="10142" builtinId="8" hidden="1"/>
    <cellStyle name="Hyperlink" xfId="10144" builtinId="8" hidden="1"/>
    <cellStyle name="Hyperlink" xfId="10146" builtinId="8" hidden="1"/>
    <cellStyle name="Hyperlink" xfId="10022" builtinId="8" hidden="1"/>
    <cellStyle name="Hyperlink" xfId="10020" builtinId="8" hidden="1"/>
    <cellStyle name="Hyperlink" xfId="10148" builtinId="8" hidden="1"/>
    <cellStyle name="Hyperlink" xfId="10150" builtinId="8" hidden="1"/>
    <cellStyle name="Hyperlink" xfId="10152" builtinId="8" hidden="1"/>
    <cellStyle name="Hyperlink" xfId="10154" builtinId="8" hidden="1"/>
    <cellStyle name="Hyperlink" xfId="9731" builtinId="8" hidden="1"/>
    <cellStyle name="Hyperlink" xfId="9732" builtinId="8" hidden="1"/>
    <cellStyle name="Hyperlink" xfId="9706" builtinId="8" hidden="1"/>
    <cellStyle name="Hyperlink" xfId="9707" builtinId="8" hidden="1"/>
    <cellStyle name="Hyperlink" xfId="9722" builtinId="8" hidden="1"/>
    <cellStyle name="Hyperlink" xfId="9720" builtinId="8" hidden="1"/>
    <cellStyle name="Hyperlink" xfId="9713" builtinId="8" hidden="1"/>
    <cellStyle name="Hyperlink" xfId="9714" builtinId="8" hidden="1"/>
    <cellStyle name="Hyperlink" xfId="10165" builtinId="8" hidden="1"/>
    <cellStyle name="Hyperlink" xfId="10167" builtinId="8" hidden="1"/>
    <cellStyle name="Hyperlink" xfId="10169" builtinId="8" hidden="1"/>
    <cellStyle name="Hyperlink" xfId="10171" builtinId="8" hidden="1"/>
    <cellStyle name="Hyperlink" xfId="10173" builtinId="8" hidden="1"/>
    <cellStyle name="Hyperlink" xfId="10175" builtinId="8" hidden="1"/>
    <cellStyle name="Hyperlink" xfId="10225" builtinId="8" hidden="1"/>
    <cellStyle name="Hyperlink" xfId="10227" builtinId="8" hidden="1"/>
    <cellStyle name="Hyperlink" xfId="10229" builtinId="8" hidden="1"/>
    <cellStyle name="Hyperlink" xfId="10231" builtinId="8" hidden="1"/>
    <cellStyle name="Hyperlink" xfId="10221" builtinId="8" hidden="1"/>
    <cellStyle name="Hyperlink" xfId="10211" builtinId="8" hidden="1"/>
    <cellStyle name="Hyperlink" xfId="10233" builtinId="8" hidden="1"/>
    <cellStyle name="Hyperlink" xfId="10235" builtinId="8" hidden="1"/>
    <cellStyle name="Hyperlink" xfId="10237" builtinId="8" hidden="1"/>
    <cellStyle name="Hyperlink" xfId="10239" builtinId="8" hidden="1"/>
    <cellStyle name="Hyperlink" xfId="10205" builtinId="8" hidden="1"/>
    <cellStyle name="Hyperlink" xfId="10191" builtinId="8" hidden="1"/>
    <cellStyle name="Hyperlink" xfId="10241" builtinId="8" hidden="1"/>
    <cellStyle name="Hyperlink" xfId="10243" builtinId="8" hidden="1"/>
    <cellStyle name="Hyperlink" xfId="10245" builtinId="8" hidden="1"/>
    <cellStyle name="Hyperlink" xfId="10247" builtinId="8" hidden="1"/>
    <cellStyle name="Hyperlink" xfId="10210" builtinId="8" hidden="1"/>
    <cellStyle name="Hyperlink" xfId="10179" builtinId="8" hidden="1"/>
    <cellStyle name="Hyperlink" xfId="10249" builtinId="8" hidden="1"/>
    <cellStyle name="Hyperlink" xfId="10251" builtinId="8" hidden="1"/>
    <cellStyle name="Hyperlink" xfId="10253" builtinId="8" hidden="1"/>
    <cellStyle name="Hyperlink" xfId="10255" builtinId="8" hidden="1"/>
    <cellStyle name="Hyperlink" xfId="10180" builtinId="8" hidden="1"/>
    <cellStyle name="Hyperlink" xfId="10213" builtinId="8" hidden="1"/>
    <cellStyle name="Hyperlink" xfId="10257" builtinId="8" hidden="1"/>
    <cellStyle name="Hyperlink" xfId="10259" builtinId="8" hidden="1"/>
    <cellStyle name="Hyperlink" xfId="10261" builtinId="8" hidden="1"/>
    <cellStyle name="Hyperlink" xfId="10263" builtinId="8" hidden="1"/>
    <cellStyle name="Hyperlink" xfId="10182" builtinId="8" hidden="1"/>
    <cellStyle name="Hyperlink" xfId="10223" builtinId="8" hidden="1"/>
    <cellStyle name="Hyperlink" xfId="10265" builtinId="8" hidden="1"/>
    <cellStyle name="Hyperlink" xfId="10267" builtinId="8" hidden="1"/>
    <cellStyle name="Hyperlink" xfId="10269" builtinId="8" hidden="1"/>
    <cellStyle name="Hyperlink" xfId="10271" builtinId="8" hidden="1"/>
    <cellStyle name="Hyperlink" xfId="10203" builtinId="8" hidden="1"/>
    <cellStyle name="Hyperlink" xfId="10206" builtinId="8" hidden="1"/>
    <cellStyle name="Hyperlink" xfId="10273" builtinId="8" hidden="1"/>
    <cellStyle name="Hyperlink" xfId="10275" builtinId="8" hidden="1"/>
    <cellStyle name="Hyperlink" xfId="10277" builtinId="8" hidden="1"/>
    <cellStyle name="Hyperlink" xfId="10279" builtinId="8" hidden="1"/>
    <cellStyle name="Hyperlink" xfId="10207" builtinId="8" hidden="1"/>
    <cellStyle name="Hyperlink" xfId="10204" builtinId="8" hidden="1"/>
    <cellStyle name="Hyperlink" xfId="10281" builtinId="8" hidden="1"/>
    <cellStyle name="Hyperlink" xfId="10283" builtinId="8" hidden="1"/>
    <cellStyle name="Hyperlink" xfId="10285" builtinId="8" hidden="1"/>
    <cellStyle name="Hyperlink" xfId="10287" builtinId="8" hidden="1"/>
    <cellStyle name="Hyperlink" xfId="10222" builtinId="8" hidden="1"/>
    <cellStyle name="Hyperlink" xfId="10199" builtinId="8" hidden="1"/>
    <cellStyle name="Hyperlink" xfId="10289" builtinId="8" hidden="1"/>
    <cellStyle name="Hyperlink" xfId="10291" builtinId="8" hidden="1"/>
    <cellStyle name="Hyperlink" xfId="10293" builtinId="8" hidden="1"/>
    <cellStyle name="Hyperlink" xfId="10295" builtinId="8" hidden="1"/>
    <cellStyle name="Hyperlink" xfId="10177" builtinId="8" hidden="1"/>
    <cellStyle name="Hyperlink" xfId="10178" builtinId="8" hidden="1"/>
    <cellStyle name="Hyperlink" xfId="10297" builtinId="8" hidden="1"/>
    <cellStyle name="Hyperlink" xfId="10299" builtinId="8" hidden="1"/>
    <cellStyle name="Hyperlink" xfId="10301" builtinId="8" hidden="1"/>
    <cellStyle name="Hyperlink" xfId="10303" builtinId="8" hidden="1"/>
    <cellStyle name="Hyperlink" xfId="10183" builtinId="8" hidden="1"/>
    <cellStyle name="Hyperlink" xfId="10219" builtinId="8" hidden="1"/>
    <cellStyle name="Hyperlink" xfId="10305" builtinId="8" hidden="1"/>
    <cellStyle name="Hyperlink" xfId="10307" builtinId="8" hidden="1"/>
    <cellStyle name="Hyperlink" xfId="10309" builtinId="8" hidden="1"/>
    <cellStyle name="Hyperlink" xfId="10311" builtinId="8" hidden="1"/>
    <cellStyle name="Hyperlink" xfId="10188" builtinId="8" hidden="1"/>
    <cellStyle name="Hyperlink" xfId="10208" builtinId="8" hidden="1"/>
    <cellStyle name="Hyperlink" xfId="10313" builtinId="8" hidden="1"/>
    <cellStyle name="Hyperlink" xfId="10315" builtinId="8" hidden="1"/>
    <cellStyle name="Hyperlink" xfId="10317" builtinId="8" hidden="1"/>
    <cellStyle name="Hyperlink" xfId="10319" builtinId="8" hidden="1"/>
    <cellStyle name="Hyperlink" xfId="10195" builtinId="8" hidden="1"/>
    <cellStyle name="Hyperlink" xfId="10193" builtinId="8" hidden="1"/>
    <cellStyle name="Hyperlink" xfId="10321" builtinId="8" hidden="1"/>
    <cellStyle name="Hyperlink" xfId="10323" builtinId="8" hidden="1"/>
    <cellStyle name="Hyperlink" xfId="10325" builtinId="8" hidden="1"/>
    <cellStyle name="Hyperlink" xfId="10327" builtinId="8" hidden="1"/>
    <cellStyle name="Hyperlink" xfId="9772" builtinId="8" hidden="1"/>
    <cellStyle name="Hyperlink" xfId="9715" builtinId="8" hidden="1"/>
    <cellStyle name="Hyperlink" xfId="9725" builtinId="8" hidden="1"/>
    <cellStyle name="Hyperlink" xfId="9692" builtinId="8" hidden="1"/>
    <cellStyle name="Hyperlink" xfId="9775" builtinId="8" hidden="1"/>
    <cellStyle name="Hyperlink" xfId="9807" builtinId="8" hidden="1"/>
    <cellStyle name="Hyperlink" xfId="9786" builtinId="8" hidden="1"/>
    <cellStyle name="Hyperlink" xfId="9736" builtinId="8" hidden="1"/>
    <cellStyle name="Hyperlink" xfId="10335" builtinId="8" hidden="1"/>
    <cellStyle name="Hyperlink" xfId="10337" builtinId="8" hidden="1"/>
    <cellStyle name="Hyperlink" xfId="10339" builtinId="8" hidden="1"/>
    <cellStyle name="Hyperlink" xfId="10341" builtinId="8" hidden="1"/>
    <cellStyle name="Hyperlink" xfId="10343" builtinId="8" hidden="1"/>
    <cellStyle name="Hyperlink" xfId="10345" builtinId="8" hidden="1"/>
    <cellStyle name="Hyperlink" xfId="10395" builtinId="8" hidden="1"/>
    <cellStyle name="Hyperlink" xfId="10397" builtinId="8" hidden="1"/>
    <cellStyle name="Hyperlink" xfId="10399" builtinId="8" hidden="1"/>
    <cellStyle name="Hyperlink" xfId="10401" builtinId="8" hidden="1"/>
    <cellStyle name="Hyperlink" xfId="10391" builtinId="8" hidden="1"/>
    <cellStyle name="Hyperlink" xfId="10381" builtinId="8" hidden="1"/>
    <cellStyle name="Hyperlink" xfId="10403" builtinId="8" hidden="1"/>
    <cellStyle name="Hyperlink" xfId="10405" builtinId="8" hidden="1"/>
    <cellStyle name="Hyperlink" xfId="10407" builtinId="8" hidden="1"/>
    <cellStyle name="Hyperlink" xfId="10409" builtinId="8" hidden="1"/>
    <cellStyle name="Hyperlink" xfId="10375" builtinId="8" hidden="1"/>
    <cellStyle name="Hyperlink" xfId="10361" builtinId="8" hidden="1"/>
    <cellStyle name="Hyperlink" xfId="10411" builtinId="8" hidden="1"/>
    <cellStyle name="Hyperlink" xfId="10413" builtinId="8" hidden="1"/>
    <cellStyle name="Hyperlink" xfId="10415" builtinId="8" hidden="1"/>
    <cellStyle name="Hyperlink" xfId="10417" builtinId="8" hidden="1"/>
    <cellStyle name="Hyperlink" xfId="10380" builtinId="8" hidden="1"/>
    <cellStyle name="Hyperlink" xfId="10349" builtinId="8" hidden="1"/>
    <cellStyle name="Hyperlink" xfId="10419" builtinId="8" hidden="1"/>
    <cellStyle name="Hyperlink" xfId="10421" builtinId="8" hidden="1"/>
    <cellStyle name="Hyperlink" xfId="10423" builtinId="8" hidden="1"/>
    <cellStyle name="Hyperlink" xfId="10425" builtinId="8" hidden="1"/>
    <cellStyle name="Hyperlink" xfId="10350" builtinId="8" hidden="1"/>
    <cellStyle name="Hyperlink" xfId="10383" builtinId="8" hidden="1"/>
    <cellStyle name="Hyperlink" xfId="10427" builtinId="8" hidden="1"/>
    <cellStyle name="Hyperlink" xfId="10429" builtinId="8" hidden="1"/>
    <cellStyle name="Hyperlink" xfId="10431" builtinId="8" hidden="1"/>
    <cellStyle name="Hyperlink" xfId="10433" builtinId="8" hidden="1"/>
    <cellStyle name="Hyperlink" xfId="10352" builtinId="8" hidden="1"/>
    <cellStyle name="Hyperlink" xfId="10393" builtinId="8" hidden="1"/>
    <cellStyle name="Hyperlink" xfId="10435" builtinId="8" hidden="1"/>
    <cellStyle name="Hyperlink" xfId="10437" builtinId="8" hidden="1"/>
    <cellStyle name="Hyperlink" xfId="10439" builtinId="8" hidden="1"/>
    <cellStyle name="Hyperlink" xfId="10441" builtinId="8" hidden="1"/>
    <cellStyle name="Hyperlink" xfId="10373" builtinId="8" hidden="1"/>
    <cellStyle name="Hyperlink" xfId="10376" builtinId="8" hidden="1"/>
    <cellStyle name="Hyperlink" xfId="10443" builtinId="8" hidden="1"/>
    <cellStyle name="Hyperlink" xfId="10445" builtinId="8" hidden="1"/>
    <cellStyle name="Hyperlink" xfId="10447" builtinId="8" hidden="1"/>
    <cellStyle name="Hyperlink" xfId="10449" builtinId="8" hidden="1"/>
    <cellStyle name="Hyperlink" xfId="10377" builtinId="8" hidden="1"/>
    <cellStyle name="Hyperlink" xfId="10374" builtinId="8" hidden="1"/>
    <cellStyle name="Hyperlink" xfId="10451" builtinId="8" hidden="1"/>
    <cellStyle name="Hyperlink" xfId="10453" builtinId="8" hidden="1"/>
    <cellStyle name="Hyperlink" xfId="10455" builtinId="8" hidden="1"/>
    <cellStyle name="Hyperlink" xfId="10457" builtinId="8" hidden="1"/>
    <cellStyle name="Hyperlink" xfId="10392" builtinId="8" hidden="1"/>
    <cellStyle name="Hyperlink" xfId="10369" builtinId="8" hidden="1"/>
    <cellStyle name="Hyperlink" xfId="10459" builtinId="8" hidden="1"/>
    <cellStyle name="Hyperlink" xfId="10461" builtinId="8" hidden="1"/>
    <cellStyle name="Hyperlink" xfId="10463" builtinId="8" hidden="1"/>
    <cellStyle name="Hyperlink" xfId="10465" builtinId="8" hidden="1"/>
    <cellStyle name="Hyperlink" xfId="10347" builtinId="8" hidden="1"/>
    <cellStyle name="Hyperlink" xfId="10348" builtinId="8" hidden="1"/>
    <cellStyle name="Hyperlink" xfId="10467" builtinId="8" hidden="1"/>
    <cellStyle name="Hyperlink" xfId="10469" builtinId="8" hidden="1"/>
    <cellStyle name="Hyperlink" xfId="10471" builtinId="8" hidden="1"/>
    <cellStyle name="Hyperlink" xfId="10473" builtinId="8" hidden="1"/>
    <cellStyle name="Hyperlink" xfId="10353" builtinId="8" hidden="1"/>
    <cellStyle name="Hyperlink" xfId="10389" builtinId="8" hidden="1"/>
    <cellStyle name="Hyperlink" xfId="10475" builtinId="8" hidden="1"/>
    <cellStyle name="Hyperlink" xfId="10477" builtinId="8" hidden="1"/>
    <cellStyle name="Hyperlink" xfId="10479" builtinId="8" hidden="1"/>
    <cellStyle name="Hyperlink" xfId="10481" builtinId="8" hidden="1"/>
    <cellStyle name="Hyperlink" xfId="10358" builtinId="8" hidden="1"/>
    <cellStyle name="Hyperlink" xfId="10378" builtinId="8" hidden="1"/>
    <cellStyle name="Hyperlink" xfId="10483" builtinId="8" hidden="1"/>
    <cellStyle name="Hyperlink" xfId="10485" builtinId="8" hidden="1"/>
    <cellStyle name="Hyperlink" xfId="10487" builtinId="8" hidden="1"/>
    <cellStyle name="Hyperlink" xfId="10489" builtinId="8" hidden="1"/>
    <cellStyle name="Hyperlink" xfId="10365" builtinId="8" hidden="1"/>
    <cellStyle name="Hyperlink" xfId="10363" builtinId="8" hidden="1"/>
    <cellStyle name="Hyperlink" xfId="10491" builtinId="8" hidden="1"/>
    <cellStyle name="Hyperlink" xfId="10493" builtinId="8" hidden="1"/>
    <cellStyle name="Hyperlink" xfId="10495" builtinId="8" hidden="1"/>
    <cellStyle name="Hyperlink" xfId="10497" builtinId="8" hidden="1"/>
    <cellStyle name="Hyperlink" xfId="9747" builtinId="8" hidden="1"/>
    <cellStyle name="Hyperlink" xfId="9718" builtinId="8" hidden="1"/>
    <cellStyle name="Hyperlink" xfId="9765" builtinId="8" hidden="1"/>
    <cellStyle name="Hyperlink" xfId="9683" builtinId="8" hidden="1"/>
    <cellStyle name="Hyperlink" xfId="9762" builtinId="8" hidden="1"/>
    <cellStyle name="Hyperlink" xfId="9698" builtinId="8" hidden="1"/>
    <cellStyle name="Hyperlink" xfId="9769" builtinId="8" hidden="1"/>
    <cellStyle name="Hyperlink" xfId="9724" builtinId="8" hidden="1"/>
    <cellStyle name="Hyperlink" xfId="10504" builtinId="8" hidden="1"/>
    <cellStyle name="Hyperlink" xfId="10506" builtinId="8" hidden="1"/>
    <cellStyle name="Hyperlink" xfId="10508" builtinId="8" hidden="1"/>
    <cellStyle name="Hyperlink" xfId="10510" builtinId="8" hidden="1"/>
    <cellStyle name="Hyperlink" xfId="10512" builtinId="8" hidden="1"/>
    <cellStyle name="Hyperlink" xfId="10514" builtinId="8" hidden="1"/>
    <cellStyle name="Hyperlink" xfId="10564" builtinId="8" hidden="1"/>
    <cellStyle name="Hyperlink" xfId="10566" builtinId="8" hidden="1"/>
    <cellStyle name="Hyperlink" xfId="10568" builtinId="8" hidden="1"/>
    <cellStyle name="Hyperlink" xfId="10570" builtinId="8" hidden="1"/>
    <cellStyle name="Hyperlink" xfId="10560" builtinId="8" hidden="1"/>
    <cellStyle name="Hyperlink" xfId="10550" builtinId="8" hidden="1"/>
    <cellStyle name="Hyperlink" xfId="10572" builtinId="8" hidden="1"/>
    <cellStyle name="Hyperlink" xfId="10574" builtinId="8" hidden="1"/>
    <cellStyle name="Hyperlink" xfId="10576" builtinId="8" hidden="1"/>
    <cellStyle name="Hyperlink" xfId="10578" builtinId="8" hidden="1"/>
    <cellStyle name="Hyperlink" xfId="10544" builtinId="8" hidden="1"/>
    <cellStyle name="Hyperlink" xfId="10530" builtinId="8" hidden="1"/>
    <cellStyle name="Hyperlink" xfId="10580" builtinId="8" hidden="1"/>
    <cellStyle name="Hyperlink" xfId="10582" builtinId="8" hidden="1"/>
    <cellStyle name="Hyperlink" xfId="10584" builtinId="8" hidden="1"/>
    <cellStyle name="Hyperlink" xfId="10586" builtinId="8" hidden="1"/>
    <cellStyle name="Hyperlink" xfId="10549" builtinId="8" hidden="1"/>
    <cellStyle name="Hyperlink" xfId="10518" builtinId="8" hidden="1"/>
    <cellStyle name="Hyperlink" xfId="10588" builtinId="8" hidden="1"/>
    <cellStyle name="Hyperlink" xfId="10590" builtinId="8" hidden="1"/>
    <cellStyle name="Hyperlink" xfId="10592" builtinId="8" hidden="1"/>
    <cellStyle name="Hyperlink" xfId="10594" builtinId="8" hidden="1"/>
    <cellStyle name="Hyperlink" xfId="10519" builtinId="8" hidden="1"/>
    <cellStyle name="Hyperlink" xfId="10552" builtinId="8" hidden="1"/>
    <cellStyle name="Hyperlink" xfId="10596" builtinId="8" hidden="1"/>
    <cellStyle name="Hyperlink" xfId="10598" builtinId="8" hidden="1"/>
    <cellStyle name="Hyperlink" xfId="10600" builtinId="8" hidden="1"/>
    <cellStyle name="Hyperlink" xfId="10602" builtinId="8" hidden="1"/>
    <cellStyle name="Hyperlink" xfId="10521" builtinId="8" hidden="1"/>
    <cellStyle name="Hyperlink" xfId="10562" builtinId="8" hidden="1"/>
    <cellStyle name="Hyperlink" xfId="10604" builtinId="8" hidden="1"/>
    <cellStyle name="Hyperlink" xfId="10606" builtinId="8" hidden="1"/>
    <cellStyle name="Hyperlink" xfId="10608" builtinId="8" hidden="1"/>
    <cellStyle name="Hyperlink" xfId="10610" builtinId="8" hidden="1"/>
    <cellStyle name="Hyperlink" xfId="10542" builtinId="8" hidden="1"/>
    <cellStyle name="Hyperlink" xfId="10545" builtinId="8" hidden="1"/>
    <cellStyle name="Hyperlink" xfId="10612" builtinId="8" hidden="1"/>
    <cellStyle name="Hyperlink" xfId="10614" builtinId="8" hidden="1"/>
    <cellStyle name="Hyperlink" xfId="10616" builtinId="8" hidden="1"/>
    <cellStyle name="Hyperlink" xfId="10618" builtinId="8" hidden="1"/>
    <cellStyle name="Hyperlink" xfId="10546" builtinId="8" hidden="1"/>
    <cellStyle name="Hyperlink" xfId="10543" builtinId="8" hidden="1"/>
    <cellStyle name="Hyperlink" xfId="10620" builtinId="8" hidden="1"/>
    <cellStyle name="Hyperlink" xfId="10622" builtinId="8" hidden="1"/>
    <cellStyle name="Hyperlink" xfId="10624" builtinId="8" hidden="1"/>
    <cellStyle name="Hyperlink" xfId="10626" builtinId="8" hidden="1"/>
    <cellStyle name="Hyperlink" xfId="10561" builtinId="8" hidden="1"/>
    <cellStyle name="Hyperlink" xfId="10538" builtinId="8" hidden="1"/>
    <cellStyle name="Hyperlink" xfId="10628" builtinId="8" hidden="1"/>
    <cellStyle name="Hyperlink" xfId="10630" builtinId="8" hidden="1"/>
    <cellStyle name="Hyperlink" xfId="10632" builtinId="8" hidden="1"/>
    <cellStyle name="Hyperlink" xfId="10634" builtinId="8" hidden="1"/>
    <cellStyle name="Hyperlink" xfId="10516" builtinId="8" hidden="1"/>
    <cellStyle name="Hyperlink" xfId="10517" builtinId="8" hidden="1"/>
    <cellStyle name="Hyperlink" xfId="10636" builtinId="8" hidden="1"/>
    <cellStyle name="Hyperlink" xfId="10638" builtinId="8" hidden="1"/>
    <cellStyle name="Hyperlink" xfId="10640" builtinId="8" hidden="1"/>
    <cellStyle name="Hyperlink" xfId="10642" builtinId="8" hidden="1"/>
    <cellStyle name="Hyperlink" xfId="10522" builtinId="8" hidden="1"/>
    <cellStyle name="Hyperlink" xfId="10558" builtinId="8" hidden="1"/>
    <cellStyle name="Hyperlink" xfId="10644" builtinId="8" hidden="1"/>
    <cellStyle name="Hyperlink" xfId="10646" builtinId="8" hidden="1"/>
    <cellStyle name="Hyperlink" xfId="10648" builtinId="8" hidden="1"/>
    <cellStyle name="Hyperlink" xfId="10650" builtinId="8" hidden="1"/>
    <cellStyle name="Hyperlink" xfId="10527" builtinId="8" hidden="1"/>
    <cellStyle name="Hyperlink" xfId="10547" builtinId="8" hidden="1"/>
    <cellStyle name="Hyperlink" xfId="10652" builtinId="8" hidden="1"/>
    <cellStyle name="Hyperlink" xfId="10654" builtinId="8" hidden="1"/>
    <cellStyle name="Hyperlink" xfId="10656" builtinId="8" hidden="1"/>
    <cellStyle name="Hyperlink" xfId="10658" builtinId="8" hidden="1"/>
    <cellStyle name="Hyperlink" xfId="10534" builtinId="8" hidden="1"/>
    <cellStyle name="Hyperlink" xfId="10532" builtinId="8" hidden="1"/>
    <cellStyle name="Hyperlink" xfId="10660" builtinId="8" hidden="1"/>
    <cellStyle name="Hyperlink" xfId="10662" builtinId="8" hidden="1"/>
    <cellStyle name="Hyperlink" xfId="10664" builtinId="8" hidden="1"/>
    <cellStyle name="Hyperlink" xfId="10666" builtinId="8" hidden="1"/>
    <cellStyle name="Hyperlink" xfId="9989" builtinId="8" hidden="1"/>
    <cellStyle name="Hyperlink" xfId="10156" builtinId="8" hidden="1"/>
    <cellStyle name="Hyperlink" xfId="9793" builtinId="8" hidden="1"/>
    <cellStyle name="Hyperlink" xfId="9682" builtinId="8" hidden="1"/>
    <cellStyle name="Hyperlink" xfId="9678" builtinId="8" hidden="1"/>
    <cellStyle name="Hyperlink" xfId="9726" builtinId="8" hidden="1"/>
    <cellStyle name="Hyperlink" xfId="9687" builtinId="8" hidden="1"/>
    <cellStyle name="Hyperlink" xfId="9763" builtinId="8" hidden="1"/>
    <cellStyle name="Hyperlink" xfId="10673" builtinId="8" hidden="1"/>
    <cellStyle name="Hyperlink" xfId="10675" builtinId="8" hidden="1"/>
    <cellStyle name="Hyperlink" xfId="10677" builtinId="8" hidden="1"/>
    <cellStyle name="Hyperlink" xfId="10679" builtinId="8" hidden="1"/>
    <cellStyle name="Hyperlink" xfId="10681" builtinId="8" hidden="1"/>
    <cellStyle name="Hyperlink" xfId="10683" builtinId="8" hidden="1"/>
    <cellStyle name="Hyperlink" xfId="10733" builtinId="8" hidden="1"/>
    <cellStyle name="Hyperlink" xfId="10735" builtinId="8" hidden="1"/>
    <cellStyle name="Hyperlink" xfId="10737" builtinId="8" hidden="1"/>
    <cellStyle name="Hyperlink" xfId="10739" builtinId="8" hidden="1"/>
    <cellStyle name="Hyperlink" xfId="10729" builtinId="8" hidden="1"/>
    <cellStyle name="Hyperlink" xfId="10719" builtinId="8" hidden="1"/>
    <cellStyle name="Hyperlink" xfId="10741" builtinId="8" hidden="1"/>
    <cellStyle name="Hyperlink" xfId="10743" builtinId="8" hidden="1"/>
    <cellStyle name="Hyperlink" xfId="10745" builtinId="8" hidden="1"/>
    <cellStyle name="Hyperlink" xfId="10747" builtinId="8" hidden="1"/>
    <cellStyle name="Hyperlink" xfId="10713" builtinId="8" hidden="1"/>
    <cellStyle name="Hyperlink" xfId="10699" builtinId="8" hidden="1"/>
    <cellStyle name="Hyperlink" xfId="10749" builtinId="8" hidden="1"/>
    <cellStyle name="Hyperlink" xfId="10751" builtinId="8" hidden="1"/>
    <cellStyle name="Hyperlink" xfId="10753" builtinId="8" hidden="1"/>
    <cellStyle name="Hyperlink" xfId="10755" builtinId="8" hidden="1"/>
    <cellStyle name="Hyperlink" xfId="10718" builtinId="8" hidden="1"/>
    <cellStyle name="Hyperlink" xfId="10687" builtinId="8" hidden="1"/>
    <cellStyle name="Hyperlink" xfId="10757" builtinId="8" hidden="1"/>
    <cellStyle name="Hyperlink" xfId="10759" builtinId="8" hidden="1"/>
    <cellStyle name="Hyperlink" xfId="10761" builtinId="8" hidden="1"/>
    <cellStyle name="Hyperlink" xfId="10763" builtinId="8" hidden="1"/>
    <cellStyle name="Hyperlink" xfId="10688" builtinId="8" hidden="1"/>
    <cellStyle name="Hyperlink" xfId="10721" builtinId="8" hidden="1"/>
    <cellStyle name="Hyperlink" xfId="10765" builtinId="8" hidden="1"/>
    <cellStyle name="Hyperlink" xfId="10767" builtinId="8" hidden="1"/>
    <cellStyle name="Hyperlink" xfId="10769" builtinId="8" hidden="1"/>
    <cellStyle name="Hyperlink" xfId="10771" builtinId="8" hidden="1"/>
    <cellStyle name="Hyperlink" xfId="10690" builtinId="8" hidden="1"/>
    <cellStyle name="Hyperlink" xfId="10731" builtinId="8" hidden="1"/>
    <cellStyle name="Hyperlink" xfId="10773" builtinId="8" hidden="1"/>
    <cellStyle name="Hyperlink" xfId="10775" builtinId="8" hidden="1"/>
    <cellStyle name="Hyperlink" xfId="10777" builtinId="8" hidden="1"/>
    <cellStyle name="Hyperlink" xfId="10779" builtinId="8" hidden="1"/>
    <cellStyle name="Hyperlink" xfId="10711" builtinId="8" hidden="1"/>
    <cellStyle name="Hyperlink" xfId="10714" builtinId="8" hidden="1"/>
    <cellStyle name="Hyperlink" xfId="10781" builtinId="8" hidden="1"/>
    <cellStyle name="Hyperlink" xfId="10783" builtinId="8" hidden="1"/>
    <cellStyle name="Hyperlink" xfId="10785" builtinId="8" hidden="1"/>
    <cellStyle name="Hyperlink" xfId="10787" builtinId="8" hidden="1"/>
    <cellStyle name="Hyperlink" xfId="10715" builtinId="8" hidden="1"/>
    <cellStyle name="Hyperlink" xfId="10712" builtinId="8" hidden="1"/>
    <cellStyle name="Hyperlink" xfId="10789" builtinId="8" hidden="1"/>
    <cellStyle name="Hyperlink" xfId="10791" builtinId="8" hidden="1"/>
    <cellStyle name="Hyperlink" xfId="10793" builtinId="8" hidden="1"/>
    <cellStyle name="Hyperlink" xfId="10795" builtinId="8" hidden="1"/>
    <cellStyle name="Hyperlink" xfId="10730" builtinId="8" hidden="1"/>
    <cellStyle name="Hyperlink" xfId="10707" builtinId="8" hidden="1"/>
    <cellStyle name="Hyperlink" xfId="10797" builtinId="8" hidden="1"/>
    <cellStyle name="Hyperlink" xfId="10799" builtinId="8" hidden="1"/>
    <cellStyle name="Hyperlink" xfId="10801" builtinId="8" hidden="1"/>
    <cellStyle name="Hyperlink" xfId="10803" builtinId="8" hidden="1"/>
    <cellStyle name="Hyperlink" xfId="10685" builtinId="8" hidden="1"/>
    <cellStyle name="Hyperlink" xfId="10686" builtinId="8" hidden="1"/>
    <cellStyle name="Hyperlink" xfId="10805" builtinId="8" hidden="1"/>
    <cellStyle name="Hyperlink" xfId="10807" builtinId="8" hidden="1"/>
    <cellStyle name="Hyperlink" xfId="10809" builtinId="8" hidden="1"/>
    <cellStyle name="Hyperlink" xfId="10811" builtinId="8" hidden="1"/>
    <cellStyle name="Hyperlink" xfId="10691" builtinId="8" hidden="1"/>
    <cellStyle name="Hyperlink" xfId="10727" builtinId="8" hidden="1"/>
    <cellStyle name="Hyperlink" xfId="10813" builtinId="8" hidden="1"/>
    <cellStyle name="Hyperlink" xfId="10815" builtinId="8" hidden="1"/>
    <cellStyle name="Hyperlink" xfId="10817" builtinId="8" hidden="1"/>
    <cellStyle name="Hyperlink" xfId="10819" builtinId="8" hidden="1"/>
    <cellStyle name="Hyperlink" xfId="10696" builtinId="8" hidden="1"/>
    <cellStyle name="Hyperlink" xfId="10716" builtinId="8" hidden="1"/>
    <cellStyle name="Hyperlink" xfId="10821" builtinId="8" hidden="1"/>
    <cellStyle name="Hyperlink" xfId="10823" builtinId="8" hidden="1"/>
    <cellStyle name="Hyperlink" xfId="10825" builtinId="8" hidden="1"/>
    <cellStyle name="Hyperlink" xfId="10827" builtinId="8" hidden="1"/>
    <cellStyle name="Hyperlink" xfId="10703" builtinId="8" hidden="1"/>
    <cellStyle name="Hyperlink" xfId="10701" builtinId="8" hidden="1"/>
    <cellStyle name="Hyperlink" xfId="10829" builtinId="8" hidden="1"/>
    <cellStyle name="Hyperlink" xfId="10831" builtinId="8" hidden="1"/>
    <cellStyle name="Hyperlink" xfId="10833" builtinId="8" hidden="1"/>
    <cellStyle name="Hyperlink" xfId="10835" builtinId="8" hidden="1"/>
    <cellStyle name="Hyperlink" xfId="9679" builtinId="8" hidden="1"/>
    <cellStyle name="Hyperlink" xfId="9794" builtinId="8" hidden="1"/>
    <cellStyle name="Hyperlink" xfId="10163" builtinId="8" hidden="1"/>
    <cellStyle name="Hyperlink" xfId="9796" builtinId="8" hidden="1"/>
    <cellStyle name="Hyperlink" xfId="9777" builtinId="8" hidden="1"/>
    <cellStyle name="Hyperlink" xfId="9809" builtinId="8" hidden="1"/>
    <cellStyle name="Hyperlink" xfId="9684" builtinId="8" hidden="1"/>
    <cellStyle name="Hyperlink" xfId="9811" builtinId="8" hidden="1"/>
    <cellStyle name="Hyperlink" xfId="10840" builtinId="8" hidden="1"/>
    <cellStyle name="Hyperlink" xfId="10842" builtinId="8" hidden="1"/>
    <cellStyle name="Hyperlink" xfId="10844" builtinId="8" hidden="1"/>
    <cellStyle name="Hyperlink" xfId="10846" builtinId="8" hidden="1"/>
    <cellStyle name="Hyperlink" xfId="10848" builtinId="8" hidden="1"/>
    <cellStyle name="Hyperlink" xfId="10850" builtinId="8" hidden="1"/>
    <cellStyle name="Hyperlink" xfId="10900" builtinId="8" hidden="1"/>
    <cellStyle name="Hyperlink" xfId="10902" builtinId="8" hidden="1"/>
    <cellStyle name="Hyperlink" xfId="10904" builtinId="8" hidden="1"/>
    <cellStyle name="Hyperlink" xfId="10906" builtinId="8" hidden="1"/>
    <cellStyle name="Hyperlink" xfId="10896" builtinId="8" hidden="1"/>
    <cellStyle name="Hyperlink" xfId="10886" builtinId="8" hidden="1"/>
    <cellStyle name="Hyperlink" xfId="10908" builtinId="8" hidden="1"/>
    <cellStyle name="Hyperlink" xfId="10910" builtinId="8" hidden="1"/>
    <cellStyle name="Hyperlink" xfId="10912" builtinId="8" hidden="1"/>
    <cellStyle name="Hyperlink" xfId="10914" builtinId="8" hidden="1"/>
    <cellStyle name="Hyperlink" xfId="10880" builtinId="8" hidden="1"/>
    <cellStyle name="Hyperlink" xfId="10866" builtinId="8" hidden="1"/>
    <cellStyle name="Hyperlink" xfId="10916" builtinId="8" hidden="1"/>
    <cellStyle name="Hyperlink" xfId="10918" builtinId="8" hidden="1"/>
    <cellStyle name="Hyperlink" xfId="10920" builtinId="8" hidden="1"/>
    <cellStyle name="Hyperlink" xfId="10922" builtinId="8" hidden="1"/>
    <cellStyle name="Hyperlink" xfId="10885" builtinId="8" hidden="1"/>
    <cellStyle name="Hyperlink" xfId="10854" builtinId="8" hidden="1"/>
    <cellStyle name="Hyperlink" xfId="10924" builtinId="8" hidden="1"/>
    <cellStyle name="Hyperlink" xfId="10926" builtinId="8" hidden="1"/>
    <cellStyle name="Hyperlink" xfId="10928" builtinId="8" hidden="1"/>
    <cellStyle name="Hyperlink" xfId="10930" builtinId="8" hidden="1"/>
    <cellStyle name="Hyperlink" xfId="10855" builtinId="8" hidden="1"/>
    <cellStyle name="Hyperlink" xfId="10888" builtinId="8" hidden="1"/>
    <cellStyle name="Hyperlink" xfId="10932" builtinId="8" hidden="1"/>
    <cellStyle name="Hyperlink" xfId="10934" builtinId="8" hidden="1"/>
    <cellStyle name="Hyperlink" xfId="10936" builtinId="8" hidden="1"/>
    <cellStyle name="Hyperlink" xfId="10938" builtinId="8" hidden="1"/>
    <cellStyle name="Hyperlink" xfId="10857" builtinId="8" hidden="1"/>
    <cellStyle name="Hyperlink" xfId="10898" builtinId="8" hidden="1"/>
    <cellStyle name="Hyperlink" xfId="10940" builtinId="8" hidden="1"/>
    <cellStyle name="Hyperlink" xfId="10942" builtinId="8" hidden="1"/>
    <cellStyle name="Hyperlink" xfId="10944" builtinId="8" hidden="1"/>
    <cellStyle name="Hyperlink" xfId="10946" builtinId="8" hidden="1"/>
    <cellStyle name="Hyperlink" xfId="10878" builtinId="8" hidden="1"/>
    <cellStyle name="Hyperlink" xfId="10881" builtinId="8" hidden="1"/>
    <cellStyle name="Hyperlink" xfId="10948" builtinId="8" hidden="1"/>
    <cellStyle name="Hyperlink" xfId="10950" builtinId="8" hidden="1"/>
    <cellStyle name="Hyperlink" xfId="10952" builtinId="8" hidden="1"/>
    <cellStyle name="Hyperlink" xfId="10954" builtinId="8" hidden="1"/>
    <cellStyle name="Hyperlink" xfId="10882" builtinId="8" hidden="1"/>
    <cellStyle name="Hyperlink" xfId="10879" builtinId="8" hidden="1"/>
    <cellStyle name="Hyperlink" xfId="10956" builtinId="8" hidden="1"/>
    <cellStyle name="Hyperlink" xfId="10958" builtinId="8" hidden="1"/>
    <cellStyle name="Hyperlink" xfId="10960" builtinId="8" hidden="1"/>
    <cellStyle name="Hyperlink" xfId="10962" builtinId="8" hidden="1"/>
    <cellStyle name="Hyperlink" xfId="10897" builtinId="8" hidden="1"/>
    <cellStyle name="Hyperlink" xfId="10874" builtinId="8" hidden="1"/>
    <cellStyle name="Hyperlink" xfId="10964" builtinId="8" hidden="1"/>
    <cellStyle name="Hyperlink" xfId="10966" builtinId="8" hidden="1"/>
    <cellStyle name="Hyperlink" xfId="10968" builtinId="8" hidden="1"/>
    <cellStyle name="Hyperlink" xfId="10970" builtinId="8" hidden="1"/>
    <cellStyle name="Hyperlink" xfId="10852" builtinId="8" hidden="1"/>
    <cellStyle name="Hyperlink" xfId="10853" builtinId="8" hidden="1"/>
    <cellStyle name="Hyperlink" xfId="10972" builtinId="8" hidden="1"/>
    <cellStyle name="Hyperlink" xfId="10974" builtinId="8" hidden="1"/>
    <cellStyle name="Hyperlink" xfId="10976" builtinId="8" hidden="1"/>
    <cellStyle name="Hyperlink" xfId="10978" builtinId="8" hidden="1"/>
    <cellStyle name="Hyperlink" xfId="10858" builtinId="8" hidden="1"/>
    <cellStyle name="Hyperlink" xfId="10894" builtinId="8" hidden="1"/>
    <cellStyle name="Hyperlink" xfId="10980" builtinId="8" hidden="1"/>
    <cellStyle name="Hyperlink" xfId="10982" builtinId="8" hidden="1"/>
    <cellStyle name="Hyperlink" xfId="10984" builtinId="8" hidden="1"/>
    <cellStyle name="Hyperlink" xfId="10986" builtinId="8" hidden="1"/>
    <cellStyle name="Hyperlink" xfId="10863" builtinId="8" hidden="1"/>
    <cellStyle name="Hyperlink" xfId="10883" builtinId="8" hidden="1"/>
    <cellStyle name="Hyperlink" xfId="10988" builtinId="8" hidden="1"/>
    <cellStyle name="Hyperlink" xfId="10990" builtinId="8" hidden="1"/>
    <cellStyle name="Hyperlink" xfId="10992" builtinId="8" hidden="1"/>
    <cellStyle name="Hyperlink" xfId="10994" builtinId="8" hidden="1"/>
    <cellStyle name="Hyperlink" xfId="10870" builtinId="8" hidden="1"/>
    <cellStyle name="Hyperlink" xfId="10868" builtinId="8" hidden="1"/>
    <cellStyle name="Hyperlink" xfId="10996" builtinId="8" hidden="1"/>
    <cellStyle name="Hyperlink" xfId="10998" builtinId="8" hidden="1"/>
    <cellStyle name="Hyperlink" xfId="11000" builtinId="8" hidden="1"/>
    <cellStyle name="Hyperlink" xfId="11002" builtinId="8" hidden="1"/>
    <cellStyle name="Hyperlink" xfId="9820" builtinId="8" hidden="1"/>
    <cellStyle name="Hyperlink" xfId="9791" builtinId="8" hidden="1"/>
    <cellStyle name="Hyperlink" xfId="10333" builtinId="8" hidden="1"/>
    <cellStyle name="Hyperlink" xfId="9816" builtinId="8" hidden="1"/>
    <cellStyle name="Hyperlink" xfId="9753" builtinId="8" hidden="1"/>
    <cellStyle name="Hyperlink" xfId="9694" builtinId="8" hidden="1"/>
    <cellStyle name="Hyperlink" xfId="9808" builtinId="8" hidden="1"/>
    <cellStyle name="Hyperlink" xfId="9801" builtinId="8" hidden="1"/>
    <cellStyle name="Hyperlink" xfId="11007" builtinId="8" hidden="1"/>
    <cellStyle name="Hyperlink" xfId="11009" builtinId="8" hidden="1"/>
    <cellStyle name="Hyperlink" xfId="11011" builtinId="8" hidden="1"/>
    <cellStyle name="Hyperlink" xfId="11013" builtinId="8" hidden="1"/>
    <cellStyle name="Hyperlink" xfId="11015" builtinId="8" hidden="1"/>
    <cellStyle name="Hyperlink" xfId="11017" builtinId="8" hidden="1"/>
    <cellStyle name="Hyperlink" xfId="11067" builtinId="8" hidden="1"/>
    <cellStyle name="Hyperlink" xfId="11069" builtinId="8" hidden="1"/>
    <cellStyle name="Hyperlink" xfId="11071" builtinId="8" hidden="1"/>
    <cellStyle name="Hyperlink" xfId="11073" builtinId="8" hidden="1"/>
    <cellStyle name="Hyperlink" xfId="11063" builtinId="8" hidden="1"/>
    <cellStyle name="Hyperlink" xfId="11053" builtinId="8" hidden="1"/>
    <cellStyle name="Hyperlink" xfId="11075" builtinId="8" hidden="1"/>
    <cellStyle name="Hyperlink" xfId="11077" builtinId="8" hidden="1"/>
    <cellStyle name="Hyperlink" xfId="11079" builtinId="8" hidden="1"/>
    <cellStyle name="Hyperlink" xfId="11081" builtinId="8" hidden="1"/>
    <cellStyle name="Hyperlink" xfId="11047" builtinId="8" hidden="1"/>
    <cellStyle name="Hyperlink" xfId="11033" builtinId="8" hidden="1"/>
    <cellStyle name="Hyperlink" xfId="11083" builtinId="8" hidden="1"/>
    <cellStyle name="Hyperlink" xfId="11085" builtinId="8" hidden="1"/>
    <cellStyle name="Hyperlink" xfId="11087" builtinId="8" hidden="1"/>
    <cellStyle name="Hyperlink" xfId="11089" builtinId="8" hidden="1"/>
    <cellStyle name="Hyperlink" xfId="11052" builtinId="8" hidden="1"/>
    <cellStyle name="Hyperlink" xfId="11021" builtinId="8" hidden="1"/>
    <cellStyle name="Hyperlink" xfId="11091" builtinId="8" hidden="1"/>
    <cellStyle name="Hyperlink" xfId="11093" builtinId="8" hidden="1"/>
    <cellStyle name="Hyperlink" xfId="11095" builtinId="8" hidden="1"/>
    <cellStyle name="Hyperlink" xfId="11097" builtinId="8" hidden="1"/>
    <cellStyle name="Hyperlink" xfId="11022" builtinId="8" hidden="1"/>
    <cellStyle name="Hyperlink" xfId="11055" builtinId="8" hidden="1"/>
    <cellStyle name="Hyperlink" xfId="11099" builtinId="8" hidden="1"/>
    <cellStyle name="Hyperlink" xfId="11101" builtinId="8" hidden="1"/>
    <cellStyle name="Hyperlink" xfId="11103" builtinId="8" hidden="1"/>
    <cellStyle name="Hyperlink" xfId="11105" builtinId="8" hidden="1"/>
    <cellStyle name="Hyperlink" xfId="11024" builtinId="8" hidden="1"/>
    <cellStyle name="Hyperlink" xfId="11065" builtinId="8" hidden="1"/>
    <cellStyle name="Hyperlink" xfId="11107" builtinId="8" hidden="1"/>
    <cellStyle name="Hyperlink" xfId="11109" builtinId="8" hidden="1"/>
    <cellStyle name="Hyperlink" xfId="11111" builtinId="8" hidden="1"/>
    <cellStyle name="Hyperlink" xfId="11113" builtinId="8" hidden="1"/>
    <cellStyle name="Hyperlink" xfId="11045" builtinId="8" hidden="1"/>
    <cellStyle name="Hyperlink" xfId="11048" builtinId="8" hidden="1"/>
    <cellStyle name="Hyperlink" xfId="11115" builtinId="8" hidden="1"/>
    <cellStyle name="Hyperlink" xfId="11117" builtinId="8" hidden="1"/>
    <cellStyle name="Hyperlink" xfId="11119" builtinId="8" hidden="1"/>
    <cellStyle name="Hyperlink" xfId="11121" builtinId="8" hidden="1"/>
    <cellStyle name="Hyperlink" xfId="11049" builtinId="8" hidden="1"/>
    <cellStyle name="Hyperlink" xfId="11046" builtinId="8" hidden="1"/>
    <cellStyle name="Hyperlink" xfId="11123" builtinId="8" hidden="1"/>
    <cellStyle name="Hyperlink" xfId="11125" builtinId="8" hidden="1"/>
    <cellStyle name="Hyperlink" xfId="11127" builtinId="8" hidden="1"/>
    <cellStyle name="Hyperlink" xfId="11129" builtinId="8" hidden="1"/>
    <cellStyle name="Hyperlink" xfId="11064" builtinId="8" hidden="1"/>
    <cellStyle name="Hyperlink" xfId="11041" builtinId="8" hidden="1"/>
    <cellStyle name="Hyperlink" xfId="11131" builtinId="8" hidden="1"/>
    <cellStyle name="Hyperlink" xfId="11133" builtinId="8" hidden="1"/>
    <cellStyle name="Hyperlink" xfId="11135" builtinId="8" hidden="1"/>
    <cellStyle name="Hyperlink" xfId="11137" builtinId="8" hidden="1"/>
    <cellStyle name="Hyperlink" xfId="11019" builtinId="8" hidden="1"/>
    <cellStyle name="Hyperlink" xfId="11020" builtinId="8" hidden="1"/>
    <cellStyle name="Hyperlink" xfId="11139" builtinId="8" hidden="1"/>
    <cellStyle name="Hyperlink" xfId="11141" builtinId="8" hidden="1"/>
    <cellStyle name="Hyperlink" xfId="11143" builtinId="8" hidden="1"/>
    <cellStyle name="Hyperlink" xfId="11145" builtinId="8" hidden="1"/>
    <cellStyle name="Hyperlink" xfId="11025" builtinId="8" hidden="1"/>
    <cellStyle name="Hyperlink" xfId="11061" builtinId="8" hidden="1"/>
    <cellStyle name="Hyperlink" xfId="11147" builtinId="8" hidden="1"/>
    <cellStyle name="Hyperlink" xfId="11149" builtinId="8" hidden="1"/>
    <cellStyle name="Hyperlink" xfId="11151" builtinId="8" hidden="1"/>
    <cellStyle name="Hyperlink" xfId="11153" builtinId="8" hidden="1"/>
    <cellStyle name="Hyperlink" xfId="11030" builtinId="8" hidden="1"/>
    <cellStyle name="Hyperlink" xfId="11050" builtinId="8" hidden="1"/>
    <cellStyle name="Hyperlink" xfId="11155" builtinId="8" hidden="1"/>
    <cellStyle name="Hyperlink" xfId="11157" builtinId="8" hidden="1"/>
    <cellStyle name="Hyperlink" xfId="11159" builtinId="8" hidden="1"/>
    <cellStyle name="Hyperlink" xfId="11161" builtinId="8" hidden="1"/>
    <cellStyle name="Hyperlink" xfId="11037" builtinId="8" hidden="1"/>
    <cellStyle name="Hyperlink" xfId="11035" builtinId="8" hidden="1"/>
    <cellStyle name="Hyperlink" xfId="11163" builtinId="8" hidden="1"/>
    <cellStyle name="Hyperlink" xfId="11165" builtinId="8" hidden="1"/>
    <cellStyle name="Hyperlink" xfId="11167" builtinId="8" hidden="1"/>
    <cellStyle name="Hyperlink" xfId="11169" builtinId="8" hidden="1"/>
    <cellStyle name="Hyperlink" xfId="9795" builtinId="8" hidden="1"/>
    <cellStyle name="Hyperlink" xfId="9779" builtinId="8" hidden="1"/>
    <cellStyle name="Hyperlink" xfId="10502" builtinId="8" hidden="1"/>
    <cellStyle name="Hyperlink" xfId="9758" builtinId="8" hidden="1"/>
    <cellStyle name="Hyperlink" xfId="9675" builtinId="8" hidden="1"/>
    <cellStyle name="Hyperlink" xfId="9737" builtinId="8" hidden="1"/>
    <cellStyle name="Hyperlink" xfId="10159" builtinId="8" hidden="1"/>
    <cellStyle name="Hyperlink" xfId="9756" builtinId="8" hidden="1"/>
    <cellStyle name="Hyperlink" xfId="11172" builtinId="8" hidden="1"/>
    <cellStyle name="Hyperlink" xfId="11174" builtinId="8" hidden="1"/>
    <cellStyle name="Hyperlink" xfId="11176" builtinId="8" hidden="1"/>
    <cellStyle name="Hyperlink" xfId="11178" builtinId="8" hidden="1"/>
    <cellStyle name="Hyperlink" xfId="11180" builtinId="8" hidden="1"/>
    <cellStyle name="Hyperlink" xfId="11182" builtinId="8" hidden="1"/>
    <cellStyle name="Hyperlink" xfId="11232" builtinId="8" hidden="1"/>
    <cellStyle name="Hyperlink" xfId="11234" builtinId="8" hidden="1"/>
    <cellStyle name="Hyperlink" xfId="11236" builtinId="8" hidden="1"/>
    <cellStyle name="Hyperlink" xfId="11238" builtinId="8" hidden="1"/>
    <cellStyle name="Hyperlink" xfId="11228" builtinId="8" hidden="1"/>
    <cellStyle name="Hyperlink" xfId="11218" builtinId="8" hidden="1"/>
    <cellStyle name="Hyperlink" xfId="11240" builtinId="8" hidden="1"/>
    <cellStyle name="Hyperlink" xfId="11242" builtinId="8" hidden="1"/>
    <cellStyle name="Hyperlink" xfId="11244" builtinId="8" hidden="1"/>
    <cellStyle name="Hyperlink" xfId="11246" builtinId="8" hidden="1"/>
    <cellStyle name="Hyperlink" xfId="11212" builtinId="8" hidden="1"/>
    <cellStyle name="Hyperlink" xfId="11198" builtinId="8" hidden="1"/>
    <cellStyle name="Hyperlink" xfId="11248" builtinId="8" hidden="1"/>
    <cellStyle name="Hyperlink" xfId="11250" builtinId="8" hidden="1"/>
    <cellStyle name="Hyperlink" xfId="11252" builtinId="8" hidden="1"/>
    <cellStyle name="Hyperlink" xfId="11254" builtinId="8" hidden="1"/>
    <cellStyle name="Hyperlink" xfId="11217" builtinId="8" hidden="1"/>
    <cellStyle name="Hyperlink" xfId="11186" builtinId="8" hidden="1"/>
    <cellStyle name="Hyperlink" xfId="11256" builtinId="8" hidden="1"/>
    <cellStyle name="Hyperlink" xfId="11258" builtinId="8" hidden="1"/>
    <cellStyle name="Hyperlink" xfId="11260" builtinId="8" hidden="1"/>
    <cellStyle name="Hyperlink" xfId="11262" builtinId="8" hidden="1"/>
    <cellStyle name="Hyperlink" xfId="11187" builtinId="8" hidden="1"/>
    <cellStyle name="Hyperlink" xfId="11220" builtinId="8" hidden="1"/>
    <cellStyle name="Hyperlink" xfId="11264" builtinId="8" hidden="1"/>
    <cellStyle name="Hyperlink" xfId="11266" builtinId="8" hidden="1"/>
    <cellStyle name="Hyperlink" xfId="11268" builtinId="8" hidden="1"/>
    <cellStyle name="Hyperlink" xfId="11270" builtinId="8" hidden="1"/>
    <cellStyle name="Hyperlink" xfId="11189" builtinId="8" hidden="1"/>
    <cellStyle name="Hyperlink" xfId="11230" builtinId="8" hidden="1"/>
    <cellStyle name="Hyperlink" xfId="11272" builtinId="8" hidden="1"/>
    <cellStyle name="Hyperlink" xfId="11274" builtinId="8" hidden="1"/>
    <cellStyle name="Hyperlink" xfId="11276" builtinId="8" hidden="1"/>
    <cellStyle name="Hyperlink" xfId="11278" builtinId="8" hidden="1"/>
    <cellStyle name="Hyperlink" xfId="11210" builtinId="8" hidden="1"/>
    <cellStyle name="Hyperlink" xfId="11213" builtinId="8" hidden="1"/>
    <cellStyle name="Hyperlink" xfId="11280" builtinId="8" hidden="1"/>
    <cellStyle name="Hyperlink" xfId="11282" builtinId="8" hidden="1"/>
    <cellStyle name="Hyperlink" xfId="11284" builtinId="8" hidden="1"/>
    <cellStyle name="Hyperlink" xfId="11286" builtinId="8" hidden="1"/>
    <cellStyle name="Hyperlink" xfId="11214" builtinId="8" hidden="1"/>
    <cellStyle name="Hyperlink" xfId="11211" builtinId="8" hidden="1"/>
    <cellStyle name="Hyperlink" xfId="11288" builtinId="8" hidden="1"/>
    <cellStyle name="Hyperlink" xfId="11290" builtinId="8" hidden="1"/>
    <cellStyle name="Hyperlink" xfId="11292" builtinId="8" hidden="1"/>
    <cellStyle name="Hyperlink" xfId="11294" builtinId="8" hidden="1"/>
    <cellStyle name="Hyperlink" xfId="11229" builtinId="8" hidden="1"/>
    <cellStyle name="Hyperlink" xfId="11206" builtinId="8" hidden="1"/>
    <cellStyle name="Hyperlink" xfId="11296" builtinId="8" hidden="1"/>
    <cellStyle name="Hyperlink" xfId="11298" builtinId="8" hidden="1"/>
    <cellStyle name="Hyperlink" xfId="11300" builtinId="8" hidden="1"/>
    <cellStyle name="Hyperlink" xfId="11302" builtinId="8" hidden="1"/>
    <cellStyle name="Hyperlink" xfId="11184" builtinId="8" hidden="1"/>
    <cellStyle name="Hyperlink" xfId="11185" builtinId="8" hidden="1"/>
    <cellStyle name="Hyperlink" xfId="11304" builtinId="8" hidden="1"/>
    <cellStyle name="Hyperlink" xfId="11306" builtinId="8" hidden="1"/>
    <cellStyle name="Hyperlink" xfId="11308" builtinId="8" hidden="1"/>
    <cellStyle name="Hyperlink" xfId="11310" builtinId="8" hidden="1"/>
    <cellStyle name="Hyperlink" xfId="11190" builtinId="8" hidden="1"/>
    <cellStyle name="Hyperlink" xfId="11226" builtinId="8" hidden="1"/>
    <cellStyle name="Hyperlink" xfId="11312" builtinId="8" hidden="1"/>
    <cellStyle name="Hyperlink" xfId="11314" builtinId="8" hidden="1"/>
    <cellStyle name="Hyperlink" xfId="11316" builtinId="8" hidden="1"/>
    <cellStyle name="Hyperlink" xfId="11318" builtinId="8" hidden="1"/>
    <cellStyle name="Hyperlink" xfId="11195" builtinId="8" hidden="1"/>
    <cellStyle name="Hyperlink" xfId="11215" builtinId="8" hidden="1"/>
    <cellStyle name="Hyperlink" xfId="11320" builtinId="8" hidden="1"/>
    <cellStyle name="Hyperlink" xfId="11322" builtinId="8" hidden="1"/>
    <cellStyle name="Hyperlink" xfId="11324" builtinId="8" hidden="1"/>
    <cellStyle name="Hyperlink" xfId="11326" builtinId="8" hidden="1"/>
    <cellStyle name="Hyperlink" xfId="11202" builtinId="8" hidden="1"/>
    <cellStyle name="Hyperlink" xfId="11200" builtinId="8" hidden="1"/>
    <cellStyle name="Hyperlink" xfId="11328" builtinId="8" hidden="1"/>
    <cellStyle name="Hyperlink" xfId="11330" builtinId="8" hidden="1"/>
    <cellStyle name="Hyperlink" xfId="11332" builtinId="8" hidden="1"/>
    <cellStyle name="Hyperlink" xfId="11334" builtinId="8" hidden="1"/>
    <cellStyle name="Hyperlink" xfId="9815" builtinId="8" hidden="1"/>
    <cellStyle name="Hyperlink" xfId="9699" builtinId="8" hidden="1"/>
    <cellStyle name="Hyperlink" xfId="10671" builtinId="8" hidden="1"/>
    <cellStyle name="Hyperlink" xfId="9680" builtinId="8" hidden="1"/>
    <cellStyle name="Hyperlink" xfId="9738" builtinId="8" hidden="1"/>
    <cellStyle name="Hyperlink" xfId="9773" builtinId="8" hidden="1"/>
    <cellStyle name="Hyperlink" xfId="10329" builtinId="8" hidden="1"/>
    <cellStyle name="Hyperlink" xfId="9695" builtinId="8" hidden="1"/>
    <cellStyle name="Hyperlink" xfId="11337" builtinId="8" hidden="1"/>
    <cellStyle name="Hyperlink" xfId="11339" builtinId="8" hidden="1"/>
    <cellStyle name="Hyperlink" xfId="11341" builtinId="8" hidden="1"/>
    <cellStyle name="Hyperlink" xfId="11343" builtinId="8" hidden="1"/>
    <cellStyle name="Hyperlink" xfId="11345" builtinId="8" hidden="1"/>
    <cellStyle name="Hyperlink" xfId="11347" builtinId="8" hidden="1"/>
    <cellStyle name="Hyperlink" xfId="11397" builtinId="8" hidden="1"/>
    <cellStyle name="Hyperlink" xfId="11399" builtinId="8" hidden="1"/>
    <cellStyle name="Hyperlink" xfId="11401" builtinId="8" hidden="1"/>
    <cellStyle name="Hyperlink" xfId="11403" builtinId="8" hidden="1"/>
    <cellStyle name="Hyperlink" xfId="11393" builtinId="8" hidden="1"/>
    <cellStyle name="Hyperlink" xfId="11383" builtinId="8" hidden="1"/>
    <cellStyle name="Hyperlink" xfId="11405" builtinId="8" hidden="1"/>
    <cellStyle name="Hyperlink" xfId="11407" builtinId="8" hidden="1"/>
    <cellStyle name="Hyperlink" xfId="11409" builtinId="8" hidden="1"/>
    <cellStyle name="Hyperlink" xfId="11411" builtinId="8" hidden="1"/>
    <cellStyle name="Hyperlink" xfId="11377" builtinId="8" hidden="1"/>
    <cellStyle name="Hyperlink" xfId="11363" builtinId="8" hidden="1"/>
    <cellStyle name="Hyperlink" xfId="11413" builtinId="8" hidden="1"/>
    <cellStyle name="Hyperlink" xfId="11415" builtinId="8" hidden="1"/>
    <cellStyle name="Hyperlink" xfId="11417" builtinId="8" hidden="1"/>
    <cellStyle name="Hyperlink" xfId="11419" builtinId="8" hidden="1"/>
    <cellStyle name="Hyperlink" xfId="11382" builtinId="8" hidden="1"/>
    <cellStyle name="Hyperlink" xfId="11351" builtinId="8" hidden="1"/>
    <cellStyle name="Hyperlink" xfId="11421" builtinId="8" hidden="1"/>
    <cellStyle name="Hyperlink" xfId="11423" builtinId="8" hidden="1"/>
    <cellStyle name="Hyperlink" xfId="11425" builtinId="8" hidden="1"/>
    <cellStyle name="Hyperlink" xfId="11427" builtinId="8" hidden="1"/>
    <cellStyle name="Hyperlink" xfId="11352" builtinId="8" hidden="1"/>
    <cellStyle name="Hyperlink" xfId="11385" builtinId="8" hidden="1"/>
    <cellStyle name="Hyperlink" xfId="11429" builtinId="8" hidden="1"/>
    <cellStyle name="Hyperlink" xfId="11431" builtinId="8" hidden="1"/>
    <cellStyle name="Hyperlink" xfId="11433" builtinId="8" hidden="1"/>
    <cellStyle name="Hyperlink" xfId="11435" builtinId="8" hidden="1"/>
    <cellStyle name="Hyperlink" xfId="11354" builtinId="8" hidden="1"/>
    <cellStyle name="Hyperlink" xfId="11395" builtinId="8" hidden="1"/>
    <cellStyle name="Hyperlink" xfId="11437" builtinId="8" hidden="1"/>
    <cellStyle name="Hyperlink" xfId="11439" builtinId="8" hidden="1"/>
    <cellStyle name="Hyperlink" xfId="11441" builtinId="8" hidden="1"/>
    <cellStyle name="Hyperlink" xfId="11443" builtinId="8" hidden="1"/>
    <cellStyle name="Hyperlink" xfId="11375" builtinId="8" hidden="1"/>
    <cellStyle name="Hyperlink" xfId="11378" builtinId="8" hidden="1"/>
    <cellStyle name="Hyperlink" xfId="11445" builtinId="8" hidden="1"/>
    <cellStyle name="Hyperlink" xfId="11447" builtinId="8" hidden="1"/>
    <cellStyle name="Hyperlink" xfId="11449" builtinId="8" hidden="1"/>
    <cellStyle name="Hyperlink" xfId="11451" builtinId="8" hidden="1"/>
    <cellStyle name="Hyperlink" xfId="11379" builtinId="8" hidden="1"/>
    <cellStyle name="Hyperlink" xfId="11376" builtinId="8" hidden="1"/>
    <cellStyle name="Hyperlink" xfId="11453" builtinId="8" hidden="1"/>
    <cellStyle name="Hyperlink" xfId="11455" builtinId="8" hidden="1"/>
    <cellStyle name="Hyperlink" xfId="11457" builtinId="8" hidden="1"/>
    <cellStyle name="Hyperlink" xfId="11459" builtinId="8" hidden="1"/>
    <cellStyle name="Hyperlink" xfId="11394" builtinId="8" hidden="1"/>
    <cellStyle name="Hyperlink" xfId="11371" builtinId="8" hidden="1"/>
    <cellStyle name="Hyperlink" xfId="11461" builtinId="8" hidden="1"/>
    <cellStyle name="Hyperlink" xfId="11463" builtinId="8" hidden="1"/>
    <cellStyle name="Hyperlink" xfId="11465" builtinId="8" hidden="1"/>
    <cellStyle name="Hyperlink" xfId="11467" builtinId="8" hidden="1"/>
    <cellStyle name="Hyperlink" xfId="11349" builtinId="8" hidden="1"/>
    <cellStyle name="Hyperlink" xfId="11350" builtinId="8" hidden="1"/>
    <cellStyle name="Hyperlink" xfId="11469" builtinId="8" hidden="1"/>
    <cellStyle name="Hyperlink" xfId="11471" builtinId="8" hidden="1"/>
    <cellStyle name="Hyperlink" xfId="11473" builtinId="8" hidden="1"/>
    <cellStyle name="Hyperlink" xfId="11475" builtinId="8" hidden="1"/>
    <cellStyle name="Hyperlink" xfId="11355" builtinId="8" hidden="1"/>
    <cellStyle name="Hyperlink" xfId="11391" builtinId="8" hidden="1"/>
    <cellStyle name="Hyperlink" xfId="11477" builtinId="8" hidden="1"/>
    <cellStyle name="Hyperlink" xfId="11479" builtinId="8" hidden="1"/>
    <cellStyle name="Hyperlink" xfId="11481" builtinId="8" hidden="1"/>
    <cellStyle name="Hyperlink" xfId="11483" builtinId="8" hidden="1"/>
    <cellStyle name="Hyperlink" xfId="11360" builtinId="8" hidden="1"/>
    <cellStyle name="Hyperlink" xfId="11380" builtinId="8" hidden="1"/>
    <cellStyle name="Hyperlink" xfId="11485" builtinId="8" hidden="1"/>
    <cellStyle name="Hyperlink" xfId="11487" builtinId="8" hidden="1"/>
    <cellStyle name="Hyperlink" xfId="11489" builtinId="8" hidden="1"/>
    <cellStyle name="Hyperlink" xfId="11491" builtinId="8" hidden="1"/>
    <cellStyle name="Hyperlink" xfId="11367" builtinId="8" hidden="1"/>
    <cellStyle name="Hyperlink" xfId="11365" builtinId="8" hidden="1"/>
    <cellStyle name="Hyperlink" xfId="11493" builtinId="8" hidden="1"/>
    <cellStyle name="Hyperlink" xfId="11495" builtinId="8" hidden="1"/>
    <cellStyle name="Hyperlink" xfId="11497" builtinId="8" hidden="1"/>
    <cellStyle name="Hyperlink" xfId="11499" builtinId="8" hidden="1"/>
    <cellStyle name="Hyperlink" xfId="9999" builtinId="8" hidden="1"/>
    <cellStyle name="Hyperlink" xfId="10158" builtinId="8" hidden="1"/>
    <cellStyle name="Hyperlink" xfId="10838" builtinId="8" hidden="1"/>
    <cellStyle name="Hyperlink" xfId="10160" builtinId="8" hidden="1"/>
    <cellStyle name="Hyperlink" xfId="9817" builtinId="8" hidden="1"/>
    <cellStyle name="Hyperlink" xfId="9767" builtinId="8" hidden="1"/>
    <cellStyle name="Hyperlink" xfId="10499" builtinId="8" hidden="1"/>
    <cellStyle name="Hyperlink" xfId="9785" builtinId="8" hidden="1"/>
    <cellStyle name="Hyperlink" xfId="11502" builtinId="8" hidden="1"/>
    <cellStyle name="Hyperlink" xfId="11504" builtinId="8" hidden="1"/>
    <cellStyle name="Hyperlink" xfId="11506" builtinId="8" hidden="1"/>
    <cellStyle name="Hyperlink" xfId="11508" builtinId="8" hidden="1"/>
    <cellStyle name="Hyperlink" xfId="11510" builtinId="8" hidden="1"/>
    <cellStyle name="Hyperlink" xfId="11512" builtinId="8" hidden="1"/>
    <cellStyle name="Hyperlink" xfId="11562" builtinId="8" hidden="1"/>
    <cellStyle name="Hyperlink" xfId="11564" builtinId="8" hidden="1"/>
    <cellStyle name="Hyperlink" xfId="11566" builtinId="8" hidden="1"/>
    <cellStyle name="Hyperlink" xfId="11568" builtinId="8" hidden="1"/>
    <cellStyle name="Hyperlink" xfId="11558" builtinId="8" hidden="1"/>
    <cellStyle name="Hyperlink" xfId="11548" builtinId="8" hidden="1"/>
    <cellStyle name="Hyperlink" xfId="11570" builtinId="8" hidden="1"/>
    <cellStyle name="Hyperlink" xfId="11572" builtinId="8" hidden="1"/>
    <cellStyle name="Hyperlink" xfId="11574" builtinId="8" hidden="1"/>
    <cellStyle name="Hyperlink" xfId="11576" builtinId="8" hidden="1"/>
    <cellStyle name="Hyperlink" xfId="11542" builtinId="8" hidden="1"/>
    <cellStyle name="Hyperlink" xfId="11528" builtinId="8" hidden="1"/>
    <cellStyle name="Hyperlink" xfId="11578" builtinId="8" hidden="1"/>
    <cellStyle name="Hyperlink" xfId="11580" builtinId="8" hidden="1"/>
    <cellStyle name="Hyperlink" xfId="11582" builtinId="8" hidden="1"/>
    <cellStyle name="Hyperlink" xfId="11584" builtinId="8" hidden="1"/>
    <cellStyle name="Hyperlink" xfId="11547" builtinId="8" hidden="1"/>
    <cellStyle name="Hyperlink" xfId="11516" builtinId="8" hidden="1"/>
    <cellStyle name="Hyperlink" xfId="11586" builtinId="8" hidden="1"/>
    <cellStyle name="Hyperlink" xfId="11588" builtinId="8" hidden="1"/>
    <cellStyle name="Hyperlink" xfId="11590" builtinId="8" hidden="1"/>
    <cellStyle name="Hyperlink" xfId="11592" builtinId="8" hidden="1"/>
    <cellStyle name="Hyperlink" xfId="11517" builtinId="8" hidden="1"/>
    <cellStyle name="Hyperlink" xfId="11550" builtinId="8" hidden="1"/>
    <cellStyle name="Hyperlink" xfId="11594" builtinId="8" hidden="1"/>
    <cellStyle name="Hyperlink" xfId="11596" builtinId="8" hidden="1"/>
    <cellStyle name="Hyperlink" xfId="11598" builtinId="8" hidden="1"/>
    <cellStyle name="Hyperlink" xfId="11600" builtinId="8" hidden="1"/>
    <cellStyle name="Hyperlink" xfId="11519" builtinId="8" hidden="1"/>
    <cellStyle name="Hyperlink" xfId="11560" builtinId="8" hidden="1"/>
    <cellStyle name="Hyperlink" xfId="11602" builtinId="8" hidden="1"/>
    <cellStyle name="Hyperlink" xfId="11604" builtinId="8" hidden="1"/>
    <cellStyle name="Hyperlink" xfId="11606" builtinId="8" hidden="1"/>
    <cellStyle name="Hyperlink" xfId="11608" builtinId="8" hidden="1"/>
    <cellStyle name="Hyperlink" xfId="11540" builtinId="8" hidden="1"/>
    <cellStyle name="Hyperlink" xfId="11543" builtinId="8" hidden="1"/>
    <cellStyle name="Hyperlink" xfId="11610" builtinId="8" hidden="1"/>
    <cellStyle name="Hyperlink" xfId="11612" builtinId="8" hidden="1"/>
    <cellStyle name="Hyperlink" xfId="11614" builtinId="8" hidden="1"/>
    <cellStyle name="Hyperlink" xfId="11616" builtinId="8" hidden="1"/>
    <cellStyle name="Hyperlink" xfId="11544" builtinId="8" hidden="1"/>
    <cellStyle name="Hyperlink" xfId="11541" builtinId="8" hidden="1"/>
    <cellStyle name="Hyperlink" xfId="11618" builtinId="8" hidden="1"/>
    <cellStyle name="Hyperlink" xfId="11620" builtinId="8" hidden="1"/>
    <cellStyle name="Hyperlink" xfId="11622" builtinId="8" hidden="1"/>
    <cellStyle name="Hyperlink" xfId="11624" builtinId="8" hidden="1"/>
    <cellStyle name="Hyperlink" xfId="11559" builtinId="8" hidden="1"/>
    <cellStyle name="Hyperlink" xfId="11536" builtinId="8" hidden="1"/>
    <cellStyle name="Hyperlink" xfId="11626" builtinId="8" hidden="1"/>
    <cellStyle name="Hyperlink" xfId="11628" builtinId="8" hidden="1"/>
    <cellStyle name="Hyperlink" xfId="11630" builtinId="8" hidden="1"/>
    <cellStyle name="Hyperlink" xfId="11632" builtinId="8" hidden="1"/>
    <cellStyle name="Hyperlink" xfId="11514" builtinId="8" hidden="1"/>
    <cellStyle name="Hyperlink" xfId="11515" builtinId="8" hidden="1"/>
    <cellStyle name="Hyperlink" xfId="11634" builtinId="8" hidden="1"/>
    <cellStyle name="Hyperlink" xfId="11636" builtinId="8" hidden="1"/>
    <cellStyle name="Hyperlink" xfId="11638" builtinId="8" hidden="1"/>
    <cellStyle name="Hyperlink" xfId="11640" builtinId="8" hidden="1"/>
    <cellStyle name="Hyperlink" xfId="11520" builtinId="8" hidden="1"/>
    <cellStyle name="Hyperlink" xfId="11556" builtinId="8" hidden="1"/>
    <cellStyle name="Hyperlink" xfId="11642" builtinId="8" hidden="1"/>
    <cellStyle name="Hyperlink" xfId="11644" builtinId="8" hidden="1"/>
    <cellStyle name="Hyperlink" xfId="11646" builtinId="8" hidden="1"/>
    <cellStyle name="Hyperlink" xfId="11648" builtinId="8" hidden="1"/>
    <cellStyle name="Hyperlink" xfId="11525" builtinId="8" hidden="1"/>
    <cellStyle name="Hyperlink" xfId="11545" builtinId="8" hidden="1"/>
    <cellStyle name="Hyperlink" xfId="11650" builtinId="8" hidden="1"/>
    <cellStyle name="Hyperlink" xfId="11652" builtinId="8" hidden="1"/>
    <cellStyle name="Hyperlink" xfId="11654" builtinId="8" hidden="1"/>
    <cellStyle name="Hyperlink" xfId="11656" builtinId="8" hidden="1"/>
    <cellStyle name="Hyperlink" xfId="11532" builtinId="8" hidden="1"/>
    <cellStyle name="Hyperlink" xfId="11530" builtinId="8" hidden="1"/>
    <cellStyle name="Hyperlink" xfId="11658" builtinId="8" hidden="1"/>
    <cellStyle name="Hyperlink" xfId="11660" builtinId="8" hidden="1"/>
    <cellStyle name="Hyperlink" xfId="11662" builtinId="8" hidden="1"/>
    <cellStyle name="Hyperlink" xfId="11664" builtinId="8" hidden="1"/>
    <cellStyle name="Hyperlink" xfId="9701" builtinId="8" hidden="1"/>
    <cellStyle name="Hyperlink" xfId="9790" builtinId="8" hidden="1"/>
    <cellStyle name="Hyperlink" xfId="11005" builtinId="8" hidden="1"/>
    <cellStyle name="Hyperlink" xfId="10330" builtinId="8" hidden="1"/>
    <cellStyle name="Hyperlink" xfId="9819" builtinId="8" hidden="1"/>
    <cellStyle name="Hyperlink" xfId="9730" builtinId="8" hidden="1"/>
    <cellStyle name="Hyperlink" xfId="10668" builtinId="8" hidden="1"/>
    <cellStyle name="Hyperlink" xfId="9821" builtinId="8" hidden="1"/>
    <cellStyle name="Hyperlink" xfId="11666" builtinId="8" hidden="1"/>
    <cellStyle name="Hyperlink" xfId="11668" builtinId="8" hidden="1"/>
    <cellStyle name="Hyperlink" xfId="11670" builtinId="8" hidden="1"/>
    <cellStyle name="Hyperlink" xfId="11672" builtinId="8" hidden="1"/>
    <cellStyle name="Hyperlink" xfId="11674" builtinId="8" hidden="1"/>
    <cellStyle name="Hyperlink" xfId="11676" builtinId="8" hidden="1"/>
    <cellStyle name="Hyperlink" xfId="11726" builtinId="8" hidden="1"/>
    <cellStyle name="Hyperlink" xfId="11728" builtinId="8" hidden="1"/>
    <cellStyle name="Hyperlink" xfId="11730" builtinId="8" hidden="1"/>
    <cellStyle name="Hyperlink" xfId="11732" builtinId="8" hidden="1"/>
    <cellStyle name="Hyperlink" xfId="11722" builtinId="8" hidden="1"/>
    <cellStyle name="Hyperlink" xfId="11712" builtinId="8" hidden="1"/>
    <cellStyle name="Hyperlink" xfId="11734" builtinId="8" hidden="1"/>
    <cellStyle name="Hyperlink" xfId="11736" builtinId="8" hidden="1"/>
    <cellStyle name="Hyperlink" xfId="11738" builtinId="8" hidden="1"/>
    <cellStyle name="Hyperlink" xfId="11740" builtinId="8" hidden="1"/>
    <cellStyle name="Hyperlink" xfId="11706" builtinId="8" hidden="1"/>
    <cellStyle name="Hyperlink" xfId="11692" builtinId="8" hidden="1"/>
    <cellStyle name="Hyperlink" xfId="11742" builtinId="8" hidden="1"/>
    <cellStyle name="Hyperlink" xfId="11744" builtinId="8" hidden="1"/>
    <cellStyle name="Hyperlink" xfId="11746" builtinId="8" hidden="1"/>
    <cellStyle name="Hyperlink" xfId="11748" builtinId="8" hidden="1"/>
    <cellStyle name="Hyperlink" xfId="11711" builtinId="8" hidden="1"/>
    <cellStyle name="Hyperlink" xfId="11680" builtinId="8" hidden="1"/>
    <cellStyle name="Hyperlink" xfId="11750" builtinId="8" hidden="1"/>
    <cellStyle name="Hyperlink" xfId="11752" builtinId="8" hidden="1"/>
    <cellStyle name="Hyperlink" xfId="11754" builtinId="8" hidden="1"/>
    <cellStyle name="Hyperlink" xfId="11756" builtinId="8" hidden="1"/>
    <cellStyle name="Hyperlink" xfId="11681" builtinId="8" hidden="1"/>
    <cellStyle name="Hyperlink" xfId="11714" builtinId="8" hidden="1"/>
    <cellStyle name="Hyperlink" xfId="11758" builtinId="8" hidden="1"/>
    <cellStyle name="Hyperlink" xfId="11760" builtinId="8" hidden="1"/>
    <cellStyle name="Hyperlink" xfId="11762" builtinId="8" hidden="1"/>
    <cellStyle name="Hyperlink" xfId="11764" builtinId="8" hidden="1"/>
    <cellStyle name="Hyperlink" xfId="11683" builtinId="8" hidden="1"/>
    <cellStyle name="Hyperlink" xfId="11724" builtinId="8" hidden="1"/>
    <cellStyle name="Hyperlink" xfId="11766" builtinId="8" hidden="1"/>
    <cellStyle name="Hyperlink" xfId="11768" builtinId="8" hidden="1"/>
    <cellStyle name="Hyperlink" xfId="11770" builtinId="8" hidden="1"/>
    <cellStyle name="Hyperlink" xfId="11772" builtinId="8" hidden="1"/>
    <cellStyle name="Hyperlink" xfId="11704" builtinId="8" hidden="1"/>
    <cellStyle name="Hyperlink" xfId="11707" builtinId="8" hidden="1"/>
    <cellStyle name="Hyperlink" xfId="11774" builtinId="8" hidden="1"/>
    <cellStyle name="Hyperlink" xfId="11776" builtinId="8" hidden="1"/>
    <cellStyle name="Hyperlink" xfId="11778" builtinId="8" hidden="1"/>
    <cellStyle name="Hyperlink" xfId="11780" builtinId="8" hidden="1"/>
    <cellStyle name="Hyperlink" xfId="11708" builtinId="8" hidden="1"/>
    <cellStyle name="Hyperlink" xfId="11705" builtinId="8" hidden="1"/>
    <cellStyle name="Hyperlink" xfId="11782" builtinId="8" hidden="1"/>
    <cellStyle name="Hyperlink" xfId="11784" builtinId="8" hidden="1"/>
    <cellStyle name="Hyperlink" xfId="11786" builtinId="8" hidden="1"/>
    <cellStyle name="Hyperlink" xfId="11788" builtinId="8" hidden="1"/>
    <cellStyle name="Hyperlink" xfId="11723" builtinId="8" hidden="1"/>
    <cellStyle name="Hyperlink" xfId="11700" builtinId="8" hidden="1"/>
    <cellStyle name="Hyperlink" xfId="11790" builtinId="8" hidden="1"/>
    <cellStyle name="Hyperlink" xfId="11792" builtinId="8" hidden="1"/>
    <cellStyle name="Hyperlink" xfId="11794" builtinId="8" hidden="1"/>
    <cellStyle name="Hyperlink" xfId="11796" builtinId="8" hidden="1"/>
    <cellStyle name="Hyperlink" xfId="11678" builtinId="8" hidden="1"/>
    <cellStyle name="Hyperlink" xfId="11679" builtinId="8" hidden="1"/>
    <cellStyle name="Hyperlink" xfId="11798" builtinId="8" hidden="1"/>
    <cellStyle name="Hyperlink" xfId="11800" builtinId="8" hidden="1"/>
    <cellStyle name="Hyperlink" xfId="11802" builtinId="8" hidden="1"/>
    <cellStyle name="Hyperlink" xfId="11804" builtinId="8" hidden="1"/>
    <cellStyle name="Hyperlink" xfId="11684" builtinId="8" hidden="1"/>
    <cellStyle name="Hyperlink" xfId="11720" builtinId="8" hidden="1"/>
    <cellStyle name="Hyperlink" xfId="11806" builtinId="8" hidden="1"/>
    <cellStyle name="Hyperlink" xfId="11808" builtinId="8" hidden="1"/>
    <cellStyle name="Hyperlink" xfId="11810" builtinId="8" hidden="1"/>
    <cellStyle name="Hyperlink" xfId="11812" builtinId="8" hidden="1"/>
    <cellStyle name="Hyperlink" xfId="11689" builtinId="8" hidden="1"/>
    <cellStyle name="Hyperlink" xfId="11709" builtinId="8" hidden="1"/>
    <cellStyle name="Hyperlink" xfId="11814" builtinId="8" hidden="1"/>
    <cellStyle name="Hyperlink" xfId="11816" builtinId="8" hidden="1"/>
    <cellStyle name="Hyperlink" xfId="11818" builtinId="8" hidden="1"/>
    <cellStyle name="Hyperlink" xfId="11820" builtinId="8" hidden="1"/>
    <cellStyle name="Hyperlink" xfId="11696" builtinId="8" hidden="1"/>
    <cellStyle name="Hyperlink" xfId="11694" builtinId="8" hidden="1"/>
    <cellStyle name="Hyperlink" xfId="11822" builtinId="8" hidden="1"/>
    <cellStyle name="Hyperlink" xfId="11824" builtinId="8" hidden="1"/>
    <cellStyle name="Hyperlink" xfId="11826" builtinId="8" hidden="1"/>
    <cellStyle name="Hyperlink" xfId="11828" builtinId="8" hidden="1"/>
    <cellStyle name="Hyperlink" xfId="2395" builtinId="8" hidden="1"/>
    <cellStyle name="Hyperlink" xfId="2369" builtinId="8" hidden="1"/>
    <cellStyle name="Hyperlink" xfId="2380" builtinId="8" hidden="1"/>
    <cellStyle name="Hyperlink" xfId="2500" builtinId="8" hidden="1"/>
    <cellStyle name="Hyperlink" xfId="2390" builtinId="8" hidden="1"/>
    <cellStyle name="Hyperlink" xfId="2446" builtinId="8" hidden="1"/>
    <cellStyle name="Hyperlink" xfId="2435" builtinId="8" hidden="1"/>
    <cellStyle name="Hyperlink" xfId="2402" builtinId="8" hidden="1"/>
    <cellStyle name="Hyperlink" xfId="2373" builtinId="8" hidden="1"/>
    <cellStyle name="Hyperlink" xfId="2465" builtinId="8" hidden="1"/>
    <cellStyle name="Hyperlink" xfId="2385" builtinId="8" hidden="1"/>
    <cellStyle name="Hyperlink" xfId="2470" builtinId="8" hidden="1"/>
    <cellStyle name="Hyperlink" xfId="2397" builtinId="8" hidden="1"/>
    <cellStyle name="Hyperlink" xfId="7176" builtinId="8" hidden="1"/>
    <cellStyle name="Hyperlink" xfId="11831" builtinId="8" hidden="1"/>
    <cellStyle name="Hyperlink" xfId="11833" builtinId="8" hidden="1"/>
    <cellStyle name="Hyperlink" xfId="11835" builtinId="8" hidden="1"/>
    <cellStyle name="Hyperlink" xfId="11837" builtinId="8" hidden="1"/>
    <cellStyle name="Hyperlink" xfId="11839" builtinId="8" hidden="1"/>
    <cellStyle name="Hyperlink" xfId="11841" builtinId="8" hidden="1"/>
    <cellStyle name="Hyperlink" xfId="11891" builtinId="8" hidden="1"/>
    <cellStyle name="Hyperlink" xfId="11893" builtinId="8" hidden="1"/>
    <cellStyle name="Hyperlink" xfId="11895" builtinId="8" hidden="1"/>
    <cellStyle name="Hyperlink" xfId="11897" builtinId="8" hidden="1"/>
    <cellStyle name="Hyperlink" xfId="11887" builtinId="8" hidden="1"/>
    <cellStyle name="Hyperlink" xfId="11877" builtinId="8" hidden="1"/>
    <cellStyle name="Hyperlink" xfId="11899" builtinId="8" hidden="1"/>
    <cellStyle name="Hyperlink" xfId="11901" builtinId="8" hidden="1"/>
    <cellStyle name="Hyperlink" xfId="11903" builtinId="8" hidden="1"/>
    <cellStyle name="Hyperlink" xfId="11905" builtinId="8" hidden="1"/>
    <cellStyle name="Hyperlink" xfId="11871" builtinId="8" hidden="1"/>
    <cellStyle name="Hyperlink" xfId="11857" builtinId="8" hidden="1"/>
    <cellStyle name="Hyperlink" xfId="11907" builtinId="8" hidden="1"/>
    <cellStyle name="Hyperlink" xfId="11909" builtinId="8" hidden="1"/>
    <cellStyle name="Hyperlink" xfId="11911" builtinId="8" hidden="1"/>
    <cellStyle name="Hyperlink" xfId="11913" builtinId="8" hidden="1"/>
    <cellStyle name="Hyperlink" xfId="11876" builtinId="8" hidden="1"/>
    <cellStyle name="Hyperlink" xfId="11845" builtinId="8" hidden="1"/>
    <cellStyle name="Hyperlink" xfId="11915" builtinId="8" hidden="1"/>
    <cellStyle name="Hyperlink" xfId="11917" builtinId="8" hidden="1"/>
    <cellStyle name="Hyperlink" xfId="11919" builtinId="8" hidden="1"/>
    <cellStyle name="Hyperlink" xfId="11921" builtinId="8" hidden="1"/>
    <cellStyle name="Hyperlink" xfId="11846" builtinId="8" hidden="1"/>
    <cellStyle name="Hyperlink" xfId="11879" builtinId="8" hidden="1"/>
    <cellStyle name="Hyperlink" xfId="11923" builtinId="8" hidden="1"/>
    <cellStyle name="Hyperlink" xfId="11925" builtinId="8" hidden="1"/>
    <cellStyle name="Hyperlink" xfId="11927" builtinId="8" hidden="1"/>
    <cellStyle name="Hyperlink" xfId="11929" builtinId="8" hidden="1"/>
    <cellStyle name="Hyperlink" xfId="11848" builtinId="8" hidden="1"/>
    <cellStyle name="Hyperlink" xfId="11889" builtinId="8" hidden="1"/>
    <cellStyle name="Hyperlink" xfId="11931" builtinId="8" hidden="1"/>
    <cellStyle name="Hyperlink" xfId="11933" builtinId="8" hidden="1"/>
    <cellStyle name="Hyperlink" xfId="11935" builtinId="8" hidden="1"/>
    <cellStyle name="Hyperlink" xfId="11937" builtinId="8" hidden="1"/>
    <cellStyle name="Hyperlink" xfId="11869" builtinId="8" hidden="1"/>
    <cellStyle name="Hyperlink" xfId="11872" builtinId="8" hidden="1"/>
    <cellStyle name="Hyperlink" xfId="11939" builtinId="8" hidden="1"/>
    <cellStyle name="Hyperlink" xfId="11941" builtinId="8" hidden="1"/>
    <cellStyle name="Hyperlink" xfId="11943" builtinId="8" hidden="1"/>
    <cellStyle name="Hyperlink" xfId="11945" builtinId="8" hidden="1"/>
    <cellStyle name="Hyperlink" xfId="11873" builtinId="8" hidden="1"/>
    <cellStyle name="Hyperlink" xfId="11870" builtinId="8" hidden="1"/>
    <cellStyle name="Hyperlink" xfId="11947" builtinId="8" hidden="1"/>
    <cellStyle name="Hyperlink" xfId="11949" builtinId="8" hidden="1"/>
    <cellStyle name="Hyperlink" xfId="11951" builtinId="8" hidden="1"/>
    <cellStyle name="Hyperlink" xfId="11953" builtinId="8" hidden="1"/>
    <cellStyle name="Hyperlink" xfId="11888" builtinId="8" hidden="1"/>
    <cellStyle name="Hyperlink" xfId="11865" builtinId="8" hidden="1"/>
    <cellStyle name="Hyperlink" xfId="11955" builtinId="8" hidden="1"/>
    <cellStyle name="Hyperlink" xfId="11957" builtinId="8" hidden="1"/>
    <cellStyle name="Hyperlink" xfId="11959" builtinId="8" hidden="1"/>
    <cellStyle name="Hyperlink" xfId="11961" builtinId="8" hidden="1"/>
    <cellStyle name="Hyperlink" xfId="11843" builtinId="8" hidden="1"/>
    <cellStyle name="Hyperlink" xfId="11844" builtinId="8" hidden="1"/>
    <cellStyle name="Hyperlink" xfId="11963" builtinId="8" hidden="1"/>
    <cellStyle name="Hyperlink" xfId="11965" builtinId="8" hidden="1"/>
    <cellStyle name="Hyperlink" xfId="11967" builtinId="8" hidden="1"/>
    <cellStyle name="Hyperlink" xfId="11969" builtinId="8" hidden="1"/>
    <cellStyle name="Hyperlink" xfId="11849" builtinId="8" hidden="1"/>
    <cellStyle name="Hyperlink" xfId="11885" builtinId="8" hidden="1"/>
    <cellStyle name="Hyperlink" xfId="11971" builtinId="8" hidden="1"/>
    <cellStyle name="Hyperlink" xfId="11973" builtinId="8" hidden="1"/>
    <cellStyle name="Hyperlink" xfId="11975" builtinId="8" hidden="1"/>
    <cellStyle name="Hyperlink" xfId="11977" builtinId="8" hidden="1"/>
    <cellStyle name="Hyperlink" xfId="11854" builtinId="8" hidden="1"/>
    <cellStyle name="Hyperlink" xfId="11874" builtinId="8" hidden="1"/>
    <cellStyle name="Hyperlink" xfId="11979" builtinId="8" hidden="1"/>
    <cellStyle name="Hyperlink" xfId="11981" builtinId="8" hidden="1"/>
    <cellStyle name="Hyperlink" xfId="11983" builtinId="8" hidden="1"/>
    <cellStyle name="Hyperlink" xfId="11985" builtinId="8" hidden="1"/>
    <cellStyle name="Hyperlink" xfId="11861" builtinId="8" hidden="1"/>
    <cellStyle name="Hyperlink" xfId="11859" builtinId="8" hidden="1"/>
    <cellStyle name="Hyperlink" xfId="11987" builtinId="8" hidden="1"/>
    <cellStyle name="Hyperlink" xfId="11989" builtinId="8" hidden="1"/>
    <cellStyle name="Hyperlink" xfId="11991" builtinId="8" hidden="1"/>
    <cellStyle name="Hyperlink" xfId="11993" builtinId="8" hidden="1"/>
    <cellStyle name="Hyperlink" xfId="11995" builtinId="8" hidden="1"/>
    <cellStyle name="Hyperlink" xfId="11997" builtinId="8" hidden="1"/>
    <cellStyle name="Hyperlink" xfId="12063" builtinId="8" hidden="1"/>
    <cellStyle name="Hyperlink" xfId="12065" builtinId="8" hidden="1"/>
    <cellStyle name="Hyperlink" xfId="12067" builtinId="8" hidden="1"/>
    <cellStyle name="Hyperlink" xfId="12069" builtinId="8" hidden="1"/>
    <cellStyle name="Hyperlink" xfId="12072" builtinId="8" hidden="1"/>
    <cellStyle name="Hyperlink" xfId="12074" builtinId="8" hidden="1"/>
    <cellStyle name="Hyperlink" xfId="12148" builtinId="8" hidden="1"/>
    <cellStyle name="Hyperlink" xfId="12150" builtinId="8" hidden="1"/>
    <cellStyle name="Hyperlink" xfId="12152" builtinId="8" hidden="1"/>
    <cellStyle name="Hyperlink" xfId="12154" builtinId="8" hidden="1"/>
    <cellStyle name="Hyperlink" xfId="12156" builtinId="8" hidden="1"/>
    <cellStyle name="Hyperlink" xfId="12158" builtinId="8" hidden="1"/>
    <cellStyle name="Hyperlink" xfId="12208" builtinId="8" hidden="1"/>
    <cellStyle name="Hyperlink" xfId="12210" builtinId="8" hidden="1"/>
    <cellStyle name="Hyperlink" xfId="12212" builtinId="8" hidden="1"/>
    <cellStyle name="Hyperlink" xfId="12214" builtinId="8" hidden="1"/>
    <cellStyle name="Hyperlink" xfId="12204" builtinId="8" hidden="1"/>
    <cellStyle name="Hyperlink" xfId="12194" builtinId="8" hidden="1"/>
    <cellStyle name="Hyperlink" xfId="12216" builtinId="8" hidden="1"/>
    <cellStyle name="Hyperlink" xfId="12218" builtinId="8" hidden="1"/>
    <cellStyle name="Hyperlink" xfId="12220" builtinId="8" hidden="1"/>
    <cellStyle name="Hyperlink" xfId="12222" builtinId="8" hidden="1"/>
    <cellStyle name="Hyperlink" xfId="12188" builtinId="8" hidden="1"/>
    <cellStyle name="Hyperlink" xfId="12174" builtinId="8" hidden="1"/>
    <cellStyle name="Hyperlink" xfId="12224" builtinId="8" hidden="1"/>
    <cellStyle name="Hyperlink" xfId="12226" builtinId="8" hidden="1"/>
    <cellStyle name="Hyperlink" xfId="12228" builtinId="8" hidden="1"/>
    <cellStyle name="Hyperlink" xfId="12230" builtinId="8" hidden="1"/>
    <cellStyle name="Hyperlink" xfId="12193" builtinId="8" hidden="1"/>
    <cellStyle name="Hyperlink" xfId="12162" builtinId="8" hidden="1"/>
    <cellStyle name="Hyperlink" xfId="12232" builtinId="8" hidden="1"/>
    <cellStyle name="Hyperlink" xfId="12234" builtinId="8" hidden="1"/>
    <cellStyle name="Hyperlink" xfId="12236" builtinId="8" hidden="1"/>
    <cellStyle name="Hyperlink" xfId="12238" builtinId="8" hidden="1"/>
    <cellStyle name="Hyperlink" xfId="12163" builtinId="8" hidden="1"/>
    <cellStyle name="Hyperlink" xfId="12196" builtinId="8" hidden="1"/>
    <cellStyle name="Hyperlink" xfId="12240" builtinId="8" hidden="1"/>
    <cellStyle name="Hyperlink" xfId="12242" builtinId="8" hidden="1"/>
    <cellStyle name="Hyperlink" xfId="12244" builtinId="8" hidden="1"/>
    <cellStyle name="Hyperlink" xfId="12246" builtinId="8" hidden="1"/>
    <cellStyle name="Hyperlink" xfId="12165" builtinId="8" hidden="1"/>
    <cellStyle name="Hyperlink" xfId="12206" builtinId="8" hidden="1"/>
    <cellStyle name="Hyperlink" xfId="12248" builtinId="8" hidden="1"/>
    <cellStyle name="Hyperlink" xfId="12250" builtinId="8" hidden="1"/>
    <cellStyle name="Hyperlink" xfId="12252" builtinId="8" hidden="1"/>
    <cellStyle name="Hyperlink" xfId="12254" builtinId="8" hidden="1"/>
    <cellStyle name="Hyperlink" xfId="12186" builtinId="8" hidden="1"/>
    <cellStyle name="Hyperlink" xfId="12189" builtinId="8" hidden="1"/>
    <cellStyle name="Hyperlink" xfId="12256" builtinId="8" hidden="1"/>
    <cellStyle name="Hyperlink" xfId="12258" builtinId="8" hidden="1"/>
    <cellStyle name="Hyperlink" xfId="12260" builtinId="8" hidden="1"/>
    <cellStyle name="Hyperlink" xfId="12262" builtinId="8" hidden="1"/>
    <cellStyle name="Hyperlink" xfId="12190" builtinId="8" hidden="1"/>
    <cellStyle name="Hyperlink" xfId="12187" builtinId="8" hidden="1"/>
    <cellStyle name="Hyperlink" xfId="12264" builtinId="8" hidden="1"/>
    <cellStyle name="Hyperlink" xfId="12266" builtinId="8" hidden="1"/>
    <cellStyle name="Hyperlink" xfId="12268" builtinId="8" hidden="1"/>
    <cellStyle name="Hyperlink" xfId="12270" builtinId="8" hidden="1"/>
    <cellStyle name="Hyperlink" xfId="12205" builtinId="8" hidden="1"/>
    <cellStyle name="Hyperlink" xfId="12182" builtinId="8" hidden="1"/>
    <cellStyle name="Hyperlink" xfId="12272" builtinId="8" hidden="1"/>
    <cellStyle name="Hyperlink" xfId="12274" builtinId="8" hidden="1"/>
    <cellStyle name="Hyperlink" xfId="12276" builtinId="8" hidden="1"/>
    <cellStyle name="Hyperlink" xfId="12278" builtinId="8" hidden="1"/>
    <cellStyle name="Hyperlink" xfId="12160" builtinId="8" hidden="1"/>
    <cellStyle name="Hyperlink" xfId="12161" builtinId="8" hidden="1"/>
    <cellStyle name="Hyperlink" xfId="12280" builtinId="8" hidden="1"/>
    <cellStyle name="Hyperlink" xfId="12282" builtinId="8" hidden="1"/>
    <cellStyle name="Hyperlink" xfId="12284" builtinId="8" hidden="1"/>
    <cellStyle name="Hyperlink" xfId="12286" builtinId="8" hidden="1"/>
    <cellStyle name="Hyperlink" xfId="12166" builtinId="8" hidden="1"/>
    <cellStyle name="Hyperlink" xfId="12202" builtinId="8" hidden="1"/>
    <cellStyle name="Hyperlink" xfId="12288" builtinId="8" hidden="1"/>
    <cellStyle name="Hyperlink" xfId="12290" builtinId="8" hidden="1"/>
    <cellStyle name="Hyperlink" xfId="12292" builtinId="8" hidden="1"/>
    <cellStyle name="Hyperlink" xfId="12294" builtinId="8" hidden="1"/>
    <cellStyle name="Hyperlink" xfId="12171" builtinId="8" hidden="1"/>
    <cellStyle name="Hyperlink" xfId="12191" builtinId="8" hidden="1"/>
    <cellStyle name="Hyperlink" xfId="12296" builtinId="8" hidden="1"/>
    <cellStyle name="Hyperlink" xfId="12298" builtinId="8" hidden="1"/>
    <cellStyle name="Hyperlink" xfId="12300" builtinId="8" hidden="1"/>
    <cellStyle name="Hyperlink" xfId="12302" builtinId="8" hidden="1"/>
    <cellStyle name="Hyperlink" xfId="12178" builtinId="8" hidden="1"/>
    <cellStyle name="Hyperlink" xfId="12176" builtinId="8" hidden="1"/>
    <cellStyle name="Hyperlink" xfId="12304" builtinId="8" hidden="1"/>
    <cellStyle name="Hyperlink" xfId="12306" builtinId="8" hidden="1"/>
    <cellStyle name="Hyperlink" xfId="12308" builtinId="8" hidden="1"/>
    <cellStyle name="Hyperlink" xfId="12310" builtinId="8" hidden="1"/>
    <cellStyle name="Hyperlink" xfId="12009" builtinId="8" hidden="1"/>
    <cellStyle name="Hyperlink" xfId="12121" builtinId="8" hidden="1"/>
    <cellStyle name="Hyperlink" xfId="12013" builtinId="8" hidden="1"/>
    <cellStyle name="Hyperlink" xfId="12124" builtinId="8" hidden="1"/>
    <cellStyle name="Hyperlink" xfId="12107" builtinId="8" hidden="1"/>
    <cellStyle name="Hyperlink" xfId="12059" builtinId="8" hidden="1"/>
    <cellStyle name="Hyperlink" xfId="12000" builtinId="8" hidden="1"/>
    <cellStyle name="Hyperlink" xfId="12112" builtinId="8" hidden="1"/>
    <cellStyle name="Hyperlink" xfId="12315" builtinId="8" hidden="1"/>
    <cellStyle name="Hyperlink" xfId="12317" builtinId="8" hidden="1"/>
    <cellStyle name="Hyperlink" xfId="12319" builtinId="8" hidden="1"/>
    <cellStyle name="Hyperlink" xfId="12321" builtinId="8" hidden="1"/>
    <cellStyle name="Hyperlink" xfId="12324" builtinId="8" hidden="1"/>
    <cellStyle name="Hyperlink" xfId="12326" builtinId="8" hidden="1"/>
    <cellStyle name="Hyperlink" xfId="12376" builtinId="8" hidden="1"/>
    <cellStyle name="Hyperlink" xfId="12378" builtinId="8" hidden="1"/>
    <cellStyle name="Hyperlink" xfId="12380" builtinId="8" hidden="1"/>
    <cellStyle name="Hyperlink" xfId="12382" builtinId="8" hidden="1"/>
    <cellStyle name="Hyperlink" xfId="12372" builtinId="8" hidden="1"/>
    <cellStyle name="Hyperlink" xfId="12362" builtinId="8" hidden="1"/>
    <cellStyle name="Hyperlink" xfId="12384" builtinId="8" hidden="1"/>
    <cellStyle name="Hyperlink" xfId="12386" builtinId="8" hidden="1"/>
    <cellStyle name="Hyperlink" xfId="12388" builtinId="8" hidden="1"/>
    <cellStyle name="Hyperlink" xfId="12390" builtinId="8" hidden="1"/>
    <cellStyle name="Hyperlink" xfId="12356" builtinId="8" hidden="1"/>
    <cellStyle name="Hyperlink" xfId="12342" builtinId="8" hidden="1"/>
    <cellStyle name="Hyperlink" xfId="12392" builtinId="8" hidden="1"/>
    <cellStyle name="Hyperlink" xfId="12394" builtinId="8" hidden="1"/>
    <cellStyle name="Hyperlink" xfId="12396" builtinId="8" hidden="1"/>
    <cellStyle name="Hyperlink" xfId="12398" builtinId="8" hidden="1"/>
    <cellStyle name="Hyperlink" xfId="12361" builtinId="8" hidden="1"/>
    <cellStyle name="Hyperlink" xfId="12330" builtinId="8" hidden="1"/>
    <cellStyle name="Hyperlink" xfId="12400" builtinId="8" hidden="1"/>
    <cellStyle name="Hyperlink" xfId="12402" builtinId="8" hidden="1"/>
    <cellStyle name="Hyperlink" xfId="12404" builtinId="8" hidden="1"/>
    <cellStyle name="Hyperlink" xfId="12406" builtinId="8" hidden="1"/>
    <cellStyle name="Hyperlink" xfId="12331" builtinId="8" hidden="1"/>
    <cellStyle name="Hyperlink" xfId="12364" builtinId="8" hidden="1"/>
    <cellStyle name="Hyperlink" xfId="12408" builtinId="8" hidden="1"/>
    <cellStyle name="Hyperlink" xfId="12410" builtinId="8" hidden="1"/>
    <cellStyle name="Hyperlink" xfId="12412" builtinId="8" hidden="1"/>
    <cellStyle name="Hyperlink" xfId="12414" builtinId="8" hidden="1"/>
    <cellStyle name="Hyperlink" xfId="12333" builtinId="8" hidden="1"/>
    <cellStyle name="Hyperlink" xfId="12374" builtinId="8" hidden="1"/>
    <cellStyle name="Hyperlink" xfId="12416" builtinId="8" hidden="1"/>
    <cellStyle name="Hyperlink" xfId="12418" builtinId="8" hidden="1"/>
    <cellStyle name="Hyperlink" xfId="12420" builtinId="8" hidden="1"/>
    <cellStyle name="Hyperlink" xfId="12422" builtinId="8" hidden="1"/>
    <cellStyle name="Hyperlink" xfId="12354" builtinId="8" hidden="1"/>
    <cellStyle name="Hyperlink" xfId="12357" builtinId="8" hidden="1"/>
    <cellStyle name="Hyperlink" xfId="12424" builtinId="8" hidden="1"/>
    <cellStyle name="Hyperlink" xfId="12426" builtinId="8" hidden="1"/>
    <cellStyle name="Hyperlink" xfId="12428" builtinId="8" hidden="1"/>
    <cellStyle name="Hyperlink" xfId="12430" builtinId="8" hidden="1"/>
    <cellStyle name="Hyperlink" xfId="12358" builtinId="8" hidden="1"/>
    <cellStyle name="Hyperlink" xfId="12355" builtinId="8" hidden="1"/>
    <cellStyle name="Hyperlink" xfId="12432" builtinId="8" hidden="1"/>
    <cellStyle name="Hyperlink" xfId="12434" builtinId="8" hidden="1"/>
    <cellStyle name="Hyperlink" xfId="12436" builtinId="8" hidden="1"/>
    <cellStyle name="Hyperlink" xfId="12438" builtinId="8" hidden="1"/>
    <cellStyle name="Hyperlink" xfId="12373" builtinId="8" hidden="1"/>
    <cellStyle name="Hyperlink" xfId="12350" builtinId="8" hidden="1"/>
    <cellStyle name="Hyperlink" xfId="12440" builtinId="8" hidden="1"/>
    <cellStyle name="Hyperlink" xfId="12442" builtinId="8" hidden="1"/>
    <cellStyle name="Hyperlink" xfId="12444" builtinId="8" hidden="1"/>
    <cellStyle name="Hyperlink" xfId="12446" builtinId="8" hidden="1"/>
    <cellStyle name="Hyperlink" xfId="12328" builtinId="8" hidden="1"/>
    <cellStyle name="Hyperlink" xfId="12329" builtinId="8" hidden="1"/>
    <cellStyle name="Hyperlink" xfId="12448" builtinId="8" hidden="1"/>
    <cellStyle name="Hyperlink" xfId="12450" builtinId="8" hidden="1"/>
    <cellStyle name="Hyperlink" xfId="12452" builtinId="8" hidden="1"/>
    <cellStyle name="Hyperlink" xfId="12454" builtinId="8" hidden="1"/>
    <cellStyle name="Hyperlink" xfId="12334" builtinId="8" hidden="1"/>
    <cellStyle name="Hyperlink" xfId="12370" builtinId="8" hidden="1"/>
    <cellStyle name="Hyperlink" xfId="12456" builtinId="8" hidden="1"/>
    <cellStyle name="Hyperlink" xfId="12458" builtinId="8" hidden="1"/>
    <cellStyle name="Hyperlink" xfId="12460" builtinId="8" hidden="1"/>
    <cellStyle name="Hyperlink" xfId="12462" builtinId="8" hidden="1"/>
    <cellStyle name="Hyperlink" xfId="12339" builtinId="8" hidden="1"/>
    <cellStyle name="Hyperlink" xfId="12359" builtinId="8" hidden="1"/>
    <cellStyle name="Hyperlink" xfId="12464" builtinId="8" hidden="1"/>
    <cellStyle name="Hyperlink" xfId="12466" builtinId="8" hidden="1"/>
    <cellStyle name="Hyperlink" xfId="12468" builtinId="8" hidden="1"/>
    <cellStyle name="Hyperlink" xfId="12470" builtinId="8" hidden="1"/>
    <cellStyle name="Hyperlink" xfId="12346" builtinId="8" hidden="1"/>
    <cellStyle name="Hyperlink" xfId="12344" builtinId="8" hidden="1"/>
    <cellStyle name="Hyperlink" xfId="12472" builtinId="8" hidden="1"/>
    <cellStyle name="Hyperlink" xfId="12474" builtinId="8" hidden="1"/>
    <cellStyle name="Hyperlink" xfId="12476" builtinId="8" hidden="1"/>
    <cellStyle name="Hyperlink" xfId="12478" builtinId="8" hidden="1"/>
    <cellStyle name="Hyperlink" xfId="12055" builtinId="8" hidden="1"/>
    <cellStyle name="Hyperlink" xfId="12056" builtinId="8" hidden="1"/>
    <cellStyle name="Hyperlink" xfId="12030" builtinId="8" hidden="1"/>
    <cellStyle name="Hyperlink" xfId="12031" builtinId="8" hidden="1"/>
    <cellStyle name="Hyperlink" xfId="12046" builtinId="8" hidden="1"/>
    <cellStyle name="Hyperlink" xfId="12044" builtinId="8" hidden="1"/>
    <cellStyle name="Hyperlink" xfId="12037" builtinId="8" hidden="1"/>
    <cellStyle name="Hyperlink" xfId="12038" builtinId="8" hidden="1"/>
    <cellStyle name="Hyperlink" xfId="12489" builtinId="8" hidden="1"/>
    <cellStyle name="Hyperlink" xfId="12491" builtinId="8" hidden="1"/>
    <cellStyle name="Hyperlink" xfId="12493" builtinId="8" hidden="1"/>
    <cellStyle name="Hyperlink" xfId="12495" builtinId="8" hidden="1"/>
    <cellStyle name="Hyperlink" xfId="12497" builtinId="8" hidden="1"/>
    <cellStyle name="Hyperlink" xfId="12499" builtinId="8" hidden="1"/>
    <cellStyle name="Hyperlink" xfId="12549" builtinId="8" hidden="1"/>
    <cellStyle name="Hyperlink" xfId="12551" builtinId="8" hidden="1"/>
    <cellStyle name="Hyperlink" xfId="12553" builtinId="8" hidden="1"/>
    <cellStyle name="Hyperlink" xfId="12555" builtinId="8" hidden="1"/>
    <cellStyle name="Hyperlink" xfId="12545" builtinId="8" hidden="1"/>
    <cellStyle name="Hyperlink" xfId="12535" builtinId="8" hidden="1"/>
    <cellStyle name="Hyperlink" xfId="12557" builtinId="8" hidden="1"/>
    <cellStyle name="Hyperlink" xfId="12559" builtinId="8" hidden="1"/>
    <cellStyle name="Hyperlink" xfId="12561" builtinId="8" hidden="1"/>
    <cellStyle name="Hyperlink" xfId="12563" builtinId="8" hidden="1"/>
    <cellStyle name="Hyperlink" xfId="12529" builtinId="8" hidden="1"/>
    <cellStyle name="Hyperlink" xfId="12515" builtinId="8" hidden="1"/>
    <cellStyle name="Hyperlink" xfId="12565" builtinId="8" hidden="1"/>
    <cellStyle name="Hyperlink" xfId="12567" builtinId="8" hidden="1"/>
    <cellStyle name="Hyperlink" xfId="12569" builtinId="8" hidden="1"/>
    <cellStyle name="Hyperlink" xfId="12571" builtinId="8" hidden="1"/>
    <cellStyle name="Hyperlink" xfId="12534" builtinId="8" hidden="1"/>
    <cellStyle name="Hyperlink" xfId="12503" builtinId="8" hidden="1"/>
    <cellStyle name="Hyperlink" xfId="12573" builtinId="8" hidden="1"/>
    <cellStyle name="Hyperlink" xfId="12575" builtinId="8" hidden="1"/>
    <cellStyle name="Hyperlink" xfId="12577" builtinId="8" hidden="1"/>
    <cellStyle name="Hyperlink" xfId="12579" builtinId="8" hidden="1"/>
    <cellStyle name="Hyperlink" xfId="12504" builtinId="8" hidden="1"/>
    <cellStyle name="Hyperlink" xfId="12537" builtinId="8" hidden="1"/>
    <cellStyle name="Hyperlink" xfId="12581" builtinId="8" hidden="1"/>
    <cellStyle name="Hyperlink" xfId="12583" builtinId="8" hidden="1"/>
    <cellStyle name="Hyperlink" xfId="12585" builtinId="8" hidden="1"/>
    <cellStyle name="Hyperlink" xfId="12587" builtinId="8" hidden="1"/>
    <cellStyle name="Hyperlink" xfId="12506" builtinId="8" hidden="1"/>
    <cellStyle name="Hyperlink" xfId="12547" builtinId="8" hidden="1"/>
    <cellStyle name="Hyperlink" xfId="12589" builtinId="8" hidden="1"/>
    <cellStyle name="Hyperlink" xfId="12591" builtinId="8" hidden="1"/>
    <cellStyle name="Hyperlink" xfId="12593" builtinId="8" hidden="1"/>
    <cellStyle name="Hyperlink" xfId="12595" builtinId="8" hidden="1"/>
    <cellStyle name="Hyperlink" xfId="12527" builtinId="8" hidden="1"/>
    <cellStyle name="Hyperlink" xfId="12530" builtinId="8" hidden="1"/>
    <cellStyle name="Hyperlink" xfId="12597" builtinId="8" hidden="1"/>
    <cellStyle name="Hyperlink" xfId="12599" builtinId="8" hidden="1"/>
    <cellStyle name="Hyperlink" xfId="12601" builtinId="8" hidden="1"/>
    <cellStyle name="Hyperlink" xfId="12603" builtinId="8" hidden="1"/>
    <cellStyle name="Hyperlink" xfId="12531" builtinId="8" hidden="1"/>
    <cellStyle name="Hyperlink" xfId="12528" builtinId="8" hidden="1"/>
    <cellStyle name="Hyperlink" xfId="12605" builtinId="8" hidden="1"/>
    <cellStyle name="Hyperlink" xfId="12607" builtinId="8" hidden="1"/>
    <cellStyle name="Hyperlink" xfId="12609" builtinId="8" hidden="1"/>
    <cellStyle name="Hyperlink" xfId="12611" builtinId="8" hidden="1"/>
    <cellStyle name="Hyperlink" xfId="12546" builtinId="8" hidden="1"/>
    <cellStyle name="Hyperlink" xfId="12523" builtinId="8" hidden="1"/>
    <cellStyle name="Hyperlink" xfId="12613" builtinId="8" hidden="1"/>
    <cellStyle name="Hyperlink" xfId="12615" builtinId="8" hidden="1"/>
    <cellStyle name="Hyperlink" xfId="12617" builtinId="8" hidden="1"/>
    <cellStyle name="Hyperlink" xfId="12619" builtinId="8" hidden="1"/>
    <cellStyle name="Hyperlink" xfId="12501" builtinId="8" hidden="1"/>
    <cellStyle name="Hyperlink" xfId="12502" builtinId="8" hidden="1"/>
    <cellStyle name="Hyperlink" xfId="12621" builtinId="8" hidden="1"/>
    <cellStyle name="Hyperlink" xfId="12623" builtinId="8" hidden="1"/>
    <cellStyle name="Hyperlink" xfId="12625" builtinId="8" hidden="1"/>
    <cellStyle name="Hyperlink" xfId="12627" builtinId="8" hidden="1"/>
    <cellStyle name="Hyperlink" xfId="12507" builtinId="8" hidden="1"/>
    <cellStyle name="Hyperlink" xfId="12543" builtinId="8" hidden="1"/>
    <cellStyle name="Hyperlink" xfId="12629" builtinId="8" hidden="1"/>
    <cellStyle name="Hyperlink" xfId="12631" builtinId="8" hidden="1"/>
    <cellStyle name="Hyperlink" xfId="12633" builtinId="8" hidden="1"/>
    <cellStyle name="Hyperlink" xfId="12635" builtinId="8" hidden="1"/>
    <cellStyle name="Hyperlink" xfId="12512" builtinId="8" hidden="1"/>
    <cellStyle name="Hyperlink" xfId="12532" builtinId="8" hidden="1"/>
    <cellStyle name="Hyperlink" xfId="12637" builtinId="8" hidden="1"/>
    <cellStyle name="Hyperlink" xfId="12639" builtinId="8" hidden="1"/>
    <cellStyle name="Hyperlink" xfId="12641" builtinId="8" hidden="1"/>
    <cellStyle name="Hyperlink" xfId="12643" builtinId="8" hidden="1"/>
    <cellStyle name="Hyperlink" xfId="12519" builtinId="8" hidden="1"/>
    <cellStyle name="Hyperlink" xfId="12517" builtinId="8" hidden="1"/>
    <cellStyle name="Hyperlink" xfId="12645" builtinId="8" hidden="1"/>
    <cellStyle name="Hyperlink" xfId="12647" builtinId="8" hidden="1"/>
    <cellStyle name="Hyperlink" xfId="12649" builtinId="8" hidden="1"/>
    <cellStyle name="Hyperlink" xfId="12651" builtinId="8" hidden="1"/>
    <cellStyle name="Hyperlink" xfId="12096" builtinId="8" hidden="1"/>
    <cellStyle name="Hyperlink" xfId="12039" builtinId="8" hidden="1"/>
    <cellStyle name="Hyperlink" xfId="12049" builtinId="8" hidden="1"/>
    <cellStyle name="Hyperlink" xfId="12016" builtinId="8" hidden="1"/>
    <cellStyle name="Hyperlink" xfId="12099" builtinId="8" hidden="1"/>
    <cellStyle name="Hyperlink" xfId="12131" builtinId="8" hidden="1"/>
    <cellStyle name="Hyperlink" xfId="12110" builtinId="8" hidden="1"/>
    <cellStyle name="Hyperlink" xfId="12060" builtinId="8" hidden="1"/>
    <cellStyle name="Hyperlink" xfId="12659" builtinId="8" hidden="1"/>
    <cellStyle name="Hyperlink" xfId="12661" builtinId="8" hidden="1"/>
    <cellStyle name="Hyperlink" xfId="12663" builtinId="8" hidden="1"/>
    <cellStyle name="Hyperlink" xfId="12665" builtinId="8" hidden="1"/>
    <cellStyle name="Hyperlink" xfId="12667" builtinId="8" hidden="1"/>
    <cellStyle name="Hyperlink" xfId="12669" builtinId="8" hidden="1"/>
    <cellStyle name="Hyperlink" xfId="12719" builtinId="8" hidden="1"/>
    <cellStyle name="Hyperlink" xfId="12721" builtinId="8" hidden="1"/>
    <cellStyle name="Hyperlink" xfId="12723" builtinId="8" hidden="1"/>
    <cellStyle name="Hyperlink" xfId="12725" builtinId="8" hidden="1"/>
    <cellStyle name="Hyperlink" xfId="12715" builtinId="8" hidden="1"/>
    <cellStyle name="Hyperlink" xfId="12705" builtinId="8" hidden="1"/>
    <cellStyle name="Hyperlink" xfId="12727" builtinId="8" hidden="1"/>
    <cellStyle name="Hyperlink" xfId="12729" builtinId="8" hidden="1"/>
    <cellStyle name="Hyperlink" xfId="12731" builtinId="8" hidden="1"/>
    <cellStyle name="Hyperlink" xfId="12733" builtinId="8" hidden="1"/>
    <cellStyle name="Hyperlink" xfId="12699" builtinId="8" hidden="1"/>
    <cellStyle name="Hyperlink" xfId="12685" builtinId="8" hidden="1"/>
    <cellStyle name="Hyperlink" xfId="12735" builtinId="8" hidden="1"/>
    <cellStyle name="Hyperlink" xfId="12737" builtinId="8" hidden="1"/>
    <cellStyle name="Hyperlink" xfId="12739" builtinId="8" hidden="1"/>
    <cellStyle name="Hyperlink" xfId="12741" builtinId="8" hidden="1"/>
    <cellStyle name="Hyperlink" xfId="12704" builtinId="8" hidden="1"/>
    <cellStyle name="Hyperlink" xfId="12673" builtinId="8" hidden="1"/>
    <cellStyle name="Hyperlink" xfId="12743" builtinId="8" hidden="1"/>
    <cellStyle name="Hyperlink" xfId="12745" builtinId="8" hidden="1"/>
    <cellStyle name="Hyperlink" xfId="12747" builtinId="8" hidden="1"/>
    <cellStyle name="Hyperlink" xfId="12749" builtinId="8" hidden="1"/>
    <cellStyle name="Hyperlink" xfId="12674" builtinId="8" hidden="1"/>
    <cellStyle name="Hyperlink" xfId="12707" builtinId="8" hidden="1"/>
    <cellStyle name="Hyperlink" xfId="12751" builtinId="8" hidden="1"/>
    <cellStyle name="Hyperlink" xfId="12753" builtinId="8" hidden="1"/>
    <cellStyle name="Hyperlink" xfId="12755" builtinId="8" hidden="1"/>
    <cellStyle name="Hyperlink" xfId="12757" builtinId="8" hidden="1"/>
    <cellStyle name="Hyperlink" xfId="12676" builtinId="8" hidden="1"/>
    <cellStyle name="Hyperlink" xfId="12717" builtinId="8" hidden="1"/>
    <cellStyle name="Hyperlink" xfId="12759" builtinId="8" hidden="1"/>
    <cellStyle name="Hyperlink" xfId="12761" builtinId="8" hidden="1"/>
    <cellStyle name="Hyperlink" xfId="12763" builtinId="8" hidden="1"/>
    <cellStyle name="Hyperlink" xfId="12765" builtinId="8" hidden="1"/>
    <cellStyle name="Hyperlink" xfId="12697" builtinId="8" hidden="1"/>
    <cellStyle name="Hyperlink" xfId="12700" builtinId="8" hidden="1"/>
    <cellStyle name="Hyperlink" xfId="12767" builtinId="8" hidden="1"/>
    <cellStyle name="Hyperlink" xfId="12769" builtinId="8" hidden="1"/>
    <cellStyle name="Hyperlink" xfId="12771" builtinId="8" hidden="1"/>
    <cellStyle name="Hyperlink" xfId="12773" builtinId="8" hidden="1"/>
    <cellStyle name="Hyperlink" xfId="12701" builtinId="8" hidden="1"/>
    <cellStyle name="Hyperlink" xfId="12698" builtinId="8" hidden="1"/>
    <cellStyle name="Hyperlink" xfId="12775" builtinId="8" hidden="1"/>
    <cellStyle name="Hyperlink" xfId="12777" builtinId="8" hidden="1"/>
    <cellStyle name="Hyperlink" xfId="12779" builtinId="8" hidden="1"/>
    <cellStyle name="Hyperlink" xfId="12781" builtinId="8" hidden="1"/>
    <cellStyle name="Hyperlink" xfId="12716" builtinId="8" hidden="1"/>
    <cellStyle name="Hyperlink" xfId="12693" builtinId="8" hidden="1"/>
    <cellStyle name="Hyperlink" xfId="12783" builtinId="8" hidden="1"/>
    <cellStyle name="Hyperlink" xfId="12785" builtinId="8" hidden="1"/>
    <cellStyle name="Hyperlink" xfId="12787" builtinId="8" hidden="1"/>
    <cellStyle name="Hyperlink" xfId="12789" builtinId="8" hidden="1"/>
    <cellStyle name="Hyperlink" xfId="12671" builtinId="8" hidden="1"/>
    <cellStyle name="Hyperlink" xfId="12672" builtinId="8" hidden="1"/>
    <cellStyle name="Hyperlink" xfId="12791" builtinId="8" hidden="1"/>
    <cellStyle name="Hyperlink" xfId="12793" builtinId="8" hidden="1"/>
    <cellStyle name="Hyperlink" xfId="12795" builtinId="8" hidden="1"/>
    <cellStyle name="Hyperlink" xfId="12797" builtinId="8" hidden="1"/>
    <cellStyle name="Hyperlink" xfId="12677" builtinId="8" hidden="1"/>
    <cellStyle name="Hyperlink" xfId="12713" builtinId="8" hidden="1"/>
    <cellStyle name="Hyperlink" xfId="12799" builtinId="8" hidden="1"/>
    <cellStyle name="Hyperlink" xfId="12801" builtinId="8" hidden="1"/>
    <cellStyle name="Hyperlink" xfId="12803" builtinId="8" hidden="1"/>
    <cellStyle name="Hyperlink" xfId="12805" builtinId="8" hidden="1"/>
    <cellStyle name="Hyperlink" xfId="12682" builtinId="8" hidden="1"/>
    <cellStyle name="Hyperlink" xfId="12702" builtinId="8" hidden="1"/>
    <cellStyle name="Hyperlink" xfId="12807" builtinId="8" hidden="1"/>
    <cellStyle name="Hyperlink" xfId="12809" builtinId="8" hidden="1"/>
    <cellStyle name="Hyperlink" xfId="12811" builtinId="8" hidden="1"/>
    <cellStyle name="Hyperlink" xfId="12813" builtinId="8" hidden="1"/>
    <cellStyle name="Hyperlink" xfId="12689" builtinId="8" hidden="1"/>
    <cellStyle name="Hyperlink" xfId="12687" builtinId="8" hidden="1"/>
    <cellStyle name="Hyperlink" xfId="12815" builtinId="8" hidden="1"/>
    <cellStyle name="Hyperlink" xfId="12817" builtinId="8" hidden="1"/>
    <cellStyle name="Hyperlink" xfId="12819" builtinId="8" hidden="1"/>
    <cellStyle name="Hyperlink" xfId="12821" builtinId="8" hidden="1"/>
    <cellStyle name="Hyperlink" xfId="12071" builtinId="8" hidden="1"/>
    <cellStyle name="Hyperlink" xfId="12042" builtinId="8" hidden="1"/>
    <cellStyle name="Hyperlink" xfId="12089" builtinId="8" hidden="1"/>
    <cellStyle name="Hyperlink" xfId="12007" builtinId="8" hidden="1"/>
    <cellStyle name="Hyperlink" xfId="12086" builtinId="8" hidden="1"/>
    <cellStyle name="Hyperlink" xfId="12022" builtinId="8" hidden="1"/>
    <cellStyle name="Hyperlink" xfId="12093" builtinId="8" hidden="1"/>
    <cellStyle name="Hyperlink" xfId="12048" builtinId="8" hidden="1"/>
    <cellStyle name="Hyperlink" xfId="12828" builtinId="8" hidden="1"/>
    <cellStyle name="Hyperlink" xfId="12830" builtinId="8" hidden="1"/>
    <cellStyle name="Hyperlink" xfId="12832" builtinId="8" hidden="1"/>
    <cellStyle name="Hyperlink" xfId="12834" builtinId="8" hidden="1"/>
    <cellStyle name="Hyperlink" xfId="12836" builtinId="8" hidden="1"/>
    <cellStyle name="Hyperlink" xfId="12838" builtinId="8" hidden="1"/>
    <cellStyle name="Hyperlink" xfId="12888" builtinId="8" hidden="1"/>
    <cellStyle name="Hyperlink" xfId="12890" builtinId="8" hidden="1"/>
    <cellStyle name="Hyperlink" xfId="12892" builtinId="8" hidden="1"/>
    <cellStyle name="Hyperlink" xfId="12894" builtinId="8" hidden="1"/>
    <cellStyle name="Hyperlink" xfId="12884" builtinId="8" hidden="1"/>
    <cellStyle name="Hyperlink" xfId="12874" builtinId="8" hidden="1"/>
    <cellStyle name="Hyperlink" xfId="12896" builtinId="8" hidden="1"/>
    <cellStyle name="Hyperlink" xfId="12898" builtinId="8" hidden="1"/>
    <cellStyle name="Hyperlink" xfId="12900" builtinId="8" hidden="1"/>
    <cellStyle name="Hyperlink" xfId="12902" builtinId="8" hidden="1"/>
    <cellStyle name="Hyperlink" xfId="12868" builtinId="8" hidden="1"/>
    <cellStyle name="Hyperlink" xfId="12854" builtinId="8" hidden="1"/>
    <cellStyle name="Hyperlink" xfId="12904" builtinId="8" hidden="1"/>
    <cellStyle name="Hyperlink" xfId="12906" builtinId="8" hidden="1"/>
    <cellStyle name="Hyperlink" xfId="12908" builtinId="8" hidden="1"/>
    <cellStyle name="Hyperlink" xfId="12910" builtinId="8" hidden="1"/>
    <cellStyle name="Hyperlink" xfId="12873" builtinId="8" hidden="1"/>
    <cellStyle name="Hyperlink" xfId="12842" builtinId="8" hidden="1"/>
    <cellStyle name="Hyperlink" xfId="12912" builtinId="8" hidden="1"/>
    <cellStyle name="Hyperlink" xfId="12914" builtinId="8" hidden="1"/>
    <cellStyle name="Hyperlink" xfId="12916" builtinId="8" hidden="1"/>
    <cellStyle name="Hyperlink" xfId="12918" builtinId="8" hidden="1"/>
    <cellStyle name="Hyperlink" xfId="12843" builtinId="8" hidden="1"/>
    <cellStyle name="Hyperlink" xfId="12876" builtinId="8" hidden="1"/>
    <cellStyle name="Hyperlink" xfId="12920" builtinId="8" hidden="1"/>
    <cellStyle name="Hyperlink" xfId="12922" builtinId="8" hidden="1"/>
    <cellStyle name="Hyperlink" xfId="12924" builtinId="8" hidden="1"/>
    <cellStyle name="Hyperlink" xfId="12926" builtinId="8" hidden="1"/>
    <cellStyle name="Hyperlink" xfId="12845" builtinId="8" hidden="1"/>
    <cellStyle name="Hyperlink" xfId="12886" builtinId="8" hidden="1"/>
    <cellStyle name="Hyperlink" xfId="12928" builtinId="8" hidden="1"/>
    <cellStyle name="Hyperlink" xfId="12930" builtinId="8" hidden="1"/>
    <cellStyle name="Hyperlink" xfId="12932" builtinId="8" hidden="1"/>
    <cellStyle name="Hyperlink" xfId="12934" builtinId="8" hidden="1"/>
    <cellStyle name="Hyperlink" xfId="12866" builtinId="8" hidden="1"/>
    <cellStyle name="Hyperlink" xfId="12869" builtinId="8" hidden="1"/>
    <cellStyle name="Hyperlink" xfId="12936" builtinId="8" hidden="1"/>
    <cellStyle name="Hyperlink" xfId="12938" builtinId="8" hidden="1"/>
    <cellStyle name="Hyperlink" xfId="12940" builtinId="8" hidden="1"/>
    <cellStyle name="Hyperlink" xfId="12942" builtinId="8" hidden="1"/>
    <cellStyle name="Hyperlink" xfId="12870" builtinId="8" hidden="1"/>
    <cellStyle name="Hyperlink" xfId="12867" builtinId="8" hidden="1"/>
    <cellStyle name="Hyperlink" xfId="12944" builtinId="8" hidden="1"/>
    <cellStyle name="Hyperlink" xfId="12946" builtinId="8" hidden="1"/>
    <cellStyle name="Hyperlink" xfId="12948" builtinId="8" hidden="1"/>
    <cellStyle name="Hyperlink" xfId="12950" builtinId="8" hidden="1"/>
    <cellStyle name="Hyperlink" xfId="12885" builtinId="8" hidden="1"/>
    <cellStyle name="Hyperlink" xfId="12862" builtinId="8" hidden="1"/>
    <cellStyle name="Hyperlink" xfId="12952" builtinId="8" hidden="1"/>
    <cellStyle name="Hyperlink" xfId="12954" builtinId="8" hidden="1"/>
    <cellStyle name="Hyperlink" xfId="12956" builtinId="8" hidden="1"/>
    <cellStyle name="Hyperlink" xfId="12958" builtinId="8" hidden="1"/>
    <cellStyle name="Hyperlink" xfId="12840" builtinId="8" hidden="1"/>
    <cellStyle name="Hyperlink" xfId="12841" builtinId="8" hidden="1"/>
    <cellStyle name="Hyperlink" xfId="12960" builtinId="8" hidden="1"/>
    <cellStyle name="Hyperlink" xfId="12962" builtinId="8" hidden="1"/>
    <cellStyle name="Hyperlink" xfId="12964" builtinId="8" hidden="1"/>
    <cellStyle name="Hyperlink" xfId="12966" builtinId="8" hidden="1"/>
    <cellStyle name="Hyperlink" xfId="12846" builtinId="8" hidden="1"/>
    <cellStyle name="Hyperlink" xfId="12882" builtinId="8" hidden="1"/>
    <cellStyle name="Hyperlink" xfId="12968" builtinId="8" hidden="1"/>
    <cellStyle name="Hyperlink" xfId="12970" builtinId="8" hidden="1"/>
    <cellStyle name="Hyperlink" xfId="12972" builtinId="8" hidden="1"/>
    <cellStyle name="Hyperlink" xfId="12974" builtinId="8" hidden="1"/>
    <cellStyle name="Hyperlink" xfId="12851" builtinId="8" hidden="1"/>
    <cellStyle name="Hyperlink" xfId="12871" builtinId="8" hidden="1"/>
    <cellStyle name="Hyperlink" xfId="12976" builtinId="8" hidden="1"/>
    <cellStyle name="Hyperlink" xfId="12978" builtinId="8" hidden="1"/>
    <cellStyle name="Hyperlink" xfId="12980" builtinId="8" hidden="1"/>
    <cellStyle name="Hyperlink" xfId="12982" builtinId="8" hidden="1"/>
    <cellStyle name="Hyperlink" xfId="12858" builtinId="8" hidden="1"/>
    <cellStyle name="Hyperlink" xfId="12856" builtinId="8" hidden="1"/>
    <cellStyle name="Hyperlink" xfId="12984" builtinId="8" hidden="1"/>
    <cellStyle name="Hyperlink" xfId="12986" builtinId="8" hidden="1"/>
    <cellStyle name="Hyperlink" xfId="12988" builtinId="8" hidden="1"/>
    <cellStyle name="Hyperlink" xfId="12990" builtinId="8" hidden="1"/>
    <cellStyle name="Hyperlink" xfId="12313" builtinId="8" hidden="1"/>
    <cellStyle name="Hyperlink" xfId="12480" builtinId="8" hidden="1"/>
    <cellStyle name="Hyperlink" xfId="12117" builtinId="8" hidden="1"/>
    <cellStyle name="Hyperlink" xfId="12006" builtinId="8" hidden="1"/>
    <cellStyle name="Hyperlink" xfId="12002" builtinId="8" hidden="1"/>
    <cellStyle name="Hyperlink" xfId="12050" builtinId="8" hidden="1"/>
    <cellStyle name="Hyperlink" xfId="12011" builtinId="8" hidden="1"/>
    <cellStyle name="Hyperlink" xfId="12087" builtinId="8" hidden="1"/>
    <cellStyle name="Hyperlink" xfId="12997" builtinId="8" hidden="1"/>
    <cellStyle name="Hyperlink" xfId="12999" builtinId="8" hidden="1"/>
    <cellStyle name="Hyperlink" xfId="13001" builtinId="8" hidden="1"/>
    <cellStyle name="Hyperlink" xfId="13003" builtinId="8" hidden="1"/>
    <cellStyle name="Hyperlink" xfId="13005" builtinId="8" hidden="1"/>
    <cellStyle name="Hyperlink" xfId="13007" builtinId="8" hidden="1"/>
    <cellStyle name="Hyperlink" xfId="13057" builtinId="8" hidden="1"/>
    <cellStyle name="Hyperlink" xfId="13059" builtinId="8" hidden="1"/>
    <cellStyle name="Hyperlink" xfId="13061" builtinId="8" hidden="1"/>
    <cellStyle name="Hyperlink" xfId="13063" builtinId="8" hidden="1"/>
    <cellStyle name="Hyperlink" xfId="13053" builtinId="8" hidden="1"/>
    <cellStyle name="Hyperlink" xfId="13043" builtinId="8" hidden="1"/>
    <cellStyle name="Hyperlink" xfId="13065" builtinId="8" hidden="1"/>
    <cellStyle name="Hyperlink" xfId="13067" builtinId="8" hidden="1"/>
    <cellStyle name="Hyperlink" xfId="13069" builtinId="8" hidden="1"/>
    <cellStyle name="Hyperlink" xfId="13071" builtinId="8" hidden="1"/>
    <cellStyle name="Hyperlink" xfId="13037" builtinId="8" hidden="1"/>
    <cellStyle name="Hyperlink" xfId="13023" builtinId="8" hidden="1"/>
    <cellStyle name="Hyperlink" xfId="13073" builtinId="8" hidden="1"/>
    <cellStyle name="Hyperlink" xfId="13075" builtinId="8" hidden="1"/>
    <cellStyle name="Hyperlink" xfId="13077" builtinId="8" hidden="1"/>
    <cellStyle name="Hyperlink" xfId="13079" builtinId="8" hidden="1"/>
    <cellStyle name="Hyperlink" xfId="13042" builtinId="8" hidden="1"/>
    <cellStyle name="Hyperlink" xfId="13011" builtinId="8" hidden="1"/>
    <cellStyle name="Hyperlink" xfId="13081" builtinId="8" hidden="1"/>
    <cellStyle name="Hyperlink" xfId="13083" builtinId="8" hidden="1"/>
    <cellStyle name="Hyperlink" xfId="13085" builtinId="8" hidden="1"/>
    <cellStyle name="Hyperlink" xfId="13087" builtinId="8" hidden="1"/>
    <cellStyle name="Hyperlink" xfId="13012" builtinId="8" hidden="1"/>
    <cellStyle name="Hyperlink" xfId="13045" builtinId="8" hidden="1"/>
    <cellStyle name="Hyperlink" xfId="13089" builtinId="8" hidden="1"/>
    <cellStyle name="Hyperlink" xfId="13091" builtinId="8" hidden="1"/>
    <cellStyle name="Hyperlink" xfId="13093" builtinId="8" hidden="1"/>
    <cellStyle name="Hyperlink" xfId="13095" builtinId="8" hidden="1"/>
    <cellStyle name="Hyperlink" xfId="13014" builtinId="8" hidden="1"/>
    <cellStyle name="Hyperlink" xfId="13055" builtinId="8" hidden="1"/>
    <cellStyle name="Hyperlink" xfId="13097" builtinId="8" hidden="1"/>
    <cellStyle name="Hyperlink" xfId="13099" builtinId="8" hidden="1"/>
    <cellStyle name="Hyperlink" xfId="13101" builtinId="8" hidden="1"/>
    <cellStyle name="Hyperlink" xfId="13103" builtinId="8" hidden="1"/>
    <cellStyle name="Hyperlink" xfId="13035" builtinId="8" hidden="1"/>
    <cellStyle name="Hyperlink" xfId="13038" builtinId="8" hidden="1"/>
    <cellStyle name="Hyperlink" xfId="13105" builtinId="8" hidden="1"/>
    <cellStyle name="Hyperlink" xfId="13107" builtinId="8" hidden="1"/>
    <cellStyle name="Hyperlink" xfId="13109" builtinId="8" hidden="1"/>
    <cellStyle name="Hyperlink" xfId="13111" builtinId="8" hidden="1"/>
    <cellStyle name="Hyperlink" xfId="13039" builtinId="8" hidden="1"/>
    <cellStyle name="Hyperlink" xfId="13036" builtinId="8" hidden="1"/>
    <cellStyle name="Hyperlink" xfId="13113" builtinId="8" hidden="1"/>
    <cellStyle name="Hyperlink" xfId="13115" builtinId="8" hidden="1"/>
    <cellStyle name="Hyperlink" xfId="13117" builtinId="8" hidden="1"/>
    <cellStyle name="Hyperlink" xfId="13119" builtinId="8" hidden="1"/>
    <cellStyle name="Hyperlink" xfId="13054" builtinId="8" hidden="1"/>
    <cellStyle name="Hyperlink" xfId="13031" builtinId="8" hidden="1"/>
    <cellStyle name="Hyperlink" xfId="13121" builtinId="8" hidden="1"/>
    <cellStyle name="Hyperlink" xfId="13123" builtinId="8" hidden="1"/>
    <cellStyle name="Hyperlink" xfId="13125" builtinId="8" hidden="1"/>
    <cellStyle name="Hyperlink" xfId="13127" builtinId="8" hidden="1"/>
    <cellStyle name="Hyperlink" xfId="13009" builtinId="8" hidden="1"/>
    <cellStyle name="Hyperlink" xfId="13010" builtinId="8" hidden="1"/>
    <cellStyle name="Hyperlink" xfId="13129" builtinId="8" hidden="1"/>
    <cellStyle name="Hyperlink" xfId="13131" builtinId="8" hidden="1"/>
    <cellStyle name="Hyperlink" xfId="13133" builtinId="8" hidden="1"/>
    <cellStyle name="Hyperlink" xfId="13135" builtinId="8" hidden="1"/>
    <cellStyle name="Hyperlink" xfId="13015" builtinId="8" hidden="1"/>
    <cellStyle name="Hyperlink" xfId="13051" builtinId="8" hidden="1"/>
    <cellStyle name="Hyperlink" xfId="13137" builtinId="8" hidden="1"/>
    <cellStyle name="Hyperlink" xfId="13139" builtinId="8" hidden="1"/>
    <cellStyle name="Hyperlink" xfId="13141" builtinId="8" hidden="1"/>
    <cellStyle name="Hyperlink" xfId="13143" builtinId="8" hidden="1"/>
    <cellStyle name="Hyperlink" xfId="13020" builtinId="8" hidden="1"/>
    <cellStyle name="Hyperlink" xfId="13040" builtinId="8" hidden="1"/>
    <cellStyle name="Hyperlink" xfId="13145" builtinId="8" hidden="1"/>
    <cellStyle name="Hyperlink" xfId="13147" builtinId="8" hidden="1"/>
    <cellStyle name="Hyperlink" xfId="13149" builtinId="8" hidden="1"/>
    <cellStyle name="Hyperlink" xfId="13151" builtinId="8" hidden="1"/>
    <cellStyle name="Hyperlink" xfId="13027" builtinId="8" hidden="1"/>
    <cellStyle name="Hyperlink" xfId="13025" builtinId="8" hidden="1"/>
    <cellStyle name="Hyperlink" xfId="13153" builtinId="8" hidden="1"/>
    <cellStyle name="Hyperlink" xfId="13155" builtinId="8" hidden="1"/>
    <cellStyle name="Hyperlink" xfId="13157" builtinId="8" hidden="1"/>
    <cellStyle name="Hyperlink" xfId="13159" builtinId="8" hidden="1"/>
    <cellStyle name="Hyperlink" xfId="12003" builtinId="8" hidden="1"/>
    <cellStyle name="Hyperlink" xfId="12118" builtinId="8" hidden="1"/>
    <cellStyle name="Hyperlink" xfId="12487" builtinId="8" hidden="1"/>
    <cellStyle name="Hyperlink" xfId="12120" builtinId="8" hidden="1"/>
    <cellStyle name="Hyperlink" xfId="12101" builtinId="8" hidden="1"/>
    <cellStyle name="Hyperlink" xfId="12133" builtinId="8" hidden="1"/>
    <cellStyle name="Hyperlink" xfId="12008" builtinId="8" hidden="1"/>
    <cellStyle name="Hyperlink" xfId="12135" builtinId="8" hidden="1"/>
    <cellStyle name="Hyperlink" xfId="13164" builtinId="8" hidden="1"/>
    <cellStyle name="Hyperlink" xfId="13166" builtinId="8" hidden="1"/>
    <cellStyle name="Hyperlink" xfId="13168" builtinId="8" hidden="1"/>
    <cellStyle name="Hyperlink" xfId="13170" builtinId="8" hidden="1"/>
    <cellStyle name="Hyperlink" xfId="13172" builtinId="8" hidden="1"/>
    <cellStyle name="Hyperlink" xfId="13174" builtinId="8" hidden="1"/>
    <cellStyle name="Hyperlink" xfId="13224" builtinId="8" hidden="1"/>
    <cellStyle name="Hyperlink" xfId="13226" builtinId="8" hidden="1"/>
    <cellStyle name="Hyperlink" xfId="13228" builtinId="8" hidden="1"/>
    <cellStyle name="Hyperlink" xfId="13230" builtinId="8" hidden="1"/>
    <cellStyle name="Hyperlink" xfId="13220" builtinId="8" hidden="1"/>
    <cellStyle name="Hyperlink" xfId="13210" builtinId="8" hidden="1"/>
    <cellStyle name="Hyperlink" xfId="13232" builtinId="8" hidden="1"/>
    <cellStyle name="Hyperlink" xfId="13234" builtinId="8" hidden="1"/>
    <cellStyle name="Hyperlink" xfId="13236" builtinId="8" hidden="1"/>
    <cellStyle name="Hyperlink" xfId="13238" builtinId="8" hidden="1"/>
    <cellStyle name="Hyperlink" xfId="13204" builtinId="8" hidden="1"/>
    <cellStyle name="Hyperlink" xfId="13190" builtinId="8" hidden="1"/>
    <cellStyle name="Hyperlink" xfId="13240" builtinId="8" hidden="1"/>
    <cellStyle name="Hyperlink" xfId="13242" builtinId="8" hidden="1"/>
    <cellStyle name="Hyperlink" xfId="13244" builtinId="8" hidden="1"/>
    <cellStyle name="Hyperlink" xfId="13246" builtinId="8" hidden="1"/>
    <cellStyle name="Hyperlink" xfId="13209" builtinId="8" hidden="1"/>
    <cellStyle name="Hyperlink" xfId="13178" builtinId="8" hidden="1"/>
    <cellStyle name="Hyperlink" xfId="13248" builtinId="8" hidden="1"/>
    <cellStyle name="Hyperlink" xfId="13250" builtinId="8" hidden="1"/>
    <cellStyle name="Hyperlink" xfId="13252" builtinId="8" hidden="1"/>
    <cellStyle name="Hyperlink" xfId="13254" builtinId="8" hidden="1"/>
    <cellStyle name="Hyperlink" xfId="13179" builtinId="8" hidden="1"/>
    <cellStyle name="Hyperlink" xfId="13212" builtinId="8" hidden="1"/>
    <cellStyle name="Hyperlink" xfId="13256" builtinId="8" hidden="1"/>
    <cellStyle name="Hyperlink" xfId="13258" builtinId="8" hidden="1"/>
    <cellStyle name="Hyperlink" xfId="13260" builtinId="8" hidden="1"/>
    <cellStyle name="Hyperlink" xfId="13262" builtinId="8" hidden="1"/>
    <cellStyle name="Hyperlink" xfId="13181" builtinId="8" hidden="1"/>
    <cellStyle name="Hyperlink" xfId="13222" builtinId="8" hidden="1"/>
    <cellStyle name="Hyperlink" xfId="13264" builtinId="8" hidden="1"/>
    <cellStyle name="Hyperlink" xfId="13266" builtinId="8" hidden="1"/>
    <cellStyle name="Hyperlink" xfId="13268" builtinId="8" hidden="1"/>
    <cellStyle name="Hyperlink" xfId="13270" builtinId="8" hidden="1"/>
    <cellStyle name="Hyperlink" xfId="13202" builtinId="8" hidden="1"/>
    <cellStyle name="Hyperlink" xfId="13205" builtinId="8" hidden="1"/>
    <cellStyle name="Hyperlink" xfId="13272" builtinId="8" hidden="1"/>
    <cellStyle name="Hyperlink" xfId="13274" builtinId="8" hidden="1"/>
    <cellStyle name="Hyperlink" xfId="13276" builtinId="8" hidden="1"/>
    <cellStyle name="Hyperlink" xfId="13278" builtinId="8" hidden="1"/>
    <cellStyle name="Hyperlink" xfId="13206" builtinId="8" hidden="1"/>
    <cellStyle name="Hyperlink" xfId="13203" builtinId="8" hidden="1"/>
    <cellStyle name="Hyperlink" xfId="13280" builtinId="8" hidden="1"/>
    <cellStyle name="Hyperlink" xfId="13282" builtinId="8" hidden="1"/>
    <cellStyle name="Hyperlink" xfId="13284" builtinId="8" hidden="1"/>
    <cellStyle name="Hyperlink" xfId="13286" builtinId="8" hidden="1"/>
    <cellStyle name="Hyperlink" xfId="13221" builtinId="8" hidden="1"/>
    <cellStyle name="Hyperlink" xfId="13198" builtinId="8" hidden="1"/>
    <cellStyle name="Hyperlink" xfId="13288" builtinId="8" hidden="1"/>
    <cellStyle name="Hyperlink" xfId="13290" builtinId="8" hidden="1"/>
    <cellStyle name="Hyperlink" xfId="13292" builtinId="8" hidden="1"/>
    <cellStyle name="Hyperlink" xfId="13294" builtinId="8" hidden="1"/>
    <cellStyle name="Hyperlink" xfId="13176" builtinId="8" hidden="1"/>
    <cellStyle name="Hyperlink" xfId="13177" builtinId="8" hidden="1"/>
    <cellStyle name="Hyperlink" xfId="13296" builtinId="8" hidden="1"/>
    <cellStyle name="Hyperlink" xfId="13298" builtinId="8" hidden="1"/>
    <cellStyle name="Hyperlink" xfId="13300" builtinId="8" hidden="1"/>
    <cellStyle name="Hyperlink" xfId="13302" builtinId="8" hidden="1"/>
    <cellStyle name="Hyperlink" xfId="13182" builtinId="8" hidden="1"/>
    <cellStyle name="Hyperlink" xfId="13218" builtinId="8" hidden="1"/>
    <cellStyle name="Hyperlink" xfId="13304" builtinId="8" hidden="1"/>
    <cellStyle name="Hyperlink" xfId="13306" builtinId="8" hidden="1"/>
    <cellStyle name="Hyperlink" xfId="13308" builtinId="8" hidden="1"/>
    <cellStyle name="Hyperlink" xfId="13310" builtinId="8" hidden="1"/>
    <cellStyle name="Hyperlink" xfId="13187" builtinId="8" hidden="1"/>
    <cellStyle name="Hyperlink" xfId="13207" builtinId="8" hidden="1"/>
    <cellStyle name="Hyperlink" xfId="13312" builtinId="8" hidden="1"/>
    <cellStyle name="Hyperlink" xfId="13314" builtinId="8" hidden="1"/>
    <cellStyle name="Hyperlink" xfId="13316" builtinId="8" hidden="1"/>
    <cellStyle name="Hyperlink" xfId="13318" builtinId="8" hidden="1"/>
    <cellStyle name="Hyperlink" xfId="13194" builtinId="8" hidden="1"/>
    <cellStyle name="Hyperlink" xfId="13192" builtinId="8" hidden="1"/>
    <cellStyle name="Hyperlink" xfId="13320" builtinId="8" hidden="1"/>
    <cellStyle name="Hyperlink" xfId="13322" builtinId="8" hidden="1"/>
    <cellStyle name="Hyperlink" xfId="13324" builtinId="8" hidden="1"/>
    <cellStyle name="Hyperlink" xfId="13326" builtinId="8" hidden="1"/>
    <cellStyle name="Hyperlink" xfId="12144" builtinId="8" hidden="1"/>
    <cellStyle name="Hyperlink" xfId="12115" builtinId="8" hidden="1"/>
    <cellStyle name="Hyperlink" xfId="12657" builtinId="8" hidden="1"/>
    <cellStyle name="Hyperlink" xfId="12140" builtinId="8" hidden="1"/>
    <cellStyle name="Hyperlink" xfId="12077" builtinId="8" hidden="1"/>
    <cellStyle name="Hyperlink" xfId="12018" builtinId="8" hidden="1"/>
    <cellStyle name="Hyperlink" xfId="12132" builtinId="8" hidden="1"/>
    <cellStyle name="Hyperlink" xfId="12125" builtinId="8" hidden="1"/>
    <cellStyle name="Hyperlink" xfId="13331" builtinId="8" hidden="1"/>
    <cellStyle name="Hyperlink" xfId="13333" builtinId="8" hidden="1"/>
    <cellStyle name="Hyperlink" xfId="13335" builtinId="8" hidden="1"/>
    <cellStyle name="Hyperlink" xfId="13337" builtinId="8" hidden="1"/>
    <cellStyle name="Hyperlink" xfId="13339" builtinId="8" hidden="1"/>
    <cellStyle name="Hyperlink" xfId="13341" builtinId="8" hidden="1"/>
    <cellStyle name="Hyperlink" xfId="13391" builtinId="8" hidden="1"/>
    <cellStyle name="Hyperlink" xfId="13393" builtinId="8" hidden="1"/>
    <cellStyle name="Hyperlink" xfId="13395" builtinId="8" hidden="1"/>
    <cellStyle name="Hyperlink" xfId="13397" builtinId="8" hidden="1"/>
    <cellStyle name="Hyperlink" xfId="13387" builtinId="8" hidden="1"/>
    <cellStyle name="Hyperlink" xfId="13377" builtinId="8" hidden="1"/>
    <cellStyle name="Hyperlink" xfId="13399" builtinId="8" hidden="1"/>
    <cellStyle name="Hyperlink" xfId="13401" builtinId="8" hidden="1"/>
    <cellStyle name="Hyperlink" xfId="13403" builtinId="8" hidden="1"/>
    <cellStyle name="Hyperlink" xfId="13405" builtinId="8" hidden="1"/>
    <cellStyle name="Hyperlink" xfId="13371" builtinId="8" hidden="1"/>
    <cellStyle name="Hyperlink" xfId="13357" builtinId="8" hidden="1"/>
    <cellStyle name="Hyperlink" xfId="13407" builtinId="8" hidden="1"/>
    <cellStyle name="Hyperlink" xfId="13409" builtinId="8" hidden="1"/>
    <cellStyle name="Hyperlink" xfId="13411" builtinId="8" hidden="1"/>
    <cellStyle name="Hyperlink" xfId="13413" builtinId="8" hidden="1"/>
    <cellStyle name="Hyperlink" xfId="13376" builtinId="8" hidden="1"/>
    <cellStyle name="Hyperlink" xfId="13345" builtinId="8" hidden="1"/>
    <cellStyle name="Hyperlink" xfId="13415" builtinId="8" hidden="1"/>
    <cellStyle name="Hyperlink" xfId="13417" builtinId="8" hidden="1"/>
    <cellStyle name="Hyperlink" xfId="13419" builtinId="8" hidden="1"/>
    <cellStyle name="Hyperlink" xfId="13421" builtinId="8" hidden="1"/>
    <cellStyle name="Hyperlink" xfId="13346" builtinId="8" hidden="1"/>
    <cellStyle name="Hyperlink" xfId="13379" builtinId="8" hidden="1"/>
    <cellStyle name="Hyperlink" xfId="13423" builtinId="8" hidden="1"/>
    <cellStyle name="Hyperlink" xfId="13425" builtinId="8" hidden="1"/>
    <cellStyle name="Hyperlink" xfId="13427" builtinId="8" hidden="1"/>
    <cellStyle name="Hyperlink" xfId="13429" builtinId="8" hidden="1"/>
    <cellStyle name="Hyperlink" xfId="13348" builtinId="8" hidden="1"/>
    <cellStyle name="Hyperlink" xfId="13389" builtinId="8" hidden="1"/>
    <cellStyle name="Hyperlink" xfId="13431" builtinId="8" hidden="1"/>
    <cellStyle name="Hyperlink" xfId="13433" builtinId="8" hidden="1"/>
    <cellStyle name="Hyperlink" xfId="13435" builtinId="8" hidden="1"/>
    <cellStyle name="Hyperlink" xfId="13437" builtinId="8" hidden="1"/>
    <cellStyle name="Hyperlink" xfId="13369" builtinId="8" hidden="1"/>
    <cellStyle name="Hyperlink" xfId="13372" builtinId="8" hidden="1"/>
    <cellStyle name="Hyperlink" xfId="13439" builtinId="8" hidden="1"/>
    <cellStyle name="Hyperlink" xfId="13441" builtinId="8" hidden="1"/>
    <cellStyle name="Hyperlink" xfId="13443" builtinId="8" hidden="1"/>
    <cellStyle name="Hyperlink" xfId="13445" builtinId="8" hidden="1"/>
    <cellStyle name="Hyperlink" xfId="13373" builtinId="8" hidden="1"/>
    <cellStyle name="Hyperlink" xfId="13370" builtinId="8" hidden="1"/>
    <cellStyle name="Hyperlink" xfId="13447" builtinId="8" hidden="1"/>
    <cellStyle name="Hyperlink" xfId="13449" builtinId="8" hidden="1"/>
    <cellStyle name="Hyperlink" xfId="13451" builtinId="8" hidden="1"/>
    <cellStyle name="Hyperlink" xfId="13453" builtinId="8" hidden="1"/>
    <cellStyle name="Hyperlink" xfId="13388" builtinId="8" hidden="1"/>
    <cellStyle name="Hyperlink" xfId="13365" builtinId="8" hidden="1"/>
    <cellStyle name="Hyperlink" xfId="13455" builtinId="8" hidden="1"/>
    <cellStyle name="Hyperlink" xfId="13457" builtinId="8" hidden="1"/>
    <cellStyle name="Hyperlink" xfId="13459" builtinId="8" hidden="1"/>
    <cellStyle name="Hyperlink" xfId="13461" builtinId="8" hidden="1"/>
    <cellStyle name="Hyperlink" xfId="13343" builtinId="8" hidden="1"/>
    <cellStyle name="Hyperlink" xfId="13344" builtinId="8" hidden="1"/>
    <cellStyle name="Hyperlink" xfId="13463" builtinId="8" hidden="1"/>
    <cellStyle name="Hyperlink" xfId="13465" builtinId="8" hidden="1"/>
    <cellStyle name="Hyperlink" xfId="13467" builtinId="8" hidden="1"/>
    <cellStyle name="Hyperlink" xfId="13469" builtinId="8" hidden="1"/>
    <cellStyle name="Hyperlink" xfId="13349" builtinId="8" hidden="1"/>
    <cellStyle name="Hyperlink" xfId="13385" builtinId="8" hidden="1"/>
    <cellStyle name="Hyperlink" xfId="13471" builtinId="8" hidden="1"/>
    <cellStyle name="Hyperlink" xfId="13473" builtinId="8" hidden="1"/>
    <cellStyle name="Hyperlink" xfId="13475" builtinId="8" hidden="1"/>
    <cellStyle name="Hyperlink" xfId="13477" builtinId="8" hidden="1"/>
    <cellStyle name="Hyperlink" xfId="13354" builtinId="8" hidden="1"/>
    <cellStyle name="Hyperlink" xfId="13374" builtinId="8" hidden="1"/>
    <cellStyle name="Hyperlink" xfId="13479" builtinId="8" hidden="1"/>
    <cellStyle name="Hyperlink" xfId="13481" builtinId="8" hidden="1"/>
    <cellStyle name="Hyperlink" xfId="13483" builtinId="8" hidden="1"/>
    <cellStyle name="Hyperlink" xfId="13485" builtinId="8" hidden="1"/>
    <cellStyle name="Hyperlink" xfId="13361" builtinId="8" hidden="1"/>
    <cellStyle name="Hyperlink" xfId="13359" builtinId="8" hidden="1"/>
    <cellStyle name="Hyperlink" xfId="13487" builtinId="8" hidden="1"/>
    <cellStyle name="Hyperlink" xfId="13489" builtinId="8" hidden="1"/>
    <cellStyle name="Hyperlink" xfId="13491" builtinId="8" hidden="1"/>
    <cellStyle name="Hyperlink" xfId="13493" builtinId="8" hidden="1"/>
    <cellStyle name="Hyperlink" xfId="12119" builtinId="8" hidden="1"/>
    <cellStyle name="Hyperlink" xfId="12103" builtinId="8" hidden="1"/>
    <cellStyle name="Hyperlink" xfId="12826" builtinId="8" hidden="1"/>
    <cellStyle name="Hyperlink" xfId="12082" builtinId="8" hidden="1"/>
    <cellStyle name="Hyperlink" xfId="11999" builtinId="8" hidden="1"/>
    <cellStyle name="Hyperlink" xfId="12061" builtinId="8" hidden="1"/>
    <cellStyle name="Hyperlink" xfId="12483" builtinId="8" hidden="1"/>
    <cellStyle name="Hyperlink" xfId="12080" builtinId="8" hidden="1"/>
    <cellStyle name="Hyperlink" xfId="13496" builtinId="8" hidden="1"/>
    <cellStyle name="Hyperlink" xfId="13498" builtinId="8" hidden="1"/>
    <cellStyle name="Hyperlink" xfId="13500" builtinId="8" hidden="1"/>
    <cellStyle name="Hyperlink" xfId="13502" builtinId="8" hidden="1"/>
    <cellStyle name="Hyperlink" xfId="13504" builtinId="8" hidden="1"/>
    <cellStyle name="Hyperlink" xfId="13506" builtinId="8" hidden="1"/>
    <cellStyle name="Hyperlink" xfId="13556" builtinId="8" hidden="1"/>
    <cellStyle name="Hyperlink" xfId="13558" builtinId="8" hidden="1"/>
    <cellStyle name="Hyperlink" xfId="13560" builtinId="8" hidden="1"/>
    <cellStyle name="Hyperlink" xfId="13562" builtinId="8" hidden="1"/>
    <cellStyle name="Hyperlink" xfId="13552" builtinId="8" hidden="1"/>
    <cellStyle name="Hyperlink" xfId="13542" builtinId="8" hidden="1"/>
    <cellStyle name="Hyperlink" xfId="13564" builtinId="8" hidden="1"/>
    <cellStyle name="Hyperlink" xfId="13566" builtinId="8" hidden="1"/>
    <cellStyle name="Hyperlink" xfId="13568" builtinId="8" hidden="1"/>
    <cellStyle name="Hyperlink" xfId="13570" builtinId="8" hidden="1"/>
    <cellStyle name="Hyperlink" xfId="13536" builtinId="8" hidden="1"/>
    <cellStyle name="Hyperlink" xfId="13522" builtinId="8" hidden="1"/>
    <cellStyle name="Hyperlink" xfId="13572" builtinId="8" hidden="1"/>
    <cellStyle name="Hyperlink" xfId="13574" builtinId="8" hidden="1"/>
    <cellStyle name="Hyperlink" xfId="13576" builtinId="8" hidden="1"/>
    <cellStyle name="Hyperlink" xfId="13578" builtinId="8" hidden="1"/>
    <cellStyle name="Hyperlink" xfId="13541" builtinId="8" hidden="1"/>
    <cellStyle name="Hyperlink" xfId="13510" builtinId="8" hidden="1"/>
    <cellStyle name="Hyperlink" xfId="13580" builtinId="8" hidden="1"/>
    <cellStyle name="Hyperlink" xfId="13582" builtinId="8" hidden="1"/>
    <cellStyle name="Hyperlink" xfId="13584" builtinId="8" hidden="1"/>
    <cellStyle name="Hyperlink" xfId="13586" builtinId="8" hidden="1"/>
    <cellStyle name="Hyperlink" xfId="13511" builtinId="8" hidden="1"/>
    <cellStyle name="Hyperlink" xfId="13544" builtinId="8" hidden="1"/>
    <cellStyle name="Hyperlink" xfId="13588" builtinId="8" hidden="1"/>
    <cellStyle name="Hyperlink" xfId="13590" builtinId="8" hidden="1"/>
    <cellStyle name="Hyperlink" xfId="13592" builtinId="8" hidden="1"/>
    <cellStyle name="Hyperlink" xfId="13594" builtinId="8" hidden="1"/>
    <cellStyle name="Hyperlink" xfId="13513" builtinId="8" hidden="1"/>
    <cellStyle name="Hyperlink" xfId="13554" builtinId="8" hidden="1"/>
    <cellStyle name="Hyperlink" xfId="13596" builtinId="8" hidden="1"/>
    <cellStyle name="Hyperlink" xfId="13598" builtinId="8" hidden="1"/>
    <cellStyle name="Hyperlink" xfId="13600" builtinId="8" hidden="1"/>
    <cellStyle name="Hyperlink" xfId="13602" builtinId="8" hidden="1"/>
    <cellStyle name="Hyperlink" xfId="13534" builtinId="8" hidden="1"/>
    <cellStyle name="Hyperlink" xfId="13537" builtinId="8" hidden="1"/>
    <cellStyle name="Hyperlink" xfId="13604" builtinId="8" hidden="1"/>
    <cellStyle name="Hyperlink" xfId="13606" builtinId="8" hidden="1"/>
    <cellStyle name="Hyperlink" xfId="13608" builtinId="8" hidden="1"/>
    <cellStyle name="Hyperlink" xfId="13610" builtinId="8" hidden="1"/>
    <cellStyle name="Hyperlink" xfId="13538" builtinId="8" hidden="1"/>
    <cellStyle name="Hyperlink" xfId="13535" builtinId="8" hidden="1"/>
    <cellStyle name="Hyperlink" xfId="13612" builtinId="8" hidden="1"/>
    <cellStyle name="Hyperlink" xfId="13614" builtinId="8" hidden="1"/>
    <cellStyle name="Hyperlink" xfId="13616" builtinId="8" hidden="1"/>
    <cellStyle name="Hyperlink" xfId="13618" builtinId="8" hidden="1"/>
    <cellStyle name="Hyperlink" xfId="13553" builtinId="8" hidden="1"/>
    <cellStyle name="Hyperlink" xfId="13530" builtinId="8" hidden="1"/>
    <cellStyle name="Hyperlink" xfId="13620" builtinId="8" hidden="1"/>
    <cellStyle name="Hyperlink" xfId="13622" builtinId="8" hidden="1"/>
    <cellStyle name="Hyperlink" xfId="13624" builtinId="8" hidden="1"/>
    <cellStyle name="Hyperlink" xfId="13626" builtinId="8" hidden="1"/>
    <cellStyle name="Hyperlink" xfId="13508" builtinId="8" hidden="1"/>
    <cellStyle name="Hyperlink" xfId="13509" builtinId="8" hidden="1"/>
    <cellStyle name="Hyperlink" xfId="13628" builtinId="8" hidden="1"/>
    <cellStyle name="Hyperlink" xfId="13630" builtinId="8" hidden="1"/>
    <cellStyle name="Hyperlink" xfId="13632" builtinId="8" hidden="1"/>
    <cellStyle name="Hyperlink" xfId="13634" builtinId="8" hidden="1"/>
    <cellStyle name="Hyperlink" xfId="13514" builtinId="8" hidden="1"/>
    <cellStyle name="Hyperlink" xfId="13550" builtinId="8" hidden="1"/>
    <cellStyle name="Hyperlink" xfId="13636" builtinId="8" hidden="1"/>
    <cellStyle name="Hyperlink" xfId="13638" builtinId="8" hidden="1"/>
    <cellStyle name="Hyperlink" xfId="13640" builtinId="8" hidden="1"/>
    <cellStyle name="Hyperlink" xfId="13642" builtinId="8" hidden="1"/>
    <cellStyle name="Hyperlink" xfId="13519" builtinId="8" hidden="1"/>
    <cellStyle name="Hyperlink" xfId="13539" builtinId="8" hidden="1"/>
    <cellStyle name="Hyperlink" xfId="13644" builtinId="8" hidden="1"/>
    <cellStyle name="Hyperlink" xfId="13646" builtinId="8" hidden="1"/>
    <cellStyle name="Hyperlink" xfId="13648" builtinId="8" hidden="1"/>
    <cellStyle name="Hyperlink" xfId="13650" builtinId="8" hidden="1"/>
    <cellStyle name="Hyperlink" xfId="13526" builtinId="8" hidden="1"/>
    <cellStyle name="Hyperlink" xfId="13524" builtinId="8" hidden="1"/>
    <cellStyle name="Hyperlink" xfId="13652" builtinId="8" hidden="1"/>
    <cellStyle name="Hyperlink" xfId="13654" builtinId="8" hidden="1"/>
    <cellStyle name="Hyperlink" xfId="13656" builtinId="8" hidden="1"/>
    <cellStyle name="Hyperlink" xfId="13658" builtinId="8" hidden="1"/>
    <cellStyle name="Hyperlink" xfId="12139" builtinId="8" hidden="1"/>
    <cellStyle name="Hyperlink" xfId="12023" builtinId="8" hidden="1"/>
    <cellStyle name="Hyperlink" xfId="12995" builtinId="8" hidden="1"/>
    <cellStyle name="Hyperlink" xfId="12004" builtinId="8" hidden="1"/>
    <cellStyle name="Hyperlink" xfId="12062" builtinId="8" hidden="1"/>
    <cellStyle name="Hyperlink" xfId="12097" builtinId="8" hidden="1"/>
    <cellStyle name="Hyperlink" xfId="12653" builtinId="8" hidden="1"/>
    <cellStyle name="Hyperlink" xfId="12019" builtinId="8" hidden="1"/>
    <cellStyle name="Hyperlink" xfId="13661" builtinId="8" hidden="1"/>
    <cellStyle name="Hyperlink" xfId="13663" builtinId="8" hidden="1"/>
    <cellStyle name="Hyperlink" xfId="13665" builtinId="8" hidden="1"/>
    <cellStyle name="Hyperlink" xfId="13667" builtinId="8" hidden="1"/>
    <cellStyle name="Hyperlink" xfId="13669" builtinId="8" hidden="1"/>
    <cellStyle name="Hyperlink" xfId="13671" builtinId="8" hidden="1"/>
    <cellStyle name="Hyperlink" xfId="13721" builtinId="8" hidden="1"/>
    <cellStyle name="Hyperlink" xfId="13723" builtinId="8" hidden="1"/>
    <cellStyle name="Hyperlink" xfId="13725" builtinId="8" hidden="1"/>
    <cellStyle name="Hyperlink" xfId="13727" builtinId="8" hidden="1"/>
    <cellStyle name="Hyperlink" xfId="13717" builtinId="8" hidden="1"/>
    <cellStyle name="Hyperlink" xfId="13707" builtinId="8" hidden="1"/>
    <cellStyle name="Hyperlink" xfId="13729" builtinId="8" hidden="1"/>
    <cellStyle name="Hyperlink" xfId="13731" builtinId="8" hidden="1"/>
    <cellStyle name="Hyperlink" xfId="13733" builtinId="8" hidden="1"/>
    <cellStyle name="Hyperlink" xfId="13735" builtinId="8" hidden="1"/>
    <cellStyle name="Hyperlink" xfId="13701" builtinId="8" hidden="1"/>
    <cellStyle name="Hyperlink" xfId="13687" builtinId="8" hidden="1"/>
    <cellStyle name="Hyperlink" xfId="13737" builtinId="8" hidden="1"/>
    <cellStyle name="Hyperlink" xfId="13739" builtinId="8" hidden="1"/>
    <cellStyle name="Hyperlink" xfId="13741" builtinId="8" hidden="1"/>
    <cellStyle name="Hyperlink" xfId="13743" builtinId="8" hidden="1"/>
    <cellStyle name="Hyperlink" xfId="13706" builtinId="8" hidden="1"/>
    <cellStyle name="Hyperlink" xfId="13675" builtinId="8" hidden="1"/>
    <cellStyle name="Hyperlink" xfId="13745" builtinId="8" hidden="1"/>
    <cellStyle name="Hyperlink" xfId="13747" builtinId="8" hidden="1"/>
    <cellStyle name="Hyperlink" xfId="13749" builtinId="8" hidden="1"/>
    <cellStyle name="Hyperlink" xfId="13751" builtinId="8" hidden="1"/>
    <cellStyle name="Hyperlink" xfId="13676" builtinId="8" hidden="1"/>
    <cellStyle name="Hyperlink" xfId="13709" builtinId="8" hidden="1"/>
    <cellStyle name="Hyperlink" xfId="13753" builtinId="8" hidden="1"/>
    <cellStyle name="Hyperlink" xfId="13755" builtinId="8" hidden="1"/>
    <cellStyle name="Hyperlink" xfId="13757" builtinId="8" hidden="1"/>
    <cellStyle name="Hyperlink" xfId="13759" builtinId="8" hidden="1"/>
    <cellStyle name="Hyperlink" xfId="13678" builtinId="8" hidden="1"/>
    <cellStyle name="Hyperlink" xfId="13719" builtinId="8" hidden="1"/>
    <cellStyle name="Hyperlink" xfId="13761" builtinId="8" hidden="1"/>
    <cellStyle name="Hyperlink" xfId="13763" builtinId="8" hidden="1"/>
    <cellStyle name="Hyperlink" xfId="13765" builtinId="8" hidden="1"/>
    <cellStyle name="Hyperlink" xfId="13767" builtinId="8" hidden="1"/>
    <cellStyle name="Hyperlink" xfId="13699" builtinId="8" hidden="1"/>
    <cellStyle name="Hyperlink" xfId="13702" builtinId="8" hidden="1"/>
    <cellStyle name="Hyperlink" xfId="13769" builtinId="8" hidden="1"/>
    <cellStyle name="Hyperlink" xfId="13771" builtinId="8" hidden="1"/>
    <cellStyle name="Hyperlink" xfId="13773" builtinId="8" hidden="1"/>
    <cellStyle name="Hyperlink" xfId="13775" builtinId="8" hidden="1"/>
    <cellStyle name="Hyperlink" xfId="13703" builtinId="8" hidden="1"/>
    <cellStyle name="Hyperlink" xfId="13700" builtinId="8" hidden="1"/>
    <cellStyle name="Hyperlink" xfId="13777" builtinId="8" hidden="1"/>
    <cellStyle name="Hyperlink" xfId="13779" builtinId="8" hidden="1"/>
    <cellStyle name="Hyperlink" xfId="13781" builtinId="8" hidden="1"/>
    <cellStyle name="Hyperlink" xfId="13783" builtinId="8" hidden="1"/>
    <cellStyle name="Hyperlink" xfId="13718" builtinId="8" hidden="1"/>
    <cellStyle name="Hyperlink" xfId="13695" builtinId="8" hidden="1"/>
    <cellStyle name="Hyperlink" xfId="13785" builtinId="8" hidden="1"/>
    <cellStyle name="Hyperlink" xfId="13787" builtinId="8" hidden="1"/>
    <cellStyle name="Hyperlink" xfId="13789" builtinId="8" hidden="1"/>
    <cellStyle name="Hyperlink" xfId="13791" builtinId="8" hidden="1"/>
    <cellStyle name="Hyperlink" xfId="13673" builtinId="8" hidden="1"/>
    <cellStyle name="Hyperlink" xfId="13674" builtinId="8" hidden="1"/>
    <cellStyle name="Hyperlink" xfId="13793" builtinId="8" hidden="1"/>
    <cellStyle name="Hyperlink" xfId="13795" builtinId="8" hidden="1"/>
    <cellStyle name="Hyperlink" xfId="13797" builtinId="8" hidden="1"/>
    <cellStyle name="Hyperlink" xfId="13799" builtinId="8" hidden="1"/>
    <cellStyle name="Hyperlink" xfId="13679" builtinId="8" hidden="1"/>
    <cellStyle name="Hyperlink" xfId="13715" builtinId="8" hidden="1"/>
    <cellStyle name="Hyperlink" xfId="13801" builtinId="8" hidden="1"/>
    <cellStyle name="Hyperlink" xfId="13803" builtinId="8" hidden="1"/>
    <cellStyle name="Hyperlink" xfId="13805" builtinId="8" hidden="1"/>
    <cellStyle name="Hyperlink" xfId="13807" builtinId="8" hidden="1"/>
    <cellStyle name="Hyperlink" xfId="13684" builtinId="8" hidden="1"/>
    <cellStyle name="Hyperlink" xfId="13704" builtinId="8" hidden="1"/>
    <cellStyle name="Hyperlink" xfId="13809" builtinId="8" hidden="1"/>
    <cellStyle name="Hyperlink" xfId="13811" builtinId="8" hidden="1"/>
    <cellStyle name="Hyperlink" xfId="13813" builtinId="8" hidden="1"/>
    <cellStyle name="Hyperlink" xfId="13815" builtinId="8" hidden="1"/>
    <cellStyle name="Hyperlink" xfId="13691" builtinId="8" hidden="1"/>
    <cellStyle name="Hyperlink" xfId="13689" builtinId="8" hidden="1"/>
    <cellStyle name="Hyperlink" xfId="13817" builtinId="8" hidden="1"/>
    <cellStyle name="Hyperlink" xfId="13819" builtinId="8" hidden="1"/>
    <cellStyle name="Hyperlink" xfId="13821" builtinId="8" hidden="1"/>
    <cellStyle name="Hyperlink" xfId="13823" builtinId="8" hidden="1"/>
    <cellStyle name="Hyperlink" xfId="12323" builtinId="8" hidden="1"/>
    <cellStyle name="Hyperlink" xfId="12482" builtinId="8" hidden="1"/>
    <cellStyle name="Hyperlink" xfId="13162" builtinId="8" hidden="1"/>
    <cellStyle name="Hyperlink" xfId="12484" builtinId="8" hidden="1"/>
    <cellStyle name="Hyperlink" xfId="12141" builtinId="8" hidden="1"/>
    <cellStyle name="Hyperlink" xfId="12091" builtinId="8" hidden="1"/>
    <cellStyle name="Hyperlink" xfId="12823" builtinId="8" hidden="1"/>
    <cellStyle name="Hyperlink" xfId="12109" builtinId="8" hidden="1"/>
    <cellStyle name="Hyperlink" xfId="13826" builtinId="8" hidden="1"/>
    <cellStyle name="Hyperlink" xfId="13828" builtinId="8" hidden="1"/>
    <cellStyle name="Hyperlink" xfId="13830" builtinId="8" hidden="1"/>
    <cellStyle name="Hyperlink" xfId="13832" builtinId="8" hidden="1"/>
    <cellStyle name="Hyperlink" xfId="13834" builtinId="8" hidden="1"/>
    <cellStyle name="Hyperlink" xfId="13836" builtinId="8" hidden="1"/>
    <cellStyle name="Hyperlink" xfId="13886" builtinId="8" hidden="1"/>
    <cellStyle name="Hyperlink" xfId="13888" builtinId="8" hidden="1"/>
    <cellStyle name="Hyperlink" xfId="13890" builtinId="8" hidden="1"/>
    <cellStyle name="Hyperlink" xfId="13892" builtinId="8" hidden="1"/>
    <cellStyle name="Hyperlink" xfId="13882" builtinId="8" hidden="1"/>
    <cellStyle name="Hyperlink" xfId="13872" builtinId="8" hidden="1"/>
    <cellStyle name="Hyperlink" xfId="13894" builtinId="8" hidden="1"/>
    <cellStyle name="Hyperlink" xfId="13896" builtinId="8" hidden="1"/>
    <cellStyle name="Hyperlink" xfId="13898" builtinId="8" hidden="1"/>
    <cellStyle name="Hyperlink" xfId="13900" builtinId="8" hidden="1"/>
    <cellStyle name="Hyperlink" xfId="13866" builtinId="8" hidden="1"/>
    <cellStyle name="Hyperlink" xfId="13852" builtinId="8" hidden="1"/>
    <cellStyle name="Hyperlink" xfId="13902" builtinId="8" hidden="1"/>
    <cellStyle name="Hyperlink" xfId="13904" builtinId="8" hidden="1"/>
    <cellStyle name="Hyperlink" xfId="13906" builtinId="8" hidden="1"/>
    <cellStyle name="Hyperlink" xfId="13908" builtinId="8" hidden="1"/>
    <cellStyle name="Hyperlink" xfId="13871" builtinId="8" hidden="1"/>
    <cellStyle name="Hyperlink" xfId="13840" builtinId="8" hidden="1"/>
    <cellStyle name="Hyperlink" xfId="13910" builtinId="8" hidden="1"/>
    <cellStyle name="Hyperlink" xfId="13912" builtinId="8" hidden="1"/>
    <cellStyle name="Hyperlink" xfId="13914" builtinId="8" hidden="1"/>
    <cellStyle name="Hyperlink" xfId="13916" builtinId="8" hidden="1"/>
    <cellStyle name="Hyperlink" xfId="13841" builtinId="8" hidden="1"/>
    <cellStyle name="Hyperlink" xfId="13874" builtinId="8" hidden="1"/>
    <cellStyle name="Hyperlink" xfId="13918" builtinId="8" hidden="1"/>
    <cellStyle name="Hyperlink" xfId="13920" builtinId="8" hidden="1"/>
    <cellStyle name="Hyperlink" xfId="13922" builtinId="8" hidden="1"/>
    <cellStyle name="Hyperlink" xfId="13924" builtinId="8" hidden="1"/>
    <cellStyle name="Hyperlink" xfId="13843" builtinId="8" hidden="1"/>
    <cellStyle name="Hyperlink" xfId="13884" builtinId="8" hidden="1"/>
    <cellStyle name="Hyperlink" xfId="13926" builtinId="8" hidden="1"/>
    <cellStyle name="Hyperlink" xfId="13928" builtinId="8" hidden="1"/>
    <cellStyle name="Hyperlink" xfId="13930" builtinId="8" hidden="1"/>
    <cellStyle name="Hyperlink" xfId="13932" builtinId="8" hidden="1"/>
    <cellStyle name="Hyperlink" xfId="13864" builtinId="8" hidden="1"/>
    <cellStyle name="Hyperlink" xfId="13867" builtinId="8" hidden="1"/>
    <cellStyle name="Hyperlink" xfId="13934" builtinId="8" hidden="1"/>
    <cellStyle name="Hyperlink" xfId="13936" builtinId="8" hidden="1"/>
    <cellStyle name="Hyperlink" xfId="13938" builtinId="8" hidden="1"/>
    <cellStyle name="Hyperlink" xfId="13940" builtinId="8" hidden="1"/>
    <cellStyle name="Hyperlink" xfId="13868" builtinId="8" hidden="1"/>
    <cellStyle name="Hyperlink" xfId="13865" builtinId="8" hidden="1"/>
    <cellStyle name="Hyperlink" xfId="13942" builtinId="8" hidden="1"/>
    <cellStyle name="Hyperlink" xfId="13944" builtinId="8" hidden="1"/>
    <cellStyle name="Hyperlink" xfId="13946" builtinId="8" hidden="1"/>
    <cellStyle name="Hyperlink" xfId="13948" builtinId="8" hidden="1"/>
    <cellStyle name="Hyperlink" xfId="13883" builtinId="8" hidden="1"/>
    <cellStyle name="Hyperlink" xfId="13860" builtinId="8" hidden="1"/>
    <cellStyle name="Hyperlink" xfId="13950" builtinId="8" hidden="1"/>
    <cellStyle name="Hyperlink" xfId="13952" builtinId="8" hidden="1"/>
    <cellStyle name="Hyperlink" xfId="13954" builtinId="8" hidden="1"/>
    <cellStyle name="Hyperlink" xfId="13956" builtinId="8" hidden="1"/>
    <cellStyle name="Hyperlink" xfId="13838" builtinId="8" hidden="1"/>
    <cellStyle name="Hyperlink" xfId="13839" builtinId="8" hidden="1"/>
    <cellStyle name="Hyperlink" xfId="13958" builtinId="8" hidden="1"/>
    <cellStyle name="Hyperlink" xfId="13960" builtinId="8" hidden="1"/>
    <cellStyle name="Hyperlink" xfId="13962" builtinId="8" hidden="1"/>
    <cellStyle name="Hyperlink" xfId="13964" builtinId="8" hidden="1"/>
    <cellStyle name="Hyperlink" xfId="13844" builtinId="8" hidden="1"/>
    <cellStyle name="Hyperlink" xfId="13880" builtinId="8" hidden="1"/>
    <cellStyle name="Hyperlink" xfId="13966" builtinId="8" hidden="1"/>
    <cellStyle name="Hyperlink" xfId="13968" builtinId="8" hidden="1"/>
    <cellStyle name="Hyperlink" xfId="13970" builtinId="8" hidden="1"/>
    <cellStyle name="Hyperlink" xfId="13972" builtinId="8" hidden="1"/>
    <cellStyle name="Hyperlink" xfId="13849" builtinId="8" hidden="1"/>
    <cellStyle name="Hyperlink" xfId="13869" builtinId="8" hidden="1"/>
    <cellStyle name="Hyperlink" xfId="13974" builtinId="8" hidden="1"/>
    <cellStyle name="Hyperlink" xfId="13976" builtinId="8" hidden="1"/>
    <cellStyle name="Hyperlink" xfId="13978" builtinId="8" hidden="1"/>
    <cellStyle name="Hyperlink" xfId="13980" builtinId="8" hidden="1"/>
    <cellStyle name="Hyperlink" xfId="13856" builtinId="8" hidden="1"/>
    <cellStyle name="Hyperlink" xfId="13854" builtinId="8" hidden="1"/>
    <cellStyle name="Hyperlink" xfId="13982" builtinId="8" hidden="1"/>
    <cellStyle name="Hyperlink" xfId="13984" builtinId="8" hidden="1"/>
    <cellStyle name="Hyperlink" xfId="13986" builtinId="8" hidden="1"/>
    <cellStyle name="Hyperlink" xfId="13988" builtinId="8" hidden="1"/>
    <cellStyle name="Hyperlink" xfId="12025" builtinId="8" hidden="1"/>
    <cellStyle name="Hyperlink" xfId="12114" builtinId="8" hidden="1"/>
    <cellStyle name="Hyperlink" xfId="13329" builtinId="8" hidden="1"/>
    <cellStyle name="Hyperlink" xfId="12654" builtinId="8" hidden="1"/>
    <cellStyle name="Hyperlink" xfId="12143" builtinId="8" hidden="1"/>
    <cellStyle name="Hyperlink" xfId="12054" builtinId="8" hidden="1"/>
    <cellStyle name="Hyperlink" xfId="12992" builtinId="8" hidden="1"/>
    <cellStyle name="Hyperlink" xfId="12145" builtinId="8" hidden="1"/>
    <cellStyle name="Hyperlink" xfId="13990" builtinId="8" hidden="1"/>
    <cellStyle name="Hyperlink" xfId="13992" builtinId="8" hidden="1"/>
    <cellStyle name="Hyperlink" xfId="13994" builtinId="8" hidden="1"/>
    <cellStyle name="Hyperlink" xfId="13996" builtinId="8" hidden="1"/>
    <cellStyle name="Hyperlink" xfId="13998" builtinId="8" hidden="1"/>
    <cellStyle name="Hyperlink" xfId="14000" builtinId="8" hidden="1"/>
    <cellStyle name="Hyperlink" xfId="14050" builtinId="8" hidden="1"/>
    <cellStyle name="Hyperlink" xfId="14052" builtinId="8" hidden="1"/>
    <cellStyle name="Hyperlink" xfId="14054" builtinId="8" hidden="1"/>
    <cellStyle name="Hyperlink" xfId="14056" builtinId="8" hidden="1"/>
    <cellStyle name="Hyperlink" xfId="14046" builtinId="8" hidden="1"/>
    <cellStyle name="Hyperlink" xfId="14036" builtinId="8" hidden="1"/>
    <cellStyle name="Hyperlink" xfId="14058" builtinId="8" hidden="1"/>
    <cellStyle name="Hyperlink" xfId="14060" builtinId="8" hidden="1"/>
    <cellStyle name="Hyperlink" xfId="14062" builtinId="8" hidden="1"/>
    <cellStyle name="Hyperlink" xfId="14064" builtinId="8" hidden="1"/>
    <cellStyle name="Hyperlink" xfId="14030" builtinId="8" hidden="1"/>
    <cellStyle name="Hyperlink" xfId="14016" builtinId="8" hidden="1"/>
    <cellStyle name="Hyperlink" xfId="14066" builtinId="8" hidden="1"/>
    <cellStyle name="Hyperlink" xfId="14068" builtinId="8" hidden="1"/>
    <cellStyle name="Hyperlink" xfId="14070" builtinId="8" hidden="1"/>
    <cellStyle name="Hyperlink" xfId="14072" builtinId="8" hidden="1"/>
    <cellStyle name="Hyperlink" xfId="14035" builtinId="8" hidden="1"/>
    <cellStyle name="Hyperlink" xfId="14004" builtinId="8" hidden="1"/>
    <cellStyle name="Hyperlink" xfId="14074" builtinId="8" hidden="1"/>
    <cellStyle name="Hyperlink" xfId="14076" builtinId="8" hidden="1"/>
    <cellStyle name="Hyperlink" xfId="14078" builtinId="8" hidden="1"/>
    <cellStyle name="Hyperlink" xfId="14080" builtinId="8" hidden="1"/>
    <cellStyle name="Hyperlink" xfId="14005" builtinId="8" hidden="1"/>
    <cellStyle name="Hyperlink" xfId="14038" builtinId="8" hidden="1"/>
    <cellStyle name="Hyperlink" xfId="14082" builtinId="8" hidden="1"/>
    <cellStyle name="Hyperlink" xfId="14084" builtinId="8" hidden="1"/>
    <cellStyle name="Hyperlink" xfId="14086" builtinId="8" hidden="1"/>
    <cellStyle name="Hyperlink" xfId="14088" builtinId="8" hidden="1"/>
    <cellStyle name="Hyperlink" xfId="14007" builtinId="8" hidden="1"/>
    <cellStyle name="Hyperlink" xfId="14048" builtinId="8" hidden="1"/>
    <cellStyle name="Hyperlink" xfId="14090" builtinId="8" hidden="1"/>
    <cellStyle name="Hyperlink" xfId="14092" builtinId="8" hidden="1"/>
    <cellStyle name="Hyperlink" xfId="14094" builtinId="8" hidden="1"/>
    <cellStyle name="Hyperlink" xfId="14096" builtinId="8" hidden="1"/>
    <cellStyle name="Hyperlink" xfId="14028" builtinId="8" hidden="1"/>
    <cellStyle name="Hyperlink" xfId="14031" builtinId="8" hidden="1"/>
    <cellStyle name="Hyperlink" xfId="14098" builtinId="8" hidden="1"/>
    <cellStyle name="Hyperlink" xfId="14100" builtinId="8" hidden="1"/>
    <cellStyle name="Hyperlink" xfId="14102" builtinId="8" hidden="1"/>
    <cellStyle name="Hyperlink" xfId="14104" builtinId="8" hidden="1"/>
    <cellStyle name="Hyperlink" xfId="14032" builtinId="8" hidden="1"/>
    <cellStyle name="Hyperlink" xfId="14029" builtinId="8" hidden="1"/>
    <cellStyle name="Hyperlink" xfId="14106" builtinId="8" hidden="1"/>
    <cellStyle name="Hyperlink" xfId="14108" builtinId="8" hidden="1"/>
    <cellStyle name="Hyperlink" xfId="14110" builtinId="8" hidden="1"/>
    <cellStyle name="Hyperlink" xfId="14112" builtinId="8" hidden="1"/>
    <cellStyle name="Hyperlink" xfId="14047" builtinId="8" hidden="1"/>
    <cellStyle name="Hyperlink" xfId="14024" builtinId="8" hidden="1"/>
    <cellStyle name="Hyperlink" xfId="14114" builtinId="8" hidden="1"/>
    <cellStyle name="Hyperlink" xfId="14116" builtinId="8" hidden="1"/>
    <cellStyle name="Hyperlink" xfId="14118" builtinId="8" hidden="1"/>
    <cellStyle name="Hyperlink" xfId="14120" builtinId="8" hidden="1"/>
    <cellStyle name="Hyperlink" xfId="14002" builtinId="8" hidden="1"/>
    <cellStyle name="Hyperlink" xfId="14003" builtinId="8" hidden="1"/>
    <cellStyle name="Hyperlink" xfId="14122" builtinId="8" hidden="1"/>
    <cellStyle name="Hyperlink" xfId="14124" builtinId="8" hidden="1"/>
    <cellStyle name="Hyperlink" xfId="14126" builtinId="8" hidden="1"/>
    <cellStyle name="Hyperlink" xfId="14128" builtinId="8" hidden="1"/>
    <cellStyle name="Hyperlink" xfId="14008" builtinId="8" hidden="1"/>
    <cellStyle name="Hyperlink" xfId="14044" builtinId="8" hidden="1"/>
    <cellStyle name="Hyperlink" xfId="14130" builtinId="8" hidden="1"/>
    <cellStyle name="Hyperlink" xfId="14132" builtinId="8" hidden="1"/>
    <cellStyle name="Hyperlink" xfId="14134" builtinId="8" hidden="1"/>
    <cellStyle name="Hyperlink" xfId="14136" builtinId="8" hidden="1"/>
    <cellStyle name="Hyperlink" xfId="14013" builtinId="8" hidden="1"/>
    <cellStyle name="Hyperlink" xfId="14033" builtinId="8" hidden="1"/>
    <cellStyle name="Hyperlink" xfId="14138" builtinId="8" hidden="1"/>
    <cellStyle name="Hyperlink" xfId="14140" builtinId="8" hidden="1"/>
    <cellStyle name="Hyperlink" xfId="14142" builtinId="8" hidden="1"/>
    <cellStyle name="Hyperlink" xfId="14144" builtinId="8" hidden="1"/>
    <cellStyle name="Hyperlink" xfId="14020" builtinId="8" hidden="1"/>
    <cellStyle name="Hyperlink" xfId="14018" builtinId="8" hidden="1"/>
    <cellStyle name="Hyperlink" xfId="14146" builtinId="8" hidden="1"/>
    <cellStyle name="Hyperlink" xfId="14148" builtinId="8" hidden="1"/>
    <cellStyle name="Hyperlink" xfId="14150" builtinId="8" hidden="1"/>
    <cellStyle name="Hyperlink" xfId="14152" builtinId="8" hidden="1"/>
    <cellStyle name="Hyperlink" xfId="2501" builtinId="8" hidden="1"/>
    <cellStyle name="Hyperlink" xfId="2379" builtinId="8" hidden="1"/>
    <cellStyle name="Hyperlink" xfId="2464" builtinId="8" hidden="1"/>
    <cellStyle name="Hyperlink" xfId="2512" builtinId="8" hidden="1"/>
    <cellStyle name="Hyperlink" xfId="2377" builtinId="8" hidden="1"/>
    <cellStyle name="Hyperlink" xfId="2382" builtinId="8" hidden="1"/>
    <cellStyle name="Hyperlink" xfId="2374" builtinId="8" hidden="1"/>
    <cellStyle name="Hyperlink" xfId="2428" builtinId="8" hidden="1"/>
    <cellStyle name="Hyperlink" xfId="2389" builtinId="8" hidden="1"/>
    <cellStyle name="Hyperlink" xfId="2444" builtinId="8" hidden="1"/>
    <cellStyle name="Hyperlink" xfId="2484" builtinId="8" hidden="1"/>
    <cellStyle name="Hyperlink" xfId="2503" builtinId="8" hidden="1"/>
    <cellStyle name="Hyperlink" xfId="2447" builtinId="8" hidden="1"/>
    <cellStyle name="Hyperlink" xfId="9504" builtinId="8" hidden="1"/>
    <cellStyle name="Hyperlink" xfId="14154" builtinId="8" hidden="1"/>
    <cellStyle name="Hyperlink" xfId="14156" builtinId="8" hidden="1"/>
    <cellStyle name="Hyperlink" xfId="14158" builtinId="8" hidden="1"/>
    <cellStyle name="Hyperlink" xfId="14160" builtinId="8" hidden="1"/>
    <cellStyle name="Hyperlink" xfId="14162" builtinId="8" hidden="1"/>
    <cellStyle name="Hyperlink" xfId="14164" builtinId="8" hidden="1"/>
    <cellStyle name="Hyperlink" xfId="14214" builtinId="8" hidden="1"/>
    <cellStyle name="Hyperlink" xfId="14216" builtinId="8" hidden="1"/>
    <cellStyle name="Hyperlink" xfId="14218" builtinId="8" hidden="1"/>
    <cellStyle name="Hyperlink" xfId="14220" builtinId="8" hidden="1"/>
    <cellStyle name="Hyperlink" xfId="14210" builtinId="8" hidden="1"/>
    <cellStyle name="Hyperlink" xfId="14200" builtinId="8" hidden="1"/>
    <cellStyle name="Hyperlink" xfId="14222" builtinId="8" hidden="1"/>
    <cellStyle name="Hyperlink" xfId="14224" builtinId="8" hidden="1"/>
    <cellStyle name="Hyperlink" xfId="14226" builtinId="8" hidden="1"/>
    <cellStyle name="Hyperlink" xfId="14228" builtinId="8" hidden="1"/>
    <cellStyle name="Hyperlink" xfId="14194" builtinId="8" hidden="1"/>
    <cellStyle name="Hyperlink" xfId="14180" builtinId="8" hidden="1"/>
    <cellStyle name="Hyperlink" xfId="14230" builtinId="8" hidden="1"/>
    <cellStyle name="Hyperlink" xfId="14232" builtinId="8" hidden="1"/>
    <cellStyle name="Hyperlink" xfId="14234" builtinId="8" hidden="1"/>
    <cellStyle name="Hyperlink" xfId="14236" builtinId="8" hidden="1"/>
    <cellStyle name="Hyperlink" xfId="14199" builtinId="8" hidden="1"/>
    <cellStyle name="Hyperlink" xfId="14168" builtinId="8" hidden="1"/>
    <cellStyle name="Hyperlink" xfId="14238" builtinId="8" hidden="1"/>
    <cellStyle name="Hyperlink" xfId="14240" builtinId="8" hidden="1"/>
    <cellStyle name="Hyperlink" xfId="14242" builtinId="8" hidden="1"/>
    <cellStyle name="Hyperlink" xfId="14244" builtinId="8" hidden="1"/>
    <cellStyle name="Hyperlink" xfId="14169" builtinId="8" hidden="1"/>
    <cellStyle name="Hyperlink" xfId="14202" builtinId="8" hidden="1"/>
    <cellStyle name="Hyperlink" xfId="14246" builtinId="8" hidden="1"/>
    <cellStyle name="Hyperlink" xfId="14248" builtinId="8" hidden="1"/>
    <cellStyle name="Hyperlink" xfId="14250" builtinId="8" hidden="1"/>
    <cellStyle name="Hyperlink" xfId="14252" builtinId="8" hidden="1"/>
    <cellStyle name="Hyperlink" xfId="14171" builtinId="8" hidden="1"/>
    <cellStyle name="Hyperlink" xfId="14212" builtinId="8" hidden="1"/>
    <cellStyle name="Hyperlink" xfId="14254" builtinId="8" hidden="1"/>
    <cellStyle name="Hyperlink" xfId="14256" builtinId="8" hidden="1"/>
    <cellStyle name="Hyperlink" xfId="14258" builtinId="8" hidden="1"/>
    <cellStyle name="Hyperlink" xfId="14260" builtinId="8" hidden="1"/>
    <cellStyle name="Hyperlink" xfId="14192" builtinId="8" hidden="1"/>
    <cellStyle name="Hyperlink" xfId="14195" builtinId="8" hidden="1"/>
    <cellStyle name="Hyperlink" xfId="14262" builtinId="8" hidden="1"/>
    <cellStyle name="Hyperlink" xfId="14264" builtinId="8" hidden="1"/>
    <cellStyle name="Hyperlink" xfId="14266" builtinId="8" hidden="1"/>
    <cellStyle name="Hyperlink" xfId="14268" builtinId="8" hidden="1"/>
    <cellStyle name="Hyperlink" xfId="14196" builtinId="8" hidden="1"/>
    <cellStyle name="Hyperlink" xfId="14193" builtinId="8" hidden="1"/>
    <cellStyle name="Hyperlink" xfId="14270" builtinId="8" hidden="1"/>
    <cellStyle name="Hyperlink" xfId="14272" builtinId="8" hidden="1"/>
    <cellStyle name="Hyperlink" xfId="14274" builtinId="8" hidden="1"/>
    <cellStyle name="Hyperlink" xfId="14276" builtinId="8" hidden="1"/>
    <cellStyle name="Hyperlink" xfId="14211" builtinId="8" hidden="1"/>
    <cellStyle name="Hyperlink" xfId="14188" builtinId="8" hidden="1"/>
    <cellStyle name="Hyperlink" xfId="14278" builtinId="8" hidden="1"/>
    <cellStyle name="Hyperlink" xfId="14280" builtinId="8" hidden="1"/>
    <cellStyle name="Hyperlink" xfId="14282" builtinId="8" hidden="1"/>
    <cellStyle name="Hyperlink" xfId="14284" builtinId="8" hidden="1"/>
    <cellStyle name="Hyperlink" xfId="14166" builtinId="8" hidden="1"/>
    <cellStyle name="Hyperlink" xfId="14167" builtinId="8" hidden="1"/>
    <cellStyle name="Hyperlink" xfId="14286" builtinId="8" hidden="1"/>
    <cellStyle name="Hyperlink" xfId="14288" builtinId="8" hidden="1"/>
    <cellStyle name="Hyperlink" xfId="14290" builtinId="8" hidden="1"/>
    <cellStyle name="Hyperlink" xfId="14292" builtinId="8" hidden="1"/>
    <cellStyle name="Hyperlink" xfId="14172" builtinId="8" hidden="1"/>
    <cellStyle name="Hyperlink" xfId="14208" builtinId="8" hidden="1"/>
    <cellStyle name="Hyperlink" xfId="14294" builtinId="8" hidden="1"/>
    <cellStyle name="Hyperlink" xfId="14296" builtinId="8" hidden="1"/>
    <cellStyle name="Hyperlink" xfId="14298" builtinId="8" hidden="1"/>
    <cellStyle name="Hyperlink" xfId="14300" builtinId="8" hidden="1"/>
    <cellStyle name="Hyperlink" xfId="14177" builtinId="8" hidden="1"/>
    <cellStyle name="Hyperlink" xfId="14197" builtinId="8" hidden="1"/>
    <cellStyle name="Hyperlink" xfId="14302" builtinId="8" hidden="1"/>
    <cellStyle name="Hyperlink" xfId="14304" builtinId="8" hidden="1"/>
    <cellStyle name="Hyperlink" xfId="14306" builtinId="8" hidden="1"/>
    <cellStyle name="Hyperlink" xfId="14308" builtinId="8" hidden="1"/>
    <cellStyle name="Hyperlink" xfId="14184" builtinId="8" hidden="1"/>
    <cellStyle name="Hyperlink" xfId="14182" builtinId="8" hidden="1"/>
    <cellStyle name="Hyperlink" xfId="14310" builtinId="8" hidden="1"/>
    <cellStyle name="Hyperlink" xfId="14312" builtinId="8" hidden="1"/>
    <cellStyle name="Hyperlink" xfId="14314" builtinId="8" hidden="1"/>
    <cellStyle name="Hyperlink" xfId="14316" builtinId="8" hidden="1"/>
    <cellStyle name="Hyperlink" xfId="14318" builtinId="8" hidden="1"/>
    <cellStyle name="Hyperlink" xfId="14320" builtinId="8" hidden="1"/>
    <cellStyle name="Hyperlink" xfId="14386" builtinId="8" hidden="1"/>
    <cellStyle name="Hyperlink" xfId="14388" builtinId="8" hidden="1"/>
    <cellStyle name="Hyperlink" xfId="14390" builtinId="8" hidden="1"/>
    <cellStyle name="Hyperlink" xfId="14392" builtinId="8" hidden="1"/>
    <cellStyle name="Hyperlink" xfId="14395" builtinId="8" hidden="1"/>
    <cellStyle name="Hyperlink" xfId="14397" builtinId="8" hidden="1"/>
    <cellStyle name="Hyperlink" xfId="14471" builtinId="8" hidden="1"/>
    <cellStyle name="Hyperlink" xfId="14473" builtinId="8" hidden="1"/>
    <cellStyle name="Hyperlink" xfId="14475" builtinId="8" hidden="1"/>
    <cellStyle name="Hyperlink" xfId="14477" builtinId="8" hidden="1"/>
    <cellStyle name="Hyperlink" xfId="14479" builtinId="8" hidden="1"/>
    <cellStyle name="Hyperlink" xfId="14481" builtinId="8" hidden="1"/>
    <cellStyle name="Hyperlink" xfId="14531" builtinId="8" hidden="1"/>
    <cellStyle name="Hyperlink" xfId="14533" builtinId="8" hidden="1"/>
    <cellStyle name="Hyperlink" xfId="14535" builtinId="8" hidden="1"/>
    <cellStyle name="Hyperlink" xfId="14537" builtinId="8" hidden="1"/>
    <cellStyle name="Hyperlink" xfId="14527" builtinId="8" hidden="1"/>
    <cellStyle name="Hyperlink" xfId="14517" builtinId="8" hidden="1"/>
    <cellStyle name="Hyperlink" xfId="14539" builtinId="8" hidden="1"/>
    <cellStyle name="Hyperlink" xfId="14541" builtinId="8" hidden="1"/>
    <cellStyle name="Hyperlink" xfId="14543" builtinId="8" hidden="1"/>
    <cellStyle name="Hyperlink" xfId="14545" builtinId="8" hidden="1"/>
    <cellStyle name="Hyperlink" xfId="14511" builtinId="8" hidden="1"/>
    <cellStyle name="Hyperlink" xfId="14497" builtinId="8" hidden="1"/>
    <cellStyle name="Hyperlink" xfId="14547" builtinId="8" hidden="1"/>
    <cellStyle name="Hyperlink" xfId="14549" builtinId="8" hidden="1"/>
    <cellStyle name="Hyperlink" xfId="14551" builtinId="8" hidden="1"/>
    <cellStyle name="Hyperlink" xfId="14553" builtinId="8" hidden="1"/>
    <cellStyle name="Hyperlink" xfId="14516" builtinId="8" hidden="1"/>
    <cellStyle name="Hyperlink" xfId="14485" builtinId="8" hidden="1"/>
    <cellStyle name="Hyperlink" xfId="14555" builtinId="8" hidden="1"/>
    <cellStyle name="Hyperlink" xfId="14557" builtinId="8" hidden="1"/>
    <cellStyle name="Hyperlink" xfId="14559" builtinId="8" hidden="1"/>
    <cellStyle name="Hyperlink" xfId="14561" builtinId="8" hidden="1"/>
    <cellStyle name="Hyperlink" xfId="14486" builtinId="8" hidden="1"/>
    <cellStyle name="Hyperlink" xfId="14519" builtinId="8" hidden="1"/>
    <cellStyle name="Hyperlink" xfId="14563" builtinId="8" hidden="1"/>
    <cellStyle name="Hyperlink" xfId="14565" builtinId="8" hidden="1"/>
    <cellStyle name="Hyperlink" xfId="14567" builtinId="8" hidden="1"/>
    <cellStyle name="Hyperlink" xfId="14569" builtinId="8" hidden="1"/>
    <cellStyle name="Hyperlink" xfId="14488" builtinId="8" hidden="1"/>
    <cellStyle name="Hyperlink" xfId="14529" builtinId="8" hidden="1"/>
    <cellStyle name="Hyperlink" xfId="14571" builtinId="8" hidden="1"/>
    <cellStyle name="Hyperlink" xfId="14573" builtinId="8" hidden="1"/>
    <cellStyle name="Hyperlink" xfId="14575" builtinId="8" hidden="1"/>
    <cellStyle name="Hyperlink" xfId="14577" builtinId="8" hidden="1"/>
    <cellStyle name="Hyperlink" xfId="14509" builtinId="8" hidden="1"/>
    <cellStyle name="Hyperlink" xfId="14512" builtinId="8" hidden="1"/>
    <cellStyle name="Hyperlink" xfId="14579" builtinId="8" hidden="1"/>
    <cellStyle name="Hyperlink" xfId="14581" builtinId="8" hidden="1"/>
    <cellStyle name="Hyperlink" xfId="14583" builtinId="8" hidden="1"/>
    <cellStyle name="Hyperlink" xfId="14585" builtinId="8" hidden="1"/>
    <cellStyle name="Hyperlink" xfId="14513" builtinId="8" hidden="1"/>
    <cellStyle name="Hyperlink" xfId="14510" builtinId="8" hidden="1"/>
    <cellStyle name="Hyperlink" xfId="14587" builtinId="8" hidden="1"/>
    <cellStyle name="Hyperlink" xfId="14589" builtinId="8" hidden="1"/>
    <cellStyle name="Hyperlink" xfId="14591" builtinId="8" hidden="1"/>
    <cellStyle name="Hyperlink" xfId="14593" builtinId="8" hidden="1"/>
    <cellStyle name="Hyperlink" xfId="14528" builtinId="8" hidden="1"/>
    <cellStyle name="Hyperlink" xfId="14505" builtinId="8" hidden="1"/>
    <cellStyle name="Hyperlink" xfId="14595" builtinId="8" hidden="1"/>
    <cellStyle name="Hyperlink" xfId="14597" builtinId="8" hidden="1"/>
    <cellStyle name="Hyperlink" xfId="14599" builtinId="8" hidden="1"/>
    <cellStyle name="Hyperlink" xfId="14601" builtinId="8" hidden="1"/>
    <cellStyle name="Hyperlink" xfId="14483" builtinId="8" hidden="1"/>
    <cellStyle name="Hyperlink" xfId="14484" builtinId="8" hidden="1"/>
    <cellStyle name="Hyperlink" xfId="14603" builtinId="8" hidden="1"/>
    <cellStyle name="Hyperlink" xfId="14605" builtinId="8" hidden="1"/>
    <cellStyle name="Hyperlink" xfId="14607" builtinId="8" hidden="1"/>
    <cellStyle name="Hyperlink" xfId="14609" builtinId="8" hidden="1"/>
    <cellStyle name="Hyperlink" xfId="14489" builtinId="8" hidden="1"/>
    <cellStyle name="Hyperlink" xfId="14525" builtinId="8" hidden="1"/>
    <cellStyle name="Hyperlink" xfId="14611" builtinId="8" hidden="1"/>
    <cellStyle name="Hyperlink" xfId="14613" builtinId="8" hidden="1"/>
    <cellStyle name="Hyperlink" xfId="14615" builtinId="8" hidden="1"/>
    <cellStyle name="Hyperlink" xfId="14617" builtinId="8" hidden="1"/>
    <cellStyle name="Hyperlink" xfId="14494" builtinId="8" hidden="1"/>
    <cellStyle name="Hyperlink" xfId="14514" builtinId="8" hidden="1"/>
    <cellStyle name="Hyperlink" xfId="14619" builtinId="8" hidden="1"/>
    <cellStyle name="Hyperlink" xfId="14621" builtinId="8" hidden="1"/>
    <cellStyle name="Hyperlink" xfId="14623" builtinId="8" hidden="1"/>
    <cellStyle name="Hyperlink" xfId="14625" builtinId="8" hidden="1"/>
    <cellStyle name="Hyperlink" xfId="14501" builtinId="8" hidden="1"/>
    <cellStyle name="Hyperlink" xfId="14499" builtinId="8" hidden="1"/>
    <cellStyle name="Hyperlink" xfId="14627" builtinId="8" hidden="1"/>
    <cellStyle name="Hyperlink" xfId="14629" builtinId="8" hidden="1"/>
    <cellStyle name="Hyperlink" xfId="14631" builtinId="8" hidden="1"/>
    <cellStyle name="Hyperlink" xfId="14633" builtinId="8" hidden="1"/>
    <cellStyle name="Hyperlink" xfId="14332" builtinId="8" hidden="1"/>
    <cellStyle name="Hyperlink" xfId="14444" builtinId="8" hidden="1"/>
    <cellStyle name="Hyperlink" xfId="14336" builtinId="8" hidden="1"/>
    <cellStyle name="Hyperlink" xfId="14447" builtinId="8" hidden="1"/>
    <cellStyle name="Hyperlink" xfId="14430" builtinId="8" hidden="1"/>
    <cellStyle name="Hyperlink" xfId="14382" builtinId="8" hidden="1"/>
    <cellStyle name="Hyperlink" xfId="14323" builtinId="8" hidden="1"/>
    <cellStyle name="Hyperlink" xfId="14435" builtinId="8" hidden="1"/>
    <cellStyle name="Hyperlink" xfId="14638" builtinId="8" hidden="1"/>
    <cellStyle name="Hyperlink" xfId="14640" builtinId="8" hidden="1"/>
    <cellStyle name="Hyperlink" xfId="14642" builtinId="8" hidden="1"/>
    <cellStyle name="Hyperlink" xfId="14644" builtinId="8" hidden="1"/>
    <cellStyle name="Hyperlink" xfId="14647" builtinId="8" hidden="1"/>
    <cellStyle name="Hyperlink" xfId="14649" builtinId="8" hidden="1"/>
    <cellStyle name="Hyperlink" xfId="14699" builtinId="8" hidden="1"/>
    <cellStyle name="Hyperlink" xfId="14701" builtinId="8" hidden="1"/>
    <cellStyle name="Hyperlink" xfId="14703" builtinId="8" hidden="1"/>
    <cellStyle name="Hyperlink" xfId="14705" builtinId="8" hidden="1"/>
    <cellStyle name="Hyperlink" xfId="14695" builtinId="8" hidden="1"/>
    <cellStyle name="Hyperlink" xfId="14685" builtinId="8" hidden="1"/>
    <cellStyle name="Hyperlink" xfId="14707" builtinId="8" hidden="1"/>
    <cellStyle name="Hyperlink" xfId="14709" builtinId="8" hidden="1"/>
    <cellStyle name="Hyperlink" xfId="14711" builtinId="8" hidden="1"/>
    <cellStyle name="Hyperlink" xfId="14713" builtinId="8" hidden="1"/>
    <cellStyle name="Hyperlink" xfId="14679" builtinId="8" hidden="1"/>
    <cellStyle name="Hyperlink" xfId="14665" builtinId="8" hidden="1"/>
    <cellStyle name="Hyperlink" xfId="14715" builtinId="8" hidden="1"/>
    <cellStyle name="Hyperlink" xfId="14717" builtinId="8" hidden="1"/>
    <cellStyle name="Hyperlink" xfId="14719" builtinId="8" hidden="1"/>
    <cellStyle name="Hyperlink" xfId="14721" builtinId="8" hidden="1"/>
    <cellStyle name="Hyperlink" xfId="14684" builtinId="8" hidden="1"/>
    <cellStyle name="Hyperlink" xfId="14653" builtinId="8" hidden="1"/>
    <cellStyle name="Hyperlink" xfId="14723" builtinId="8" hidden="1"/>
    <cellStyle name="Hyperlink" xfId="14725" builtinId="8" hidden="1"/>
    <cellStyle name="Hyperlink" xfId="14727" builtinId="8" hidden="1"/>
    <cellStyle name="Hyperlink" xfId="14729" builtinId="8" hidden="1"/>
    <cellStyle name="Hyperlink" xfId="14654" builtinId="8" hidden="1"/>
    <cellStyle name="Hyperlink" xfId="14687" builtinId="8" hidden="1"/>
    <cellStyle name="Hyperlink" xfId="14731" builtinId="8" hidden="1"/>
    <cellStyle name="Hyperlink" xfId="14733" builtinId="8" hidden="1"/>
    <cellStyle name="Hyperlink" xfId="14735" builtinId="8" hidden="1"/>
    <cellStyle name="Hyperlink" xfId="14737" builtinId="8" hidden="1"/>
    <cellStyle name="Hyperlink" xfId="14656" builtinId="8" hidden="1"/>
    <cellStyle name="Hyperlink" xfId="14697" builtinId="8" hidden="1"/>
    <cellStyle name="Hyperlink" xfId="14739" builtinId="8" hidden="1"/>
    <cellStyle name="Hyperlink" xfId="14741" builtinId="8" hidden="1"/>
    <cellStyle name="Hyperlink" xfId="14743" builtinId="8" hidden="1"/>
    <cellStyle name="Hyperlink" xfId="14745" builtinId="8" hidden="1"/>
    <cellStyle name="Hyperlink" xfId="14677" builtinId="8" hidden="1"/>
    <cellStyle name="Hyperlink" xfId="14680" builtinId="8" hidden="1"/>
    <cellStyle name="Hyperlink" xfId="14747" builtinId="8" hidden="1"/>
    <cellStyle name="Hyperlink" xfId="14749" builtinId="8" hidden="1"/>
    <cellStyle name="Hyperlink" xfId="14751" builtinId="8" hidden="1"/>
    <cellStyle name="Hyperlink" xfId="14753" builtinId="8" hidden="1"/>
    <cellStyle name="Hyperlink" xfId="14681" builtinId="8" hidden="1"/>
    <cellStyle name="Hyperlink" xfId="14678" builtinId="8" hidden="1"/>
    <cellStyle name="Hyperlink" xfId="14755" builtinId="8" hidden="1"/>
    <cellStyle name="Hyperlink" xfId="14757" builtinId="8" hidden="1"/>
    <cellStyle name="Hyperlink" xfId="14759" builtinId="8" hidden="1"/>
    <cellStyle name="Hyperlink" xfId="14761" builtinId="8" hidden="1"/>
    <cellStyle name="Hyperlink" xfId="14696" builtinId="8" hidden="1"/>
    <cellStyle name="Hyperlink" xfId="14673" builtinId="8" hidden="1"/>
    <cellStyle name="Hyperlink" xfId="14763" builtinId="8" hidden="1"/>
    <cellStyle name="Hyperlink" xfId="14765" builtinId="8" hidden="1"/>
    <cellStyle name="Hyperlink" xfId="14767" builtinId="8" hidden="1"/>
    <cellStyle name="Hyperlink" xfId="14769" builtinId="8" hidden="1"/>
    <cellStyle name="Hyperlink" xfId="14651" builtinId="8" hidden="1"/>
    <cellStyle name="Hyperlink" xfId="14652" builtinId="8" hidden="1"/>
    <cellStyle name="Hyperlink" xfId="14771" builtinId="8" hidden="1"/>
    <cellStyle name="Hyperlink" xfId="14773" builtinId="8" hidden="1"/>
    <cellStyle name="Hyperlink" xfId="14775" builtinId="8" hidden="1"/>
    <cellStyle name="Hyperlink" xfId="14777" builtinId="8" hidden="1"/>
    <cellStyle name="Hyperlink" xfId="14657" builtinId="8" hidden="1"/>
    <cellStyle name="Hyperlink" xfId="14693" builtinId="8" hidden="1"/>
    <cellStyle name="Hyperlink" xfId="14779" builtinId="8" hidden="1"/>
    <cellStyle name="Hyperlink" xfId="14781" builtinId="8" hidden="1"/>
    <cellStyle name="Hyperlink" xfId="14783" builtinId="8" hidden="1"/>
    <cellStyle name="Hyperlink" xfId="14785" builtinId="8" hidden="1"/>
    <cellStyle name="Hyperlink" xfId="14662" builtinId="8" hidden="1"/>
    <cellStyle name="Hyperlink" xfId="14682" builtinId="8" hidden="1"/>
    <cellStyle name="Hyperlink" xfId="14787" builtinId="8" hidden="1"/>
    <cellStyle name="Hyperlink" xfId="14789" builtinId="8" hidden="1"/>
    <cellStyle name="Hyperlink" xfId="14791" builtinId="8" hidden="1"/>
    <cellStyle name="Hyperlink" xfId="14793" builtinId="8" hidden="1"/>
    <cellStyle name="Hyperlink" xfId="14669" builtinId="8" hidden="1"/>
    <cellStyle name="Hyperlink" xfId="14667" builtinId="8" hidden="1"/>
    <cellStyle name="Hyperlink" xfId="14795" builtinId="8" hidden="1"/>
    <cellStyle name="Hyperlink" xfId="14797" builtinId="8" hidden="1"/>
    <cellStyle name="Hyperlink" xfId="14799" builtinId="8" hidden="1"/>
    <cellStyle name="Hyperlink" xfId="14801" builtinId="8" hidden="1"/>
    <cellStyle name="Hyperlink" xfId="14378" builtinId="8" hidden="1"/>
    <cellStyle name="Hyperlink" xfId="14379" builtinId="8" hidden="1"/>
    <cellStyle name="Hyperlink" xfId="14353" builtinId="8" hidden="1"/>
    <cellStyle name="Hyperlink" xfId="14354" builtinId="8" hidden="1"/>
    <cellStyle name="Hyperlink" xfId="14369" builtinId="8" hidden="1"/>
    <cellStyle name="Hyperlink" xfId="14367" builtinId="8" hidden="1"/>
    <cellStyle name="Hyperlink" xfId="14360" builtinId="8" hidden="1"/>
    <cellStyle name="Hyperlink" xfId="14361" builtinId="8" hidden="1"/>
    <cellStyle name="Hyperlink" xfId="14812" builtinId="8" hidden="1"/>
    <cellStyle name="Hyperlink" xfId="14814" builtinId="8" hidden="1"/>
    <cellStyle name="Hyperlink" xfId="14816" builtinId="8" hidden="1"/>
    <cellStyle name="Hyperlink" xfId="14818" builtinId="8" hidden="1"/>
    <cellStyle name="Hyperlink" xfId="14820" builtinId="8" hidden="1"/>
    <cellStyle name="Hyperlink" xfId="14822" builtinId="8" hidden="1"/>
    <cellStyle name="Hyperlink" xfId="14872" builtinId="8" hidden="1"/>
    <cellStyle name="Hyperlink" xfId="14874" builtinId="8" hidden="1"/>
    <cellStyle name="Hyperlink" xfId="14876" builtinId="8" hidden="1"/>
    <cellStyle name="Hyperlink" xfId="14878" builtinId="8" hidden="1"/>
    <cellStyle name="Hyperlink" xfId="14868" builtinId="8" hidden="1"/>
    <cellStyle name="Hyperlink" xfId="14858" builtinId="8" hidden="1"/>
    <cellStyle name="Hyperlink" xfId="14880" builtinId="8" hidden="1"/>
    <cellStyle name="Hyperlink" xfId="14882" builtinId="8" hidden="1"/>
    <cellStyle name="Hyperlink" xfId="14884" builtinId="8" hidden="1"/>
    <cellStyle name="Hyperlink" xfId="14886" builtinId="8" hidden="1"/>
    <cellStyle name="Hyperlink" xfId="14852" builtinId="8" hidden="1"/>
    <cellStyle name="Hyperlink" xfId="14838" builtinId="8" hidden="1"/>
    <cellStyle name="Hyperlink" xfId="14888" builtinId="8" hidden="1"/>
    <cellStyle name="Hyperlink" xfId="14890" builtinId="8" hidden="1"/>
    <cellStyle name="Hyperlink" xfId="14892" builtinId="8" hidden="1"/>
    <cellStyle name="Hyperlink" xfId="14894" builtinId="8" hidden="1"/>
    <cellStyle name="Hyperlink" xfId="14857" builtinId="8" hidden="1"/>
    <cellStyle name="Hyperlink" xfId="14826" builtinId="8" hidden="1"/>
    <cellStyle name="Hyperlink" xfId="14896" builtinId="8" hidden="1"/>
    <cellStyle name="Hyperlink" xfId="14898" builtinId="8" hidden="1"/>
    <cellStyle name="Hyperlink" xfId="14900" builtinId="8" hidden="1"/>
    <cellStyle name="Hyperlink" xfId="14902" builtinId="8" hidden="1"/>
    <cellStyle name="Hyperlink" xfId="14827" builtinId="8" hidden="1"/>
    <cellStyle name="Hyperlink" xfId="14860" builtinId="8" hidden="1"/>
    <cellStyle name="Hyperlink" xfId="14904" builtinId="8" hidden="1"/>
    <cellStyle name="Hyperlink" xfId="14906" builtinId="8" hidden="1"/>
    <cellStyle name="Hyperlink" xfId="14908" builtinId="8" hidden="1"/>
    <cellStyle name="Hyperlink" xfId="14910" builtinId="8" hidden="1"/>
    <cellStyle name="Hyperlink" xfId="14829" builtinId="8" hidden="1"/>
    <cellStyle name="Hyperlink" xfId="14870" builtinId="8" hidden="1"/>
    <cellStyle name="Hyperlink" xfId="14912" builtinId="8" hidden="1"/>
    <cellStyle name="Hyperlink" xfId="14914" builtinId="8" hidden="1"/>
    <cellStyle name="Hyperlink" xfId="14916" builtinId="8" hidden="1"/>
    <cellStyle name="Hyperlink" xfId="14918" builtinId="8" hidden="1"/>
    <cellStyle name="Hyperlink" xfId="14850" builtinId="8" hidden="1"/>
    <cellStyle name="Hyperlink" xfId="14853" builtinId="8" hidden="1"/>
    <cellStyle name="Hyperlink" xfId="14920" builtinId="8" hidden="1"/>
    <cellStyle name="Hyperlink" xfId="14922" builtinId="8" hidden="1"/>
    <cellStyle name="Hyperlink" xfId="14924" builtinId="8" hidden="1"/>
    <cellStyle name="Hyperlink" xfId="14926" builtinId="8" hidden="1"/>
    <cellStyle name="Hyperlink" xfId="14854" builtinId="8" hidden="1"/>
    <cellStyle name="Hyperlink" xfId="14851" builtinId="8" hidden="1"/>
    <cellStyle name="Hyperlink" xfId="14928" builtinId="8" hidden="1"/>
    <cellStyle name="Hyperlink" xfId="14930" builtinId="8" hidden="1"/>
    <cellStyle name="Hyperlink" xfId="14932" builtinId="8" hidden="1"/>
    <cellStyle name="Hyperlink" xfId="14934" builtinId="8" hidden="1"/>
    <cellStyle name="Hyperlink" xfId="14869" builtinId="8" hidden="1"/>
    <cellStyle name="Hyperlink" xfId="14846" builtinId="8" hidden="1"/>
    <cellStyle name="Hyperlink" xfId="14936" builtinId="8" hidden="1"/>
    <cellStyle name="Hyperlink" xfId="14938" builtinId="8" hidden="1"/>
    <cellStyle name="Hyperlink" xfId="14940" builtinId="8" hidden="1"/>
    <cellStyle name="Hyperlink" xfId="14942" builtinId="8" hidden="1"/>
    <cellStyle name="Hyperlink" xfId="14824" builtinId="8" hidden="1"/>
    <cellStyle name="Hyperlink" xfId="14825" builtinId="8" hidden="1"/>
    <cellStyle name="Hyperlink" xfId="14944" builtinId="8" hidden="1"/>
    <cellStyle name="Hyperlink" xfId="14946" builtinId="8" hidden="1"/>
    <cellStyle name="Hyperlink" xfId="14948" builtinId="8" hidden="1"/>
    <cellStyle name="Hyperlink" xfId="14950" builtinId="8" hidden="1"/>
    <cellStyle name="Hyperlink" xfId="14830" builtinId="8" hidden="1"/>
    <cellStyle name="Hyperlink" xfId="14866" builtinId="8" hidden="1"/>
    <cellStyle name="Hyperlink" xfId="14952" builtinId="8" hidden="1"/>
    <cellStyle name="Hyperlink" xfId="14954" builtinId="8" hidden="1"/>
    <cellStyle name="Hyperlink" xfId="14956" builtinId="8" hidden="1"/>
    <cellStyle name="Hyperlink" xfId="14958" builtinId="8" hidden="1"/>
    <cellStyle name="Hyperlink" xfId="14835" builtinId="8" hidden="1"/>
    <cellStyle name="Hyperlink" xfId="14855" builtinId="8" hidden="1"/>
    <cellStyle name="Hyperlink" xfId="14960" builtinId="8" hidden="1"/>
    <cellStyle name="Hyperlink" xfId="14962" builtinId="8" hidden="1"/>
    <cellStyle name="Hyperlink" xfId="14964" builtinId="8" hidden="1"/>
    <cellStyle name="Hyperlink" xfId="14966" builtinId="8" hidden="1"/>
    <cellStyle name="Hyperlink" xfId="14842" builtinId="8" hidden="1"/>
    <cellStyle name="Hyperlink" xfId="14840" builtinId="8" hidden="1"/>
    <cellStyle name="Hyperlink" xfId="14968" builtinId="8" hidden="1"/>
    <cellStyle name="Hyperlink" xfId="14970" builtinId="8" hidden="1"/>
    <cellStyle name="Hyperlink" xfId="14972" builtinId="8" hidden="1"/>
    <cellStyle name="Hyperlink" xfId="14974" builtinId="8" hidden="1"/>
    <cellStyle name="Hyperlink" xfId="14419" builtinId="8" hidden="1"/>
    <cellStyle name="Hyperlink" xfId="14362" builtinId="8" hidden="1"/>
    <cellStyle name="Hyperlink" xfId="14372" builtinId="8" hidden="1"/>
    <cellStyle name="Hyperlink" xfId="14339" builtinId="8" hidden="1"/>
    <cellStyle name="Hyperlink" xfId="14422" builtinId="8" hidden="1"/>
    <cellStyle name="Hyperlink" xfId="14454" builtinId="8" hidden="1"/>
    <cellStyle name="Hyperlink" xfId="14433" builtinId="8" hidden="1"/>
    <cellStyle name="Hyperlink" xfId="14383" builtinId="8" hidden="1"/>
    <cellStyle name="Hyperlink" xfId="14982" builtinId="8" hidden="1"/>
    <cellStyle name="Hyperlink" xfId="14984" builtinId="8" hidden="1"/>
    <cellStyle name="Hyperlink" xfId="14986" builtinId="8" hidden="1"/>
    <cellStyle name="Hyperlink" xfId="14988" builtinId="8" hidden="1"/>
    <cellStyle name="Hyperlink" xfId="14990" builtinId="8" hidden="1"/>
    <cellStyle name="Hyperlink" xfId="14992" builtinId="8" hidden="1"/>
    <cellStyle name="Hyperlink" xfId="15042" builtinId="8" hidden="1"/>
    <cellStyle name="Hyperlink" xfId="15044" builtinId="8" hidden="1"/>
    <cellStyle name="Hyperlink" xfId="15046" builtinId="8" hidden="1"/>
    <cellStyle name="Hyperlink" xfId="15048" builtinId="8" hidden="1"/>
    <cellStyle name="Hyperlink" xfId="15038" builtinId="8" hidden="1"/>
    <cellStyle name="Hyperlink" xfId="15028" builtinId="8" hidden="1"/>
    <cellStyle name="Hyperlink" xfId="15050" builtinId="8" hidden="1"/>
    <cellStyle name="Hyperlink" xfId="15052" builtinId="8" hidden="1"/>
    <cellStyle name="Hyperlink" xfId="15054" builtinId="8" hidden="1"/>
    <cellStyle name="Hyperlink" xfId="15056" builtinId="8" hidden="1"/>
    <cellStyle name="Hyperlink" xfId="15022" builtinId="8" hidden="1"/>
    <cellStyle name="Hyperlink" xfId="15008" builtinId="8" hidden="1"/>
    <cellStyle name="Hyperlink" xfId="15058" builtinId="8" hidden="1"/>
    <cellStyle name="Hyperlink" xfId="15060" builtinId="8" hidden="1"/>
    <cellStyle name="Hyperlink" xfId="15062" builtinId="8" hidden="1"/>
    <cellStyle name="Hyperlink" xfId="15064" builtinId="8" hidden="1"/>
    <cellStyle name="Hyperlink" xfId="15027" builtinId="8" hidden="1"/>
    <cellStyle name="Hyperlink" xfId="14996" builtinId="8" hidden="1"/>
    <cellStyle name="Hyperlink" xfId="15066" builtinId="8" hidden="1"/>
    <cellStyle name="Hyperlink" xfId="15068" builtinId="8" hidden="1"/>
    <cellStyle name="Hyperlink" xfId="15070" builtinId="8" hidden="1"/>
    <cellStyle name="Hyperlink" xfId="15072" builtinId="8" hidden="1"/>
    <cellStyle name="Hyperlink" xfId="14997" builtinId="8" hidden="1"/>
    <cellStyle name="Hyperlink" xfId="15030" builtinId="8" hidden="1"/>
    <cellStyle name="Hyperlink" xfId="15074" builtinId="8" hidden="1"/>
    <cellStyle name="Hyperlink" xfId="15076" builtinId="8" hidden="1"/>
    <cellStyle name="Hyperlink" xfId="15078" builtinId="8" hidden="1"/>
    <cellStyle name="Hyperlink" xfId="15080" builtinId="8" hidden="1"/>
    <cellStyle name="Hyperlink" xfId="14999" builtinId="8" hidden="1"/>
    <cellStyle name="Hyperlink" xfId="15040" builtinId="8" hidden="1"/>
    <cellStyle name="Hyperlink" xfId="15082" builtinId="8" hidden="1"/>
    <cellStyle name="Hyperlink" xfId="15084" builtinId="8" hidden="1"/>
    <cellStyle name="Hyperlink" xfId="15086" builtinId="8" hidden="1"/>
    <cellStyle name="Hyperlink" xfId="15088" builtinId="8" hidden="1"/>
    <cellStyle name="Hyperlink" xfId="15020" builtinId="8" hidden="1"/>
    <cellStyle name="Hyperlink" xfId="15023" builtinId="8" hidden="1"/>
    <cellStyle name="Hyperlink" xfId="15090" builtinId="8" hidden="1"/>
    <cellStyle name="Hyperlink" xfId="15092" builtinId="8" hidden="1"/>
    <cellStyle name="Hyperlink" xfId="15094" builtinId="8" hidden="1"/>
    <cellStyle name="Hyperlink" xfId="15096" builtinId="8" hidden="1"/>
    <cellStyle name="Hyperlink" xfId="15024" builtinId="8" hidden="1"/>
    <cellStyle name="Hyperlink" xfId="15021" builtinId="8" hidden="1"/>
    <cellStyle name="Hyperlink" xfId="15098" builtinId="8" hidden="1"/>
    <cellStyle name="Hyperlink" xfId="15100" builtinId="8" hidden="1"/>
    <cellStyle name="Hyperlink" xfId="15102" builtinId="8" hidden="1"/>
    <cellStyle name="Hyperlink" xfId="15104" builtinId="8" hidden="1"/>
    <cellStyle name="Hyperlink" xfId="15039" builtinId="8" hidden="1"/>
    <cellStyle name="Hyperlink" xfId="15016" builtinId="8" hidden="1"/>
    <cellStyle name="Hyperlink" xfId="15106" builtinId="8" hidden="1"/>
    <cellStyle name="Hyperlink" xfId="15108" builtinId="8" hidden="1"/>
    <cellStyle name="Hyperlink" xfId="15110" builtinId="8" hidden="1"/>
    <cellStyle name="Hyperlink" xfId="15112" builtinId="8" hidden="1"/>
    <cellStyle name="Hyperlink" xfId="14994" builtinId="8" hidden="1"/>
    <cellStyle name="Hyperlink" xfId="14995" builtinId="8" hidden="1"/>
    <cellStyle name="Hyperlink" xfId="15114" builtinId="8" hidden="1"/>
    <cellStyle name="Hyperlink" xfId="15116" builtinId="8" hidden="1"/>
    <cellStyle name="Hyperlink" xfId="15118" builtinId="8" hidden="1"/>
    <cellStyle name="Hyperlink" xfId="15120" builtinId="8" hidden="1"/>
    <cellStyle name="Hyperlink" xfId="15000" builtinId="8" hidden="1"/>
    <cellStyle name="Hyperlink" xfId="15036" builtinId="8" hidden="1"/>
    <cellStyle name="Hyperlink" xfId="15122" builtinId="8" hidden="1"/>
    <cellStyle name="Hyperlink" xfId="15124" builtinId="8" hidden="1"/>
    <cellStyle name="Hyperlink" xfId="15126" builtinId="8" hidden="1"/>
    <cellStyle name="Hyperlink" xfId="15128" builtinId="8" hidden="1"/>
    <cellStyle name="Hyperlink" xfId="15005" builtinId="8" hidden="1"/>
    <cellStyle name="Hyperlink" xfId="15025" builtinId="8" hidden="1"/>
    <cellStyle name="Hyperlink" xfId="15130" builtinId="8" hidden="1"/>
    <cellStyle name="Hyperlink" xfId="15132" builtinId="8" hidden="1"/>
    <cellStyle name="Hyperlink" xfId="15134" builtinId="8" hidden="1"/>
    <cellStyle name="Hyperlink" xfId="15136" builtinId="8" hidden="1"/>
    <cellStyle name="Hyperlink" xfId="15012" builtinId="8" hidden="1"/>
    <cellStyle name="Hyperlink" xfId="15010" builtinId="8" hidden="1"/>
    <cellStyle name="Hyperlink" xfId="15138" builtinId="8" hidden="1"/>
    <cellStyle name="Hyperlink" xfId="15140" builtinId="8" hidden="1"/>
    <cellStyle name="Hyperlink" xfId="15142" builtinId="8" hidden="1"/>
    <cellStyle name="Hyperlink" xfId="15144" builtinId="8" hidden="1"/>
    <cellStyle name="Hyperlink" xfId="14394" builtinId="8" hidden="1"/>
    <cellStyle name="Hyperlink" xfId="14365" builtinId="8" hidden="1"/>
    <cellStyle name="Hyperlink" xfId="14412" builtinId="8" hidden="1"/>
    <cellStyle name="Hyperlink" xfId="14330" builtinId="8" hidden="1"/>
    <cellStyle name="Hyperlink" xfId="14409" builtinId="8" hidden="1"/>
    <cellStyle name="Hyperlink" xfId="14345" builtinId="8" hidden="1"/>
    <cellStyle name="Hyperlink" xfId="14416" builtinId="8" hidden="1"/>
    <cellStyle name="Hyperlink" xfId="14371" builtinId="8" hidden="1"/>
    <cellStyle name="Hyperlink" xfId="15151" builtinId="8" hidden="1"/>
    <cellStyle name="Hyperlink" xfId="15153" builtinId="8" hidden="1"/>
    <cellStyle name="Hyperlink" xfId="15155" builtinId="8" hidden="1"/>
    <cellStyle name="Hyperlink" xfId="15157" builtinId="8" hidden="1"/>
    <cellStyle name="Hyperlink" xfId="15159" builtinId="8" hidden="1"/>
    <cellStyle name="Hyperlink" xfId="15161" builtinId="8" hidden="1"/>
    <cellStyle name="Hyperlink" xfId="15211" builtinId="8" hidden="1"/>
    <cellStyle name="Hyperlink" xfId="15213" builtinId="8" hidden="1"/>
    <cellStyle name="Hyperlink" xfId="15215" builtinId="8" hidden="1"/>
    <cellStyle name="Hyperlink" xfId="15217" builtinId="8" hidden="1"/>
    <cellStyle name="Hyperlink" xfId="15207" builtinId="8" hidden="1"/>
    <cellStyle name="Hyperlink" xfId="15197" builtinId="8" hidden="1"/>
    <cellStyle name="Hyperlink" xfId="15219" builtinId="8" hidden="1"/>
    <cellStyle name="Hyperlink" xfId="15221" builtinId="8" hidden="1"/>
    <cellStyle name="Hyperlink" xfId="15223" builtinId="8" hidden="1"/>
    <cellStyle name="Hyperlink" xfId="15225" builtinId="8" hidden="1"/>
    <cellStyle name="Hyperlink" xfId="15191" builtinId="8" hidden="1"/>
    <cellStyle name="Hyperlink" xfId="15177" builtinId="8" hidden="1"/>
    <cellStyle name="Hyperlink" xfId="15227" builtinId="8" hidden="1"/>
    <cellStyle name="Hyperlink" xfId="15229" builtinId="8" hidden="1"/>
    <cellStyle name="Hyperlink" xfId="15231" builtinId="8" hidden="1"/>
    <cellStyle name="Hyperlink" xfId="15233" builtinId="8" hidden="1"/>
    <cellStyle name="Hyperlink" xfId="15196" builtinId="8" hidden="1"/>
    <cellStyle name="Hyperlink" xfId="15165" builtinId="8" hidden="1"/>
    <cellStyle name="Hyperlink" xfId="15235" builtinId="8" hidden="1"/>
    <cellStyle name="Hyperlink" xfId="15237" builtinId="8" hidden="1"/>
    <cellStyle name="Hyperlink" xfId="15239" builtinId="8" hidden="1"/>
    <cellStyle name="Hyperlink" xfId="15241" builtinId="8" hidden="1"/>
    <cellStyle name="Hyperlink" xfId="15166" builtinId="8" hidden="1"/>
    <cellStyle name="Hyperlink" xfId="15199" builtinId="8" hidden="1"/>
    <cellStyle name="Hyperlink" xfId="15243" builtinId="8" hidden="1"/>
    <cellStyle name="Hyperlink" xfId="15245" builtinId="8" hidden="1"/>
    <cellStyle name="Hyperlink" xfId="15247" builtinId="8" hidden="1"/>
    <cellStyle name="Hyperlink" xfId="15249" builtinId="8" hidden="1"/>
    <cellStyle name="Hyperlink" xfId="15168" builtinId="8" hidden="1"/>
    <cellStyle name="Hyperlink" xfId="15209" builtinId="8" hidden="1"/>
    <cellStyle name="Hyperlink" xfId="15251" builtinId="8" hidden="1"/>
    <cellStyle name="Hyperlink" xfId="15253" builtinId="8" hidden="1"/>
    <cellStyle name="Hyperlink" xfId="15255" builtinId="8" hidden="1"/>
    <cellStyle name="Hyperlink" xfId="15257" builtinId="8" hidden="1"/>
    <cellStyle name="Hyperlink" xfId="15189" builtinId="8" hidden="1"/>
    <cellStyle name="Hyperlink" xfId="15192" builtinId="8" hidden="1"/>
    <cellStyle name="Hyperlink" xfId="15259" builtinId="8" hidden="1"/>
    <cellStyle name="Hyperlink" xfId="15261" builtinId="8" hidden="1"/>
    <cellStyle name="Hyperlink" xfId="15263" builtinId="8" hidden="1"/>
    <cellStyle name="Hyperlink" xfId="15265" builtinId="8" hidden="1"/>
    <cellStyle name="Hyperlink" xfId="15193" builtinId="8" hidden="1"/>
    <cellStyle name="Hyperlink" xfId="15190" builtinId="8" hidden="1"/>
    <cellStyle name="Hyperlink" xfId="15267" builtinId="8" hidden="1"/>
    <cellStyle name="Hyperlink" xfId="15269" builtinId="8" hidden="1"/>
    <cellStyle name="Hyperlink" xfId="15271" builtinId="8" hidden="1"/>
    <cellStyle name="Hyperlink" xfId="15273" builtinId="8" hidden="1"/>
    <cellStyle name="Hyperlink" xfId="15208" builtinId="8" hidden="1"/>
    <cellStyle name="Hyperlink" xfId="15185" builtinId="8" hidden="1"/>
    <cellStyle name="Hyperlink" xfId="15275" builtinId="8" hidden="1"/>
    <cellStyle name="Hyperlink" xfId="15277" builtinId="8" hidden="1"/>
    <cellStyle name="Hyperlink" xfId="15279" builtinId="8" hidden="1"/>
    <cellStyle name="Hyperlink" xfId="15281" builtinId="8" hidden="1"/>
    <cellStyle name="Hyperlink" xfId="15163" builtinId="8" hidden="1"/>
    <cellStyle name="Hyperlink" xfId="15164" builtinId="8" hidden="1"/>
    <cellStyle name="Hyperlink" xfId="15283" builtinId="8" hidden="1"/>
    <cellStyle name="Hyperlink" xfId="15285" builtinId="8" hidden="1"/>
    <cellStyle name="Hyperlink" xfId="15287" builtinId="8" hidden="1"/>
    <cellStyle name="Hyperlink" xfId="15289" builtinId="8" hidden="1"/>
    <cellStyle name="Hyperlink" xfId="15169" builtinId="8" hidden="1"/>
    <cellStyle name="Hyperlink" xfId="15205" builtinId="8" hidden="1"/>
    <cellStyle name="Hyperlink" xfId="15291" builtinId="8" hidden="1"/>
    <cellStyle name="Hyperlink" xfId="15293" builtinId="8" hidden="1"/>
    <cellStyle name="Hyperlink" xfId="15295" builtinId="8" hidden="1"/>
    <cellStyle name="Hyperlink" xfId="15297" builtinId="8" hidden="1"/>
    <cellStyle name="Hyperlink" xfId="15174" builtinId="8" hidden="1"/>
    <cellStyle name="Hyperlink" xfId="15194" builtinId="8" hidden="1"/>
    <cellStyle name="Hyperlink" xfId="15299" builtinId="8" hidden="1"/>
    <cellStyle name="Hyperlink" xfId="15301" builtinId="8" hidden="1"/>
    <cellStyle name="Hyperlink" xfId="15303" builtinId="8" hidden="1"/>
    <cellStyle name="Hyperlink" xfId="15305" builtinId="8" hidden="1"/>
    <cellStyle name="Hyperlink" xfId="15181" builtinId="8" hidden="1"/>
    <cellStyle name="Hyperlink" xfId="15179" builtinId="8" hidden="1"/>
    <cellStyle name="Hyperlink" xfId="15307" builtinId="8" hidden="1"/>
    <cellStyle name="Hyperlink" xfId="15309" builtinId="8" hidden="1"/>
    <cellStyle name="Hyperlink" xfId="15311" builtinId="8" hidden="1"/>
    <cellStyle name="Hyperlink" xfId="15313" builtinId="8" hidden="1"/>
    <cellStyle name="Hyperlink" xfId="14636" builtinId="8" hidden="1"/>
    <cellStyle name="Hyperlink" xfId="14803" builtinId="8" hidden="1"/>
    <cellStyle name="Hyperlink" xfId="14440" builtinId="8" hidden="1"/>
    <cellStyle name="Hyperlink" xfId="14329" builtinId="8" hidden="1"/>
    <cellStyle name="Hyperlink" xfId="14325" builtinId="8" hidden="1"/>
    <cellStyle name="Hyperlink" xfId="14373" builtinId="8" hidden="1"/>
    <cellStyle name="Hyperlink" xfId="14334" builtinId="8" hidden="1"/>
    <cellStyle name="Hyperlink" xfId="14410" builtinId="8" hidden="1"/>
    <cellStyle name="Hyperlink" xfId="15320" builtinId="8" hidden="1"/>
    <cellStyle name="Hyperlink" xfId="15322" builtinId="8" hidden="1"/>
    <cellStyle name="Hyperlink" xfId="15324" builtinId="8" hidden="1"/>
    <cellStyle name="Hyperlink" xfId="15326" builtinId="8" hidden="1"/>
    <cellStyle name="Hyperlink" xfId="15328" builtinId="8" hidden="1"/>
    <cellStyle name="Hyperlink" xfId="15330" builtinId="8" hidden="1"/>
    <cellStyle name="Hyperlink" xfId="15380" builtinId="8" hidden="1"/>
    <cellStyle name="Hyperlink" xfId="15382" builtinId="8" hidden="1"/>
    <cellStyle name="Hyperlink" xfId="15384" builtinId="8" hidden="1"/>
    <cellStyle name="Hyperlink" xfId="15386" builtinId="8" hidden="1"/>
    <cellStyle name="Hyperlink" xfId="15376" builtinId="8" hidden="1"/>
    <cellStyle name="Hyperlink" xfId="15366" builtinId="8" hidden="1"/>
    <cellStyle name="Hyperlink" xfId="15388" builtinId="8" hidden="1"/>
    <cellStyle name="Hyperlink" xfId="15390" builtinId="8" hidden="1"/>
    <cellStyle name="Hyperlink" xfId="15392" builtinId="8" hidden="1"/>
    <cellStyle name="Hyperlink" xfId="15394" builtinId="8" hidden="1"/>
    <cellStyle name="Hyperlink" xfId="15360" builtinId="8" hidden="1"/>
    <cellStyle name="Hyperlink" xfId="15346" builtinId="8" hidden="1"/>
    <cellStyle name="Hyperlink" xfId="15396" builtinId="8" hidden="1"/>
    <cellStyle name="Hyperlink" xfId="15398" builtinId="8" hidden="1"/>
    <cellStyle name="Hyperlink" xfId="15400" builtinId="8" hidden="1"/>
    <cellStyle name="Hyperlink" xfId="15402" builtinId="8" hidden="1"/>
    <cellStyle name="Hyperlink" xfId="15365" builtinId="8" hidden="1"/>
    <cellStyle name="Hyperlink" xfId="15334" builtinId="8" hidden="1"/>
    <cellStyle name="Hyperlink" xfId="15404" builtinId="8" hidden="1"/>
    <cellStyle name="Hyperlink" xfId="15406" builtinId="8" hidden="1"/>
    <cellStyle name="Hyperlink" xfId="15408" builtinId="8" hidden="1"/>
    <cellStyle name="Hyperlink" xfId="15410" builtinId="8" hidden="1"/>
    <cellStyle name="Hyperlink" xfId="15335" builtinId="8" hidden="1"/>
    <cellStyle name="Hyperlink" xfId="15368" builtinId="8" hidden="1"/>
    <cellStyle name="Hyperlink" xfId="15412" builtinId="8" hidden="1"/>
    <cellStyle name="Hyperlink" xfId="15414" builtinId="8" hidden="1"/>
    <cellStyle name="Hyperlink" xfId="15416" builtinId="8" hidden="1"/>
    <cellStyle name="Hyperlink" xfId="15418" builtinId="8" hidden="1"/>
    <cellStyle name="Hyperlink" xfId="15337" builtinId="8" hidden="1"/>
    <cellStyle name="Hyperlink" xfId="15378" builtinId="8" hidden="1"/>
    <cellStyle name="Hyperlink" xfId="15420" builtinId="8" hidden="1"/>
    <cellStyle name="Hyperlink" xfId="15422" builtinId="8" hidden="1"/>
    <cellStyle name="Hyperlink" xfId="15424" builtinId="8" hidden="1"/>
    <cellStyle name="Hyperlink" xfId="15426" builtinId="8" hidden="1"/>
    <cellStyle name="Hyperlink" xfId="15358" builtinId="8" hidden="1"/>
    <cellStyle name="Hyperlink" xfId="15361" builtinId="8" hidden="1"/>
    <cellStyle name="Hyperlink" xfId="15428" builtinId="8" hidden="1"/>
    <cellStyle name="Hyperlink" xfId="15430" builtinId="8" hidden="1"/>
    <cellStyle name="Hyperlink" xfId="15432" builtinId="8" hidden="1"/>
    <cellStyle name="Hyperlink" xfId="15434" builtinId="8" hidden="1"/>
    <cellStyle name="Hyperlink" xfId="15362" builtinId="8" hidden="1"/>
    <cellStyle name="Hyperlink" xfId="15359" builtinId="8" hidden="1"/>
    <cellStyle name="Hyperlink" xfId="15436" builtinId="8" hidden="1"/>
    <cellStyle name="Hyperlink" xfId="15438" builtinId="8" hidden="1"/>
    <cellStyle name="Hyperlink" xfId="15440" builtinId="8" hidden="1"/>
    <cellStyle name="Hyperlink" xfId="15442" builtinId="8" hidden="1"/>
    <cellStyle name="Hyperlink" xfId="15377" builtinId="8" hidden="1"/>
    <cellStyle name="Hyperlink" xfId="15354" builtinId="8" hidden="1"/>
    <cellStyle name="Hyperlink" xfId="15444" builtinId="8" hidden="1"/>
    <cellStyle name="Hyperlink" xfId="15446" builtinId="8" hidden="1"/>
    <cellStyle name="Hyperlink" xfId="15448" builtinId="8" hidden="1"/>
    <cellStyle name="Hyperlink" xfId="15450" builtinId="8" hidden="1"/>
    <cellStyle name="Hyperlink" xfId="15332" builtinId="8" hidden="1"/>
    <cellStyle name="Hyperlink" xfId="15333" builtinId="8" hidden="1"/>
    <cellStyle name="Hyperlink" xfId="15452" builtinId="8" hidden="1"/>
    <cellStyle name="Hyperlink" xfId="15454" builtinId="8" hidden="1"/>
    <cellStyle name="Hyperlink" xfId="15456" builtinId="8" hidden="1"/>
    <cellStyle name="Hyperlink" xfId="15458" builtinId="8" hidden="1"/>
    <cellStyle name="Hyperlink" xfId="15338" builtinId="8" hidden="1"/>
    <cellStyle name="Hyperlink" xfId="15374" builtinId="8" hidden="1"/>
    <cellStyle name="Hyperlink" xfId="15460" builtinId="8" hidden="1"/>
    <cellStyle name="Hyperlink" xfId="15462" builtinId="8" hidden="1"/>
    <cellStyle name="Hyperlink" xfId="15464" builtinId="8" hidden="1"/>
    <cellStyle name="Hyperlink" xfId="15466" builtinId="8" hidden="1"/>
    <cellStyle name="Hyperlink" xfId="15343" builtinId="8" hidden="1"/>
    <cellStyle name="Hyperlink" xfId="15363" builtinId="8" hidden="1"/>
    <cellStyle name="Hyperlink" xfId="15468" builtinId="8" hidden="1"/>
    <cellStyle name="Hyperlink" xfId="15470" builtinId="8" hidden="1"/>
    <cellStyle name="Hyperlink" xfId="15472" builtinId="8" hidden="1"/>
    <cellStyle name="Hyperlink" xfId="15474" builtinId="8" hidden="1"/>
    <cellStyle name="Hyperlink" xfId="15350" builtinId="8" hidden="1"/>
    <cellStyle name="Hyperlink" xfId="15348" builtinId="8" hidden="1"/>
    <cellStyle name="Hyperlink" xfId="15476" builtinId="8" hidden="1"/>
    <cellStyle name="Hyperlink" xfId="15478" builtinId="8" hidden="1"/>
    <cellStyle name="Hyperlink" xfId="15480" builtinId="8" hidden="1"/>
    <cellStyle name="Hyperlink" xfId="15482" builtinId="8" hidden="1"/>
    <cellStyle name="Hyperlink" xfId="14326" builtinId="8" hidden="1"/>
    <cellStyle name="Hyperlink" xfId="14441" builtinId="8" hidden="1"/>
    <cellStyle name="Hyperlink" xfId="14810" builtinId="8" hidden="1"/>
    <cellStyle name="Hyperlink" xfId="14443" builtinId="8" hidden="1"/>
    <cellStyle name="Hyperlink" xfId="14424" builtinId="8" hidden="1"/>
    <cellStyle name="Hyperlink" xfId="14456" builtinId="8" hidden="1"/>
    <cellStyle name="Hyperlink" xfId="14331" builtinId="8" hidden="1"/>
    <cellStyle name="Hyperlink" xfId="14458" builtinId="8" hidden="1"/>
    <cellStyle name="Hyperlink" xfId="15487" builtinId="8" hidden="1"/>
    <cellStyle name="Hyperlink" xfId="15489" builtinId="8" hidden="1"/>
    <cellStyle name="Hyperlink" xfId="15491" builtinId="8" hidden="1"/>
    <cellStyle name="Hyperlink" xfId="15493" builtinId="8" hidden="1"/>
    <cellStyle name="Hyperlink" xfId="15495" builtinId="8" hidden="1"/>
    <cellStyle name="Hyperlink" xfId="15497" builtinId="8" hidden="1"/>
    <cellStyle name="Hyperlink" xfId="15547" builtinId="8" hidden="1"/>
    <cellStyle name="Hyperlink" xfId="15549" builtinId="8" hidden="1"/>
    <cellStyle name="Hyperlink" xfId="15551" builtinId="8" hidden="1"/>
    <cellStyle name="Hyperlink" xfId="15553" builtinId="8" hidden="1"/>
    <cellStyle name="Hyperlink" xfId="15543" builtinId="8" hidden="1"/>
    <cellStyle name="Hyperlink" xfId="15533" builtinId="8" hidden="1"/>
    <cellStyle name="Hyperlink" xfId="15555" builtinId="8" hidden="1"/>
    <cellStyle name="Hyperlink" xfId="15557" builtinId="8" hidden="1"/>
    <cellStyle name="Hyperlink" xfId="15559" builtinId="8" hidden="1"/>
    <cellStyle name="Hyperlink" xfId="15561" builtinId="8" hidden="1"/>
    <cellStyle name="Hyperlink" xfId="15527" builtinId="8" hidden="1"/>
    <cellStyle name="Hyperlink" xfId="15513" builtinId="8" hidden="1"/>
    <cellStyle name="Hyperlink" xfId="15563" builtinId="8" hidden="1"/>
    <cellStyle name="Hyperlink" xfId="15565" builtinId="8" hidden="1"/>
    <cellStyle name="Hyperlink" xfId="15567" builtinId="8" hidden="1"/>
    <cellStyle name="Hyperlink" xfId="15569" builtinId="8" hidden="1"/>
    <cellStyle name="Hyperlink" xfId="15532" builtinId="8" hidden="1"/>
    <cellStyle name="Hyperlink" xfId="15501" builtinId="8" hidden="1"/>
    <cellStyle name="Hyperlink" xfId="15571" builtinId="8" hidden="1"/>
    <cellStyle name="Hyperlink" xfId="15573" builtinId="8" hidden="1"/>
    <cellStyle name="Hyperlink" xfId="15575" builtinId="8" hidden="1"/>
    <cellStyle name="Hyperlink" xfId="15577" builtinId="8" hidden="1"/>
    <cellStyle name="Hyperlink" xfId="15502" builtinId="8" hidden="1"/>
    <cellStyle name="Hyperlink" xfId="15535" builtinId="8" hidden="1"/>
    <cellStyle name="Hyperlink" xfId="15579" builtinId="8" hidden="1"/>
    <cellStyle name="Hyperlink" xfId="15581" builtinId="8" hidden="1"/>
    <cellStyle name="Hyperlink" xfId="15583" builtinId="8" hidden="1"/>
    <cellStyle name="Hyperlink" xfId="15585" builtinId="8" hidden="1"/>
    <cellStyle name="Hyperlink" xfId="15504" builtinId="8" hidden="1"/>
    <cellStyle name="Hyperlink" xfId="15545" builtinId="8" hidden="1"/>
    <cellStyle name="Hyperlink" xfId="15587" builtinId="8" hidden="1"/>
    <cellStyle name="Hyperlink" xfId="15589" builtinId="8" hidden="1"/>
    <cellStyle name="Hyperlink" xfId="15591" builtinId="8" hidden="1"/>
    <cellStyle name="Hyperlink" xfId="15593" builtinId="8" hidden="1"/>
    <cellStyle name="Hyperlink" xfId="15525" builtinId="8" hidden="1"/>
    <cellStyle name="Hyperlink" xfId="15528" builtinId="8" hidden="1"/>
    <cellStyle name="Hyperlink" xfId="15595" builtinId="8" hidden="1"/>
    <cellStyle name="Hyperlink" xfId="15597" builtinId="8" hidden="1"/>
    <cellStyle name="Hyperlink" xfId="15599" builtinId="8" hidden="1"/>
    <cellStyle name="Hyperlink" xfId="15601" builtinId="8" hidden="1"/>
    <cellStyle name="Hyperlink" xfId="15529" builtinId="8" hidden="1"/>
    <cellStyle name="Hyperlink" xfId="15526" builtinId="8" hidden="1"/>
    <cellStyle name="Hyperlink" xfId="15603" builtinId="8" hidden="1"/>
    <cellStyle name="Hyperlink" xfId="15605" builtinId="8" hidden="1"/>
    <cellStyle name="Hyperlink" xfId="15607" builtinId="8" hidden="1"/>
    <cellStyle name="Hyperlink" xfId="15609" builtinId="8" hidden="1"/>
    <cellStyle name="Hyperlink" xfId="15544" builtinId="8" hidden="1"/>
    <cellStyle name="Hyperlink" xfId="15521" builtinId="8" hidden="1"/>
    <cellStyle name="Hyperlink" xfId="15611" builtinId="8" hidden="1"/>
    <cellStyle name="Hyperlink" xfId="15613" builtinId="8" hidden="1"/>
    <cellStyle name="Hyperlink" xfId="15615" builtinId="8" hidden="1"/>
    <cellStyle name="Hyperlink" xfId="15617" builtinId="8" hidden="1"/>
    <cellStyle name="Hyperlink" xfId="15499" builtinId="8" hidden="1"/>
    <cellStyle name="Hyperlink" xfId="15500" builtinId="8" hidden="1"/>
    <cellStyle name="Hyperlink" xfId="15619" builtinId="8" hidden="1"/>
    <cellStyle name="Hyperlink" xfId="15621" builtinId="8" hidden="1"/>
    <cellStyle name="Hyperlink" xfId="15623" builtinId="8" hidden="1"/>
    <cellStyle name="Hyperlink" xfId="15625" builtinId="8" hidden="1"/>
    <cellStyle name="Hyperlink" xfId="15505" builtinId="8" hidden="1"/>
    <cellStyle name="Hyperlink" xfId="15541" builtinId="8" hidden="1"/>
    <cellStyle name="Hyperlink" xfId="15627" builtinId="8" hidden="1"/>
    <cellStyle name="Hyperlink" xfId="15629" builtinId="8" hidden="1"/>
    <cellStyle name="Hyperlink" xfId="15631" builtinId="8" hidden="1"/>
    <cellStyle name="Hyperlink" xfId="15633" builtinId="8" hidden="1"/>
    <cellStyle name="Hyperlink" xfId="15510" builtinId="8" hidden="1"/>
    <cellStyle name="Hyperlink" xfId="15530" builtinId="8" hidden="1"/>
    <cellStyle name="Hyperlink" xfId="15635" builtinId="8" hidden="1"/>
    <cellStyle name="Hyperlink" xfId="15637" builtinId="8" hidden="1"/>
    <cellStyle name="Hyperlink" xfId="15639" builtinId="8" hidden="1"/>
    <cellStyle name="Hyperlink" xfId="15641" builtinId="8" hidden="1"/>
    <cellStyle name="Hyperlink" xfId="15517" builtinId="8" hidden="1"/>
    <cellStyle name="Hyperlink" xfId="15515" builtinId="8" hidden="1"/>
    <cellStyle name="Hyperlink" xfId="15643" builtinId="8" hidden="1"/>
    <cellStyle name="Hyperlink" xfId="15645" builtinId="8" hidden="1"/>
    <cellStyle name="Hyperlink" xfId="15647" builtinId="8" hidden="1"/>
    <cellStyle name="Hyperlink" xfId="15649" builtinId="8" hidden="1"/>
    <cellStyle name="Hyperlink" xfId="14467" builtinId="8" hidden="1"/>
    <cellStyle name="Hyperlink" xfId="14438" builtinId="8" hidden="1"/>
    <cellStyle name="Hyperlink" xfId="14980" builtinId="8" hidden="1"/>
    <cellStyle name="Hyperlink" xfId="14463" builtinId="8" hidden="1"/>
    <cellStyle name="Hyperlink" xfId="14400" builtinId="8" hidden="1"/>
    <cellStyle name="Hyperlink" xfId="14341" builtinId="8" hidden="1"/>
    <cellStyle name="Hyperlink" xfId="14455" builtinId="8" hidden="1"/>
    <cellStyle name="Hyperlink" xfId="14448" builtinId="8" hidden="1"/>
    <cellStyle name="Hyperlink" xfId="15654" builtinId="8" hidden="1"/>
    <cellStyle name="Hyperlink" xfId="15656" builtinId="8" hidden="1"/>
    <cellStyle name="Hyperlink" xfId="15658" builtinId="8" hidden="1"/>
    <cellStyle name="Hyperlink" xfId="15660" builtinId="8" hidden="1"/>
    <cellStyle name="Hyperlink" xfId="15662" builtinId="8" hidden="1"/>
    <cellStyle name="Hyperlink" xfId="15664" builtinId="8" hidden="1"/>
    <cellStyle name="Hyperlink" xfId="15714" builtinId="8" hidden="1"/>
    <cellStyle name="Hyperlink" xfId="15716" builtinId="8" hidden="1"/>
    <cellStyle name="Hyperlink" xfId="15718" builtinId="8" hidden="1"/>
    <cellStyle name="Hyperlink" xfId="15720" builtinId="8" hidden="1"/>
    <cellStyle name="Hyperlink" xfId="15710" builtinId="8" hidden="1"/>
    <cellStyle name="Hyperlink" xfId="15700" builtinId="8" hidden="1"/>
    <cellStyle name="Hyperlink" xfId="15722" builtinId="8" hidden="1"/>
    <cellStyle name="Hyperlink" xfId="15724" builtinId="8" hidden="1"/>
    <cellStyle name="Hyperlink" xfId="15726" builtinId="8" hidden="1"/>
    <cellStyle name="Hyperlink" xfId="15728" builtinId="8" hidden="1"/>
    <cellStyle name="Hyperlink" xfId="15694" builtinId="8" hidden="1"/>
    <cellStyle name="Hyperlink" xfId="15680" builtinId="8" hidden="1"/>
    <cellStyle name="Hyperlink" xfId="15730" builtinId="8" hidden="1"/>
    <cellStyle name="Hyperlink" xfId="15732" builtinId="8" hidden="1"/>
    <cellStyle name="Hyperlink" xfId="15734" builtinId="8" hidden="1"/>
    <cellStyle name="Hyperlink" xfId="15736" builtinId="8" hidden="1"/>
    <cellStyle name="Hyperlink" xfId="15699" builtinId="8" hidden="1"/>
    <cellStyle name="Hyperlink" xfId="15668" builtinId="8" hidden="1"/>
    <cellStyle name="Hyperlink" xfId="15738" builtinId="8" hidden="1"/>
    <cellStyle name="Hyperlink" xfId="15740" builtinId="8" hidden="1"/>
    <cellStyle name="Hyperlink" xfId="15742" builtinId="8" hidden="1"/>
    <cellStyle name="Hyperlink" xfId="15744" builtinId="8" hidden="1"/>
    <cellStyle name="Hyperlink" xfId="15669" builtinId="8" hidden="1"/>
    <cellStyle name="Hyperlink" xfId="15702" builtinId="8" hidden="1"/>
    <cellStyle name="Hyperlink" xfId="15746" builtinId="8" hidden="1"/>
    <cellStyle name="Hyperlink" xfId="15748" builtinId="8" hidden="1"/>
    <cellStyle name="Hyperlink" xfId="15750" builtinId="8" hidden="1"/>
    <cellStyle name="Hyperlink" xfId="15752" builtinId="8" hidden="1"/>
    <cellStyle name="Hyperlink" xfId="15671" builtinId="8" hidden="1"/>
    <cellStyle name="Hyperlink" xfId="15712" builtinId="8" hidden="1"/>
    <cellStyle name="Hyperlink" xfId="15754" builtinId="8" hidden="1"/>
    <cellStyle name="Hyperlink" xfId="15756" builtinId="8" hidden="1"/>
    <cellStyle name="Hyperlink" xfId="15758" builtinId="8" hidden="1"/>
    <cellStyle name="Hyperlink" xfId="15760" builtinId="8" hidden="1"/>
    <cellStyle name="Hyperlink" xfId="15692" builtinId="8" hidden="1"/>
    <cellStyle name="Hyperlink" xfId="15695" builtinId="8" hidden="1"/>
    <cellStyle name="Hyperlink" xfId="15762" builtinId="8" hidden="1"/>
    <cellStyle name="Hyperlink" xfId="15764" builtinId="8" hidden="1"/>
    <cellStyle name="Hyperlink" xfId="15766" builtinId="8" hidden="1"/>
    <cellStyle name="Hyperlink" xfId="15768" builtinId="8" hidden="1"/>
    <cellStyle name="Hyperlink" xfId="15696" builtinId="8" hidden="1"/>
    <cellStyle name="Hyperlink" xfId="15693" builtinId="8" hidden="1"/>
    <cellStyle name="Hyperlink" xfId="15770" builtinId="8" hidden="1"/>
    <cellStyle name="Hyperlink" xfId="15772" builtinId="8" hidden="1"/>
    <cellStyle name="Hyperlink" xfId="15774" builtinId="8" hidden="1"/>
    <cellStyle name="Hyperlink" xfId="15776" builtinId="8" hidden="1"/>
    <cellStyle name="Hyperlink" xfId="15711" builtinId="8" hidden="1"/>
    <cellStyle name="Hyperlink" xfId="15688" builtinId="8" hidden="1"/>
    <cellStyle name="Hyperlink" xfId="15778" builtinId="8" hidden="1"/>
    <cellStyle name="Hyperlink" xfId="15780" builtinId="8" hidden="1"/>
    <cellStyle name="Hyperlink" xfId="15782" builtinId="8" hidden="1"/>
    <cellStyle name="Hyperlink" xfId="15784" builtinId="8" hidden="1"/>
    <cellStyle name="Hyperlink" xfId="15666" builtinId="8" hidden="1"/>
    <cellStyle name="Hyperlink" xfId="15667" builtinId="8" hidden="1"/>
    <cellStyle name="Hyperlink" xfId="15786" builtinId="8" hidden="1"/>
    <cellStyle name="Hyperlink" xfId="15788" builtinId="8" hidden="1"/>
    <cellStyle name="Hyperlink" xfId="15790" builtinId="8" hidden="1"/>
    <cellStyle name="Hyperlink" xfId="15792" builtinId="8" hidden="1"/>
    <cellStyle name="Hyperlink" xfId="15672" builtinId="8" hidden="1"/>
    <cellStyle name="Hyperlink" xfId="15708" builtinId="8" hidden="1"/>
    <cellStyle name="Hyperlink" xfId="15794" builtinId="8" hidden="1"/>
    <cellStyle name="Hyperlink" xfId="15796" builtinId="8" hidden="1"/>
    <cellStyle name="Hyperlink" xfId="15798" builtinId="8" hidden="1"/>
    <cellStyle name="Hyperlink" xfId="15800" builtinId="8" hidden="1"/>
    <cellStyle name="Hyperlink" xfId="15677" builtinId="8" hidden="1"/>
    <cellStyle name="Hyperlink" xfId="15697" builtinId="8" hidden="1"/>
    <cellStyle name="Hyperlink" xfId="15802" builtinId="8" hidden="1"/>
    <cellStyle name="Hyperlink" xfId="15804" builtinId="8" hidden="1"/>
    <cellStyle name="Hyperlink" xfId="15806" builtinId="8" hidden="1"/>
    <cellStyle name="Hyperlink" xfId="15808" builtinId="8" hidden="1"/>
    <cellStyle name="Hyperlink" xfId="15684" builtinId="8" hidden="1"/>
    <cellStyle name="Hyperlink" xfId="15682" builtinId="8" hidden="1"/>
    <cellStyle name="Hyperlink" xfId="15810" builtinId="8" hidden="1"/>
    <cellStyle name="Hyperlink" xfId="15812" builtinId="8" hidden="1"/>
    <cellStyle name="Hyperlink" xfId="15814" builtinId="8" hidden="1"/>
    <cellStyle name="Hyperlink" xfId="15816" builtinId="8" hidden="1"/>
    <cellStyle name="Hyperlink" xfId="14442" builtinId="8" hidden="1"/>
    <cellStyle name="Hyperlink" xfId="14426" builtinId="8" hidden="1"/>
    <cellStyle name="Hyperlink" xfId="15149" builtinId="8" hidden="1"/>
    <cellStyle name="Hyperlink" xfId="14405" builtinId="8" hidden="1"/>
    <cellStyle name="Hyperlink" xfId="14322" builtinId="8" hidden="1"/>
    <cellStyle name="Hyperlink" xfId="14384" builtinId="8" hidden="1"/>
    <cellStyle name="Hyperlink" xfId="14806" builtinId="8" hidden="1"/>
    <cellStyle name="Hyperlink" xfId="14403" builtinId="8" hidden="1"/>
    <cellStyle name="Hyperlink" xfId="15819" builtinId="8" hidden="1"/>
    <cellStyle name="Hyperlink" xfId="15821" builtinId="8" hidden="1"/>
    <cellStyle name="Hyperlink" xfId="15823" builtinId="8" hidden="1"/>
    <cellStyle name="Hyperlink" xfId="15825" builtinId="8" hidden="1"/>
    <cellStyle name="Hyperlink" xfId="15827" builtinId="8" hidden="1"/>
    <cellStyle name="Hyperlink" xfId="15829" builtinId="8" hidden="1"/>
    <cellStyle name="Hyperlink" xfId="15879" builtinId="8" hidden="1"/>
    <cellStyle name="Hyperlink" xfId="15881" builtinId="8" hidden="1"/>
    <cellStyle name="Hyperlink" xfId="15883" builtinId="8" hidden="1"/>
    <cellStyle name="Hyperlink" xfId="15885" builtinId="8" hidden="1"/>
    <cellStyle name="Hyperlink" xfId="15875" builtinId="8" hidden="1"/>
    <cellStyle name="Hyperlink" xfId="15865" builtinId="8" hidden="1"/>
    <cellStyle name="Hyperlink" xfId="15887" builtinId="8" hidden="1"/>
    <cellStyle name="Hyperlink" xfId="15889" builtinId="8" hidden="1"/>
    <cellStyle name="Hyperlink" xfId="15891" builtinId="8" hidden="1"/>
    <cellStyle name="Hyperlink" xfId="15893" builtinId="8" hidden="1"/>
    <cellStyle name="Hyperlink" xfId="15859" builtinId="8" hidden="1"/>
    <cellStyle name="Hyperlink" xfId="15845" builtinId="8" hidden="1"/>
    <cellStyle name="Hyperlink" xfId="15895" builtinId="8" hidden="1"/>
    <cellStyle name="Hyperlink" xfId="15897" builtinId="8" hidden="1"/>
    <cellStyle name="Hyperlink" xfId="15899" builtinId="8" hidden="1"/>
    <cellStyle name="Hyperlink" xfId="15901" builtinId="8" hidden="1"/>
    <cellStyle name="Hyperlink" xfId="15864" builtinId="8" hidden="1"/>
    <cellStyle name="Hyperlink" xfId="15833" builtinId="8" hidden="1"/>
    <cellStyle name="Hyperlink" xfId="15903" builtinId="8" hidden="1"/>
    <cellStyle name="Hyperlink" xfId="15905" builtinId="8" hidden="1"/>
    <cellStyle name="Hyperlink" xfId="15907" builtinId="8" hidden="1"/>
    <cellStyle name="Hyperlink" xfId="15909" builtinId="8" hidden="1"/>
    <cellStyle name="Hyperlink" xfId="15834" builtinId="8" hidden="1"/>
    <cellStyle name="Hyperlink" xfId="15867" builtinId="8" hidden="1"/>
    <cellStyle name="Hyperlink" xfId="15911" builtinId="8" hidden="1"/>
    <cellStyle name="Hyperlink" xfId="15913" builtinId="8" hidden="1"/>
    <cellStyle name="Hyperlink" xfId="15915" builtinId="8" hidden="1"/>
    <cellStyle name="Hyperlink" xfId="15917" builtinId="8" hidden="1"/>
    <cellStyle name="Hyperlink" xfId="15836" builtinId="8" hidden="1"/>
    <cellStyle name="Hyperlink" xfId="15877" builtinId="8" hidden="1"/>
    <cellStyle name="Hyperlink" xfId="15919" builtinId="8" hidden="1"/>
    <cellStyle name="Hyperlink" xfId="15921" builtinId="8" hidden="1"/>
    <cellStyle name="Hyperlink" xfId="15923" builtinId="8" hidden="1"/>
    <cellStyle name="Hyperlink" xfId="15925" builtinId="8" hidden="1"/>
    <cellStyle name="Hyperlink" xfId="15857" builtinId="8" hidden="1"/>
    <cellStyle name="Hyperlink" xfId="15860" builtinId="8" hidden="1"/>
    <cellStyle name="Hyperlink" xfId="15927" builtinId="8" hidden="1"/>
    <cellStyle name="Hyperlink" xfId="15929" builtinId="8" hidden="1"/>
    <cellStyle name="Hyperlink" xfId="15931" builtinId="8" hidden="1"/>
    <cellStyle name="Hyperlink" xfId="15933" builtinId="8" hidden="1"/>
    <cellStyle name="Hyperlink" xfId="15861" builtinId="8" hidden="1"/>
    <cellStyle name="Hyperlink" xfId="15858" builtinId="8" hidden="1"/>
    <cellStyle name="Hyperlink" xfId="15935" builtinId="8" hidden="1"/>
    <cellStyle name="Hyperlink" xfId="15937" builtinId="8" hidden="1"/>
    <cellStyle name="Hyperlink" xfId="15939" builtinId="8" hidden="1"/>
    <cellStyle name="Hyperlink" xfId="15941" builtinId="8" hidden="1"/>
    <cellStyle name="Hyperlink" xfId="15876" builtinId="8" hidden="1"/>
    <cellStyle name="Hyperlink" xfId="15853" builtinId="8" hidden="1"/>
    <cellStyle name="Hyperlink" xfId="15943" builtinId="8" hidden="1"/>
    <cellStyle name="Hyperlink" xfId="15945" builtinId="8" hidden="1"/>
    <cellStyle name="Hyperlink" xfId="15947" builtinId="8" hidden="1"/>
    <cellStyle name="Hyperlink" xfId="15949" builtinId="8" hidden="1"/>
    <cellStyle name="Hyperlink" xfId="15831" builtinId="8" hidden="1"/>
    <cellStyle name="Hyperlink" xfId="15832" builtinId="8" hidden="1"/>
    <cellStyle name="Hyperlink" xfId="15951" builtinId="8" hidden="1"/>
    <cellStyle name="Hyperlink" xfId="15953" builtinId="8" hidden="1"/>
    <cellStyle name="Hyperlink" xfId="15955" builtinId="8" hidden="1"/>
    <cellStyle name="Hyperlink" xfId="15957" builtinId="8" hidden="1"/>
    <cellStyle name="Hyperlink" xfId="15837" builtinId="8" hidden="1"/>
    <cellStyle name="Hyperlink" xfId="15873" builtinId="8" hidden="1"/>
    <cellStyle name="Hyperlink" xfId="15959" builtinId="8" hidden="1"/>
    <cellStyle name="Hyperlink" xfId="15961" builtinId="8" hidden="1"/>
    <cellStyle name="Hyperlink" xfId="15963" builtinId="8" hidden="1"/>
    <cellStyle name="Hyperlink" xfId="15965" builtinId="8" hidden="1"/>
    <cellStyle name="Hyperlink" xfId="15842" builtinId="8" hidden="1"/>
    <cellStyle name="Hyperlink" xfId="15862" builtinId="8" hidden="1"/>
    <cellStyle name="Hyperlink" xfId="15967" builtinId="8" hidden="1"/>
    <cellStyle name="Hyperlink" xfId="15969" builtinId="8" hidden="1"/>
    <cellStyle name="Hyperlink" xfId="15971" builtinId="8" hidden="1"/>
    <cellStyle name="Hyperlink" xfId="15973" builtinId="8" hidden="1"/>
    <cellStyle name="Hyperlink" xfId="15849" builtinId="8" hidden="1"/>
    <cellStyle name="Hyperlink" xfId="15847" builtinId="8" hidden="1"/>
    <cellStyle name="Hyperlink" xfId="15975" builtinId="8" hidden="1"/>
    <cellStyle name="Hyperlink" xfId="15977" builtinId="8" hidden="1"/>
    <cellStyle name="Hyperlink" xfId="15979" builtinId="8" hidden="1"/>
    <cellStyle name="Hyperlink" xfId="15981" builtinId="8" hidden="1"/>
    <cellStyle name="Hyperlink" xfId="14462" builtinId="8" hidden="1"/>
    <cellStyle name="Hyperlink" xfId="14346" builtinId="8" hidden="1"/>
    <cellStyle name="Hyperlink" xfId="15318" builtinId="8" hidden="1"/>
    <cellStyle name="Hyperlink" xfId="14327" builtinId="8" hidden="1"/>
    <cellStyle name="Hyperlink" xfId="14385" builtinId="8" hidden="1"/>
    <cellStyle name="Hyperlink" xfId="14420" builtinId="8" hidden="1"/>
    <cellStyle name="Hyperlink" xfId="14976" builtinId="8" hidden="1"/>
    <cellStyle name="Hyperlink" xfId="14342" builtinId="8" hidden="1"/>
    <cellStyle name="Hyperlink" xfId="15984" builtinId="8" hidden="1"/>
    <cellStyle name="Hyperlink" xfId="15986" builtinId="8" hidden="1"/>
    <cellStyle name="Hyperlink" xfId="15988" builtinId="8" hidden="1"/>
    <cellStyle name="Hyperlink" xfId="15990" builtinId="8" hidden="1"/>
    <cellStyle name="Hyperlink" xfId="15992" builtinId="8" hidden="1"/>
    <cellStyle name="Hyperlink" xfId="15994" builtinId="8" hidden="1"/>
    <cellStyle name="Hyperlink" xfId="16044" builtinId="8" hidden="1"/>
    <cellStyle name="Hyperlink" xfId="16046" builtinId="8" hidden="1"/>
    <cellStyle name="Hyperlink" xfId="16048" builtinId="8" hidden="1"/>
    <cellStyle name="Hyperlink" xfId="16050" builtinId="8" hidden="1"/>
    <cellStyle name="Hyperlink" xfId="16040" builtinId="8" hidden="1"/>
    <cellStyle name="Hyperlink" xfId="16030" builtinId="8" hidden="1"/>
    <cellStyle name="Hyperlink" xfId="16052" builtinId="8" hidden="1"/>
    <cellStyle name="Hyperlink" xfId="16054" builtinId="8" hidden="1"/>
    <cellStyle name="Hyperlink" xfId="16056" builtinId="8" hidden="1"/>
    <cellStyle name="Hyperlink" xfId="16058" builtinId="8" hidden="1"/>
    <cellStyle name="Hyperlink" xfId="16024" builtinId="8" hidden="1"/>
    <cellStyle name="Hyperlink" xfId="16010" builtinId="8" hidden="1"/>
    <cellStyle name="Hyperlink" xfId="16060" builtinId="8" hidden="1"/>
    <cellStyle name="Hyperlink" xfId="16062" builtinId="8" hidden="1"/>
    <cellStyle name="Hyperlink" xfId="16064" builtinId="8" hidden="1"/>
    <cellStyle name="Hyperlink" xfId="16066" builtinId="8" hidden="1"/>
    <cellStyle name="Hyperlink" xfId="16029" builtinId="8" hidden="1"/>
    <cellStyle name="Hyperlink" xfId="15998" builtinId="8" hidden="1"/>
    <cellStyle name="Hyperlink" xfId="16068" builtinId="8" hidden="1"/>
    <cellStyle name="Hyperlink" xfId="16070" builtinId="8" hidden="1"/>
    <cellStyle name="Hyperlink" xfId="16072" builtinId="8" hidden="1"/>
    <cellStyle name="Hyperlink" xfId="16074" builtinId="8" hidden="1"/>
    <cellStyle name="Hyperlink" xfId="15999" builtinId="8" hidden="1"/>
    <cellStyle name="Hyperlink" xfId="16032" builtinId="8" hidden="1"/>
    <cellStyle name="Hyperlink" xfId="16076" builtinId="8" hidden="1"/>
    <cellStyle name="Hyperlink" xfId="16078" builtinId="8" hidden="1"/>
    <cellStyle name="Hyperlink" xfId="16080" builtinId="8" hidden="1"/>
    <cellStyle name="Hyperlink" xfId="16082" builtinId="8" hidden="1"/>
    <cellStyle name="Hyperlink" xfId="16001" builtinId="8" hidden="1"/>
    <cellStyle name="Hyperlink" xfId="16042" builtinId="8" hidden="1"/>
    <cellStyle name="Hyperlink" xfId="16084" builtinId="8" hidden="1"/>
    <cellStyle name="Hyperlink" xfId="16086" builtinId="8" hidden="1"/>
    <cellStyle name="Hyperlink" xfId="16088" builtinId="8" hidden="1"/>
    <cellStyle name="Hyperlink" xfId="16090" builtinId="8" hidden="1"/>
    <cellStyle name="Hyperlink" xfId="16022" builtinId="8" hidden="1"/>
    <cellStyle name="Hyperlink" xfId="16025" builtinId="8" hidden="1"/>
    <cellStyle name="Hyperlink" xfId="16092" builtinId="8" hidden="1"/>
    <cellStyle name="Hyperlink" xfId="16094" builtinId="8" hidden="1"/>
    <cellStyle name="Hyperlink" xfId="16096" builtinId="8" hidden="1"/>
    <cellStyle name="Hyperlink" xfId="16098" builtinId="8" hidden="1"/>
    <cellStyle name="Hyperlink" xfId="16026" builtinId="8" hidden="1"/>
    <cellStyle name="Hyperlink" xfId="16023" builtinId="8" hidden="1"/>
    <cellStyle name="Hyperlink" xfId="16100" builtinId="8" hidden="1"/>
    <cellStyle name="Hyperlink" xfId="16102" builtinId="8" hidden="1"/>
    <cellStyle name="Hyperlink" xfId="16104" builtinId="8" hidden="1"/>
    <cellStyle name="Hyperlink" xfId="16106" builtinId="8" hidden="1"/>
    <cellStyle name="Hyperlink" xfId="16041" builtinId="8" hidden="1"/>
    <cellStyle name="Hyperlink" xfId="16018" builtinId="8" hidden="1"/>
    <cellStyle name="Hyperlink" xfId="16108" builtinId="8" hidden="1"/>
    <cellStyle name="Hyperlink" xfId="16110" builtinId="8" hidden="1"/>
    <cellStyle name="Hyperlink" xfId="16112" builtinId="8" hidden="1"/>
    <cellStyle name="Hyperlink" xfId="16114" builtinId="8" hidden="1"/>
    <cellStyle name="Hyperlink" xfId="15996" builtinId="8" hidden="1"/>
    <cellStyle name="Hyperlink" xfId="15997" builtinId="8" hidden="1"/>
    <cellStyle name="Hyperlink" xfId="16116" builtinId="8" hidden="1"/>
    <cellStyle name="Hyperlink" xfId="16118" builtinId="8" hidden="1"/>
    <cellStyle name="Hyperlink" xfId="16120" builtinId="8" hidden="1"/>
    <cellStyle name="Hyperlink" xfId="16122" builtinId="8" hidden="1"/>
    <cellStyle name="Hyperlink" xfId="16002" builtinId="8" hidden="1"/>
    <cellStyle name="Hyperlink" xfId="16038" builtinId="8" hidden="1"/>
    <cellStyle name="Hyperlink" xfId="16124" builtinId="8" hidden="1"/>
    <cellStyle name="Hyperlink" xfId="16126" builtinId="8" hidden="1"/>
    <cellStyle name="Hyperlink" xfId="16128" builtinId="8" hidden="1"/>
    <cellStyle name="Hyperlink" xfId="16130" builtinId="8" hidden="1"/>
    <cellStyle name="Hyperlink" xfId="16007" builtinId="8" hidden="1"/>
    <cellStyle name="Hyperlink" xfId="16027" builtinId="8" hidden="1"/>
    <cellStyle name="Hyperlink" xfId="16132" builtinId="8" hidden="1"/>
    <cellStyle name="Hyperlink" xfId="16134" builtinId="8" hidden="1"/>
    <cellStyle name="Hyperlink" xfId="16136" builtinId="8" hidden="1"/>
    <cellStyle name="Hyperlink" xfId="16138" builtinId="8" hidden="1"/>
    <cellStyle name="Hyperlink" xfId="16014" builtinId="8" hidden="1"/>
    <cellStyle name="Hyperlink" xfId="16012" builtinId="8" hidden="1"/>
    <cellStyle name="Hyperlink" xfId="16140" builtinId="8" hidden="1"/>
    <cellStyle name="Hyperlink" xfId="16142" builtinId="8" hidden="1"/>
    <cellStyle name="Hyperlink" xfId="16144" builtinId="8" hidden="1"/>
    <cellStyle name="Hyperlink" xfId="16146" builtinId="8" hidden="1"/>
    <cellStyle name="Hyperlink" xfId="14646" builtinId="8" hidden="1"/>
    <cellStyle name="Hyperlink" xfId="14805" builtinId="8" hidden="1"/>
    <cellStyle name="Hyperlink" xfId="15485" builtinId="8" hidden="1"/>
    <cellStyle name="Hyperlink" xfId="14807" builtinId="8" hidden="1"/>
    <cellStyle name="Hyperlink" xfId="14464" builtinId="8" hidden="1"/>
    <cellStyle name="Hyperlink" xfId="14414" builtinId="8" hidden="1"/>
    <cellStyle name="Hyperlink" xfId="15146" builtinId="8" hidden="1"/>
    <cellStyle name="Hyperlink" xfId="14432" builtinId="8" hidden="1"/>
    <cellStyle name="Hyperlink" xfId="16149" builtinId="8" hidden="1"/>
    <cellStyle name="Hyperlink" xfId="16151" builtinId="8" hidden="1"/>
    <cellStyle name="Hyperlink" xfId="16153" builtinId="8" hidden="1"/>
    <cellStyle name="Hyperlink" xfId="16155" builtinId="8" hidden="1"/>
    <cellStyle name="Hyperlink" xfId="16157" builtinId="8" hidden="1"/>
    <cellStyle name="Hyperlink" xfId="16159" builtinId="8" hidden="1"/>
    <cellStyle name="Hyperlink" xfId="16209" builtinId="8" hidden="1"/>
    <cellStyle name="Hyperlink" xfId="16211" builtinId="8" hidden="1"/>
    <cellStyle name="Hyperlink" xfId="16213" builtinId="8" hidden="1"/>
    <cellStyle name="Hyperlink" xfId="16215" builtinId="8" hidden="1"/>
    <cellStyle name="Hyperlink" xfId="16205" builtinId="8" hidden="1"/>
    <cellStyle name="Hyperlink" xfId="16195" builtinId="8" hidden="1"/>
    <cellStyle name="Hyperlink" xfId="16217" builtinId="8" hidden="1"/>
    <cellStyle name="Hyperlink" xfId="16219" builtinId="8" hidden="1"/>
    <cellStyle name="Hyperlink" xfId="16221" builtinId="8" hidden="1"/>
    <cellStyle name="Hyperlink" xfId="16223" builtinId="8" hidden="1"/>
    <cellStyle name="Hyperlink" xfId="16189" builtinId="8" hidden="1"/>
    <cellStyle name="Hyperlink" xfId="16175" builtinId="8" hidden="1"/>
    <cellStyle name="Hyperlink" xfId="16225" builtinId="8" hidden="1"/>
    <cellStyle name="Hyperlink" xfId="16227" builtinId="8" hidden="1"/>
    <cellStyle name="Hyperlink" xfId="16229" builtinId="8" hidden="1"/>
    <cellStyle name="Hyperlink" xfId="16231" builtinId="8" hidden="1"/>
    <cellStyle name="Hyperlink" xfId="16194" builtinId="8" hidden="1"/>
    <cellStyle name="Hyperlink" xfId="16163" builtinId="8" hidden="1"/>
    <cellStyle name="Hyperlink" xfId="16233" builtinId="8" hidden="1"/>
    <cellStyle name="Hyperlink" xfId="16235" builtinId="8" hidden="1"/>
    <cellStyle name="Hyperlink" xfId="16237" builtinId="8" hidden="1"/>
    <cellStyle name="Hyperlink" xfId="16239" builtinId="8" hidden="1"/>
    <cellStyle name="Hyperlink" xfId="16164" builtinId="8" hidden="1"/>
    <cellStyle name="Hyperlink" xfId="16197" builtinId="8" hidden="1"/>
    <cellStyle name="Hyperlink" xfId="16241" builtinId="8" hidden="1"/>
    <cellStyle name="Hyperlink" xfId="16243" builtinId="8" hidden="1"/>
    <cellStyle name="Hyperlink" xfId="16245" builtinId="8" hidden="1"/>
    <cellStyle name="Hyperlink" xfId="16247" builtinId="8" hidden="1"/>
    <cellStyle name="Hyperlink" xfId="16166" builtinId="8" hidden="1"/>
    <cellStyle name="Hyperlink" xfId="16207" builtinId="8" hidden="1"/>
    <cellStyle name="Hyperlink" xfId="16249" builtinId="8" hidden="1"/>
    <cellStyle name="Hyperlink" xfId="16251" builtinId="8" hidden="1"/>
    <cellStyle name="Hyperlink" xfId="16253" builtinId="8" hidden="1"/>
    <cellStyle name="Hyperlink" xfId="16255" builtinId="8" hidden="1"/>
    <cellStyle name="Hyperlink" xfId="16187" builtinId="8" hidden="1"/>
    <cellStyle name="Hyperlink" xfId="16190" builtinId="8" hidden="1"/>
    <cellStyle name="Hyperlink" xfId="16257" builtinId="8" hidden="1"/>
    <cellStyle name="Hyperlink" xfId="16259" builtinId="8" hidden="1"/>
    <cellStyle name="Hyperlink" xfId="16261" builtinId="8" hidden="1"/>
    <cellStyle name="Hyperlink" xfId="16263" builtinId="8" hidden="1"/>
    <cellStyle name="Hyperlink" xfId="16191" builtinId="8" hidden="1"/>
    <cellStyle name="Hyperlink" xfId="16188" builtinId="8" hidden="1"/>
    <cellStyle name="Hyperlink" xfId="16265" builtinId="8" hidden="1"/>
    <cellStyle name="Hyperlink" xfId="16267" builtinId="8" hidden="1"/>
    <cellStyle name="Hyperlink" xfId="16269" builtinId="8" hidden="1"/>
    <cellStyle name="Hyperlink" xfId="16271" builtinId="8" hidden="1"/>
    <cellStyle name="Hyperlink" xfId="16206" builtinId="8" hidden="1"/>
    <cellStyle name="Hyperlink" xfId="16183" builtinId="8" hidden="1"/>
    <cellStyle name="Hyperlink" xfId="16273" builtinId="8" hidden="1"/>
    <cellStyle name="Hyperlink" xfId="16275" builtinId="8" hidden="1"/>
    <cellStyle name="Hyperlink" xfId="16277" builtinId="8" hidden="1"/>
    <cellStyle name="Hyperlink" xfId="16279" builtinId="8" hidden="1"/>
    <cellStyle name="Hyperlink" xfId="16161" builtinId="8" hidden="1"/>
    <cellStyle name="Hyperlink" xfId="16162" builtinId="8" hidden="1"/>
    <cellStyle name="Hyperlink" xfId="16281" builtinId="8" hidden="1"/>
    <cellStyle name="Hyperlink" xfId="16283" builtinId="8" hidden="1"/>
    <cellStyle name="Hyperlink" xfId="16285" builtinId="8" hidden="1"/>
    <cellStyle name="Hyperlink" xfId="16287" builtinId="8" hidden="1"/>
    <cellStyle name="Hyperlink" xfId="16167" builtinId="8" hidden="1"/>
    <cellStyle name="Hyperlink" xfId="16203" builtinId="8" hidden="1"/>
    <cellStyle name="Hyperlink" xfId="16289" builtinId="8" hidden="1"/>
    <cellStyle name="Hyperlink" xfId="16291" builtinId="8" hidden="1"/>
    <cellStyle name="Hyperlink" xfId="16293" builtinId="8" hidden="1"/>
    <cellStyle name="Hyperlink" xfId="16295" builtinId="8" hidden="1"/>
    <cellStyle name="Hyperlink" xfId="16172" builtinId="8" hidden="1"/>
    <cellStyle name="Hyperlink" xfId="16192" builtinId="8" hidden="1"/>
    <cellStyle name="Hyperlink" xfId="16297" builtinId="8" hidden="1"/>
    <cellStyle name="Hyperlink" xfId="16299" builtinId="8" hidden="1"/>
    <cellStyle name="Hyperlink" xfId="16301" builtinId="8" hidden="1"/>
    <cellStyle name="Hyperlink" xfId="16303" builtinId="8" hidden="1"/>
    <cellStyle name="Hyperlink" xfId="16179" builtinId="8" hidden="1"/>
    <cellStyle name="Hyperlink" xfId="16177" builtinId="8" hidden="1"/>
    <cellStyle name="Hyperlink" xfId="16305" builtinId="8" hidden="1"/>
    <cellStyle name="Hyperlink" xfId="16307" builtinId="8" hidden="1"/>
    <cellStyle name="Hyperlink" xfId="16309" builtinId="8" hidden="1"/>
    <cellStyle name="Hyperlink" xfId="16311" builtinId="8" hidden="1"/>
    <cellStyle name="Hyperlink" xfId="14348" builtinId="8" hidden="1"/>
    <cellStyle name="Hyperlink" xfId="14437" builtinId="8" hidden="1"/>
    <cellStyle name="Hyperlink" xfId="15652" builtinId="8" hidden="1"/>
    <cellStyle name="Hyperlink" xfId="14977" builtinId="8" hidden="1"/>
    <cellStyle name="Hyperlink" xfId="14466" builtinId="8" hidden="1"/>
    <cellStyle name="Hyperlink" xfId="14377" builtinId="8" hidden="1"/>
    <cellStyle name="Hyperlink" xfId="15315" builtinId="8" hidden="1"/>
    <cellStyle name="Hyperlink" xfId="14468" builtinId="8" hidden="1"/>
    <cellStyle name="Hyperlink" xfId="16313" builtinId="8" hidden="1"/>
    <cellStyle name="Hyperlink" xfId="16315" builtinId="8" hidden="1"/>
    <cellStyle name="Hyperlink" xfId="16317" builtinId="8" hidden="1"/>
    <cellStyle name="Hyperlink" xfId="16319" builtinId="8" hidden="1"/>
    <cellStyle name="Hyperlink" xfId="16321" builtinId="8" hidden="1"/>
    <cellStyle name="Hyperlink" xfId="16323" builtinId="8" hidden="1"/>
    <cellStyle name="Hyperlink" xfId="16373" builtinId="8" hidden="1"/>
    <cellStyle name="Hyperlink" xfId="16375" builtinId="8" hidden="1"/>
    <cellStyle name="Hyperlink" xfId="16377" builtinId="8" hidden="1"/>
    <cellStyle name="Hyperlink" xfId="16379" builtinId="8" hidden="1"/>
    <cellStyle name="Hyperlink" xfId="16369" builtinId="8" hidden="1"/>
    <cellStyle name="Hyperlink" xfId="16359" builtinId="8" hidden="1"/>
    <cellStyle name="Hyperlink" xfId="16381" builtinId="8" hidden="1"/>
    <cellStyle name="Hyperlink" xfId="16383" builtinId="8" hidden="1"/>
    <cellStyle name="Hyperlink" xfId="16385" builtinId="8" hidden="1"/>
    <cellStyle name="Hyperlink" xfId="16387" builtinId="8" hidden="1"/>
    <cellStyle name="Hyperlink" xfId="16353" builtinId="8" hidden="1"/>
    <cellStyle name="Hyperlink" xfId="16339" builtinId="8" hidden="1"/>
    <cellStyle name="Hyperlink" xfId="16389" builtinId="8" hidden="1"/>
    <cellStyle name="Hyperlink" xfId="16391" builtinId="8" hidden="1"/>
    <cellStyle name="Hyperlink" xfId="16393" builtinId="8" hidden="1"/>
    <cellStyle name="Hyperlink" xfId="16395" builtinId="8" hidden="1"/>
    <cellStyle name="Hyperlink" xfId="16358" builtinId="8" hidden="1"/>
    <cellStyle name="Hyperlink" xfId="16327" builtinId="8" hidden="1"/>
    <cellStyle name="Hyperlink" xfId="16397" builtinId="8" hidden="1"/>
    <cellStyle name="Hyperlink" xfId="16399" builtinId="8" hidden="1"/>
    <cellStyle name="Hyperlink" xfId="16401" builtinId="8" hidden="1"/>
    <cellStyle name="Hyperlink" xfId="16403" builtinId="8" hidden="1"/>
    <cellStyle name="Hyperlink" xfId="16328" builtinId="8" hidden="1"/>
    <cellStyle name="Hyperlink" xfId="16361" builtinId="8" hidden="1"/>
    <cellStyle name="Hyperlink" xfId="16405" builtinId="8" hidden="1"/>
    <cellStyle name="Hyperlink" xfId="16407" builtinId="8" hidden="1"/>
    <cellStyle name="Hyperlink" xfId="16409" builtinId="8" hidden="1"/>
    <cellStyle name="Hyperlink" xfId="16411" builtinId="8" hidden="1"/>
    <cellStyle name="Hyperlink" xfId="16330" builtinId="8" hidden="1"/>
    <cellStyle name="Hyperlink" xfId="16371" builtinId="8" hidden="1"/>
    <cellStyle name="Hyperlink" xfId="16413" builtinId="8" hidden="1"/>
    <cellStyle name="Hyperlink" xfId="16415" builtinId="8" hidden="1"/>
    <cellStyle name="Hyperlink" xfId="16417" builtinId="8" hidden="1"/>
    <cellStyle name="Hyperlink" xfId="16419" builtinId="8" hidden="1"/>
    <cellStyle name="Hyperlink" xfId="16351" builtinId="8" hidden="1"/>
    <cellStyle name="Hyperlink" xfId="16354" builtinId="8" hidden="1"/>
    <cellStyle name="Hyperlink" xfId="16421" builtinId="8" hidden="1"/>
    <cellStyle name="Hyperlink" xfId="16423" builtinId="8" hidden="1"/>
    <cellStyle name="Hyperlink" xfId="16425" builtinId="8" hidden="1"/>
    <cellStyle name="Hyperlink" xfId="16427" builtinId="8" hidden="1"/>
    <cellStyle name="Hyperlink" xfId="16355" builtinId="8" hidden="1"/>
    <cellStyle name="Hyperlink" xfId="16352" builtinId="8" hidden="1"/>
    <cellStyle name="Hyperlink" xfId="16429" builtinId="8" hidden="1"/>
    <cellStyle name="Hyperlink" xfId="16431" builtinId="8" hidden="1"/>
    <cellStyle name="Hyperlink" xfId="16433" builtinId="8" hidden="1"/>
    <cellStyle name="Hyperlink" xfId="16435" builtinId="8" hidden="1"/>
    <cellStyle name="Hyperlink" xfId="16370" builtinId="8" hidden="1"/>
    <cellStyle name="Hyperlink" xfId="16347" builtinId="8" hidden="1"/>
    <cellStyle name="Hyperlink" xfId="16437" builtinId="8" hidden="1"/>
    <cellStyle name="Hyperlink" xfId="16439" builtinId="8" hidden="1"/>
    <cellStyle name="Hyperlink" xfId="16441" builtinId="8" hidden="1"/>
    <cellStyle name="Hyperlink" xfId="16443" builtinId="8" hidden="1"/>
    <cellStyle name="Hyperlink" xfId="16325" builtinId="8" hidden="1"/>
    <cellStyle name="Hyperlink" xfId="16326" builtinId="8" hidden="1"/>
    <cellStyle name="Hyperlink" xfId="16445" builtinId="8" hidden="1"/>
    <cellStyle name="Hyperlink" xfId="16447" builtinId="8" hidden="1"/>
    <cellStyle name="Hyperlink" xfId="16449" builtinId="8" hidden="1"/>
    <cellStyle name="Hyperlink" xfId="16451" builtinId="8" hidden="1"/>
    <cellStyle name="Hyperlink" xfId="16331" builtinId="8" hidden="1"/>
    <cellStyle name="Hyperlink" xfId="16367" builtinId="8" hidden="1"/>
    <cellStyle name="Hyperlink" xfId="16453" builtinId="8" hidden="1"/>
    <cellStyle name="Hyperlink" xfId="16455" builtinId="8" hidden="1"/>
    <cellStyle name="Hyperlink" xfId="16457" builtinId="8" hidden="1"/>
    <cellStyle name="Hyperlink" xfId="16459" builtinId="8" hidden="1"/>
    <cellStyle name="Hyperlink" xfId="16336" builtinId="8" hidden="1"/>
    <cellStyle name="Hyperlink" xfId="16356" builtinId="8" hidden="1"/>
    <cellStyle name="Hyperlink" xfId="16461" builtinId="8" hidden="1"/>
    <cellStyle name="Hyperlink" xfId="16463" builtinId="8" hidden="1"/>
    <cellStyle name="Hyperlink" xfId="16465" builtinId="8" hidden="1"/>
    <cellStyle name="Hyperlink" xfId="16467" builtinId="8" hidden="1"/>
    <cellStyle name="Hyperlink" xfId="16343" builtinId="8" hidden="1"/>
    <cellStyle name="Hyperlink" xfId="16341" builtinId="8" hidden="1"/>
    <cellStyle name="Hyperlink" xfId="16469" builtinId="8" hidden="1"/>
    <cellStyle name="Hyperlink" xfId="16471" builtinId="8" hidden="1"/>
    <cellStyle name="Hyperlink" xfId="16473" builtinId="8" hidden="1"/>
    <cellStyle name="Hyperlink" xfId="16475" builtinId="8" hidden="1"/>
    <cellStyle name="Hyperlink" xfId="16478" builtinId="8" hidden="1"/>
    <cellStyle name="Hyperlink" xfId="16480" builtinId="8" hidden="1"/>
    <cellStyle name="Hyperlink" xfId="16482" builtinId="8" hidden="1"/>
    <cellStyle name="Hyperlink" xfId="16484" builtinId="8" hidden="1"/>
    <cellStyle name="Hyperlink" xfId="16486" builtinId="8" hidden="1"/>
    <cellStyle name="Hyperlink" xfId="16488" builtinId="8" hidden="1"/>
    <cellStyle name="Hyperlink" xfId="16490" builtinId="8" hidden="1"/>
    <cellStyle name="Hyperlink" xfId="16492" builtinId="8" hidden="1"/>
    <cellStyle name="Hyperlink" xfId="16494" builtinId="8" hidden="1"/>
    <cellStyle name="Hyperlink" xfId="16496" builtinId="8" hidden="1"/>
    <cellStyle name="Hyperlink" xfId="16498" builtinId="8" hidden="1"/>
    <cellStyle name="Hyperlink" xfId="16500" builtinId="8" hidden="1"/>
    <cellStyle name="Hyperlink" xfId="16502" builtinId="8" hidden="1"/>
    <cellStyle name="Hyperlink" xfId="16504" builtinId="8" hidden="1"/>
    <cellStyle name="Hyperlink" xfId="16554" builtinId="8" hidden="1"/>
    <cellStyle name="Hyperlink" xfId="16556" builtinId="8" hidden="1"/>
    <cellStyle name="Hyperlink" xfId="16558" builtinId="8" hidden="1"/>
    <cellStyle name="Hyperlink" xfId="16560" builtinId="8" hidden="1"/>
    <cellStyle name="Hyperlink" xfId="16550" builtinId="8" hidden="1"/>
    <cellStyle name="Hyperlink" xfId="16540" builtinId="8" hidden="1"/>
    <cellStyle name="Hyperlink" xfId="16562" builtinId="8" hidden="1"/>
    <cellStyle name="Hyperlink" xfId="16564" builtinId="8" hidden="1"/>
    <cellStyle name="Hyperlink" xfId="16566" builtinId="8" hidden="1"/>
    <cellStyle name="Hyperlink" xfId="16568" builtinId="8" hidden="1"/>
    <cellStyle name="Hyperlink" xfId="16534" builtinId="8" hidden="1"/>
    <cellStyle name="Hyperlink" xfId="16520" builtinId="8" hidden="1"/>
    <cellStyle name="Hyperlink" xfId="16570" builtinId="8" hidden="1"/>
    <cellStyle name="Hyperlink" xfId="16572" builtinId="8" hidden="1"/>
    <cellStyle name="Hyperlink" xfId="16574" builtinId="8" hidden="1"/>
    <cellStyle name="Hyperlink" xfId="16576" builtinId="8" hidden="1"/>
    <cellStyle name="Hyperlink" xfId="16539" builtinId="8" hidden="1"/>
    <cellStyle name="Hyperlink" xfId="16508" builtinId="8" hidden="1"/>
    <cellStyle name="Hyperlink" xfId="16578" builtinId="8" hidden="1"/>
    <cellStyle name="Hyperlink" xfId="16580" builtinId="8" hidden="1"/>
    <cellStyle name="Hyperlink" xfId="16582" builtinId="8" hidden="1"/>
    <cellStyle name="Hyperlink" xfId="16584" builtinId="8" hidden="1"/>
    <cellStyle name="Hyperlink" xfId="16509" builtinId="8" hidden="1"/>
    <cellStyle name="Hyperlink" xfId="16542" builtinId="8" hidden="1"/>
    <cellStyle name="Hyperlink" xfId="16586" builtinId="8" hidden="1"/>
    <cellStyle name="Hyperlink" xfId="16588" builtinId="8" hidden="1"/>
    <cellStyle name="Hyperlink" xfId="16590" builtinId="8" hidden="1"/>
    <cellStyle name="Hyperlink" xfId="16592" builtinId="8" hidden="1"/>
    <cellStyle name="Hyperlink" xfId="16511" builtinId="8" hidden="1"/>
    <cellStyle name="Hyperlink" xfId="16552" builtinId="8" hidden="1"/>
    <cellStyle name="Hyperlink" xfId="16594" builtinId="8" hidden="1"/>
    <cellStyle name="Hyperlink" xfId="16596" builtinId="8" hidden="1"/>
    <cellStyle name="Hyperlink" xfId="16598" builtinId="8" hidden="1"/>
    <cellStyle name="Hyperlink" xfId="16600" builtinId="8" hidden="1"/>
    <cellStyle name="Hyperlink" xfId="16532" builtinId="8" hidden="1"/>
    <cellStyle name="Hyperlink" xfId="16535" builtinId="8" hidden="1"/>
    <cellStyle name="Hyperlink" xfId="16602" builtinId="8" hidden="1"/>
    <cellStyle name="Hyperlink" xfId="16604" builtinId="8" hidden="1"/>
    <cellStyle name="Hyperlink" xfId="16606" builtinId="8" hidden="1"/>
    <cellStyle name="Hyperlink" xfId="16608" builtinId="8" hidden="1"/>
    <cellStyle name="Hyperlink" xfId="16536" builtinId="8" hidden="1"/>
    <cellStyle name="Hyperlink" xfId="16533" builtinId="8" hidden="1"/>
    <cellStyle name="Hyperlink" xfId="16610" builtinId="8" hidden="1"/>
    <cellStyle name="Hyperlink" xfId="16612" builtinId="8" hidden="1"/>
    <cellStyle name="Hyperlink" xfId="16614" builtinId="8" hidden="1"/>
    <cellStyle name="Hyperlink" xfId="16616" builtinId="8" hidden="1"/>
    <cellStyle name="Hyperlink" xfId="16551" builtinId="8" hidden="1"/>
    <cellStyle name="Hyperlink" xfId="16528" builtinId="8" hidden="1"/>
    <cellStyle name="Hyperlink" xfId="16618" builtinId="8" hidden="1"/>
    <cellStyle name="Hyperlink" xfId="16620" builtinId="8" hidden="1"/>
    <cellStyle name="Hyperlink" xfId="16622" builtinId="8" hidden="1"/>
    <cellStyle name="Hyperlink" xfId="16624" builtinId="8" hidden="1"/>
    <cellStyle name="Hyperlink" xfId="16506" builtinId="8" hidden="1"/>
    <cellStyle name="Hyperlink" xfId="16507" builtinId="8" hidden="1"/>
    <cellStyle name="Hyperlink" xfId="16626" builtinId="8" hidden="1"/>
    <cellStyle name="Hyperlink" xfId="16628" builtinId="8" hidden="1"/>
    <cellStyle name="Hyperlink" xfId="16630" builtinId="8" hidden="1"/>
    <cellStyle name="Hyperlink" xfId="16632" builtinId="8" hidden="1"/>
    <cellStyle name="Hyperlink" xfId="16512" builtinId="8" hidden="1"/>
    <cellStyle name="Hyperlink" xfId="16548" builtinId="8" hidden="1"/>
    <cellStyle name="Hyperlink" xfId="16634" builtinId="8" hidden="1"/>
    <cellStyle name="Hyperlink" xfId="16636" builtinId="8" hidden="1"/>
    <cellStyle name="Hyperlink" xfId="16638" builtinId="8" hidden="1"/>
    <cellStyle name="Hyperlink" xfId="16640" builtinId="8" hidden="1"/>
    <cellStyle name="Hyperlink" xfId="16517" builtinId="8" hidden="1"/>
    <cellStyle name="Hyperlink" xfId="16537" builtinId="8" hidden="1"/>
    <cellStyle name="Hyperlink" xfId="16642" builtinId="8" hidden="1"/>
    <cellStyle name="Hyperlink" xfId="16644" builtinId="8" hidden="1"/>
    <cellStyle name="Hyperlink" xfId="16646" builtinId="8" hidden="1"/>
    <cellStyle name="Hyperlink" xfId="16648" builtinId="8" hidden="1"/>
    <cellStyle name="Hyperlink" xfId="16524" builtinId="8" hidden="1"/>
    <cellStyle name="Hyperlink" xfId="16522" builtinId="8" hidden="1"/>
    <cellStyle name="Hyperlink" xfId="16650" builtinId="8" hidden="1"/>
    <cellStyle name="Hyperlink" xfId="16652" builtinId="8" hidden="1"/>
    <cellStyle name="Hyperlink" xfId="16654" builtinId="8" hidden="1"/>
    <cellStyle name="Hyperlink" xfId="16656" builtinId="8" hidden="1"/>
    <cellStyle name="Hyperlink" xfId="16658" builtinId="8" hidden="1"/>
    <cellStyle name="Hyperlink" xfId="16660" builtinId="8" hidden="1"/>
    <cellStyle name="Hyperlink" xfId="16662" builtinId="8" hidden="1"/>
    <cellStyle name="Hyperlink" xfId="16664" builtinId="8" hidden="1"/>
    <cellStyle name="Hyperlink" xfId="16666" builtinId="8" hidden="1"/>
    <cellStyle name="Hyperlink" xfId="16668" builtinId="8" hidden="1"/>
    <cellStyle name="Hyperlink" xfId="16671" builtinId="8" hidden="1"/>
    <cellStyle name="Hyperlink" xfId="16673" builtinId="8" hidden="1"/>
    <cellStyle name="Hyperlink" xfId="16675" builtinId="8" hidden="1"/>
    <cellStyle name="Hyperlink" xfId="16677" builtinId="8" hidden="1"/>
    <cellStyle name="Hyperlink" xfId="16679" builtinId="8" hidden="1"/>
    <cellStyle name="Hyperlink" xfId="16681" builtinId="8" hidden="1"/>
    <cellStyle name="Hyperlink" xfId="16683" builtinId="8" hidden="1"/>
    <cellStyle name="Hyperlink" xfId="16685" builtinId="8" hidden="1"/>
    <cellStyle name="Hyperlink" xfId="16687" builtinId="8" hidden="1"/>
    <cellStyle name="Hyperlink" xfId="16689" builtinId="8" hidden="1"/>
    <cellStyle name="Hyperlink" xfId="16691" builtinId="8" hidden="1"/>
    <cellStyle name="Hyperlink" xfId="16693" builtinId="8" hidden="1"/>
    <cellStyle name="Hyperlink" xfId="16695" builtinId="8" hidden="1"/>
    <cellStyle name="Hyperlink" xfId="16697" builtinId="8" hidden="1"/>
    <cellStyle name="Hyperlink" xfId="16747" builtinId="8" hidden="1"/>
    <cellStyle name="Hyperlink" xfId="16749" builtinId="8" hidden="1"/>
    <cellStyle name="Hyperlink" xfId="16751" builtinId="8" hidden="1"/>
    <cellStyle name="Hyperlink" xfId="16753" builtinId="8" hidden="1"/>
    <cellStyle name="Hyperlink" xfId="16743" builtinId="8" hidden="1"/>
    <cellStyle name="Hyperlink" xfId="16733" builtinId="8" hidden="1"/>
    <cellStyle name="Hyperlink" xfId="16755" builtinId="8" hidden="1"/>
    <cellStyle name="Hyperlink" xfId="16757" builtinId="8" hidden="1"/>
    <cellStyle name="Hyperlink" xfId="16759" builtinId="8" hidden="1"/>
    <cellStyle name="Hyperlink" xfId="16761" builtinId="8" hidden="1"/>
    <cellStyle name="Hyperlink" xfId="16727" builtinId="8" hidden="1"/>
    <cellStyle name="Hyperlink" xfId="16713" builtinId="8" hidden="1"/>
    <cellStyle name="Hyperlink" xfId="16763" builtinId="8" hidden="1"/>
    <cellStyle name="Hyperlink" xfId="16765" builtinId="8" hidden="1"/>
    <cellStyle name="Hyperlink" xfId="16767" builtinId="8" hidden="1"/>
    <cellStyle name="Hyperlink" xfId="16769" builtinId="8" hidden="1"/>
    <cellStyle name="Hyperlink" xfId="16732" builtinId="8" hidden="1"/>
    <cellStyle name="Hyperlink" xfId="16701" builtinId="8" hidden="1"/>
    <cellStyle name="Hyperlink" xfId="16771" builtinId="8" hidden="1"/>
    <cellStyle name="Hyperlink" xfId="16773" builtinId="8" hidden="1"/>
    <cellStyle name="Hyperlink" xfId="16775" builtinId="8" hidden="1"/>
    <cellStyle name="Hyperlink" xfId="16777" builtinId="8" hidden="1"/>
    <cellStyle name="Hyperlink" xfId="16702" builtinId="8" hidden="1"/>
    <cellStyle name="Hyperlink" xfId="16735" builtinId="8" hidden="1"/>
    <cellStyle name="Hyperlink" xfId="16779" builtinId="8" hidden="1"/>
    <cellStyle name="Hyperlink" xfId="16781" builtinId="8" hidden="1"/>
    <cellStyle name="Hyperlink" xfId="16783" builtinId="8" hidden="1"/>
    <cellStyle name="Hyperlink" xfId="16785" builtinId="8" hidden="1"/>
    <cellStyle name="Hyperlink" xfId="16704" builtinId="8" hidden="1"/>
    <cellStyle name="Hyperlink" xfId="16745" builtinId="8" hidden="1"/>
    <cellStyle name="Hyperlink" xfId="16787" builtinId="8" hidden="1"/>
    <cellStyle name="Hyperlink" xfId="16789" builtinId="8" hidden="1"/>
    <cellStyle name="Hyperlink" xfId="16791" builtinId="8" hidden="1"/>
    <cellStyle name="Hyperlink" xfId="16793" builtinId="8" hidden="1"/>
    <cellStyle name="Hyperlink" xfId="16725" builtinId="8" hidden="1"/>
    <cellStyle name="Hyperlink" xfId="16728" builtinId="8" hidden="1"/>
    <cellStyle name="Hyperlink" xfId="16795" builtinId="8" hidden="1"/>
    <cellStyle name="Hyperlink" xfId="16797" builtinId="8" hidden="1"/>
    <cellStyle name="Hyperlink" xfId="16799" builtinId="8" hidden="1"/>
    <cellStyle name="Hyperlink" xfId="16801" builtinId="8" hidden="1"/>
    <cellStyle name="Hyperlink" xfId="16729" builtinId="8" hidden="1"/>
    <cellStyle name="Hyperlink" xfId="16726" builtinId="8" hidden="1"/>
    <cellStyle name="Hyperlink" xfId="16803" builtinId="8" hidden="1"/>
    <cellStyle name="Hyperlink" xfId="16805" builtinId="8" hidden="1"/>
    <cellStyle name="Hyperlink" xfId="16807" builtinId="8" hidden="1"/>
    <cellStyle name="Hyperlink" xfId="16809" builtinId="8" hidden="1"/>
    <cellStyle name="Hyperlink" xfId="16744" builtinId="8" hidden="1"/>
    <cellStyle name="Hyperlink" xfId="16721" builtinId="8" hidden="1"/>
    <cellStyle name="Hyperlink" xfId="16811" builtinId="8" hidden="1"/>
    <cellStyle name="Hyperlink" xfId="16813" builtinId="8" hidden="1"/>
    <cellStyle name="Hyperlink" xfId="16815" builtinId="8" hidden="1"/>
    <cellStyle name="Hyperlink" xfId="16817" builtinId="8" hidden="1"/>
    <cellStyle name="Hyperlink" xfId="16699" builtinId="8" hidden="1"/>
    <cellStyle name="Hyperlink" xfId="16700" builtinId="8" hidden="1"/>
    <cellStyle name="Hyperlink" xfId="16819" builtinId="8" hidden="1"/>
    <cellStyle name="Hyperlink" xfId="16821" builtinId="8" hidden="1"/>
    <cellStyle name="Hyperlink" xfId="16823" builtinId="8" hidden="1"/>
    <cellStyle name="Hyperlink" xfId="16825" builtinId="8" hidden="1"/>
    <cellStyle name="Hyperlink" xfId="16705" builtinId="8" hidden="1"/>
    <cellStyle name="Hyperlink" xfId="16741" builtinId="8" hidden="1"/>
    <cellStyle name="Hyperlink" xfId="16827" builtinId="8" hidden="1"/>
    <cellStyle name="Hyperlink" xfId="16829" builtinId="8" hidden="1"/>
    <cellStyle name="Hyperlink" xfId="16831" builtinId="8" hidden="1"/>
    <cellStyle name="Hyperlink" xfId="16833" builtinId="8" hidden="1"/>
    <cellStyle name="Hyperlink" xfId="16710" builtinId="8" hidden="1"/>
    <cellStyle name="Hyperlink" xfId="16730" builtinId="8" hidden="1"/>
    <cellStyle name="Hyperlink" xfId="16835" builtinId="8" hidden="1"/>
    <cellStyle name="Hyperlink" xfId="16837" builtinId="8" hidden="1"/>
    <cellStyle name="Hyperlink" xfId="16839" builtinId="8" hidden="1"/>
    <cellStyle name="Hyperlink" xfId="16841" builtinId="8" hidden="1"/>
    <cellStyle name="Hyperlink" xfId="16717" builtinId="8" hidden="1"/>
    <cellStyle name="Hyperlink" xfId="16715" builtinId="8" hidden="1"/>
    <cellStyle name="Hyperlink" xfId="16843" builtinId="8" hidden="1"/>
    <cellStyle name="Hyperlink" xfId="16845" builtinId="8" hidden="1"/>
    <cellStyle name="Hyperlink" xfId="16847" builtinId="8" hidden="1"/>
    <cellStyle name="Hyperlink" xfId="16849" builtinId="8" hidden="1"/>
    <cellStyle name="Hyperlink" xfId="16851" builtinId="8" hidden="1"/>
    <cellStyle name="Hyperlink" xfId="16853" builtinId="8" hidden="1"/>
    <cellStyle name="Hyperlink" xfId="16919" builtinId="8" hidden="1"/>
    <cellStyle name="Hyperlink" xfId="16921" builtinId="8" hidden="1"/>
    <cellStyle name="Hyperlink" xfId="16923" builtinId="8" hidden="1"/>
    <cellStyle name="Hyperlink" xfId="16925" builtinId="8" hidden="1"/>
    <cellStyle name="Hyperlink" xfId="16928" builtinId="8" hidden="1"/>
    <cellStyle name="Hyperlink" xfId="16930" builtinId="8" hidden="1"/>
    <cellStyle name="Hyperlink" xfId="17004" builtinId="8" hidden="1"/>
    <cellStyle name="Hyperlink" xfId="17006" builtinId="8" hidden="1"/>
    <cellStyle name="Hyperlink" xfId="17008" builtinId="8" hidden="1"/>
    <cellStyle name="Hyperlink" xfId="17010" builtinId="8" hidden="1"/>
    <cellStyle name="Hyperlink" xfId="17012" builtinId="8" hidden="1"/>
    <cellStyle name="Hyperlink" xfId="17014" builtinId="8" hidden="1"/>
    <cellStyle name="Hyperlink" xfId="17064" builtinId="8" hidden="1"/>
    <cellStyle name="Hyperlink" xfId="17066" builtinId="8" hidden="1"/>
    <cellStyle name="Hyperlink" xfId="17068" builtinId="8" hidden="1"/>
    <cellStyle name="Hyperlink" xfId="17070" builtinId="8" hidden="1"/>
    <cellStyle name="Hyperlink" xfId="17060" builtinId="8" hidden="1"/>
    <cellStyle name="Hyperlink" xfId="17050" builtinId="8" hidden="1"/>
    <cellStyle name="Hyperlink" xfId="17072" builtinId="8" hidden="1"/>
    <cellStyle name="Hyperlink" xfId="17074" builtinId="8" hidden="1"/>
    <cellStyle name="Hyperlink" xfId="17076" builtinId="8" hidden="1"/>
    <cellStyle name="Hyperlink" xfId="17078" builtinId="8" hidden="1"/>
    <cellStyle name="Hyperlink" xfId="17044" builtinId="8" hidden="1"/>
    <cellStyle name="Hyperlink" xfId="17030" builtinId="8" hidden="1"/>
    <cellStyle name="Hyperlink" xfId="17080" builtinId="8" hidden="1"/>
    <cellStyle name="Hyperlink" xfId="17082" builtinId="8" hidden="1"/>
    <cellStyle name="Hyperlink" xfId="17084" builtinId="8" hidden="1"/>
    <cellStyle name="Hyperlink" xfId="17086" builtinId="8" hidden="1"/>
    <cellStyle name="Hyperlink" xfId="17049" builtinId="8" hidden="1"/>
    <cellStyle name="Hyperlink" xfId="17018" builtinId="8" hidden="1"/>
    <cellStyle name="Hyperlink" xfId="17088" builtinId="8" hidden="1"/>
    <cellStyle name="Hyperlink" xfId="17090" builtinId="8" hidden="1"/>
    <cellStyle name="Hyperlink" xfId="17092" builtinId="8" hidden="1"/>
    <cellStyle name="Hyperlink" xfId="17094" builtinId="8" hidden="1"/>
    <cellStyle name="Hyperlink" xfId="17019" builtinId="8" hidden="1"/>
    <cellStyle name="Hyperlink" xfId="17052" builtinId="8" hidden="1"/>
    <cellStyle name="Hyperlink" xfId="17096" builtinId="8" hidden="1"/>
    <cellStyle name="Hyperlink" xfId="17098" builtinId="8" hidden="1"/>
    <cellStyle name="Hyperlink" xfId="17100" builtinId="8" hidden="1"/>
    <cellStyle name="Hyperlink" xfId="17102" builtinId="8" hidden="1"/>
    <cellStyle name="Hyperlink" xfId="17021" builtinId="8" hidden="1"/>
    <cellStyle name="Hyperlink" xfId="17062" builtinId="8" hidden="1"/>
    <cellStyle name="Hyperlink" xfId="17104" builtinId="8" hidden="1"/>
    <cellStyle name="Hyperlink" xfId="17106" builtinId="8" hidden="1"/>
    <cellStyle name="Hyperlink" xfId="17108" builtinId="8" hidden="1"/>
    <cellStyle name="Hyperlink" xfId="17110" builtinId="8" hidden="1"/>
    <cellStyle name="Hyperlink" xfId="17042" builtinId="8" hidden="1"/>
    <cellStyle name="Hyperlink" xfId="17045" builtinId="8" hidden="1"/>
    <cellStyle name="Hyperlink" xfId="17112" builtinId="8" hidden="1"/>
    <cellStyle name="Hyperlink" xfId="17114" builtinId="8" hidden="1"/>
    <cellStyle name="Hyperlink" xfId="17116" builtinId="8" hidden="1"/>
    <cellStyle name="Hyperlink" xfId="17118" builtinId="8" hidden="1"/>
    <cellStyle name="Hyperlink" xfId="17046" builtinId="8" hidden="1"/>
    <cellStyle name="Hyperlink" xfId="17043" builtinId="8" hidden="1"/>
    <cellStyle name="Hyperlink" xfId="17120" builtinId="8" hidden="1"/>
    <cellStyle name="Hyperlink" xfId="17122" builtinId="8" hidden="1"/>
    <cellStyle name="Hyperlink" xfId="17124" builtinId="8" hidden="1"/>
    <cellStyle name="Hyperlink" xfId="17126" builtinId="8" hidden="1"/>
    <cellStyle name="Hyperlink" xfId="17061" builtinId="8" hidden="1"/>
    <cellStyle name="Hyperlink" xfId="17038" builtinId="8" hidden="1"/>
    <cellStyle name="Hyperlink" xfId="17128" builtinId="8" hidden="1"/>
    <cellStyle name="Hyperlink" xfId="17130" builtinId="8" hidden="1"/>
    <cellStyle name="Hyperlink" xfId="17132" builtinId="8" hidden="1"/>
    <cellStyle name="Hyperlink" xfId="17134" builtinId="8" hidden="1"/>
    <cellStyle name="Hyperlink" xfId="17016" builtinId="8" hidden="1"/>
    <cellStyle name="Hyperlink" xfId="17017" builtinId="8" hidden="1"/>
    <cellStyle name="Hyperlink" xfId="17136" builtinId="8" hidden="1"/>
    <cellStyle name="Hyperlink" xfId="17138" builtinId="8" hidden="1"/>
    <cellStyle name="Hyperlink" xfId="17140" builtinId="8" hidden="1"/>
    <cellStyle name="Hyperlink" xfId="17142" builtinId="8" hidden="1"/>
    <cellStyle name="Hyperlink" xfId="17022" builtinId="8" hidden="1"/>
    <cellStyle name="Hyperlink" xfId="17058" builtinId="8" hidden="1"/>
    <cellStyle name="Hyperlink" xfId="17144" builtinId="8" hidden="1"/>
    <cellStyle name="Hyperlink" xfId="17146" builtinId="8" hidden="1"/>
    <cellStyle name="Hyperlink" xfId="17148" builtinId="8" hidden="1"/>
    <cellStyle name="Hyperlink" xfId="17150" builtinId="8" hidden="1"/>
    <cellStyle name="Hyperlink" xfId="17027" builtinId="8" hidden="1"/>
    <cellStyle name="Hyperlink" xfId="17047" builtinId="8" hidden="1"/>
    <cellStyle name="Hyperlink" xfId="17152" builtinId="8" hidden="1"/>
    <cellStyle name="Hyperlink" xfId="17154" builtinId="8" hidden="1"/>
    <cellStyle name="Hyperlink" xfId="17156" builtinId="8" hidden="1"/>
    <cellStyle name="Hyperlink" xfId="17158" builtinId="8" hidden="1"/>
    <cellStyle name="Hyperlink" xfId="17034" builtinId="8" hidden="1"/>
    <cellStyle name="Hyperlink" xfId="17032" builtinId="8" hidden="1"/>
    <cellStyle name="Hyperlink" xfId="17160" builtinId="8" hidden="1"/>
    <cellStyle name="Hyperlink" xfId="17162" builtinId="8" hidden="1"/>
    <cellStyle name="Hyperlink" xfId="17164" builtinId="8" hidden="1"/>
    <cellStyle name="Hyperlink" xfId="17166" builtinId="8" hidden="1"/>
    <cellStyle name="Hyperlink" xfId="16865" builtinId="8" hidden="1"/>
    <cellStyle name="Hyperlink" xfId="16977" builtinId="8" hidden="1"/>
    <cellStyle name="Hyperlink" xfId="16869" builtinId="8" hidden="1"/>
    <cellStyle name="Hyperlink" xfId="16980" builtinId="8" hidden="1"/>
    <cellStyle name="Hyperlink" xfId="16963" builtinId="8" hidden="1"/>
    <cellStyle name="Hyperlink" xfId="16915" builtinId="8" hidden="1"/>
    <cellStyle name="Hyperlink" xfId="16856" builtinId="8" hidden="1"/>
    <cellStyle name="Hyperlink" xfId="16968" builtinId="8" hidden="1"/>
    <cellStyle name="Hyperlink" xfId="17171" builtinId="8" hidden="1"/>
    <cellStyle name="Hyperlink" xfId="17173" builtinId="8" hidden="1"/>
    <cellStyle name="Hyperlink" xfId="17175" builtinId="8" hidden="1"/>
    <cellStyle name="Hyperlink" xfId="17177" builtinId="8" hidden="1"/>
    <cellStyle name="Hyperlink" xfId="17180" builtinId="8" hidden="1"/>
    <cellStyle name="Hyperlink" xfId="17182" builtinId="8" hidden="1"/>
    <cellStyle name="Hyperlink" xfId="17232" builtinId="8" hidden="1"/>
    <cellStyle name="Hyperlink" xfId="17234" builtinId="8" hidden="1"/>
    <cellStyle name="Hyperlink" xfId="17236" builtinId="8" hidden="1"/>
    <cellStyle name="Hyperlink" xfId="17238" builtinId="8" hidden="1"/>
    <cellStyle name="Hyperlink" xfId="17228" builtinId="8" hidden="1"/>
    <cellStyle name="Hyperlink" xfId="17218" builtinId="8" hidden="1"/>
    <cellStyle name="Hyperlink" xfId="17240" builtinId="8" hidden="1"/>
    <cellStyle name="Hyperlink" xfId="17242" builtinId="8" hidden="1"/>
    <cellStyle name="Hyperlink" xfId="17244" builtinId="8" hidden="1"/>
    <cellStyle name="Hyperlink" xfId="17246" builtinId="8" hidden="1"/>
    <cellStyle name="Hyperlink" xfId="17212" builtinId="8" hidden="1"/>
    <cellStyle name="Hyperlink" xfId="17198" builtinId="8" hidden="1"/>
    <cellStyle name="Hyperlink" xfId="17248" builtinId="8" hidden="1"/>
    <cellStyle name="Hyperlink" xfId="17250" builtinId="8" hidden="1"/>
    <cellStyle name="Hyperlink" xfId="17252" builtinId="8" hidden="1"/>
    <cellStyle name="Hyperlink" xfId="17254" builtinId="8" hidden="1"/>
    <cellStyle name="Hyperlink" xfId="17217" builtinId="8" hidden="1"/>
    <cellStyle name="Hyperlink" xfId="17186" builtinId="8" hidden="1"/>
    <cellStyle name="Hyperlink" xfId="17256" builtinId="8" hidden="1"/>
    <cellStyle name="Hyperlink" xfId="17258" builtinId="8" hidden="1"/>
    <cellStyle name="Hyperlink" xfId="17260" builtinId="8" hidden="1"/>
    <cellStyle name="Hyperlink" xfId="17262" builtinId="8" hidden="1"/>
    <cellStyle name="Hyperlink" xfId="17187" builtinId="8" hidden="1"/>
    <cellStyle name="Hyperlink" xfId="17220" builtinId="8" hidden="1"/>
    <cellStyle name="Hyperlink" xfId="17264" builtinId="8" hidden="1"/>
    <cellStyle name="Hyperlink" xfId="17266" builtinId="8" hidden="1"/>
    <cellStyle name="Hyperlink" xfId="17268" builtinId="8" hidden="1"/>
    <cellStyle name="Hyperlink" xfId="17270" builtinId="8" hidden="1"/>
    <cellStyle name="Hyperlink" xfId="17189" builtinId="8" hidden="1"/>
    <cellStyle name="Hyperlink" xfId="17230" builtinId="8" hidden="1"/>
    <cellStyle name="Hyperlink" xfId="17272" builtinId="8" hidden="1"/>
    <cellStyle name="Hyperlink" xfId="17274" builtinId="8" hidden="1"/>
    <cellStyle name="Hyperlink" xfId="17276" builtinId="8" hidden="1"/>
    <cellStyle name="Hyperlink" xfId="17278" builtinId="8" hidden="1"/>
    <cellStyle name="Hyperlink" xfId="17210" builtinId="8" hidden="1"/>
    <cellStyle name="Hyperlink" xfId="17213" builtinId="8" hidden="1"/>
    <cellStyle name="Hyperlink" xfId="17280" builtinId="8" hidden="1"/>
    <cellStyle name="Hyperlink" xfId="17282" builtinId="8" hidden="1"/>
    <cellStyle name="Hyperlink" xfId="17284" builtinId="8" hidden="1"/>
    <cellStyle name="Hyperlink" xfId="17286" builtinId="8" hidden="1"/>
    <cellStyle name="Hyperlink" xfId="17214" builtinId="8" hidden="1"/>
    <cellStyle name="Hyperlink" xfId="17211" builtinId="8" hidden="1"/>
    <cellStyle name="Hyperlink" xfId="17288" builtinId="8" hidden="1"/>
    <cellStyle name="Hyperlink" xfId="17290" builtinId="8" hidden="1"/>
    <cellStyle name="Hyperlink" xfId="17292" builtinId="8" hidden="1"/>
    <cellStyle name="Hyperlink" xfId="17294" builtinId="8" hidden="1"/>
    <cellStyle name="Hyperlink" xfId="17229" builtinId="8" hidden="1"/>
    <cellStyle name="Hyperlink" xfId="17206" builtinId="8" hidden="1"/>
    <cellStyle name="Hyperlink" xfId="17296" builtinId="8" hidden="1"/>
    <cellStyle name="Hyperlink" xfId="17298" builtinId="8" hidden="1"/>
    <cellStyle name="Hyperlink" xfId="17300" builtinId="8" hidden="1"/>
    <cellStyle name="Hyperlink" xfId="17302" builtinId="8" hidden="1"/>
    <cellStyle name="Hyperlink" xfId="17184" builtinId="8" hidden="1"/>
    <cellStyle name="Hyperlink" xfId="17185" builtinId="8" hidden="1"/>
    <cellStyle name="Hyperlink" xfId="17304" builtinId="8" hidden="1"/>
    <cellStyle name="Hyperlink" xfId="17306" builtinId="8" hidden="1"/>
    <cellStyle name="Hyperlink" xfId="17308" builtinId="8" hidden="1"/>
    <cellStyle name="Hyperlink" xfId="17310" builtinId="8" hidden="1"/>
    <cellStyle name="Hyperlink" xfId="17190" builtinId="8" hidden="1"/>
    <cellStyle name="Hyperlink" xfId="17226" builtinId="8" hidden="1"/>
    <cellStyle name="Hyperlink" xfId="17312" builtinId="8" hidden="1"/>
    <cellStyle name="Hyperlink" xfId="17314" builtinId="8" hidden="1"/>
    <cellStyle name="Hyperlink" xfId="17316" builtinId="8" hidden="1"/>
    <cellStyle name="Hyperlink" xfId="17318" builtinId="8" hidden="1"/>
    <cellStyle name="Hyperlink" xfId="17195" builtinId="8" hidden="1"/>
    <cellStyle name="Hyperlink" xfId="17215" builtinId="8" hidden="1"/>
    <cellStyle name="Hyperlink" xfId="17320" builtinId="8" hidden="1"/>
    <cellStyle name="Hyperlink" xfId="17322" builtinId="8" hidden="1"/>
    <cellStyle name="Hyperlink" xfId="17324" builtinId="8" hidden="1"/>
    <cellStyle name="Hyperlink" xfId="17326" builtinId="8" hidden="1"/>
    <cellStyle name="Hyperlink" xfId="17202" builtinId="8" hidden="1"/>
    <cellStyle name="Hyperlink" xfId="17200" builtinId="8" hidden="1"/>
    <cellStyle name="Hyperlink" xfId="17328" builtinId="8" hidden="1"/>
    <cellStyle name="Hyperlink" xfId="17330" builtinId="8" hidden="1"/>
    <cellStyle name="Hyperlink" xfId="17332" builtinId="8" hidden="1"/>
    <cellStyle name="Hyperlink" xfId="17334" builtinId="8" hidden="1"/>
    <cellStyle name="Hyperlink" xfId="16911" builtinId="8" hidden="1"/>
    <cellStyle name="Hyperlink" xfId="16912" builtinId="8" hidden="1"/>
    <cellStyle name="Hyperlink" xfId="16886" builtinId="8" hidden="1"/>
    <cellStyle name="Hyperlink" xfId="16887" builtinId="8" hidden="1"/>
    <cellStyle name="Hyperlink" xfId="16902" builtinId="8" hidden="1"/>
    <cellStyle name="Hyperlink" xfId="16900" builtinId="8" hidden="1"/>
    <cellStyle name="Hyperlink" xfId="16893" builtinId="8" hidden="1"/>
    <cellStyle name="Hyperlink" xfId="16894" builtinId="8" hidden="1"/>
    <cellStyle name="Hyperlink" xfId="17345" builtinId="8" hidden="1"/>
    <cellStyle name="Hyperlink" xfId="17347" builtinId="8" hidden="1"/>
    <cellStyle name="Hyperlink" xfId="17349" builtinId="8" hidden="1"/>
    <cellStyle name="Hyperlink" xfId="17351" builtinId="8" hidden="1"/>
    <cellStyle name="Hyperlink" xfId="17353" builtinId="8" hidden="1"/>
    <cellStyle name="Hyperlink" xfId="17355" builtinId="8" hidden="1"/>
    <cellStyle name="Hyperlink" xfId="17405" builtinId="8" hidden="1"/>
    <cellStyle name="Hyperlink" xfId="17407" builtinId="8" hidden="1"/>
    <cellStyle name="Hyperlink" xfId="17409" builtinId="8" hidden="1"/>
    <cellStyle name="Hyperlink" xfId="17411" builtinId="8" hidden="1"/>
    <cellStyle name="Hyperlink" xfId="17401" builtinId="8" hidden="1"/>
    <cellStyle name="Hyperlink" xfId="17391" builtinId="8" hidden="1"/>
    <cellStyle name="Hyperlink" xfId="17413" builtinId="8" hidden="1"/>
    <cellStyle name="Hyperlink" xfId="17415" builtinId="8" hidden="1"/>
    <cellStyle name="Hyperlink" xfId="17417" builtinId="8" hidden="1"/>
    <cellStyle name="Hyperlink" xfId="17419" builtinId="8" hidden="1"/>
    <cellStyle name="Hyperlink" xfId="17385" builtinId="8" hidden="1"/>
    <cellStyle name="Hyperlink" xfId="17371" builtinId="8" hidden="1"/>
    <cellStyle name="Hyperlink" xfId="17421" builtinId="8" hidden="1"/>
    <cellStyle name="Hyperlink" xfId="17423" builtinId="8" hidden="1"/>
    <cellStyle name="Hyperlink" xfId="17425" builtinId="8" hidden="1"/>
    <cellStyle name="Hyperlink" xfId="17427" builtinId="8" hidden="1"/>
    <cellStyle name="Hyperlink" xfId="17390" builtinId="8" hidden="1"/>
    <cellStyle name="Hyperlink" xfId="17359" builtinId="8" hidden="1"/>
    <cellStyle name="Hyperlink" xfId="17429" builtinId="8" hidden="1"/>
    <cellStyle name="Hyperlink" xfId="17431" builtinId="8" hidden="1"/>
    <cellStyle name="Hyperlink" xfId="17433" builtinId="8" hidden="1"/>
    <cellStyle name="Hyperlink" xfId="17435" builtinId="8" hidden="1"/>
    <cellStyle name="Hyperlink" xfId="17360" builtinId="8" hidden="1"/>
    <cellStyle name="Hyperlink" xfId="17393" builtinId="8" hidden="1"/>
    <cellStyle name="Hyperlink" xfId="17437" builtinId="8" hidden="1"/>
    <cellStyle name="Hyperlink" xfId="17439" builtinId="8" hidden="1"/>
    <cellStyle name="Hyperlink" xfId="17441" builtinId="8" hidden="1"/>
    <cellStyle name="Hyperlink" xfId="17443" builtinId="8" hidden="1"/>
    <cellStyle name="Hyperlink" xfId="17362" builtinId="8" hidden="1"/>
    <cellStyle name="Hyperlink" xfId="17403" builtinId="8" hidden="1"/>
    <cellStyle name="Hyperlink" xfId="17445" builtinId="8" hidden="1"/>
    <cellStyle name="Hyperlink" xfId="17447" builtinId="8" hidden="1"/>
    <cellStyle name="Hyperlink" xfId="17449" builtinId="8" hidden="1"/>
    <cellStyle name="Hyperlink" xfId="17451" builtinId="8" hidden="1"/>
    <cellStyle name="Hyperlink" xfId="17383" builtinId="8" hidden="1"/>
    <cellStyle name="Hyperlink" xfId="17386" builtinId="8" hidden="1"/>
    <cellStyle name="Hyperlink" xfId="17453" builtinId="8" hidden="1"/>
    <cellStyle name="Hyperlink" xfId="17455" builtinId="8" hidden="1"/>
    <cellStyle name="Hyperlink" xfId="17457" builtinId="8" hidden="1"/>
    <cellStyle name="Hyperlink" xfId="17459" builtinId="8" hidden="1"/>
    <cellStyle name="Hyperlink" xfId="17387" builtinId="8" hidden="1"/>
    <cellStyle name="Hyperlink" xfId="17384" builtinId="8" hidden="1"/>
    <cellStyle name="Hyperlink" xfId="17461" builtinId="8" hidden="1"/>
    <cellStyle name="Hyperlink" xfId="17463" builtinId="8" hidden="1"/>
    <cellStyle name="Hyperlink" xfId="17465" builtinId="8" hidden="1"/>
    <cellStyle name="Hyperlink" xfId="17467" builtinId="8" hidden="1"/>
    <cellStyle name="Hyperlink" xfId="17402" builtinId="8" hidden="1"/>
    <cellStyle name="Hyperlink" xfId="17379" builtinId="8" hidden="1"/>
    <cellStyle name="Hyperlink" xfId="17469" builtinId="8" hidden="1"/>
    <cellStyle name="Hyperlink" xfId="17471" builtinId="8" hidden="1"/>
    <cellStyle name="Hyperlink" xfId="17473" builtinId="8" hidden="1"/>
    <cellStyle name="Hyperlink" xfId="17475" builtinId="8" hidden="1"/>
    <cellStyle name="Hyperlink" xfId="17357" builtinId="8" hidden="1"/>
    <cellStyle name="Hyperlink" xfId="17358" builtinId="8" hidden="1"/>
    <cellStyle name="Hyperlink" xfId="17477" builtinId="8" hidden="1"/>
    <cellStyle name="Hyperlink" xfId="17479" builtinId="8" hidden="1"/>
    <cellStyle name="Hyperlink" xfId="17481" builtinId="8" hidden="1"/>
    <cellStyle name="Hyperlink" xfId="17483" builtinId="8" hidden="1"/>
    <cellStyle name="Hyperlink" xfId="17363" builtinId="8" hidden="1"/>
    <cellStyle name="Hyperlink" xfId="17399" builtinId="8" hidden="1"/>
    <cellStyle name="Hyperlink" xfId="17485" builtinId="8" hidden="1"/>
    <cellStyle name="Hyperlink" xfId="17487" builtinId="8" hidden="1"/>
    <cellStyle name="Hyperlink" xfId="17489" builtinId="8" hidden="1"/>
    <cellStyle name="Hyperlink" xfId="17491" builtinId="8" hidden="1"/>
    <cellStyle name="Hyperlink" xfId="17368" builtinId="8" hidden="1"/>
    <cellStyle name="Hyperlink" xfId="17388" builtinId="8" hidden="1"/>
    <cellStyle name="Hyperlink" xfId="17493" builtinId="8" hidden="1"/>
    <cellStyle name="Hyperlink" xfId="17495" builtinId="8" hidden="1"/>
    <cellStyle name="Hyperlink" xfId="17497" builtinId="8" hidden="1"/>
    <cellStyle name="Hyperlink" xfId="17499" builtinId="8" hidden="1"/>
    <cellStyle name="Hyperlink" xfId="17375" builtinId="8" hidden="1"/>
    <cellStyle name="Hyperlink" xfId="17373" builtinId="8" hidden="1"/>
    <cellStyle name="Hyperlink" xfId="17501" builtinId="8" hidden="1"/>
    <cellStyle name="Hyperlink" xfId="17503" builtinId="8" hidden="1"/>
    <cellStyle name="Hyperlink" xfId="17505" builtinId="8" hidden="1"/>
    <cellStyle name="Hyperlink" xfId="17507" builtinId="8" hidden="1"/>
    <cellStyle name="Hyperlink" xfId="16952" builtinId="8" hidden="1"/>
    <cellStyle name="Hyperlink" xfId="16895" builtinId="8" hidden="1"/>
    <cellStyle name="Hyperlink" xfId="16905" builtinId="8" hidden="1"/>
    <cellStyle name="Hyperlink" xfId="16872" builtinId="8" hidden="1"/>
    <cellStyle name="Hyperlink" xfId="16955" builtinId="8" hidden="1"/>
    <cellStyle name="Hyperlink" xfId="16987" builtinId="8" hidden="1"/>
    <cellStyle name="Hyperlink" xfId="16966" builtinId="8" hidden="1"/>
    <cellStyle name="Hyperlink" xfId="16916" builtinId="8" hidden="1"/>
    <cellStyle name="Hyperlink" xfId="17515" builtinId="8" hidden="1"/>
    <cellStyle name="Hyperlink" xfId="17517" builtinId="8" hidden="1"/>
    <cellStyle name="Hyperlink" xfId="17519" builtinId="8" hidden="1"/>
    <cellStyle name="Hyperlink" xfId="17521" builtinId="8" hidden="1"/>
    <cellStyle name="Hyperlink" xfId="17523" builtinId="8" hidden="1"/>
    <cellStyle name="Hyperlink" xfId="17525" builtinId="8" hidden="1"/>
    <cellStyle name="Hyperlink" xfId="17575" builtinId="8" hidden="1"/>
    <cellStyle name="Hyperlink" xfId="17577" builtinId="8" hidden="1"/>
    <cellStyle name="Hyperlink" xfId="17579" builtinId="8" hidden="1"/>
    <cellStyle name="Hyperlink" xfId="17581" builtinId="8" hidden="1"/>
    <cellStyle name="Hyperlink" xfId="17571" builtinId="8" hidden="1"/>
    <cellStyle name="Hyperlink" xfId="17561" builtinId="8" hidden="1"/>
    <cellStyle name="Hyperlink" xfId="17583" builtinId="8" hidden="1"/>
    <cellStyle name="Hyperlink" xfId="17585" builtinId="8" hidden="1"/>
    <cellStyle name="Hyperlink" xfId="17587" builtinId="8" hidden="1"/>
    <cellStyle name="Hyperlink" xfId="17589" builtinId="8" hidden="1"/>
    <cellStyle name="Hyperlink" xfId="17555" builtinId="8" hidden="1"/>
    <cellStyle name="Hyperlink" xfId="17541" builtinId="8" hidden="1"/>
    <cellStyle name="Hyperlink" xfId="17591" builtinId="8" hidden="1"/>
    <cellStyle name="Hyperlink" xfId="17593" builtinId="8" hidden="1"/>
    <cellStyle name="Hyperlink" xfId="17595" builtinId="8" hidden="1"/>
    <cellStyle name="Hyperlink" xfId="17597" builtinId="8" hidden="1"/>
    <cellStyle name="Hyperlink" xfId="17560" builtinId="8" hidden="1"/>
    <cellStyle name="Hyperlink" xfId="17529" builtinId="8" hidden="1"/>
    <cellStyle name="Hyperlink" xfId="17599" builtinId="8" hidden="1"/>
    <cellStyle name="Hyperlink" xfId="17601" builtinId="8" hidden="1"/>
    <cellStyle name="Hyperlink" xfId="17603" builtinId="8" hidden="1"/>
    <cellStyle name="Hyperlink" xfId="17605" builtinId="8" hidden="1"/>
    <cellStyle name="Hyperlink" xfId="17530" builtinId="8" hidden="1"/>
    <cellStyle name="Hyperlink" xfId="17563" builtinId="8" hidden="1"/>
    <cellStyle name="Hyperlink" xfId="17607" builtinId="8" hidden="1"/>
    <cellStyle name="Hyperlink" xfId="17609" builtinId="8" hidden="1"/>
    <cellStyle name="Hyperlink" xfId="17611" builtinId="8" hidden="1"/>
    <cellStyle name="Hyperlink" xfId="17613" builtinId="8" hidden="1"/>
    <cellStyle name="Hyperlink" xfId="17532" builtinId="8" hidden="1"/>
    <cellStyle name="Hyperlink" xfId="17573" builtinId="8" hidden="1"/>
    <cellStyle name="Hyperlink" xfId="17615" builtinId="8" hidden="1"/>
    <cellStyle name="Hyperlink" xfId="17617" builtinId="8" hidden="1"/>
    <cellStyle name="Hyperlink" xfId="17619" builtinId="8" hidden="1"/>
    <cellStyle name="Hyperlink" xfId="17621" builtinId="8" hidden="1"/>
    <cellStyle name="Hyperlink" xfId="17553" builtinId="8" hidden="1"/>
    <cellStyle name="Hyperlink" xfId="17556" builtinId="8" hidden="1"/>
    <cellStyle name="Hyperlink" xfId="17623" builtinId="8" hidden="1"/>
    <cellStyle name="Hyperlink" xfId="17625" builtinId="8" hidden="1"/>
    <cellStyle name="Hyperlink" xfId="17627" builtinId="8" hidden="1"/>
    <cellStyle name="Hyperlink" xfId="17629" builtinId="8" hidden="1"/>
    <cellStyle name="Hyperlink" xfId="17557" builtinId="8" hidden="1"/>
    <cellStyle name="Hyperlink" xfId="17554" builtinId="8" hidden="1"/>
    <cellStyle name="Hyperlink" xfId="17631" builtinId="8" hidden="1"/>
    <cellStyle name="Hyperlink" xfId="17633" builtinId="8" hidden="1"/>
    <cellStyle name="Hyperlink" xfId="17635" builtinId="8" hidden="1"/>
    <cellStyle name="Hyperlink" xfId="17637" builtinId="8" hidden="1"/>
    <cellStyle name="Hyperlink" xfId="17572" builtinId="8" hidden="1"/>
    <cellStyle name="Hyperlink" xfId="17549" builtinId="8" hidden="1"/>
    <cellStyle name="Hyperlink" xfId="17639" builtinId="8" hidden="1"/>
    <cellStyle name="Hyperlink" xfId="17641" builtinId="8" hidden="1"/>
    <cellStyle name="Hyperlink" xfId="17643" builtinId="8" hidden="1"/>
    <cellStyle name="Hyperlink" xfId="17645" builtinId="8" hidden="1"/>
    <cellStyle name="Hyperlink" xfId="17527" builtinId="8" hidden="1"/>
    <cellStyle name="Hyperlink" xfId="17528" builtinId="8" hidden="1"/>
    <cellStyle name="Hyperlink" xfId="17647" builtinId="8" hidden="1"/>
    <cellStyle name="Hyperlink" xfId="17649" builtinId="8" hidden="1"/>
    <cellStyle name="Hyperlink" xfId="17651" builtinId="8" hidden="1"/>
    <cellStyle name="Hyperlink" xfId="17653" builtinId="8" hidden="1"/>
    <cellStyle name="Hyperlink" xfId="17533" builtinId="8" hidden="1"/>
    <cellStyle name="Hyperlink" xfId="17569" builtinId="8" hidden="1"/>
    <cellStyle name="Hyperlink" xfId="17655" builtinId="8" hidden="1"/>
    <cellStyle name="Hyperlink" xfId="17657" builtinId="8" hidden="1"/>
    <cellStyle name="Hyperlink" xfId="17659" builtinId="8" hidden="1"/>
    <cellStyle name="Hyperlink" xfId="17661" builtinId="8" hidden="1"/>
    <cellStyle name="Hyperlink" xfId="17538" builtinId="8" hidden="1"/>
    <cellStyle name="Hyperlink" xfId="17558" builtinId="8" hidden="1"/>
    <cellStyle name="Hyperlink" xfId="17663" builtinId="8" hidden="1"/>
    <cellStyle name="Hyperlink" xfId="17665" builtinId="8" hidden="1"/>
    <cellStyle name="Hyperlink" xfId="17667" builtinId="8" hidden="1"/>
    <cellStyle name="Hyperlink" xfId="17669" builtinId="8" hidden="1"/>
    <cellStyle name="Hyperlink" xfId="17545" builtinId="8" hidden="1"/>
    <cellStyle name="Hyperlink" xfId="17543" builtinId="8" hidden="1"/>
    <cellStyle name="Hyperlink" xfId="17671" builtinId="8" hidden="1"/>
    <cellStyle name="Hyperlink" xfId="17673" builtinId="8" hidden="1"/>
    <cellStyle name="Hyperlink" xfId="17675" builtinId="8" hidden="1"/>
    <cellStyle name="Hyperlink" xfId="17677" builtinId="8" hidden="1"/>
    <cellStyle name="Hyperlink" xfId="16927" builtinId="8" hidden="1"/>
    <cellStyle name="Hyperlink" xfId="16898" builtinId="8" hidden="1"/>
    <cellStyle name="Hyperlink" xfId="16945" builtinId="8" hidden="1"/>
    <cellStyle name="Hyperlink" xfId="16863" builtinId="8" hidden="1"/>
    <cellStyle name="Hyperlink" xfId="16942" builtinId="8" hidden="1"/>
    <cellStyle name="Hyperlink" xfId="16878" builtinId="8" hidden="1"/>
    <cellStyle name="Hyperlink" xfId="16949" builtinId="8" hidden="1"/>
    <cellStyle name="Hyperlink" xfId="16904" builtinId="8" hidden="1"/>
    <cellStyle name="Hyperlink" xfId="17684" builtinId="8" hidden="1"/>
    <cellStyle name="Hyperlink" xfId="17686" builtinId="8" hidden="1"/>
    <cellStyle name="Hyperlink" xfId="17688" builtinId="8" hidden="1"/>
    <cellStyle name="Hyperlink" xfId="17690" builtinId="8" hidden="1"/>
    <cellStyle name="Hyperlink" xfId="17692" builtinId="8" hidden="1"/>
    <cellStyle name="Hyperlink" xfId="17694" builtinId="8" hidden="1"/>
    <cellStyle name="Hyperlink" xfId="17744" builtinId="8" hidden="1"/>
    <cellStyle name="Hyperlink" xfId="17746" builtinId="8" hidden="1"/>
    <cellStyle name="Hyperlink" xfId="17748" builtinId="8" hidden="1"/>
    <cellStyle name="Hyperlink" xfId="17750" builtinId="8" hidden="1"/>
    <cellStyle name="Hyperlink" xfId="17740" builtinId="8" hidden="1"/>
    <cellStyle name="Hyperlink" xfId="17730" builtinId="8" hidden="1"/>
    <cellStyle name="Hyperlink" xfId="17752" builtinId="8" hidden="1"/>
    <cellStyle name="Hyperlink" xfId="17754" builtinId="8" hidden="1"/>
    <cellStyle name="Hyperlink" xfId="17756" builtinId="8" hidden="1"/>
    <cellStyle name="Hyperlink" xfId="17758" builtinId="8" hidden="1"/>
    <cellStyle name="Hyperlink" xfId="17724" builtinId="8" hidden="1"/>
    <cellStyle name="Hyperlink" xfId="17710" builtinId="8" hidden="1"/>
    <cellStyle name="Hyperlink" xfId="17760" builtinId="8" hidden="1"/>
    <cellStyle name="Hyperlink" xfId="17762" builtinId="8" hidden="1"/>
    <cellStyle name="Hyperlink" xfId="17764" builtinId="8" hidden="1"/>
    <cellStyle name="Hyperlink" xfId="17766" builtinId="8" hidden="1"/>
    <cellStyle name="Hyperlink" xfId="17729" builtinId="8" hidden="1"/>
    <cellStyle name="Hyperlink" xfId="17698" builtinId="8" hidden="1"/>
    <cellStyle name="Hyperlink" xfId="17768" builtinId="8" hidden="1"/>
    <cellStyle name="Hyperlink" xfId="17770" builtinId="8" hidden="1"/>
    <cellStyle name="Hyperlink" xfId="17772" builtinId="8" hidden="1"/>
    <cellStyle name="Hyperlink" xfId="17774" builtinId="8" hidden="1"/>
    <cellStyle name="Hyperlink" xfId="17699" builtinId="8" hidden="1"/>
    <cellStyle name="Hyperlink" xfId="17732" builtinId="8" hidden="1"/>
    <cellStyle name="Hyperlink" xfId="17776" builtinId="8" hidden="1"/>
    <cellStyle name="Hyperlink" xfId="17778" builtinId="8" hidden="1"/>
    <cellStyle name="Hyperlink" xfId="17780" builtinId="8" hidden="1"/>
    <cellStyle name="Hyperlink" xfId="17782" builtinId="8" hidden="1"/>
    <cellStyle name="Hyperlink" xfId="17701" builtinId="8" hidden="1"/>
    <cellStyle name="Hyperlink" xfId="17742" builtinId="8" hidden="1"/>
    <cellStyle name="Hyperlink" xfId="17784" builtinId="8" hidden="1"/>
    <cellStyle name="Hyperlink" xfId="17786" builtinId="8" hidden="1"/>
    <cellStyle name="Hyperlink" xfId="17788" builtinId="8" hidden="1"/>
    <cellStyle name="Hyperlink" xfId="17790" builtinId="8" hidden="1"/>
    <cellStyle name="Hyperlink" xfId="17722" builtinId="8" hidden="1"/>
    <cellStyle name="Hyperlink" xfId="17725" builtinId="8" hidden="1"/>
    <cellStyle name="Hyperlink" xfId="17792" builtinId="8" hidden="1"/>
    <cellStyle name="Hyperlink" xfId="17794" builtinId="8" hidden="1"/>
    <cellStyle name="Hyperlink" xfId="17796" builtinId="8" hidden="1"/>
    <cellStyle name="Hyperlink" xfId="17798" builtinId="8" hidden="1"/>
    <cellStyle name="Hyperlink" xfId="17726" builtinId="8" hidden="1"/>
    <cellStyle name="Hyperlink" xfId="17723" builtinId="8" hidden="1"/>
    <cellStyle name="Hyperlink" xfId="17800" builtinId="8" hidden="1"/>
    <cellStyle name="Hyperlink" xfId="17802" builtinId="8" hidden="1"/>
    <cellStyle name="Hyperlink" xfId="17804" builtinId="8" hidden="1"/>
    <cellStyle name="Hyperlink" xfId="17806" builtinId="8" hidden="1"/>
    <cellStyle name="Hyperlink" xfId="17741" builtinId="8" hidden="1"/>
    <cellStyle name="Hyperlink" xfId="17718" builtinId="8" hidden="1"/>
    <cellStyle name="Hyperlink" xfId="17808" builtinId="8" hidden="1"/>
    <cellStyle name="Hyperlink" xfId="17810" builtinId="8" hidden="1"/>
    <cellStyle name="Hyperlink" xfId="17812" builtinId="8" hidden="1"/>
    <cellStyle name="Hyperlink" xfId="17814" builtinId="8" hidden="1"/>
    <cellStyle name="Hyperlink" xfId="17696" builtinId="8" hidden="1"/>
    <cellStyle name="Hyperlink" xfId="17697" builtinId="8" hidden="1"/>
    <cellStyle name="Hyperlink" xfId="17816" builtinId="8" hidden="1"/>
    <cellStyle name="Hyperlink" xfId="17818" builtinId="8" hidden="1"/>
    <cellStyle name="Hyperlink" xfId="17820" builtinId="8" hidden="1"/>
    <cellStyle name="Hyperlink" xfId="17822" builtinId="8" hidden="1"/>
    <cellStyle name="Hyperlink" xfId="17702" builtinId="8" hidden="1"/>
    <cellStyle name="Hyperlink" xfId="17738" builtinId="8" hidden="1"/>
    <cellStyle name="Hyperlink" xfId="17824" builtinId="8" hidden="1"/>
    <cellStyle name="Hyperlink" xfId="17826" builtinId="8" hidden="1"/>
    <cellStyle name="Hyperlink" xfId="17828" builtinId="8" hidden="1"/>
    <cellStyle name="Hyperlink" xfId="17830" builtinId="8" hidden="1"/>
    <cellStyle name="Hyperlink" xfId="17707" builtinId="8" hidden="1"/>
    <cellStyle name="Hyperlink" xfId="17727" builtinId="8" hidden="1"/>
    <cellStyle name="Hyperlink" xfId="17832" builtinId="8" hidden="1"/>
    <cellStyle name="Hyperlink" xfId="17834" builtinId="8" hidden="1"/>
    <cellStyle name="Hyperlink" xfId="17836" builtinId="8" hidden="1"/>
    <cellStyle name="Hyperlink" xfId="17838" builtinId="8" hidden="1"/>
    <cellStyle name="Hyperlink" xfId="17714" builtinId="8" hidden="1"/>
    <cellStyle name="Hyperlink" xfId="17712" builtinId="8" hidden="1"/>
    <cellStyle name="Hyperlink" xfId="17840" builtinId="8" hidden="1"/>
    <cellStyle name="Hyperlink" xfId="17842" builtinId="8" hidden="1"/>
    <cellStyle name="Hyperlink" xfId="17844" builtinId="8" hidden="1"/>
    <cellStyle name="Hyperlink" xfId="17846" builtinId="8" hidden="1"/>
    <cellStyle name="Hyperlink" xfId="17169" builtinId="8" hidden="1"/>
    <cellStyle name="Hyperlink" xfId="17336" builtinId="8" hidden="1"/>
    <cellStyle name="Hyperlink" xfId="16973" builtinId="8" hidden="1"/>
    <cellStyle name="Hyperlink" xfId="16862" builtinId="8" hidden="1"/>
    <cellStyle name="Hyperlink" xfId="16858" builtinId="8" hidden="1"/>
    <cellStyle name="Hyperlink" xfId="16906" builtinId="8" hidden="1"/>
    <cellStyle name="Hyperlink" xfId="16867" builtinId="8" hidden="1"/>
    <cellStyle name="Hyperlink" xfId="16943" builtinId="8" hidden="1"/>
    <cellStyle name="Hyperlink" xfId="17853" builtinId="8" hidden="1"/>
    <cellStyle name="Hyperlink" xfId="17855" builtinId="8" hidden="1"/>
    <cellStyle name="Hyperlink" xfId="17857" builtinId="8" hidden="1"/>
    <cellStyle name="Hyperlink" xfId="17859" builtinId="8" hidden="1"/>
    <cellStyle name="Hyperlink" xfId="17861" builtinId="8" hidden="1"/>
    <cellStyle name="Hyperlink" xfId="17863" builtinId="8" hidden="1"/>
    <cellStyle name="Hyperlink" xfId="17913" builtinId="8" hidden="1"/>
    <cellStyle name="Hyperlink" xfId="17915" builtinId="8" hidden="1"/>
    <cellStyle name="Hyperlink" xfId="17917" builtinId="8" hidden="1"/>
    <cellStyle name="Hyperlink" xfId="17919" builtinId="8" hidden="1"/>
    <cellStyle name="Hyperlink" xfId="17909" builtinId="8" hidden="1"/>
    <cellStyle name="Hyperlink" xfId="17899" builtinId="8" hidden="1"/>
    <cellStyle name="Hyperlink" xfId="17921" builtinId="8" hidden="1"/>
    <cellStyle name="Hyperlink" xfId="17923" builtinId="8" hidden="1"/>
    <cellStyle name="Hyperlink" xfId="17925" builtinId="8" hidden="1"/>
    <cellStyle name="Hyperlink" xfId="17927" builtinId="8" hidden="1"/>
    <cellStyle name="Hyperlink" xfId="17893" builtinId="8" hidden="1"/>
    <cellStyle name="Hyperlink" xfId="17879" builtinId="8" hidden="1"/>
    <cellStyle name="Hyperlink" xfId="17929" builtinId="8" hidden="1"/>
    <cellStyle name="Hyperlink" xfId="17931" builtinId="8" hidden="1"/>
    <cellStyle name="Hyperlink" xfId="17933" builtinId="8" hidden="1"/>
    <cellStyle name="Hyperlink" xfId="17935" builtinId="8" hidden="1"/>
    <cellStyle name="Hyperlink" xfId="17898" builtinId="8" hidden="1"/>
    <cellStyle name="Hyperlink" xfId="17867" builtinId="8" hidden="1"/>
    <cellStyle name="Hyperlink" xfId="17937" builtinId="8" hidden="1"/>
    <cellStyle name="Hyperlink" xfId="17939" builtinId="8" hidden="1"/>
    <cellStyle name="Hyperlink" xfId="17941" builtinId="8" hidden="1"/>
    <cellStyle name="Hyperlink" xfId="17943" builtinId="8" hidden="1"/>
    <cellStyle name="Hyperlink" xfId="17868" builtinId="8" hidden="1"/>
    <cellStyle name="Hyperlink" xfId="17901" builtinId="8" hidden="1"/>
    <cellStyle name="Hyperlink" xfId="17945" builtinId="8" hidden="1"/>
    <cellStyle name="Hyperlink" xfId="17947" builtinId="8" hidden="1"/>
    <cellStyle name="Hyperlink" xfId="17949" builtinId="8" hidden="1"/>
    <cellStyle name="Hyperlink" xfId="17951" builtinId="8" hidden="1"/>
    <cellStyle name="Hyperlink" xfId="17870" builtinId="8" hidden="1"/>
    <cellStyle name="Hyperlink" xfId="17911" builtinId="8" hidden="1"/>
    <cellStyle name="Hyperlink" xfId="17953" builtinId="8" hidden="1"/>
    <cellStyle name="Hyperlink" xfId="17955" builtinId="8" hidden="1"/>
    <cellStyle name="Hyperlink" xfId="17957" builtinId="8" hidden="1"/>
    <cellStyle name="Hyperlink" xfId="17959" builtinId="8" hidden="1"/>
    <cellStyle name="Hyperlink" xfId="17891" builtinId="8" hidden="1"/>
    <cellStyle name="Hyperlink" xfId="17894" builtinId="8" hidden="1"/>
    <cellStyle name="Hyperlink" xfId="17961" builtinId="8" hidden="1"/>
    <cellStyle name="Hyperlink" xfId="17963" builtinId="8" hidden="1"/>
    <cellStyle name="Hyperlink" xfId="17965" builtinId="8" hidden="1"/>
    <cellStyle name="Hyperlink" xfId="17967" builtinId="8" hidden="1"/>
    <cellStyle name="Hyperlink" xfId="17895" builtinId="8" hidden="1"/>
    <cellStyle name="Hyperlink" xfId="17892" builtinId="8" hidden="1"/>
    <cellStyle name="Hyperlink" xfId="17969" builtinId="8" hidden="1"/>
    <cellStyle name="Hyperlink" xfId="17971" builtinId="8" hidden="1"/>
    <cellStyle name="Hyperlink" xfId="17973" builtinId="8" hidden="1"/>
    <cellStyle name="Hyperlink" xfId="17975" builtinId="8" hidden="1"/>
    <cellStyle name="Hyperlink" xfId="17910" builtinId="8" hidden="1"/>
    <cellStyle name="Hyperlink" xfId="17887" builtinId="8" hidden="1"/>
    <cellStyle name="Hyperlink" xfId="17977" builtinId="8" hidden="1"/>
    <cellStyle name="Hyperlink" xfId="17979" builtinId="8" hidden="1"/>
    <cellStyle name="Hyperlink" xfId="17981" builtinId="8" hidden="1"/>
    <cellStyle name="Hyperlink" xfId="17983" builtinId="8" hidden="1"/>
    <cellStyle name="Hyperlink" xfId="17865" builtinId="8" hidden="1"/>
    <cellStyle name="Hyperlink" xfId="17866" builtinId="8" hidden="1"/>
    <cellStyle name="Hyperlink" xfId="17985" builtinId="8" hidden="1"/>
    <cellStyle name="Hyperlink" xfId="17987" builtinId="8" hidden="1"/>
    <cellStyle name="Hyperlink" xfId="17989" builtinId="8" hidden="1"/>
    <cellStyle name="Hyperlink" xfId="17991" builtinId="8" hidden="1"/>
    <cellStyle name="Hyperlink" xfId="17871" builtinId="8" hidden="1"/>
    <cellStyle name="Hyperlink" xfId="17907" builtinId="8" hidden="1"/>
    <cellStyle name="Hyperlink" xfId="17993" builtinId="8" hidden="1"/>
    <cellStyle name="Hyperlink" xfId="17995" builtinId="8" hidden="1"/>
    <cellStyle name="Hyperlink" xfId="17997" builtinId="8" hidden="1"/>
    <cellStyle name="Hyperlink" xfId="17999" builtinId="8" hidden="1"/>
    <cellStyle name="Hyperlink" xfId="17876" builtinId="8" hidden="1"/>
    <cellStyle name="Hyperlink" xfId="17896" builtinId="8" hidden="1"/>
    <cellStyle name="Hyperlink" xfId="18001" builtinId="8" hidden="1"/>
    <cellStyle name="Hyperlink" xfId="18003" builtinId="8" hidden="1"/>
    <cellStyle name="Hyperlink" xfId="18005" builtinId="8" hidden="1"/>
    <cellStyle name="Hyperlink" xfId="18007" builtinId="8" hidden="1"/>
    <cellStyle name="Hyperlink" xfId="17883" builtinId="8" hidden="1"/>
    <cellStyle name="Hyperlink" xfId="17881" builtinId="8" hidden="1"/>
    <cellStyle name="Hyperlink" xfId="18009" builtinId="8" hidden="1"/>
    <cellStyle name="Hyperlink" xfId="18011" builtinId="8" hidden="1"/>
    <cellStyle name="Hyperlink" xfId="18013" builtinId="8" hidden="1"/>
    <cellStyle name="Hyperlink" xfId="18015" builtinId="8" hidden="1"/>
    <cellStyle name="Hyperlink" xfId="16859" builtinId="8" hidden="1"/>
    <cellStyle name="Hyperlink" xfId="16974" builtinId="8" hidden="1"/>
    <cellStyle name="Hyperlink" xfId="17343" builtinId="8" hidden="1"/>
    <cellStyle name="Hyperlink" xfId="16976" builtinId="8" hidden="1"/>
    <cellStyle name="Hyperlink" xfId="16957" builtinId="8" hidden="1"/>
    <cellStyle name="Hyperlink" xfId="16989" builtinId="8" hidden="1"/>
    <cellStyle name="Hyperlink" xfId="16864" builtinId="8" hidden="1"/>
    <cellStyle name="Hyperlink" xfId="16991" builtinId="8" hidden="1"/>
    <cellStyle name="Hyperlink" xfId="18020" builtinId="8" hidden="1"/>
    <cellStyle name="Hyperlink" xfId="18022" builtinId="8" hidden="1"/>
    <cellStyle name="Hyperlink" xfId="18024" builtinId="8" hidden="1"/>
    <cellStyle name="Hyperlink" xfId="18026" builtinId="8" hidden="1"/>
    <cellStyle name="Hyperlink" xfId="18028" builtinId="8" hidden="1"/>
    <cellStyle name="Hyperlink" xfId="18030" builtinId="8" hidden="1"/>
    <cellStyle name="Hyperlink" xfId="18080" builtinId="8" hidden="1"/>
    <cellStyle name="Hyperlink" xfId="18082" builtinId="8" hidden="1"/>
    <cellStyle name="Hyperlink" xfId="18084" builtinId="8" hidden="1"/>
    <cellStyle name="Hyperlink" xfId="18086" builtinId="8" hidden="1"/>
    <cellStyle name="Hyperlink" xfId="18076" builtinId="8" hidden="1"/>
    <cellStyle name="Hyperlink" xfId="18066" builtinId="8" hidden="1"/>
    <cellStyle name="Hyperlink" xfId="18088" builtinId="8" hidden="1"/>
    <cellStyle name="Hyperlink" xfId="18090" builtinId="8" hidden="1"/>
    <cellStyle name="Hyperlink" xfId="18092" builtinId="8" hidden="1"/>
    <cellStyle name="Hyperlink" xfId="18094" builtinId="8" hidden="1"/>
    <cellStyle name="Hyperlink" xfId="18060" builtinId="8" hidden="1"/>
    <cellStyle name="Hyperlink" xfId="18046" builtinId="8" hidden="1"/>
    <cellStyle name="Hyperlink" xfId="18096" builtinId="8" hidden="1"/>
    <cellStyle name="Hyperlink" xfId="18098" builtinId="8" hidden="1"/>
    <cellStyle name="Hyperlink" xfId="18100" builtinId="8" hidden="1"/>
    <cellStyle name="Hyperlink" xfId="18102" builtinId="8" hidden="1"/>
    <cellStyle name="Hyperlink" xfId="18065" builtinId="8" hidden="1"/>
    <cellStyle name="Hyperlink" xfId="18034" builtinId="8" hidden="1"/>
    <cellStyle name="Hyperlink" xfId="18104" builtinId="8" hidden="1"/>
    <cellStyle name="Hyperlink" xfId="18106" builtinId="8" hidden="1"/>
    <cellStyle name="Hyperlink" xfId="18108" builtinId="8" hidden="1"/>
    <cellStyle name="Hyperlink" xfId="18110" builtinId="8" hidden="1"/>
    <cellStyle name="Hyperlink" xfId="18035" builtinId="8" hidden="1"/>
    <cellStyle name="Hyperlink" xfId="18068" builtinId="8" hidden="1"/>
    <cellStyle name="Hyperlink" xfId="18112" builtinId="8" hidden="1"/>
    <cellStyle name="Hyperlink" xfId="18114" builtinId="8" hidden="1"/>
    <cellStyle name="Hyperlink" xfId="18116" builtinId="8" hidden="1"/>
    <cellStyle name="Hyperlink" xfId="18118" builtinId="8" hidden="1"/>
    <cellStyle name="Hyperlink" xfId="18037" builtinId="8" hidden="1"/>
    <cellStyle name="Hyperlink" xfId="18078" builtinId="8" hidden="1"/>
    <cellStyle name="Hyperlink" xfId="18120" builtinId="8" hidden="1"/>
    <cellStyle name="Hyperlink" xfId="18122" builtinId="8" hidden="1"/>
    <cellStyle name="Hyperlink" xfId="18124" builtinId="8" hidden="1"/>
    <cellStyle name="Hyperlink" xfId="18126" builtinId="8" hidden="1"/>
    <cellStyle name="Hyperlink" xfId="18058" builtinId="8" hidden="1"/>
    <cellStyle name="Hyperlink" xfId="18061" builtinId="8" hidden="1"/>
    <cellStyle name="Hyperlink" xfId="18128" builtinId="8" hidden="1"/>
    <cellStyle name="Hyperlink" xfId="18130" builtinId="8" hidden="1"/>
    <cellStyle name="Hyperlink" xfId="18132" builtinId="8" hidden="1"/>
    <cellStyle name="Hyperlink" xfId="18134" builtinId="8" hidden="1"/>
    <cellStyle name="Hyperlink" xfId="18062" builtinId="8" hidden="1"/>
    <cellStyle name="Hyperlink" xfId="18059" builtinId="8" hidden="1"/>
    <cellStyle name="Hyperlink" xfId="18136" builtinId="8" hidden="1"/>
    <cellStyle name="Hyperlink" xfId="18138" builtinId="8" hidden="1"/>
    <cellStyle name="Hyperlink" xfId="18140" builtinId="8" hidden="1"/>
    <cellStyle name="Hyperlink" xfId="18142" builtinId="8" hidden="1"/>
    <cellStyle name="Hyperlink" xfId="18077" builtinId="8" hidden="1"/>
    <cellStyle name="Hyperlink" xfId="18054" builtinId="8" hidden="1"/>
    <cellStyle name="Hyperlink" xfId="18144" builtinId="8" hidden="1"/>
    <cellStyle name="Hyperlink" xfId="18146" builtinId="8" hidden="1"/>
    <cellStyle name="Hyperlink" xfId="18148" builtinId="8" hidden="1"/>
    <cellStyle name="Hyperlink" xfId="18150" builtinId="8" hidden="1"/>
    <cellStyle name="Hyperlink" xfId="18032" builtinId="8" hidden="1"/>
    <cellStyle name="Hyperlink" xfId="18033" builtinId="8" hidden="1"/>
    <cellStyle name="Hyperlink" xfId="18152" builtinId="8" hidden="1"/>
    <cellStyle name="Hyperlink" xfId="18154" builtinId="8" hidden="1"/>
    <cellStyle name="Hyperlink" xfId="18156" builtinId="8" hidden="1"/>
    <cellStyle name="Hyperlink" xfId="18158" builtinId="8" hidden="1"/>
    <cellStyle name="Hyperlink" xfId="18038" builtinId="8" hidden="1"/>
    <cellStyle name="Hyperlink" xfId="18074" builtinId="8" hidden="1"/>
    <cellStyle name="Hyperlink" xfId="18160" builtinId="8" hidden="1"/>
    <cellStyle name="Hyperlink" xfId="18162" builtinId="8" hidden="1"/>
    <cellStyle name="Hyperlink" xfId="18164" builtinId="8" hidden="1"/>
    <cellStyle name="Hyperlink" xfId="18166" builtinId="8" hidden="1"/>
    <cellStyle name="Hyperlink" xfId="18043" builtinId="8" hidden="1"/>
    <cellStyle name="Hyperlink" xfId="18063" builtinId="8" hidden="1"/>
    <cellStyle name="Hyperlink" xfId="18168" builtinId="8" hidden="1"/>
    <cellStyle name="Hyperlink" xfId="18170" builtinId="8" hidden="1"/>
    <cellStyle name="Hyperlink" xfId="18172" builtinId="8" hidden="1"/>
    <cellStyle name="Hyperlink" xfId="18174" builtinId="8" hidden="1"/>
    <cellStyle name="Hyperlink" xfId="18050" builtinId="8" hidden="1"/>
    <cellStyle name="Hyperlink" xfId="18048" builtinId="8" hidden="1"/>
    <cellStyle name="Hyperlink" xfId="18176" builtinId="8" hidden="1"/>
    <cellStyle name="Hyperlink" xfId="18178" builtinId="8" hidden="1"/>
    <cellStyle name="Hyperlink" xfId="18180" builtinId="8" hidden="1"/>
    <cellStyle name="Hyperlink" xfId="18182" builtinId="8" hidden="1"/>
    <cellStyle name="Hyperlink" xfId="17000" builtinId="8" hidden="1"/>
    <cellStyle name="Hyperlink" xfId="16971" builtinId="8" hidden="1"/>
    <cellStyle name="Hyperlink" xfId="17513" builtinId="8" hidden="1"/>
    <cellStyle name="Hyperlink" xfId="16996" builtinId="8" hidden="1"/>
    <cellStyle name="Hyperlink" xfId="16933" builtinId="8" hidden="1"/>
    <cellStyle name="Hyperlink" xfId="16874" builtinId="8" hidden="1"/>
    <cellStyle name="Hyperlink" xfId="16988" builtinId="8" hidden="1"/>
    <cellStyle name="Hyperlink" xfId="16981" builtinId="8" hidden="1"/>
    <cellStyle name="Hyperlink" xfId="18187" builtinId="8" hidden="1"/>
    <cellStyle name="Hyperlink" xfId="18189" builtinId="8" hidden="1"/>
    <cellStyle name="Hyperlink" xfId="18191" builtinId="8" hidden="1"/>
    <cellStyle name="Hyperlink" xfId="18193" builtinId="8" hidden="1"/>
    <cellStyle name="Hyperlink" xfId="18195" builtinId="8" hidden="1"/>
    <cellStyle name="Hyperlink" xfId="18197" builtinId="8" hidden="1"/>
    <cellStyle name="Hyperlink" xfId="18247" builtinId="8" hidden="1"/>
    <cellStyle name="Hyperlink" xfId="18249" builtinId="8" hidden="1"/>
    <cellStyle name="Hyperlink" xfId="18251" builtinId="8" hidden="1"/>
    <cellStyle name="Hyperlink" xfId="18253" builtinId="8" hidden="1"/>
    <cellStyle name="Hyperlink" xfId="18243" builtinId="8" hidden="1"/>
    <cellStyle name="Hyperlink" xfId="18233" builtinId="8" hidden="1"/>
    <cellStyle name="Hyperlink" xfId="18255" builtinId="8" hidden="1"/>
    <cellStyle name="Hyperlink" xfId="18257" builtinId="8" hidden="1"/>
    <cellStyle name="Hyperlink" xfId="18259" builtinId="8" hidden="1"/>
    <cellStyle name="Hyperlink" xfId="18261" builtinId="8" hidden="1"/>
    <cellStyle name="Hyperlink" xfId="18227" builtinId="8" hidden="1"/>
    <cellStyle name="Hyperlink" xfId="18213" builtinId="8" hidden="1"/>
    <cellStyle name="Hyperlink" xfId="18263" builtinId="8" hidden="1"/>
    <cellStyle name="Hyperlink" xfId="18265" builtinId="8" hidden="1"/>
    <cellStyle name="Hyperlink" xfId="18267" builtinId="8" hidden="1"/>
    <cellStyle name="Hyperlink" xfId="18269" builtinId="8" hidden="1"/>
    <cellStyle name="Hyperlink" xfId="18232" builtinId="8" hidden="1"/>
    <cellStyle name="Hyperlink" xfId="18201" builtinId="8" hidden="1"/>
    <cellStyle name="Hyperlink" xfId="18271" builtinId="8" hidden="1"/>
    <cellStyle name="Hyperlink" xfId="18273" builtinId="8" hidden="1"/>
    <cellStyle name="Hyperlink" xfId="18275" builtinId="8" hidden="1"/>
    <cellStyle name="Hyperlink" xfId="18277" builtinId="8" hidden="1"/>
    <cellStyle name="Hyperlink" xfId="18202" builtinId="8" hidden="1"/>
    <cellStyle name="Hyperlink" xfId="18235" builtinId="8" hidden="1"/>
    <cellStyle name="Hyperlink" xfId="18279" builtinId="8" hidden="1"/>
    <cellStyle name="Hyperlink" xfId="18281" builtinId="8" hidden="1"/>
    <cellStyle name="Hyperlink" xfId="18283" builtinId="8" hidden="1"/>
    <cellStyle name="Hyperlink" xfId="18285" builtinId="8" hidden="1"/>
    <cellStyle name="Hyperlink" xfId="18204" builtinId="8" hidden="1"/>
    <cellStyle name="Hyperlink" xfId="18245" builtinId="8" hidden="1"/>
    <cellStyle name="Hyperlink" xfId="18287" builtinId="8" hidden="1"/>
    <cellStyle name="Hyperlink" xfId="18289" builtinId="8" hidden="1"/>
    <cellStyle name="Hyperlink" xfId="18291" builtinId="8" hidden="1"/>
    <cellStyle name="Hyperlink" xfId="18293" builtinId="8" hidden="1"/>
    <cellStyle name="Hyperlink" xfId="18225" builtinId="8" hidden="1"/>
    <cellStyle name="Hyperlink" xfId="18228" builtinId="8" hidden="1"/>
    <cellStyle name="Hyperlink" xfId="18295" builtinId="8" hidden="1"/>
    <cellStyle name="Hyperlink" xfId="18297" builtinId="8" hidden="1"/>
    <cellStyle name="Hyperlink" xfId="18299" builtinId="8" hidden="1"/>
    <cellStyle name="Hyperlink" xfId="18301" builtinId="8" hidden="1"/>
    <cellStyle name="Hyperlink" xfId="18229" builtinId="8" hidden="1"/>
    <cellStyle name="Hyperlink" xfId="18226" builtinId="8" hidden="1"/>
    <cellStyle name="Hyperlink" xfId="18303" builtinId="8" hidden="1"/>
    <cellStyle name="Hyperlink" xfId="18305" builtinId="8" hidden="1"/>
    <cellStyle name="Hyperlink" xfId="18307" builtinId="8" hidden="1"/>
    <cellStyle name="Hyperlink" xfId="18309" builtinId="8" hidden="1"/>
    <cellStyle name="Hyperlink" xfId="18244" builtinId="8" hidden="1"/>
    <cellStyle name="Hyperlink" xfId="18221" builtinId="8" hidden="1"/>
    <cellStyle name="Hyperlink" xfId="18311" builtinId="8" hidden="1"/>
    <cellStyle name="Hyperlink" xfId="18313" builtinId="8" hidden="1"/>
    <cellStyle name="Hyperlink" xfId="18315" builtinId="8" hidden="1"/>
    <cellStyle name="Hyperlink" xfId="18317" builtinId="8" hidden="1"/>
    <cellStyle name="Hyperlink" xfId="18199" builtinId="8" hidden="1"/>
    <cellStyle name="Hyperlink" xfId="18200" builtinId="8" hidden="1"/>
    <cellStyle name="Hyperlink" xfId="18319" builtinId="8" hidden="1"/>
    <cellStyle name="Hyperlink" xfId="18321" builtinId="8" hidden="1"/>
    <cellStyle name="Hyperlink" xfId="18323" builtinId="8" hidden="1"/>
    <cellStyle name="Hyperlink" xfId="18325" builtinId="8" hidden="1"/>
    <cellStyle name="Hyperlink" xfId="18205" builtinId="8" hidden="1"/>
    <cellStyle name="Hyperlink" xfId="18241" builtinId="8" hidden="1"/>
    <cellStyle name="Hyperlink" xfId="18327" builtinId="8" hidden="1"/>
    <cellStyle name="Hyperlink" xfId="18329" builtinId="8" hidden="1"/>
    <cellStyle name="Hyperlink" xfId="18331" builtinId="8" hidden="1"/>
    <cellStyle name="Hyperlink" xfId="18333" builtinId="8" hidden="1"/>
    <cellStyle name="Hyperlink" xfId="18210" builtinId="8" hidden="1"/>
    <cellStyle name="Hyperlink" xfId="18230" builtinId="8" hidden="1"/>
    <cellStyle name="Hyperlink" xfId="18335" builtinId="8" hidden="1"/>
    <cellStyle name="Hyperlink" xfId="18337" builtinId="8" hidden="1"/>
    <cellStyle name="Hyperlink" xfId="18339" builtinId="8" hidden="1"/>
    <cellStyle name="Hyperlink" xfId="18341" builtinId="8" hidden="1"/>
    <cellStyle name="Hyperlink" xfId="18217" builtinId="8" hidden="1"/>
    <cellStyle name="Hyperlink" xfId="18215" builtinId="8" hidden="1"/>
    <cellStyle name="Hyperlink" xfId="18343" builtinId="8" hidden="1"/>
    <cellStyle name="Hyperlink" xfId="18345" builtinId="8" hidden="1"/>
    <cellStyle name="Hyperlink" xfId="18347" builtinId="8" hidden="1"/>
    <cellStyle name="Hyperlink" xfId="18349" builtinId="8" hidden="1"/>
    <cellStyle name="Hyperlink" xfId="16975" builtinId="8" hidden="1"/>
    <cellStyle name="Hyperlink" xfId="16959" builtinId="8" hidden="1"/>
    <cellStyle name="Hyperlink" xfId="17682" builtinId="8" hidden="1"/>
    <cellStyle name="Hyperlink" xfId="16938" builtinId="8" hidden="1"/>
    <cellStyle name="Hyperlink" xfId="16855" builtinId="8" hidden="1"/>
    <cellStyle name="Hyperlink" xfId="16917" builtinId="8" hidden="1"/>
    <cellStyle name="Hyperlink" xfId="17339" builtinId="8" hidden="1"/>
    <cellStyle name="Hyperlink" xfId="16936" builtinId="8" hidden="1"/>
    <cellStyle name="Hyperlink" xfId="18352" builtinId="8" hidden="1"/>
    <cellStyle name="Hyperlink" xfId="18354" builtinId="8" hidden="1"/>
    <cellStyle name="Hyperlink" xfId="18356" builtinId="8" hidden="1"/>
    <cellStyle name="Hyperlink" xfId="18358" builtinId="8" hidden="1"/>
    <cellStyle name="Hyperlink" xfId="18360" builtinId="8" hidden="1"/>
    <cellStyle name="Hyperlink" xfId="18362" builtinId="8" hidden="1"/>
    <cellStyle name="Hyperlink" xfId="18412" builtinId="8" hidden="1"/>
    <cellStyle name="Hyperlink" xfId="18414" builtinId="8" hidden="1"/>
    <cellStyle name="Hyperlink" xfId="18416" builtinId="8" hidden="1"/>
    <cellStyle name="Hyperlink" xfId="18418" builtinId="8" hidden="1"/>
    <cellStyle name="Hyperlink" xfId="18408" builtinId="8" hidden="1"/>
    <cellStyle name="Hyperlink" xfId="18398" builtinId="8" hidden="1"/>
    <cellStyle name="Hyperlink" xfId="18420" builtinId="8" hidden="1"/>
    <cellStyle name="Hyperlink" xfId="18422" builtinId="8" hidden="1"/>
    <cellStyle name="Hyperlink" xfId="18424" builtinId="8" hidden="1"/>
    <cellStyle name="Hyperlink" xfId="18426" builtinId="8" hidden="1"/>
    <cellStyle name="Hyperlink" xfId="18392" builtinId="8" hidden="1"/>
    <cellStyle name="Hyperlink" xfId="18378" builtinId="8" hidden="1"/>
    <cellStyle name="Hyperlink" xfId="18428" builtinId="8" hidden="1"/>
    <cellStyle name="Hyperlink" xfId="18430" builtinId="8" hidden="1"/>
    <cellStyle name="Hyperlink" xfId="18432" builtinId="8" hidden="1"/>
    <cellStyle name="Hyperlink" xfId="18434" builtinId="8" hidden="1"/>
    <cellStyle name="Hyperlink" xfId="18397" builtinId="8" hidden="1"/>
    <cellStyle name="Hyperlink" xfId="18366" builtinId="8" hidden="1"/>
    <cellStyle name="Hyperlink" xfId="18436" builtinId="8" hidden="1"/>
    <cellStyle name="Hyperlink" xfId="18438" builtinId="8" hidden="1"/>
    <cellStyle name="Hyperlink" xfId="18440" builtinId="8" hidden="1"/>
    <cellStyle name="Hyperlink" xfId="18442" builtinId="8" hidden="1"/>
    <cellStyle name="Hyperlink" xfId="18367" builtinId="8" hidden="1"/>
    <cellStyle name="Hyperlink" xfId="18400" builtinId="8" hidden="1"/>
    <cellStyle name="Hyperlink" xfId="18444" builtinId="8" hidden="1"/>
    <cellStyle name="Hyperlink" xfId="18446" builtinId="8" hidden="1"/>
    <cellStyle name="Hyperlink" xfId="18448" builtinId="8" hidden="1"/>
    <cellStyle name="Hyperlink" xfId="18450" builtinId="8" hidden="1"/>
    <cellStyle name="Hyperlink" xfId="18369" builtinId="8" hidden="1"/>
    <cellStyle name="Hyperlink" xfId="18410" builtinId="8" hidden="1"/>
    <cellStyle name="Hyperlink" xfId="18452" builtinId="8" hidden="1"/>
    <cellStyle name="Hyperlink" xfId="18454" builtinId="8" hidden="1"/>
    <cellStyle name="Hyperlink" xfId="18456" builtinId="8" hidden="1"/>
    <cellStyle name="Hyperlink" xfId="18458" builtinId="8" hidden="1"/>
    <cellStyle name="Hyperlink" xfId="18390" builtinId="8" hidden="1"/>
    <cellStyle name="Hyperlink" xfId="18393" builtinId="8" hidden="1"/>
    <cellStyle name="Hyperlink" xfId="18460" builtinId="8" hidden="1"/>
    <cellStyle name="Hyperlink" xfId="18462" builtinId="8" hidden="1"/>
    <cellStyle name="Hyperlink" xfId="18464" builtinId="8" hidden="1"/>
    <cellStyle name="Hyperlink" xfId="18466" builtinId="8" hidden="1"/>
    <cellStyle name="Hyperlink" xfId="18394" builtinId="8" hidden="1"/>
    <cellStyle name="Hyperlink" xfId="18391" builtinId="8" hidden="1"/>
    <cellStyle name="Hyperlink" xfId="18468" builtinId="8" hidden="1"/>
    <cellStyle name="Hyperlink" xfId="18470" builtinId="8" hidden="1"/>
    <cellStyle name="Hyperlink" xfId="18472" builtinId="8" hidden="1"/>
    <cellStyle name="Hyperlink" xfId="18474" builtinId="8" hidden="1"/>
    <cellStyle name="Hyperlink" xfId="18409" builtinId="8" hidden="1"/>
    <cellStyle name="Hyperlink" xfId="18386" builtinId="8" hidden="1"/>
    <cellStyle name="Hyperlink" xfId="18476" builtinId="8" hidden="1"/>
    <cellStyle name="Hyperlink" xfId="18478" builtinId="8" hidden="1"/>
    <cellStyle name="Hyperlink" xfId="18480" builtinId="8" hidden="1"/>
    <cellStyle name="Hyperlink" xfId="18482" builtinId="8" hidden="1"/>
    <cellStyle name="Hyperlink" xfId="18364" builtinId="8" hidden="1"/>
    <cellStyle name="Hyperlink" xfId="18365" builtinId="8" hidden="1"/>
    <cellStyle name="Hyperlink" xfId="18484" builtinId="8" hidden="1"/>
    <cellStyle name="Hyperlink" xfId="18486" builtinId="8" hidden="1"/>
    <cellStyle name="Hyperlink" xfId="18488" builtinId="8" hidden="1"/>
    <cellStyle name="Hyperlink" xfId="18490" builtinId="8" hidden="1"/>
    <cellStyle name="Hyperlink" xfId="18370" builtinId="8" hidden="1"/>
    <cellStyle name="Hyperlink" xfId="18406" builtinId="8" hidden="1"/>
    <cellStyle name="Hyperlink" xfId="18492" builtinId="8" hidden="1"/>
    <cellStyle name="Hyperlink" xfId="18494" builtinId="8" hidden="1"/>
    <cellStyle name="Hyperlink" xfId="18496" builtinId="8" hidden="1"/>
    <cellStyle name="Hyperlink" xfId="18498" builtinId="8" hidden="1"/>
    <cellStyle name="Hyperlink" xfId="18375" builtinId="8" hidden="1"/>
    <cellStyle name="Hyperlink" xfId="18395" builtinId="8" hidden="1"/>
    <cellStyle name="Hyperlink" xfId="18500" builtinId="8" hidden="1"/>
    <cellStyle name="Hyperlink" xfId="18502" builtinId="8" hidden="1"/>
    <cellStyle name="Hyperlink" xfId="18504" builtinId="8" hidden="1"/>
    <cellStyle name="Hyperlink" xfId="18506" builtinId="8" hidden="1"/>
    <cellStyle name="Hyperlink" xfId="18382" builtinId="8" hidden="1"/>
    <cellStyle name="Hyperlink" xfId="18380" builtinId="8" hidden="1"/>
    <cellStyle name="Hyperlink" xfId="18508" builtinId="8" hidden="1"/>
    <cellStyle name="Hyperlink" xfId="18510" builtinId="8" hidden="1"/>
    <cellStyle name="Hyperlink" xfId="18512" builtinId="8" hidden="1"/>
    <cellStyle name="Hyperlink" xfId="18514" builtinId="8" hidden="1"/>
    <cellStyle name="Hyperlink" xfId="16995" builtinId="8" hidden="1"/>
    <cellStyle name="Hyperlink" xfId="16879" builtinId="8" hidden="1"/>
    <cellStyle name="Hyperlink" xfId="17851" builtinId="8" hidden="1"/>
    <cellStyle name="Hyperlink" xfId="16860" builtinId="8" hidden="1"/>
    <cellStyle name="Hyperlink" xfId="16918" builtinId="8" hidden="1"/>
    <cellStyle name="Hyperlink" xfId="16953" builtinId="8" hidden="1"/>
    <cellStyle name="Hyperlink" xfId="17509" builtinId="8" hidden="1"/>
    <cellStyle name="Hyperlink" xfId="16875" builtinId="8" hidden="1"/>
    <cellStyle name="Hyperlink" xfId="18517" builtinId="8" hidden="1"/>
    <cellStyle name="Hyperlink" xfId="18519" builtinId="8" hidden="1"/>
    <cellStyle name="Hyperlink" xfId="18521" builtinId="8" hidden="1"/>
    <cellStyle name="Hyperlink" xfId="18523" builtinId="8" hidden="1"/>
    <cellStyle name="Hyperlink" xfId="18525" builtinId="8" hidden="1"/>
    <cellStyle name="Hyperlink" xfId="18527" builtinId="8" hidden="1"/>
    <cellStyle name="Hyperlink" xfId="18577" builtinId="8" hidden="1"/>
    <cellStyle name="Hyperlink" xfId="18579" builtinId="8" hidden="1"/>
    <cellStyle name="Hyperlink" xfId="18581" builtinId="8" hidden="1"/>
    <cellStyle name="Hyperlink" xfId="18583" builtinId="8" hidden="1"/>
    <cellStyle name="Hyperlink" xfId="18573" builtinId="8" hidden="1"/>
    <cellStyle name="Hyperlink" xfId="18563" builtinId="8" hidden="1"/>
    <cellStyle name="Hyperlink" xfId="18585" builtinId="8" hidden="1"/>
    <cellStyle name="Hyperlink" xfId="18587" builtinId="8" hidden="1"/>
    <cellStyle name="Hyperlink" xfId="18589" builtinId="8" hidden="1"/>
    <cellStyle name="Hyperlink" xfId="18591" builtinId="8" hidden="1"/>
    <cellStyle name="Hyperlink" xfId="18557" builtinId="8" hidden="1"/>
    <cellStyle name="Hyperlink" xfId="18543" builtinId="8" hidden="1"/>
    <cellStyle name="Hyperlink" xfId="18593" builtinId="8" hidden="1"/>
    <cellStyle name="Hyperlink" xfId="18595" builtinId="8" hidden="1"/>
    <cellStyle name="Hyperlink" xfId="18597" builtinId="8" hidden="1"/>
    <cellStyle name="Hyperlink" xfId="18599" builtinId="8" hidden="1"/>
    <cellStyle name="Hyperlink" xfId="18562" builtinId="8" hidden="1"/>
    <cellStyle name="Hyperlink" xfId="18531" builtinId="8" hidden="1"/>
    <cellStyle name="Hyperlink" xfId="18601" builtinId="8" hidden="1"/>
    <cellStyle name="Hyperlink" xfId="18603" builtinId="8" hidden="1"/>
    <cellStyle name="Hyperlink" xfId="18605" builtinId="8" hidden="1"/>
    <cellStyle name="Hyperlink" xfId="18607" builtinId="8" hidden="1"/>
    <cellStyle name="Hyperlink" xfId="18532" builtinId="8" hidden="1"/>
    <cellStyle name="Hyperlink" xfId="18565" builtinId="8" hidden="1"/>
    <cellStyle name="Hyperlink" xfId="18609" builtinId="8" hidden="1"/>
    <cellStyle name="Hyperlink" xfId="18611" builtinId="8" hidden="1"/>
    <cellStyle name="Hyperlink" xfId="18613" builtinId="8" hidden="1"/>
    <cellStyle name="Hyperlink" xfId="18615" builtinId="8" hidden="1"/>
    <cellStyle name="Hyperlink" xfId="18534" builtinId="8" hidden="1"/>
    <cellStyle name="Hyperlink" xfId="18575" builtinId="8" hidden="1"/>
    <cellStyle name="Hyperlink" xfId="18617" builtinId="8" hidden="1"/>
    <cellStyle name="Hyperlink" xfId="18619" builtinId="8" hidden="1"/>
    <cellStyle name="Hyperlink" xfId="18621" builtinId="8" hidden="1"/>
    <cellStyle name="Hyperlink" xfId="18623" builtinId="8" hidden="1"/>
    <cellStyle name="Hyperlink" xfId="18555" builtinId="8" hidden="1"/>
    <cellStyle name="Hyperlink" xfId="18558" builtinId="8" hidden="1"/>
    <cellStyle name="Hyperlink" xfId="18625" builtinId="8" hidden="1"/>
    <cellStyle name="Hyperlink" xfId="18627" builtinId="8" hidden="1"/>
    <cellStyle name="Hyperlink" xfId="18629" builtinId="8" hidden="1"/>
    <cellStyle name="Hyperlink" xfId="18631" builtinId="8" hidden="1"/>
    <cellStyle name="Hyperlink" xfId="18559" builtinId="8" hidden="1"/>
    <cellStyle name="Hyperlink" xfId="18556" builtinId="8" hidden="1"/>
    <cellStyle name="Hyperlink" xfId="18633" builtinId="8" hidden="1"/>
    <cellStyle name="Hyperlink" xfId="18635" builtinId="8" hidden="1"/>
    <cellStyle name="Hyperlink" xfId="18637" builtinId="8" hidden="1"/>
    <cellStyle name="Hyperlink" xfId="18639" builtinId="8" hidden="1"/>
    <cellStyle name="Hyperlink" xfId="18574" builtinId="8" hidden="1"/>
    <cellStyle name="Hyperlink" xfId="18551" builtinId="8" hidden="1"/>
    <cellStyle name="Hyperlink" xfId="18641" builtinId="8" hidden="1"/>
    <cellStyle name="Hyperlink" xfId="18643" builtinId="8" hidden="1"/>
    <cellStyle name="Hyperlink" xfId="18645" builtinId="8" hidden="1"/>
    <cellStyle name="Hyperlink" xfId="18647" builtinId="8" hidden="1"/>
    <cellStyle name="Hyperlink" xfId="18529" builtinId="8" hidden="1"/>
    <cellStyle name="Hyperlink" xfId="18530" builtinId="8" hidden="1"/>
    <cellStyle name="Hyperlink" xfId="18649" builtinId="8" hidden="1"/>
    <cellStyle name="Hyperlink" xfId="18651" builtinId="8" hidden="1"/>
    <cellStyle name="Hyperlink" xfId="18653" builtinId="8" hidden="1"/>
    <cellStyle name="Hyperlink" xfId="18655" builtinId="8" hidden="1"/>
    <cellStyle name="Hyperlink" xfId="18535" builtinId="8" hidden="1"/>
    <cellStyle name="Hyperlink" xfId="18571" builtinId="8" hidden="1"/>
    <cellStyle name="Hyperlink" xfId="18657" builtinId="8" hidden="1"/>
    <cellStyle name="Hyperlink" xfId="18659" builtinId="8" hidden="1"/>
    <cellStyle name="Hyperlink" xfId="18661" builtinId="8" hidden="1"/>
    <cellStyle name="Hyperlink" xfId="18663" builtinId="8" hidden="1"/>
    <cellStyle name="Hyperlink" xfId="18540" builtinId="8" hidden="1"/>
    <cellStyle name="Hyperlink" xfId="18560" builtinId="8" hidden="1"/>
    <cellStyle name="Hyperlink" xfId="18665" builtinId="8" hidden="1"/>
    <cellStyle name="Hyperlink" xfId="18667" builtinId="8" hidden="1"/>
    <cellStyle name="Hyperlink" xfId="18669" builtinId="8" hidden="1"/>
    <cellStyle name="Hyperlink" xfId="18671" builtinId="8" hidden="1"/>
    <cellStyle name="Hyperlink" xfId="18547" builtinId="8" hidden="1"/>
    <cellStyle name="Hyperlink" xfId="18545" builtinId="8" hidden="1"/>
    <cellStyle name="Hyperlink" xfId="18673" builtinId="8" hidden="1"/>
    <cellStyle name="Hyperlink" xfId="18675" builtinId="8" hidden="1"/>
    <cellStyle name="Hyperlink" xfId="18677" builtinId="8" hidden="1"/>
    <cellStyle name="Hyperlink" xfId="18679" builtinId="8" hidden="1"/>
    <cellStyle name="Hyperlink" xfId="17179" builtinId="8" hidden="1"/>
    <cellStyle name="Hyperlink" xfId="17338" builtinId="8" hidden="1"/>
    <cellStyle name="Hyperlink" xfId="18018" builtinId="8" hidden="1"/>
    <cellStyle name="Hyperlink" xfId="17340" builtinId="8" hidden="1"/>
    <cellStyle name="Hyperlink" xfId="16997" builtinId="8" hidden="1"/>
    <cellStyle name="Hyperlink" xfId="16947" builtinId="8" hidden="1"/>
    <cellStyle name="Hyperlink" xfId="17679" builtinId="8" hidden="1"/>
    <cellStyle name="Hyperlink" xfId="16965" builtinId="8" hidden="1"/>
    <cellStyle name="Hyperlink" xfId="18682" builtinId="8" hidden="1"/>
    <cellStyle name="Hyperlink" xfId="18684" builtinId="8" hidden="1"/>
    <cellStyle name="Hyperlink" xfId="18686" builtinId="8" hidden="1"/>
    <cellStyle name="Hyperlink" xfId="18688" builtinId="8" hidden="1"/>
    <cellStyle name="Hyperlink" xfId="18690" builtinId="8" hidden="1"/>
    <cellStyle name="Hyperlink" xfId="18692" builtinId="8" hidden="1"/>
    <cellStyle name="Hyperlink" xfId="18742" builtinId="8" hidden="1"/>
    <cellStyle name="Hyperlink" xfId="18744" builtinId="8" hidden="1"/>
    <cellStyle name="Hyperlink" xfId="18746" builtinId="8" hidden="1"/>
    <cellStyle name="Hyperlink" xfId="18748" builtinId="8" hidden="1"/>
    <cellStyle name="Hyperlink" xfId="18738" builtinId="8" hidden="1"/>
    <cellStyle name="Hyperlink" xfId="18728" builtinId="8" hidden="1"/>
    <cellStyle name="Hyperlink" xfId="18750" builtinId="8" hidden="1"/>
    <cellStyle name="Hyperlink" xfId="18752" builtinId="8" hidden="1"/>
    <cellStyle name="Hyperlink" xfId="18754" builtinId="8" hidden="1"/>
    <cellStyle name="Hyperlink" xfId="18756" builtinId="8" hidden="1"/>
    <cellStyle name="Hyperlink" xfId="18722" builtinId="8" hidden="1"/>
    <cellStyle name="Hyperlink" xfId="18708" builtinId="8" hidden="1"/>
    <cellStyle name="Hyperlink" xfId="18758" builtinId="8" hidden="1"/>
    <cellStyle name="Hyperlink" xfId="18760" builtinId="8" hidden="1"/>
    <cellStyle name="Hyperlink" xfId="18762" builtinId="8" hidden="1"/>
    <cellStyle name="Hyperlink" xfId="18764" builtinId="8" hidden="1"/>
    <cellStyle name="Hyperlink" xfId="18727" builtinId="8" hidden="1"/>
    <cellStyle name="Hyperlink" xfId="18696" builtinId="8" hidden="1"/>
    <cellStyle name="Hyperlink" xfId="18766" builtinId="8" hidden="1"/>
    <cellStyle name="Hyperlink" xfId="18768" builtinId="8" hidden="1"/>
    <cellStyle name="Hyperlink" xfId="18770" builtinId="8" hidden="1"/>
    <cellStyle name="Hyperlink" xfId="18772" builtinId="8" hidden="1"/>
    <cellStyle name="Hyperlink" xfId="18697" builtinId="8" hidden="1"/>
    <cellStyle name="Hyperlink" xfId="18730" builtinId="8" hidden="1"/>
    <cellStyle name="Hyperlink" xfId="18774" builtinId="8" hidden="1"/>
    <cellStyle name="Hyperlink" xfId="18776" builtinId="8" hidden="1"/>
    <cellStyle name="Hyperlink" xfId="18778" builtinId="8" hidden="1"/>
    <cellStyle name="Hyperlink" xfId="18780" builtinId="8" hidden="1"/>
    <cellStyle name="Hyperlink" xfId="18699" builtinId="8" hidden="1"/>
    <cellStyle name="Hyperlink" xfId="18740" builtinId="8" hidden="1"/>
    <cellStyle name="Hyperlink" xfId="18782" builtinId="8" hidden="1"/>
    <cellStyle name="Hyperlink" xfId="18784" builtinId="8" hidden="1"/>
    <cellStyle name="Hyperlink" xfId="18786" builtinId="8" hidden="1"/>
    <cellStyle name="Hyperlink" xfId="18788" builtinId="8" hidden="1"/>
    <cellStyle name="Hyperlink" xfId="18720" builtinId="8" hidden="1"/>
    <cellStyle name="Hyperlink" xfId="18723" builtinId="8" hidden="1"/>
    <cellStyle name="Hyperlink" xfId="18790" builtinId="8" hidden="1"/>
    <cellStyle name="Hyperlink" xfId="18792" builtinId="8" hidden="1"/>
    <cellStyle name="Hyperlink" xfId="18794" builtinId="8" hidden="1"/>
    <cellStyle name="Hyperlink" xfId="18796" builtinId="8" hidden="1"/>
    <cellStyle name="Hyperlink" xfId="18724" builtinId="8" hidden="1"/>
    <cellStyle name="Hyperlink" xfId="18721" builtinId="8" hidden="1"/>
    <cellStyle name="Hyperlink" xfId="18798" builtinId="8" hidden="1"/>
    <cellStyle name="Hyperlink" xfId="18800" builtinId="8" hidden="1"/>
    <cellStyle name="Hyperlink" xfId="18802" builtinId="8" hidden="1"/>
    <cellStyle name="Hyperlink" xfId="18804" builtinId="8" hidden="1"/>
    <cellStyle name="Hyperlink" xfId="18739" builtinId="8" hidden="1"/>
    <cellStyle name="Hyperlink" xfId="18716" builtinId="8" hidden="1"/>
    <cellStyle name="Hyperlink" xfId="18806" builtinId="8" hidden="1"/>
    <cellStyle name="Hyperlink" xfId="18808" builtinId="8" hidden="1"/>
    <cellStyle name="Hyperlink" xfId="18810" builtinId="8" hidden="1"/>
    <cellStyle name="Hyperlink" xfId="18812" builtinId="8" hidden="1"/>
    <cellStyle name="Hyperlink" xfId="18694" builtinId="8" hidden="1"/>
    <cellStyle name="Hyperlink" xfId="18695" builtinId="8" hidden="1"/>
    <cellStyle name="Hyperlink" xfId="18814" builtinId="8" hidden="1"/>
    <cellStyle name="Hyperlink" xfId="18816" builtinId="8" hidden="1"/>
    <cellStyle name="Hyperlink" xfId="18818" builtinId="8" hidden="1"/>
    <cellStyle name="Hyperlink" xfId="18820" builtinId="8" hidden="1"/>
    <cellStyle name="Hyperlink" xfId="18700" builtinId="8" hidden="1"/>
    <cellStyle name="Hyperlink" xfId="18736" builtinId="8" hidden="1"/>
    <cellStyle name="Hyperlink" xfId="18822" builtinId="8" hidden="1"/>
    <cellStyle name="Hyperlink" xfId="18824" builtinId="8" hidden="1"/>
    <cellStyle name="Hyperlink" xfId="18826" builtinId="8" hidden="1"/>
    <cellStyle name="Hyperlink" xfId="18828" builtinId="8" hidden="1"/>
    <cellStyle name="Hyperlink" xfId="18705" builtinId="8" hidden="1"/>
    <cellStyle name="Hyperlink" xfId="18725" builtinId="8" hidden="1"/>
    <cellStyle name="Hyperlink" xfId="18830" builtinId="8" hidden="1"/>
    <cellStyle name="Hyperlink" xfId="18832" builtinId="8" hidden="1"/>
    <cellStyle name="Hyperlink" xfId="18834" builtinId="8" hidden="1"/>
    <cellStyle name="Hyperlink" xfId="18836" builtinId="8" hidden="1"/>
    <cellStyle name="Hyperlink" xfId="18712" builtinId="8" hidden="1"/>
    <cellStyle name="Hyperlink" xfId="18710" builtinId="8" hidden="1"/>
    <cellStyle name="Hyperlink" xfId="18838" builtinId="8" hidden="1"/>
    <cellStyle name="Hyperlink" xfId="18840" builtinId="8" hidden="1"/>
    <cellStyle name="Hyperlink" xfId="18842" builtinId="8" hidden="1"/>
    <cellStyle name="Hyperlink" xfId="18844" builtinId="8" hidden="1"/>
    <cellStyle name="Hyperlink" xfId="16881" builtinId="8" hidden="1"/>
    <cellStyle name="Hyperlink" xfId="16970" builtinId="8" hidden="1"/>
    <cellStyle name="Hyperlink" xfId="18185" builtinId="8" hidden="1"/>
    <cellStyle name="Hyperlink" xfId="17510" builtinId="8" hidden="1"/>
    <cellStyle name="Hyperlink" xfId="16999" builtinId="8" hidden="1"/>
    <cellStyle name="Hyperlink" xfId="16910" builtinId="8" hidden="1"/>
    <cellStyle name="Hyperlink" xfId="17848" builtinId="8" hidden="1"/>
    <cellStyle name="Hyperlink" xfId="17001" builtinId="8" hidden="1"/>
    <cellStyle name="Hyperlink" xfId="18846" builtinId="8" hidden="1"/>
    <cellStyle name="Hyperlink" xfId="18848" builtinId="8" hidden="1"/>
    <cellStyle name="Hyperlink" xfId="18850" builtinId="8" hidden="1"/>
    <cellStyle name="Hyperlink" xfId="18852" builtinId="8" hidden="1"/>
    <cellStyle name="Hyperlink" xfId="18854" builtinId="8" hidden="1"/>
    <cellStyle name="Hyperlink" xfId="18856" builtinId="8" hidden="1"/>
    <cellStyle name="Hyperlink" xfId="18906" builtinId="8" hidden="1"/>
    <cellStyle name="Hyperlink" xfId="18908" builtinId="8" hidden="1"/>
    <cellStyle name="Hyperlink" xfId="18910" builtinId="8" hidden="1"/>
    <cellStyle name="Hyperlink" xfId="18912" builtinId="8" hidden="1"/>
    <cellStyle name="Hyperlink" xfId="18902" builtinId="8" hidden="1"/>
    <cellStyle name="Hyperlink" xfId="18892" builtinId="8" hidden="1"/>
    <cellStyle name="Hyperlink" xfId="18914" builtinId="8" hidden="1"/>
    <cellStyle name="Hyperlink" xfId="18916" builtinId="8" hidden="1"/>
    <cellStyle name="Hyperlink" xfId="18918" builtinId="8" hidden="1"/>
    <cellStyle name="Hyperlink" xfId="18920" builtinId="8" hidden="1"/>
    <cellStyle name="Hyperlink" xfId="18886" builtinId="8" hidden="1"/>
    <cellStyle name="Hyperlink" xfId="18872" builtinId="8" hidden="1"/>
    <cellStyle name="Hyperlink" xfId="18922" builtinId="8" hidden="1"/>
    <cellStyle name="Hyperlink" xfId="18924" builtinId="8" hidden="1"/>
    <cellStyle name="Hyperlink" xfId="18926" builtinId="8" hidden="1"/>
    <cellStyle name="Hyperlink" xfId="18928" builtinId="8" hidden="1"/>
    <cellStyle name="Hyperlink" xfId="18891" builtinId="8" hidden="1"/>
    <cellStyle name="Hyperlink" xfId="18860" builtinId="8" hidden="1"/>
    <cellStyle name="Hyperlink" xfId="18930" builtinId="8" hidden="1"/>
    <cellStyle name="Hyperlink" xfId="18932" builtinId="8" hidden="1"/>
    <cellStyle name="Hyperlink" xfId="18934" builtinId="8" hidden="1"/>
    <cellStyle name="Hyperlink" xfId="18936" builtinId="8" hidden="1"/>
    <cellStyle name="Hyperlink" xfId="18861" builtinId="8" hidden="1"/>
    <cellStyle name="Hyperlink" xfId="18894" builtinId="8" hidden="1"/>
    <cellStyle name="Hyperlink" xfId="18938" builtinId="8" hidden="1"/>
    <cellStyle name="Hyperlink" xfId="18940" builtinId="8" hidden="1"/>
    <cellStyle name="Hyperlink" xfId="18942" builtinId="8" hidden="1"/>
    <cellStyle name="Hyperlink" xfId="18944" builtinId="8" hidden="1"/>
    <cellStyle name="Hyperlink" xfId="18863" builtinId="8" hidden="1"/>
    <cellStyle name="Hyperlink" xfId="18904" builtinId="8" hidden="1"/>
    <cellStyle name="Hyperlink" xfId="18946" builtinId="8" hidden="1"/>
    <cellStyle name="Hyperlink" xfId="18948" builtinId="8" hidden="1"/>
    <cellStyle name="Hyperlink" xfId="18950" builtinId="8" hidden="1"/>
    <cellStyle name="Hyperlink" xfId="18952" builtinId="8" hidden="1"/>
    <cellStyle name="Hyperlink" xfId="18884" builtinId="8" hidden="1"/>
    <cellStyle name="Hyperlink" xfId="18887" builtinId="8" hidden="1"/>
    <cellStyle name="Hyperlink" xfId="18954" builtinId="8" hidden="1"/>
    <cellStyle name="Hyperlink" xfId="18956" builtinId="8" hidden="1"/>
    <cellStyle name="Hyperlink" xfId="18958" builtinId="8" hidden="1"/>
    <cellStyle name="Hyperlink" xfId="18960" builtinId="8" hidden="1"/>
    <cellStyle name="Hyperlink" xfId="18888" builtinId="8" hidden="1"/>
    <cellStyle name="Hyperlink" xfId="18885" builtinId="8" hidden="1"/>
    <cellStyle name="Hyperlink" xfId="18962" builtinId="8" hidden="1"/>
    <cellStyle name="Hyperlink" xfId="18964" builtinId="8" hidden="1"/>
    <cellStyle name="Hyperlink" xfId="18966" builtinId="8" hidden="1"/>
    <cellStyle name="Hyperlink" xfId="18968" builtinId="8" hidden="1"/>
    <cellStyle name="Hyperlink" xfId="18903" builtinId="8" hidden="1"/>
    <cellStyle name="Hyperlink" xfId="18880" builtinId="8" hidden="1"/>
    <cellStyle name="Hyperlink" xfId="18970" builtinId="8" hidden="1"/>
    <cellStyle name="Hyperlink" xfId="18972" builtinId="8" hidden="1"/>
    <cellStyle name="Hyperlink" xfId="18974" builtinId="8" hidden="1"/>
    <cellStyle name="Hyperlink" xfId="18976" builtinId="8" hidden="1"/>
    <cellStyle name="Hyperlink" xfId="18858" builtinId="8" hidden="1"/>
    <cellStyle name="Hyperlink" xfId="18859" builtinId="8" hidden="1"/>
    <cellStyle name="Hyperlink" xfId="18978" builtinId="8" hidden="1"/>
    <cellStyle name="Hyperlink" xfId="18980" builtinId="8" hidden="1"/>
    <cellStyle name="Hyperlink" xfId="18982" builtinId="8" hidden="1"/>
    <cellStyle name="Hyperlink" xfId="18984" builtinId="8" hidden="1"/>
    <cellStyle name="Hyperlink" xfId="18864" builtinId="8" hidden="1"/>
    <cellStyle name="Hyperlink" xfId="18900" builtinId="8" hidden="1"/>
    <cellStyle name="Hyperlink" xfId="18986" builtinId="8" hidden="1"/>
    <cellStyle name="Hyperlink" xfId="18988" builtinId="8" hidden="1"/>
    <cellStyle name="Hyperlink" xfId="18990" builtinId="8" hidden="1"/>
    <cellStyle name="Hyperlink" xfId="18992" builtinId="8" hidden="1"/>
    <cellStyle name="Hyperlink" xfId="18869" builtinId="8" hidden="1"/>
    <cellStyle name="Hyperlink" xfId="18889" builtinId="8" hidden="1"/>
    <cellStyle name="Hyperlink" xfId="18994" builtinId="8" hidden="1"/>
    <cellStyle name="Hyperlink" xfId="18996" builtinId="8" hidden="1"/>
    <cellStyle name="Hyperlink" xfId="18998" builtinId="8" hidden="1"/>
    <cellStyle name="Hyperlink" xfId="19000" builtinId="8" hidden="1"/>
    <cellStyle name="Hyperlink" xfId="18876" builtinId="8" hidden="1"/>
    <cellStyle name="Hyperlink" xfId="18874" builtinId="8" hidden="1"/>
    <cellStyle name="Hyperlink" xfId="19002" builtinId="8" hidden="1"/>
    <cellStyle name="Hyperlink" xfId="19004" builtinId="8" hidden="1"/>
    <cellStyle name="Hyperlink" xfId="19006" builtinId="8" hidden="1"/>
    <cellStyle name="Hyperlink" xfId="19008" builtinId="8" hidden="1"/>
    <cellStyle name="Hyperlink" xfId="19010" builtinId="8" hidden="1"/>
    <cellStyle name="Hyperlink" xfId="19012" builtinId="8" hidden="1"/>
    <cellStyle name="Hyperlink" xfId="19060" builtinId="8" hidden="1"/>
    <cellStyle name="Hyperlink" xfId="19062" builtinId="8" hidden="1"/>
    <cellStyle name="Hyperlink" xfId="19064" builtinId="8" hidden="1"/>
    <cellStyle name="Hyperlink" xfId="19066" builtinId="8" hidden="1"/>
    <cellStyle name="Hyperlink" xfId="19069" builtinId="8" hidden="1"/>
    <cellStyle name="Hyperlink" xfId="19071" builtinId="8" hidden="1"/>
    <cellStyle name="Hyperlink" xfId="19116" builtinId="8" hidden="1"/>
    <cellStyle name="Hyperlink" xfId="19118" builtinId="8" hidden="1"/>
    <cellStyle name="Hyperlink" xfId="19120" builtinId="8" hidden="1"/>
    <cellStyle name="Hyperlink" xfId="19122" builtinId="8" hidden="1"/>
    <cellStyle name="Hyperlink" xfId="19124" builtinId="8" hidden="1"/>
    <cellStyle name="Hyperlink" xfId="19126" builtinId="8" hidden="1"/>
    <cellStyle name="Hyperlink" xfId="19168" builtinId="8" hidden="1"/>
    <cellStyle name="Hyperlink" xfId="19170" builtinId="8" hidden="1"/>
    <cellStyle name="Hyperlink" xfId="19172" builtinId="8" hidden="1"/>
    <cellStyle name="Hyperlink" xfId="19174" builtinId="8" hidden="1"/>
    <cellStyle name="Hyperlink" xfId="19177" builtinId="8" hidden="1"/>
    <cellStyle name="Hyperlink" xfId="19179" builtinId="8" hidden="1"/>
    <cellStyle name="Hyperlink" xfId="19229" builtinId="8" hidden="1"/>
    <cellStyle name="Hyperlink" xfId="19231" builtinId="8" hidden="1"/>
    <cellStyle name="Hyperlink" xfId="19233" builtinId="8" hidden="1"/>
    <cellStyle name="Hyperlink" xfId="19235" builtinId="8" hidden="1"/>
    <cellStyle name="Hyperlink" xfId="19225" builtinId="8" hidden="1"/>
    <cellStyle name="Hyperlink" xfId="19215" builtinId="8" hidden="1"/>
    <cellStyle name="Hyperlink" xfId="19237" builtinId="8" hidden="1"/>
    <cellStyle name="Hyperlink" xfId="19239" builtinId="8" hidden="1"/>
    <cellStyle name="Hyperlink" xfId="19241" builtinId="8" hidden="1"/>
    <cellStyle name="Hyperlink" xfId="19243" builtinId="8" hidden="1"/>
    <cellStyle name="Hyperlink" xfId="19209" builtinId="8" hidden="1"/>
    <cellStyle name="Hyperlink" xfId="19195" builtinId="8" hidden="1"/>
    <cellStyle name="Hyperlink" xfId="19245" builtinId="8" hidden="1"/>
    <cellStyle name="Hyperlink" xfId="19247" builtinId="8" hidden="1"/>
    <cellStyle name="Hyperlink" xfId="19249" builtinId="8" hidden="1"/>
    <cellStyle name="Hyperlink" xfId="19251" builtinId="8" hidden="1"/>
    <cellStyle name="Hyperlink" xfId="19214" builtinId="8" hidden="1"/>
    <cellStyle name="Hyperlink" xfId="19183" builtinId="8" hidden="1"/>
    <cellStyle name="Hyperlink" xfId="19253" builtinId="8" hidden="1"/>
    <cellStyle name="Hyperlink" xfId="19255" builtinId="8" hidden="1"/>
    <cellStyle name="Hyperlink" xfId="19257" builtinId="8" hidden="1"/>
    <cellStyle name="Hyperlink" xfId="19259" builtinId="8" hidden="1"/>
    <cellStyle name="Hyperlink" xfId="19184" builtinId="8" hidden="1"/>
    <cellStyle name="Hyperlink" xfId="19217" builtinId="8" hidden="1"/>
    <cellStyle name="Hyperlink" xfId="19261" builtinId="8" hidden="1"/>
    <cellStyle name="Hyperlink" xfId="19263" builtinId="8" hidden="1"/>
    <cellStyle name="Hyperlink" xfId="19265" builtinId="8" hidden="1"/>
    <cellStyle name="Hyperlink" xfId="19267" builtinId="8" hidden="1"/>
    <cellStyle name="Hyperlink" xfId="19186" builtinId="8" hidden="1"/>
    <cellStyle name="Hyperlink" xfId="19227" builtinId="8" hidden="1"/>
    <cellStyle name="Hyperlink" xfId="19269" builtinId="8" hidden="1"/>
    <cellStyle name="Hyperlink" xfId="19271" builtinId="8" hidden="1"/>
    <cellStyle name="Hyperlink" xfId="19273" builtinId="8" hidden="1"/>
    <cellStyle name="Hyperlink" xfId="19275" builtinId="8" hidden="1"/>
    <cellStyle name="Hyperlink" xfId="19207" builtinId="8" hidden="1"/>
    <cellStyle name="Hyperlink" xfId="19210" builtinId="8" hidden="1"/>
    <cellStyle name="Hyperlink" xfId="19277" builtinId="8" hidden="1"/>
    <cellStyle name="Hyperlink" xfId="19279" builtinId="8" hidden="1"/>
    <cellStyle name="Hyperlink" xfId="19281" builtinId="8" hidden="1"/>
    <cellStyle name="Hyperlink" xfId="19283" builtinId="8" hidden="1"/>
    <cellStyle name="Hyperlink" xfId="19211" builtinId="8" hidden="1"/>
    <cellStyle name="Hyperlink" xfId="19208" builtinId="8" hidden="1"/>
    <cellStyle name="Hyperlink" xfId="19285" builtinId="8" hidden="1"/>
    <cellStyle name="Hyperlink" xfId="19287" builtinId="8" hidden="1"/>
    <cellStyle name="Hyperlink" xfId="19289" builtinId="8" hidden="1"/>
    <cellStyle name="Hyperlink" xfId="19291" builtinId="8" hidden="1"/>
    <cellStyle name="Hyperlink" xfId="19226" builtinId="8" hidden="1"/>
    <cellStyle name="Hyperlink" xfId="19203" builtinId="8" hidden="1"/>
    <cellStyle name="Hyperlink" xfId="19293" builtinId="8" hidden="1"/>
    <cellStyle name="Hyperlink" xfId="19295" builtinId="8" hidden="1"/>
    <cellStyle name="Hyperlink" xfId="19297" builtinId="8" hidden="1"/>
    <cellStyle name="Hyperlink" xfId="19299" builtinId="8" hidden="1"/>
    <cellStyle name="Hyperlink" xfId="19181" builtinId="8" hidden="1"/>
    <cellStyle name="Hyperlink" xfId="19182" builtinId="8" hidden="1"/>
    <cellStyle name="Hyperlink" xfId="19301" builtinId="8" hidden="1"/>
    <cellStyle name="Hyperlink" xfId="19303" builtinId="8" hidden="1"/>
    <cellStyle name="Hyperlink" xfId="19305" builtinId="8" hidden="1"/>
    <cellStyle name="Hyperlink" xfId="19307" builtinId="8" hidden="1"/>
    <cellStyle name="Hyperlink" xfId="19187" builtinId="8" hidden="1"/>
    <cellStyle name="Hyperlink" xfId="19223" builtinId="8" hidden="1"/>
    <cellStyle name="Hyperlink" xfId="19309" builtinId="8" hidden="1"/>
    <cellStyle name="Hyperlink" xfId="19311" builtinId="8" hidden="1"/>
    <cellStyle name="Hyperlink" xfId="19313" builtinId="8" hidden="1"/>
    <cellStyle name="Hyperlink" xfId="19315" builtinId="8" hidden="1"/>
    <cellStyle name="Hyperlink" xfId="19192" builtinId="8" hidden="1"/>
    <cellStyle name="Hyperlink" xfId="19212" builtinId="8" hidden="1"/>
    <cellStyle name="Hyperlink" xfId="19317" builtinId="8" hidden="1"/>
    <cellStyle name="Hyperlink" xfId="19319" builtinId="8" hidden="1"/>
    <cellStyle name="Hyperlink" xfId="19321" builtinId="8" hidden="1"/>
    <cellStyle name="Hyperlink" xfId="19323" builtinId="8" hidden="1"/>
    <cellStyle name="Hyperlink" xfId="19199" builtinId="8" hidden="1"/>
    <cellStyle name="Hyperlink" xfId="19197" builtinId="8" hidden="1"/>
    <cellStyle name="Hyperlink" xfId="19325" builtinId="8" hidden="1"/>
    <cellStyle name="Hyperlink" xfId="19327" builtinId="8" hidden="1"/>
    <cellStyle name="Hyperlink" xfId="19329" builtinId="8" hidden="1"/>
    <cellStyle name="Hyperlink" xfId="19331" builtinId="8" hidden="1"/>
    <cellStyle name="Hyperlink" xfId="19333" builtinId="8" hidden="1"/>
    <cellStyle name="Hyperlink" xfId="19335" builtinId="8" hidden="1"/>
    <cellStyle name="Hyperlink" xfId="19401" builtinId="8" hidden="1"/>
    <cellStyle name="Hyperlink" xfId="19403" builtinId="8" hidden="1"/>
    <cellStyle name="Hyperlink" xfId="19405" builtinId="8" hidden="1"/>
    <cellStyle name="Hyperlink" xfId="19407" builtinId="8" hidden="1"/>
    <cellStyle name="Hyperlink" xfId="19410" builtinId="8" hidden="1"/>
    <cellStyle name="Hyperlink" xfId="19412" builtinId="8" hidden="1"/>
    <cellStyle name="Hyperlink" xfId="19486" builtinId="8" hidden="1"/>
    <cellStyle name="Hyperlink" xfId="19488" builtinId="8" hidden="1"/>
    <cellStyle name="Hyperlink" xfId="19490" builtinId="8" hidden="1"/>
    <cellStyle name="Hyperlink" xfId="19492" builtinId="8" hidden="1"/>
    <cellStyle name="Hyperlink" xfId="19494" builtinId="8" hidden="1"/>
    <cellStyle name="Hyperlink" xfId="19496" builtinId="8" hidden="1"/>
    <cellStyle name="Hyperlink" xfId="19546" builtinId="8" hidden="1"/>
    <cellStyle name="Hyperlink" xfId="19548" builtinId="8" hidden="1"/>
    <cellStyle name="Hyperlink" xfId="19550" builtinId="8" hidden="1"/>
    <cellStyle name="Hyperlink" xfId="19552" builtinId="8" hidden="1"/>
    <cellStyle name="Hyperlink" xfId="19542" builtinId="8" hidden="1"/>
    <cellStyle name="Hyperlink" xfId="19532" builtinId="8" hidden="1"/>
    <cellStyle name="Hyperlink" xfId="19554" builtinId="8" hidden="1"/>
    <cellStyle name="Hyperlink" xfId="19556" builtinId="8" hidden="1"/>
    <cellStyle name="Hyperlink" xfId="19558" builtinId="8" hidden="1"/>
    <cellStyle name="Hyperlink" xfId="19560" builtinId="8" hidden="1"/>
    <cellStyle name="Hyperlink" xfId="19526" builtinId="8" hidden="1"/>
    <cellStyle name="Hyperlink" xfId="19512" builtinId="8" hidden="1"/>
    <cellStyle name="Hyperlink" xfId="19562" builtinId="8" hidden="1"/>
    <cellStyle name="Hyperlink" xfId="19564" builtinId="8" hidden="1"/>
    <cellStyle name="Hyperlink" xfId="19566" builtinId="8" hidden="1"/>
    <cellStyle name="Hyperlink" xfId="19568" builtinId="8" hidden="1"/>
    <cellStyle name="Hyperlink" xfId="19531" builtinId="8" hidden="1"/>
    <cellStyle name="Hyperlink" xfId="19500" builtinId="8" hidden="1"/>
    <cellStyle name="Hyperlink" xfId="19570" builtinId="8" hidden="1"/>
    <cellStyle name="Hyperlink" xfId="19572" builtinId="8" hidden="1"/>
    <cellStyle name="Hyperlink" xfId="19574" builtinId="8" hidden="1"/>
    <cellStyle name="Hyperlink" xfId="19576" builtinId="8" hidden="1"/>
    <cellStyle name="Hyperlink" xfId="19501" builtinId="8" hidden="1"/>
    <cellStyle name="Hyperlink" xfId="19534" builtinId="8" hidden="1"/>
    <cellStyle name="Hyperlink" xfId="19578" builtinId="8" hidden="1"/>
    <cellStyle name="Hyperlink" xfId="19580" builtinId="8" hidden="1"/>
    <cellStyle name="Hyperlink" xfId="19582" builtinId="8" hidden="1"/>
    <cellStyle name="Hyperlink" xfId="19584" builtinId="8" hidden="1"/>
    <cellStyle name="Hyperlink" xfId="19503" builtinId="8" hidden="1"/>
    <cellStyle name="Hyperlink" xfId="19544" builtinId="8" hidden="1"/>
    <cellStyle name="Hyperlink" xfId="19586" builtinId="8" hidden="1"/>
    <cellStyle name="Hyperlink" xfId="19588" builtinId="8" hidden="1"/>
    <cellStyle name="Hyperlink" xfId="19590" builtinId="8" hidden="1"/>
    <cellStyle name="Hyperlink" xfId="19592" builtinId="8" hidden="1"/>
    <cellStyle name="Hyperlink" xfId="19524" builtinId="8" hidden="1"/>
    <cellStyle name="Hyperlink" xfId="19527" builtinId="8" hidden="1"/>
    <cellStyle name="Hyperlink" xfId="19594" builtinId="8" hidden="1"/>
    <cellStyle name="Hyperlink" xfId="19596" builtinId="8" hidden="1"/>
    <cellStyle name="Hyperlink" xfId="19598" builtinId="8" hidden="1"/>
    <cellStyle name="Hyperlink" xfId="19600" builtinId="8" hidden="1"/>
    <cellStyle name="Hyperlink" xfId="19528" builtinId="8" hidden="1"/>
    <cellStyle name="Hyperlink" xfId="19525" builtinId="8" hidden="1"/>
    <cellStyle name="Hyperlink" xfId="19602" builtinId="8" hidden="1"/>
    <cellStyle name="Hyperlink" xfId="19604" builtinId="8" hidden="1"/>
    <cellStyle name="Hyperlink" xfId="19606" builtinId="8" hidden="1"/>
    <cellStyle name="Hyperlink" xfId="19608" builtinId="8" hidden="1"/>
    <cellStyle name="Hyperlink" xfId="19543" builtinId="8" hidden="1"/>
    <cellStyle name="Hyperlink" xfId="19520" builtinId="8" hidden="1"/>
    <cellStyle name="Hyperlink" xfId="19610" builtinId="8" hidden="1"/>
    <cellStyle name="Hyperlink" xfId="19612" builtinId="8" hidden="1"/>
    <cellStyle name="Hyperlink" xfId="19614" builtinId="8" hidden="1"/>
    <cellStyle name="Hyperlink" xfId="19616" builtinId="8" hidden="1"/>
    <cellStyle name="Hyperlink" xfId="19498" builtinId="8" hidden="1"/>
    <cellStyle name="Hyperlink" xfId="19499" builtinId="8" hidden="1"/>
    <cellStyle name="Hyperlink" xfId="19618" builtinId="8" hidden="1"/>
    <cellStyle name="Hyperlink" xfId="19620" builtinId="8" hidden="1"/>
    <cellStyle name="Hyperlink" xfId="19622" builtinId="8" hidden="1"/>
    <cellStyle name="Hyperlink" xfId="19624" builtinId="8" hidden="1"/>
    <cellStyle name="Hyperlink" xfId="19504" builtinId="8" hidden="1"/>
    <cellStyle name="Hyperlink" xfId="19540" builtinId="8" hidden="1"/>
    <cellStyle name="Hyperlink" xfId="19626" builtinId="8" hidden="1"/>
    <cellStyle name="Hyperlink" xfId="19628" builtinId="8" hidden="1"/>
    <cellStyle name="Hyperlink" xfId="19630" builtinId="8" hidden="1"/>
    <cellStyle name="Hyperlink" xfId="19632" builtinId="8" hidden="1"/>
    <cellStyle name="Hyperlink" xfId="19509" builtinId="8" hidden="1"/>
    <cellStyle name="Hyperlink" xfId="19529" builtinId="8" hidden="1"/>
    <cellStyle name="Hyperlink" xfId="19634" builtinId="8" hidden="1"/>
    <cellStyle name="Hyperlink" xfId="19636" builtinId="8" hidden="1"/>
    <cellStyle name="Hyperlink" xfId="19638" builtinId="8" hidden="1"/>
    <cellStyle name="Hyperlink" xfId="19640" builtinId="8" hidden="1"/>
    <cellStyle name="Hyperlink" xfId="19516" builtinId="8" hidden="1"/>
    <cellStyle name="Hyperlink" xfId="19514" builtinId="8" hidden="1"/>
    <cellStyle name="Hyperlink" xfId="19642" builtinId="8" hidden="1"/>
    <cellStyle name="Hyperlink" xfId="19644" builtinId="8" hidden="1"/>
    <cellStyle name="Hyperlink" xfId="19646" builtinId="8" hidden="1"/>
    <cellStyle name="Hyperlink" xfId="19648" builtinId="8" hidden="1"/>
    <cellStyle name="Hyperlink" xfId="19347" builtinId="8" hidden="1"/>
    <cellStyle name="Hyperlink" xfId="19459" builtinId="8" hidden="1"/>
    <cellStyle name="Hyperlink" xfId="19351" builtinId="8" hidden="1"/>
    <cellStyle name="Hyperlink" xfId="19462" builtinId="8" hidden="1"/>
    <cellStyle name="Hyperlink" xfId="19445" builtinId="8" hidden="1"/>
    <cellStyle name="Hyperlink" xfId="19397" builtinId="8" hidden="1"/>
    <cellStyle name="Hyperlink" xfId="19338" builtinId="8" hidden="1"/>
    <cellStyle name="Hyperlink" xfId="19450" builtinId="8" hidden="1"/>
    <cellStyle name="Hyperlink" xfId="19653" builtinId="8" hidden="1"/>
    <cellStyle name="Hyperlink" xfId="19655" builtinId="8" hidden="1"/>
    <cellStyle name="Hyperlink" xfId="19657" builtinId="8" hidden="1"/>
    <cellStyle name="Hyperlink" xfId="19659" builtinId="8" hidden="1"/>
    <cellStyle name="Hyperlink" xfId="19662" builtinId="8" hidden="1"/>
    <cellStyle name="Hyperlink" xfId="19664" builtinId="8" hidden="1"/>
    <cellStyle name="Hyperlink" xfId="19714" builtinId="8" hidden="1"/>
    <cellStyle name="Hyperlink" xfId="19716" builtinId="8" hidden="1"/>
    <cellStyle name="Hyperlink" xfId="19718" builtinId="8" hidden="1"/>
    <cellStyle name="Hyperlink" xfId="19720" builtinId="8" hidden="1"/>
    <cellStyle name="Hyperlink" xfId="19710" builtinId="8" hidden="1"/>
    <cellStyle name="Hyperlink" xfId="19700" builtinId="8" hidden="1"/>
    <cellStyle name="Hyperlink" xfId="19722" builtinId="8" hidden="1"/>
    <cellStyle name="Hyperlink" xfId="19724" builtinId="8" hidden="1"/>
    <cellStyle name="Hyperlink" xfId="19726" builtinId="8" hidden="1"/>
    <cellStyle name="Hyperlink" xfId="19728" builtinId="8" hidden="1"/>
    <cellStyle name="Hyperlink" xfId="19694" builtinId="8" hidden="1"/>
    <cellStyle name="Hyperlink" xfId="19680" builtinId="8" hidden="1"/>
    <cellStyle name="Hyperlink" xfId="19730" builtinId="8" hidden="1"/>
    <cellStyle name="Hyperlink" xfId="19732" builtinId="8" hidden="1"/>
    <cellStyle name="Hyperlink" xfId="19734" builtinId="8" hidden="1"/>
    <cellStyle name="Hyperlink" xfId="19736" builtinId="8" hidden="1"/>
    <cellStyle name="Hyperlink" xfId="19699" builtinId="8" hidden="1"/>
    <cellStyle name="Hyperlink" xfId="19668" builtinId="8" hidden="1"/>
    <cellStyle name="Hyperlink" xfId="19738" builtinId="8" hidden="1"/>
    <cellStyle name="Hyperlink" xfId="19740" builtinId="8" hidden="1"/>
    <cellStyle name="Hyperlink" xfId="19742" builtinId="8" hidden="1"/>
    <cellStyle name="Hyperlink" xfId="19744" builtinId="8" hidden="1"/>
    <cellStyle name="Hyperlink" xfId="19669" builtinId="8" hidden="1"/>
    <cellStyle name="Hyperlink" xfId="19702" builtinId="8" hidden="1"/>
    <cellStyle name="Hyperlink" xfId="19746" builtinId="8" hidden="1"/>
    <cellStyle name="Hyperlink" xfId="19748" builtinId="8" hidden="1"/>
    <cellStyle name="Hyperlink" xfId="19750" builtinId="8" hidden="1"/>
    <cellStyle name="Hyperlink" xfId="19752" builtinId="8" hidden="1"/>
    <cellStyle name="Hyperlink" xfId="19671" builtinId="8" hidden="1"/>
    <cellStyle name="Hyperlink" xfId="19712" builtinId="8" hidden="1"/>
    <cellStyle name="Hyperlink" xfId="19754" builtinId="8" hidden="1"/>
    <cellStyle name="Hyperlink" xfId="19756" builtinId="8" hidden="1"/>
    <cellStyle name="Hyperlink" xfId="19758" builtinId="8" hidden="1"/>
    <cellStyle name="Hyperlink" xfId="19760" builtinId="8" hidden="1"/>
    <cellStyle name="Hyperlink" xfId="19692" builtinId="8" hidden="1"/>
    <cellStyle name="Hyperlink" xfId="19695" builtinId="8" hidden="1"/>
    <cellStyle name="Hyperlink" xfId="19762" builtinId="8" hidden="1"/>
    <cellStyle name="Hyperlink" xfId="19764" builtinId="8" hidden="1"/>
    <cellStyle name="Hyperlink" xfId="19766" builtinId="8" hidden="1"/>
    <cellStyle name="Hyperlink" xfId="19768" builtinId="8" hidden="1"/>
    <cellStyle name="Hyperlink" xfId="19696" builtinId="8" hidden="1"/>
    <cellStyle name="Hyperlink" xfId="19693" builtinId="8" hidden="1"/>
    <cellStyle name="Hyperlink" xfId="19770" builtinId="8" hidden="1"/>
    <cellStyle name="Hyperlink" xfId="19772" builtinId="8" hidden="1"/>
    <cellStyle name="Hyperlink" xfId="19774" builtinId="8" hidden="1"/>
    <cellStyle name="Hyperlink" xfId="19776" builtinId="8" hidden="1"/>
    <cellStyle name="Hyperlink" xfId="19711" builtinId="8" hidden="1"/>
    <cellStyle name="Hyperlink" xfId="19688" builtinId="8" hidden="1"/>
    <cellStyle name="Hyperlink" xfId="19778" builtinId="8" hidden="1"/>
    <cellStyle name="Hyperlink" xfId="19780" builtinId="8" hidden="1"/>
    <cellStyle name="Hyperlink" xfId="19782" builtinId="8" hidden="1"/>
    <cellStyle name="Hyperlink" xfId="19784" builtinId="8" hidden="1"/>
    <cellStyle name="Hyperlink" xfId="19666" builtinId="8" hidden="1"/>
    <cellStyle name="Hyperlink" xfId="19667" builtinId="8" hidden="1"/>
    <cellStyle name="Hyperlink" xfId="19786" builtinId="8" hidden="1"/>
    <cellStyle name="Hyperlink" xfId="19788" builtinId="8" hidden="1"/>
    <cellStyle name="Hyperlink" xfId="19790" builtinId="8" hidden="1"/>
    <cellStyle name="Hyperlink" xfId="19792" builtinId="8" hidden="1"/>
    <cellStyle name="Hyperlink" xfId="19672" builtinId="8" hidden="1"/>
    <cellStyle name="Hyperlink" xfId="19708" builtinId="8" hidden="1"/>
    <cellStyle name="Hyperlink" xfId="19794" builtinId="8" hidden="1"/>
    <cellStyle name="Hyperlink" xfId="19796" builtinId="8" hidden="1"/>
    <cellStyle name="Hyperlink" xfId="19798" builtinId="8" hidden="1"/>
    <cellStyle name="Hyperlink" xfId="19800" builtinId="8" hidden="1"/>
    <cellStyle name="Hyperlink" xfId="19677" builtinId="8" hidden="1"/>
    <cellStyle name="Hyperlink" xfId="19697" builtinId="8" hidden="1"/>
    <cellStyle name="Hyperlink" xfId="19802" builtinId="8" hidden="1"/>
    <cellStyle name="Hyperlink" xfId="19804" builtinId="8" hidden="1"/>
    <cellStyle name="Hyperlink" xfId="19806" builtinId="8" hidden="1"/>
    <cellStyle name="Hyperlink" xfId="19808" builtinId="8" hidden="1"/>
    <cellStyle name="Hyperlink" xfId="19684" builtinId="8" hidden="1"/>
    <cellStyle name="Hyperlink" xfId="19682" builtinId="8" hidden="1"/>
    <cellStyle name="Hyperlink" xfId="19810" builtinId="8" hidden="1"/>
    <cellStyle name="Hyperlink" xfId="19812" builtinId="8" hidden="1"/>
    <cellStyle name="Hyperlink" xfId="19814" builtinId="8" hidden="1"/>
    <cellStyle name="Hyperlink" xfId="19816" builtinId="8" hidden="1"/>
    <cellStyle name="Hyperlink" xfId="19393" builtinId="8" hidden="1"/>
    <cellStyle name="Hyperlink" xfId="19394" builtinId="8" hidden="1"/>
    <cellStyle name="Hyperlink" xfId="19368" builtinId="8" hidden="1"/>
    <cellStyle name="Hyperlink" xfId="19369" builtinId="8" hidden="1"/>
    <cellStyle name="Hyperlink" xfId="19384" builtinId="8" hidden="1"/>
    <cellStyle name="Hyperlink" xfId="19382" builtinId="8" hidden="1"/>
    <cellStyle name="Hyperlink" xfId="19375" builtinId="8" hidden="1"/>
    <cellStyle name="Hyperlink" xfId="19376" builtinId="8" hidden="1"/>
    <cellStyle name="Hyperlink" xfId="19827" builtinId="8" hidden="1"/>
    <cellStyle name="Hyperlink" xfId="19829" builtinId="8" hidden="1"/>
    <cellStyle name="Hyperlink" xfId="19831" builtinId="8" hidden="1"/>
    <cellStyle name="Hyperlink" xfId="19833" builtinId="8" hidden="1"/>
    <cellStyle name="Hyperlink" xfId="19835" builtinId="8" hidden="1"/>
    <cellStyle name="Hyperlink" xfId="19837" builtinId="8" hidden="1"/>
    <cellStyle name="Hyperlink" xfId="19887" builtinId="8" hidden="1"/>
    <cellStyle name="Hyperlink" xfId="19889" builtinId="8" hidden="1"/>
    <cellStyle name="Hyperlink" xfId="19891" builtinId="8" hidden="1"/>
    <cellStyle name="Hyperlink" xfId="19893" builtinId="8" hidden="1"/>
    <cellStyle name="Hyperlink" xfId="19883" builtinId="8" hidden="1"/>
    <cellStyle name="Hyperlink" xfId="19873" builtinId="8" hidden="1"/>
    <cellStyle name="Hyperlink" xfId="19895" builtinId="8" hidden="1"/>
    <cellStyle name="Hyperlink" xfId="19897" builtinId="8" hidden="1"/>
    <cellStyle name="Hyperlink" xfId="19899" builtinId="8" hidden="1"/>
    <cellStyle name="Hyperlink" xfId="19901" builtinId="8" hidden="1"/>
    <cellStyle name="Hyperlink" xfId="19867" builtinId="8" hidden="1"/>
    <cellStyle name="Hyperlink" xfId="19853" builtinId="8" hidden="1"/>
    <cellStyle name="Hyperlink" xfId="19903" builtinId="8" hidden="1"/>
    <cellStyle name="Hyperlink" xfId="19905" builtinId="8" hidden="1"/>
    <cellStyle name="Hyperlink" xfId="19907" builtinId="8" hidden="1"/>
    <cellStyle name="Hyperlink" xfId="19909" builtinId="8" hidden="1"/>
    <cellStyle name="Hyperlink" xfId="19872" builtinId="8" hidden="1"/>
    <cellStyle name="Hyperlink" xfId="19841" builtinId="8" hidden="1"/>
    <cellStyle name="Hyperlink" xfId="19911" builtinId="8" hidden="1"/>
    <cellStyle name="Hyperlink" xfId="19913" builtinId="8" hidden="1"/>
    <cellStyle name="Hyperlink" xfId="19915" builtinId="8" hidden="1"/>
    <cellStyle name="Hyperlink" xfId="19917" builtinId="8" hidden="1"/>
    <cellStyle name="Hyperlink" xfId="19842" builtinId="8" hidden="1"/>
    <cellStyle name="Hyperlink" xfId="19875" builtinId="8" hidden="1"/>
    <cellStyle name="Hyperlink" xfId="19919" builtinId="8" hidden="1"/>
    <cellStyle name="Hyperlink" xfId="19921" builtinId="8" hidden="1"/>
    <cellStyle name="Hyperlink" xfId="19923" builtinId="8" hidden="1"/>
    <cellStyle name="Hyperlink" xfId="19925" builtinId="8" hidden="1"/>
    <cellStyle name="Hyperlink" xfId="19844" builtinId="8" hidden="1"/>
    <cellStyle name="Hyperlink" xfId="19885" builtinId="8" hidden="1"/>
    <cellStyle name="Hyperlink" xfId="19927" builtinId="8" hidden="1"/>
    <cellStyle name="Hyperlink" xfId="19929" builtinId="8" hidden="1"/>
    <cellStyle name="Hyperlink" xfId="19931" builtinId="8" hidden="1"/>
    <cellStyle name="Hyperlink" xfId="19933" builtinId="8" hidden="1"/>
    <cellStyle name="Hyperlink" xfId="19865" builtinId="8" hidden="1"/>
    <cellStyle name="Hyperlink" xfId="19868" builtinId="8" hidden="1"/>
    <cellStyle name="Hyperlink" xfId="19935" builtinId="8" hidden="1"/>
    <cellStyle name="Hyperlink" xfId="19937" builtinId="8" hidden="1"/>
    <cellStyle name="Hyperlink" xfId="19939" builtinId="8" hidden="1"/>
    <cellStyle name="Hyperlink" xfId="19941" builtinId="8" hidden="1"/>
    <cellStyle name="Hyperlink" xfId="19869" builtinId="8" hidden="1"/>
    <cellStyle name="Hyperlink" xfId="19866" builtinId="8" hidden="1"/>
    <cellStyle name="Hyperlink" xfId="19943" builtinId="8" hidden="1"/>
    <cellStyle name="Hyperlink" xfId="19945" builtinId="8" hidden="1"/>
    <cellStyle name="Hyperlink" xfId="19947" builtinId="8" hidden="1"/>
    <cellStyle name="Hyperlink" xfId="19949" builtinId="8" hidden="1"/>
    <cellStyle name="Hyperlink" xfId="19884" builtinId="8" hidden="1"/>
    <cellStyle name="Hyperlink" xfId="19861" builtinId="8" hidden="1"/>
    <cellStyle name="Hyperlink" xfId="19951" builtinId="8" hidden="1"/>
    <cellStyle name="Hyperlink" xfId="19953" builtinId="8" hidden="1"/>
    <cellStyle name="Hyperlink" xfId="19955" builtinId="8" hidden="1"/>
    <cellStyle name="Hyperlink" xfId="19957" builtinId="8" hidden="1"/>
    <cellStyle name="Hyperlink" xfId="19839" builtinId="8" hidden="1"/>
    <cellStyle name="Hyperlink" xfId="19840" builtinId="8" hidden="1"/>
    <cellStyle name="Hyperlink" xfId="19959" builtinId="8" hidden="1"/>
    <cellStyle name="Hyperlink" xfId="19961" builtinId="8" hidden="1"/>
    <cellStyle name="Hyperlink" xfId="19963" builtinId="8" hidden="1"/>
    <cellStyle name="Hyperlink" xfId="19965" builtinId="8" hidden="1"/>
    <cellStyle name="Hyperlink" xfId="19845" builtinId="8" hidden="1"/>
    <cellStyle name="Hyperlink" xfId="19881" builtinId="8" hidden="1"/>
    <cellStyle name="Hyperlink" xfId="19967" builtinId="8" hidden="1"/>
    <cellStyle name="Hyperlink" xfId="19969" builtinId="8" hidden="1"/>
    <cellStyle name="Hyperlink" xfId="19971" builtinId="8" hidden="1"/>
    <cellStyle name="Hyperlink" xfId="19973" builtinId="8" hidden="1"/>
    <cellStyle name="Hyperlink" xfId="19850" builtinId="8" hidden="1"/>
    <cellStyle name="Hyperlink" xfId="19870" builtinId="8" hidden="1"/>
    <cellStyle name="Hyperlink" xfId="19975" builtinId="8" hidden="1"/>
    <cellStyle name="Hyperlink" xfId="19977" builtinId="8" hidden="1"/>
    <cellStyle name="Hyperlink" xfId="19979" builtinId="8" hidden="1"/>
    <cellStyle name="Hyperlink" xfId="19981" builtinId="8" hidden="1"/>
    <cellStyle name="Hyperlink" xfId="19857" builtinId="8" hidden="1"/>
    <cellStyle name="Hyperlink" xfId="19855" builtinId="8" hidden="1"/>
    <cellStyle name="Hyperlink" xfId="19983" builtinId="8" hidden="1"/>
    <cellStyle name="Hyperlink" xfId="19985" builtinId="8" hidden="1"/>
    <cellStyle name="Hyperlink" xfId="19987" builtinId="8" hidden="1"/>
    <cellStyle name="Hyperlink" xfId="19989" builtinId="8" hidden="1"/>
    <cellStyle name="Hyperlink" xfId="19434" builtinId="8" hidden="1"/>
    <cellStyle name="Hyperlink" xfId="19377" builtinId="8" hidden="1"/>
    <cellStyle name="Hyperlink" xfId="19387" builtinId="8" hidden="1"/>
    <cellStyle name="Hyperlink" xfId="19354" builtinId="8" hidden="1"/>
    <cellStyle name="Hyperlink" xfId="19437" builtinId="8" hidden="1"/>
    <cellStyle name="Hyperlink" xfId="19469" builtinId="8" hidden="1"/>
    <cellStyle name="Hyperlink" xfId="19448" builtinId="8" hidden="1"/>
    <cellStyle name="Hyperlink" xfId="19398" builtinId="8" hidden="1"/>
    <cellStyle name="Hyperlink" xfId="19997" builtinId="8" hidden="1"/>
    <cellStyle name="Hyperlink" xfId="19999" builtinId="8" hidden="1"/>
    <cellStyle name="Hyperlink" xfId="20001" builtinId="8" hidden="1"/>
    <cellStyle name="Hyperlink" xfId="20003" builtinId="8" hidden="1"/>
    <cellStyle name="Hyperlink" xfId="20005" builtinId="8" hidden="1"/>
    <cellStyle name="Hyperlink" xfId="20007" builtinId="8" hidden="1"/>
    <cellStyle name="Hyperlink" xfId="20057" builtinId="8" hidden="1"/>
    <cellStyle name="Hyperlink" xfId="20059" builtinId="8" hidden="1"/>
    <cellStyle name="Hyperlink" xfId="20061" builtinId="8" hidden="1"/>
    <cellStyle name="Hyperlink" xfId="20063" builtinId="8" hidden="1"/>
    <cellStyle name="Hyperlink" xfId="20053" builtinId="8" hidden="1"/>
    <cellStyle name="Hyperlink" xfId="20043" builtinId="8" hidden="1"/>
    <cellStyle name="Hyperlink" xfId="20065" builtinId="8" hidden="1"/>
    <cellStyle name="Hyperlink" xfId="20067" builtinId="8" hidden="1"/>
    <cellStyle name="Hyperlink" xfId="20069" builtinId="8" hidden="1"/>
    <cellStyle name="Hyperlink" xfId="20071" builtinId="8" hidden="1"/>
    <cellStyle name="Hyperlink" xfId="20037" builtinId="8" hidden="1"/>
    <cellStyle name="Hyperlink" xfId="20023" builtinId="8" hidden="1"/>
    <cellStyle name="Hyperlink" xfId="20073" builtinId="8" hidden="1"/>
    <cellStyle name="Hyperlink" xfId="20075" builtinId="8" hidden="1"/>
    <cellStyle name="Hyperlink" xfId="20077" builtinId="8" hidden="1"/>
    <cellStyle name="Hyperlink" xfId="20079" builtinId="8" hidden="1"/>
    <cellStyle name="Hyperlink" xfId="20042" builtinId="8" hidden="1"/>
    <cellStyle name="Hyperlink" xfId="20011" builtinId="8" hidden="1"/>
    <cellStyle name="Hyperlink" xfId="20081" builtinId="8" hidden="1"/>
    <cellStyle name="Hyperlink" xfId="20083" builtinId="8" hidden="1"/>
    <cellStyle name="Hyperlink" xfId="20085" builtinId="8" hidden="1"/>
    <cellStyle name="Hyperlink" xfId="20087" builtinId="8" hidden="1"/>
    <cellStyle name="Hyperlink" xfId="20012" builtinId="8" hidden="1"/>
    <cellStyle name="Hyperlink" xfId="20045" builtinId="8" hidden="1"/>
    <cellStyle name="Hyperlink" xfId="20089" builtinId="8" hidden="1"/>
    <cellStyle name="Hyperlink" xfId="20091" builtinId="8" hidden="1"/>
    <cellStyle name="Hyperlink" xfId="20093" builtinId="8" hidden="1"/>
    <cellStyle name="Hyperlink" xfId="20095" builtinId="8" hidden="1"/>
    <cellStyle name="Hyperlink" xfId="20014" builtinId="8" hidden="1"/>
    <cellStyle name="Hyperlink" xfId="20055" builtinId="8" hidden="1"/>
    <cellStyle name="Hyperlink" xfId="20097" builtinId="8" hidden="1"/>
    <cellStyle name="Hyperlink" xfId="20099" builtinId="8" hidden="1"/>
    <cellStyle name="Hyperlink" xfId="20101" builtinId="8" hidden="1"/>
    <cellStyle name="Hyperlink" xfId="20103" builtinId="8" hidden="1"/>
    <cellStyle name="Hyperlink" xfId="20035" builtinId="8" hidden="1"/>
    <cellStyle name="Hyperlink" xfId="20038" builtinId="8" hidden="1"/>
    <cellStyle name="Hyperlink" xfId="20105" builtinId="8" hidden="1"/>
    <cellStyle name="Hyperlink" xfId="20107" builtinId="8" hidden="1"/>
    <cellStyle name="Hyperlink" xfId="20109" builtinId="8" hidden="1"/>
    <cellStyle name="Hyperlink" xfId="20111" builtinId="8" hidden="1"/>
    <cellStyle name="Hyperlink" xfId="20039" builtinId="8" hidden="1"/>
    <cellStyle name="Hyperlink" xfId="20036" builtinId="8" hidden="1"/>
    <cellStyle name="Hyperlink" xfId="20113" builtinId="8" hidden="1"/>
    <cellStyle name="Hyperlink" xfId="20115" builtinId="8" hidden="1"/>
    <cellStyle name="Hyperlink" xfId="20117" builtinId="8" hidden="1"/>
    <cellStyle name="Hyperlink" xfId="20119" builtinId="8" hidden="1"/>
    <cellStyle name="Hyperlink" xfId="20054" builtinId="8" hidden="1"/>
    <cellStyle name="Hyperlink" xfId="20031" builtinId="8" hidden="1"/>
    <cellStyle name="Hyperlink" xfId="20121" builtinId="8" hidden="1"/>
    <cellStyle name="Hyperlink" xfId="20123" builtinId="8" hidden="1"/>
    <cellStyle name="Hyperlink" xfId="20125" builtinId="8" hidden="1"/>
    <cellStyle name="Hyperlink" xfId="20127" builtinId="8" hidden="1"/>
    <cellStyle name="Hyperlink" xfId="20009" builtinId="8" hidden="1"/>
    <cellStyle name="Hyperlink" xfId="20010" builtinId="8" hidden="1"/>
    <cellStyle name="Hyperlink" xfId="20129" builtinId="8" hidden="1"/>
    <cellStyle name="Hyperlink" xfId="20131" builtinId="8" hidden="1"/>
    <cellStyle name="Hyperlink" xfId="20133" builtinId="8" hidden="1"/>
    <cellStyle name="Hyperlink" xfId="20135" builtinId="8" hidden="1"/>
    <cellStyle name="Hyperlink" xfId="20015" builtinId="8" hidden="1"/>
    <cellStyle name="Hyperlink" xfId="20051" builtinId="8" hidden="1"/>
    <cellStyle name="Hyperlink" xfId="20137" builtinId="8" hidden="1"/>
    <cellStyle name="Hyperlink" xfId="20139" builtinId="8" hidden="1"/>
    <cellStyle name="Hyperlink" xfId="20141" builtinId="8" hidden="1"/>
    <cellStyle name="Hyperlink" xfId="20143" builtinId="8" hidden="1"/>
    <cellStyle name="Hyperlink" xfId="20020" builtinId="8" hidden="1"/>
    <cellStyle name="Hyperlink" xfId="20040" builtinId="8" hidden="1"/>
    <cellStyle name="Hyperlink" xfId="20145" builtinId="8" hidden="1"/>
    <cellStyle name="Hyperlink" xfId="20147" builtinId="8" hidden="1"/>
    <cellStyle name="Hyperlink" xfId="20149" builtinId="8" hidden="1"/>
    <cellStyle name="Hyperlink" xfId="20151" builtinId="8" hidden="1"/>
    <cellStyle name="Hyperlink" xfId="20027" builtinId="8" hidden="1"/>
    <cellStyle name="Hyperlink" xfId="20025" builtinId="8" hidden="1"/>
    <cellStyle name="Hyperlink" xfId="20153" builtinId="8" hidden="1"/>
    <cellStyle name="Hyperlink" xfId="20155" builtinId="8" hidden="1"/>
    <cellStyle name="Hyperlink" xfId="20157" builtinId="8" hidden="1"/>
    <cellStyle name="Hyperlink" xfId="20159" builtinId="8" hidden="1"/>
    <cellStyle name="Hyperlink" xfId="19409" builtinId="8" hidden="1"/>
    <cellStyle name="Hyperlink" xfId="19380" builtinId="8" hidden="1"/>
    <cellStyle name="Hyperlink" xfId="19427" builtinId="8" hidden="1"/>
    <cellStyle name="Hyperlink" xfId="19345" builtinId="8" hidden="1"/>
    <cellStyle name="Hyperlink" xfId="19424" builtinId="8" hidden="1"/>
    <cellStyle name="Hyperlink" xfId="19360" builtinId="8" hidden="1"/>
    <cellStyle name="Hyperlink" xfId="19431" builtinId="8" hidden="1"/>
    <cellStyle name="Hyperlink" xfId="19386" builtinId="8" hidden="1"/>
    <cellStyle name="Hyperlink" xfId="20166" builtinId="8" hidden="1"/>
    <cellStyle name="Hyperlink" xfId="20168" builtinId="8" hidden="1"/>
    <cellStyle name="Hyperlink" xfId="20170" builtinId="8" hidden="1"/>
    <cellStyle name="Hyperlink" xfId="20172" builtinId="8" hidden="1"/>
    <cellStyle name="Hyperlink" xfId="20174" builtinId="8" hidden="1"/>
    <cellStyle name="Hyperlink" xfId="20176" builtinId="8" hidden="1"/>
    <cellStyle name="Hyperlink" xfId="20226" builtinId="8" hidden="1"/>
    <cellStyle name="Hyperlink" xfId="20228" builtinId="8" hidden="1"/>
    <cellStyle name="Hyperlink" xfId="20230" builtinId="8" hidden="1"/>
    <cellStyle name="Hyperlink" xfId="20232" builtinId="8" hidden="1"/>
    <cellStyle name="Hyperlink" xfId="20222" builtinId="8" hidden="1"/>
    <cellStyle name="Hyperlink" xfId="20212" builtinId="8" hidden="1"/>
    <cellStyle name="Hyperlink" xfId="20234" builtinId="8" hidden="1"/>
    <cellStyle name="Hyperlink" xfId="20236" builtinId="8" hidden="1"/>
    <cellStyle name="Hyperlink" xfId="20238" builtinId="8" hidden="1"/>
    <cellStyle name="Hyperlink" xfId="20240" builtinId="8" hidden="1"/>
    <cellStyle name="Hyperlink" xfId="20206" builtinId="8" hidden="1"/>
    <cellStyle name="Hyperlink" xfId="20192" builtinId="8" hidden="1"/>
    <cellStyle name="Hyperlink" xfId="20242" builtinId="8" hidden="1"/>
    <cellStyle name="Hyperlink" xfId="20244" builtinId="8" hidden="1"/>
    <cellStyle name="Hyperlink" xfId="20246" builtinId="8" hidden="1"/>
    <cellStyle name="Hyperlink" xfId="20248" builtinId="8" hidden="1"/>
    <cellStyle name="Hyperlink" xfId="20211" builtinId="8" hidden="1"/>
    <cellStyle name="Hyperlink" xfId="20180" builtinId="8" hidden="1"/>
    <cellStyle name="Hyperlink" xfId="20250" builtinId="8" hidden="1"/>
    <cellStyle name="Hyperlink" xfId="20252" builtinId="8" hidden="1"/>
    <cellStyle name="Hyperlink" xfId="20254" builtinId="8" hidden="1"/>
    <cellStyle name="Hyperlink" xfId="20256" builtinId="8" hidden="1"/>
    <cellStyle name="Hyperlink" xfId="20181" builtinId="8" hidden="1"/>
    <cellStyle name="Hyperlink" xfId="20214" builtinId="8" hidden="1"/>
    <cellStyle name="Hyperlink" xfId="20258" builtinId="8" hidden="1"/>
    <cellStyle name="Hyperlink" xfId="20260" builtinId="8" hidden="1"/>
    <cellStyle name="Hyperlink" xfId="20262" builtinId="8" hidden="1"/>
    <cellStyle name="Hyperlink" xfId="20264" builtinId="8" hidden="1"/>
    <cellStyle name="Hyperlink" xfId="20183" builtinId="8" hidden="1"/>
    <cellStyle name="Hyperlink" xfId="20224" builtinId="8" hidden="1"/>
    <cellStyle name="Hyperlink" xfId="20266" builtinId="8" hidden="1"/>
    <cellStyle name="Hyperlink" xfId="20268" builtinId="8" hidden="1"/>
    <cellStyle name="Hyperlink" xfId="20270" builtinId="8" hidden="1"/>
    <cellStyle name="Hyperlink" xfId="20272" builtinId="8" hidden="1"/>
    <cellStyle name="Hyperlink" xfId="20204" builtinId="8" hidden="1"/>
    <cellStyle name="Hyperlink" xfId="20207" builtinId="8" hidden="1"/>
    <cellStyle name="Hyperlink" xfId="20274" builtinId="8" hidden="1"/>
    <cellStyle name="Hyperlink" xfId="20276" builtinId="8" hidden="1"/>
    <cellStyle name="Hyperlink" xfId="20278" builtinId="8" hidden="1"/>
    <cellStyle name="Hyperlink" xfId="20280" builtinId="8" hidden="1"/>
    <cellStyle name="Hyperlink" xfId="20208" builtinId="8" hidden="1"/>
    <cellStyle name="Hyperlink" xfId="20205" builtinId="8" hidden="1"/>
    <cellStyle name="Hyperlink" xfId="20282" builtinId="8" hidden="1"/>
    <cellStyle name="Hyperlink" xfId="20284" builtinId="8" hidden="1"/>
    <cellStyle name="Hyperlink" xfId="20286" builtinId="8" hidden="1"/>
    <cellStyle name="Hyperlink" xfId="20288" builtinId="8" hidden="1"/>
    <cellStyle name="Hyperlink" xfId="20223" builtinId="8" hidden="1"/>
    <cellStyle name="Hyperlink" xfId="20200" builtinId="8" hidden="1"/>
    <cellStyle name="Hyperlink" xfId="20290" builtinId="8" hidden="1"/>
    <cellStyle name="Hyperlink" xfId="20292" builtinId="8" hidden="1"/>
    <cellStyle name="Hyperlink" xfId="20294" builtinId="8" hidden="1"/>
    <cellStyle name="Hyperlink" xfId="20296" builtinId="8" hidden="1"/>
    <cellStyle name="Hyperlink" xfId="20178" builtinId="8" hidden="1"/>
    <cellStyle name="Hyperlink" xfId="20179" builtinId="8" hidden="1"/>
    <cellStyle name="Hyperlink" xfId="20298" builtinId="8" hidden="1"/>
    <cellStyle name="Hyperlink" xfId="20300" builtinId="8" hidden="1"/>
    <cellStyle name="Hyperlink" xfId="20302" builtinId="8" hidden="1"/>
    <cellStyle name="Hyperlink" xfId="20304" builtinId="8" hidden="1"/>
    <cellStyle name="Hyperlink" xfId="20184" builtinId="8" hidden="1"/>
    <cellStyle name="Hyperlink" xfId="20220" builtinId="8" hidden="1"/>
    <cellStyle name="Hyperlink" xfId="20306" builtinId="8" hidden="1"/>
    <cellStyle name="Hyperlink" xfId="20308" builtinId="8" hidden="1"/>
    <cellStyle name="Hyperlink" xfId="20310" builtinId="8" hidden="1"/>
    <cellStyle name="Hyperlink" xfId="20312" builtinId="8" hidden="1"/>
    <cellStyle name="Hyperlink" xfId="20189" builtinId="8" hidden="1"/>
    <cellStyle name="Hyperlink" xfId="20209" builtinId="8" hidden="1"/>
    <cellStyle name="Hyperlink" xfId="20314" builtinId="8" hidden="1"/>
    <cellStyle name="Hyperlink" xfId="20316" builtinId="8" hidden="1"/>
    <cellStyle name="Hyperlink" xfId="20318" builtinId="8" hidden="1"/>
    <cellStyle name="Hyperlink" xfId="20320" builtinId="8" hidden="1"/>
    <cellStyle name="Hyperlink" xfId="20196" builtinId="8" hidden="1"/>
    <cellStyle name="Hyperlink" xfId="20194" builtinId="8" hidden="1"/>
    <cellStyle name="Hyperlink" xfId="20322" builtinId="8" hidden="1"/>
    <cellStyle name="Hyperlink" xfId="20324" builtinId="8" hidden="1"/>
    <cellStyle name="Hyperlink" xfId="20326" builtinId="8" hidden="1"/>
    <cellStyle name="Hyperlink" xfId="20328" builtinId="8" hidden="1"/>
    <cellStyle name="Hyperlink" xfId="19651" builtinId="8" hidden="1"/>
    <cellStyle name="Hyperlink" xfId="19818" builtinId="8" hidden="1"/>
    <cellStyle name="Hyperlink" xfId="19455" builtinId="8" hidden="1"/>
    <cellStyle name="Hyperlink" xfId="19344" builtinId="8" hidden="1"/>
    <cellStyle name="Hyperlink" xfId="19340" builtinId="8" hidden="1"/>
    <cellStyle name="Hyperlink" xfId="19388" builtinId="8" hidden="1"/>
    <cellStyle name="Hyperlink" xfId="19349" builtinId="8" hidden="1"/>
    <cellStyle name="Hyperlink" xfId="19425" builtinId="8" hidden="1"/>
    <cellStyle name="Hyperlink" xfId="20335" builtinId="8" hidden="1"/>
    <cellStyle name="Hyperlink" xfId="20337" builtinId="8" hidden="1"/>
    <cellStyle name="Hyperlink" xfId="20339" builtinId="8" hidden="1"/>
    <cellStyle name="Hyperlink" xfId="20341" builtinId="8" hidden="1"/>
    <cellStyle name="Hyperlink" xfId="20343" builtinId="8" hidden="1"/>
    <cellStyle name="Hyperlink" xfId="20345" builtinId="8" hidden="1"/>
    <cellStyle name="Hyperlink" xfId="20395" builtinId="8" hidden="1"/>
    <cellStyle name="Hyperlink" xfId="20397" builtinId="8" hidden="1"/>
    <cellStyle name="Hyperlink" xfId="20399" builtinId="8" hidden="1"/>
    <cellStyle name="Hyperlink" xfId="20401" builtinId="8" hidden="1"/>
    <cellStyle name="Hyperlink" xfId="20391" builtinId="8" hidden="1"/>
    <cellStyle name="Hyperlink" xfId="20381" builtinId="8" hidden="1"/>
    <cellStyle name="Hyperlink" xfId="20403" builtinId="8" hidden="1"/>
    <cellStyle name="Hyperlink" xfId="20405" builtinId="8" hidden="1"/>
    <cellStyle name="Hyperlink" xfId="20407" builtinId="8" hidden="1"/>
    <cellStyle name="Hyperlink" xfId="20409" builtinId="8" hidden="1"/>
    <cellStyle name="Hyperlink" xfId="20375" builtinId="8" hidden="1"/>
    <cellStyle name="Hyperlink" xfId="20361" builtinId="8" hidden="1"/>
    <cellStyle name="Hyperlink" xfId="20411" builtinId="8" hidden="1"/>
    <cellStyle name="Hyperlink" xfId="20413" builtinId="8" hidden="1"/>
    <cellStyle name="Hyperlink" xfId="20415" builtinId="8" hidden="1"/>
    <cellStyle name="Hyperlink" xfId="20417" builtinId="8" hidden="1"/>
    <cellStyle name="Hyperlink" xfId="20380" builtinId="8" hidden="1"/>
    <cellStyle name="Hyperlink" xfId="20349" builtinId="8" hidden="1"/>
    <cellStyle name="Hyperlink" xfId="20419" builtinId="8" hidden="1"/>
    <cellStyle name="Hyperlink" xfId="20421" builtinId="8" hidden="1"/>
    <cellStyle name="Hyperlink" xfId="20423" builtinId="8" hidden="1"/>
    <cellStyle name="Hyperlink" xfId="20425" builtinId="8" hidden="1"/>
    <cellStyle name="Hyperlink" xfId="20350" builtinId="8" hidden="1"/>
    <cellStyle name="Hyperlink" xfId="20383" builtinId="8" hidden="1"/>
    <cellStyle name="Hyperlink" xfId="20427" builtinId="8" hidden="1"/>
    <cellStyle name="Hyperlink" xfId="20429" builtinId="8" hidden="1"/>
    <cellStyle name="Hyperlink" xfId="20431" builtinId="8" hidden="1"/>
    <cellStyle name="Hyperlink" xfId="20433" builtinId="8" hidden="1"/>
    <cellStyle name="Hyperlink" xfId="20352" builtinId="8" hidden="1"/>
    <cellStyle name="Hyperlink" xfId="20393" builtinId="8" hidden="1"/>
    <cellStyle name="Hyperlink" xfId="20435" builtinId="8" hidden="1"/>
    <cellStyle name="Hyperlink" xfId="20437" builtinId="8" hidden="1"/>
    <cellStyle name="Hyperlink" xfId="20439" builtinId="8" hidden="1"/>
    <cellStyle name="Hyperlink" xfId="20441" builtinId="8" hidden="1"/>
    <cellStyle name="Hyperlink" xfId="20373" builtinId="8" hidden="1"/>
    <cellStyle name="Hyperlink" xfId="20376" builtinId="8" hidden="1"/>
    <cellStyle name="Hyperlink" xfId="20443" builtinId="8" hidden="1"/>
    <cellStyle name="Hyperlink" xfId="20445" builtinId="8" hidden="1"/>
    <cellStyle name="Hyperlink" xfId="20447" builtinId="8" hidden="1"/>
    <cellStyle name="Hyperlink" xfId="20449" builtinId="8" hidden="1"/>
    <cellStyle name="Hyperlink" xfId="20377" builtinId="8" hidden="1"/>
    <cellStyle name="Hyperlink" xfId="20374" builtinId="8" hidden="1"/>
    <cellStyle name="Hyperlink" xfId="20451" builtinId="8" hidden="1"/>
    <cellStyle name="Hyperlink" xfId="20453" builtinId="8" hidden="1"/>
    <cellStyle name="Hyperlink" xfId="20455" builtinId="8" hidden="1"/>
    <cellStyle name="Hyperlink" xfId="20457" builtinId="8" hidden="1"/>
    <cellStyle name="Hyperlink" xfId="20392" builtinId="8" hidden="1"/>
    <cellStyle name="Hyperlink" xfId="20369" builtinId="8" hidden="1"/>
    <cellStyle name="Hyperlink" xfId="20459" builtinId="8" hidden="1"/>
    <cellStyle name="Hyperlink" xfId="20461" builtinId="8" hidden="1"/>
    <cellStyle name="Hyperlink" xfId="20463" builtinId="8" hidden="1"/>
    <cellStyle name="Hyperlink" xfId="20465" builtinId="8" hidden="1"/>
    <cellStyle name="Hyperlink" xfId="20347" builtinId="8" hidden="1"/>
    <cellStyle name="Hyperlink" xfId="20348" builtinId="8" hidden="1"/>
    <cellStyle name="Hyperlink" xfId="20467" builtinId="8" hidden="1"/>
    <cellStyle name="Hyperlink" xfId="20469" builtinId="8" hidden="1"/>
    <cellStyle name="Hyperlink" xfId="20471" builtinId="8" hidden="1"/>
    <cellStyle name="Hyperlink" xfId="20473" builtinId="8" hidden="1"/>
    <cellStyle name="Hyperlink" xfId="20353" builtinId="8" hidden="1"/>
    <cellStyle name="Hyperlink" xfId="20389" builtinId="8" hidden="1"/>
    <cellStyle name="Hyperlink" xfId="20475" builtinId="8" hidden="1"/>
    <cellStyle name="Hyperlink" xfId="20477" builtinId="8" hidden="1"/>
    <cellStyle name="Hyperlink" xfId="20479" builtinId="8" hidden="1"/>
    <cellStyle name="Hyperlink" xfId="20481" builtinId="8" hidden="1"/>
    <cellStyle name="Hyperlink" xfId="20358" builtinId="8" hidden="1"/>
    <cellStyle name="Hyperlink" xfId="20378" builtinId="8" hidden="1"/>
    <cellStyle name="Hyperlink" xfId="20483" builtinId="8" hidden="1"/>
    <cellStyle name="Hyperlink" xfId="20485" builtinId="8" hidden="1"/>
    <cellStyle name="Hyperlink" xfId="20487" builtinId="8" hidden="1"/>
    <cellStyle name="Hyperlink" xfId="20489" builtinId="8" hidden="1"/>
    <cellStyle name="Hyperlink" xfId="20365" builtinId="8" hidden="1"/>
    <cellStyle name="Hyperlink" xfId="20363" builtinId="8" hidden="1"/>
    <cellStyle name="Hyperlink" xfId="20491" builtinId="8" hidden="1"/>
    <cellStyle name="Hyperlink" xfId="20493" builtinId="8" hidden="1"/>
    <cellStyle name="Hyperlink" xfId="20495" builtinId="8" hidden="1"/>
    <cellStyle name="Hyperlink" xfId="20497" builtinId="8" hidden="1"/>
    <cellStyle name="Hyperlink" xfId="19341" builtinId="8" hidden="1"/>
    <cellStyle name="Hyperlink" xfId="19456" builtinId="8" hidden="1"/>
    <cellStyle name="Hyperlink" xfId="19825" builtinId="8" hidden="1"/>
    <cellStyle name="Hyperlink" xfId="19458" builtinId="8" hidden="1"/>
    <cellStyle name="Hyperlink" xfId="19439" builtinId="8" hidden="1"/>
    <cellStyle name="Hyperlink" xfId="19471" builtinId="8" hidden="1"/>
    <cellStyle name="Hyperlink" xfId="19346" builtinId="8" hidden="1"/>
    <cellStyle name="Hyperlink" xfId="19473" builtinId="8" hidden="1"/>
    <cellStyle name="Hyperlink" xfId="20502" builtinId="8" hidden="1"/>
    <cellStyle name="Hyperlink" xfId="20504" builtinId="8" hidden="1"/>
    <cellStyle name="Hyperlink" xfId="20506" builtinId="8" hidden="1"/>
    <cellStyle name="Hyperlink" xfId="20508" builtinId="8" hidden="1"/>
    <cellStyle name="Hyperlink" xfId="20510" builtinId="8" hidden="1"/>
    <cellStyle name="Hyperlink" xfId="20512" builtinId="8" hidden="1"/>
    <cellStyle name="Hyperlink" xfId="20562" builtinId="8" hidden="1"/>
    <cellStyle name="Hyperlink" xfId="20564" builtinId="8" hidden="1"/>
    <cellStyle name="Hyperlink" xfId="20566" builtinId="8" hidden="1"/>
    <cellStyle name="Hyperlink" xfId="20568" builtinId="8" hidden="1"/>
    <cellStyle name="Hyperlink" xfId="20558" builtinId="8" hidden="1"/>
    <cellStyle name="Hyperlink" xfId="20548" builtinId="8" hidden="1"/>
    <cellStyle name="Hyperlink" xfId="20570" builtinId="8" hidden="1"/>
    <cellStyle name="Hyperlink" xfId="20572" builtinId="8" hidden="1"/>
    <cellStyle name="Hyperlink" xfId="20574" builtinId="8" hidden="1"/>
    <cellStyle name="Hyperlink" xfId="20576" builtinId="8" hidden="1"/>
    <cellStyle name="Hyperlink" xfId="20542" builtinId="8" hidden="1"/>
    <cellStyle name="Hyperlink" xfId="20528" builtinId="8" hidden="1"/>
    <cellStyle name="Hyperlink" xfId="20578" builtinId="8" hidden="1"/>
    <cellStyle name="Hyperlink" xfId="20580" builtinId="8" hidden="1"/>
    <cellStyle name="Hyperlink" xfId="20582" builtinId="8" hidden="1"/>
    <cellStyle name="Hyperlink" xfId="20584" builtinId="8" hidden="1"/>
    <cellStyle name="Hyperlink" xfId="20547" builtinId="8" hidden="1"/>
    <cellStyle name="Hyperlink" xfId="20516" builtinId="8" hidden="1"/>
    <cellStyle name="Hyperlink" xfId="20586" builtinId="8" hidden="1"/>
    <cellStyle name="Hyperlink" xfId="20588" builtinId="8" hidden="1"/>
    <cellStyle name="Hyperlink" xfId="20590" builtinId="8" hidden="1"/>
    <cellStyle name="Hyperlink" xfId="20592" builtinId="8" hidden="1"/>
    <cellStyle name="Hyperlink" xfId="20517" builtinId="8" hidden="1"/>
    <cellStyle name="Hyperlink" xfId="20550" builtinId="8" hidden="1"/>
    <cellStyle name="Hyperlink" xfId="20594" builtinId="8" hidden="1"/>
    <cellStyle name="Hyperlink" xfId="20596" builtinId="8" hidden="1"/>
    <cellStyle name="Hyperlink" xfId="20598" builtinId="8" hidden="1"/>
    <cellStyle name="Hyperlink" xfId="20600" builtinId="8" hidden="1"/>
    <cellStyle name="Hyperlink" xfId="20519" builtinId="8" hidden="1"/>
    <cellStyle name="Hyperlink" xfId="20560" builtinId="8" hidden="1"/>
    <cellStyle name="Hyperlink" xfId="20602" builtinId="8" hidden="1"/>
    <cellStyle name="Hyperlink" xfId="20604" builtinId="8" hidden="1"/>
    <cellStyle name="Hyperlink" xfId="20606" builtinId="8" hidden="1"/>
    <cellStyle name="Hyperlink" xfId="20608" builtinId="8" hidden="1"/>
    <cellStyle name="Hyperlink" xfId="20540" builtinId="8" hidden="1"/>
    <cellStyle name="Hyperlink" xfId="20543" builtinId="8" hidden="1"/>
    <cellStyle name="Hyperlink" xfId="20610" builtinId="8" hidden="1"/>
    <cellStyle name="Hyperlink" xfId="20612" builtinId="8" hidden="1"/>
    <cellStyle name="Hyperlink" xfId="20614" builtinId="8" hidden="1"/>
    <cellStyle name="Hyperlink" xfId="20616" builtinId="8" hidden="1"/>
    <cellStyle name="Hyperlink" xfId="20544" builtinId="8" hidden="1"/>
    <cellStyle name="Hyperlink" xfId="20541" builtinId="8" hidden="1"/>
    <cellStyle name="Hyperlink" xfId="20618" builtinId="8" hidden="1"/>
    <cellStyle name="Hyperlink" xfId="20620" builtinId="8" hidden="1"/>
    <cellStyle name="Hyperlink" xfId="20622" builtinId="8" hidden="1"/>
    <cellStyle name="Hyperlink" xfId="20624" builtinId="8" hidden="1"/>
    <cellStyle name="Hyperlink" xfId="20559" builtinId="8" hidden="1"/>
    <cellStyle name="Hyperlink" xfId="20536" builtinId="8" hidden="1"/>
    <cellStyle name="Hyperlink" xfId="20626" builtinId="8" hidden="1"/>
    <cellStyle name="Hyperlink" xfId="20628" builtinId="8" hidden="1"/>
    <cellStyle name="Hyperlink" xfId="20630" builtinId="8" hidden="1"/>
    <cellStyle name="Hyperlink" xfId="20632" builtinId="8" hidden="1"/>
    <cellStyle name="Hyperlink" xfId="20514" builtinId="8" hidden="1"/>
    <cellStyle name="Hyperlink" xfId="20515" builtinId="8" hidden="1"/>
    <cellStyle name="Hyperlink" xfId="20634" builtinId="8" hidden="1"/>
    <cellStyle name="Hyperlink" xfId="20636" builtinId="8" hidden="1"/>
    <cellStyle name="Hyperlink" xfId="20638" builtinId="8" hidden="1"/>
    <cellStyle name="Hyperlink" xfId="20640" builtinId="8" hidden="1"/>
    <cellStyle name="Hyperlink" xfId="20520" builtinId="8" hidden="1"/>
    <cellStyle name="Hyperlink" xfId="20556" builtinId="8" hidden="1"/>
    <cellStyle name="Hyperlink" xfId="20642" builtinId="8" hidden="1"/>
    <cellStyle name="Hyperlink" xfId="20644" builtinId="8" hidden="1"/>
    <cellStyle name="Hyperlink" xfId="20646" builtinId="8" hidden="1"/>
    <cellStyle name="Hyperlink" xfId="20648" builtinId="8" hidden="1"/>
    <cellStyle name="Hyperlink" xfId="20525" builtinId="8" hidden="1"/>
    <cellStyle name="Hyperlink" xfId="20545" builtinId="8" hidden="1"/>
    <cellStyle name="Hyperlink" xfId="20650" builtinId="8" hidden="1"/>
    <cellStyle name="Hyperlink" xfId="20652" builtinId="8" hidden="1"/>
    <cellStyle name="Hyperlink" xfId="20654" builtinId="8" hidden="1"/>
    <cellStyle name="Hyperlink" xfId="20656" builtinId="8" hidden="1"/>
    <cellStyle name="Hyperlink" xfId="20532" builtinId="8" hidden="1"/>
    <cellStyle name="Hyperlink" xfId="20530" builtinId="8" hidden="1"/>
    <cellStyle name="Hyperlink" xfId="20658" builtinId="8" hidden="1"/>
    <cellStyle name="Hyperlink" xfId="20660" builtinId="8" hidden="1"/>
    <cellStyle name="Hyperlink" xfId="20662" builtinId="8" hidden="1"/>
    <cellStyle name="Hyperlink" xfId="20664" builtinId="8" hidden="1"/>
    <cellStyle name="Hyperlink" xfId="19482" builtinId="8" hidden="1"/>
    <cellStyle name="Hyperlink" xfId="19453" builtinId="8" hidden="1"/>
    <cellStyle name="Hyperlink" xfId="19995" builtinId="8" hidden="1"/>
    <cellStyle name="Hyperlink" xfId="19478" builtinId="8" hidden="1"/>
    <cellStyle name="Hyperlink" xfId="19415" builtinId="8" hidden="1"/>
    <cellStyle name="Hyperlink" xfId="19356" builtinId="8" hidden="1"/>
    <cellStyle name="Hyperlink" xfId="19470" builtinId="8" hidden="1"/>
    <cellStyle name="Hyperlink" xfId="19463" builtinId="8" hidden="1"/>
    <cellStyle name="Hyperlink" xfId="20669" builtinId="8" hidden="1"/>
    <cellStyle name="Hyperlink" xfId="20671" builtinId="8" hidden="1"/>
    <cellStyle name="Hyperlink" xfId="20673" builtinId="8" hidden="1"/>
    <cellStyle name="Hyperlink" xfId="20675" builtinId="8" hidden="1"/>
    <cellStyle name="Hyperlink" xfId="20677" builtinId="8" hidden="1"/>
    <cellStyle name="Hyperlink" xfId="20679" builtinId="8" hidden="1"/>
    <cellStyle name="Hyperlink" xfId="20729" builtinId="8" hidden="1"/>
    <cellStyle name="Hyperlink" xfId="20731" builtinId="8" hidden="1"/>
    <cellStyle name="Hyperlink" xfId="20733" builtinId="8" hidden="1"/>
    <cellStyle name="Hyperlink" xfId="20735" builtinId="8" hidden="1"/>
    <cellStyle name="Hyperlink" xfId="20725" builtinId="8" hidden="1"/>
    <cellStyle name="Hyperlink" xfId="20715" builtinId="8" hidden="1"/>
    <cellStyle name="Hyperlink" xfId="20737" builtinId="8" hidden="1"/>
    <cellStyle name="Hyperlink" xfId="20739" builtinId="8" hidden="1"/>
    <cellStyle name="Hyperlink" xfId="20741" builtinId="8" hidden="1"/>
    <cellStyle name="Hyperlink" xfId="20743" builtinId="8" hidden="1"/>
    <cellStyle name="Hyperlink" xfId="20709" builtinId="8" hidden="1"/>
    <cellStyle name="Hyperlink" xfId="20695" builtinId="8" hidden="1"/>
    <cellStyle name="Hyperlink" xfId="20745" builtinId="8" hidden="1"/>
    <cellStyle name="Hyperlink" xfId="20747" builtinId="8" hidden="1"/>
    <cellStyle name="Hyperlink" xfId="20749" builtinId="8" hidden="1"/>
    <cellStyle name="Hyperlink" xfId="20751" builtinId="8" hidden="1"/>
    <cellStyle name="Hyperlink" xfId="20714" builtinId="8" hidden="1"/>
    <cellStyle name="Hyperlink" xfId="20683" builtinId="8" hidden="1"/>
    <cellStyle name="Hyperlink" xfId="20753" builtinId="8" hidden="1"/>
    <cellStyle name="Hyperlink" xfId="20755" builtinId="8" hidden="1"/>
    <cellStyle name="Hyperlink" xfId="20757" builtinId="8" hidden="1"/>
    <cellStyle name="Hyperlink" xfId="20759" builtinId="8" hidden="1"/>
    <cellStyle name="Hyperlink" xfId="20684" builtinId="8" hidden="1"/>
    <cellStyle name="Hyperlink" xfId="20717" builtinId="8" hidden="1"/>
    <cellStyle name="Hyperlink" xfId="20761" builtinId="8" hidden="1"/>
    <cellStyle name="Hyperlink" xfId="20763" builtinId="8" hidden="1"/>
    <cellStyle name="Hyperlink" xfId="20765" builtinId="8" hidden="1"/>
    <cellStyle name="Hyperlink" xfId="20767" builtinId="8" hidden="1"/>
    <cellStyle name="Hyperlink" xfId="20686" builtinId="8" hidden="1"/>
    <cellStyle name="Hyperlink" xfId="20727" builtinId="8" hidden="1"/>
    <cellStyle name="Hyperlink" xfId="20769" builtinId="8" hidden="1"/>
    <cellStyle name="Hyperlink" xfId="20771" builtinId="8" hidden="1"/>
    <cellStyle name="Hyperlink" xfId="20773" builtinId="8" hidden="1"/>
    <cellStyle name="Hyperlink" xfId="20775" builtinId="8" hidden="1"/>
    <cellStyle name="Hyperlink" xfId="20707" builtinId="8" hidden="1"/>
    <cellStyle name="Hyperlink" xfId="20710" builtinId="8" hidden="1"/>
    <cellStyle name="Hyperlink" xfId="20777" builtinId="8" hidden="1"/>
    <cellStyle name="Hyperlink" xfId="20779" builtinId="8" hidden="1"/>
    <cellStyle name="Hyperlink" xfId="20781" builtinId="8" hidden="1"/>
    <cellStyle name="Hyperlink" xfId="20783" builtinId="8" hidden="1"/>
    <cellStyle name="Hyperlink" xfId="20711" builtinId="8" hidden="1"/>
    <cellStyle name="Hyperlink" xfId="20708" builtinId="8" hidden="1"/>
    <cellStyle name="Hyperlink" xfId="20785" builtinId="8" hidden="1"/>
    <cellStyle name="Hyperlink" xfId="20787" builtinId="8" hidden="1"/>
    <cellStyle name="Hyperlink" xfId="20789" builtinId="8" hidden="1"/>
    <cellStyle name="Hyperlink" xfId="20791" builtinId="8" hidden="1"/>
    <cellStyle name="Hyperlink" xfId="20726" builtinId="8" hidden="1"/>
    <cellStyle name="Hyperlink" xfId="20703" builtinId="8" hidden="1"/>
    <cellStyle name="Hyperlink" xfId="20793" builtinId="8" hidden="1"/>
    <cellStyle name="Hyperlink" xfId="20795" builtinId="8" hidden="1"/>
    <cellStyle name="Hyperlink" xfId="20797" builtinId="8" hidden="1"/>
    <cellStyle name="Hyperlink" xfId="20799" builtinId="8" hidden="1"/>
    <cellStyle name="Hyperlink" xfId="20681" builtinId="8" hidden="1"/>
    <cellStyle name="Hyperlink" xfId="20682" builtinId="8" hidden="1"/>
    <cellStyle name="Hyperlink" xfId="20801" builtinId="8" hidden="1"/>
    <cellStyle name="Hyperlink" xfId="20803" builtinId="8" hidden="1"/>
    <cellStyle name="Hyperlink" xfId="20805" builtinId="8" hidden="1"/>
    <cellStyle name="Hyperlink" xfId="20807" builtinId="8" hidden="1"/>
    <cellStyle name="Hyperlink" xfId="20687" builtinId="8" hidden="1"/>
    <cellStyle name="Hyperlink" xfId="20723" builtinId="8" hidden="1"/>
    <cellStyle name="Hyperlink" xfId="20809" builtinId="8" hidden="1"/>
    <cellStyle name="Hyperlink" xfId="20811" builtinId="8" hidden="1"/>
    <cellStyle name="Hyperlink" xfId="20813" builtinId="8" hidden="1"/>
    <cellStyle name="Hyperlink" xfId="20815" builtinId="8" hidden="1"/>
    <cellStyle name="Hyperlink" xfId="20692" builtinId="8" hidden="1"/>
    <cellStyle name="Hyperlink" xfId="20712" builtinId="8" hidden="1"/>
    <cellStyle name="Hyperlink" xfId="20817" builtinId="8" hidden="1"/>
    <cellStyle name="Hyperlink" xfId="20819" builtinId="8" hidden="1"/>
    <cellStyle name="Hyperlink" xfId="20821" builtinId="8" hidden="1"/>
    <cellStyle name="Hyperlink" xfId="20823" builtinId="8" hidden="1"/>
    <cellStyle name="Hyperlink" xfId="20699" builtinId="8" hidden="1"/>
    <cellStyle name="Hyperlink" xfId="20697" builtinId="8" hidden="1"/>
    <cellStyle name="Hyperlink" xfId="20825" builtinId="8" hidden="1"/>
    <cellStyle name="Hyperlink" xfId="20827" builtinId="8" hidden="1"/>
    <cellStyle name="Hyperlink" xfId="20829" builtinId="8" hidden="1"/>
    <cellStyle name="Hyperlink" xfId="20831" builtinId="8" hidden="1"/>
    <cellStyle name="Hyperlink" xfId="19457" builtinId="8" hidden="1"/>
    <cellStyle name="Hyperlink" xfId="19441" builtinId="8" hidden="1"/>
    <cellStyle name="Hyperlink" xfId="20164" builtinId="8" hidden="1"/>
    <cellStyle name="Hyperlink" xfId="19420" builtinId="8" hidden="1"/>
    <cellStyle name="Hyperlink" xfId="19337" builtinId="8" hidden="1"/>
    <cellStyle name="Hyperlink" xfId="19399" builtinId="8" hidden="1"/>
    <cellStyle name="Hyperlink" xfId="19821" builtinId="8" hidden="1"/>
    <cellStyle name="Hyperlink" xfId="19418" builtinId="8" hidden="1"/>
    <cellStyle name="Hyperlink" xfId="20834" builtinId="8" hidden="1"/>
    <cellStyle name="Hyperlink" xfId="20836" builtinId="8" hidden="1"/>
    <cellStyle name="Hyperlink" xfId="20838" builtinId="8" hidden="1"/>
    <cellStyle name="Hyperlink" xfId="20840" builtinId="8" hidden="1"/>
    <cellStyle name="Hyperlink" xfId="20842" builtinId="8" hidden="1"/>
    <cellStyle name="Hyperlink" xfId="20844" builtinId="8" hidden="1"/>
    <cellStyle name="Hyperlink" xfId="20894" builtinId="8" hidden="1"/>
    <cellStyle name="Hyperlink" xfId="20896" builtinId="8" hidden="1"/>
    <cellStyle name="Hyperlink" xfId="20898" builtinId="8" hidden="1"/>
    <cellStyle name="Hyperlink" xfId="20900" builtinId="8" hidden="1"/>
    <cellStyle name="Hyperlink" xfId="20890" builtinId="8" hidden="1"/>
    <cellStyle name="Hyperlink" xfId="20880" builtinId="8" hidden="1"/>
    <cellStyle name="Hyperlink" xfId="20902" builtinId="8" hidden="1"/>
    <cellStyle name="Hyperlink" xfId="20904" builtinId="8" hidden="1"/>
    <cellStyle name="Hyperlink" xfId="20906" builtinId="8" hidden="1"/>
    <cellStyle name="Hyperlink" xfId="20908" builtinId="8" hidden="1"/>
    <cellStyle name="Hyperlink" xfId="20874" builtinId="8" hidden="1"/>
    <cellStyle name="Hyperlink" xfId="20860" builtinId="8" hidden="1"/>
    <cellStyle name="Hyperlink" xfId="20910" builtinId="8" hidden="1"/>
    <cellStyle name="Hyperlink" xfId="20912" builtinId="8" hidden="1"/>
    <cellStyle name="Hyperlink" xfId="20914" builtinId="8" hidden="1"/>
    <cellStyle name="Hyperlink" xfId="20916" builtinId="8" hidden="1"/>
    <cellStyle name="Hyperlink" xfId="20879" builtinId="8" hidden="1"/>
    <cellStyle name="Hyperlink" xfId="20848" builtinId="8" hidden="1"/>
    <cellStyle name="Hyperlink" xfId="20918" builtinId="8" hidden="1"/>
    <cellStyle name="Hyperlink" xfId="20920" builtinId="8" hidden="1"/>
    <cellStyle name="Hyperlink" xfId="20922" builtinId="8" hidden="1"/>
    <cellStyle name="Hyperlink" xfId="20924" builtinId="8" hidden="1"/>
    <cellStyle name="Hyperlink" xfId="20849" builtinId="8" hidden="1"/>
    <cellStyle name="Hyperlink" xfId="20882" builtinId="8" hidden="1"/>
    <cellStyle name="Hyperlink" xfId="20926" builtinId="8" hidden="1"/>
    <cellStyle name="Hyperlink" xfId="20928" builtinId="8" hidden="1"/>
    <cellStyle name="Hyperlink" xfId="20930" builtinId="8" hidden="1"/>
    <cellStyle name="Hyperlink" xfId="20932" builtinId="8" hidden="1"/>
    <cellStyle name="Hyperlink" xfId="20851" builtinId="8" hidden="1"/>
    <cellStyle name="Hyperlink" xfId="20892" builtinId="8" hidden="1"/>
    <cellStyle name="Hyperlink" xfId="20934" builtinId="8" hidden="1"/>
    <cellStyle name="Hyperlink" xfId="20936" builtinId="8" hidden="1"/>
    <cellStyle name="Hyperlink" xfId="20938" builtinId="8" hidden="1"/>
    <cellStyle name="Hyperlink" xfId="20940" builtinId="8" hidden="1"/>
    <cellStyle name="Hyperlink" xfId="20872" builtinId="8" hidden="1"/>
    <cellStyle name="Hyperlink" xfId="20875" builtinId="8" hidden="1"/>
    <cellStyle name="Hyperlink" xfId="20942" builtinId="8" hidden="1"/>
    <cellStyle name="Hyperlink" xfId="20944" builtinId="8" hidden="1"/>
    <cellStyle name="Hyperlink" xfId="20946" builtinId="8" hidden="1"/>
    <cellStyle name="Hyperlink" xfId="20948" builtinId="8" hidden="1"/>
    <cellStyle name="Hyperlink" xfId="20876" builtinId="8" hidden="1"/>
    <cellStyle name="Hyperlink" xfId="20873" builtinId="8" hidden="1"/>
    <cellStyle name="Hyperlink" xfId="20950" builtinId="8" hidden="1"/>
    <cellStyle name="Hyperlink" xfId="20952" builtinId="8" hidden="1"/>
    <cellStyle name="Hyperlink" xfId="20954" builtinId="8" hidden="1"/>
    <cellStyle name="Hyperlink" xfId="20956" builtinId="8" hidden="1"/>
    <cellStyle name="Hyperlink" xfId="20891" builtinId="8" hidden="1"/>
    <cellStyle name="Hyperlink" xfId="20868" builtinId="8" hidden="1"/>
    <cellStyle name="Hyperlink" xfId="20958" builtinId="8" hidden="1"/>
    <cellStyle name="Hyperlink" xfId="20960" builtinId="8" hidden="1"/>
    <cellStyle name="Hyperlink" xfId="20962" builtinId="8" hidden="1"/>
    <cellStyle name="Hyperlink" xfId="20964" builtinId="8" hidden="1"/>
    <cellStyle name="Hyperlink" xfId="20846" builtinId="8" hidden="1"/>
    <cellStyle name="Hyperlink" xfId="20847" builtinId="8" hidden="1"/>
    <cellStyle name="Hyperlink" xfId="20966" builtinId="8" hidden="1"/>
    <cellStyle name="Hyperlink" xfId="20968" builtinId="8" hidden="1"/>
    <cellStyle name="Hyperlink" xfId="20970" builtinId="8" hidden="1"/>
    <cellStyle name="Hyperlink" xfId="20972" builtinId="8" hidden="1"/>
    <cellStyle name="Hyperlink" xfId="20852" builtinId="8" hidden="1"/>
    <cellStyle name="Hyperlink" xfId="20888" builtinId="8" hidden="1"/>
    <cellStyle name="Hyperlink" xfId="20974" builtinId="8" hidden="1"/>
    <cellStyle name="Hyperlink" xfId="20976" builtinId="8" hidden="1"/>
    <cellStyle name="Hyperlink" xfId="20978" builtinId="8" hidden="1"/>
    <cellStyle name="Hyperlink" xfId="20980" builtinId="8" hidden="1"/>
    <cellStyle name="Hyperlink" xfId="20857" builtinId="8" hidden="1"/>
    <cellStyle name="Hyperlink" xfId="20877" builtinId="8" hidden="1"/>
    <cellStyle name="Hyperlink" xfId="20982" builtinId="8" hidden="1"/>
    <cellStyle name="Hyperlink" xfId="20984" builtinId="8" hidden="1"/>
    <cellStyle name="Hyperlink" xfId="20986" builtinId="8" hidden="1"/>
    <cellStyle name="Hyperlink" xfId="20988" builtinId="8" hidden="1"/>
    <cellStyle name="Hyperlink" xfId="20864" builtinId="8" hidden="1"/>
    <cellStyle name="Hyperlink" xfId="20862" builtinId="8" hidden="1"/>
    <cellStyle name="Hyperlink" xfId="20990" builtinId="8" hidden="1"/>
    <cellStyle name="Hyperlink" xfId="20992" builtinId="8" hidden="1"/>
    <cellStyle name="Hyperlink" xfId="20994" builtinId="8" hidden="1"/>
    <cellStyle name="Hyperlink" xfId="20996" builtinId="8" hidden="1"/>
    <cellStyle name="Hyperlink" xfId="19477" builtinId="8" hidden="1"/>
    <cellStyle name="Hyperlink" xfId="19361" builtinId="8" hidden="1"/>
    <cellStyle name="Hyperlink" xfId="20333" builtinId="8" hidden="1"/>
    <cellStyle name="Hyperlink" xfId="19342" builtinId="8" hidden="1"/>
    <cellStyle name="Hyperlink" xfId="19400" builtinId="8" hidden="1"/>
    <cellStyle name="Hyperlink" xfId="19435" builtinId="8" hidden="1"/>
    <cellStyle name="Hyperlink" xfId="19991" builtinId="8" hidden="1"/>
    <cellStyle name="Hyperlink" xfId="19357" builtinId="8" hidden="1"/>
    <cellStyle name="Hyperlink" xfId="20999" builtinId="8" hidden="1"/>
    <cellStyle name="Hyperlink" xfId="21001" builtinId="8" hidden="1"/>
    <cellStyle name="Hyperlink" xfId="21003" builtinId="8" hidden="1"/>
    <cellStyle name="Hyperlink" xfId="21005" builtinId="8" hidden="1"/>
    <cellStyle name="Hyperlink" xfId="21007" builtinId="8" hidden="1"/>
    <cellStyle name="Hyperlink" xfId="21009" builtinId="8" hidden="1"/>
    <cellStyle name="Hyperlink" xfId="21059" builtinId="8" hidden="1"/>
    <cellStyle name="Hyperlink" xfId="21061" builtinId="8" hidden="1"/>
    <cellStyle name="Hyperlink" xfId="21063" builtinId="8" hidden="1"/>
    <cellStyle name="Hyperlink" xfId="21065" builtinId="8" hidden="1"/>
    <cellStyle name="Hyperlink" xfId="21055" builtinId="8" hidden="1"/>
    <cellStyle name="Hyperlink" xfId="21045" builtinId="8" hidden="1"/>
    <cellStyle name="Hyperlink" xfId="21067" builtinId="8" hidden="1"/>
    <cellStyle name="Hyperlink" xfId="21069" builtinId="8" hidden="1"/>
    <cellStyle name="Hyperlink" xfId="21071" builtinId="8" hidden="1"/>
    <cellStyle name="Hyperlink" xfId="21073" builtinId="8" hidden="1"/>
    <cellStyle name="Hyperlink" xfId="21039" builtinId="8" hidden="1"/>
    <cellStyle name="Hyperlink" xfId="21025" builtinId="8" hidden="1"/>
    <cellStyle name="Hyperlink" xfId="21075" builtinId="8" hidden="1"/>
    <cellStyle name="Hyperlink" xfId="21077" builtinId="8" hidden="1"/>
    <cellStyle name="Hyperlink" xfId="21079" builtinId="8" hidden="1"/>
    <cellStyle name="Hyperlink" xfId="21081" builtinId="8" hidden="1"/>
    <cellStyle name="Hyperlink" xfId="21044" builtinId="8" hidden="1"/>
    <cellStyle name="Hyperlink" xfId="21013" builtinId="8" hidden="1"/>
    <cellStyle name="Hyperlink" xfId="21083" builtinId="8" hidden="1"/>
    <cellStyle name="Hyperlink" xfId="21085" builtinId="8" hidden="1"/>
    <cellStyle name="Hyperlink" xfId="21087" builtinId="8" hidden="1"/>
    <cellStyle name="Hyperlink" xfId="21089" builtinId="8" hidden="1"/>
    <cellStyle name="Hyperlink" xfId="21014" builtinId="8" hidden="1"/>
    <cellStyle name="Hyperlink" xfId="21047" builtinId="8" hidden="1"/>
    <cellStyle name="Hyperlink" xfId="21091" builtinId="8" hidden="1"/>
    <cellStyle name="Hyperlink" xfId="21093" builtinId="8" hidden="1"/>
    <cellStyle name="Hyperlink" xfId="21095" builtinId="8" hidden="1"/>
    <cellStyle name="Hyperlink" xfId="21097" builtinId="8" hidden="1"/>
    <cellStyle name="Hyperlink" xfId="21016" builtinId="8" hidden="1"/>
    <cellStyle name="Hyperlink" xfId="21057" builtinId="8" hidden="1"/>
    <cellStyle name="Hyperlink" xfId="21099" builtinId="8" hidden="1"/>
    <cellStyle name="Hyperlink" xfId="21101" builtinId="8" hidden="1"/>
    <cellStyle name="Hyperlink" xfId="21103" builtinId="8" hidden="1"/>
    <cellStyle name="Hyperlink" xfId="21105" builtinId="8" hidden="1"/>
    <cellStyle name="Hyperlink" xfId="21037" builtinId="8" hidden="1"/>
    <cellStyle name="Hyperlink" xfId="21040" builtinId="8" hidden="1"/>
    <cellStyle name="Hyperlink" xfId="21107" builtinId="8" hidden="1"/>
    <cellStyle name="Hyperlink" xfId="21109" builtinId="8" hidden="1"/>
    <cellStyle name="Hyperlink" xfId="21111" builtinId="8" hidden="1"/>
    <cellStyle name="Hyperlink" xfId="21113" builtinId="8" hidden="1"/>
    <cellStyle name="Hyperlink" xfId="21041" builtinId="8" hidden="1"/>
    <cellStyle name="Hyperlink" xfId="21038" builtinId="8" hidden="1"/>
    <cellStyle name="Hyperlink" xfId="21115" builtinId="8" hidden="1"/>
    <cellStyle name="Hyperlink" xfId="21117" builtinId="8" hidden="1"/>
    <cellStyle name="Hyperlink" xfId="21119" builtinId="8" hidden="1"/>
    <cellStyle name="Hyperlink" xfId="21121" builtinId="8" hidden="1"/>
    <cellStyle name="Hyperlink" xfId="21056" builtinId="8" hidden="1"/>
    <cellStyle name="Hyperlink" xfId="21033" builtinId="8" hidden="1"/>
    <cellStyle name="Hyperlink" xfId="21123" builtinId="8" hidden="1"/>
    <cellStyle name="Hyperlink" xfId="21125" builtinId="8" hidden="1"/>
    <cellStyle name="Hyperlink" xfId="21127" builtinId="8" hidden="1"/>
    <cellStyle name="Hyperlink" xfId="21129" builtinId="8" hidden="1"/>
    <cellStyle name="Hyperlink" xfId="21011" builtinId="8" hidden="1"/>
    <cellStyle name="Hyperlink" xfId="21012" builtinId="8" hidden="1"/>
    <cellStyle name="Hyperlink" xfId="21131" builtinId="8" hidden="1"/>
    <cellStyle name="Hyperlink" xfId="21133" builtinId="8" hidden="1"/>
    <cellStyle name="Hyperlink" xfId="21135" builtinId="8" hidden="1"/>
    <cellStyle name="Hyperlink" xfId="21137" builtinId="8" hidden="1"/>
    <cellStyle name="Hyperlink" xfId="21017" builtinId="8" hidden="1"/>
    <cellStyle name="Hyperlink" xfId="21053" builtinId="8" hidden="1"/>
    <cellStyle name="Hyperlink" xfId="21139" builtinId="8" hidden="1"/>
    <cellStyle name="Hyperlink" xfId="21141" builtinId="8" hidden="1"/>
    <cellStyle name="Hyperlink" xfId="21143" builtinId="8" hidden="1"/>
    <cellStyle name="Hyperlink" xfId="21145" builtinId="8" hidden="1"/>
    <cellStyle name="Hyperlink" xfId="21022" builtinId="8" hidden="1"/>
    <cellStyle name="Hyperlink" xfId="21042" builtinId="8" hidden="1"/>
    <cellStyle name="Hyperlink" xfId="21147" builtinId="8" hidden="1"/>
    <cellStyle name="Hyperlink" xfId="21149" builtinId="8" hidden="1"/>
    <cellStyle name="Hyperlink" xfId="21151" builtinId="8" hidden="1"/>
    <cellStyle name="Hyperlink" xfId="21153" builtinId="8" hidden="1"/>
    <cellStyle name="Hyperlink" xfId="21029" builtinId="8" hidden="1"/>
    <cellStyle name="Hyperlink" xfId="21027" builtinId="8" hidden="1"/>
    <cellStyle name="Hyperlink" xfId="21155" builtinId="8" hidden="1"/>
    <cellStyle name="Hyperlink" xfId="21157" builtinId="8" hidden="1"/>
    <cellStyle name="Hyperlink" xfId="21159" builtinId="8" hidden="1"/>
    <cellStyle name="Hyperlink" xfId="21161" builtinId="8" hidden="1"/>
    <cellStyle name="Hyperlink" xfId="19661" builtinId="8" hidden="1"/>
    <cellStyle name="Hyperlink" xfId="19820" builtinId="8" hidden="1"/>
    <cellStyle name="Hyperlink" xfId="20500" builtinId="8" hidden="1"/>
    <cellStyle name="Hyperlink" xfId="19822" builtinId="8" hidden="1"/>
    <cellStyle name="Hyperlink" xfId="19479" builtinId="8" hidden="1"/>
    <cellStyle name="Hyperlink" xfId="19429" builtinId="8" hidden="1"/>
    <cellStyle name="Hyperlink" xfId="20161" builtinId="8" hidden="1"/>
    <cellStyle name="Hyperlink" xfId="19447" builtinId="8" hidden="1"/>
    <cellStyle name="Hyperlink" xfId="21164" builtinId="8" hidden="1"/>
    <cellStyle name="Hyperlink" xfId="21166" builtinId="8" hidden="1"/>
    <cellStyle name="Hyperlink" xfId="21168" builtinId="8" hidden="1"/>
    <cellStyle name="Hyperlink" xfId="21170" builtinId="8" hidden="1"/>
    <cellStyle name="Hyperlink" xfId="21172" builtinId="8" hidden="1"/>
    <cellStyle name="Hyperlink" xfId="21174" builtinId="8" hidden="1"/>
    <cellStyle name="Hyperlink" xfId="21224" builtinId="8" hidden="1"/>
    <cellStyle name="Hyperlink" xfId="21226" builtinId="8" hidden="1"/>
    <cellStyle name="Hyperlink" xfId="21228" builtinId="8" hidden="1"/>
    <cellStyle name="Hyperlink" xfId="21230" builtinId="8" hidden="1"/>
    <cellStyle name="Hyperlink" xfId="21220" builtinId="8" hidden="1"/>
    <cellStyle name="Hyperlink" xfId="21210" builtinId="8" hidden="1"/>
    <cellStyle name="Hyperlink" xfId="21232" builtinId="8" hidden="1"/>
    <cellStyle name="Hyperlink" xfId="21234" builtinId="8" hidden="1"/>
    <cellStyle name="Hyperlink" xfId="21236" builtinId="8" hidden="1"/>
    <cellStyle name="Hyperlink" xfId="21238" builtinId="8" hidden="1"/>
    <cellStyle name="Hyperlink" xfId="21204" builtinId="8" hidden="1"/>
    <cellStyle name="Hyperlink" xfId="21190" builtinId="8" hidden="1"/>
    <cellStyle name="Hyperlink" xfId="21240" builtinId="8" hidden="1"/>
    <cellStyle name="Hyperlink" xfId="21242" builtinId="8" hidden="1"/>
    <cellStyle name="Hyperlink" xfId="21244" builtinId="8" hidden="1"/>
    <cellStyle name="Hyperlink" xfId="21246" builtinId="8" hidden="1"/>
    <cellStyle name="Hyperlink" xfId="21209" builtinId="8" hidden="1"/>
    <cellStyle name="Hyperlink" xfId="21178" builtinId="8" hidden="1"/>
    <cellStyle name="Hyperlink" xfId="21248" builtinId="8" hidden="1"/>
    <cellStyle name="Hyperlink" xfId="21250" builtinId="8" hidden="1"/>
    <cellStyle name="Hyperlink" xfId="21252" builtinId="8" hidden="1"/>
    <cellStyle name="Hyperlink" xfId="21254" builtinId="8" hidden="1"/>
    <cellStyle name="Hyperlink" xfId="21179" builtinId="8" hidden="1"/>
    <cellStyle name="Hyperlink" xfId="21212" builtinId="8" hidden="1"/>
    <cellStyle name="Hyperlink" xfId="21256" builtinId="8" hidden="1"/>
    <cellStyle name="Hyperlink" xfId="21258" builtinId="8" hidden="1"/>
    <cellStyle name="Hyperlink" xfId="21260" builtinId="8" hidden="1"/>
    <cellStyle name="Hyperlink" xfId="21262" builtinId="8" hidden="1"/>
    <cellStyle name="Hyperlink" xfId="21181" builtinId="8" hidden="1"/>
    <cellStyle name="Hyperlink" xfId="21222" builtinId="8" hidden="1"/>
    <cellStyle name="Hyperlink" xfId="21264" builtinId="8" hidden="1"/>
    <cellStyle name="Hyperlink" xfId="21266" builtinId="8" hidden="1"/>
    <cellStyle name="Hyperlink" xfId="21268" builtinId="8" hidden="1"/>
    <cellStyle name="Hyperlink" xfId="21270" builtinId="8" hidden="1"/>
    <cellStyle name="Hyperlink" xfId="21202" builtinId="8" hidden="1"/>
    <cellStyle name="Hyperlink" xfId="21205" builtinId="8" hidden="1"/>
    <cellStyle name="Hyperlink" xfId="21272" builtinId="8" hidden="1"/>
    <cellStyle name="Hyperlink" xfId="21274" builtinId="8" hidden="1"/>
    <cellStyle name="Hyperlink" xfId="21276" builtinId="8" hidden="1"/>
    <cellStyle name="Hyperlink" xfId="21278" builtinId="8" hidden="1"/>
    <cellStyle name="Hyperlink" xfId="21206" builtinId="8" hidden="1"/>
    <cellStyle name="Hyperlink" xfId="21203" builtinId="8" hidden="1"/>
    <cellStyle name="Hyperlink" xfId="21280" builtinId="8" hidden="1"/>
    <cellStyle name="Hyperlink" xfId="21282" builtinId="8" hidden="1"/>
    <cellStyle name="Hyperlink" xfId="21284" builtinId="8" hidden="1"/>
    <cellStyle name="Hyperlink" xfId="21286" builtinId="8" hidden="1"/>
    <cellStyle name="Hyperlink" xfId="21221" builtinId="8" hidden="1"/>
    <cellStyle name="Hyperlink" xfId="21198" builtinId="8" hidden="1"/>
    <cellStyle name="Hyperlink" xfId="21288" builtinId="8" hidden="1"/>
    <cellStyle name="Hyperlink" xfId="21290" builtinId="8" hidden="1"/>
    <cellStyle name="Hyperlink" xfId="21292" builtinId="8" hidden="1"/>
    <cellStyle name="Hyperlink" xfId="21294" builtinId="8" hidden="1"/>
    <cellStyle name="Hyperlink" xfId="21176" builtinId="8" hidden="1"/>
    <cellStyle name="Hyperlink" xfId="21177" builtinId="8" hidden="1"/>
    <cellStyle name="Hyperlink" xfId="21296" builtinId="8" hidden="1"/>
    <cellStyle name="Hyperlink" xfId="21298" builtinId="8" hidden="1"/>
    <cellStyle name="Hyperlink" xfId="21300" builtinId="8" hidden="1"/>
    <cellStyle name="Hyperlink" xfId="21302" builtinId="8" hidden="1"/>
    <cellStyle name="Hyperlink" xfId="21182" builtinId="8" hidden="1"/>
    <cellStyle name="Hyperlink" xfId="21218" builtinId="8" hidden="1"/>
    <cellStyle name="Hyperlink" xfId="21304" builtinId="8" hidden="1"/>
    <cellStyle name="Hyperlink" xfId="21306" builtinId="8" hidden="1"/>
    <cellStyle name="Hyperlink" xfId="21308" builtinId="8" hidden="1"/>
    <cellStyle name="Hyperlink" xfId="21310" builtinId="8" hidden="1"/>
    <cellStyle name="Hyperlink" xfId="21187" builtinId="8" hidden="1"/>
    <cellStyle name="Hyperlink" xfId="21207" builtinId="8" hidden="1"/>
    <cellStyle name="Hyperlink" xfId="21312" builtinId="8" hidden="1"/>
    <cellStyle name="Hyperlink" xfId="21314" builtinId="8" hidden="1"/>
    <cellStyle name="Hyperlink" xfId="21316" builtinId="8" hidden="1"/>
    <cellStyle name="Hyperlink" xfId="21318" builtinId="8" hidden="1"/>
    <cellStyle name="Hyperlink" xfId="21194" builtinId="8" hidden="1"/>
    <cellStyle name="Hyperlink" xfId="21192" builtinId="8" hidden="1"/>
    <cellStyle name="Hyperlink" xfId="21320" builtinId="8" hidden="1"/>
    <cellStyle name="Hyperlink" xfId="21322" builtinId="8" hidden="1"/>
    <cellStyle name="Hyperlink" xfId="21324" builtinId="8" hidden="1"/>
    <cellStyle name="Hyperlink" xfId="21326" builtinId="8" hidden="1"/>
    <cellStyle name="Hyperlink" xfId="19363" builtinId="8" hidden="1"/>
    <cellStyle name="Hyperlink" xfId="19452" builtinId="8" hidden="1"/>
    <cellStyle name="Hyperlink" xfId="20667" builtinId="8" hidden="1"/>
    <cellStyle name="Hyperlink" xfId="19992" builtinId="8" hidden="1"/>
    <cellStyle name="Hyperlink" xfId="19481" builtinId="8" hidden="1"/>
    <cellStyle name="Hyperlink" xfId="19392" builtinId="8" hidden="1"/>
    <cellStyle name="Hyperlink" xfId="20330" builtinId="8" hidden="1"/>
    <cellStyle name="Hyperlink" xfId="19483" builtinId="8" hidden="1"/>
    <cellStyle name="Hyperlink" xfId="21328" builtinId="8" hidden="1"/>
    <cellStyle name="Hyperlink" xfId="21330" builtinId="8" hidden="1"/>
    <cellStyle name="Hyperlink" xfId="21332" builtinId="8" hidden="1"/>
    <cellStyle name="Hyperlink" xfId="21334" builtinId="8" hidden="1"/>
    <cellStyle name="Hyperlink" xfId="21336" builtinId="8" hidden="1"/>
    <cellStyle name="Hyperlink" xfId="21338" builtinId="8" hidden="1"/>
    <cellStyle name="Hyperlink" xfId="21388" builtinId="8" hidden="1"/>
    <cellStyle name="Hyperlink" xfId="21390" builtinId="8" hidden="1"/>
    <cellStyle name="Hyperlink" xfId="21392" builtinId="8" hidden="1"/>
    <cellStyle name="Hyperlink" xfId="21394" builtinId="8" hidden="1"/>
    <cellStyle name="Hyperlink" xfId="21384" builtinId="8" hidden="1"/>
    <cellStyle name="Hyperlink" xfId="21374" builtinId="8" hidden="1"/>
    <cellStyle name="Hyperlink" xfId="21396" builtinId="8" hidden="1"/>
    <cellStyle name="Hyperlink" xfId="21398" builtinId="8" hidden="1"/>
    <cellStyle name="Hyperlink" xfId="21400" builtinId="8" hidden="1"/>
    <cellStyle name="Hyperlink" xfId="21402" builtinId="8" hidden="1"/>
    <cellStyle name="Hyperlink" xfId="21368" builtinId="8" hidden="1"/>
    <cellStyle name="Hyperlink" xfId="21354" builtinId="8" hidden="1"/>
    <cellStyle name="Hyperlink" xfId="21404" builtinId="8" hidden="1"/>
    <cellStyle name="Hyperlink" xfId="21406" builtinId="8" hidden="1"/>
    <cellStyle name="Hyperlink" xfId="21408" builtinId="8" hidden="1"/>
    <cellStyle name="Hyperlink" xfId="21410" builtinId="8" hidden="1"/>
    <cellStyle name="Hyperlink" xfId="21373" builtinId="8" hidden="1"/>
    <cellStyle name="Hyperlink" xfId="21342" builtinId="8" hidden="1"/>
    <cellStyle name="Hyperlink" xfId="21412" builtinId="8" hidden="1"/>
    <cellStyle name="Hyperlink" xfId="21414" builtinId="8" hidden="1"/>
    <cellStyle name="Hyperlink" xfId="21416" builtinId="8" hidden="1"/>
    <cellStyle name="Hyperlink" xfId="21418" builtinId="8" hidden="1"/>
    <cellStyle name="Hyperlink" xfId="21343" builtinId="8" hidden="1"/>
    <cellStyle name="Hyperlink" xfId="21376" builtinId="8" hidden="1"/>
    <cellStyle name="Hyperlink" xfId="21420" builtinId="8" hidden="1"/>
    <cellStyle name="Hyperlink" xfId="21422" builtinId="8" hidden="1"/>
    <cellStyle name="Hyperlink" xfId="21424" builtinId="8" hidden="1"/>
    <cellStyle name="Hyperlink" xfId="21426" builtinId="8" hidden="1"/>
    <cellStyle name="Hyperlink" xfId="21345" builtinId="8" hidden="1"/>
    <cellStyle name="Hyperlink" xfId="21386" builtinId="8" hidden="1"/>
    <cellStyle name="Hyperlink" xfId="21428" builtinId="8" hidden="1"/>
    <cellStyle name="Hyperlink" xfId="21430" builtinId="8" hidden="1"/>
    <cellStyle name="Hyperlink" xfId="21432" builtinId="8" hidden="1"/>
    <cellStyle name="Hyperlink" xfId="21434" builtinId="8" hidden="1"/>
    <cellStyle name="Hyperlink" xfId="21366" builtinId="8" hidden="1"/>
    <cellStyle name="Hyperlink" xfId="21369" builtinId="8" hidden="1"/>
    <cellStyle name="Hyperlink" xfId="21436" builtinId="8" hidden="1"/>
    <cellStyle name="Hyperlink" xfId="21438" builtinId="8" hidden="1"/>
    <cellStyle name="Hyperlink" xfId="21440" builtinId="8" hidden="1"/>
    <cellStyle name="Hyperlink" xfId="21442" builtinId="8" hidden="1"/>
    <cellStyle name="Hyperlink" xfId="21370" builtinId="8" hidden="1"/>
    <cellStyle name="Hyperlink" xfId="21367" builtinId="8" hidden="1"/>
    <cellStyle name="Hyperlink" xfId="21444" builtinId="8" hidden="1"/>
    <cellStyle name="Hyperlink" xfId="21446" builtinId="8" hidden="1"/>
    <cellStyle name="Hyperlink" xfId="21448" builtinId="8" hidden="1"/>
    <cellStyle name="Hyperlink" xfId="21450" builtinId="8" hidden="1"/>
    <cellStyle name="Hyperlink" xfId="21385" builtinId="8" hidden="1"/>
    <cellStyle name="Hyperlink" xfId="21362" builtinId="8" hidden="1"/>
    <cellStyle name="Hyperlink" xfId="21452" builtinId="8" hidden="1"/>
    <cellStyle name="Hyperlink" xfId="21454" builtinId="8" hidden="1"/>
    <cellStyle name="Hyperlink" xfId="21456" builtinId="8" hidden="1"/>
    <cellStyle name="Hyperlink" xfId="21458" builtinId="8" hidden="1"/>
    <cellStyle name="Hyperlink" xfId="21340" builtinId="8" hidden="1"/>
    <cellStyle name="Hyperlink" xfId="21341" builtinId="8" hidden="1"/>
    <cellStyle name="Hyperlink" xfId="21460" builtinId="8" hidden="1"/>
    <cellStyle name="Hyperlink" xfId="21462" builtinId="8" hidden="1"/>
    <cellStyle name="Hyperlink" xfId="21464" builtinId="8" hidden="1"/>
    <cellStyle name="Hyperlink" xfId="21466" builtinId="8" hidden="1"/>
    <cellStyle name="Hyperlink" xfId="21346" builtinId="8" hidden="1"/>
    <cellStyle name="Hyperlink" xfId="21382" builtinId="8" hidden="1"/>
    <cellStyle name="Hyperlink" xfId="21468" builtinId="8" hidden="1"/>
    <cellStyle name="Hyperlink" xfId="21470" builtinId="8" hidden="1"/>
    <cellStyle name="Hyperlink" xfId="21472" builtinId="8" hidden="1"/>
    <cellStyle name="Hyperlink" xfId="21474" builtinId="8" hidden="1"/>
    <cellStyle name="Hyperlink" xfId="21351" builtinId="8" hidden="1"/>
    <cellStyle name="Hyperlink" xfId="21371" builtinId="8" hidden="1"/>
    <cellStyle name="Hyperlink" xfId="21476" builtinId="8" hidden="1"/>
    <cellStyle name="Hyperlink" xfId="21478" builtinId="8" hidden="1"/>
    <cellStyle name="Hyperlink" xfId="21480" builtinId="8" hidden="1"/>
    <cellStyle name="Hyperlink" xfId="21482" builtinId="8" hidden="1"/>
    <cellStyle name="Hyperlink" xfId="21358" builtinId="8" hidden="1"/>
    <cellStyle name="Hyperlink" xfId="21356" builtinId="8" hidden="1"/>
    <cellStyle name="Hyperlink" xfId="21484" builtinId="8" hidden="1"/>
    <cellStyle name="Hyperlink" xfId="21486" builtinId="8" hidden="1"/>
    <cellStyle name="Hyperlink" xfId="21488" builtinId="8" hidden="1"/>
    <cellStyle name="Hyperlink" xfId="21490" builtinId="8" hidden="1"/>
    <cellStyle name="Hyperlink" xfId="19154" builtinId="8" hidden="1"/>
    <cellStyle name="Hyperlink" xfId="19020" builtinId="8" hidden="1"/>
    <cellStyle name="Hyperlink" xfId="19051" builtinId="8" hidden="1"/>
    <cellStyle name="Hyperlink" xfId="19015" builtinId="8" hidden="1"/>
    <cellStyle name="Hyperlink" xfId="19131" builtinId="8" hidden="1"/>
    <cellStyle name="Hyperlink" xfId="19151" builtinId="8" hidden="1"/>
    <cellStyle name="Hyperlink" xfId="19113" builtinId="8" hidden="1"/>
    <cellStyle name="Hyperlink" xfId="19055" builtinId="8" hidden="1"/>
    <cellStyle name="Hyperlink" xfId="19112" builtinId="8" hidden="1"/>
    <cellStyle name="Hyperlink" xfId="19053" builtinId="8" hidden="1"/>
    <cellStyle name="Hyperlink" xfId="19086" builtinId="8" hidden="1"/>
    <cellStyle name="Hyperlink" xfId="19105" builtinId="8" hidden="1"/>
    <cellStyle name="Hyperlink" xfId="19021" builtinId="8" hidden="1"/>
    <cellStyle name="Hyperlink" xfId="19133" builtinId="8" hidden="1"/>
    <cellStyle name="Hyperlink" xfId="21497" builtinId="8" hidden="1"/>
    <cellStyle name="Hyperlink" xfId="21499" builtinId="8" hidden="1"/>
    <cellStyle name="Hyperlink" xfId="21501" builtinId="8" hidden="1"/>
    <cellStyle name="Hyperlink" xfId="21503" builtinId="8" hidden="1"/>
    <cellStyle name="Hyperlink" xfId="21505" builtinId="8" hidden="1"/>
    <cellStyle name="Hyperlink" xfId="21507" builtinId="8" hidden="1"/>
    <cellStyle name="Hyperlink" xfId="21557" builtinId="8" hidden="1"/>
    <cellStyle name="Hyperlink" xfId="21559" builtinId="8" hidden="1"/>
    <cellStyle name="Hyperlink" xfId="21561" builtinId="8" hidden="1"/>
    <cellStyle name="Hyperlink" xfId="21563" builtinId="8" hidden="1"/>
    <cellStyle name="Hyperlink" xfId="21553" builtinId="8" hidden="1"/>
    <cellStyle name="Hyperlink" xfId="21543" builtinId="8" hidden="1"/>
    <cellStyle name="Hyperlink" xfId="21565" builtinId="8" hidden="1"/>
    <cellStyle name="Hyperlink" xfId="21567" builtinId="8" hidden="1"/>
    <cellStyle name="Hyperlink" xfId="21569" builtinId="8" hidden="1"/>
    <cellStyle name="Hyperlink" xfId="21571" builtinId="8" hidden="1"/>
    <cellStyle name="Hyperlink" xfId="21537" builtinId="8" hidden="1"/>
    <cellStyle name="Hyperlink" xfId="21523" builtinId="8" hidden="1"/>
    <cellStyle name="Hyperlink" xfId="21573" builtinId="8" hidden="1"/>
    <cellStyle name="Hyperlink" xfId="21575" builtinId="8" hidden="1"/>
    <cellStyle name="Hyperlink" xfId="21577" builtinId="8" hidden="1"/>
    <cellStyle name="Hyperlink" xfId="21579" builtinId="8" hidden="1"/>
    <cellStyle name="Hyperlink" xfId="21542" builtinId="8" hidden="1"/>
    <cellStyle name="Hyperlink" xfId="21511" builtinId="8" hidden="1"/>
    <cellStyle name="Hyperlink" xfId="21581" builtinId="8" hidden="1"/>
    <cellStyle name="Hyperlink" xfId="21583" builtinId="8" hidden="1"/>
    <cellStyle name="Hyperlink" xfId="21585" builtinId="8" hidden="1"/>
    <cellStyle name="Hyperlink" xfId="21587" builtinId="8" hidden="1"/>
    <cellStyle name="Hyperlink" xfId="21512" builtinId="8" hidden="1"/>
    <cellStyle name="Hyperlink" xfId="21545" builtinId="8" hidden="1"/>
    <cellStyle name="Hyperlink" xfId="21589" builtinId="8" hidden="1"/>
    <cellStyle name="Hyperlink" xfId="21591" builtinId="8" hidden="1"/>
    <cellStyle name="Hyperlink" xfId="21593" builtinId="8" hidden="1"/>
    <cellStyle name="Hyperlink" xfId="21595" builtinId="8" hidden="1"/>
    <cellStyle name="Hyperlink" xfId="21514" builtinId="8" hidden="1"/>
    <cellStyle name="Hyperlink" xfId="21555" builtinId="8" hidden="1"/>
    <cellStyle name="Hyperlink" xfId="21597" builtinId="8" hidden="1"/>
    <cellStyle name="Hyperlink" xfId="21599" builtinId="8" hidden="1"/>
    <cellStyle name="Hyperlink" xfId="21601" builtinId="8" hidden="1"/>
    <cellStyle name="Hyperlink" xfId="21603" builtinId="8" hidden="1"/>
    <cellStyle name="Hyperlink" xfId="21535" builtinId="8" hidden="1"/>
    <cellStyle name="Hyperlink" xfId="21538" builtinId="8" hidden="1"/>
    <cellStyle name="Hyperlink" xfId="21605" builtinId="8" hidden="1"/>
    <cellStyle name="Hyperlink" xfId="21607" builtinId="8" hidden="1"/>
    <cellStyle name="Hyperlink" xfId="21609" builtinId="8" hidden="1"/>
    <cellStyle name="Hyperlink" xfId="21611" builtinId="8" hidden="1"/>
    <cellStyle name="Hyperlink" xfId="21539" builtinId="8" hidden="1"/>
    <cellStyle name="Hyperlink" xfId="21536" builtinId="8" hidden="1"/>
    <cellStyle name="Hyperlink" xfId="21613" builtinId="8" hidden="1"/>
    <cellStyle name="Hyperlink" xfId="21615" builtinId="8" hidden="1"/>
    <cellStyle name="Hyperlink" xfId="21617" builtinId="8" hidden="1"/>
    <cellStyle name="Hyperlink" xfId="21619" builtinId="8" hidden="1"/>
    <cellStyle name="Hyperlink" xfId="21554" builtinId="8" hidden="1"/>
    <cellStyle name="Hyperlink" xfId="21531" builtinId="8" hidden="1"/>
    <cellStyle name="Hyperlink" xfId="21621" builtinId="8" hidden="1"/>
    <cellStyle name="Hyperlink" xfId="21623" builtinId="8" hidden="1"/>
    <cellStyle name="Hyperlink" xfId="21625" builtinId="8" hidden="1"/>
    <cellStyle name="Hyperlink" xfId="21627" builtinId="8" hidden="1"/>
    <cellStyle name="Hyperlink" xfId="21509" builtinId="8" hidden="1"/>
    <cellStyle name="Hyperlink" xfId="21510" builtinId="8" hidden="1"/>
    <cellStyle name="Hyperlink" xfId="21629" builtinId="8" hidden="1"/>
    <cellStyle name="Hyperlink" xfId="21631" builtinId="8" hidden="1"/>
    <cellStyle name="Hyperlink" xfId="21633" builtinId="8" hidden="1"/>
    <cellStyle name="Hyperlink" xfId="21635" builtinId="8" hidden="1"/>
    <cellStyle name="Hyperlink" xfId="21515" builtinId="8" hidden="1"/>
    <cellStyle name="Hyperlink" xfId="21551" builtinId="8" hidden="1"/>
    <cellStyle name="Hyperlink" xfId="21637" builtinId="8" hidden="1"/>
    <cellStyle name="Hyperlink" xfId="21639" builtinId="8" hidden="1"/>
    <cellStyle name="Hyperlink" xfId="21641" builtinId="8" hidden="1"/>
    <cellStyle name="Hyperlink" xfId="21643" builtinId="8" hidden="1"/>
    <cellStyle name="Hyperlink" xfId="21520" builtinId="8" hidden="1"/>
    <cellStyle name="Hyperlink" xfId="21540" builtinId="8" hidden="1"/>
    <cellStyle name="Hyperlink" xfId="21645" builtinId="8" hidden="1"/>
    <cellStyle name="Hyperlink" xfId="21647" builtinId="8" hidden="1"/>
    <cellStyle name="Hyperlink" xfId="21649" builtinId="8" hidden="1"/>
    <cellStyle name="Hyperlink" xfId="21651" builtinId="8" hidden="1"/>
    <cellStyle name="Hyperlink" xfId="21527" builtinId="8" hidden="1"/>
    <cellStyle name="Hyperlink" xfId="21525" builtinId="8" hidden="1"/>
    <cellStyle name="Hyperlink" xfId="21653" builtinId="8" hidden="1"/>
    <cellStyle name="Hyperlink" xfId="21655" builtinId="8" hidden="1"/>
    <cellStyle name="Hyperlink" xfId="21657" builtinId="8" hidden="1"/>
    <cellStyle name="Hyperlink" xfId="21659" builtinId="8" hidden="1"/>
    <cellStyle name="Hyperlink" xfId="21661" builtinId="8" hidden="1"/>
    <cellStyle name="Hyperlink" xfId="21663" builtinId="8" hidden="1"/>
    <cellStyle name="Hyperlink" xfId="21729" builtinId="8" hidden="1"/>
    <cellStyle name="Hyperlink" xfId="21731" builtinId="8" hidden="1"/>
    <cellStyle name="Hyperlink" xfId="21733" builtinId="8" hidden="1"/>
    <cellStyle name="Hyperlink" xfId="21735" builtinId="8" hidden="1"/>
    <cellStyle name="Hyperlink" xfId="21738" builtinId="8" hidden="1"/>
    <cellStyle name="Hyperlink" xfId="21740" builtinId="8" hidden="1"/>
    <cellStyle name="Hyperlink" xfId="21814" builtinId="8" hidden="1"/>
    <cellStyle name="Hyperlink" xfId="21816" builtinId="8" hidden="1"/>
    <cellStyle name="Hyperlink" xfId="21818" builtinId="8" hidden="1"/>
    <cellStyle name="Hyperlink" xfId="21820" builtinId="8" hidden="1"/>
    <cellStyle name="Hyperlink" xfId="21822" builtinId="8" hidden="1"/>
    <cellStyle name="Hyperlink" xfId="21824" builtinId="8" hidden="1"/>
    <cellStyle name="Hyperlink" xfId="21874" builtinId="8" hidden="1"/>
    <cellStyle name="Hyperlink" xfId="21876" builtinId="8" hidden="1"/>
    <cellStyle name="Hyperlink" xfId="21878" builtinId="8" hidden="1"/>
    <cellStyle name="Hyperlink" xfId="21880" builtinId="8" hidden="1"/>
    <cellStyle name="Hyperlink" xfId="21870" builtinId="8" hidden="1"/>
    <cellStyle name="Hyperlink" xfId="21860" builtinId="8" hidden="1"/>
    <cellStyle name="Hyperlink" xfId="21882" builtinId="8" hidden="1"/>
    <cellStyle name="Hyperlink" xfId="21884" builtinId="8" hidden="1"/>
    <cellStyle name="Hyperlink" xfId="21886" builtinId="8" hidden="1"/>
    <cellStyle name="Hyperlink" xfId="21888" builtinId="8" hidden="1"/>
    <cellStyle name="Hyperlink" xfId="21854" builtinId="8" hidden="1"/>
    <cellStyle name="Hyperlink" xfId="21840" builtinId="8" hidden="1"/>
    <cellStyle name="Hyperlink" xfId="21890" builtinId="8" hidden="1"/>
    <cellStyle name="Hyperlink" xfId="21892" builtinId="8" hidden="1"/>
    <cellStyle name="Hyperlink" xfId="21894" builtinId="8" hidden="1"/>
    <cellStyle name="Hyperlink" xfId="21896" builtinId="8" hidden="1"/>
    <cellStyle name="Hyperlink" xfId="21859" builtinId="8" hidden="1"/>
    <cellStyle name="Hyperlink" xfId="21828" builtinId="8" hidden="1"/>
    <cellStyle name="Hyperlink" xfId="21898" builtinId="8" hidden="1"/>
    <cellStyle name="Hyperlink" xfId="21900" builtinId="8" hidden="1"/>
    <cellStyle name="Hyperlink" xfId="21902" builtinId="8" hidden="1"/>
    <cellStyle name="Hyperlink" xfId="21904" builtinId="8" hidden="1"/>
    <cellStyle name="Hyperlink" xfId="21829" builtinId="8" hidden="1"/>
    <cellStyle name="Hyperlink" xfId="21862" builtinId="8" hidden="1"/>
    <cellStyle name="Hyperlink" xfId="21906" builtinId="8" hidden="1"/>
    <cellStyle name="Hyperlink" xfId="21908" builtinId="8" hidden="1"/>
    <cellStyle name="Hyperlink" xfId="21910" builtinId="8" hidden="1"/>
    <cellStyle name="Hyperlink" xfId="21912" builtinId="8" hidden="1"/>
    <cellStyle name="Hyperlink" xfId="21831" builtinId="8" hidden="1"/>
    <cellStyle name="Hyperlink" xfId="21872" builtinId="8" hidden="1"/>
    <cellStyle name="Hyperlink" xfId="21914" builtinId="8" hidden="1"/>
    <cellStyle name="Hyperlink" xfId="21916" builtinId="8" hidden="1"/>
    <cellStyle name="Hyperlink" xfId="21918" builtinId="8" hidden="1"/>
    <cellStyle name="Hyperlink" xfId="21920" builtinId="8" hidden="1"/>
    <cellStyle name="Hyperlink" xfId="21852" builtinId="8" hidden="1"/>
    <cellStyle name="Hyperlink" xfId="21855" builtinId="8" hidden="1"/>
    <cellStyle name="Hyperlink" xfId="21922" builtinId="8" hidden="1"/>
    <cellStyle name="Hyperlink" xfId="21924" builtinId="8" hidden="1"/>
    <cellStyle name="Hyperlink" xfId="21926" builtinId="8" hidden="1"/>
    <cellStyle name="Hyperlink" xfId="21928" builtinId="8" hidden="1"/>
    <cellStyle name="Hyperlink" xfId="21856" builtinId="8" hidden="1"/>
    <cellStyle name="Hyperlink" xfId="21853" builtinId="8" hidden="1"/>
    <cellStyle name="Hyperlink" xfId="21930" builtinId="8" hidden="1"/>
    <cellStyle name="Hyperlink" xfId="21932" builtinId="8" hidden="1"/>
    <cellStyle name="Hyperlink" xfId="21934" builtinId="8" hidden="1"/>
    <cellStyle name="Hyperlink" xfId="21936" builtinId="8" hidden="1"/>
    <cellStyle name="Hyperlink" xfId="21871" builtinId="8" hidden="1"/>
    <cellStyle name="Hyperlink" xfId="21848" builtinId="8" hidden="1"/>
    <cellStyle name="Hyperlink" xfId="21938" builtinId="8" hidden="1"/>
    <cellStyle name="Hyperlink" xfId="21940" builtinId="8" hidden="1"/>
    <cellStyle name="Hyperlink" xfId="21942" builtinId="8" hidden="1"/>
    <cellStyle name="Hyperlink" xfId="21944" builtinId="8" hidden="1"/>
    <cellStyle name="Hyperlink" xfId="21826" builtinId="8" hidden="1"/>
    <cellStyle name="Hyperlink" xfId="21827" builtinId="8" hidden="1"/>
    <cellStyle name="Hyperlink" xfId="21946" builtinId="8" hidden="1"/>
    <cellStyle name="Hyperlink" xfId="21948" builtinId="8" hidden="1"/>
    <cellStyle name="Hyperlink" xfId="21950" builtinId="8" hidden="1"/>
    <cellStyle name="Hyperlink" xfId="21952" builtinId="8" hidden="1"/>
    <cellStyle name="Hyperlink" xfId="21832" builtinId="8" hidden="1"/>
    <cellStyle name="Hyperlink" xfId="21868" builtinId="8" hidden="1"/>
    <cellStyle name="Hyperlink" xfId="21954" builtinId="8" hidden="1"/>
    <cellStyle name="Hyperlink" xfId="21956" builtinId="8" hidden="1"/>
    <cellStyle name="Hyperlink" xfId="21958" builtinId="8" hidden="1"/>
    <cellStyle name="Hyperlink" xfId="21960" builtinId="8" hidden="1"/>
    <cellStyle name="Hyperlink" xfId="21837" builtinId="8" hidden="1"/>
    <cellStyle name="Hyperlink" xfId="21857" builtinId="8" hidden="1"/>
    <cellStyle name="Hyperlink" xfId="21962" builtinId="8" hidden="1"/>
    <cellStyle name="Hyperlink" xfId="21964" builtinId="8" hidden="1"/>
    <cellStyle name="Hyperlink" xfId="21966" builtinId="8" hidden="1"/>
    <cellStyle name="Hyperlink" xfId="21968" builtinId="8" hidden="1"/>
    <cellStyle name="Hyperlink" xfId="21844" builtinId="8" hidden="1"/>
    <cellStyle name="Hyperlink" xfId="21842" builtinId="8" hidden="1"/>
    <cellStyle name="Hyperlink" xfId="21970" builtinId="8" hidden="1"/>
    <cellStyle name="Hyperlink" xfId="21972" builtinId="8" hidden="1"/>
    <cellStyle name="Hyperlink" xfId="21974" builtinId="8" hidden="1"/>
    <cellStyle name="Hyperlink" xfId="21976" builtinId="8" hidden="1"/>
    <cellStyle name="Hyperlink" xfId="21675" builtinId="8" hidden="1"/>
    <cellStyle name="Hyperlink" xfId="21787" builtinId="8" hidden="1"/>
    <cellStyle name="Hyperlink" xfId="21679" builtinId="8" hidden="1"/>
    <cellStyle name="Hyperlink" xfId="21790" builtinId="8" hidden="1"/>
    <cellStyle name="Hyperlink" xfId="21773" builtinId="8" hidden="1"/>
    <cellStyle name="Hyperlink" xfId="21725" builtinId="8" hidden="1"/>
    <cellStyle name="Hyperlink" xfId="21666" builtinId="8" hidden="1"/>
    <cellStyle name="Hyperlink" xfId="21778" builtinId="8" hidden="1"/>
    <cellStyle name="Hyperlink" xfId="21981" builtinId="8" hidden="1"/>
    <cellStyle name="Hyperlink" xfId="21983" builtinId="8" hidden="1"/>
    <cellStyle name="Hyperlink" xfId="21985" builtinId="8" hidden="1"/>
    <cellStyle name="Hyperlink" xfId="21987" builtinId="8" hidden="1"/>
    <cellStyle name="Hyperlink" xfId="21990" builtinId="8" hidden="1"/>
    <cellStyle name="Hyperlink" xfId="21992" builtinId="8" hidden="1"/>
    <cellStyle name="Hyperlink" xfId="22042" builtinId="8" hidden="1"/>
    <cellStyle name="Hyperlink" xfId="22044" builtinId="8" hidden="1"/>
    <cellStyle name="Hyperlink" xfId="22046" builtinId="8" hidden="1"/>
    <cellStyle name="Hyperlink" xfId="22048" builtinId="8" hidden="1"/>
    <cellStyle name="Hyperlink" xfId="22038" builtinId="8" hidden="1"/>
    <cellStyle name="Hyperlink" xfId="22028" builtinId="8" hidden="1"/>
    <cellStyle name="Hyperlink" xfId="22050" builtinId="8" hidden="1"/>
    <cellStyle name="Hyperlink" xfId="22052" builtinId="8" hidden="1"/>
    <cellStyle name="Hyperlink" xfId="22054" builtinId="8" hidden="1"/>
    <cellStyle name="Hyperlink" xfId="22056" builtinId="8" hidden="1"/>
    <cellStyle name="Hyperlink" xfId="22022" builtinId="8" hidden="1"/>
    <cellStyle name="Hyperlink" xfId="22008" builtinId="8" hidden="1"/>
    <cellStyle name="Hyperlink" xfId="22058" builtinId="8" hidden="1"/>
    <cellStyle name="Hyperlink" xfId="22060" builtinId="8" hidden="1"/>
    <cellStyle name="Hyperlink" xfId="22062" builtinId="8" hidden="1"/>
    <cellStyle name="Hyperlink" xfId="22064" builtinId="8" hidden="1"/>
    <cellStyle name="Hyperlink" xfId="22027" builtinId="8" hidden="1"/>
    <cellStyle name="Hyperlink" xfId="21996" builtinId="8" hidden="1"/>
    <cellStyle name="Hyperlink" xfId="22066" builtinId="8" hidden="1"/>
    <cellStyle name="Hyperlink" xfId="22068" builtinId="8" hidden="1"/>
    <cellStyle name="Hyperlink" xfId="22070" builtinId="8" hidden="1"/>
    <cellStyle name="Hyperlink" xfId="22072" builtinId="8" hidden="1"/>
    <cellStyle name="Hyperlink" xfId="21997" builtinId="8" hidden="1"/>
    <cellStyle name="Hyperlink" xfId="22030" builtinId="8" hidden="1"/>
    <cellStyle name="Hyperlink" xfId="22074" builtinId="8" hidden="1"/>
    <cellStyle name="Hyperlink" xfId="22076" builtinId="8" hidden="1"/>
    <cellStyle name="Hyperlink" xfId="22078" builtinId="8" hidden="1"/>
    <cellStyle name="Hyperlink" xfId="22080" builtinId="8" hidden="1"/>
    <cellStyle name="Hyperlink" xfId="21999" builtinId="8" hidden="1"/>
    <cellStyle name="Hyperlink" xfId="22040" builtinId="8" hidden="1"/>
    <cellStyle name="Hyperlink" xfId="22082" builtinId="8" hidden="1"/>
    <cellStyle name="Hyperlink" xfId="22084" builtinId="8" hidden="1"/>
    <cellStyle name="Hyperlink" xfId="22086" builtinId="8" hidden="1"/>
    <cellStyle name="Hyperlink" xfId="22088" builtinId="8" hidden="1"/>
    <cellStyle name="Hyperlink" xfId="22020" builtinId="8" hidden="1"/>
    <cellStyle name="Hyperlink" xfId="22023" builtinId="8" hidden="1"/>
    <cellStyle name="Hyperlink" xfId="22090" builtinId="8" hidden="1"/>
    <cellStyle name="Hyperlink" xfId="22092" builtinId="8" hidden="1"/>
    <cellStyle name="Hyperlink" xfId="22094" builtinId="8" hidden="1"/>
    <cellStyle name="Hyperlink" xfId="22096" builtinId="8" hidden="1"/>
    <cellStyle name="Hyperlink" xfId="22024" builtinId="8" hidden="1"/>
    <cellStyle name="Hyperlink" xfId="22021" builtinId="8" hidden="1"/>
    <cellStyle name="Hyperlink" xfId="22098" builtinId="8" hidden="1"/>
    <cellStyle name="Hyperlink" xfId="22100" builtinId="8" hidden="1"/>
    <cellStyle name="Hyperlink" xfId="22102" builtinId="8" hidden="1"/>
    <cellStyle name="Hyperlink" xfId="22104" builtinId="8" hidden="1"/>
    <cellStyle name="Hyperlink" xfId="22039" builtinId="8" hidden="1"/>
    <cellStyle name="Hyperlink" xfId="22016" builtinId="8" hidden="1"/>
    <cellStyle name="Hyperlink" xfId="22106" builtinId="8" hidden="1"/>
    <cellStyle name="Hyperlink" xfId="22108" builtinId="8" hidden="1"/>
    <cellStyle name="Hyperlink" xfId="22110" builtinId="8" hidden="1"/>
    <cellStyle name="Hyperlink" xfId="22112" builtinId="8" hidden="1"/>
    <cellStyle name="Hyperlink" xfId="21994" builtinId="8" hidden="1"/>
    <cellStyle name="Hyperlink" xfId="21995" builtinId="8" hidden="1"/>
    <cellStyle name="Hyperlink" xfId="22114" builtinId="8" hidden="1"/>
    <cellStyle name="Hyperlink" xfId="22116" builtinId="8" hidden="1"/>
    <cellStyle name="Hyperlink" xfId="22118" builtinId="8" hidden="1"/>
    <cellStyle name="Hyperlink" xfId="22120" builtinId="8" hidden="1"/>
    <cellStyle name="Hyperlink" xfId="22000" builtinId="8" hidden="1"/>
    <cellStyle name="Hyperlink" xfId="22036" builtinId="8" hidden="1"/>
    <cellStyle name="Hyperlink" xfId="22122" builtinId="8" hidden="1"/>
    <cellStyle name="Hyperlink" xfId="22124" builtinId="8" hidden="1"/>
    <cellStyle name="Hyperlink" xfId="22126" builtinId="8" hidden="1"/>
    <cellStyle name="Hyperlink" xfId="22128" builtinId="8" hidden="1"/>
    <cellStyle name="Hyperlink" xfId="22005" builtinId="8" hidden="1"/>
    <cellStyle name="Hyperlink" xfId="22025" builtinId="8" hidden="1"/>
    <cellStyle name="Hyperlink" xfId="22130" builtinId="8" hidden="1"/>
    <cellStyle name="Hyperlink" xfId="22132" builtinId="8" hidden="1"/>
    <cellStyle name="Hyperlink" xfId="22134" builtinId="8" hidden="1"/>
    <cellStyle name="Hyperlink" xfId="22136" builtinId="8" hidden="1"/>
    <cellStyle name="Hyperlink" xfId="22012" builtinId="8" hidden="1"/>
    <cellStyle name="Hyperlink" xfId="22010" builtinId="8" hidden="1"/>
    <cellStyle name="Hyperlink" xfId="22138" builtinId="8" hidden="1"/>
    <cellStyle name="Hyperlink" xfId="22140" builtinId="8" hidden="1"/>
    <cellStyle name="Hyperlink" xfId="22142" builtinId="8" hidden="1"/>
    <cellStyle name="Hyperlink" xfId="22144" builtinId="8" hidden="1"/>
    <cellStyle name="Hyperlink" xfId="21721" builtinId="8" hidden="1"/>
    <cellStyle name="Hyperlink" xfId="21722" builtinId="8" hidden="1"/>
    <cellStyle name="Hyperlink" xfId="21696" builtinId="8" hidden="1"/>
    <cellStyle name="Hyperlink" xfId="21697" builtinId="8" hidden="1"/>
    <cellStyle name="Hyperlink" xfId="21712" builtinId="8" hidden="1"/>
    <cellStyle name="Hyperlink" xfId="21710" builtinId="8" hidden="1"/>
    <cellStyle name="Hyperlink" xfId="21703" builtinId="8" hidden="1"/>
    <cellStyle name="Hyperlink" xfId="21704" builtinId="8" hidden="1"/>
    <cellStyle name="Hyperlink" xfId="22155" builtinId="8" hidden="1"/>
    <cellStyle name="Hyperlink" xfId="22157" builtinId="8" hidden="1"/>
    <cellStyle name="Hyperlink" xfId="22159" builtinId="8" hidden="1"/>
    <cellStyle name="Hyperlink" xfId="22161" builtinId="8" hidden="1"/>
    <cellStyle name="Hyperlink" xfId="22163" builtinId="8" hidden="1"/>
    <cellStyle name="Hyperlink" xfId="22165" builtinId="8" hidden="1"/>
    <cellStyle name="Hyperlink" xfId="22215" builtinId="8" hidden="1"/>
    <cellStyle name="Hyperlink" xfId="22217" builtinId="8" hidden="1"/>
    <cellStyle name="Hyperlink" xfId="22219" builtinId="8" hidden="1"/>
    <cellStyle name="Hyperlink" xfId="22221" builtinId="8" hidden="1"/>
    <cellStyle name="Hyperlink" xfId="22211" builtinId="8" hidden="1"/>
    <cellStyle name="Hyperlink" xfId="22201" builtinId="8" hidden="1"/>
    <cellStyle name="Hyperlink" xfId="22223" builtinId="8" hidden="1"/>
    <cellStyle name="Hyperlink" xfId="22225" builtinId="8" hidden="1"/>
    <cellStyle name="Hyperlink" xfId="22227" builtinId="8" hidden="1"/>
    <cellStyle name="Hyperlink" xfId="22229" builtinId="8" hidden="1"/>
    <cellStyle name="Hyperlink" xfId="22195" builtinId="8" hidden="1"/>
    <cellStyle name="Hyperlink" xfId="22181" builtinId="8" hidden="1"/>
    <cellStyle name="Hyperlink" xfId="22231" builtinId="8" hidden="1"/>
    <cellStyle name="Hyperlink" xfId="22233" builtinId="8" hidden="1"/>
    <cellStyle name="Hyperlink" xfId="22235" builtinId="8" hidden="1"/>
    <cellStyle name="Hyperlink" xfId="22237" builtinId="8" hidden="1"/>
    <cellStyle name="Hyperlink" xfId="22200" builtinId="8" hidden="1"/>
    <cellStyle name="Hyperlink" xfId="22169" builtinId="8" hidden="1"/>
    <cellStyle name="Hyperlink" xfId="22239" builtinId="8" hidden="1"/>
    <cellStyle name="Hyperlink" xfId="22241" builtinId="8" hidden="1"/>
    <cellStyle name="Hyperlink" xfId="22243" builtinId="8" hidden="1"/>
    <cellStyle name="Hyperlink" xfId="22245" builtinId="8" hidden="1"/>
    <cellStyle name="Hyperlink" xfId="22170" builtinId="8" hidden="1"/>
    <cellStyle name="Hyperlink" xfId="22203" builtinId="8" hidden="1"/>
    <cellStyle name="Hyperlink" xfId="22247" builtinId="8" hidden="1"/>
    <cellStyle name="Hyperlink" xfId="22249" builtinId="8" hidden="1"/>
    <cellStyle name="Hyperlink" xfId="22251" builtinId="8" hidden="1"/>
    <cellStyle name="Hyperlink" xfId="22253" builtinId="8" hidden="1"/>
    <cellStyle name="Hyperlink" xfId="22172" builtinId="8" hidden="1"/>
    <cellStyle name="Hyperlink" xfId="22213" builtinId="8" hidden="1"/>
    <cellStyle name="Hyperlink" xfId="22255" builtinId="8" hidden="1"/>
    <cellStyle name="Hyperlink" xfId="22257" builtinId="8" hidden="1"/>
    <cellStyle name="Hyperlink" xfId="22259" builtinId="8" hidden="1"/>
    <cellStyle name="Hyperlink" xfId="22261" builtinId="8" hidden="1"/>
    <cellStyle name="Hyperlink" xfId="22193" builtinId="8" hidden="1"/>
    <cellStyle name="Hyperlink" xfId="22196" builtinId="8" hidden="1"/>
    <cellStyle name="Hyperlink" xfId="22263" builtinId="8" hidden="1"/>
    <cellStyle name="Hyperlink" xfId="22265" builtinId="8" hidden="1"/>
    <cellStyle name="Hyperlink" xfId="22267" builtinId="8" hidden="1"/>
    <cellStyle name="Hyperlink" xfId="22269" builtinId="8" hidden="1"/>
    <cellStyle name="Hyperlink" xfId="22197" builtinId="8" hidden="1"/>
    <cellStyle name="Hyperlink" xfId="22194" builtinId="8" hidden="1"/>
    <cellStyle name="Hyperlink" xfId="22271" builtinId="8" hidden="1"/>
    <cellStyle name="Hyperlink" xfId="22273" builtinId="8" hidden="1"/>
    <cellStyle name="Hyperlink" xfId="22275" builtinId="8" hidden="1"/>
    <cellStyle name="Hyperlink" xfId="22277" builtinId="8" hidden="1"/>
    <cellStyle name="Hyperlink" xfId="22212" builtinId="8" hidden="1"/>
    <cellStyle name="Hyperlink" xfId="22189" builtinId="8" hidden="1"/>
    <cellStyle name="Hyperlink" xfId="22279" builtinId="8" hidden="1"/>
    <cellStyle name="Hyperlink" xfId="22281" builtinId="8" hidden="1"/>
    <cellStyle name="Hyperlink" xfId="22283" builtinId="8" hidden="1"/>
    <cellStyle name="Hyperlink" xfId="22285" builtinId="8" hidden="1"/>
    <cellStyle name="Hyperlink" xfId="22167" builtinId="8" hidden="1"/>
    <cellStyle name="Hyperlink" xfId="22168" builtinId="8" hidden="1"/>
    <cellStyle name="Hyperlink" xfId="22287" builtinId="8" hidden="1"/>
    <cellStyle name="Hyperlink" xfId="22289" builtinId="8" hidden="1"/>
    <cellStyle name="Hyperlink" xfId="22291" builtinId="8" hidden="1"/>
    <cellStyle name="Hyperlink" xfId="22293" builtinId="8" hidden="1"/>
    <cellStyle name="Hyperlink" xfId="22173" builtinId="8" hidden="1"/>
    <cellStyle name="Hyperlink" xfId="22209" builtinId="8" hidden="1"/>
    <cellStyle name="Hyperlink" xfId="22295" builtinId="8" hidden="1"/>
    <cellStyle name="Hyperlink" xfId="22297" builtinId="8" hidden="1"/>
    <cellStyle name="Hyperlink" xfId="22299" builtinId="8" hidden="1"/>
    <cellStyle name="Hyperlink" xfId="22301" builtinId="8" hidden="1"/>
    <cellStyle name="Hyperlink" xfId="22178" builtinId="8" hidden="1"/>
    <cellStyle name="Hyperlink" xfId="22198" builtinId="8" hidden="1"/>
    <cellStyle name="Hyperlink" xfId="22303" builtinId="8" hidden="1"/>
    <cellStyle name="Hyperlink" xfId="22305" builtinId="8" hidden="1"/>
    <cellStyle name="Hyperlink" xfId="22307" builtinId="8" hidden="1"/>
    <cellStyle name="Hyperlink" xfId="22309" builtinId="8" hidden="1"/>
    <cellStyle name="Hyperlink" xfId="22185" builtinId="8" hidden="1"/>
    <cellStyle name="Hyperlink" xfId="22183" builtinId="8" hidden="1"/>
    <cellStyle name="Hyperlink" xfId="22311" builtinId="8" hidden="1"/>
    <cellStyle name="Hyperlink" xfId="22313" builtinId="8" hidden="1"/>
    <cellStyle name="Hyperlink" xfId="22315" builtinId="8" hidden="1"/>
    <cellStyle name="Hyperlink" xfId="22317" builtinId="8" hidden="1"/>
    <cellStyle name="Hyperlink" xfId="21762" builtinId="8" hidden="1"/>
    <cellStyle name="Hyperlink" xfId="21705" builtinId="8" hidden="1"/>
    <cellStyle name="Hyperlink" xfId="21715" builtinId="8" hidden="1"/>
    <cellStyle name="Hyperlink" xfId="21682" builtinId="8" hidden="1"/>
    <cellStyle name="Hyperlink" xfId="21765" builtinId="8" hidden="1"/>
    <cellStyle name="Hyperlink" xfId="21797" builtinId="8" hidden="1"/>
    <cellStyle name="Hyperlink" xfId="21776" builtinId="8" hidden="1"/>
    <cellStyle name="Hyperlink" xfId="21726" builtinId="8" hidden="1"/>
    <cellStyle name="Hyperlink" xfId="22325" builtinId="8" hidden="1"/>
    <cellStyle name="Hyperlink" xfId="22327" builtinId="8" hidden="1"/>
    <cellStyle name="Hyperlink" xfId="22329" builtinId="8" hidden="1"/>
    <cellStyle name="Hyperlink" xfId="22331" builtinId="8" hidden="1"/>
    <cellStyle name="Hyperlink" xfId="22333" builtinId="8" hidden="1"/>
    <cellStyle name="Hyperlink" xfId="22335" builtinId="8" hidden="1"/>
    <cellStyle name="Hyperlink" xfId="22385" builtinId="8" hidden="1"/>
    <cellStyle name="Hyperlink" xfId="22387" builtinId="8" hidden="1"/>
    <cellStyle name="Hyperlink" xfId="22389" builtinId="8" hidden="1"/>
    <cellStyle name="Hyperlink" xfId="22391" builtinId="8" hidden="1"/>
    <cellStyle name="Hyperlink" xfId="22381" builtinId="8" hidden="1"/>
    <cellStyle name="Hyperlink" xfId="22371" builtinId="8" hidden="1"/>
    <cellStyle name="Hyperlink" xfId="22393" builtinId="8" hidden="1"/>
    <cellStyle name="Hyperlink" xfId="22395" builtinId="8" hidden="1"/>
    <cellStyle name="Hyperlink" xfId="22397" builtinId="8" hidden="1"/>
    <cellStyle name="Hyperlink" xfId="22399" builtinId="8" hidden="1"/>
    <cellStyle name="Hyperlink" xfId="22365" builtinId="8" hidden="1"/>
    <cellStyle name="Hyperlink" xfId="22351" builtinId="8" hidden="1"/>
    <cellStyle name="Hyperlink" xfId="22401" builtinId="8" hidden="1"/>
    <cellStyle name="Hyperlink" xfId="22403" builtinId="8" hidden="1"/>
    <cellStyle name="Hyperlink" xfId="22405" builtinId="8" hidden="1"/>
    <cellStyle name="Hyperlink" xfId="22407" builtinId="8" hidden="1"/>
    <cellStyle name="Hyperlink" xfId="22370" builtinId="8" hidden="1"/>
    <cellStyle name="Hyperlink" xfId="22339" builtinId="8" hidden="1"/>
    <cellStyle name="Hyperlink" xfId="22409" builtinId="8" hidden="1"/>
    <cellStyle name="Hyperlink" xfId="22411" builtinId="8" hidden="1"/>
    <cellStyle name="Hyperlink" xfId="22413" builtinId="8" hidden="1"/>
    <cellStyle name="Hyperlink" xfId="22415" builtinId="8" hidden="1"/>
    <cellStyle name="Hyperlink" xfId="22340" builtinId="8" hidden="1"/>
    <cellStyle name="Hyperlink" xfId="22373" builtinId="8" hidden="1"/>
    <cellStyle name="Hyperlink" xfId="22417" builtinId="8" hidden="1"/>
    <cellStyle name="Hyperlink" xfId="22419" builtinId="8" hidden="1"/>
    <cellStyle name="Hyperlink" xfId="22421" builtinId="8" hidden="1"/>
    <cellStyle name="Hyperlink" xfId="22423" builtinId="8" hidden="1"/>
    <cellStyle name="Hyperlink" xfId="22342" builtinId="8" hidden="1"/>
    <cellStyle name="Hyperlink" xfId="22383" builtinId="8" hidden="1"/>
    <cellStyle name="Hyperlink" xfId="22425" builtinId="8" hidden="1"/>
    <cellStyle name="Hyperlink" xfId="22427" builtinId="8" hidden="1"/>
    <cellStyle name="Hyperlink" xfId="22429" builtinId="8" hidden="1"/>
    <cellStyle name="Hyperlink" xfId="22431" builtinId="8" hidden="1"/>
    <cellStyle name="Hyperlink" xfId="22363" builtinId="8" hidden="1"/>
    <cellStyle name="Hyperlink" xfId="22366" builtinId="8" hidden="1"/>
    <cellStyle name="Hyperlink" xfId="22433" builtinId="8" hidden="1"/>
    <cellStyle name="Hyperlink" xfId="22435" builtinId="8" hidden="1"/>
    <cellStyle name="Hyperlink" xfId="22437" builtinId="8" hidden="1"/>
    <cellStyle name="Hyperlink" xfId="22439" builtinId="8" hidden="1"/>
    <cellStyle name="Hyperlink" xfId="22367" builtinId="8" hidden="1"/>
    <cellStyle name="Hyperlink" xfId="22364" builtinId="8" hidden="1"/>
    <cellStyle name="Hyperlink" xfId="22441" builtinId="8" hidden="1"/>
    <cellStyle name="Hyperlink" xfId="22443" builtinId="8" hidden="1"/>
    <cellStyle name="Hyperlink" xfId="22445" builtinId="8" hidden="1"/>
    <cellStyle name="Hyperlink" xfId="22447" builtinId="8" hidden="1"/>
    <cellStyle name="Hyperlink" xfId="22382" builtinId="8" hidden="1"/>
    <cellStyle name="Hyperlink" xfId="22359" builtinId="8" hidden="1"/>
    <cellStyle name="Hyperlink" xfId="22449" builtinId="8" hidden="1"/>
    <cellStyle name="Hyperlink" xfId="22451" builtinId="8" hidden="1"/>
    <cellStyle name="Hyperlink" xfId="22453" builtinId="8" hidden="1"/>
    <cellStyle name="Hyperlink" xfId="22455" builtinId="8" hidden="1"/>
    <cellStyle name="Hyperlink" xfId="22337" builtinId="8" hidden="1"/>
    <cellStyle name="Hyperlink" xfId="22338" builtinId="8" hidden="1"/>
    <cellStyle name="Hyperlink" xfId="22457" builtinId="8" hidden="1"/>
    <cellStyle name="Hyperlink" xfId="22459" builtinId="8" hidden="1"/>
    <cellStyle name="Hyperlink" xfId="22461" builtinId="8" hidden="1"/>
    <cellStyle name="Hyperlink" xfId="22463" builtinId="8" hidden="1"/>
    <cellStyle name="Hyperlink" xfId="22343" builtinId="8" hidden="1"/>
    <cellStyle name="Hyperlink" xfId="22379" builtinId="8" hidden="1"/>
    <cellStyle name="Hyperlink" xfId="22465" builtinId="8" hidden="1"/>
    <cellStyle name="Hyperlink" xfId="22467" builtinId="8" hidden="1"/>
    <cellStyle name="Hyperlink" xfId="22469" builtinId="8" hidden="1"/>
    <cellStyle name="Hyperlink" xfId="22471" builtinId="8" hidden="1"/>
    <cellStyle name="Hyperlink" xfId="22348" builtinId="8" hidden="1"/>
    <cellStyle name="Hyperlink" xfId="22368" builtinId="8" hidden="1"/>
    <cellStyle name="Hyperlink" xfId="22473" builtinId="8" hidden="1"/>
    <cellStyle name="Hyperlink" xfId="22475" builtinId="8" hidden="1"/>
    <cellStyle name="Hyperlink" xfId="22477" builtinId="8" hidden="1"/>
    <cellStyle name="Hyperlink" xfId="22479" builtinId="8" hidden="1"/>
    <cellStyle name="Hyperlink" xfId="22355" builtinId="8" hidden="1"/>
    <cellStyle name="Hyperlink" xfId="22353" builtinId="8" hidden="1"/>
    <cellStyle name="Hyperlink" xfId="22481" builtinId="8" hidden="1"/>
    <cellStyle name="Hyperlink" xfId="22483" builtinId="8" hidden="1"/>
    <cellStyle name="Hyperlink" xfId="22485" builtinId="8" hidden="1"/>
    <cellStyle name="Hyperlink" xfId="22487" builtinId="8" hidden="1"/>
    <cellStyle name="Hyperlink" xfId="21737" builtinId="8" hidden="1"/>
    <cellStyle name="Hyperlink" xfId="21708" builtinId="8" hidden="1"/>
    <cellStyle name="Hyperlink" xfId="21755" builtinId="8" hidden="1"/>
    <cellStyle name="Hyperlink" xfId="21673" builtinId="8" hidden="1"/>
    <cellStyle name="Hyperlink" xfId="21752" builtinId="8" hidden="1"/>
    <cellStyle name="Hyperlink" xfId="21688" builtinId="8" hidden="1"/>
    <cellStyle name="Hyperlink" xfId="21759" builtinId="8" hidden="1"/>
    <cellStyle name="Hyperlink" xfId="21714" builtinId="8" hidden="1"/>
    <cellStyle name="Hyperlink" xfId="22494" builtinId="8" hidden="1"/>
    <cellStyle name="Hyperlink" xfId="22496" builtinId="8" hidden="1"/>
    <cellStyle name="Hyperlink" xfId="22498" builtinId="8" hidden="1"/>
    <cellStyle name="Hyperlink" xfId="22500" builtinId="8" hidden="1"/>
    <cellStyle name="Hyperlink" xfId="22502" builtinId="8" hidden="1"/>
    <cellStyle name="Hyperlink" xfId="22504" builtinId="8" hidden="1"/>
    <cellStyle name="Hyperlink" xfId="22554" builtinId="8" hidden="1"/>
    <cellStyle name="Hyperlink" xfId="22556" builtinId="8" hidden="1"/>
    <cellStyle name="Hyperlink" xfId="22558" builtinId="8" hidden="1"/>
    <cellStyle name="Hyperlink" xfId="22560" builtinId="8" hidden="1"/>
    <cellStyle name="Hyperlink" xfId="22550" builtinId="8" hidden="1"/>
    <cellStyle name="Hyperlink" xfId="22540" builtinId="8" hidden="1"/>
    <cellStyle name="Hyperlink" xfId="22562" builtinId="8" hidden="1"/>
    <cellStyle name="Hyperlink" xfId="22564" builtinId="8" hidden="1"/>
    <cellStyle name="Hyperlink" xfId="22566" builtinId="8" hidden="1"/>
    <cellStyle name="Hyperlink" xfId="22568" builtinId="8" hidden="1"/>
    <cellStyle name="Hyperlink" xfId="22534" builtinId="8" hidden="1"/>
    <cellStyle name="Hyperlink" xfId="22520" builtinId="8" hidden="1"/>
    <cellStyle name="Hyperlink" xfId="22570" builtinId="8" hidden="1"/>
    <cellStyle name="Hyperlink" xfId="22572" builtinId="8" hidden="1"/>
    <cellStyle name="Hyperlink" xfId="22574" builtinId="8" hidden="1"/>
    <cellStyle name="Hyperlink" xfId="22576" builtinId="8" hidden="1"/>
    <cellStyle name="Hyperlink" xfId="22539" builtinId="8" hidden="1"/>
    <cellStyle name="Hyperlink" xfId="22508" builtinId="8" hidden="1"/>
    <cellStyle name="Hyperlink" xfId="22578" builtinId="8" hidden="1"/>
    <cellStyle name="Hyperlink" xfId="22580" builtinId="8" hidden="1"/>
    <cellStyle name="Hyperlink" xfId="22582" builtinId="8" hidden="1"/>
    <cellStyle name="Hyperlink" xfId="22584" builtinId="8" hidden="1"/>
    <cellStyle name="Hyperlink" xfId="22509" builtinId="8" hidden="1"/>
    <cellStyle name="Hyperlink" xfId="22542" builtinId="8" hidden="1"/>
    <cellStyle name="Hyperlink" xfId="22586" builtinId="8" hidden="1"/>
    <cellStyle name="Hyperlink" xfId="22588" builtinId="8" hidden="1"/>
    <cellStyle name="Hyperlink" xfId="22590" builtinId="8" hidden="1"/>
    <cellStyle name="Hyperlink" xfId="22592" builtinId="8" hidden="1"/>
    <cellStyle name="Hyperlink" xfId="22511" builtinId="8" hidden="1"/>
    <cellStyle name="Hyperlink" xfId="22552" builtinId="8" hidden="1"/>
    <cellStyle name="Hyperlink" xfId="22594" builtinId="8" hidden="1"/>
    <cellStyle name="Hyperlink" xfId="22596" builtinId="8" hidden="1"/>
    <cellStyle name="Hyperlink" xfId="22598" builtinId="8" hidden="1"/>
    <cellStyle name="Hyperlink" xfId="22600" builtinId="8" hidden="1"/>
    <cellStyle name="Hyperlink" xfId="22532" builtinId="8" hidden="1"/>
    <cellStyle name="Hyperlink" xfId="22535" builtinId="8" hidden="1"/>
    <cellStyle name="Hyperlink" xfId="22602" builtinId="8" hidden="1"/>
    <cellStyle name="Hyperlink" xfId="22604" builtinId="8" hidden="1"/>
    <cellStyle name="Hyperlink" xfId="22606" builtinId="8" hidden="1"/>
    <cellStyle name="Hyperlink" xfId="22608" builtinId="8" hidden="1"/>
    <cellStyle name="Hyperlink" xfId="22536" builtinId="8" hidden="1"/>
    <cellStyle name="Hyperlink" xfId="22533" builtinId="8" hidden="1"/>
    <cellStyle name="Hyperlink" xfId="22610" builtinId="8" hidden="1"/>
    <cellStyle name="Hyperlink" xfId="22612" builtinId="8" hidden="1"/>
    <cellStyle name="Hyperlink" xfId="22614" builtinId="8" hidden="1"/>
    <cellStyle name="Hyperlink" xfId="22616" builtinId="8" hidden="1"/>
    <cellStyle name="Hyperlink" xfId="22551" builtinId="8" hidden="1"/>
    <cellStyle name="Hyperlink" xfId="22528" builtinId="8" hidden="1"/>
    <cellStyle name="Hyperlink" xfId="22618" builtinId="8" hidden="1"/>
    <cellStyle name="Hyperlink" xfId="22620" builtinId="8" hidden="1"/>
    <cellStyle name="Hyperlink" xfId="22622" builtinId="8" hidden="1"/>
    <cellStyle name="Hyperlink" xfId="22624" builtinId="8" hidden="1"/>
    <cellStyle name="Hyperlink" xfId="22506" builtinId="8" hidden="1"/>
    <cellStyle name="Hyperlink" xfId="22507" builtinId="8" hidden="1"/>
    <cellStyle name="Hyperlink" xfId="22626" builtinId="8" hidden="1"/>
    <cellStyle name="Hyperlink" xfId="22628" builtinId="8" hidden="1"/>
    <cellStyle name="Hyperlink" xfId="22630" builtinId="8" hidden="1"/>
    <cellStyle name="Hyperlink" xfId="22632" builtinId="8" hidden="1"/>
    <cellStyle name="Hyperlink" xfId="22512" builtinId="8" hidden="1"/>
    <cellStyle name="Hyperlink" xfId="22548" builtinId="8" hidden="1"/>
    <cellStyle name="Hyperlink" xfId="22634" builtinId="8" hidden="1"/>
    <cellStyle name="Hyperlink" xfId="22636" builtinId="8" hidden="1"/>
    <cellStyle name="Hyperlink" xfId="22638" builtinId="8" hidden="1"/>
    <cellStyle name="Hyperlink" xfId="22640" builtinId="8" hidden="1"/>
    <cellStyle name="Hyperlink" xfId="22517" builtinId="8" hidden="1"/>
    <cellStyle name="Hyperlink" xfId="22537" builtinId="8" hidden="1"/>
    <cellStyle name="Hyperlink" xfId="22642" builtinId="8" hidden="1"/>
    <cellStyle name="Hyperlink" xfId="22644" builtinId="8" hidden="1"/>
    <cellStyle name="Hyperlink" xfId="22646" builtinId="8" hidden="1"/>
    <cellStyle name="Hyperlink" xfId="22648" builtinId="8" hidden="1"/>
    <cellStyle name="Hyperlink" xfId="22524" builtinId="8" hidden="1"/>
    <cellStyle name="Hyperlink" xfId="22522" builtinId="8" hidden="1"/>
    <cellStyle name="Hyperlink" xfId="22650" builtinId="8" hidden="1"/>
    <cellStyle name="Hyperlink" xfId="22652" builtinId="8" hidden="1"/>
    <cellStyle name="Hyperlink" xfId="22654" builtinId="8" hidden="1"/>
    <cellStyle name="Hyperlink" xfId="22656" builtinId="8" hidden="1"/>
    <cellStyle name="Hyperlink" xfId="21979" builtinId="8" hidden="1"/>
    <cellStyle name="Hyperlink" xfId="22146" builtinId="8" hidden="1"/>
    <cellStyle name="Hyperlink" xfId="21783" builtinId="8" hidden="1"/>
    <cellStyle name="Hyperlink" xfId="21672" builtinId="8" hidden="1"/>
    <cellStyle name="Hyperlink" xfId="21668" builtinId="8" hidden="1"/>
    <cellStyle name="Hyperlink" xfId="21716" builtinId="8" hidden="1"/>
    <cellStyle name="Hyperlink" xfId="21677" builtinId="8" hidden="1"/>
    <cellStyle name="Hyperlink" xfId="21753" builtinId="8" hidden="1"/>
    <cellStyle name="Hyperlink" xfId="22663" builtinId="8" hidden="1"/>
    <cellStyle name="Hyperlink" xfId="22665" builtinId="8" hidden="1"/>
    <cellStyle name="Hyperlink" xfId="22667" builtinId="8" hidden="1"/>
    <cellStyle name="Hyperlink" xfId="22669" builtinId="8" hidden="1"/>
    <cellStyle name="Hyperlink" xfId="22671" builtinId="8" hidden="1"/>
    <cellStyle name="Hyperlink" xfId="22673" builtinId="8" hidden="1"/>
    <cellStyle name="Hyperlink" xfId="22723" builtinId="8" hidden="1"/>
    <cellStyle name="Hyperlink" xfId="22725" builtinId="8" hidden="1"/>
    <cellStyle name="Hyperlink" xfId="22727" builtinId="8" hidden="1"/>
    <cellStyle name="Hyperlink" xfId="22729" builtinId="8" hidden="1"/>
    <cellStyle name="Hyperlink" xfId="22719" builtinId="8" hidden="1"/>
    <cellStyle name="Hyperlink" xfId="22709" builtinId="8" hidden="1"/>
    <cellStyle name="Hyperlink" xfId="22731" builtinId="8" hidden="1"/>
    <cellStyle name="Hyperlink" xfId="22733" builtinId="8" hidden="1"/>
    <cellStyle name="Hyperlink" xfId="22735" builtinId="8" hidden="1"/>
    <cellStyle name="Hyperlink" xfId="22737" builtinId="8" hidden="1"/>
    <cellStyle name="Hyperlink" xfId="22703" builtinId="8" hidden="1"/>
    <cellStyle name="Hyperlink" xfId="22689" builtinId="8" hidden="1"/>
    <cellStyle name="Hyperlink" xfId="22739" builtinId="8" hidden="1"/>
    <cellStyle name="Hyperlink" xfId="22741" builtinId="8" hidden="1"/>
    <cellStyle name="Hyperlink" xfId="22743" builtinId="8" hidden="1"/>
    <cellStyle name="Hyperlink" xfId="22745" builtinId="8" hidden="1"/>
    <cellStyle name="Hyperlink" xfId="22708" builtinId="8" hidden="1"/>
    <cellStyle name="Hyperlink" xfId="22677" builtinId="8" hidden="1"/>
    <cellStyle name="Hyperlink" xfId="22747" builtinId="8" hidden="1"/>
    <cellStyle name="Hyperlink" xfId="22749" builtinId="8" hidden="1"/>
    <cellStyle name="Hyperlink" xfId="22751" builtinId="8" hidden="1"/>
    <cellStyle name="Hyperlink" xfId="22753" builtinId="8" hidden="1"/>
    <cellStyle name="Hyperlink" xfId="22678" builtinId="8" hidden="1"/>
    <cellStyle name="Hyperlink" xfId="22711" builtinId="8" hidden="1"/>
    <cellStyle name="Hyperlink" xfId="22755" builtinId="8" hidden="1"/>
    <cellStyle name="Hyperlink" xfId="22757" builtinId="8" hidden="1"/>
    <cellStyle name="Hyperlink" xfId="22759" builtinId="8" hidden="1"/>
    <cellStyle name="Hyperlink" xfId="22761" builtinId="8" hidden="1"/>
    <cellStyle name="Hyperlink" xfId="22680" builtinId="8" hidden="1"/>
    <cellStyle name="Hyperlink" xfId="22721" builtinId="8" hidden="1"/>
    <cellStyle name="Hyperlink" xfId="22763" builtinId="8" hidden="1"/>
    <cellStyle name="Hyperlink" xfId="22765" builtinId="8" hidden="1"/>
    <cellStyle name="Hyperlink" xfId="22767" builtinId="8" hidden="1"/>
    <cellStyle name="Hyperlink" xfId="22769" builtinId="8" hidden="1"/>
    <cellStyle name="Hyperlink" xfId="22701" builtinId="8" hidden="1"/>
    <cellStyle name="Hyperlink" xfId="22704" builtinId="8" hidden="1"/>
    <cellStyle name="Hyperlink" xfId="22771" builtinId="8" hidden="1"/>
    <cellStyle name="Hyperlink" xfId="22773" builtinId="8" hidden="1"/>
    <cellStyle name="Hyperlink" xfId="22775" builtinId="8" hidden="1"/>
    <cellStyle name="Hyperlink" xfId="22777" builtinId="8" hidden="1"/>
    <cellStyle name="Hyperlink" xfId="22705" builtinId="8" hidden="1"/>
    <cellStyle name="Hyperlink" xfId="22702" builtinId="8" hidden="1"/>
    <cellStyle name="Hyperlink" xfId="22779" builtinId="8" hidden="1"/>
    <cellStyle name="Hyperlink" xfId="22781" builtinId="8" hidden="1"/>
    <cellStyle name="Hyperlink" xfId="22783" builtinId="8" hidden="1"/>
    <cellStyle name="Hyperlink" xfId="22785" builtinId="8" hidden="1"/>
    <cellStyle name="Hyperlink" xfId="22720" builtinId="8" hidden="1"/>
    <cellStyle name="Hyperlink" xfId="22697" builtinId="8" hidden="1"/>
    <cellStyle name="Hyperlink" xfId="22787" builtinId="8" hidden="1"/>
    <cellStyle name="Hyperlink" xfId="22789" builtinId="8" hidden="1"/>
    <cellStyle name="Hyperlink" xfId="22791" builtinId="8" hidden="1"/>
    <cellStyle name="Hyperlink" xfId="22793" builtinId="8" hidden="1"/>
    <cellStyle name="Hyperlink" xfId="22675" builtinId="8" hidden="1"/>
    <cellStyle name="Hyperlink" xfId="22676" builtinId="8" hidden="1"/>
    <cellStyle name="Hyperlink" xfId="22795" builtinId="8" hidden="1"/>
    <cellStyle name="Hyperlink" xfId="22797" builtinId="8" hidden="1"/>
    <cellStyle name="Hyperlink" xfId="22799" builtinId="8" hidden="1"/>
    <cellStyle name="Hyperlink" xfId="22801" builtinId="8" hidden="1"/>
    <cellStyle name="Hyperlink" xfId="22681" builtinId="8" hidden="1"/>
    <cellStyle name="Hyperlink" xfId="22717" builtinId="8" hidden="1"/>
    <cellStyle name="Hyperlink" xfId="22803" builtinId="8" hidden="1"/>
    <cellStyle name="Hyperlink" xfId="22805" builtinId="8" hidden="1"/>
    <cellStyle name="Hyperlink" xfId="22807" builtinId="8" hidden="1"/>
    <cellStyle name="Hyperlink" xfId="22809" builtinId="8" hidden="1"/>
    <cellStyle name="Hyperlink" xfId="22686" builtinId="8" hidden="1"/>
    <cellStyle name="Hyperlink" xfId="22706" builtinId="8" hidden="1"/>
    <cellStyle name="Hyperlink" xfId="22811" builtinId="8" hidden="1"/>
    <cellStyle name="Hyperlink" xfId="22813" builtinId="8" hidden="1"/>
    <cellStyle name="Hyperlink" xfId="22815" builtinId="8" hidden="1"/>
    <cellStyle name="Hyperlink" xfId="22817" builtinId="8" hidden="1"/>
    <cellStyle name="Hyperlink" xfId="22693" builtinId="8" hidden="1"/>
    <cellStyle name="Hyperlink" xfId="22691" builtinId="8" hidden="1"/>
    <cellStyle name="Hyperlink" xfId="22819" builtinId="8" hidden="1"/>
    <cellStyle name="Hyperlink" xfId="22821" builtinId="8" hidden="1"/>
    <cellStyle name="Hyperlink" xfId="22823" builtinId="8" hidden="1"/>
    <cellStyle name="Hyperlink" xfId="22825" builtinId="8" hidden="1"/>
    <cellStyle name="Hyperlink" xfId="21669" builtinId="8" hidden="1"/>
    <cellStyle name="Hyperlink" xfId="21784" builtinId="8" hidden="1"/>
    <cellStyle name="Hyperlink" xfId="22153" builtinId="8" hidden="1"/>
    <cellStyle name="Hyperlink" xfId="21786" builtinId="8" hidden="1"/>
    <cellStyle name="Hyperlink" xfId="21767" builtinId="8" hidden="1"/>
    <cellStyle name="Hyperlink" xfId="21799" builtinId="8" hidden="1"/>
    <cellStyle name="Hyperlink" xfId="21674" builtinId="8" hidden="1"/>
    <cellStyle name="Hyperlink" xfId="21801" builtinId="8" hidden="1"/>
    <cellStyle name="Hyperlink" xfId="22830" builtinId="8" hidden="1"/>
    <cellStyle name="Hyperlink" xfId="22832" builtinId="8" hidden="1"/>
    <cellStyle name="Hyperlink" xfId="22834" builtinId="8" hidden="1"/>
    <cellStyle name="Hyperlink" xfId="22836" builtinId="8" hidden="1"/>
    <cellStyle name="Hyperlink" xfId="22838" builtinId="8" hidden="1"/>
    <cellStyle name="Hyperlink" xfId="22840" builtinId="8" hidden="1"/>
    <cellStyle name="Hyperlink" xfId="22890" builtinId="8" hidden="1"/>
    <cellStyle name="Hyperlink" xfId="22892" builtinId="8" hidden="1"/>
    <cellStyle name="Hyperlink" xfId="22894" builtinId="8" hidden="1"/>
    <cellStyle name="Hyperlink" xfId="22896" builtinId="8" hidden="1"/>
    <cellStyle name="Hyperlink" xfId="22886" builtinId="8" hidden="1"/>
    <cellStyle name="Hyperlink" xfId="22876" builtinId="8" hidden="1"/>
    <cellStyle name="Hyperlink" xfId="22898" builtinId="8" hidden="1"/>
    <cellStyle name="Hyperlink" xfId="22900" builtinId="8" hidden="1"/>
    <cellStyle name="Hyperlink" xfId="22902" builtinId="8" hidden="1"/>
    <cellStyle name="Hyperlink" xfId="22904" builtinId="8" hidden="1"/>
    <cellStyle name="Hyperlink" xfId="22870" builtinId="8" hidden="1"/>
    <cellStyle name="Hyperlink" xfId="22856" builtinId="8" hidden="1"/>
    <cellStyle name="Hyperlink" xfId="22906" builtinId="8" hidden="1"/>
    <cellStyle name="Hyperlink" xfId="22908" builtinId="8" hidden="1"/>
    <cellStyle name="Hyperlink" xfId="22910" builtinId="8" hidden="1"/>
    <cellStyle name="Hyperlink" xfId="22912" builtinId="8" hidden="1"/>
    <cellStyle name="Hyperlink" xfId="22875" builtinId="8" hidden="1"/>
    <cellStyle name="Hyperlink" xfId="22844" builtinId="8" hidden="1"/>
    <cellStyle name="Hyperlink" xfId="22914" builtinId="8" hidden="1"/>
    <cellStyle name="Hyperlink" xfId="22916" builtinId="8" hidden="1"/>
    <cellStyle name="Hyperlink" xfId="22918" builtinId="8" hidden="1"/>
    <cellStyle name="Hyperlink" xfId="22920" builtinId="8" hidden="1"/>
    <cellStyle name="Hyperlink" xfId="22845" builtinId="8" hidden="1"/>
    <cellStyle name="Hyperlink" xfId="22878" builtinId="8" hidden="1"/>
    <cellStyle name="Hyperlink" xfId="22922" builtinId="8" hidden="1"/>
    <cellStyle name="Hyperlink" xfId="22924" builtinId="8" hidden="1"/>
    <cellStyle name="Hyperlink" xfId="22926" builtinId="8" hidden="1"/>
    <cellStyle name="Hyperlink" xfId="22928" builtinId="8" hidden="1"/>
    <cellStyle name="Hyperlink" xfId="22847" builtinId="8" hidden="1"/>
    <cellStyle name="Hyperlink" xfId="22888" builtinId="8" hidden="1"/>
    <cellStyle name="Hyperlink" xfId="22930" builtinId="8" hidden="1"/>
    <cellStyle name="Hyperlink" xfId="22932" builtinId="8" hidden="1"/>
    <cellStyle name="Hyperlink" xfId="22934" builtinId="8" hidden="1"/>
    <cellStyle name="Hyperlink" xfId="22936" builtinId="8" hidden="1"/>
    <cellStyle name="Hyperlink" xfId="22868" builtinId="8" hidden="1"/>
    <cellStyle name="Hyperlink" xfId="22871" builtinId="8" hidden="1"/>
    <cellStyle name="Hyperlink" xfId="22938" builtinId="8" hidden="1"/>
    <cellStyle name="Hyperlink" xfId="22940" builtinId="8" hidden="1"/>
    <cellStyle name="Hyperlink" xfId="22942" builtinId="8" hidden="1"/>
    <cellStyle name="Hyperlink" xfId="22944" builtinId="8" hidden="1"/>
    <cellStyle name="Hyperlink" xfId="22872" builtinId="8" hidden="1"/>
    <cellStyle name="Hyperlink" xfId="22869" builtinId="8" hidden="1"/>
    <cellStyle name="Hyperlink" xfId="22946" builtinId="8" hidden="1"/>
    <cellStyle name="Hyperlink" xfId="22948" builtinId="8" hidden="1"/>
    <cellStyle name="Hyperlink" xfId="22950" builtinId="8" hidden="1"/>
    <cellStyle name="Hyperlink" xfId="22952" builtinId="8" hidden="1"/>
    <cellStyle name="Hyperlink" xfId="22887" builtinId="8" hidden="1"/>
    <cellStyle name="Hyperlink" xfId="22864" builtinId="8" hidden="1"/>
    <cellStyle name="Hyperlink" xfId="22954" builtinId="8" hidden="1"/>
    <cellStyle name="Hyperlink" xfId="22956" builtinId="8" hidden="1"/>
    <cellStyle name="Hyperlink" xfId="22958" builtinId="8" hidden="1"/>
    <cellStyle name="Hyperlink" xfId="22960" builtinId="8" hidden="1"/>
    <cellStyle name="Hyperlink" xfId="22842" builtinId="8" hidden="1"/>
    <cellStyle name="Hyperlink" xfId="22843" builtinId="8" hidden="1"/>
    <cellStyle name="Hyperlink" xfId="22962" builtinId="8" hidden="1"/>
    <cellStyle name="Hyperlink" xfId="22964" builtinId="8" hidden="1"/>
    <cellStyle name="Hyperlink" xfId="22966" builtinId="8" hidden="1"/>
    <cellStyle name="Hyperlink" xfId="22968" builtinId="8" hidden="1"/>
    <cellStyle name="Hyperlink" xfId="22848" builtinId="8" hidden="1"/>
    <cellStyle name="Hyperlink" xfId="22884" builtinId="8" hidden="1"/>
    <cellStyle name="Hyperlink" xfId="22970" builtinId="8" hidden="1"/>
    <cellStyle name="Hyperlink" xfId="22972" builtinId="8" hidden="1"/>
    <cellStyle name="Hyperlink" xfId="22974" builtinId="8" hidden="1"/>
    <cellStyle name="Hyperlink" xfId="22976" builtinId="8" hidden="1"/>
    <cellStyle name="Hyperlink" xfId="22853" builtinId="8" hidden="1"/>
    <cellStyle name="Hyperlink" xfId="22873" builtinId="8" hidden="1"/>
    <cellStyle name="Hyperlink" xfId="22978" builtinId="8" hidden="1"/>
    <cellStyle name="Hyperlink" xfId="22980" builtinId="8" hidden="1"/>
    <cellStyle name="Hyperlink" xfId="22982" builtinId="8" hidden="1"/>
    <cellStyle name="Hyperlink" xfId="22984" builtinId="8" hidden="1"/>
    <cellStyle name="Hyperlink" xfId="22860" builtinId="8" hidden="1"/>
    <cellStyle name="Hyperlink" xfId="22858" builtinId="8" hidden="1"/>
    <cellStyle name="Hyperlink" xfId="22986" builtinId="8" hidden="1"/>
    <cellStyle name="Hyperlink" xfId="22988" builtinId="8" hidden="1"/>
    <cellStyle name="Hyperlink" xfId="22990" builtinId="8" hidden="1"/>
    <cellStyle name="Hyperlink" xfId="22992" builtinId="8" hidden="1"/>
    <cellStyle name="Hyperlink" xfId="21810" builtinId="8" hidden="1"/>
    <cellStyle name="Hyperlink" xfId="21781" builtinId="8" hidden="1"/>
    <cellStyle name="Hyperlink" xfId="22323" builtinId="8" hidden="1"/>
    <cellStyle name="Hyperlink" xfId="21806" builtinId="8" hidden="1"/>
    <cellStyle name="Hyperlink" xfId="21743" builtinId="8" hidden="1"/>
    <cellStyle name="Hyperlink" xfId="21684" builtinId="8" hidden="1"/>
    <cellStyle name="Hyperlink" xfId="21798" builtinId="8" hidden="1"/>
    <cellStyle name="Hyperlink" xfId="21791" builtinId="8" hidden="1"/>
    <cellStyle name="Hyperlink" xfId="22997" builtinId="8" hidden="1"/>
    <cellStyle name="Hyperlink" xfId="22999" builtinId="8" hidden="1"/>
    <cellStyle name="Hyperlink" xfId="23001" builtinId="8" hidden="1"/>
    <cellStyle name="Hyperlink" xfId="23003" builtinId="8" hidden="1"/>
    <cellStyle name="Hyperlink" xfId="23005" builtinId="8" hidden="1"/>
    <cellStyle name="Hyperlink" xfId="23007" builtinId="8" hidden="1"/>
    <cellStyle name="Hyperlink" xfId="23057" builtinId="8" hidden="1"/>
    <cellStyle name="Hyperlink" xfId="23059" builtinId="8" hidden="1"/>
    <cellStyle name="Hyperlink" xfId="23061" builtinId="8" hidden="1"/>
    <cellStyle name="Hyperlink" xfId="23063" builtinId="8" hidden="1"/>
    <cellStyle name="Hyperlink" xfId="23053" builtinId="8" hidden="1"/>
    <cellStyle name="Hyperlink" xfId="23043" builtinId="8" hidden="1"/>
    <cellStyle name="Hyperlink" xfId="23065" builtinId="8" hidden="1"/>
    <cellStyle name="Hyperlink" xfId="23067" builtinId="8" hidden="1"/>
    <cellStyle name="Hyperlink" xfId="23069" builtinId="8" hidden="1"/>
    <cellStyle name="Hyperlink" xfId="23071" builtinId="8" hidden="1"/>
    <cellStyle name="Hyperlink" xfId="23037" builtinId="8" hidden="1"/>
    <cellStyle name="Hyperlink" xfId="23023" builtinId="8" hidden="1"/>
    <cellStyle name="Hyperlink" xfId="23073" builtinId="8" hidden="1"/>
    <cellStyle name="Hyperlink" xfId="23075" builtinId="8" hidden="1"/>
    <cellStyle name="Hyperlink" xfId="23077" builtinId="8" hidden="1"/>
    <cellStyle name="Hyperlink" xfId="23079" builtinId="8" hidden="1"/>
    <cellStyle name="Hyperlink" xfId="23042" builtinId="8" hidden="1"/>
    <cellStyle name="Hyperlink" xfId="23011" builtinId="8" hidden="1"/>
    <cellStyle name="Hyperlink" xfId="23081" builtinId="8" hidden="1"/>
    <cellStyle name="Hyperlink" xfId="23083" builtinId="8" hidden="1"/>
    <cellStyle name="Hyperlink" xfId="23085" builtinId="8" hidden="1"/>
    <cellStyle name="Hyperlink" xfId="23087" builtinId="8" hidden="1"/>
    <cellStyle name="Hyperlink" xfId="23012" builtinId="8" hidden="1"/>
    <cellStyle name="Hyperlink" xfId="23045" builtinId="8" hidden="1"/>
    <cellStyle name="Hyperlink" xfId="23089" builtinId="8" hidden="1"/>
    <cellStyle name="Hyperlink" xfId="23091" builtinId="8" hidden="1"/>
    <cellStyle name="Hyperlink" xfId="23093" builtinId="8" hidden="1"/>
    <cellStyle name="Hyperlink" xfId="23095" builtinId="8" hidden="1"/>
    <cellStyle name="Hyperlink" xfId="23014" builtinId="8" hidden="1"/>
    <cellStyle name="Hyperlink" xfId="23055" builtinId="8" hidden="1"/>
    <cellStyle name="Hyperlink" xfId="23097" builtinId="8" hidden="1"/>
    <cellStyle name="Hyperlink" xfId="23099" builtinId="8" hidden="1"/>
    <cellStyle name="Hyperlink" xfId="23101" builtinId="8" hidden="1"/>
    <cellStyle name="Hyperlink" xfId="23103" builtinId="8" hidden="1"/>
    <cellStyle name="Hyperlink" xfId="23035" builtinId="8" hidden="1"/>
    <cellStyle name="Hyperlink" xfId="23038" builtinId="8" hidden="1"/>
    <cellStyle name="Hyperlink" xfId="23105" builtinId="8" hidden="1"/>
    <cellStyle name="Hyperlink" xfId="23107" builtinId="8" hidden="1"/>
    <cellStyle name="Hyperlink" xfId="23109" builtinId="8" hidden="1"/>
    <cellStyle name="Hyperlink" xfId="23111" builtinId="8" hidden="1"/>
    <cellStyle name="Hyperlink" xfId="23039" builtinId="8" hidden="1"/>
    <cellStyle name="Hyperlink" xfId="23036" builtinId="8" hidden="1"/>
    <cellStyle name="Hyperlink" xfId="23113" builtinId="8" hidden="1"/>
    <cellStyle name="Hyperlink" xfId="23115" builtinId="8" hidden="1"/>
    <cellStyle name="Hyperlink" xfId="23117" builtinId="8" hidden="1"/>
    <cellStyle name="Hyperlink" xfId="23119" builtinId="8" hidden="1"/>
    <cellStyle name="Hyperlink" xfId="23054" builtinId="8" hidden="1"/>
    <cellStyle name="Hyperlink" xfId="23031" builtinId="8" hidden="1"/>
    <cellStyle name="Hyperlink" xfId="23121" builtinId="8" hidden="1"/>
    <cellStyle name="Hyperlink" xfId="23123" builtinId="8" hidden="1"/>
    <cellStyle name="Hyperlink" xfId="23125" builtinId="8" hidden="1"/>
    <cellStyle name="Hyperlink" xfId="23127" builtinId="8" hidden="1"/>
    <cellStyle name="Hyperlink" xfId="23009" builtinId="8" hidden="1"/>
    <cellStyle name="Hyperlink" xfId="23010" builtinId="8" hidden="1"/>
    <cellStyle name="Hyperlink" xfId="23129" builtinId="8" hidden="1"/>
    <cellStyle name="Hyperlink" xfId="23131" builtinId="8" hidden="1"/>
    <cellStyle name="Hyperlink" xfId="23133" builtinId="8" hidden="1"/>
    <cellStyle name="Hyperlink" xfId="23135" builtinId="8" hidden="1"/>
    <cellStyle name="Hyperlink" xfId="23015" builtinId="8" hidden="1"/>
    <cellStyle name="Hyperlink" xfId="23051" builtinId="8" hidden="1"/>
    <cellStyle name="Hyperlink" xfId="23137" builtinId="8" hidden="1"/>
    <cellStyle name="Hyperlink" xfId="23139" builtinId="8" hidden="1"/>
    <cellStyle name="Hyperlink" xfId="23141" builtinId="8" hidden="1"/>
    <cellStyle name="Hyperlink" xfId="23143" builtinId="8" hidden="1"/>
    <cellStyle name="Hyperlink" xfId="23020" builtinId="8" hidden="1"/>
    <cellStyle name="Hyperlink" xfId="23040" builtinId="8" hidden="1"/>
    <cellStyle name="Hyperlink" xfId="23145" builtinId="8" hidden="1"/>
    <cellStyle name="Hyperlink" xfId="23147" builtinId="8" hidden="1"/>
    <cellStyle name="Hyperlink" xfId="23149" builtinId="8" hidden="1"/>
    <cellStyle name="Hyperlink" xfId="23151" builtinId="8" hidden="1"/>
    <cellStyle name="Hyperlink" xfId="23027" builtinId="8" hidden="1"/>
    <cellStyle name="Hyperlink" xfId="23025" builtinId="8" hidden="1"/>
    <cellStyle name="Hyperlink" xfId="23153" builtinId="8" hidden="1"/>
    <cellStyle name="Hyperlink" xfId="23155" builtinId="8" hidden="1"/>
    <cellStyle name="Hyperlink" xfId="23157" builtinId="8" hidden="1"/>
    <cellStyle name="Hyperlink" xfId="23159" builtinId="8" hidden="1"/>
    <cellStyle name="Hyperlink" xfId="21785" builtinId="8" hidden="1"/>
    <cellStyle name="Hyperlink" xfId="21769" builtinId="8" hidden="1"/>
    <cellStyle name="Hyperlink" xfId="22492" builtinId="8" hidden="1"/>
    <cellStyle name="Hyperlink" xfId="21748" builtinId="8" hidden="1"/>
    <cellStyle name="Hyperlink" xfId="21665" builtinId="8" hidden="1"/>
    <cellStyle name="Hyperlink" xfId="21727" builtinId="8" hidden="1"/>
    <cellStyle name="Hyperlink" xfId="22149" builtinId="8" hidden="1"/>
    <cellStyle name="Hyperlink" xfId="21746" builtinId="8" hidden="1"/>
    <cellStyle name="Hyperlink" xfId="23162" builtinId="8" hidden="1"/>
    <cellStyle name="Hyperlink" xfId="23164" builtinId="8" hidden="1"/>
    <cellStyle name="Hyperlink" xfId="23166" builtinId="8" hidden="1"/>
    <cellStyle name="Hyperlink" xfId="23168" builtinId="8" hidden="1"/>
    <cellStyle name="Hyperlink" xfId="23170" builtinId="8" hidden="1"/>
    <cellStyle name="Hyperlink" xfId="23172" builtinId="8" hidden="1"/>
    <cellStyle name="Hyperlink" xfId="23222" builtinId="8" hidden="1"/>
    <cellStyle name="Hyperlink" xfId="23224" builtinId="8" hidden="1"/>
    <cellStyle name="Hyperlink" xfId="23226" builtinId="8" hidden="1"/>
    <cellStyle name="Hyperlink" xfId="23228" builtinId="8" hidden="1"/>
    <cellStyle name="Hyperlink" xfId="23218" builtinId="8" hidden="1"/>
    <cellStyle name="Hyperlink" xfId="23208" builtinId="8" hidden="1"/>
    <cellStyle name="Hyperlink" xfId="23230" builtinId="8" hidden="1"/>
    <cellStyle name="Hyperlink" xfId="23232" builtinId="8" hidden="1"/>
    <cellStyle name="Hyperlink" xfId="23234" builtinId="8" hidden="1"/>
    <cellStyle name="Hyperlink" xfId="23236" builtinId="8" hidden="1"/>
    <cellStyle name="Hyperlink" xfId="23202" builtinId="8" hidden="1"/>
    <cellStyle name="Hyperlink" xfId="23188" builtinId="8" hidden="1"/>
    <cellStyle name="Hyperlink" xfId="23238" builtinId="8" hidden="1"/>
    <cellStyle name="Hyperlink" xfId="23240" builtinId="8" hidden="1"/>
    <cellStyle name="Hyperlink" xfId="23242" builtinId="8" hidden="1"/>
    <cellStyle name="Hyperlink" xfId="23244" builtinId="8" hidden="1"/>
    <cellStyle name="Hyperlink" xfId="23207" builtinId="8" hidden="1"/>
    <cellStyle name="Hyperlink" xfId="23176" builtinId="8" hidden="1"/>
    <cellStyle name="Hyperlink" xfId="23246" builtinId="8" hidden="1"/>
    <cellStyle name="Hyperlink" xfId="23248" builtinId="8" hidden="1"/>
    <cellStyle name="Hyperlink" xfId="23250" builtinId="8" hidden="1"/>
    <cellStyle name="Hyperlink" xfId="23252" builtinId="8" hidden="1"/>
    <cellStyle name="Hyperlink" xfId="23177" builtinId="8" hidden="1"/>
    <cellStyle name="Hyperlink" xfId="23210" builtinId="8" hidden="1"/>
    <cellStyle name="Hyperlink" xfId="23254" builtinId="8" hidden="1"/>
    <cellStyle name="Hyperlink" xfId="23256" builtinId="8" hidden="1"/>
    <cellStyle name="Hyperlink" xfId="23258" builtinId="8" hidden="1"/>
    <cellStyle name="Hyperlink" xfId="23260" builtinId="8" hidden="1"/>
    <cellStyle name="Hyperlink" xfId="23179" builtinId="8" hidden="1"/>
    <cellStyle name="Hyperlink" xfId="23220" builtinId="8" hidden="1"/>
    <cellStyle name="Hyperlink" xfId="23262" builtinId="8" hidden="1"/>
    <cellStyle name="Hyperlink" xfId="23264" builtinId="8" hidden="1"/>
    <cellStyle name="Hyperlink" xfId="23266" builtinId="8" hidden="1"/>
    <cellStyle name="Hyperlink" xfId="23268" builtinId="8" hidden="1"/>
    <cellStyle name="Hyperlink" xfId="23200" builtinId="8" hidden="1"/>
    <cellStyle name="Hyperlink" xfId="23203" builtinId="8" hidden="1"/>
    <cellStyle name="Hyperlink" xfId="23270" builtinId="8" hidden="1"/>
    <cellStyle name="Hyperlink" xfId="23272" builtinId="8" hidden="1"/>
    <cellStyle name="Hyperlink" xfId="23274" builtinId="8" hidden="1"/>
    <cellStyle name="Hyperlink" xfId="23276" builtinId="8" hidden="1"/>
    <cellStyle name="Hyperlink" xfId="23204" builtinId="8" hidden="1"/>
    <cellStyle name="Hyperlink" xfId="23201" builtinId="8" hidden="1"/>
    <cellStyle name="Hyperlink" xfId="23278" builtinId="8" hidden="1"/>
    <cellStyle name="Hyperlink" xfId="23280" builtinId="8" hidden="1"/>
    <cellStyle name="Hyperlink" xfId="23282" builtinId="8" hidden="1"/>
    <cellStyle name="Hyperlink" xfId="23284" builtinId="8" hidden="1"/>
    <cellStyle name="Hyperlink" xfId="23219" builtinId="8" hidden="1"/>
    <cellStyle name="Hyperlink" xfId="23196" builtinId="8" hidden="1"/>
    <cellStyle name="Hyperlink" xfId="23286" builtinId="8" hidden="1"/>
    <cellStyle name="Hyperlink" xfId="23288" builtinId="8" hidden="1"/>
    <cellStyle name="Hyperlink" xfId="23290" builtinId="8" hidden="1"/>
    <cellStyle name="Hyperlink" xfId="23292" builtinId="8" hidden="1"/>
    <cellStyle name="Hyperlink" xfId="23174" builtinId="8" hidden="1"/>
    <cellStyle name="Hyperlink" xfId="23175" builtinId="8" hidden="1"/>
    <cellStyle name="Hyperlink" xfId="23294" builtinId="8" hidden="1"/>
    <cellStyle name="Hyperlink" xfId="23296" builtinId="8" hidden="1"/>
    <cellStyle name="Hyperlink" xfId="23298" builtinId="8" hidden="1"/>
    <cellStyle name="Hyperlink" xfId="23300" builtinId="8" hidden="1"/>
    <cellStyle name="Hyperlink" xfId="23180" builtinId="8" hidden="1"/>
    <cellStyle name="Hyperlink" xfId="23216" builtinId="8" hidden="1"/>
    <cellStyle name="Hyperlink" xfId="23302" builtinId="8" hidden="1"/>
    <cellStyle name="Hyperlink" xfId="23304" builtinId="8" hidden="1"/>
    <cellStyle name="Hyperlink" xfId="23306" builtinId="8" hidden="1"/>
    <cellStyle name="Hyperlink" xfId="23308" builtinId="8" hidden="1"/>
    <cellStyle name="Hyperlink" xfId="23185" builtinId="8" hidden="1"/>
    <cellStyle name="Hyperlink" xfId="23205" builtinId="8" hidden="1"/>
    <cellStyle name="Hyperlink" xfId="23310" builtinId="8" hidden="1"/>
    <cellStyle name="Hyperlink" xfId="23312" builtinId="8" hidden="1"/>
    <cellStyle name="Hyperlink" xfId="23314" builtinId="8" hidden="1"/>
    <cellStyle name="Hyperlink" xfId="23316" builtinId="8" hidden="1"/>
    <cellStyle name="Hyperlink" xfId="23192" builtinId="8" hidden="1"/>
    <cellStyle name="Hyperlink" xfId="23190" builtinId="8" hidden="1"/>
    <cellStyle name="Hyperlink" xfId="23318" builtinId="8" hidden="1"/>
    <cellStyle name="Hyperlink" xfId="23320" builtinId="8" hidden="1"/>
    <cellStyle name="Hyperlink" xfId="23322" builtinId="8" hidden="1"/>
    <cellStyle name="Hyperlink" xfId="23324" builtinId="8" hidden="1"/>
    <cellStyle name="Hyperlink" xfId="21805" builtinId="8" hidden="1"/>
    <cellStyle name="Hyperlink" xfId="21689" builtinId="8" hidden="1"/>
    <cellStyle name="Hyperlink" xfId="22661" builtinId="8" hidden="1"/>
    <cellStyle name="Hyperlink" xfId="21670" builtinId="8" hidden="1"/>
    <cellStyle name="Hyperlink" xfId="21728" builtinId="8" hidden="1"/>
    <cellStyle name="Hyperlink" xfId="21763" builtinId="8" hidden="1"/>
    <cellStyle name="Hyperlink" xfId="22319" builtinId="8" hidden="1"/>
    <cellStyle name="Hyperlink" xfId="21685" builtinId="8" hidden="1"/>
    <cellStyle name="Hyperlink" xfId="23327" builtinId="8" hidden="1"/>
    <cellStyle name="Hyperlink" xfId="23329" builtinId="8" hidden="1"/>
    <cellStyle name="Hyperlink" xfId="23331" builtinId="8" hidden="1"/>
    <cellStyle name="Hyperlink" xfId="23333" builtinId="8" hidden="1"/>
    <cellStyle name="Hyperlink" xfId="23335" builtinId="8" hidden="1"/>
    <cellStyle name="Hyperlink" xfId="23337" builtinId="8" hidden="1"/>
    <cellStyle name="Hyperlink" xfId="23387" builtinId="8" hidden="1"/>
    <cellStyle name="Hyperlink" xfId="23389" builtinId="8" hidden="1"/>
    <cellStyle name="Hyperlink" xfId="23391" builtinId="8" hidden="1"/>
    <cellStyle name="Hyperlink" xfId="23393" builtinId="8" hidden="1"/>
    <cellStyle name="Hyperlink" xfId="23383" builtinId="8" hidden="1"/>
    <cellStyle name="Hyperlink" xfId="23373" builtinId="8" hidden="1"/>
    <cellStyle name="Hyperlink" xfId="23395" builtinId="8" hidden="1"/>
    <cellStyle name="Hyperlink" xfId="23397" builtinId="8" hidden="1"/>
    <cellStyle name="Hyperlink" xfId="23399" builtinId="8" hidden="1"/>
    <cellStyle name="Hyperlink" xfId="23401" builtinId="8" hidden="1"/>
    <cellStyle name="Hyperlink" xfId="23367" builtinId="8" hidden="1"/>
    <cellStyle name="Hyperlink" xfId="23353" builtinId="8" hidden="1"/>
    <cellStyle name="Hyperlink" xfId="23403" builtinId="8" hidden="1"/>
    <cellStyle name="Hyperlink" xfId="23405" builtinId="8" hidden="1"/>
    <cellStyle name="Hyperlink" xfId="23407" builtinId="8" hidden="1"/>
    <cellStyle name="Hyperlink" xfId="23409" builtinId="8" hidden="1"/>
    <cellStyle name="Hyperlink" xfId="23372" builtinId="8" hidden="1"/>
    <cellStyle name="Hyperlink" xfId="23341" builtinId="8" hidden="1"/>
    <cellStyle name="Hyperlink" xfId="23411" builtinId="8" hidden="1"/>
    <cellStyle name="Hyperlink" xfId="23413" builtinId="8" hidden="1"/>
    <cellStyle name="Hyperlink" xfId="23415" builtinId="8" hidden="1"/>
    <cellStyle name="Hyperlink" xfId="23417" builtinId="8" hidden="1"/>
    <cellStyle name="Hyperlink" xfId="23342" builtinId="8" hidden="1"/>
    <cellStyle name="Hyperlink" xfId="23375" builtinId="8" hidden="1"/>
    <cellStyle name="Hyperlink" xfId="23419" builtinId="8" hidden="1"/>
    <cellStyle name="Hyperlink" xfId="23421" builtinId="8" hidden="1"/>
    <cellStyle name="Hyperlink" xfId="23423" builtinId="8" hidden="1"/>
    <cellStyle name="Hyperlink" xfId="23425" builtinId="8" hidden="1"/>
    <cellStyle name="Hyperlink" xfId="23344" builtinId="8" hidden="1"/>
    <cellStyle name="Hyperlink" xfId="23385" builtinId="8" hidden="1"/>
    <cellStyle name="Hyperlink" xfId="23427" builtinId="8" hidden="1"/>
    <cellStyle name="Hyperlink" xfId="23429" builtinId="8" hidden="1"/>
    <cellStyle name="Hyperlink" xfId="23431" builtinId="8" hidden="1"/>
    <cellStyle name="Hyperlink" xfId="23433" builtinId="8" hidden="1"/>
    <cellStyle name="Hyperlink" xfId="23365" builtinId="8" hidden="1"/>
    <cellStyle name="Hyperlink" xfId="23368" builtinId="8" hidden="1"/>
    <cellStyle name="Hyperlink" xfId="23435" builtinId="8" hidden="1"/>
    <cellStyle name="Hyperlink" xfId="23437" builtinId="8" hidden="1"/>
    <cellStyle name="Hyperlink" xfId="23439" builtinId="8" hidden="1"/>
    <cellStyle name="Hyperlink" xfId="23441" builtinId="8" hidden="1"/>
    <cellStyle name="Hyperlink" xfId="23369" builtinId="8" hidden="1"/>
    <cellStyle name="Hyperlink" xfId="23366" builtinId="8" hidden="1"/>
    <cellStyle name="Hyperlink" xfId="23443" builtinId="8" hidden="1"/>
    <cellStyle name="Hyperlink" xfId="23445" builtinId="8" hidden="1"/>
    <cellStyle name="Hyperlink" xfId="23447" builtinId="8" hidden="1"/>
    <cellStyle name="Hyperlink" xfId="23449" builtinId="8" hidden="1"/>
    <cellStyle name="Hyperlink" xfId="23384" builtinId="8" hidden="1"/>
    <cellStyle name="Hyperlink" xfId="23361" builtinId="8" hidden="1"/>
    <cellStyle name="Hyperlink" xfId="23451" builtinId="8" hidden="1"/>
    <cellStyle name="Hyperlink" xfId="23453" builtinId="8" hidden="1"/>
    <cellStyle name="Hyperlink" xfId="23455" builtinId="8" hidden="1"/>
    <cellStyle name="Hyperlink" xfId="23457" builtinId="8" hidden="1"/>
    <cellStyle name="Hyperlink" xfId="23339" builtinId="8" hidden="1"/>
    <cellStyle name="Hyperlink" xfId="23340" builtinId="8" hidden="1"/>
    <cellStyle name="Hyperlink" xfId="23459" builtinId="8" hidden="1"/>
    <cellStyle name="Hyperlink" xfId="23461" builtinId="8" hidden="1"/>
    <cellStyle name="Hyperlink" xfId="23463" builtinId="8" hidden="1"/>
    <cellStyle name="Hyperlink" xfId="23465" builtinId="8" hidden="1"/>
    <cellStyle name="Hyperlink" xfId="23345" builtinId="8" hidden="1"/>
    <cellStyle name="Hyperlink" xfId="23381" builtinId="8" hidden="1"/>
    <cellStyle name="Hyperlink" xfId="23467" builtinId="8" hidden="1"/>
    <cellStyle name="Hyperlink" xfId="23469" builtinId="8" hidden="1"/>
    <cellStyle name="Hyperlink" xfId="23471" builtinId="8" hidden="1"/>
    <cellStyle name="Hyperlink" xfId="23473" builtinId="8" hidden="1"/>
    <cellStyle name="Hyperlink" xfId="23350" builtinId="8" hidden="1"/>
    <cellStyle name="Hyperlink" xfId="23370" builtinId="8" hidden="1"/>
    <cellStyle name="Hyperlink" xfId="23475" builtinId="8" hidden="1"/>
    <cellStyle name="Hyperlink" xfId="23477" builtinId="8" hidden="1"/>
    <cellStyle name="Hyperlink" xfId="23479" builtinId="8" hidden="1"/>
    <cellStyle name="Hyperlink" xfId="23481" builtinId="8" hidden="1"/>
    <cellStyle name="Hyperlink" xfId="23357" builtinId="8" hidden="1"/>
    <cellStyle name="Hyperlink" xfId="23355" builtinId="8" hidden="1"/>
    <cellStyle name="Hyperlink" xfId="23483" builtinId="8" hidden="1"/>
    <cellStyle name="Hyperlink" xfId="23485" builtinId="8" hidden="1"/>
    <cellStyle name="Hyperlink" xfId="23487" builtinId="8" hidden="1"/>
    <cellStyle name="Hyperlink" xfId="23489" builtinId="8" hidden="1"/>
    <cellStyle name="Hyperlink" xfId="21989" builtinId="8" hidden="1"/>
    <cellStyle name="Hyperlink" xfId="22148" builtinId="8" hidden="1"/>
    <cellStyle name="Hyperlink" xfId="22828" builtinId="8" hidden="1"/>
    <cellStyle name="Hyperlink" xfId="22150" builtinId="8" hidden="1"/>
    <cellStyle name="Hyperlink" xfId="21807" builtinId="8" hidden="1"/>
    <cellStyle name="Hyperlink" xfId="21757" builtinId="8" hidden="1"/>
    <cellStyle name="Hyperlink" xfId="22489" builtinId="8" hidden="1"/>
    <cellStyle name="Hyperlink" xfId="21775" builtinId="8" hidden="1"/>
    <cellStyle name="Hyperlink" xfId="23492" builtinId="8" hidden="1"/>
    <cellStyle name="Hyperlink" xfId="23494" builtinId="8" hidden="1"/>
    <cellStyle name="Hyperlink" xfId="23496" builtinId="8" hidden="1"/>
    <cellStyle name="Hyperlink" xfId="23498" builtinId="8" hidden="1"/>
    <cellStyle name="Hyperlink" xfId="23500" builtinId="8" hidden="1"/>
    <cellStyle name="Hyperlink" xfId="23502" builtinId="8" hidden="1"/>
    <cellStyle name="Hyperlink" xfId="23552" builtinId="8" hidden="1"/>
    <cellStyle name="Hyperlink" xfId="23554" builtinId="8" hidden="1"/>
    <cellStyle name="Hyperlink" xfId="23556" builtinId="8" hidden="1"/>
    <cellStyle name="Hyperlink" xfId="23558" builtinId="8" hidden="1"/>
    <cellStyle name="Hyperlink" xfId="23548" builtinId="8" hidden="1"/>
    <cellStyle name="Hyperlink" xfId="23538" builtinId="8" hidden="1"/>
    <cellStyle name="Hyperlink" xfId="23560" builtinId="8" hidden="1"/>
    <cellStyle name="Hyperlink" xfId="23562" builtinId="8" hidden="1"/>
    <cellStyle name="Hyperlink" xfId="23564" builtinId="8" hidden="1"/>
    <cellStyle name="Hyperlink" xfId="23566" builtinId="8" hidden="1"/>
    <cellStyle name="Hyperlink" xfId="23532" builtinId="8" hidden="1"/>
    <cellStyle name="Hyperlink" xfId="23518" builtinId="8" hidden="1"/>
    <cellStyle name="Hyperlink" xfId="23568" builtinId="8" hidden="1"/>
    <cellStyle name="Hyperlink" xfId="23570" builtinId="8" hidden="1"/>
    <cellStyle name="Hyperlink" xfId="23572" builtinId="8" hidden="1"/>
    <cellStyle name="Hyperlink" xfId="23574" builtinId="8" hidden="1"/>
    <cellStyle name="Hyperlink" xfId="23537" builtinId="8" hidden="1"/>
    <cellStyle name="Hyperlink" xfId="23506" builtinId="8" hidden="1"/>
    <cellStyle name="Hyperlink" xfId="23576" builtinId="8" hidden="1"/>
    <cellStyle name="Hyperlink" xfId="23578" builtinId="8" hidden="1"/>
    <cellStyle name="Hyperlink" xfId="23580" builtinId="8" hidden="1"/>
    <cellStyle name="Hyperlink" xfId="23582" builtinId="8" hidden="1"/>
    <cellStyle name="Hyperlink" xfId="23507" builtinId="8" hidden="1"/>
    <cellStyle name="Hyperlink" xfId="23540" builtinId="8" hidden="1"/>
    <cellStyle name="Hyperlink" xfId="23584" builtinId="8" hidden="1"/>
    <cellStyle name="Hyperlink" xfId="23586" builtinId="8" hidden="1"/>
    <cellStyle name="Hyperlink" xfId="23588" builtinId="8" hidden="1"/>
    <cellStyle name="Hyperlink" xfId="23590" builtinId="8" hidden="1"/>
    <cellStyle name="Hyperlink" xfId="23509" builtinId="8" hidden="1"/>
    <cellStyle name="Hyperlink" xfId="23550" builtinId="8" hidden="1"/>
    <cellStyle name="Hyperlink" xfId="23592" builtinId="8" hidden="1"/>
    <cellStyle name="Hyperlink" xfId="23594" builtinId="8" hidden="1"/>
    <cellStyle name="Hyperlink" xfId="23596" builtinId="8" hidden="1"/>
    <cellStyle name="Hyperlink" xfId="23598" builtinId="8" hidden="1"/>
    <cellStyle name="Hyperlink" xfId="23530" builtinId="8" hidden="1"/>
    <cellStyle name="Hyperlink" xfId="23533" builtinId="8" hidden="1"/>
    <cellStyle name="Hyperlink" xfId="23600" builtinId="8" hidden="1"/>
    <cellStyle name="Hyperlink" xfId="23602" builtinId="8" hidden="1"/>
    <cellStyle name="Hyperlink" xfId="23604" builtinId="8" hidden="1"/>
    <cellStyle name="Hyperlink" xfId="23606" builtinId="8" hidden="1"/>
    <cellStyle name="Hyperlink" xfId="23534" builtinId="8" hidden="1"/>
    <cellStyle name="Hyperlink" xfId="23531" builtinId="8" hidden="1"/>
    <cellStyle name="Hyperlink" xfId="23608" builtinId="8" hidden="1"/>
    <cellStyle name="Hyperlink" xfId="23610" builtinId="8" hidden="1"/>
    <cellStyle name="Hyperlink" xfId="23612" builtinId="8" hidden="1"/>
    <cellStyle name="Hyperlink" xfId="23614" builtinId="8" hidden="1"/>
    <cellStyle name="Hyperlink" xfId="23549" builtinId="8" hidden="1"/>
    <cellStyle name="Hyperlink" xfId="23526" builtinId="8" hidden="1"/>
    <cellStyle name="Hyperlink" xfId="23616" builtinId="8" hidden="1"/>
    <cellStyle name="Hyperlink" xfId="23618" builtinId="8" hidden="1"/>
    <cellStyle name="Hyperlink" xfId="23620" builtinId="8" hidden="1"/>
    <cellStyle name="Hyperlink" xfId="23622" builtinId="8" hidden="1"/>
    <cellStyle name="Hyperlink" xfId="23504" builtinId="8" hidden="1"/>
    <cellStyle name="Hyperlink" xfId="23505" builtinId="8" hidden="1"/>
    <cellStyle name="Hyperlink" xfId="23624" builtinId="8" hidden="1"/>
    <cellStyle name="Hyperlink" xfId="23626" builtinId="8" hidden="1"/>
    <cellStyle name="Hyperlink" xfId="23628" builtinId="8" hidden="1"/>
    <cellStyle name="Hyperlink" xfId="23630" builtinId="8" hidden="1"/>
    <cellStyle name="Hyperlink" xfId="23510" builtinId="8" hidden="1"/>
    <cellStyle name="Hyperlink" xfId="23546" builtinId="8" hidden="1"/>
    <cellStyle name="Hyperlink" xfId="23632" builtinId="8" hidden="1"/>
    <cellStyle name="Hyperlink" xfId="23634" builtinId="8" hidden="1"/>
    <cellStyle name="Hyperlink" xfId="23636" builtinId="8" hidden="1"/>
    <cellStyle name="Hyperlink" xfId="23638" builtinId="8" hidden="1"/>
    <cellStyle name="Hyperlink" xfId="23515" builtinId="8" hidden="1"/>
    <cellStyle name="Hyperlink" xfId="23535" builtinId="8" hidden="1"/>
    <cellStyle name="Hyperlink" xfId="23640" builtinId="8" hidden="1"/>
    <cellStyle name="Hyperlink" xfId="23642" builtinId="8" hidden="1"/>
    <cellStyle name="Hyperlink" xfId="23644" builtinId="8" hidden="1"/>
    <cellStyle name="Hyperlink" xfId="23646" builtinId="8" hidden="1"/>
    <cellStyle name="Hyperlink" xfId="23522" builtinId="8" hidden="1"/>
    <cellStyle name="Hyperlink" xfId="23520" builtinId="8" hidden="1"/>
    <cellStyle name="Hyperlink" xfId="23648" builtinId="8" hidden="1"/>
    <cellStyle name="Hyperlink" xfId="23650" builtinId="8" hidden="1"/>
    <cellStyle name="Hyperlink" xfId="23652" builtinId="8" hidden="1"/>
    <cellStyle name="Hyperlink" xfId="23654" builtinId="8" hidden="1"/>
    <cellStyle name="Hyperlink" xfId="21691" builtinId="8" hidden="1"/>
    <cellStyle name="Hyperlink" xfId="21780" builtinId="8" hidden="1"/>
    <cellStyle name="Hyperlink" xfId="22995" builtinId="8" hidden="1"/>
    <cellStyle name="Hyperlink" xfId="22320" builtinId="8" hidden="1"/>
    <cellStyle name="Hyperlink" xfId="21809" builtinId="8" hidden="1"/>
    <cellStyle name="Hyperlink" xfId="21720" builtinId="8" hidden="1"/>
    <cellStyle name="Hyperlink" xfId="22658" builtinId="8" hidden="1"/>
    <cellStyle name="Hyperlink" xfId="21811" builtinId="8" hidden="1"/>
    <cellStyle name="Hyperlink" xfId="23656" builtinId="8" hidden="1"/>
    <cellStyle name="Hyperlink" xfId="23658" builtinId="8" hidden="1"/>
    <cellStyle name="Hyperlink" xfId="23660" builtinId="8" hidden="1"/>
    <cellStyle name="Hyperlink" xfId="23662" builtinId="8" hidden="1"/>
    <cellStyle name="Hyperlink" xfId="23664" builtinId="8" hidden="1"/>
    <cellStyle name="Hyperlink" xfId="23666" builtinId="8" hidden="1"/>
    <cellStyle name="Hyperlink" xfId="23716" builtinId="8" hidden="1"/>
    <cellStyle name="Hyperlink" xfId="23718" builtinId="8" hidden="1"/>
    <cellStyle name="Hyperlink" xfId="23720" builtinId="8" hidden="1"/>
    <cellStyle name="Hyperlink" xfId="23722" builtinId="8" hidden="1"/>
    <cellStyle name="Hyperlink" xfId="23712" builtinId="8" hidden="1"/>
    <cellStyle name="Hyperlink" xfId="23702" builtinId="8" hidden="1"/>
    <cellStyle name="Hyperlink" xfId="23724" builtinId="8" hidden="1"/>
    <cellStyle name="Hyperlink" xfId="23726" builtinId="8" hidden="1"/>
    <cellStyle name="Hyperlink" xfId="23728" builtinId="8" hidden="1"/>
    <cellStyle name="Hyperlink" xfId="23730" builtinId="8" hidden="1"/>
    <cellStyle name="Hyperlink" xfId="23696" builtinId="8" hidden="1"/>
    <cellStyle name="Hyperlink" xfId="23682" builtinId="8" hidden="1"/>
    <cellStyle name="Hyperlink" xfId="23732" builtinId="8" hidden="1"/>
    <cellStyle name="Hyperlink" xfId="23734" builtinId="8" hidden="1"/>
    <cellStyle name="Hyperlink" xfId="23736" builtinId="8" hidden="1"/>
    <cellStyle name="Hyperlink" xfId="23738" builtinId="8" hidden="1"/>
    <cellStyle name="Hyperlink" xfId="23701" builtinId="8" hidden="1"/>
    <cellStyle name="Hyperlink" xfId="23670" builtinId="8" hidden="1"/>
    <cellStyle name="Hyperlink" xfId="23740" builtinId="8" hidden="1"/>
    <cellStyle name="Hyperlink" xfId="23742" builtinId="8" hidden="1"/>
    <cellStyle name="Hyperlink" xfId="23744" builtinId="8" hidden="1"/>
    <cellStyle name="Hyperlink" xfId="23746" builtinId="8" hidden="1"/>
    <cellStyle name="Hyperlink" xfId="23671" builtinId="8" hidden="1"/>
    <cellStyle name="Hyperlink" xfId="23704" builtinId="8" hidden="1"/>
    <cellStyle name="Hyperlink" xfId="23748" builtinId="8" hidden="1"/>
    <cellStyle name="Hyperlink" xfId="23750" builtinId="8" hidden="1"/>
    <cellStyle name="Hyperlink" xfId="23752" builtinId="8" hidden="1"/>
    <cellStyle name="Hyperlink" xfId="23754" builtinId="8" hidden="1"/>
    <cellStyle name="Hyperlink" xfId="23673" builtinId="8" hidden="1"/>
    <cellStyle name="Hyperlink" xfId="23714" builtinId="8" hidden="1"/>
    <cellStyle name="Hyperlink" xfId="23756" builtinId="8" hidden="1"/>
    <cellStyle name="Hyperlink" xfId="23758" builtinId="8" hidden="1"/>
    <cellStyle name="Hyperlink" xfId="23760" builtinId="8" hidden="1"/>
    <cellStyle name="Hyperlink" xfId="23762" builtinId="8" hidden="1"/>
    <cellStyle name="Hyperlink" xfId="23694" builtinId="8" hidden="1"/>
    <cellStyle name="Hyperlink" xfId="23697" builtinId="8" hidden="1"/>
    <cellStyle name="Hyperlink" xfId="23764" builtinId="8" hidden="1"/>
    <cellStyle name="Hyperlink" xfId="23766" builtinId="8" hidden="1"/>
    <cellStyle name="Hyperlink" xfId="23768" builtinId="8" hidden="1"/>
    <cellStyle name="Hyperlink" xfId="23770" builtinId="8" hidden="1"/>
    <cellStyle name="Hyperlink" xfId="23698" builtinId="8" hidden="1"/>
    <cellStyle name="Hyperlink" xfId="23695" builtinId="8" hidden="1"/>
    <cellStyle name="Hyperlink" xfId="23772" builtinId="8" hidden="1"/>
    <cellStyle name="Hyperlink" xfId="23774" builtinId="8" hidden="1"/>
    <cellStyle name="Hyperlink" xfId="23776" builtinId="8" hidden="1"/>
    <cellStyle name="Hyperlink" xfId="23778" builtinId="8" hidden="1"/>
    <cellStyle name="Hyperlink" xfId="23713" builtinId="8" hidden="1"/>
    <cellStyle name="Hyperlink" xfId="23690" builtinId="8" hidden="1"/>
    <cellStyle name="Hyperlink" xfId="23780" builtinId="8" hidden="1"/>
    <cellStyle name="Hyperlink" xfId="23782" builtinId="8" hidden="1"/>
    <cellStyle name="Hyperlink" xfId="23784" builtinId="8" hidden="1"/>
    <cellStyle name="Hyperlink" xfId="23786" builtinId="8" hidden="1"/>
    <cellStyle name="Hyperlink" xfId="23668" builtinId="8" hidden="1"/>
    <cellStyle name="Hyperlink" xfId="23669" builtinId="8" hidden="1"/>
    <cellStyle name="Hyperlink" xfId="23788" builtinId="8" hidden="1"/>
    <cellStyle name="Hyperlink" xfId="23790" builtinId="8" hidden="1"/>
    <cellStyle name="Hyperlink" xfId="23792" builtinId="8" hidden="1"/>
    <cellStyle name="Hyperlink" xfId="23794" builtinId="8" hidden="1"/>
    <cellStyle name="Hyperlink" xfId="23674" builtinId="8" hidden="1"/>
    <cellStyle name="Hyperlink" xfId="23710" builtinId="8" hidden="1"/>
    <cellStyle name="Hyperlink" xfId="23796" builtinId="8" hidden="1"/>
    <cellStyle name="Hyperlink" xfId="23798" builtinId="8" hidden="1"/>
    <cellStyle name="Hyperlink" xfId="23800" builtinId="8" hidden="1"/>
    <cellStyle name="Hyperlink" xfId="23802" builtinId="8" hidden="1"/>
    <cellStyle name="Hyperlink" xfId="23679" builtinId="8" hidden="1"/>
    <cellStyle name="Hyperlink" xfId="23699" builtinId="8" hidden="1"/>
    <cellStyle name="Hyperlink" xfId="23804" builtinId="8" hidden="1"/>
    <cellStyle name="Hyperlink" xfId="23806" builtinId="8" hidden="1"/>
    <cellStyle name="Hyperlink" xfId="23808" builtinId="8" hidden="1"/>
    <cellStyle name="Hyperlink" xfId="23810" builtinId="8" hidden="1"/>
    <cellStyle name="Hyperlink" xfId="23686" builtinId="8" hidden="1"/>
    <cellStyle name="Hyperlink" xfId="23684" builtinId="8" hidden="1"/>
    <cellStyle name="Hyperlink" xfId="23812" builtinId="8" hidden="1"/>
    <cellStyle name="Hyperlink" xfId="23814" builtinId="8" hidden="1"/>
    <cellStyle name="Hyperlink" xfId="23816" builtinId="8" hidden="1"/>
    <cellStyle name="Hyperlink" xfId="23818" builtinId="8" hidden="1"/>
    <cellStyle name="Hyperlink" xfId="19085" builtinId="8" hidden="1"/>
    <cellStyle name="Hyperlink" xfId="19076" builtinId="8" hidden="1"/>
    <cellStyle name="Hyperlink" xfId="19052" builtinId="8" hidden="1"/>
    <cellStyle name="Hyperlink" xfId="19132" builtinId="8" hidden="1"/>
    <cellStyle name="Hyperlink" xfId="19158" builtinId="8" hidden="1"/>
    <cellStyle name="Hyperlink" xfId="19088" builtinId="8" hidden="1"/>
    <cellStyle name="Hyperlink" xfId="19050" builtinId="8" hidden="1"/>
    <cellStyle name="Hyperlink" xfId="19147" builtinId="8" hidden="1"/>
    <cellStyle name="Hyperlink" xfId="19144" builtinId="8" hidden="1"/>
    <cellStyle name="Hyperlink" xfId="19156" builtinId="8" hidden="1"/>
    <cellStyle name="Hyperlink" xfId="19046" builtinId="8" hidden="1"/>
    <cellStyle name="Hyperlink" xfId="19108" builtinId="8" hidden="1"/>
    <cellStyle name="Hyperlink" xfId="19130" builtinId="8" hidden="1"/>
    <cellStyle name="Hyperlink" xfId="19163" builtinId="8" hidden="1"/>
    <cellStyle name="Hyperlink" xfId="23825" builtinId="8" hidden="1"/>
    <cellStyle name="Hyperlink" xfId="23827" builtinId="8" hidden="1"/>
    <cellStyle name="Hyperlink" xfId="23829" builtinId="8" hidden="1"/>
    <cellStyle name="Hyperlink" xfId="23831" builtinId="8" hidden="1"/>
    <cellStyle name="Hyperlink" xfId="23833" builtinId="8" hidden="1"/>
    <cellStyle name="Hyperlink" xfId="23835" builtinId="8" hidden="1"/>
    <cellStyle name="Hyperlink" xfId="23885" builtinId="8" hidden="1"/>
    <cellStyle name="Hyperlink" xfId="23887" builtinId="8" hidden="1"/>
    <cellStyle name="Hyperlink" xfId="23889" builtinId="8" hidden="1"/>
    <cellStyle name="Hyperlink" xfId="23891" builtinId="8" hidden="1"/>
    <cellStyle name="Hyperlink" xfId="23881" builtinId="8" hidden="1"/>
    <cellStyle name="Hyperlink" xfId="23871" builtinId="8" hidden="1"/>
    <cellStyle name="Hyperlink" xfId="23893" builtinId="8" hidden="1"/>
    <cellStyle name="Hyperlink" xfId="23895" builtinId="8" hidden="1"/>
    <cellStyle name="Hyperlink" xfId="23897" builtinId="8" hidden="1"/>
    <cellStyle name="Hyperlink" xfId="23899" builtinId="8" hidden="1"/>
    <cellStyle name="Hyperlink" xfId="23865" builtinId="8" hidden="1"/>
    <cellStyle name="Hyperlink" xfId="23851" builtinId="8" hidden="1"/>
    <cellStyle name="Hyperlink" xfId="23901" builtinId="8" hidden="1"/>
    <cellStyle name="Hyperlink" xfId="23903" builtinId="8" hidden="1"/>
    <cellStyle name="Hyperlink" xfId="23905" builtinId="8" hidden="1"/>
    <cellStyle name="Hyperlink" xfId="23907" builtinId="8" hidden="1"/>
    <cellStyle name="Hyperlink" xfId="23870" builtinId="8" hidden="1"/>
    <cellStyle name="Hyperlink" xfId="23839" builtinId="8" hidden="1"/>
    <cellStyle name="Hyperlink" xfId="23909" builtinId="8" hidden="1"/>
    <cellStyle name="Hyperlink" xfId="23911" builtinId="8" hidden="1"/>
    <cellStyle name="Hyperlink" xfId="23913" builtinId="8" hidden="1"/>
    <cellStyle name="Hyperlink" xfId="23915" builtinId="8" hidden="1"/>
    <cellStyle name="Hyperlink" xfId="23840" builtinId="8" hidden="1"/>
    <cellStyle name="Hyperlink" xfId="23873" builtinId="8" hidden="1"/>
    <cellStyle name="Hyperlink" xfId="23917" builtinId="8" hidden="1"/>
    <cellStyle name="Hyperlink" xfId="23919" builtinId="8" hidden="1"/>
    <cellStyle name="Hyperlink" xfId="23921" builtinId="8" hidden="1"/>
    <cellStyle name="Hyperlink" xfId="23923" builtinId="8" hidden="1"/>
    <cellStyle name="Hyperlink" xfId="23842" builtinId="8" hidden="1"/>
    <cellStyle name="Hyperlink" xfId="23883" builtinId="8" hidden="1"/>
    <cellStyle name="Hyperlink" xfId="23925" builtinId="8" hidden="1"/>
    <cellStyle name="Hyperlink" xfId="23927" builtinId="8" hidden="1"/>
    <cellStyle name="Hyperlink" xfId="23929" builtinId="8" hidden="1"/>
    <cellStyle name="Hyperlink" xfId="23931" builtinId="8" hidden="1"/>
    <cellStyle name="Hyperlink" xfId="23863" builtinId="8" hidden="1"/>
    <cellStyle name="Hyperlink" xfId="23866" builtinId="8" hidden="1"/>
    <cellStyle name="Hyperlink" xfId="23933" builtinId="8" hidden="1"/>
    <cellStyle name="Hyperlink" xfId="23935" builtinId="8" hidden="1"/>
    <cellStyle name="Hyperlink" xfId="23937" builtinId="8" hidden="1"/>
    <cellStyle name="Hyperlink" xfId="23939" builtinId="8" hidden="1"/>
    <cellStyle name="Hyperlink" xfId="23867" builtinId="8" hidden="1"/>
    <cellStyle name="Hyperlink" xfId="23864" builtinId="8" hidden="1"/>
    <cellStyle name="Hyperlink" xfId="23941" builtinId="8" hidden="1"/>
    <cellStyle name="Hyperlink" xfId="23943" builtinId="8" hidden="1"/>
    <cellStyle name="Hyperlink" xfId="23945" builtinId="8" hidden="1"/>
    <cellStyle name="Hyperlink" xfId="23947" builtinId="8" hidden="1"/>
    <cellStyle name="Hyperlink" xfId="23882" builtinId="8" hidden="1"/>
    <cellStyle name="Hyperlink" xfId="23859" builtinId="8" hidden="1"/>
    <cellStyle name="Hyperlink" xfId="23949" builtinId="8" hidden="1"/>
    <cellStyle name="Hyperlink" xfId="23951" builtinId="8" hidden="1"/>
    <cellStyle name="Hyperlink" xfId="23953" builtinId="8" hidden="1"/>
    <cellStyle name="Hyperlink" xfId="23955" builtinId="8" hidden="1"/>
    <cellStyle name="Hyperlink" xfId="23837" builtinId="8" hidden="1"/>
    <cellStyle name="Hyperlink" xfId="23838" builtinId="8" hidden="1"/>
    <cellStyle name="Hyperlink" xfId="23957" builtinId="8" hidden="1"/>
    <cellStyle name="Hyperlink" xfId="23959" builtinId="8" hidden="1"/>
    <cellStyle name="Hyperlink" xfId="23961" builtinId="8" hidden="1"/>
    <cellStyle name="Hyperlink" xfId="23963" builtinId="8" hidden="1"/>
    <cellStyle name="Hyperlink" xfId="23843" builtinId="8" hidden="1"/>
    <cellStyle name="Hyperlink" xfId="23879" builtinId="8" hidden="1"/>
    <cellStyle name="Hyperlink" xfId="23965" builtinId="8" hidden="1"/>
    <cellStyle name="Hyperlink" xfId="23967" builtinId="8" hidden="1"/>
    <cellStyle name="Hyperlink" xfId="23969" builtinId="8" hidden="1"/>
    <cellStyle name="Hyperlink" xfId="23971" builtinId="8" hidden="1"/>
    <cellStyle name="Hyperlink" xfId="23848" builtinId="8" hidden="1"/>
    <cellStyle name="Hyperlink" xfId="23868" builtinId="8" hidden="1"/>
    <cellStyle name="Hyperlink" xfId="23973" builtinId="8" hidden="1"/>
    <cellStyle name="Hyperlink" xfId="23975" builtinId="8" hidden="1"/>
    <cellStyle name="Hyperlink" xfId="23977" builtinId="8" hidden="1"/>
    <cellStyle name="Hyperlink" xfId="23979" builtinId="8" hidden="1"/>
    <cellStyle name="Hyperlink" xfId="23855" builtinId="8" hidden="1"/>
    <cellStyle name="Hyperlink" xfId="23853" builtinId="8" hidden="1"/>
    <cellStyle name="Hyperlink" xfId="23981" builtinId="8" hidden="1"/>
    <cellStyle name="Hyperlink" xfId="23983" builtinId="8" hidden="1"/>
    <cellStyle name="Hyperlink" xfId="23985" builtinId="8" hidden="1"/>
    <cellStyle name="Hyperlink" xfId="23987" builtinId="8" hidden="1"/>
    <cellStyle name="Hyperlink" xfId="23989" builtinId="8" hidden="1"/>
    <cellStyle name="Hyperlink" xfId="23991" builtinId="8" hidden="1"/>
    <cellStyle name="Hyperlink" xfId="24057" builtinId="8" hidden="1"/>
    <cellStyle name="Hyperlink" xfId="24059" builtinId="8" hidden="1"/>
    <cellStyle name="Hyperlink" xfId="24061" builtinId="8" hidden="1"/>
    <cellStyle name="Hyperlink" xfId="24063" builtinId="8" hidden="1"/>
    <cellStyle name="Hyperlink" xfId="24066" builtinId="8" hidden="1"/>
    <cellStyle name="Hyperlink" xfId="24068" builtinId="8" hidden="1"/>
    <cellStyle name="Hyperlink" xfId="24142" builtinId="8" hidden="1"/>
    <cellStyle name="Hyperlink" xfId="24144" builtinId="8" hidden="1"/>
    <cellStyle name="Hyperlink" xfId="24146" builtinId="8" hidden="1"/>
    <cellStyle name="Hyperlink" xfId="24148" builtinId="8" hidden="1"/>
    <cellStyle name="Hyperlink" xfId="24150" builtinId="8" hidden="1"/>
    <cellStyle name="Hyperlink" xfId="24152" builtinId="8" hidden="1"/>
    <cellStyle name="Hyperlink" xfId="24202" builtinId="8" hidden="1"/>
    <cellStyle name="Hyperlink" xfId="24204" builtinId="8" hidden="1"/>
    <cellStyle name="Hyperlink" xfId="24206" builtinId="8" hidden="1"/>
    <cellStyle name="Hyperlink" xfId="24208" builtinId="8" hidden="1"/>
    <cellStyle name="Hyperlink" xfId="24198" builtinId="8" hidden="1"/>
    <cellStyle name="Hyperlink" xfId="24188" builtinId="8" hidden="1"/>
    <cellStyle name="Hyperlink" xfId="24210" builtinId="8" hidden="1"/>
    <cellStyle name="Hyperlink" xfId="24212" builtinId="8" hidden="1"/>
    <cellStyle name="Hyperlink" xfId="24214" builtinId="8" hidden="1"/>
    <cellStyle name="Hyperlink" xfId="24216" builtinId="8" hidden="1"/>
    <cellStyle name="Hyperlink" xfId="24182" builtinId="8" hidden="1"/>
    <cellStyle name="Hyperlink" xfId="24168" builtinId="8" hidden="1"/>
    <cellStyle name="Hyperlink" xfId="24218" builtinId="8" hidden="1"/>
    <cellStyle name="Hyperlink" xfId="24220" builtinId="8" hidden="1"/>
    <cellStyle name="Hyperlink" xfId="24222" builtinId="8" hidden="1"/>
    <cellStyle name="Hyperlink" xfId="24224" builtinId="8" hidden="1"/>
    <cellStyle name="Hyperlink" xfId="24187" builtinId="8" hidden="1"/>
    <cellStyle name="Hyperlink" xfId="24156" builtinId="8" hidden="1"/>
    <cellStyle name="Hyperlink" xfId="24226" builtinId="8" hidden="1"/>
    <cellStyle name="Hyperlink" xfId="24228" builtinId="8" hidden="1"/>
    <cellStyle name="Hyperlink" xfId="24230" builtinId="8" hidden="1"/>
    <cellStyle name="Hyperlink" xfId="24232" builtinId="8" hidden="1"/>
    <cellStyle name="Hyperlink" xfId="24157" builtinId="8" hidden="1"/>
    <cellStyle name="Hyperlink" xfId="24190" builtinId="8" hidden="1"/>
    <cellStyle name="Hyperlink" xfId="24234" builtinId="8" hidden="1"/>
    <cellStyle name="Hyperlink" xfId="24236" builtinId="8" hidden="1"/>
    <cellStyle name="Hyperlink" xfId="24238" builtinId="8" hidden="1"/>
    <cellStyle name="Hyperlink" xfId="24240" builtinId="8" hidden="1"/>
    <cellStyle name="Hyperlink" xfId="24159" builtinId="8" hidden="1"/>
    <cellStyle name="Hyperlink" xfId="24200" builtinId="8" hidden="1"/>
    <cellStyle name="Hyperlink" xfId="24242" builtinId="8" hidden="1"/>
    <cellStyle name="Hyperlink" xfId="24244" builtinId="8" hidden="1"/>
    <cellStyle name="Hyperlink" xfId="24246" builtinId="8" hidden="1"/>
    <cellStyle name="Hyperlink" xfId="24248" builtinId="8" hidden="1"/>
    <cellStyle name="Hyperlink" xfId="24180" builtinId="8" hidden="1"/>
    <cellStyle name="Hyperlink" xfId="24183" builtinId="8" hidden="1"/>
    <cellStyle name="Hyperlink" xfId="24250" builtinId="8" hidden="1"/>
    <cellStyle name="Hyperlink" xfId="24252" builtinId="8" hidden="1"/>
    <cellStyle name="Hyperlink" xfId="24254" builtinId="8" hidden="1"/>
    <cellStyle name="Hyperlink" xfId="24256" builtinId="8" hidden="1"/>
    <cellStyle name="Hyperlink" xfId="24184" builtinId="8" hidden="1"/>
    <cellStyle name="Hyperlink" xfId="24181" builtinId="8" hidden="1"/>
    <cellStyle name="Hyperlink" xfId="24258" builtinId="8" hidden="1"/>
    <cellStyle name="Hyperlink" xfId="24260" builtinId="8" hidden="1"/>
    <cellStyle name="Hyperlink" xfId="24262" builtinId="8" hidden="1"/>
    <cellStyle name="Hyperlink" xfId="24264" builtinId="8" hidden="1"/>
    <cellStyle name="Hyperlink" xfId="24199" builtinId="8" hidden="1"/>
    <cellStyle name="Hyperlink" xfId="24176" builtinId="8" hidden="1"/>
    <cellStyle name="Hyperlink" xfId="24266" builtinId="8" hidden="1"/>
    <cellStyle name="Hyperlink" xfId="24268" builtinId="8" hidden="1"/>
    <cellStyle name="Hyperlink" xfId="24270" builtinId="8" hidden="1"/>
    <cellStyle name="Hyperlink" xfId="24272" builtinId="8" hidden="1"/>
    <cellStyle name="Hyperlink" xfId="24154" builtinId="8" hidden="1"/>
    <cellStyle name="Hyperlink" xfId="24155" builtinId="8" hidden="1"/>
    <cellStyle name="Hyperlink" xfId="24274" builtinId="8" hidden="1"/>
    <cellStyle name="Hyperlink" xfId="24276" builtinId="8" hidden="1"/>
    <cellStyle name="Hyperlink" xfId="24278" builtinId="8" hidden="1"/>
    <cellStyle name="Hyperlink" xfId="24280" builtinId="8" hidden="1"/>
    <cellStyle name="Hyperlink" xfId="24160" builtinId="8" hidden="1"/>
    <cellStyle name="Hyperlink" xfId="24196" builtinId="8" hidden="1"/>
    <cellStyle name="Hyperlink" xfId="24282" builtinId="8" hidden="1"/>
    <cellStyle name="Hyperlink" xfId="24284" builtinId="8" hidden="1"/>
    <cellStyle name="Hyperlink" xfId="24286" builtinId="8" hidden="1"/>
    <cellStyle name="Hyperlink" xfId="24288" builtinId="8" hidden="1"/>
    <cellStyle name="Hyperlink" xfId="24165" builtinId="8" hidden="1"/>
    <cellStyle name="Hyperlink" xfId="24185" builtinId="8" hidden="1"/>
    <cellStyle name="Hyperlink" xfId="24290" builtinId="8" hidden="1"/>
    <cellStyle name="Hyperlink" xfId="24292" builtinId="8" hidden="1"/>
    <cellStyle name="Hyperlink" xfId="24294" builtinId="8" hidden="1"/>
    <cellStyle name="Hyperlink" xfId="24296" builtinId="8" hidden="1"/>
    <cellStyle name="Hyperlink" xfId="24172" builtinId="8" hidden="1"/>
    <cellStyle name="Hyperlink" xfId="24170" builtinId="8" hidden="1"/>
    <cellStyle name="Hyperlink" xfId="24298" builtinId="8" hidden="1"/>
    <cellStyle name="Hyperlink" xfId="24300" builtinId="8" hidden="1"/>
    <cellStyle name="Hyperlink" xfId="24302" builtinId="8" hidden="1"/>
    <cellStyle name="Hyperlink" xfId="24304" builtinId="8" hidden="1"/>
    <cellStyle name="Hyperlink" xfId="24003" builtinId="8" hidden="1"/>
    <cellStyle name="Hyperlink" xfId="24115" builtinId="8" hidden="1"/>
    <cellStyle name="Hyperlink" xfId="24007" builtinId="8" hidden="1"/>
    <cellStyle name="Hyperlink" xfId="24118" builtinId="8" hidden="1"/>
    <cellStyle name="Hyperlink" xfId="24101" builtinId="8" hidden="1"/>
    <cellStyle name="Hyperlink" xfId="24053" builtinId="8" hidden="1"/>
    <cellStyle name="Hyperlink" xfId="23994" builtinId="8" hidden="1"/>
    <cellStyle name="Hyperlink" xfId="24106" builtinId="8" hidden="1"/>
    <cellStyle name="Hyperlink" xfId="24309" builtinId="8" hidden="1"/>
    <cellStyle name="Hyperlink" xfId="24311" builtinId="8" hidden="1"/>
    <cellStyle name="Hyperlink" xfId="24313" builtinId="8" hidden="1"/>
    <cellStyle name="Hyperlink" xfId="24315" builtinId="8" hidden="1"/>
    <cellStyle name="Hyperlink" xfId="24318" builtinId="8" hidden="1"/>
    <cellStyle name="Hyperlink" xfId="24320" builtinId="8" hidden="1"/>
    <cellStyle name="Hyperlink" xfId="24370" builtinId="8" hidden="1"/>
    <cellStyle name="Hyperlink" xfId="24372" builtinId="8" hidden="1"/>
    <cellStyle name="Hyperlink" xfId="24374" builtinId="8" hidden="1"/>
    <cellStyle name="Hyperlink" xfId="24376" builtinId="8" hidden="1"/>
    <cellStyle name="Hyperlink" xfId="24366" builtinId="8" hidden="1"/>
    <cellStyle name="Hyperlink" xfId="24356" builtinId="8" hidden="1"/>
    <cellStyle name="Hyperlink" xfId="24378" builtinId="8" hidden="1"/>
    <cellStyle name="Hyperlink" xfId="24380" builtinId="8" hidden="1"/>
    <cellStyle name="Hyperlink" xfId="24382" builtinId="8" hidden="1"/>
    <cellStyle name="Hyperlink" xfId="24384" builtinId="8" hidden="1"/>
    <cellStyle name="Hyperlink" xfId="24350" builtinId="8" hidden="1"/>
    <cellStyle name="Hyperlink" xfId="24336" builtinId="8" hidden="1"/>
    <cellStyle name="Hyperlink" xfId="24386" builtinId="8" hidden="1"/>
    <cellStyle name="Hyperlink" xfId="24388" builtinId="8" hidden="1"/>
    <cellStyle name="Hyperlink" xfId="24390" builtinId="8" hidden="1"/>
    <cellStyle name="Hyperlink" xfId="24392" builtinId="8" hidden="1"/>
    <cellStyle name="Hyperlink" xfId="24355" builtinId="8" hidden="1"/>
    <cellStyle name="Hyperlink" xfId="24324" builtinId="8" hidden="1"/>
    <cellStyle name="Hyperlink" xfId="24394" builtinId="8" hidden="1"/>
    <cellStyle name="Hyperlink" xfId="24396" builtinId="8" hidden="1"/>
    <cellStyle name="Hyperlink" xfId="24398" builtinId="8" hidden="1"/>
    <cellStyle name="Hyperlink" xfId="24400" builtinId="8" hidden="1"/>
    <cellStyle name="Hyperlink" xfId="24325" builtinId="8" hidden="1"/>
    <cellStyle name="Hyperlink" xfId="24358" builtinId="8" hidden="1"/>
    <cellStyle name="Hyperlink" xfId="24402" builtinId="8" hidden="1"/>
    <cellStyle name="Hyperlink" xfId="24404" builtinId="8" hidden="1"/>
    <cellStyle name="Hyperlink" xfId="24406" builtinId="8" hidden="1"/>
    <cellStyle name="Hyperlink" xfId="24408" builtinId="8" hidden="1"/>
    <cellStyle name="Hyperlink" xfId="24327" builtinId="8" hidden="1"/>
    <cellStyle name="Hyperlink" xfId="24368" builtinId="8" hidden="1"/>
    <cellStyle name="Hyperlink" xfId="24410" builtinId="8" hidden="1"/>
    <cellStyle name="Hyperlink" xfId="24412" builtinId="8" hidden="1"/>
    <cellStyle name="Hyperlink" xfId="24414" builtinId="8" hidden="1"/>
    <cellStyle name="Hyperlink" xfId="24416" builtinId="8" hidden="1"/>
    <cellStyle name="Hyperlink" xfId="24348" builtinId="8" hidden="1"/>
    <cellStyle name="Hyperlink" xfId="24351" builtinId="8" hidden="1"/>
    <cellStyle name="Hyperlink" xfId="24418" builtinId="8" hidden="1"/>
    <cellStyle name="Hyperlink" xfId="24420" builtinId="8" hidden="1"/>
    <cellStyle name="Hyperlink" xfId="24422" builtinId="8" hidden="1"/>
    <cellStyle name="Hyperlink" xfId="24424" builtinId="8" hidden="1"/>
    <cellStyle name="Hyperlink" xfId="24352" builtinId="8" hidden="1"/>
    <cellStyle name="Hyperlink" xfId="24349" builtinId="8" hidden="1"/>
    <cellStyle name="Hyperlink" xfId="24426" builtinId="8" hidden="1"/>
    <cellStyle name="Hyperlink" xfId="24428" builtinId="8" hidden="1"/>
    <cellStyle name="Hyperlink" xfId="24430" builtinId="8" hidden="1"/>
    <cellStyle name="Hyperlink" xfId="24432" builtinId="8" hidden="1"/>
    <cellStyle name="Hyperlink" xfId="24367" builtinId="8" hidden="1"/>
    <cellStyle name="Hyperlink" xfId="24344" builtinId="8" hidden="1"/>
    <cellStyle name="Hyperlink" xfId="24434" builtinId="8" hidden="1"/>
    <cellStyle name="Hyperlink" xfId="24436" builtinId="8" hidden="1"/>
    <cellStyle name="Hyperlink" xfId="24438" builtinId="8" hidden="1"/>
    <cellStyle name="Hyperlink" xfId="24440" builtinId="8" hidden="1"/>
    <cellStyle name="Hyperlink" xfId="24322" builtinId="8" hidden="1"/>
    <cellStyle name="Hyperlink" xfId="24323" builtinId="8" hidden="1"/>
    <cellStyle name="Hyperlink" xfId="24442" builtinId="8" hidden="1"/>
    <cellStyle name="Hyperlink" xfId="24444" builtinId="8" hidden="1"/>
    <cellStyle name="Hyperlink" xfId="24446" builtinId="8" hidden="1"/>
    <cellStyle name="Hyperlink" xfId="24448" builtinId="8" hidden="1"/>
    <cellStyle name="Hyperlink" xfId="24328" builtinId="8" hidden="1"/>
    <cellStyle name="Hyperlink" xfId="24364" builtinId="8" hidden="1"/>
    <cellStyle name="Hyperlink" xfId="24450" builtinId="8" hidden="1"/>
    <cellStyle name="Hyperlink" xfId="24452" builtinId="8" hidden="1"/>
    <cellStyle name="Hyperlink" xfId="24454" builtinId="8" hidden="1"/>
    <cellStyle name="Hyperlink" xfId="24456" builtinId="8" hidden="1"/>
    <cellStyle name="Hyperlink" xfId="24333" builtinId="8" hidden="1"/>
    <cellStyle name="Hyperlink" xfId="24353" builtinId="8" hidden="1"/>
    <cellStyle name="Hyperlink" xfId="24458" builtinId="8" hidden="1"/>
    <cellStyle name="Hyperlink" xfId="24460" builtinId="8" hidden="1"/>
    <cellStyle name="Hyperlink" xfId="24462" builtinId="8" hidden="1"/>
    <cellStyle name="Hyperlink" xfId="24464" builtinId="8" hidden="1"/>
    <cellStyle name="Hyperlink" xfId="24340" builtinId="8" hidden="1"/>
    <cellStyle name="Hyperlink" xfId="24338" builtinId="8" hidden="1"/>
    <cellStyle name="Hyperlink" xfId="24466" builtinId="8" hidden="1"/>
    <cellStyle name="Hyperlink" xfId="24468" builtinId="8" hidden="1"/>
    <cellStyle name="Hyperlink" xfId="24470" builtinId="8" hidden="1"/>
    <cellStyle name="Hyperlink" xfId="24472" builtinId="8" hidden="1"/>
    <cellStyle name="Hyperlink" xfId="24049" builtinId="8" hidden="1"/>
    <cellStyle name="Hyperlink" xfId="24050" builtinId="8" hidden="1"/>
    <cellStyle name="Hyperlink" xfId="24024" builtinId="8" hidden="1"/>
    <cellStyle name="Hyperlink" xfId="24025" builtinId="8" hidden="1"/>
    <cellStyle name="Hyperlink" xfId="24040" builtinId="8" hidden="1"/>
    <cellStyle name="Hyperlink" xfId="24038" builtinId="8" hidden="1"/>
    <cellStyle name="Hyperlink" xfId="24031" builtinId="8" hidden="1"/>
    <cellStyle name="Hyperlink" xfId="24032" builtinId="8" hidden="1"/>
    <cellStyle name="Hyperlink" xfId="24483" builtinId="8" hidden="1"/>
    <cellStyle name="Hyperlink" xfId="24485" builtinId="8" hidden="1"/>
    <cellStyle name="Hyperlink" xfId="24487" builtinId="8" hidden="1"/>
    <cellStyle name="Hyperlink" xfId="24489" builtinId="8" hidden="1"/>
    <cellStyle name="Hyperlink" xfId="24491" builtinId="8" hidden="1"/>
    <cellStyle name="Hyperlink" xfId="24493" builtinId="8" hidden="1"/>
    <cellStyle name="Hyperlink" xfId="24543" builtinId="8" hidden="1"/>
    <cellStyle name="Hyperlink" xfId="24545" builtinId="8" hidden="1"/>
    <cellStyle name="Hyperlink" xfId="24547" builtinId="8" hidden="1"/>
    <cellStyle name="Hyperlink" xfId="24549" builtinId="8" hidden="1"/>
    <cellStyle name="Hyperlink" xfId="24539" builtinId="8" hidden="1"/>
    <cellStyle name="Hyperlink" xfId="24529" builtinId="8" hidden="1"/>
    <cellStyle name="Hyperlink" xfId="24551" builtinId="8" hidden="1"/>
    <cellStyle name="Hyperlink" xfId="24553" builtinId="8" hidden="1"/>
    <cellStyle name="Hyperlink" xfId="24555" builtinId="8" hidden="1"/>
    <cellStyle name="Hyperlink" xfId="24557" builtinId="8" hidden="1"/>
    <cellStyle name="Hyperlink" xfId="24523" builtinId="8" hidden="1"/>
    <cellStyle name="Hyperlink" xfId="24509" builtinId="8" hidden="1"/>
    <cellStyle name="Hyperlink" xfId="24559" builtinId="8" hidden="1"/>
    <cellStyle name="Hyperlink" xfId="24561" builtinId="8" hidden="1"/>
    <cellStyle name="Hyperlink" xfId="24563" builtinId="8" hidden="1"/>
    <cellStyle name="Hyperlink" xfId="24565" builtinId="8" hidden="1"/>
    <cellStyle name="Hyperlink" xfId="24528" builtinId="8" hidden="1"/>
    <cellStyle name="Hyperlink" xfId="24497" builtinId="8" hidden="1"/>
    <cellStyle name="Hyperlink" xfId="24567" builtinId="8" hidden="1"/>
    <cellStyle name="Hyperlink" xfId="24569" builtinId="8" hidden="1"/>
    <cellStyle name="Hyperlink" xfId="24571" builtinId="8" hidden="1"/>
    <cellStyle name="Hyperlink" xfId="24573" builtinId="8" hidden="1"/>
    <cellStyle name="Hyperlink" xfId="24498" builtinId="8" hidden="1"/>
    <cellStyle name="Hyperlink" xfId="24531" builtinId="8" hidden="1"/>
    <cellStyle name="Hyperlink" xfId="24575" builtinId="8" hidden="1"/>
    <cellStyle name="Hyperlink" xfId="24577" builtinId="8" hidden="1"/>
    <cellStyle name="Hyperlink" xfId="24579" builtinId="8" hidden="1"/>
    <cellStyle name="Hyperlink" xfId="24581" builtinId="8" hidden="1"/>
    <cellStyle name="Hyperlink" xfId="24500" builtinId="8" hidden="1"/>
    <cellStyle name="Hyperlink" xfId="24541" builtinId="8" hidden="1"/>
    <cellStyle name="Hyperlink" xfId="24583" builtinId="8" hidden="1"/>
    <cellStyle name="Hyperlink" xfId="24585" builtinId="8" hidden="1"/>
    <cellStyle name="Hyperlink" xfId="24587" builtinId="8" hidden="1"/>
    <cellStyle name="Hyperlink" xfId="24589" builtinId="8" hidden="1"/>
    <cellStyle name="Hyperlink" xfId="24521" builtinId="8" hidden="1"/>
    <cellStyle name="Hyperlink" xfId="24524" builtinId="8" hidden="1"/>
    <cellStyle name="Hyperlink" xfId="24591" builtinId="8" hidden="1"/>
    <cellStyle name="Hyperlink" xfId="24593" builtinId="8" hidden="1"/>
    <cellStyle name="Hyperlink" xfId="24595" builtinId="8" hidden="1"/>
    <cellStyle name="Hyperlink" xfId="24597" builtinId="8" hidden="1"/>
    <cellStyle name="Hyperlink" xfId="24525" builtinId="8" hidden="1"/>
    <cellStyle name="Hyperlink" xfId="24522" builtinId="8" hidden="1"/>
    <cellStyle name="Hyperlink" xfId="24599" builtinId="8" hidden="1"/>
    <cellStyle name="Hyperlink" xfId="24601" builtinId="8" hidden="1"/>
    <cellStyle name="Hyperlink" xfId="24603" builtinId="8" hidden="1"/>
    <cellStyle name="Hyperlink" xfId="24605" builtinId="8" hidden="1"/>
    <cellStyle name="Hyperlink" xfId="24540" builtinId="8" hidden="1"/>
    <cellStyle name="Hyperlink" xfId="24517" builtinId="8" hidden="1"/>
    <cellStyle name="Hyperlink" xfId="24607" builtinId="8" hidden="1"/>
    <cellStyle name="Hyperlink" xfId="24609" builtinId="8" hidden="1"/>
    <cellStyle name="Hyperlink" xfId="24611" builtinId="8" hidden="1"/>
    <cellStyle name="Hyperlink" xfId="24613" builtinId="8" hidden="1"/>
    <cellStyle name="Hyperlink" xfId="24495" builtinId="8" hidden="1"/>
    <cellStyle name="Hyperlink" xfId="24496" builtinId="8" hidden="1"/>
    <cellStyle name="Hyperlink" xfId="24615" builtinId="8" hidden="1"/>
    <cellStyle name="Hyperlink" xfId="24617" builtinId="8" hidden="1"/>
    <cellStyle name="Hyperlink" xfId="24619" builtinId="8" hidden="1"/>
    <cellStyle name="Hyperlink" xfId="24621" builtinId="8" hidden="1"/>
    <cellStyle name="Hyperlink" xfId="24501" builtinId="8" hidden="1"/>
    <cellStyle name="Hyperlink" xfId="24537" builtinId="8" hidden="1"/>
    <cellStyle name="Hyperlink" xfId="24623" builtinId="8" hidden="1"/>
    <cellStyle name="Hyperlink" xfId="24625" builtinId="8" hidden="1"/>
    <cellStyle name="Hyperlink" xfId="24627" builtinId="8" hidden="1"/>
    <cellStyle name="Hyperlink" xfId="24629" builtinId="8" hidden="1"/>
    <cellStyle name="Hyperlink" xfId="24506" builtinId="8" hidden="1"/>
    <cellStyle name="Hyperlink" xfId="24526" builtinId="8" hidden="1"/>
    <cellStyle name="Hyperlink" xfId="24631" builtinId="8" hidden="1"/>
    <cellStyle name="Hyperlink" xfId="24633" builtinId="8" hidden="1"/>
    <cellStyle name="Hyperlink" xfId="24635" builtinId="8" hidden="1"/>
    <cellStyle name="Hyperlink" xfId="24637" builtinId="8" hidden="1"/>
    <cellStyle name="Hyperlink" xfId="24513" builtinId="8" hidden="1"/>
    <cellStyle name="Hyperlink" xfId="24511" builtinId="8" hidden="1"/>
    <cellStyle name="Hyperlink" xfId="24639" builtinId="8" hidden="1"/>
    <cellStyle name="Hyperlink" xfId="24641" builtinId="8" hidden="1"/>
    <cellStyle name="Hyperlink" xfId="24643" builtinId="8" hidden="1"/>
    <cellStyle name="Hyperlink" xfId="24645" builtinId="8" hidden="1"/>
    <cellStyle name="Hyperlink" xfId="24090" builtinId="8" hidden="1"/>
    <cellStyle name="Hyperlink" xfId="24033" builtinId="8" hidden="1"/>
    <cellStyle name="Hyperlink" xfId="24043" builtinId="8" hidden="1"/>
    <cellStyle name="Hyperlink" xfId="24010" builtinId="8" hidden="1"/>
    <cellStyle name="Hyperlink" xfId="24093" builtinId="8" hidden="1"/>
    <cellStyle name="Hyperlink" xfId="24125" builtinId="8" hidden="1"/>
    <cellStyle name="Hyperlink" xfId="24104" builtinId="8" hidden="1"/>
    <cellStyle name="Hyperlink" xfId="24054" builtinId="8" hidden="1"/>
    <cellStyle name="Hyperlink" xfId="24653" builtinId="8" hidden="1"/>
    <cellStyle name="Hyperlink" xfId="24655" builtinId="8" hidden="1"/>
    <cellStyle name="Hyperlink" xfId="24657" builtinId="8" hidden="1"/>
    <cellStyle name="Hyperlink" xfId="24659" builtinId="8" hidden="1"/>
    <cellStyle name="Hyperlink" xfId="24661" builtinId="8" hidden="1"/>
    <cellStyle name="Hyperlink" xfId="24663" builtinId="8" hidden="1"/>
    <cellStyle name="Hyperlink" xfId="24713" builtinId="8" hidden="1"/>
    <cellStyle name="Hyperlink" xfId="24715" builtinId="8" hidden="1"/>
    <cellStyle name="Hyperlink" xfId="24717" builtinId="8" hidden="1"/>
    <cellStyle name="Hyperlink" xfId="24719" builtinId="8" hidden="1"/>
    <cellStyle name="Hyperlink" xfId="24709" builtinId="8" hidden="1"/>
    <cellStyle name="Hyperlink" xfId="24699" builtinId="8" hidden="1"/>
    <cellStyle name="Hyperlink" xfId="24721" builtinId="8" hidden="1"/>
    <cellStyle name="Hyperlink" xfId="24723" builtinId="8" hidden="1"/>
    <cellStyle name="Hyperlink" xfId="24725" builtinId="8" hidden="1"/>
    <cellStyle name="Hyperlink" xfId="24727" builtinId="8" hidden="1"/>
    <cellStyle name="Hyperlink" xfId="24693" builtinId="8" hidden="1"/>
    <cellStyle name="Hyperlink" xfId="24679" builtinId="8" hidden="1"/>
    <cellStyle name="Hyperlink" xfId="24729" builtinId="8" hidden="1"/>
    <cellStyle name="Hyperlink" xfId="24731" builtinId="8" hidden="1"/>
    <cellStyle name="Hyperlink" xfId="24733" builtinId="8" hidden="1"/>
    <cellStyle name="Hyperlink" xfId="24735" builtinId="8" hidden="1"/>
    <cellStyle name="Hyperlink" xfId="24698" builtinId="8" hidden="1"/>
    <cellStyle name="Hyperlink" xfId="24667" builtinId="8" hidden="1"/>
    <cellStyle name="Hyperlink" xfId="24737" builtinId="8" hidden="1"/>
    <cellStyle name="Hyperlink" xfId="24739" builtinId="8" hidden="1"/>
    <cellStyle name="Hyperlink" xfId="24741" builtinId="8" hidden="1"/>
    <cellStyle name="Hyperlink" xfId="24743" builtinId="8" hidden="1"/>
    <cellStyle name="Hyperlink" xfId="24668" builtinId="8" hidden="1"/>
    <cellStyle name="Hyperlink" xfId="24701" builtinId="8" hidden="1"/>
    <cellStyle name="Hyperlink" xfId="24745" builtinId="8" hidden="1"/>
    <cellStyle name="Hyperlink" xfId="24747" builtinId="8" hidden="1"/>
    <cellStyle name="Hyperlink" xfId="24749" builtinId="8" hidden="1"/>
    <cellStyle name="Hyperlink" xfId="24751" builtinId="8" hidden="1"/>
    <cellStyle name="Hyperlink" xfId="24670" builtinId="8" hidden="1"/>
    <cellStyle name="Hyperlink" xfId="24711" builtinId="8" hidden="1"/>
    <cellStyle name="Hyperlink" xfId="24753" builtinId="8" hidden="1"/>
    <cellStyle name="Hyperlink" xfId="24755" builtinId="8" hidden="1"/>
    <cellStyle name="Hyperlink" xfId="24757" builtinId="8" hidden="1"/>
    <cellStyle name="Hyperlink" xfId="24759" builtinId="8" hidden="1"/>
    <cellStyle name="Hyperlink" xfId="24691" builtinId="8" hidden="1"/>
    <cellStyle name="Hyperlink" xfId="24694" builtinId="8" hidden="1"/>
    <cellStyle name="Hyperlink" xfId="24761" builtinId="8" hidden="1"/>
    <cellStyle name="Hyperlink" xfId="24763" builtinId="8" hidden="1"/>
    <cellStyle name="Hyperlink" xfId="24765" builtinId="8" hidden="1"/>
    <cellStyle name="Hyperlink" xfId="24767" builtinId="8" hidden="1"/>
    <cellStyle name="Hyperlink" xfId="24695" builtinId="8" hidden="1"/>
    <cellStyle name="Hyperlink" xfId="24692" builtinId="8" hidden="1"/>
    <cellStyle name="Hyperlink" xfId="24769" builtinId="8" hidden="1"/>
    <cellStyle name="Hyperlink" xfId="24771" builtinId="8" hidden="1"/>
    <cellStyle name="Hyperlink" xfId="24773" builtinId="8" hidden="1"/>
    <cellStyle name="Hyperlink" xfId="24775" builtinId="8" hidden="1"/>
    <cellStyle name="Hyperlink" xfId="24710" builtinId="8" hidden="1"/>
    <cellStyle name="Hyperlink" xfId="24687" builtinId="8" hidden="1"/>
    <cellStyle name="Hyperlink" xfId="24777" builtinId="8" hidden="1"/>
    <cellStyle name="Hyperlink" xfId="24779" builtinId="8" hidden="1"/>
    <cellStyle name="Hyperlink" xfId="24781" builtinId="8" hidden="1"/>
    <cellStyle name="Hyperlink" xfId="24783" builtinId="8" hidden="1"/>
    <cellStyle name="Hyperlink" xfId="24665" builtinId="8" hidden="1"/>
    <cellStyle name="Hyperlink" xfId="24666" builtinId="8" hidden="1"/>
    <cellStyle name="Hyperlink" xfId="24785" builtinId="8" hidden="1"/>
    <cellStyle name="Hyperlink" xfId="24787" builtinId="8" hidden="1"/>
    <cellStyle name="Hyperlink" xfId="24789" builtinId="8" hidden="1"/>
    <cellStyle name="Hyperlink" xfId="24791" builtinId="8" hidden="1"/>
    <cellStyle name="Hyperlink" xfId="24671" builtinId="8" hidden="1"/>
    <cellStyle name="Hyperlink" xfId="24707" builtinId="8" hidden="1"/>
    <cellStyle name="Hyperlink" xfId="24793" builtinId="8" hidden="1"/>
    <cellStyle name="Hyperlink" xfId="24795" builtinId="8" hidden="1"/>
    <cellStyle name="Hyperlink" xfId="24797" builtinId="8" hidden="1"/>
    <cellStyle name="Hyperlink" xfId="24799" builtinId="8" hidden="1"/>
    <cellStyle name="Hyperlink" xfId="24676" builtinId="8" hidden="1"/>
    <cellStyle name="Hyperlink" xfId="24696" builtinId="8" hidden="1"/>
    <cellStyle name="Hyperlink" xfId="24801" builtinId="8" hidden="1"/>
    <cellStyle name="Hyperlink" xfId="24803" builtinId="8" hidden="1"/>
    <cellStyle name="Hyperlink" xfId="24805" builtinId="8" hidden="1"/>
    <cellStyle name="Hyperlink" xfId="24807" builtinId="8" hidden="1"/>
    <cellStyle name="Hyperlink" xfId="24683" builtinId="8" hidden="1"/>
    <cellStyle name="Hyperlink" xfId="24681" builtinId="8" hidden="1"/>
    <cellStyle name="Hyperlink" xfId="24809" builtinId="8" hidden="1"/>
    <cellStyle name="Hyperlink" xfId="24811" builtinId="8" hidden="1"/>
    <cellStyle name="Hyperlink" xfId="24813" builtinId="8" hidden="1"/>
    <cellStyle name="Hyperlink" xfId="24815" builtinId="8" hidden="1"/>
    <cellStyle name="Hyperlink" xfId="24065" builtinId="8" hidden="1"/>
    <cellStyle name="Hyperlink" xfId="24036" builtinId="8" hidden="1"/>
    <cellStyle name="Hyperlink" xfId="24083" builtinId="8" hidden="1"/>
    <cellStyle name="Hyperlink" xfId="24001" builtinId="8" hidden="1"/>
    <cellStyle name="Hyperlink" xfId="24080" builtinId="8" hidden="1"/>
    <cellStyle name="Hyperlink" xfId="24016" builtinId="8" hidden="1"/>
    <cellStyle name="Hyperlink" xfId="24087" builtinId="8" hidden="1"/>
    <cellStyle name="Hyperlink" xfId="24042" builtinId="8" hidden="1"/>
    <cellStyle name="Hyperlink" xfId="24822" builtinId="8" hidden="1"/>
    <cellStyle name="Hyperlink" xfId="24824" builtinId="8" hidden="1"/>
    <cellStyle name="Hyperlink" xfId="24826" builtinId="8" hidden="1"/>
    <cellStyle name="Hyperlink" xfId="24828" builtinId="8" hidden="1"/>
    <cellStyle name="Hyperlink" xfId="24830" builtinId="8" hidden="1"/>
    <cellStyle name="Hyperlink" xfId="24832" builtinId="8" hidden="1"/>
    <cellStyle name="Hyperlink" xfId="24882" builtinId="8" hidden="1"/>
    <cellStyle name="Hyperlink" xfId="24884" builtinId="8" hidden="1"/>
    <cellStyle name="Hyperlink" xfId="24886" builtinId="8" hidden="1"/>
    <cellStyle name="Hyperlink" xfId="24888" builtinId="8" hidden="1"/>
    <cellStyle name="Hyperlink" xfId="24878" builtinId="8" hidden="1"/>
    <cellStyle name="Hyperlink" xfId="24868" builtinId="8" hidden="1"/>
    <cellStyle name="Hyperlink" xfId="24890" builtinId="8" hidden="1"/>
    <cellStyle name="Hyperlink" xfId="24892" builtinId="8" hidden="1"/>
    <cellStyle name="Hyperlink" xfId="24894" builtinId="8" hidden="1"/>
    <cellStyle name="Hyperlink" xfId="24896" builtinId="8" hidden="1"/>
    <cellStyle name="Hyperlink" xfId="24862" builtinId="8" hidden="1"/>
    <cellStyle name="Hyperlink" xfId="24848" builtinId="8" hidden="1"/>
    <cellStyle name="Hyperlink" xfId="24898" builtinId="8" hidden="1"/>
    <cellStyle name="Hyperlink" xfId="24900" builtinId="8" hidden="1"/>
    <cellStyle name="Hyperlink" xfId="24902" builtinId="8" hidden="1"/>
    <cellStyle name="Hyperlink" xfId="24904" builtinId="8" hidden="1"/>
    <cellStyle name="Hyperlink" xfId="24867" builtinId="8" hidden="1"/>
    <cellStyle name="Hyperlink" xfId="24836" builtinId="8" hidden="1"/>
    <cellStyle name="Hyperlink" xfId="24906" builtinId="8" hidden="1"/>
    <cellStyle name="Hyperlink" xfId="24908" builtinId="8" hidden="1"/>
    <cellStyle name="Hyperlink" xfId="24910" builtinId="8" hidden="1"/>
    <cellStyle name="Hyperlink" xfId="24912" builtinId="8" hidden="1"/>
    <cellStyle name="Hyperlink" xfId="24837" builtinId="8" hidden="1"/>
    <cellStyle name="Hyperlink" xfId="24870" builtinId="8" hidden="1"/>
    <cellStyle name="Hyperlink" xfId="24914" builtinId="8" hidden="1"/>
    <cellStyle name="Hyperlink" xfId="24916" builtinId="8" hidden="1"/>
    <cellStyle name="Hyperlink" xfId="24918" builtinId="8" hidden="1"/>
    <cellStyle name="Hyperlink" xfId="24920" builtinId="8" hidden="1"/>
    <cellStyle name="Hyperlink" xfId="24839" builtinId="8" hidden="1"/>
    <cellStyle name="Hyperlink" xfId="24880" builtinId="8" hidden="1"/>
    <cellStyle name="Hyperlink" xfId="24922" builtinId="8" hidden="1"/>
    <cellStyle name="Hyperlink" xfId="24924" builtinId="8" hidden="1"/>
    <cellStyle name="Hyperlink" xfId="24926" builtinId="8" hidden="1"/>
    <cellStyle name="Hyperlink" xfId="24928" builtinId="8" hidden="1"/>
    <cellStyle name="Hyperlink" xfId="24860" builtinId="8" hidden="1"/>
    <cellStyle name="Hyperlink" xfId="24863" builtinId="8" hidden="1"/>
    <cellStyle name="Hyperlink" xfId="24930" builtinId="8" hidden="1"/>
    <cellStyle name="Hyperlink" xfId="24932" builtinId="8" hidden="1"/>
    <cellStyle name="Hyperlink" xfId="24934" builtinId="8" hidden="1"/>
    <cellStyle name="Hyperlink" xfId="24936" builtinId="8" hidden="1"/>
    <cellStyle name="Hyperlink" xfId="24864" builtinId="8" hidden="1"/>
    <cellStyle name="Hyperlink" xfId="24861" builtinId="8" hidden="1"/>
    <cellStyle name="Hyperlink" xfId="24938" builtinId="8" hidden="1"/>
    <cellStyle name="Hyperlink" xfId="24940" builtinId="8" hidden="1"/>
    <cellStyle name="Hyperlink" xfId="24942" builtinId="8" hidden="1"/>
    <cellStyle name="Hyperlink" xfId="24944" builtinId="8" hidden="1"/>
    <cellStyle name="Hyperlink" xfId="24879" builtinId="8" hidden="1"/>
    <cellStyle name="Hyperlink" xfId="24856" builtinId="8" hidden="1"/>
    <cellStyle name="Hyperlink" xfId="24946" builtinId="8" hidden="1"/>
    <cellStyle name="Hyperlink" xfId="24948" builtinId="8" hidden="1"/>
    <cellStyle name="Hyperlink" xfId="24950" builtinId="8" hidden="1"/>
    <cellStyle name="Hyperlink" xfId="24952" builtinId="8" hidden="1"/>
    <cellStyle name="Hyperlink" xfId="24834" builtinId="8" hidden="1"/>
    <cellStyle name="Hyperlink" xfId="24835" builtinId="8" hidden="1"/>
    <cellStyle name="Hyperlink" xfId="24954" builtinId="8" hidden="1"/>
    <cellStyle name="Hyperlink" xfId="24956" builtinId="8" hidden="1"/>
    <cellStyle name="Hyperlink" xfId="24958" builtinId="8" hidden="1"/>
    <cellStyle name="Hyperlink" xfId="24960" builtinId="8" hidden="1"/>
    <cellStyle name="Hyperlink" xfId="24840" builtinId="8" hidden="1"/>
    <cellStyle name="Hyperlink" xfId="24876" builtinId="8" hidden="1"/>
    <cellStyle name="Hyperlink" xfId="24962" builtinId="8" hidden="1"/>
    <cellStyle name="Hyperlink" xfId="24964" builtinId="8" hidden="1"/>
    <cellStyle name="Hyperlink" xfId="24966" builtinId="8" hidden="1"/>
    <cellStyle name="Hyperlink" xfId="24968" builtinId="8" hidden="1"/>
    <cellStyle name="Hyperlink" xfId="24845" builtinId="8" hidden="1"/>
    <cellStyle name="Hyperlink" xfId="24865" builtinId="8" hidden="1"/>
    <cellStyle name="Hyperlink" xfId="24970" builtinId="8" hidden="1"/>
    <cellStyle name="Hyperlink" xfId="24972" builtinId="8" hidden="1"/>
    <cellStyle name="Hyperlink" xfId="24974" builtinId="8" hidden="1"/>
    <cellStyle name="Hyperlink" xfId="24976" builtinId="8" hidden="1"/>
    <cellStyle name="Hyperlink" xfId="24852" builtinId="8" hidden="1"/>
    <cellStyle name="Hyperlink" xfId="24850" builtinId="8" hidden="1"/>
    <cellStyle name="Hyperlink" xfId="24978" builtinId="8" hidden="1"/>
    <cellStyle name="Hyperlink" xfId="24980" builtinId="8" hidden="1"/>
    <cellStyle name="Hyperlink" xfId="24982" builtinId="8" hidden="1"/>
    <cellStyle name="Hyperlink" xfId="24984" builtinId="8" hidden="1"/>
    <cellStyle name="Hyperlink" xfId="24307" builtinId="8" hidden="1"/>
    <cellStyle name="Hyperlink" xfId="24474" builtinId="8" hidden="1"/>
    <cellStyle name="Hyperlink" xfId="24111" builtinId="8" hidden="1"/>
    <cellStyle name="Hyperlink" xfId="24000" builtinId="8" hidden="1"/>
    <cellStyle name="Hyperlink" xfId="23996" builtinId="8" hidden="1"/>
    <cellStyle name="Hyperlink" xfId="24044" builtinId="8" hidden="1"/>
    <cellStyle name="Hyperlink" xfId="24005" builtinId="8" hidden="1"/>
    <cellStyle name="Hyperlink" xfId="24081" builtinId="8" hidden="1"/>
    <cellStyle name="Hyperlink" xfId="24991" builtinId="8" hidden="1"/>
    <cellStyle name="Hyperlink" xfId="24993" builtinId="8" hidden="1"/>
    <cellStyle name="Hyperlink" xfId="24995" builtinId="8" hidden="1"/>
    <cellStyle name="Hyperlink" xfId="24997" builtinId="8" hidden="1"/>
    <cellStyle name="Hyperlink" xfId="24999" builtinId="8" hidden="1"/>
    <cellStyle name="Hyperlink" xfId="25001" builtinId="8" hidden="1"/>
    <cellStyle name="Hyperlink" xfId="25051" builtinId="8" hidden="1"/>
    <cellStyle name="Hyperlink" xfId="25053" builtinId="8" hidden="1"/>
    <cellStyle name="Hyperlink" xfId="25055" builtinId="8" hidden="1"/>
    <cellStyle name="Hyperlink" xfId="25057" builtinId="8" hidden="1"/>
    <cellStyle name="Hyperlink" xfId="25047" builtinId="8" hidden="1"/>
    <cellStyle name="Hyperlink" xfId="25037" builtinId="8" hidden="1"/>
    <cellStyle name="Hyperlink" xfId="25059" builtinId="8" hidden="1"/>
    <cellStyle name="Hyperlink" xfId="25061" builtinId="8" hidden="1"/>
    <cellStyle name="Hyperlink" xfId="25063" builtinId="8" hidden="1"/>
    <cellStyle name="Hyperlink" xfId="25065" builtinId="8" hidden="1"/>
    <cellStyle name="Hyperlink" xfId="25031" builtinId="8" hidden="1"/>
    <cellStyle name="Hyperlink" xfId="25017" builtinId="8" hidden="1"/>
    <cellStyle name="Hyperlink" xfId="25067" builtinId="8" hidden="1"/>
    <cellStyle name="Hyperlink" xfId="25069" builtinId="8" hidden="1"/>
    <cellStyle name="Hyperlink" xfId="25071" builtinId="8" hidden="1"/>
    <cellStyle name="Hyperlink" xfId="25073" builtinId="8" hidden="1"/>
    <cellStyle name="Hyperlink" xfId="25036" builtinId="8" hidden="1"/>
    <cellStyle name="Hyperlink" xfId="25005" builtinId="8" hidden="1"/>
    <cellStyle name="Hyperlink" xfId="25075" builtinId="8" hidden="1"/>
    <cellStyle name="Hyperlink" xfId="25077" builtinId="8" hidden="1"/>
    <cellStyle name="Hyperlink" xfId="25079" builtinId="8" hidden="1"/>
    <cellStyle name="Hyperlink" xfId="25081" builtinId="8" hidden="1"/>
    <cellStyle name="Hyperlink" xfId="25006" builtinId="8" hidden="1"/>
    <cellStyle name="Hyperlink" xfId="25039" builtinId="8" hidden="1"/>
    <cellStyle name="Hyperlink" xfId="25083" builtinId="8" hidden="1"/>
    <cellStyle name="Hyperlink" xfId="25085" builtinId="8" hidden="1"/>
    <cellStyle name="Hyperlink" xfId="25087" builtinId="8" hidden="1"/>
    <cellStyle name="Hyperlink" xfId="25089" builtinId="8" hidden="1"/>
    <cellStyle name="Hyperlink" xfId="25008" builtinId="8" hidden="1"/>
    <cellStyle name="Hyperlink" xfId="25049" builtinId="8" hidden="1"/>
    <cellStyle name="Hyperlink" xfId="25091" builtinId="8" hidden="1"/>
    <cellStyle name="Hyperlink" xfId="25093" builtinId="8" hidden="1"/>
    <cellStyle name="Hyperlink" xfId="25095" builtinId="8" hidden="1"/>
    <cellStyle name="Hyperlink" xfId="25097" builtinId="8" hidden="1"/>
    <cellStyle name="Hyperlink" xfId="25029" builtinId="8" hidden="1"/>
    <cellStyle name="Hyperlink" xfId="25032" builtinId="8" hidden="1"/>
    <cellStyle name="Hyperlink" xfId="25099" builtinId="8" hidden="1"/>
    <cellStyle name="Hyperlink" xfId="25101" builtinId="8" hidden="1"/>
    <cellStyle name="Hyperlink" xfId="25103" builtinId="8" hidden="1"/>
    <cellStyle name="Hyperlink" xfId="25105" builtinId="8" hidden="1"/>
    <cellStyle name="Hyperlink" xfId="25033" builtinId="8" hidden="1"/>
    <cellStyle name="Hyperlink" xfId="25030" builtinId="8" hidden="1"/>
    <cellStyle name="Hyperlink" xfId="25107" builtinId="8" hidden="1"/>
    <cellStyle name="Hyperlink" xfId="25109" builtinId="8" hidden="1"/>
    <cellStyle name="Hyperlink" xfId="25111" builtinId="8" hidden="1"/>
    <cellStyle name="Hyperlink" xfId="25113" builtinId="8" hidden="1"/>
    <cellStyle name="Hyperlink" xfId="25048" builtinId="8" hidden="1"/>
    <cellStyle name="Hyperlink" xfId="25025" builtinId="8" hidden="1"/>
    <cellStyle name="Hyperlink" xfId="25115" builtinId="8" hidden="1"/>
    <cellStyle name="Hyperlink" xfId="25117" builtinId="8" hidden="1"/>
    <cellStyle name="Hyperlink" xfId="25119" builtinId="8" hidden="1"/>
    <cellStyle name="Hyperlink" xfId="25121" builtinId="8" hidden="1"/>
    <cellStyle name="Hyperlink" xfId="25003" builtinId="8" hidden="1"/>
    <cellStyle name="Hyperlink" xfId="25004" builtinId="8" hidden="1"/>
    <cellStyle name="Hyperlink" xfId="25123" builtinId="8" hidden="1"/>
    <cellStyle name="Hyperlink" xfId="25125" builtinId="8" hidden="1"/>
    <cellStyle name="Hyperlink" xfId="25127" builtinId="8" hidden="1"/>
    <cellStyle name="Hyperlink" xfId="25129" builtinId="8" hidden="1"/>
    <cellStyle name="Hyperlink" xfId="25009" builtinId="8" hidden="1"/>
    <cellStyle name="Hyperlink" xfId="25045" builtinId="8" hidden="1"/>
    <cellStyle name="Hyperlink" xfId="25131" builtinId="8" hidden="1"/>
    <cellStyle name="Hyperlink" xfId="25133" builtinId="8" hidden="1"/>
    <cellStyle name="Hyperlink" xfId="25135" builtinId="8" hidden="1"/>
    <cellStyle name="Hyperlink" xfId="25137" builtinId="8" hidden="1"/>
    <cellStyle name="Hyperlink" xfId="25014" builtinId="8" hidden="1"/>
    <cellStyle name="Hyperlink" xfId="25034" builtinId="8" hidden="1"/>
    <cellStyle name="Hyperlink" xfId="25139" builtinId="8" hidden="1"/>
    <cellStyle name="Hyperlink" xfId="25141" builtinId="8" hidden="1"/>
    <cellStyle name="Hyperlink" xfId="25143" builtinId="8" hidden="1"/>
    <cellStyle name="Hyperlink" xfId="25145" builtinId="8" hidden="1"/>
    <cellStyle name="Hyperlink" xfId="25021" builtinId="8" hidden="1"/>
    <cellStyle name="Hyperlink" xfId="25019" builtinId="8" hidden="1"/>
    <cellStyle name="Hyperlink" xfId="25147" builtinId="8" hidden="1"/>
    <cellStyle name="Hyperlink" xfId="25149" builtinId="8" hidden="1"/>
    <cellStyle name="Hyperlink" xfId="25151" builtinId="8" hidden="1"/>
    <cellStyle name="Hyperlink" xfId="25153" builtinId="8" hidden="1"/>
    <cellStyle name="Hyperlink" xfId="23997" builtinId="8" hidden="1"/>
    <cellStyle name="Hyperlink" xfId="24112" builtinId="8" hidden="1"/>
    <cellStyle name="Hyperlink" xfId="24481" builtinId="8" hidden="1"/>
    <cellStyle name="Hyperlink" xfId="24114" builtinId="8" hidden="1"/>
    <cellStyle name="Hyperlink" xfId="24095" builtinId="8" hidden="1"/>
    <cellStyle name="Hyperlink" xfId="24127" builtinId="8" hidden="1"/>
    <cellStyle name="Hyperlink" xfId="24002" builtinId="8" hidden="1"/>
    <cellStyle name="Hyperlink" xfId="24129" builtinId="8" hidden="1"/>
    <cellStyle name="Hyperlink" xfId="25158" builtinId="8" hidden="1"/>
    <cellStyle name="Hyperlink" xfId="25160" builtinId="8" hidden="1"/>
    <cellStyle name="Hyperlink" xfId="25162" builtinId="8" hidden="1"/>
    <cellStyle name="Hyperlink" xfId="25164" builtinId="8" hidden="1"/>
    <cellStyle name="Hyperlink" xfId="25166" builtinId="8" hidden="1"/>
    <cellStyle name="Hyperlink" xfId="25168" builtinId="8" hidden="1"/>
    <cellStyle name="Hyperlink" xfId="25218" builtinId="8" hidden="1"/>
    <cellStyle name="Hyperlink" xfId="25220" builtinId="8" hidden="1"/>
    <cellStyle name="Hyperlink" xfId="25222" builtinId="8" hidden="1"/>
    <cellStyle name="Hyperlink" xfId="25224" builtinId="8" hidden="1"/>
    <cellStyle name="Hyperlink" xfId="25214" builtinId="8" hidden="1"/>
    <cellStyle name="Hyperlink" xfId="25204" builtinId="8" hidden="1"/>
    <cellStyle name="Hyperlink" xfId="25226" builtinId="8" hidden="1"/>
    <cellStyle name="Hyperlink" xfId="25228" builtinId="8" hidden="1"/>
    <cellStyle name="Hyperlink" xfId="25230" builtinId="8" hidden="1"/>
    <cellStyle name="Hyperlink" xfId="25232" builtinId="8" hidden="1"/>
    <cellStyle name="Hyperlink" xfId="25198" builtinId="8" hidden="1"/>
    <cellStyle name="Hyperlink" xfId="25184" builtinId="8" hidden="1"/>
    <cellStyle name="Hyperlink" xfId="25234" builtinId="8" hidden="1"/>
    <cellStyle name="Hyperlink" xfId="25236" builtinId="8" hidden="1"/>
    <cellStyle name="Hyperlink" xfId="25238" builtinId="8" hidden="1"/>
    <cellStyle name="Hyperlink" xfId="25240" builtinId="8" hidden="1"/>
    <cellStyle name="Hyperlink" xfId="25203" builtinId="8" hidden="1"/>
    <cellStyle name="Hyperlink" xfId="25172" builtinId="8" hidden="1"/>
    <cellStyle name="Hyperlink" xfId="25242" builtinId="8" hidden="1"/>
    <cellStyle name="Hyperlink" xfId="25244" builtinId="8" hidden="1"/>
    <cellStyle name="Hyperlink" xfId="25246" builtinId="8" hidden="1"/>
    <cellStyle name="Hyperlink" xfId="25248" builtinId="8" hidden="1"/>
    <cellStyle name="Hyperlink" xfId="25173" builtinId="8" hidden="1"/>
    <cellStyle name="Hyperlink" xfId="25206" builtinId="8" hidden="1"/>
    <cellStyle name="Hyperlink" xfId="25250" builtinId="8" hidden="1"/>
    <cellStyle name="Hyperlink" xfId="25252" builtinId="8" hidden="1"/>
    <cellStyle name="Hyperlink" xfId="25254" builtinId="8" hidden="1"/>
    <cellStyle name="Hyperlink" xfId="25256" builtinId="8" hidden="1"/>
    <cellStyle name="Hyperlink" xfId="25175" builtinId="8" hidden="1"/>
    <cellStyle name="Hyperlink" xfId="25216" builtinId="8" hidden="1"/>
    <cellStyle name="Hyperlink" xfId="25258" builtinId="8" hidden="1"/>
    <cellStyle name="Hyperlink" xfId="25260" builtinId="8" hidden="1"/>
    <cellStyle name="Hyperlink" xfId="25262" builtinId="8" hidden="1"/>
    <cellStyle name="Hyperlink" xfId="25264" builtinId="8" hidden="1"/>
    <cellStyle name="Hyperlink" xfId="25196" builtinId="8" hidden="1"/>
    <cellStyle name="Hyperlink" xfId="25199" builtinId="8" hidden="1"/>
    <cellStyle name="Hyperlink" xfId="25266" builtinId="8" hidden="1"/>
    <cellStyle name="Hyperlink" xfId="25268" builtinId="8" hidden="1"/>
    <cellStyle name="Hyperlink" xfId="25270" builtinId="8" hidden="1"/>
    <cellStyle name="Hyperlink" xfId="25272" builtinId="8" hidden="1"/>
    <cellStyle name="Hyperlink" xfId="25200" builtinId="8" hidden="1"/>
    <cellStyle name="Hyperlink" xfId="25197" builtinId="8" hidden="1"/>
    <cellStyle name="Hyperlink" xfId="25274" builtinId="8" hidden="1"/>
    <cellStyle name="Hyperlink" xfId="25276" builtinId="8" hidden="1"/>
    <cellStyle name="Hyperlink" xfId="25278" builtinId="8" hidden="1"/>
    <cellStyle name="Hyperlink" xfId="25280" builtinId="8" hidden="1"/>
    <cellStyle name="Hyperlink" xfId="25215" builtinId="8" hidden="1"/>
    <cellStyle name="Hyperlink" xfId="25192" builtinId="8" hidden="1"/>
    <cellStyle name="Hyperlink" xfId="25282" builtinId="8" hidden="1"/>
    <cellStyle name="Hyperlink" xfId="25284" builtinId="8" hidden="1"/>
    <cellStyle name="Hyperlink" xfId="25286" builtinId="8" hidden="1"/>
    <cellStyle name="Hyperlink" xfId="25288" builtinId="8" hidden="1"/>
    <cellStyle name="Hyperlink" xfId="25170" builtinId="8" hidden="1"/>
    <cellStyle name="Hyperlink" xfId="25171" builtinId="8" hidden="1"/>
    <cellStyle name="Hyperlink" xfId="25290" builtinId="8" hidden="1"/>
    <cellStyle name="Hyperlink" xfId="25292" builtinId="8" hidden="1"/>
    <cellStyle name="Hyperlink" xfId="25294" builtinId="8" hidden="1"/>
    <cellStyle name="Hyperlink" xfId="25296" builtinId="8" hidden="1"/>
    <cellStyle name="Hyperlink" xfId="25176" builtinId="8" hidden="1"/>
    <cellStyle name="Hyperlink" xfId="25212" builtinId="8" hidden="1"/>
    <cellStyle name="Hyperlink" xfId="25298" builtinId="8" hidden="1"/>
    <cellStyle name="Hyperlink" xfId="25300" builtinId="8" hidden="1"/>
    <cellStyle name="Hyperlink" xfId="25302" builtinId="8" hidden="1"/>
    <cellStyle name="Hyperlink" xfId="25304" builtinId="8" hidden="1"/>
    <cellStyle name="Hyperlink" xfId="25181" builtinId="8" hidden="1"/>
    <cellStyle name="Hyperlink" xfId="25201" builtinId="8" hidden="1"/>
    <cellStyle name="Hyperlink" xfId="25306" builtinId="8" hidden="1"/>
    <cellStyle name="Hyperlink" xfId="25308" builtinId="8" hidden="1"/>
    <cellStyle name="Hyperlink" xfId="25310" builtinId="8" hidden="1"/>
    <cellStyle name="Hyperlink" xfId="25312" builtinId="8" hidden="1"/>
    <cellStyle name="Hyperlink" xfId="25188" builtinId="8" hidden="1"/>
    <cellStyle name="Hyperlink" xfId="25186" builtinId="8" hidden="1"/>
    <cellStyle name="Hyperlink" xfId="25314" builtinId="8" hidden="1"/>
    <cellStyle name="Hyperlink" xfId="25316" builtinId="8" hidden="1"/>
    <cellStyle name="Hyperlink" xfId="25318" builtinId="8" hidden="1"/>
    <cellStyle name="Hyperlink" xfId="25320" builtinId="8" hidden="1"/>
    <cellStyle name="Hyperlink" xfId="24138" builtinId="8" hidden="1"/>
    <cellStyle name="Hyperlink" xfId="24109" builtinId="8" hidden="1"/>
    <cellStyle name="Hyperlink" xfId="24651" builtinId="8" hidden="1"/>
    <cellStyle name="Hyperlink" xfId="24134" builtinId="8" hidden="1"/>
    <cellStyle name="Hyperlink" xfId="24071" builtinId="8" hidden="1"/>
    <cellStyle name="Hyperlink" xfId="24012" builtinId="8" hidden="1"/>
    <cellStyle name="Hyperlink" xfId="24126" builtinId="8" hidden="1"/>
    <cellStyle name="Hyperlink" xfId="24119" builtinId="8" hidden="1"/>
    <cellStyle name="Hyperlink" xfId="25325" builtinId="8" hidden="1"/>
    <cellStyle name="Hyperlink" xfId="25327" builtinId="8" hidden="1"/>
    <cellStyle name="Hyperlink" xfId="25329" builtinId="8" hidden="1"/>
    <cellStyle name="Hyperlink" xfId="25331" builtinId="8" hidden="1"/>
    <cellStyle name="Hyperlink" xfId="25333" builtinId="8" hidden="1"/>
    <cellStyle name="Hyperlink" xfId="25335" builtinId="8" hidden="1"/>
    <cellStyle name="Hyperlink" xfId="25385" builtinId="8" hidden="1"/>
    <cellStyle name="Hyperlink" xfId="25387" builtinId="8" hidden="1"/>
    <cellStyle name="Hyperlink" xfId="25389" builtinId="8" hidden="1"/>
    <cellStyle name="Hyperlink" xfId="25391" builtinId="8" hidden="1"/>
    <cellStyle name="Hyperlink" xfId="25381" builtinId="8" hidden="1"/>
    <cellStyle name="Hyperlink" xfId="25371" builtinId="8" hidden="1"/>
    <cellStyle name="Hyperlink" xfId="25393" builtinId="8" hidden="1"/>
    <cellStyle name="Hyperlink" xfId="25395" builtinId="8" hidden="1"/>
    <cellStyle name="Hyperlink" xfId="25397" builtinId="8" hidden="1"/>
    <cellStyle name="Hyperlink" xfId="25399" builtinId="8" hidden="1"/>
    <cellStyle name="Hyperlink" xfId="25365" builtinId="8" hidden="1"/>
    <cellStyle name="Hyperlink" xfId="25351" builtinId="8" hidden="1"/>
    <cellStyle name="Hyperlink" xfId="25401" builtinId="8" hidden="1"/>
    <cellStyle name="Hyperlink" xfId="25403" builtinId="8" hidden="1"/>
    <cellStyle name="Hyperlink" xfId="25405" builtinId="8" hidden="1"/>
    <cellStyle name="Hyperlink" xfId="25407" builtinId="8" hidden="1"/>
    <cellStyle name="Hyperlink" xfId="25370" builtinId="8" hidden="1"/>
    <cellStyle name="Hyperlink" xfId="25339" builtinId="8" hidden="1"/>
    <cellStyle name="Hyperlink" xfId="25409" builtinId="8" hidden="1"/>
    <cellStyle name="Hyperlink" xfId="25411" builtinId="8" hidden="1"/>
    <cellStyle name="Hyperlink" xfId="25413" builtinId="8" hidden="1"/>
    <cellStyle name="Hyperlink" xfId="25415" builtinId="8" hidden="1"/>
    <cellStyle name="Hyperlink" xfId="25340" builtinId="8" hidden="1"/>
    <cellStyle name="Hyperlink" xfId="25373" builtinId="8" hidden="1"/>
    <cellStyle name="Hyperlink" xfId="25417" builtinId="8" hidden="1"/>
    <cellStyle name="Hyperlink" xfId="25419" builtinId="8" hidden="1"/>
    <cellStyle name="Hyperlink" xfId="25421" builtinId="8" hidden="1"/>
    <cellStyle name="Hyperlink" xfId="25423" builtinId="8" hidden="1"/>
    <cellStyle name="Hyperlink" xfId="25342" builtinId="8" hidden="1"/>
    <cellStyle name="Hyperlink" xfId="25383" builtinId="8" hidden="1"/>
    <cellStyle name="Hyperlink" xfId="25425" builtinId="8" hidden="1"/>
    <cellStyle name="Hyperlink" xfId="25427" builtinId="8" hidden="1"/>
    <cellStyle name="Hyperlink" xfId="25429" builtinId="8" hidden="1"/>
    <cellStyle name="Hyperlink" xfId="25431" builtinId="8" hidden="1"/>
    <cellStyle name="Hyperlink" xfId="25363" builtinId="8" hidden="1"/>
    <cellStyle name="Hyperlink" xfId="25366" builtinId="8" hidden="1"/>
    <cellStyle name="Hyperlink" xfId="25433" builtinId="8" hidden="1"/>
    <cellStyle name="Hyperlink" xfId="25435" builtinId="8" hidden="1"/>
    <cellStyle name="Hyperlink" xfId="25437" builtinId="8" hidden="1"/>
    <cellStyle name="Hyperlink" xfId="25439" builtinId="8" hidden="1"/>
    <cellStyle name="Hyperlink" xfId="25367" builtinId="8" hidden="1"/>
    <cellStyle name="Hyperlink" xfId="25364" builtinId="8" hidden="1"/>
    <cellStyle name="Hyperlink" xfId="25441" builtinId="8" hidden="1"/>
    <cellStyle name="Hyperlink" xfId="25443" builtinId="8" hidden="1"/>
    <cellStyle name="Hyperlink" xfId="25445" builtinId="8" hidden="1"/>
    <cellStyle name="Hyperlink" xfId="25447" builtinId="8" hidden="1"/>
    <cellStyle name="Hyperlink" xfId="25382" builtinId="8" hidden="1"/>
    <cellStyle name="Hyperlink" xfId="25359" builtinId="8" hidden="1"/>
    <cellStyle name="Hyperlink" xfId="25449" builtinId="8" hidden="1"/>
    <cellStyle name="Hyperlink" xfId="25451" builtinId="8" hidden="1"/>
    <cellStyle name="Hyperlink" xfId="25453" builtinId="8" hidden="1"/>
    <cellStyle name="Hyperlink" xfId="25455" builtinId="8" hidden="1"/>
    <cellStyle name="Hyperlink" xfId="25337" builtinId="8" hidden="1"/>
    <cellStyle name="Hyperlink" xfId="25338" builtinId="8" hidden="1"/>
    <cellStyle name="Hyperlink" xfId="25457" builtinId="8" hidden="1"/>
    <cellStyle name="Hyperlink" xfId="25459" builtinId="8" hidden="1"/>
    <cellStyle name="Hyperlink" xfId="25461" builtinId="8" hidden="1"/>
    <cellStyle name="Hyperlink" xfId="25463" builtinId="8" hidden="1"/>
    <cellStyle name="Hyperlink" xfId="25343" builtinId="8" hidden="1"/>
    <cellStyle name="Hyperlink" xfId="25379" builtinId="8" hidden="1"/>
    <cellStyle name="Hyperlink" xfId="25465" builtinId="8" hidden="1"/>
    <cellStyle name="Hyperlink" xfId="25467" builtinId="8" hidden="1"/>
    <cellStyle name="Hyperlink" xfId="25469" builtinId="8" hidden="1"/>
    <cellStyle name="Hyperlink" xfId="25471" builtinId="8" hidden="1"/>
    <cellStyle name="Hyperlink" xfId="25348" builtinId="8" hidden="1"/>
    <cellStyle name="Hyperlink" xfId="25368" builtinId="8" hidden="1"/>
    <cellStyle name="Hyperlink" xfId="25473" builtinId="8" hidden="1"/>
    <cellStyle name="Hyperlink" xfId="25475" builtinId="8" hidden="1"/>
    <cellStyle name="Hyperlink" xfId="25477" builtinId="8" hidden="1"/>
    <cellStyle name="Hyperlink" xfId="25479" builtinId="8" hidden="1"/>
    <cellStyle name="Hyperlink" xfId="25355" builtinId="8" hidden="1"/>
    <cellStyle name="Hyperlink" xfId="25353" builtinId="8" hidden="1"/>
    <cellStyle name="Hyperlink" xfId="25481" builtinId="8" hidden="1"/>
    <cellStyle name="Hyperlink" xfId="25483" builtinId="8" hidden="1"/>
    <cellStyle name="Hyperlink" xfId="25485" builtinId="8" hidden="1"/>
    <cellStyle name="Hyperlink" xfId="25487" builtinId="8" hidden="1"/>
    <cellStyle name="Hyperlink" xfId="24113" builtinId="8" hidden="1"/>
    <cellStyle name="Hyperlink" xfId="24097" builtinId="8" hidden="1"/>
    <cellStyle name="Hyperlink" xfId="24820" builtinId="8" hidden="1"/>
    <cellStyle name="Hyperlink" xfId="24076" builtinId="8" hidden="1"/>
    <cellStyle name="Hyperlink" xfId="23993" builtinId="8" hidden="1"/>
    <cellStyle name="Hyperlink" xfId="24055" builtinId="8" hidden="1"/>
    <cellStyle name="Hyperlink" xfId="24477" builtinId="8" hidden="1"/>
    <cellStyle name="Hyperlink" xfId="24074" builtinId="8" hidden="1"/>
    <cellStyle name="Hyperlink" xfId="25490" builtinId="8" hidden="1"/>
    <cellStyle name="Hyperlink" xfId="25492" builtinId="8" hidden="1"/>
    <cellStyle name="Hyperlink" xfId="25494" builtinId="8" hidden="1"/>
    <cellStyle name="Hyperlink" xfId="25496" builtinId="8" hidden="1"/>
    <cellStyle name="Hyperlink" xfId="25498" builtinId="8" hidden="1"/>
    <cellStyle name="Hyperlink" xfId="25500" builtinId="8" hidden="1"/>
    <cellStyle name="Hyperlink" xfId="25550" builtinId="8" hidden="1"/>
    <cellStyle name="Hyperlink" xfId="25552" builtinId="8" hidden="1"/>
    <cellStyle name="Hyperlink" xfId="25554" builtinId="8" hidden="1"/>
    <cellStyle name="Hyperlink" xfId="25556" builtinId="8" hidden="1"/>
    <cellStyle name="Hyperlink" xfId="25546" builtinId="8" hidden="1"/>
    <cellStyle name="Hyperlink" xfId="25536" builtinId="8" hidden="1"/>
    <cellStyle name="Hyperlink" xfId="25558" builtinId="8" hidden="1"/>
    <cellStyle name="Hyperlink" xfId="25560" builtinId="8" hidden="1"/>
    <cellStyle name="Hyperlink" xfId="25562" builtinId="8" hidden="1"/>
    <cellStyle name="Hyperlink" xfId="25564" builtinId="8" hidden="1"/>
    <cellStyle name="Hyperlink" xfId="25530" builtinId="8" hidden="1"/>
    <cellStyle name="Hyperlink" xfId="25516" builtinId="8" hidden="1"/>
    <cellStyle name="Hyperlink" xfId="25566" builtinId="8" hidden="1"/>
    <cellStyle name="Hyperlink" xfId="25568" builtinId="8" hidden="1"/>
    <cellStyle name="Hyperlink" xfId="25570" builtinId="8" hidden="1"/>
    <cellStyle name="Hyperlink" xfId="25572" builtinId="8" hidden="1"/>
    <cellStyle name="Hyperlink" xfId="25535" builtinId="8" hidden="1"/>
    <cellStyle name="Hyperlink" xfId="25504" builtinId="8" hidden="1"/>
    <cellStyle name="Hyperlink" xfId="25574" builtinId="8" hidden="1"/>
    <cellStyle name="Hyperlink" xfId="25576" builtinId="8" hidden="1"/>
    <cellStyle name="Hyperlink" xfId="25578" builtinId="8" hidden="1"/>
    <cellStyle name="Hyperlink" xfId="25580" builtinId="8" hidden="1"/>
    <cellStyle name="Hyperlink" xfId="25505" builtinId="8" hidden="1"/>
    <cellStyle name="Hyperlink" xfId="25538" builtinId="8" hidden="1"/>
    <cellStyle name="Hyperlink" xfId="25582" builtinId="8" hidden="1"/>
    <cellStyle name="Hyperlink" xfId="25584" builtinId="8" hidden="1"/>
    <cellStyle name="Hyperlink" xfId="25586" builtinId="8" hidden="1"/>
    <cellStyle name="Hyperlink" xfId="25588" builtinId="8" hidden="1"/>
    <cellStyle name="Hyperlink" xfId="25507" builtinId="8" hidden="1"/>
    <cellStyle name="Hyperlink" xfId="25548" builtinId="8" hidden="1"/>
    <cellStyle name="Hyperlink" xfId="25590" builtinId="8" hidden="1"/>
    <cellStyle name="Hyperlink" xfId="25592" builtinId="8" hidden="1"/>
    <cellStyle name="Hyperlink" xfId="25594" builtinId="8" hidden="1"/>
    <cellStyle name="Hyperlink" xfId="25596" builtinId="8" hidden="1"/>
    <cellStyle name="Hyperlink" xfId="25528" builtinId="8" hidden="1"/>
    <cellStyle name="Hyperlink" xfId="25531" builtinId="8" hidden="1"/>
    <cellStyle name="Hyperlink" xfId="25598" builtinId="8" hidden="1"/>
    <cellStyle name="Hyperlink" xfId="25600" builtinId="8" hidden="1"/>
    <cellStyle name="Hyperlink" xfId="25602" builtinId="8" hidden="1"/>
    <cellStyle name="Hyperlink" xfId="25604" builtinId="8" hidden="1"/>
    <cellStyle name="Hyperlink" xfId="25532" builtinId="8" hidden="1"/>
    <cellStyle name="Hyperlink" xfId="25529" builtinId="8" hidden="1"/>
    <cellStyle name="Hyperlink" xfId="25606" builtinId="8" hidden="1"/>
    <cellStyle name="Hyperlink" xfId="25608" builtinId="8" hidden="1"/>
    <cellStyle name="Hyperlink" xfId="25610" builtinId="8" hidden="1"/>
    <cellStyle name="Hyperlink" xfId="25612" builtinId="8" hidden="1"/>
    <cellStyle name="Hyperlink" xfId="25547" builtinId="8" hidden="1"/>
    <cellStyle name="Hyperlink" xfId="25524" builtinId="8" hidden="1"/>
    <cellStyle name="Hyperlink" xfId="25614" builtinId="8" hidden="1"/>
    <cellStyle name="Hyperlink" xfId="25616" builtinId="8" hidden="1"/>
    <cellStyle name="Hyperlink" xfId="25618" builtinId="8" hidden="1"/>
    <cellStyle name="Hyperlink" xfId="25620" builtinId="8" hidden="1"/>
    <cellStyle name="Hyperlink" xfId="25502" builtinId="8" hidden="1"/>
    <cellStyle name="Hyperlink" xfId="25503" builtinId="8" hidden="1"/>
    <cellStyle name="Hyperlink" xfId="25622" builtinId="8" hidden="1"/>
    <cellStyle name="Hyperlink" xfId="25624" builtinId="8" hidden="1"/>
    <cellStyle name="Hyperlink" xfId="25626" builtinId="8" hidden="1"/>
    <cellStyle name="Hyperlink" xfId="25628" builtinId="8" hidden="1"/>
    <cellStyle name="Hyperlink" xfId="25508" builtinId="8" hidden="1"/>
    <cellStyle name="Hyperlink" xfId="25544" builtinId="8" hidden="1"/>
    <cellStyle name="Hyperlink" xfId="25630" builtinId="8" hidden="1"/>
    <cellStyle name="Hyperlink" xfId="25632" builtinId="8" hidden="1"/>
    <cellStyle name="Hyperlink" xfId="25634" builtinId="8" hidden="1"/>
    <cellStyle name="Hyperlink" xfId="25636" builtinId="8" hidden="1"/>
    <cellStyle name="Hyperlink" xfId="25513" builtinId="8" hidden="1"/>
    <cellStyle name="Hyperlink" xfId="25533" builtinId="8" hidden="1"/>
    <cellStyle name="Hyperlink" xfId="25638" builtinId="8" hidden="1"/>
    <cellStyle name="Hyperlink" xfId="25640" builtinId="8" hidden="1"/>
    <cellStyle name="Hyperlink" xfId="25642" builtinId="8" hidden="1"/>
    <cellStyle name="Hyperlink" xfId="25644" builtinId="8" hidden="1"/>
    <cellStyle name="Hyperlink" xfId="25520" builtinId="8" hidden="1"/>
    <cellStyle name="Hyperlink" xfId="25518" builtinId="8" hidden="1"/>
    <cellStyle name="Hyperlink" xfId="25646" builtinId="8" hidden="1"/>
    <cellStyle name="Hyperlink" xfId="25648" builtinId="8" hidden="1"/>
    <cellStyle name="Hyperlink" xfId="25650" builtinId="8" hidden="1"/>
    <cellStyle name="Hyperlink" xfId="25652" builtinId="8" hidden="1"/>
    <cellStyle name="Hyperlink" xfId="24133" builtinId="8" hidden="1"/>
    <cellStyle name="Hyperlink" xfId="24017" builtinId="8" hidden="1"/>
    <cellStyle name="Hyperlink" xfId="24989" builtinId="8" hidden="1"/>
    <cellStyle name="Hyperlink" xfId="23998" builtinId="8" hidden="1"/>
    <cellStyle name="Hyperlink" xfId="24056" builtinId="8" hidden="1"/>
    <cellStyle name="Hyperlink" xfId="24091" builtinId="8" hidden="1"/>
    <cellStyle name="Hyperlink" xfId="24647" builtinId="8" hidden="1"/>
    <cellStyle name="Hyperlink" xfId="24013" builtinId="8" hidden="1"/>
    <cellStyle name="Hyperlink" xfId="25655" builtinId="8" hidden="1"/>
    <cellStyle name="Hyperlink" xfId="25657" builtinId="8" hidden="1"/>
    <cellStyle name="Hyperlink" xfId="25659" builtinId="8" hidden="1"/>
    <cellStyle name="Hyperlink" xfId="25661" builtinId="8" hidden="1"/>
    <cellStyle name="Hyperlink" xfId="25663" builtinId="8" hidden="1"/>
    <cellStyle name="Hyperlink" xfId="25665" builtinId="8" hidden="1"/>
    <cellStyle name="Hyperlink" xfId="25715" builtinId="8" hidden="1"/>
    <cellStyle name="Hyperlink" xfId="25717" builtinId="8" hidden="1"/>
    <cellStyle name="Hyperlink" xfId="25719" builtinId="8" hidden="1"/>
    <cellStyle name="Hyperlink" xfId="25721" builtinId="8" hidden="1"/>
    <cellStyle name="Hyperlink" xfId="25711" builtinId="8" hidden="1"/>
    <cellStyle name="Hyperlink" xfId="25701" builtinId="8" hidden="1"/>
    <cellStyle name="Hyperlink" xfId="25723" builtinId="8" hidden="1"/>
    <cellStyle name="Hyperlink" xfId="25725" builtinId="8" hidden="1"/>
    <cellStyle name="Hyperlink" xfId="25727" builtinId="8" hidden="1"/>
    <cellStyle name="Hyperlink" xfId="25729" builtinId="8" hidden="1"/>
    <cellStyle name="Hyperlink" xfId="25695" builtinId="8" hidden="1"/>
    <cellStyle name="Hyperlink" xfId="25681" builtinId="8" hidden="1"/>
    <cellStyle name="Hyperlink" xfId="25731" builtinId="8" hidden="1"/>
    <cellStyle name="Hyperlink" xfId="25733" builtinId="8" hidden="1"/>
    <cellStyle name="Hyperlink" xfId="25735" builtinId="8" hidden="1"/>
    <cellStyle name="Hyperlink" xfId="25737" builtinId="8" hidden="1"/>
    <cellStyle name="Hyperlink" xfId="25700" builtinId="8" hidden="1"/>
    <cellStyle name="Hyperlink" xfId="25669" builtinId="8" hidden="1"/>
    <cellStyle name="Hyperlink" xfId="25739" builtinId="8" hidden="1"/>
    <cellStyle name="Hyperlink" xfId="25741" builtinId="8" hidden="1"/>
    <cellStyle name="Hyperlink" xfId="25743" builtinId="8" hidden="1"/>
    <cellStyle name="Hyperlink" xfId="25745" builtinId="8" hidden="1"/>
    <cellStyle name="Hyperlink" xfId="25670" builtinId="8" hidden="1"/>
    <cellStyle name="Hyperlink" xfId="25703" builtinId="8" hidden="1"/>
    <cellStyle name="Hyperlink" xfId="25747" builtinId="8" hidden="1"/>
    <cellStyle name="Hyperlink" xfId="25749" builtinId="8" hidden="1"/>
    <cellStyle name="Hyperlink" xfId="25751" builtinId="8" hidden="1"/>
    <cellStyle name="Hyperlink" xfId="25753" builtinId="8" hidden="1"/>
    <cellStyle name="Hyperlink" xfId="25672" builtinId="8" hidden="1"/>
    <cellStyle name="Hyperlink" xfId="25713" builtinId="8" hidden="1"/>
    <cellStyle name="Hyperlink" xfId="25755" builtinId="8" hidden="1"/>
    <cellStyle name="Hyperlink" xfId="25757" builtinId="8" hidden="1"/>
    <cellStyle name="Hyperlink" xfId="25759" builtinId="8" hidden="1"/>
    <cellStyle name="Hyperlink" xfId="25761" builtinId="8" hidden="1"/>
    <cellStyle name="Hyperlink" xfId="25693" builtinId="8" hidden="1"/>
    <cellStyle name="Hyperlink" xfId="25696" builtinId="8" hidden="1"/>
    <cellStyle name="Hyperlink" xfId="25763" builtinId="8" hidden="1"/>
    <cellStyle name="Hyperlink" xfId="25765" builtinId="8" hidden="1"/>
    <cellStyle name="Hyperlink" xfId="25767" builtinId="8" hidden="1"/>
    <cellStyle name="Hyperlink" xfId="25769" builtinId="8" hidden="1"/>
    <cellStyle name="Hyperlink" xfId="25697" builtinId="8" hidden="1"/>
    <cellStyle name="Hyperlink" xfId="25694" builtinId="8" hidden="1"/>
    <cellStyle name="Hyperlink" xfId="25771" builtinId="8" hidden="1"/>
    <cellStyle name="Hyperlink" xfId="25773" builtinId="8" hidden="1"/>
    <cellStyle name="Hyperlink" xfId="25775" builtinId="8" hidden="1"/>
    <cellStyle name="Hyperlink" xfId="25777" builtinId="8" hidden="1"/>
    <cellStyle name="Hyperlink" xfId="25712" builtinId="8" hidden="1"/>
    <cellStyle name="Hyperlink" xfId="25689" builtinId="8" hidden="1"/>
    <cellStyle name="Hyperlink" xfId="25779" builtinId="8" hidden="1"/>
    <cellStyle name="Hyperlink" xfId="25781" builtinId="8" hidden="1"/>
    <cellStyle name="Hyperlink" xfId="25783" builtinId="8" hidden="1"/>
    <cellStyle name="Hyperlink" xfId="25785" builtinId="8" hidden="1"/>
    <cellStyle name="Hyperlink" xfId="25667" builtinId="8" hidden="1"/>
    <cellStyle name="Hyperlink" xfId="25668" builtinId="8" hidden="1"/>
    <cellStyle name="Hyperlink" xfId="25787" builtinId="8" hidden="1"/>
    <cellStyle name="Hyperlink" xfId="25789" builtinId="8" hidden="1"/>
    <cellStyle name="Hyperlink" xfId="25791" builtinId="8" hidden="1"/>
    <cellStyle name="Hyperlink" xfId="25793" builtinId="8" hidden="1"/>
    <cellStyle name="Hyperlink" xfId="25673" builtinId="8" hidden="1"/>
    <cellStyle name="Hyperlink" xfId="25709" builtinId="8" hidden="1"/>
    <cellStyle name="Hyperlink" xfId="25795" builtinId="8" hidden="1"/>
    <cellStyle name="Hyperlink" xfId="25797" builtinId="8" hidden="1"/>
    <cellStyle name="Hyperlink" xfId="25799" builtinId="8" hidden="1"/>
    <cellStyle name="Hyperlink" xfId="25801" builtinId="8" hidden="1"/>
    <cellStyle name="Hyperlink" xfId="25678" builtinId="8" hidden="1"/>
    <cellStyle name="Hyperlink" xfId="25698" builtinId="8" hidden="1"/>
    <cellStyle name="Hyperlink" xfId="25803" builtinId="8" hidden="1"/>
    <cellStyle name="Hyperlink" xfId="25805" builtinId="8" hidden="1"/>
    <cellStyle name="Hyperlink" xfId="25807" builtinId="8" hidden="1"/>
    <cellStyle name="Hyperlink" xfId="25809" builtinId="8" hidden="1"/>
    <cellStyle name="Hyperlink" xfId="25685" builtinId="8" hidden="1"/>
    <cellStyle name="Hyperlink" xfId="25683" builtinId="8" hidden="1"/>
    <cellStyle name="Hyperlink" xfId="25811" builtinId="8" hidden="1"/>
    <cellStyle name="Hyperlink" xfId="25813" builtinId="8" hidden="1"/>
    <cellStyle name="Hyperlink" xfId="25815" builtinId="8" hidden="1"/>
    <cellStyle name="Hyperlink" xfId="25817" builtinId="8" hidden="1"/>
    <cellStyle name="Hyperlink" xfId="24317" builtinId="8" hidden="1"/>
    <cellStyle name="Hyperlink" xfId="24476" builtinId="8" hidden="1"/>
    <cellStyle name="Hyperlink" xfId="25156" builtinId="8" hidden="1"/>
    <cellStyle name="Hyperlink" xfId="24478" builtinId="8" hidden="1"/>
    <cellStyle name="Hyperlink" xfId="24135" builtinId="8" hidden="1"/>
    <cellStyle name="Hyperlink" xfId="24085" builtinId="8" hidden="1"/>
    <cellStyle name="Hyperlink" xfId="24817" builtinId="8" hidden="1"/>
    <cellStyle name="Hyperlink" xfId="24103" builtinId="8" hidden="1"/>
    <cellStyle name="Hyperlink" xfId="25820" builtinId="8" hidden="1"/>
    <cellStyle name="Hyperlink" xfId="25822" builtinId="8" hidden="1"/>
    <cellStyle name="Hyperlink" xfId="25824" builtinId="8" hidden="1"/>
    <cellStyle name="Hyperlink" xfId="25826" builtinId="8" hidden="1"/>
    <cellStyle name="Hyperlink" xfId="25828" builtinId="8" hidden="1"/>
    <cellStyle name="Hyperlink" xfId="25830" builtinId="8" hidden="1"/>
    <cellStyle name="Hyperlink" xfId="25880" builtinId="8" hidden="1"/>
    <cellStyle name="Hyperlink" xfId="25882" builtinId="8" hidden="1"/>
    <cellStyle name="Hyperlink" xfId="25884" builtinId="8" hidden="1"/>
    <cellStyle name="Hyperlink" xfId="25886" builtinId="8" hidden="1"/>
    <cellStyle name="Hyperlink" xfId="25876" builtinId="8" hidden="1"/>
    <cellStyle name="Hyperlink" xfId="25866" builtinId="8" hidden="1"/>
    <cellStyle name="Hyperlink" xfId="25888" builtinId="8" hidden="1"/>
    <cellStyle name="Hyperlink" xfId="25890" builtinId="8" hidden="1"/>
    <cellStyle name="Hyperlink" xfId="25892" builtinId="8" hidden="1"/>
    <cellStyle name="Hyperlink" xfId="25894" builtinId="8" hidden="1"/>
    <cellStyle name="Hyperlink" xfId="25860" builtinId="8" hidden="1"/>
    <cellStyle name="Hyperlink" xfId="25846" builtinId="8" hidden="1"/>
    <cellStyle name="Hyperlink" xfId="25896" builtinId="8" hidden="1"/>
    <cellStyle name="Hyperlink" xfId="25898" builtinId="8" hidden="1"/>
    <cellStyle name="Hyperlink" xfId="25900" builtinId="8" hidden="1"/>
    <cellStyle name="Hyperlink" xfId="25902" builtinId="8" hidden="1"/>
    <cellStyle name="Hyperlink" xfId="25865" builtinId="8" hidden="1"/>
    <cellStyle name="Hyperlink" xfId="25834" builtinId="8" hidden="1"/>
    <cellStyle name="Hyperlink" xfId="25904" builtinId="8" hidden="1"/>
    <cellStyle name="Hyperlink" xfId="25906" builtinId="8" hidden="1"/>
    <cellStyle name="Hyperlink" xfId="25908" builtinId="8" hidden="1"/>
    <cellStyle name="Hyperlink" xfId="25910" builtinId="8" hidden="1"/>
    <cellStyle name="Hyperlink" xfId="25835" builtinId="8" hidden="1"/>
    <cellStyle name="Hyperlink" xfId="25868" builtinId="8" hidden="1"/>
    <cellStyle name="Hyperlink" xfId="25912" builtinId="8" hidden="1"/>
    <cellStyle name="Hyperlink" xfId="25914" builtinId="8" hidden="1"/>
    <cellStyle name="Hyperlink" xfId="25916" builtinId="8" hidden="1"/>
    <cellStyle name="Hyperlink" xfId="25918" builtinId="8" hidden="1"/>
    <cellStyle name="Hyperlink" xfId="25837" builtinId="8" hidden="1"/>
    <cellStyle name="Hyperlink" xfId="25878" builtinId="8" hidden="1"/>
    <cellStyle name="Hyperlink" xfId="25920" builtinId="8" hidden="1"/>
    <cellStyle name="Hyperlink" xfId="25922" builtinId="8" hidden="1"/>
    <cellStyle name="Hyperlink" xfId="25924" builtinId="8" hidden="1"/>
    <cellStyle name="Hyperlink" xfId="25926" builtinId="8" hidden="1"/>
    <cellStyle name="Hyperlink" xfId="25858" builtinId="8" hidden="1"/>
    <cellStyle name="Hyperlink" xfId="25861" builtinId="8" hidden="1"/>
    <cellStyle name="Hyperlink" xfId="25928" builtinId="8" hidden="1"/>
    <cellStyle name="Hyperlink" xfId="25930" builtinId="8" hidden="1"/>
    <cellStyle name="Hyperlink" xfId="25932" builtinId="8" hidden="1"/>
    <cellStyle name="Hyperlink" xfId="25934" builtinId="8" hidden="1"/>
    <cellStyle name="Hyperlink" xfId="25862" builtinId="8" hidden="1"/>
    <cellStyle name="Hyperlink" xfId="25859" builtinId="8" hidden="1"/>
    <cellStyle name="Hyperlink" xfId="25936" builtinId="8" hidden="1"/>
    <cellStyle name="Hyperlink" xfId="25938" builtinId="8" hidden="1"/>
    <cellStyle name="Hyperlink" xfId="25940" builtinId="8" hidden="1"/>
    <cellStyle name="Hyperlink" xfId="25942" builtinId="8" hidden="1"/>
    <cellStyle name="Hyperlink" xfId="25877" builtinId="8" hidden="1"/>
    <cellStyle name="Hyperlink" xfId="25854" builtinId="8" hidden="1"/>
    <cellStyle name="Hyperlink" xfId="25944" builtinId="8" hidden="1"/>
    <cellStyle name="Hyperlink" xfId="25946" builtinId="8" hidden="1"/>
    <cellStyle name="Hyperlink" xfId="25948" builtinId="8" hidden="1"/>
    <cellStyle name="Hyperlink" xfId="25950" builtinId="8" hidden="1"/>
    <cellStyle name="Hyperlink" xfId="25832" builtinId="8" hidden="1"/>
    <cellStyle name="Hyperlink" xfId="25833" builtinId="8" hidden="1"/>
    <cellStyle name="Hyperlink" xfId="25952" builtinId="8" hidden="1"/>
    <cellStyle name="Hyperlink" xfId="25954" builtinId="8" hidden="1"/>
    <cellStyle name="Hyperlink" xfId="25956" builtinId="8" hidden="1"/>
    <cellStyle name="Hyperlink" xfId="25958" builtinId="8" hidden="1"/>
    <cellStyle name="Hyperlink" xfId="25838" builtinId="8" hidden="1"/>
    <cellStyle name="Hyperlink" xfId="25874" builtinId="8" hidden="1"/>
    <cellStyle name="Hyperlink" xfId="25960" builtinId="8" hidden="1"/>
    <cellStyle name="Hyperlink" xfId="25962" builtinId="8" hidden="1"/>
    <cellStyle name="Hyperlink" xfId="25964" builtinId="8" hidden="1"/>
    <cellStyle name="Hyperlink" xfId="25966" builtinId="8" hidden="1"/>
    <cellStyle name="Hyperlink" xfId="25843" builtinId="8" hidden="1"/>
    <cellStyle name="Hyperlink" xfId="25863" builtinId="8" hidden="1"/>
    <cellStyle name="Hyperlink" xfId="25968" builtinId="8" hidden="1"/>
    <cellStyle name="Hyperlink" xfId="25970" builtinId="8" hidden="1"/>
    <cellStyle name="Hyperlink" xfId="25972" builtinId="8" hidden="1"/>
    <cellStyle name="Hyperlink" xfId="25974" builtinId="8" hidden="1"/>
    <cellStyle name="Hyperlink" xfId="25850" builtinId="8" hidden="1"/>
    <cellStyle name="Hyperlink" xfId="25848" builtinId="8" hidden="1"/>
    <cellStyle name="Hyperlink" xfId="25976" builtinId="8" hidden="1"/>
    <cellStyle name="Hyperlink" xfId="25978" builtinId="8" hidden="1"/>
    <cellStyle name="Hyperlink" xfId="25980" builtinId="8" hidden="1"/>
    <cellStyle name="Hyperlink" xfId="25982" builtinId="8" hidden="1"/>
    <cellStyle name="Hyperlink" xfId="24019" builtinId="8" hidden="1"/>
    <cellStyle name="Hyperlink" xfId="24108" builtinId="8" hidden="1"/>
    <cellStyle name="Hyperlink" xfId="25323" builtinId="8" hidden="1"/>
    <cellStyle name="Hyperlink" xfId="24648" builtinId="8" hidden="1"/>
    <cellStyle name="Hyperlink" xfId="24137" builtinId="8" hidden="1"/>
    <cellStyle name="Hyperlink" xfId="24048" builtinId="8" hidden="1"/>
    <cellStyle name="Hyperlink" xfId="24986" builtinId="8" hidden="1"/>
    <cellStyle name="Hyperlink" xfId="24139" builtinId="8" hidden="1"/>
    <cellStyle name="Hyperlink" xfId="25984" builtinId="8" hidden="1"/>
    <cellStyle name="Hyperlink" xfId="25986" builtinId="8" hidden="1"/>
    <cellStyle name="Hyperlink" xfId="25988" builtinId="8" hidden="1"/>
    <cellStyle name="Hyperlink" xfId="25990" builtinId="8" hidden="1"/>
    <cellStyle name="Hyperlink" xfId="25992" builtinId="8" hidden="1"/>
    <cellStyle name="Hyperlink" xfId="25994" builtinId="8" hidden="1"/>
    <cellStyle name="Hyperlink" xfId="26044" builtinId="8" hidden="1"/>
    <cellStyle name="Hyperlink" xfId="26046" builtinId="8" hidden="1"/>
    <cellStyle name="Hyperlink" xfId="26048" builtinId="8" hidden="1"/>
    <cellStyle name="Hyperlink" xfId="26050" builtinId="8" hidden="1"/>
    <cellStyle name="Hyperlink" xfId="26040" builtinId="8" hidden="1"/>
    <cellStyle name="Hyperlink" xfId="26030" builtinId="8" hidden="1"/>
    <cellStyle name="Hyperlink" xfId="26052" builtinId="8" hidden="1"/>
    <cellStyle name="Hyperlink" xfId="26054" builtinId="8" hidden="1"/>
    <cellStyle name="Hyperlink" xfId="26056" builtinId="8" hidden="1"/>
    <cellStyle name="Hyperlink" xfId="26058" builtinId="8" hidden="1"/>
    <cellStyle name="Hyperlink" xfId="26024" builtinId="8" hidden="1"/>
    <cellStyle name="Hyperlink" xfId="26010" builtinId="8" hidden="1"/>
    <cellStyle name="Hyperlink" xfId="26060" builtinId="8" hidden="1"/>
    <cellStyle name="Hyperlink" xfId="26062" builtinId="8" hidden="1"/>
    <cellStyle name="Hyperlink" xfId="26064" builtinId="8" hidden="1"/>
    <cellStyle name="Hyperlink" xfId="26066" builtinId="8" hidden="1"/>
    <cellStyle name="Hyperlink" xfId="26029" builtinId="8" hidden="1"/>
    <cellStyle name="Hyperlink" xfId="25998" builtinId="8" hidden="1"/>
    <cellStyle name="Hyperlink" xfId="26068" builtinId="8" hidden="1"/>
    <cellStyle name="Hyperlink" xfId="26070" builtinId="8" hidden="1"/>
    <cellStyle name="Hyperlink" xfId="26072" builtinId="8" hidden="1"/>
    <cellStyle name="Hyperlink" xfId="26074" builtinId="8" hidden="1"/>
    <cellStyle name="Hyperlink" xfId="25999" builtinId="8" hidden="1"/>
    <cellStyle name="Hyperlink" xfId="26032" builtinId="8" hidden="1"/>
    <cellStyle name="Hyperlink" xfId="26076" builtinId="8" hidden="1"/>
    <cellStyle name="Hyperlink" xfId="26078" builtinId="8" hidden="1"/>
    <cellStyle name="Hyperlink" xfId="26080" builtinId="8" hidden="1"/>
    <cellStyle name="Hyperlink" xfId="26082" builtinId="8" hidden="1"/>
    <cellStyle name="Hyperlink" xfId="26001" builtinId="8" hidden="1"/>
    <cellStyle name="Hyperlink" xfId="26042" builtinId="8" hidden="1"/>
    <cellStyle name="Hyperlink" xfId="26084" builtinId="8" hidden="1"/>
    <cellStyle name="Hyperlink" xfId="26086" builtinId="8" hidden="1"/>
    <cellStyle name="Hyperlink" xfId="26088" builtinId="8" hidden="1"/>
    <cellStyle name="Hyperlink" xfId="26090" builtinId="8" hidden="1"/>
    <cellStyle name="Hyperlink" xfId="26022" builtinId="8" hidden="1"/>
    <cellStyle name="Hyperlink" xfId="26025" builtinId="8" hidden="1"/>
    <cellStyle name="Hyperlink" xfId="26092" builtinId="8" hidden="1"/>
    <cellStyle name="Hyperlink" xfId="26094" builtinId="8" hidden="1"/>
    <cellStyle name="Hyperlink" xfId="26096" builtinId="8" hidden="1"/>
    <cellStyle name="Hyperlink" xfId="26098" builtinId="8" hidden="1"/>
    <cellStyle name="Hyperlink" xfId="26026" builtinId="8" hidden="1"/>
    <cellStyle name="Hyperlink" xfId="26023" builtinId="8" hidden="1"/>
    <cellStyle name="Hyperlink" xfId="26100" builtinId="8" hidden="1"/>
    <cellStyle name="Hyperlink" xfId="26102" builtinId="8" hidden="1"/>
    <cellStyle name="Hyperlink" xfId="26104" builtinId="8" hidden="1"/>
    <cellStyle name="Hyperlink" xfId="26106" builtinId="8" hidden="1"/>
    <cellStyle name="Hyperlink" xfId="26041" builtinId="8" hidden="1"/>
    <cellStyle name="Hyperlink" xfId="26018" builtinId="8" hidden="1"/>
    <cellStyle name="Hyperlink" xfId="26108" builtinId="8" hidden="1"/>
    <cellStyle name="Hyperlink" xfId="26110" builtinId="8" hidden="1"/>
    <cellStyle name="Hyperlink" xfId="26112" builtinId="8" hidden="1"/>
    <cellStyle name="Hyperlink" xfId="26114" builtinId="8" hidden="1"/>
    <cellStyle name="Hyperlink" xfId="25996" builtinId="8" hidden="1"/>
    <cellStyle name="Hyperlink" xfId="25997" builtinId="8" hidden="1"/>
    <cellStyle name="Hyperlink" xfId="26116" builtinId="8" hidden="1"/>
    <cellStyle name="Hyperlink" xfId="26118" builtinId="8" hidden="1"/>
    <cellStyle name="Hyperlink" xfId="26120" builtinId="8" hidden="1"/>
    <cellStyle name="Hyperlink" xfId="26122" builtinId="8" hidden="1"/>
    <cellStyle name="Hyperlink" xfId="26002" builtinId="8" hidden="1"/>
    <cellStyle name="Hyperlink" xfId="26038" builtinId="8" hidden="1"/>
    <cellStyle name="Hyperlink" xfId="26124" builtinId="8" hidden="1"/>
    <cellStyle name="Hyperlink" xfId="26126" builtinId="8" hidden="1"/>
    <cellStyle name="Hyperlink" xfId="26128" builtinId="8" hidden="1"/>
    <cellStyle name="Hyperlink" xfId="26130" builtinId="8" hidden="1"/>
    <cellStyle name="Hyperlink" xfId="26007" builtinId="8" hidden="1"/>
    <cellStyle name="Hyperlink" xfId="26027" builtinId="8" hidden="1"/>
    <cellStyle name="Hyperlink" xfId="26132" builtinId="8" hidden="1"/>
    <cellStyle name="Hyperlink" xfId="26134" builtinId="8" hidden="1"/>
    <cellStyle name="Hyperlink" xfId="26136" builtinId="8" hidden="1"/>
    <cellStyle name="Hyperlink" xfId="26138" builtinId="8" hidden="1"/>
    <cellStyle name="Hyperlink" xfId="26014" builtinId="8" hidden="1"/>
    <cellStyle name="Hyperlink" xfId="26012" builtinId="8" hidden="1"/>
    <cellStyle name="Hyperlink" xfId="26140" builtinId="8" hidden="1"/>
    <cellStyle name="Hyperlink" xfId="26142" builtinId="8" hidden="1"/>
    <cellStyle name="Hyperlink" xfId="26144" builtinId="8" hidden="1"/>
    <cellStyle name="Hyperlink" xfId="26146" builtinId="8" hidden="1"/>
    <cellStyle name="Hyperlink" xfId="19138" builtinId="8" hidden="1"/>
    <cellStyle name="Hyperlink" xfId="19135" builtinId="8" hidden="1"/>
    <cellStyle name="Hyperlink" xfId="19106" builtinId="8" hidden="1"/>
    <cellStyle name="Hyperlink" xfId="19017" builtinId="8" hidden="1"/>
    <cellStyle name="Hyperlink" xfId="19059" builtinId="8" hidden="1"/>
    <cellStyle name="Hyperlink" xfId="19094" builtinId="8" hidden="1"/>
    <cellStyle name="Hyperlink" xfId="19038" builtinId="8" hidden="1"/>
    <cellStyle name="Hyperlink" xfId="19098" builtinId="8" hidden="1"/>
    <cellStyle name="Hyperlink" xfId="19107" builtinId="8" hidden="1"/>
    <cellStyle name="Hyperlink" xfId="19044" builtinId="8" hidden="1"/>
    <cellStyle name="Hyperlink" xfId="19084" builtinId="8" hidden="1"/>
    <cellStyle name="Hyperlink" xfId="19114" builtinId="8" hidden="1"/>
    <cellStyle name="Hyperlink" xfId="19036" builtinId="8" hidden="1"/>
    <cellStyle name="Hyperlink" xfId="21493" builtinId="8" hidden="1"/>
    <cellStyle name="Hyperlink" xfId="26152" builtinId="8" hidden="1"/>
    <cellStyle name="Hyperlink" xfId="26154" builtinId="8" hidden="1"/>
    <cellStyle name="Hyperlink" xfId="26156" builtinId="8" hidden="1"/>
    <cellStyle name="Hyperlink" xfId="26158" builtinId="8" hidden="1"/>
    <cellStyle name="Hyperlink" xfId="26160" builtinId="8" hidden="1"/>
    <cellStyle name="Hyperlink" xfId="26162" builtinId="8" hidden="1"/>
    <cellStyle name="Hyperlink" xfId="26212" builtinId="8" hidden="1"/>
    <cellStyle name="Hyperlink" xfId="26214" builtinId="8" hidden="1"/>
    <cellStyle name="Hyperlink" xfId="26216" builtinId="8" hidden="1"/>
    <cellStyle name="Hyperlink" xfId="26218" builtinId="8" hidden="1"/>
    <cellStyle name="Hyperlink" xfId="26208" builtinId="8" hidden="1"/>
    <cellStyle name="Hyperlink" xfId="26198" builtinId="8" hidden="1"/>
    <cellStyle name="Hyperlink" xfId="26220" builtinId="8" hidden="1"/>
    <cellStyle name="Hyperlink" xfId="26222" builtinId="8" hidden="1"/>
    <cellStyle name="Hyperlink" xfId="26224" builtinId="8" hidden="1"/>
    <cellStyle name="Hyperlink" xfId="26226" builtinId="8" hidden="1"/>
    <cellStyle name="Hyperlink" xfId="26192" builtinId="8" hidden="1"/>
    <cellStyle name="Hyperlink" xfId="26178" builtinId="8" hidden="1"/>
    <cellStyle name="Hyperlink" xfId="26228" builtinId="8" hidden="1"/>
    <cellStyle name="Hyperlink" xfId="26230" builtinId="8" hidden="1"/>
    <cellStyle name="Hyperlink" xfId="26232" builtinId="8" hidden="1"/>
    <cellStyle name="Hyperlink" xfId="26234" builtinId="8" hidden="1"/>
    <cellStyle name="Hyperlink" xfId="26197" builtinId="8" hidden="1"/>
    <cellStyle name="Hyperlink" xfId="26166" builtinId="8" hidden="1"/>
    <cellStyle name="Hyperlink" xfId="26236" builtinId="8" hidden="1"/>
    <cellStyle name="Hyperlink" xfId="26238" builtinId="8" hidden="1"/>
    <cellStyle name="Hyperlink" xfId="26240" builtinId="8" hidden="1"/>
    <cellStyle name="Hyperlink" xfId="26242" builtinId="8" hidden="1"/>
    <cellStyle name="Hyperlink" xfId="26167" builtinId="8" hidden="1"/>
    <cellStyle name="Hyperlink" xfId="26200" builtinId="8" hidden="1"/>
    <cellStyle name="Hyperlink" xfId="26244" builtinId="8" hidden="1"/>
    <cellStyle name="Hyperlink" xfId="26246" builtinId="8" hidden="1"/>
    <cellStyle name="Hyperlink" xfId="26248" builtinId="8" hidden="1"/>
    <cellStyle name="Hyperlink" xfId="26250" builtinId="8" hidden="1"/>
    <cellStyle name="Hyperlink" xfId="26169" builtinId="8" hidden="1"/>
    <cellStyle name="Hyperlink" xfId="26210" builtinId="8" hidden="1"/>
    <cellStyle name="Hyperlink" xfId="26252" builtinId="8" hidden="1"/>
    <cellStyle name="Hyperlink" xfId="26254" builtinId="8" hidden="1"/>
    <cellStyle name="Hyperlink" xfId="26256" builtinId="8" hidden="1"/>
    <cellStyle name="Hyperlink" xfId="26258" builtinId="8" hidden="1"/>
    <cellStyle name="Hyperlink" xfId="26190" builtinId="8" hidden="1"/>
    <cellStyle name="Hyperlink" xfId="26193" builtinId="8" hidden="1"/>
    <cellStyle name="Hyperlink" xfId="26260" builtinId="8" hidden="1"/>
    <cellStyle name="Hyperlink" xfId="26262" builtinId="8" hidden="1"/>
    <cellStyle name="Hyperlink" xfId="26264" builtinId="8" hidden="1"/>
    <cellStyle name="Hyperlink" xfId="26266" builtinId="8" hidden="1"/>
    <cellStyle name="Hyperlink" xfId="26194" builtinId="8" hidden="1"/>
    <cellStyle name="Hyperlink" xfId="26191" builtinId="8" hidden="1"/>
    <cellStyle name="Hyperlink" xfId="26268" builtinId="8" hidden="1"/>
    <cellStyle name="Hyperlink" xfId="26270" builtinId="8" hidden="1"/>
    <cellStyle name="Hyperlink" xfId="26272" builtinId="8" hidden="1"/>
    <cellStyle name="Hyperlink" xfId="26274" builtinId="8" hidden="1"/>
    <cellStyle name="Hyperlink" xfId="26209" builtinId="8" hidden="1"/>
    <cellStyle name="Hyperlink" xfId="26186" builtinId="8" hidden="1"/>
    <cellStyle name="Hyperlink" xfId="26276" builtinId="8" hidden="1"/>
    <cellStyle name="Hyperlink" xfId="26278" builtinId="8" hidden="1"/>
    <cellStyle name="Hyperlink" xfId="26280" builtinId="8" hidden="1"/>
    <cellStyle name="Hyperlink" xfId="26282" builtinId="8" hidden="1"/>
    <cellStyle name="Hyperlink" xfId="26164" builtinId="8" hidden="1"/>
    <cellStyle name="Hyperlink" xfId="26165" builtinId="8" hidden="1"/>
    <cellStyle name="Hyperlink" xfId="26284" builtinId="8" hidden="1"/>
    <cellStyle name="Hyperlink" xfId="26286" builtinId="8" hidden="1"/>
    <cellStyle name="Hyperlink" xfId="26288" builtinId="8" hidden="1"/>
    <cellStyle name="Hyperlink" xfId="26290" builtinId="8" hidden="1"/>
    <cellStyle name="Hyperlink" xfId="26170" builtinId="8" hidden="1"/>
    <cellStyle name="Hyperlink" xfId="26206" builtinId="8" hidden="1"/>
    <cellStyle name="Hyperlink" xfId="26292" builtinId="8" hidden="1"/>
    <cellStyle name="Hyperlink" xfId="26294" builtinId="8" hidden="1"/>
    <cellStyle name="Hyperlink" xfId="26296" builtinId="8" hidden="1"/>
    <cellStyle name="Hyperlink" xfId="26298" builtinId="8" hidden="1"/>
    <cellStyle name="Hyperlink" xfId="26175" builtinId="8" hidden="1"/>
    <cellStyle name="Hyperlink" xfId="26195" builtinId="8" hidden="1"/>
    <cellStyle name="Hyperlink" xfId="26300" builtinId="8" hidden="1"/>
    <cellStyle name="Hyperlink" xfId="26302" builtinId="8" hidden="1"/>
    <cellStyle name="Hyperlink" xfId="26304" builtinId="8" hidden="1"/>
    <cellStyle name="Hyperlink" xfId="26306" builtinId="8" hidden="1"/>
    <cellStyle name="Hyperlink" xfId="26182" builtinId="8" hidden="1"/>
    <cellStyle name="Hyperlink" xfId="26180" builtinId="8" hidden="1"/>
    <cellStyle name="Hyperlink" xfId="26308" builtinId="8" hidden="1"/>
    <cellStyle name="Hyperlink" xfId="26310" builtinId="8" hidden="1"/>
    <cellStyle name="Hyperlink" xfId="26312" builtinId="8" hidden="1"/>
    <cellStyle name="Hyperlink" xfId="26314" builtinId="8" hidden="1"/>
    <cellStyle name="Hyperlink" xfId="26316" builtinId="8" hidden="1"/>
    <cellStyle name="Hyperlink" xfId="26318" builtinId="8" hidden="1"/>
    <cellStyle name="Hyperlink" xfId="26384" builtinId="8" hidden="1"/>
    <cellStyle name="Hyperlink" xfId="26386" builtinId="8" hidden="1"/>
    <cellStyle name="Hyperlink" xfId="26388" builtinId="8" hidden="1"/>
    <cellStyle name="Hyperlink" xfId="26390" builtinId="8" hidden="1"/>
    <cellStyle name="Hyperlink" xfId="26393" builtinId="8" hidden="1"/>
    <cellStyle name="Hyperlink" xfId="26395" builtinId="8" hidden="1"/>
    <cellStyle name="Hyperlink" xfId="26469" builtinId="8" hidden="1"/>
    <cellStyle name="Hyperlink" xfId="26471" builtinId="8" hidden="1"/>
    <cellStyle name="Hyperlink" xfId="26473" builtinId="8" hidden="1"/>
    <cellStyle name="Hyperlink" xfId="26475" builtinId="8" hidden="1"/>
    <cellStyle name="Hyperlink" xfId="26477" builtinId="8" hidden="1"/>
    <cellStyle name="Hyperlink" xfId="26479" builtinId="8" hidden="1"/>
    <cellStyle name="Hyperlink" xfId="26529" builtinId="8" hidden="1"/>
    <cellStyle name="Hyperlink" xfId="26531" builtinId="8" hidden="1"/>
    <cellStyle name="Hyperlink" xfId="26533" builtinId="8" hidden="1"/>
    <cellStyle name="Hyperlink" xfId="26535" builtinId="8" hidden="1"/>
    <cellStyle name="Hyperlink" xfId="26525" builtinId="8" hidden="1"/>
    <cellStyle name="Hyperlink" xfId="26515" builtinId="8" hidden="1"/>
    <cellStyle name="Hyperlink" xfId="26537" builtinId="8" hidden="1"/>
    <cellStyle name="Hyperlink" xfId="26539" builtinId="8" hidden="1"/>
    <cellStyle name="Hyperlink" xfId="26541" builtinId="8" hidden="1"/>
    <cellStyle name="Hyperlink" xfId="26543" builtinId="8" hidden="1"/>
    <cellStyle name="Hyperlink" xfId="26509" builtinId="8" hidden="1"/>
    <cellStyle name="Hyperlink" xfId="26495" builtinId="8" hidden="1"/>
    <cellStyle name="Hyperlink" xfId="26545" builtinId="8" hidden="1"/>
    <cellStyle name="Hyperlink" xfId="26547" builtinId="8" hidden="1"/>
    <cellStyle name="Hyperlink" xfId="26549" builtinId="8" hidden="1"/>
    <cellStyle name="Hyperlink" xfId="26551" builtinId="8" hidden="1"/>
    <cellStyle name="Hyperlink" xfId="26514" builtinId="8" hidden="1"/>
    <cellStyle name="Hyperlink" xfId="26483" builtinId="8" hidden="1"/>
    <cellStyle name="Hyperlink" xfId="26553" builtinId="8" hidden="1"/>
    <cellStyle name="Hyperlink" xfId="26555" builtinId="8" hidden="1"/>
    <cellStyle name="Hyperlink" xfId="26557" builtinId="8" hidden="1"/>
    <cellStyle name="Hyperlink" xfId="26559" builtinId="8" hidden="1"/>
    <cellStyle name="Hyperlink" xfId="26484" builtinId="8" hidden="1"/>
    <cellStyle name="Hyperlink" xfId="26517" builtinId="8" hidden="1"/>
    <cellStyle name="Hyperlink" xfId="26561" builtinId="8" hidden="1"/>
    <cellStyle name="Hyperlink" xfId="26563" builtinId="8" hidden="1"/>
    <cellStyle name="Hyperlink" xfId="26565" builtinId="8" hidden="1"/>
    <cellStyle name="Hyperlink" xfId="26567" builtinId="8" hidden="1"/>
    <cellStyle name="Hyperlink" xfId="26486" builtinId="8" hidden="1"/>
    <cellStyle name="Hyperlink" xfId="26527" builtinId="8" hidden="1"/>
    <cellStyle name="Hyperlink" xfId="26569" builtinId="8" hidden="1"/>
    <cellStyle name="Hyperlink" xfId="26571" builtinId="8" hidden="1"/>
    <cellStyle name="Hyperlink" xfId="26573" builtinId="8" hidden="1"/>
    <cellStyle name="Hyperlink" xfId="26575" builtinId="8" hidden="1"/>
    <cellStyle name="Hyperlink" xfId="26507" builtinId="8" hidden="1"/>
    <cellStyle name="Hyperlink" xfId="26510" builtinId="8" hidden="1"/>
    <cellStyle name="Hyperlink" xfId="26577" builtinId="8" hidden="1"/>
    <cellStyle name="Hyperlink" xfId="26579" builtinId="8" hidden="1"/>
    <cellStyle name="Hyperlink" xfId="26581" builtinId="8" hidden="1"/>
    <cellStyle name="Hyperlink" xfId="26583" builtinId="8" hidden="1"/>
    <cellStyle name="Hyperlink" xfId="26511" builtinId="8" hidden="1"/>
    <cellStyle name="Hyperlink" xfId="26508" builtinId="8" hidden="1"/>
    <cellStyle name="Hyperlink" xfId="26585" builtinId="8" hidden="1"/>
    <cellStyle name="Hyperlink" xfId="26587" builtinId="8" hidden="1"/>
    <cellStyle name="Hyperlink" xfId="26589" builtinId="8" hidden="1"/>
    <cellStyle name="Hyperlink" xfId="26591" builtinId="8" hidden="1"/>
    <cellStyle name="Hyperlink" xfId="26526" builtinId="8" hidden="1"/>
    <cellStyle name="Hyperlink" xfId="26503" builtinId="8" hidden="1"/>
    <cellStyle name="Hyperlink" xfId="26593" builtinId="8" hidden="1"/>
    <cellStyle name="Hyperlink" xfId="26595" builtinId="8" hidden="1"/>
    <cellStyle name="Hyperlink" xfId="26597" builtinId="8" hidden="1"/>
    <cellStyle name="Hyperlink" xfId="26599" builtinId="8" hidden="1"/>
    <cellStyle name="Hyperlink" xfId="26481" builtinId="8" hidden="1"/>
    <cellStyle name="Hyperlink" xfId="26482" builtinId="8" hidden="1"/>
    <cellStyle name="Hyperlink" xfId="26601" builtinId="8" hidden="1"/>
    <cellStyle name="Hyperlink" xfId="26603" builtinId="8" hidden="1"/>
    <cellStyle name="Hyperlink" xfId="26605" builtinId="8" hidden="1"/>
    <cellStyle name="Hyperlink" xfId="26607" builtinId="8" hidden="1"/>
    <cellStyle name="Hyperlink" xfId="26487" builtinId="8" hidden="1"/>
    <cellStyle name="Hyperlink" xfId="26523" builtinId="8" hidden="1"/>
    <cellStyle name="Hyperlink" xfId="26609" builtinId="8" hidden="1"/>
    <cellStyle name="Hyperlink" xfId="26611" builtinId="8" hidden="1"/>
    <cellStyle name="Hyperlink" xfId="26613" builtinId="8" hidden="1"/>
    <cellStyle name="Hyperlink" xfId="26615" builtinId="8" hidden="1"/>
    <cellStyle name="Hyperlink" xfId="26492" builtinId="8" hidden="1"/>
    <cellStyle name="Hyperlink" xfId="26512" builtinId="8" hidden="1"/>
    <cellStyle name="Hyperlink" xfId="26617" builtinId="8" hidden="1"/>
    <cellStyle name="Hyperlink" xfId="26619" builtinId="8" hidden="1"/>
    <cellStyle name="Hyperlink" xfId="26621" builtinId="8" hidden="1"/>
    <cellStyle name="Hyperlink" xfId="26623" builtinId="8" hidden="1"/>
    <cellStyle name="Hyperlink" xfId="26499" builtinId="8" hidden="1"/>
    <cellStyle name="Hyperlink" xfId="26497" builtinId="8" hidden="1"/>
    <cellStyle name="Hyperlink" xfId="26625" builtinId="8" hidden="1"/>
    <cellStyle name="Hyperlink" xfId="26627" builtinId="8" hidden="1"/>
    <cellStyle name="Hyperlink" xfId="26629" builtinId="8" hidden="1"/>
    <cellStyle name="Hyperlink" xfId="26631" builtinId="8" hidden="1"/>
    <cellStyle name="Hyperlink" xfId="26330" builtinId="8" hidden="1"/>
    <cellStyle name="Hyperlink" xfId="26442" builtinId="8" hidden="1"/>
    <cellStyle name="Hyperlink" xfId="26334" builtinId="8" hidden="1"/>
    <cellStyle name="Hyperlink" xfId="26445" builtinId="8" hidden="1"/>
    <cellStyle name="Hyperlink" xfId="26428" builtinId="8" hidden="1"/>
    <cellStyle name="Hyperlink" xfId="26380" builtinId="8" hidden="1"/>
    <cellStyle name="Hyperlink" xfId="26321" builtinId="8" hidden="1"/>
    <cellStyle name="Hyperlink" xfId="26433" builtinId="8" hidden="1"/>
    <cellStyle name="Hyperlink" xfId="26636" builtinId="8" hidden="1"/>
    <cellStyle name="Hyperlink" xfId="26638" builtinId="8" hidden="1"/>
    <cellStyle name="Hyperlink" xfId="26640" builtinId="8" hidden="1"/>
    <cellStyle name="Hyperlink" xfId="26642" builtinId="8" hidden="1"/>
    <cellStyle name="Hyperlink" xfId="26645" builtinId="8" hidden="1"/>
    <cellStyle name="Hyperlink" xfId="26647" builtinId="8" hidden="1"/>
    <cellStyle name="Hyperlink" xfId="26697" builtinId="8" hidden="1"/>
    <cellStyle name="Hyperlink" xfId="26699" builtinId="8" hidden="1"/>
    <cellStyle name="Hyperlink" xfId="26701" builtinId="8" hidden="1"/>
    <cellStyle name="Hyperlink" xfId="26703" builtinId="8" hidden="1"/>
    <cellStyle name="Hyperlink" xfId="26693" builtinId="8" hidden="1"/>
    <cellStyle name="Hyperlink" xfId="26683" builtinId="8" hidden="1"/>
    <cellStyle name="Hyperlink" xfId="26705" builtinId="8" hidden="1"/>
    <cellStyle name="Hyperlink" xfId="26707" builtinId="8" hidden="1"/>
    <cellStyle name="Hyperlink" xfId="26709" builtinId="8" hidden="1"/>
    <cellStyle name="Hyperlink" xfId="26711" builtinId="8" hidden="1"/>
    <cellStyle name="Hyperlink" xfId="26677" builtinId="8" hidden="1"/>
    <cellStyle name="Hyperlink" xfId="26663" builtinId="8" hidden="1"/>
    <cellStyle name="Hyperlink" xfId="26713" builtinId="8" hidden="1"/>
    <cellStyle name="Hyperlink" xfId="26715" builtinId="8" hidden="1"/>
    <cellStyle name="Hyperlink" xfId="26717" builtinId="8" hidden="1"/>
    <cellStyle name="Hyperlink" xfId="26719" builtinId="8" hidden="1"/>
    <cellStyle name="Hyperlink" xfId="26682" builtinId="8" hidden="1"/>
    <cellStyle name="Hyperlink" xfId="26651" builtinId="8" hidden="1"/>
    <cellStyle name="Hyperlink" xfId="26721" builtinId="8" hidden="1"/>
    <cellStyle name="Hyperlink" xfId="26723" builtinId="8" hidden="1"/>
    <cellStyle name="Hyperlink" xfId="26725" builtinId="8" hidden="1"/>
    <cellStyle name="Hyperlink" xfId="26727" builtinId="8" hidden="1"/>
    <cellStyle name="Hyperlink" xfId="26652" builtinId="8" hidden="1"/>
    <cellStyle name="Hyperlink" xfId="26685" builtinId="8" hidden="1"/>
    <cellStyle name="Hyperlink" xfId="26729" builtinId="8" hidden="1"/>
    <cellStyle name="Hyperlink" xfId="26731" builtinId="8" hidden="1"/>
    <cellStyle name="Hyperlink" xfId="26733" builtinId="8" hidden="1"/>
    <cellStyle name="Hyperlink" xfId="26735" builtinId="8" hidden="1"/>
    <cellStyle name="Hyperlink" xfId="26654" builtinId="8" hidden="1"/>
    <cellStyle name="Hyperlink" xfId="26695" builtinId="8" hidden="1"/>
    <cellStyle name="Hyperlink" xfId="26737" builtinId="8" hidden="1"/>
    <cellStyle name="Hyperlink" xfId="26739" builtinId="8" hidden="1"/>
    <cellStyle name="Hyperlink" xfId="26741" builtinId="8" hidden="1"/>
    <cellStyle name="Hyperlink" xfId="26743" builtinId="8" hidden="1"/>
    <cellStyle name="Hyperlink" xfId="26675" builtinId="8" hidden="1"/>
    <cellStyle name="Hyperlink" xfId="26678" builtinId="8" hidden="1"/>
    <cellStyle name="Hyperlink" xfId="26745" builtinId="8" hidden="1"/>
    <cellStyle name="Hyperlink" xfId="26747" builtinId="8" hidden="1"/>
    <cellStyle name="Hyperlink" xfId="26749" builtinId="8" hidden="1"/>
    <cellStyle name="Hyperlink" xfId="26751" builtinId="8" hidden="1"/>
    <cellStyle name="Hyperlink" xfId="26679" builtinId="8" hidden="1"/>
    <cellStyle name="Hyperlink" xfId="26676" builtinId="8" hidden="1"/>
    <cellStyle name="Hyperlink" xfId="26753" builtinId="8" hidden="1"/>
    <cellStyle name="Hyperlink" xfId="26755" builtinId="8" hidden="1"/>
    <cellStyle name="Hyperlink" xfId="26757" builtinId="8" hidden="1"/>
    <cellStyle name="Hyperlink" xfId="26759" builtinId="8" hidden="1"/>
    <cellStyle name="Hyperlink" xfId="26694" builtinId="8" hidden="1"/>
    <cellStyle name="Hyperlink" xfId="26671" builtinId="8" hidden="1"/>
    <cellStyle name="Hyperlink" xfId="26761" builtinId="8" hidden="1"/>
    <cellStyle name="Hyperlink" xfId="26763" builtinId="8" hidden="1"/>
    <cellStyle name="Hyperlink" xfId="26765" builtinId="8" hidden="1"/>
    <cellStyle name="Hyperlink" xfId="26767" builtinId="8" hidden="1"/>
    <cellStyle name="Hyperlink" xfId="26649" builtinId="8" hidden="1"/>
    <cellStyle name="Hyperlink" xfId="26650" builtinId="8" hidden="1"/>
    <cellStyle name="Hyperlink" xfId="26769" builtinId="8" hidden="1"/>
    <cellStyle name="Hyperlink" xfId="26771" builtinId="8" hidden="1"/>
    <cellStyle name="Hyperlink" xfId="26773" builtinId="8" hidden="1"/>
    <cellStyle name="Hyperlink" xfId="26775" builtinId="8" hidden="1"/>
    <cellStyle name="Hyperlink" xfId="26655" builtinId="8" hidden="1"/>
    <cellStyle name="Hyperlink" xfId="26691" builtinId="8" hidden="1"/>
    <cellStyle name="Hyperlink" xfId="26777" builtinId="8" hidden="1"/>
    <cellStyle name="Hyperlink" xfId="26779" builtinId="8" hidden="1"/>
    <cellStyle name="Hyperlink" xfId="26781" builtinId="8" hidden="1"/>
    <cellStyle name="Hyperlink" xfId="26783" builtinId="8" hidden="1"/>
    <cellStyle name="Hyperlink" xfId="26660" builtinId="8" hidden="1"/>
    <cellStyle name="Hyperlink" xfId="26680" builtinId="8" hidden="1"/>
    <cellStyle name="Hyperlink" xfId="26785" builtinId="8" hidden="1"/>
    <cellStyle name="Hyperlink" xfId="26787" builtinId="8" hidden="1"/>
    <cellStyle name="Hyperlink" xfId="26789" builtinId="8" hidden="1"/>
    <cellStyle name="Hyperlink" xfId="26791" builtinId="8" hidden="1"/>
    <cellStyle name="Hyperlink" xfId="26667" builtinId="8" hidden="1"/>
    <cellStyle name="Hyperlink" xfId="26665" builtinId="8" hidden="1"/>
    <cellStyle name="Hyperlink" xfId="26793" builtinId="8" hidden="1"/>
    <cellStyle name="Hyperlink" xfId="26795" builtinId="8" hidden="1"/>
    <cellStyle name="Hyperlink" xfId="26797" builtinId="8" hidden="1"/>
    <cellStyle name="Hyperlink" xfId="26799" builtinId="8" hidden="1"/>
    <cellStyle name="Hyperlink" xfId="26376" builtinId="8" hidden="1"/>
    <cellStyle name="Hyperlink" xfId="26377" builtinId="8" hidden="1"/>
    <cellStyle name="Hyperlink" xfId="26351" builtinId="8" hidden="1"/>
    <cellStyle name="Hyperlink" xfId="26352" builtinId="8" hidden="1"/>
    <cellStyle name="Hyperlink" xfId="26367" builtinId="8" hidden="1"/>
    <cellStyle name="Hyperlink" xfId="26365" builtinId="8" hidden="1"/>
    <cellStyle name="Hyperlink" xfId="26358" builtinId="8" hidden="1"/>
    <cellStyle name="Hyperlink" xfId="26359" builtinId="8" hidden="1"/>
    <cellStyle name="Hyperlink" xfId="26810" builtinId="8" hidden="1"/>
    <cellStyle name="Hyperlink" xfId="26812" builtinId="8" hidden="1"/>
    <cellStyle name="Hyperlink" xfId="26814" builtinId="8" hidden="1"/>
    <cellStyle name="Hyperlink" xfId="26816" builtinId="8" hidden="1"/>
    <cellStyle name="Hyperlink" xfId="26818" builtinId="8" hidden="1"/>
    <cellStyle name="Hyperlink" xfId="26820" builtinId="8" hidden="1"/>
    <cellStyle name="Hyperlink" xfId="26870" builtinId="8" hidden="1"/>
    <cellStyle name="Hyperlink" xfId="26872" builtinId="8" hidden="1"/>
    <cellStyle name="Hyperlink" xfId="26874" builtinId="8" hidden="1"/>
    <cellStyle name="Hyperlink" xfId="26876" builtinId="8" hidden="1"/>
    <cellStyle name="Hyperlink" xfId="26866" builtinId="8" hidden="1"/>
    <cellStyle name="Hyperlink" xfId="26856" builtinId="8" hidden="1"/>
    <cellStyle name="Hyperlink" xfId="26878" builtinId="8" hidden="1"/>
    <cellStyle name="Hyperlink" xfId="26880" builtinId="8" hidden="1"/>
    <cellStyle name="Hyperlink" xfId="26882" builtinId="8" hidden="1"/>
    <cellStyle name="Hyperlink" xfId="26884" builtinId="8" hidden="1"/>
    <cellStyle name="Hyperlink" xfId="26850" builtinId="8" hidden="1"/>
    <cellStyle name="Hyperlink" xfId="26836" builtinId="8" hidden="1"/>
    <cellStyle name="Hyperlink" xfId="26886" builtinId="8" hidden="1"/>
    <cellStyle name="Hyperlink" xfId="26888" builtinId="8" hidden="1"/>
    <cellStyle name="Hyperlink" xfId="26890" builtinId="8" hidden="1"/>
    <cellStyle name="Hyperlink" xfId="26892" builtinId="8" hidden="1"/>
    <cellStyle name="Hyperlink" xfId="26855" builtinId="8" hidden="1"/>
    <cellStyle name="Hyperlink" xfId="26824" builtinId="8" hidden="1"/>
    <cellStyle name="Hyperlink" xfId="26894" builtinId="8" hidden="1"/>
    <cellStyle name="Hyperlink" xfId="26896" builtinId="8" hidden="1"/>
    <cellStyle name="Hyperlink" xfId="26898" builtinId="8" hidden="1"/>
    <cellStyle name="Hyperlink" xfId="26900" builtinId="8" hidden="1"/>
    <cellStyle name="Hyperlink" xfId="26825" builtinId="8" hidden="1"/>
    <cellStyle name="Hyperlink" xfId="26858" builtinId="8" hidden="1"/>
    <cellStyle name="Hyperlink" xfId="26902" builtinId="8" hidden="1"/>
    <cellStyle name="Hyperlink" xfId="26904" builtinId="8" hidden="1"/>
    <cellStyle name="Hyperlink" xfId="26906" builtinId="8" hidden="1"/>
    <cellStyle name="Hyperlink" xfId="26908" builtinId="8" hidden="1"/>
    <cellStyle name="Hyperlink" xfId="26827" builtinId="8" hidden="1"/>
    <cellStyle name="Hyperlink" xfId="26868" builtinId="8" hidden="1"/>
    <cellStyle name="Hyperlink" xfId="26910" builtinId="8" hidden="1"/>
    <cellStyle name="Hyperlink" xfId="26912" builtinId="8" hidden="1"/>
    <cellStyle name="Hyperlink" xfId="26914" builtinId="8" hidden="1"/>
    <cellStyle name="Hyperlink" xfId="26916" builtinId="8" hidden="1"/>
    <cellStyle name="Hyperlink" xfId="26848" builtinId="8" hidden="1"/>
    <cellStyle name="Hyperlink" xfId="26851" builtinId="8" hidden="1"/>
    <cellStyle name="Hyperlink" xfId="26918" builtinId="8" hidden="1"/>
    <cellStyle name="Hyperlink" xfId="26920" builtinId="8" hidden="1"/>
    <cellStyle name="Hyperlink" xfId="26922" builtinId="8" hidden="1"/>
    <cellStyle name="Hyperlink" xfId="26924" builtinId="8" hidden="1"/>
    <cellStyle name="Hyperlink" xfId="26852" builtinId="8" hidden="1"/>
    <cellStyle name="Hyperlink" xfId="26849" builtinId="8" hidden="1"/>
    <cellStyle name="Hyperlink" xfId="26926" builtinId="8" hidden="1"/>
    <cellStyle name="Hyperlink" xfId="26928" builtinId="8" hidden="1"/>
    <cellStyle name="Hyperlink" xfId="26930" builtinId="8" hidden="1"/>
    <cellStyle name="Hyperlink" xfId="26932" builtinId="8" hidden="1"/>
    <cellStyle name="Hyperlink" xfId="26867" builtinId="8" hidden="1"/>
    <cellStyle name="Hyperlink" xfId="26844" builtinId="8" hidden="1"/>
    <cellStyle name="Hyperlink" xfId="26934" builtinId="8" hidden="1"/>
    <cellStyle name="Hyperlink" xfId="26936" builtinId="8" hidden="1"/>
    <cellStyle name="Hyperlink" xfId="26938" builtinId="8" hidden="1"/>
    <cellStyle name="Hyperlink" xfId="26940" builtinId="8" hidden="1"/>
    <cellStyle name="Hyperlink" xfId="26822" builtinId="8" hidden="1"/>
    <cellStyle name="Hyperlink" xfId="26823" builtinId="8" hidden="1"/>
    <cellStyle name="Hyperlink" xfId="26942" builtinId="8" hidden="1"/>
    <cellStyle name="Hyperlink" xfId="26944" builtinId="8" hidden="1"/>
    <cellStyle name="Hyperlink" xfId="26946" builtinId="8" hidden="1"/>
    <cellStyle name="Hyperlink" xfId="26948" builtinId="8" hidden="1"/>
    <cellStyle name="Hyperlink" xfId="26828" builtinId="8" hidden="1"/>
    <cellStyle name="Hyperlink" xfId="26864" builtinId="8" hidden="1"/>
    <cellStyle name="Hyperlink" xfId="26950" builtinId="8" hidden="1"/>
    <cellStyle name="Hyperlink" xfId="26952" builtinId="8" hidden="1"/>
    <cellStyle name="Hyperlink" xfId="26954" builtinId="8" hidden="1"/>
    <cellStyle name="Hyperlink" xfId="26956" builtinId="8" hidden="1"/>
    <cellStyle name="Hyperlink" xfId="26833" builtinId="8" hidden="1"/>
    <cellStyle name="Hyperlink" xfId="26853" builtinId="8" hidden="1"/>
    <cellStyle name="Hyperlink" xfId="26958" builtinId="8" hidden="1"/>
    <cellStyle name="Hyperlink" xfId="26960" builtinId="8" hidden="1"/>
    <cellStyle name="Hyperlink" xfId="26962" builtinId="8" hidden="1"/>
    <cellStyle name="Hyperlink" xfId="26964" builtinId="8" hidden="1"/>
    <cellStyle name="Hyperlink" xfId="26840" builtinId="8" hidden="1"/>
    <cellStyle name="Hyperlink" xfId="26838" builtinId="8" hidden="1"/>
    <cellStyle name="Hyperlink" xfId="26966" builtinId="8" hidden="1"/>
    <cellStyle name="Hyperlink" xfId="26968" builtinId="8" hidden="1"/>
    <cellStyle name="Hyperlink" xfId="26970" builtinId="8" hidden="1"/>
    <cellStyle name="Hyperlink" xfId="26972" builtinId="8" hidden="1"/>
    <cellStyle name="Hyperlink" xfId="26417" builtinId="8" hidden="1"/>
    <cellStyle name="Hyperlink" xfId="26360" builtinId="8" hidden="1"/>
    <cellStyle name="Hyperlink" xfId="26370" builtinId="8" hidden="1"/>
    <cellStyle name="Hyperlink" xfId="26337" builtinId="8" hidden="1"/>
    <cellStyle name="Hyperlink" xfId="26420" builtinId="8" hidden="1"/>
    <cellStyle name="Hyperlink" xfId="26452" builtinId="8" hidden="1"/>
    <cellStyle name="Hyperlink" xfId="26431" builtinId="8" hidden="1"/>
    <cellStyle name="Hyperlink" xfId="26381" builtinId="8" hidden="1"/>
    <cellStyle name="Hyperlink" xfId="26980" builtinId="8" hidden="1"/>
    <cellStyle name="Hyperlink" xfId="26982" builtinId="8" hidden="1"/>
    <cellStyle name="Hyperlink" xfId="26984" builtinId="8" hidden="1"/>
    <cellStyle name="Hyperlink" xfId="26986" builtinId="8" hidden="1"/>
    <cellStyle name="Hyperlink" xfId="26988" builtinId="8" hidden="1"/>
    <cellStyle name="Hyperlink" xfId="26990" builtinId="8" hidden="1"/>
    <cellStyle name="Hyperlink" xfId="27040" builtinId="8" hidden="1"/>
    <cellStyle name="Hyperlink" xfId="27042" builtinId="8" hidden="1"/>
    <cellStyle name="Hyperlink" xfId="27044" builtinId="8" hidden="1"/>
    <cellStyle name="Hyperlink" xfId="27046" builtinId="8" hidden="1"/>
    <cellStyle name="Hyperlink" xfId="27036" builtinId="8" hidden="1"/>
    <cellStyle name="Hyperlink" xfId="27026" builtinId="8" hidden="1"/>
    <cellStyle name="Hyperlink" xfId="27048" builtinId="8" hidden="1"/>
    <cellStyle name="Hyperlink" xfId="27050" builtinId="8" hidden="1"/>
    <cellStyle name="Hyperlink" xfId="27052" builtinId="8" hidden="1"/>
    <cellStyle name="Hyperlink" xfId="27054" builtinId="8" hidden="1"/>
    <cellStyle name="Hyperlink" xfId="27020" builtinId="8" hidden="1"/>
    <cellStyle name="Hyperlink" xfId="27006" builtinId="8" hidden="1"/>
    <cellStyle name="Hyperlink" xfId="27056" builtinId="8" hidden="1"/>
    <cellStyle name="Hyperlink" xfId="27058" builtinId="8" hidden="1"/>
    <cellStyle name="Hyperlink" xfId="27060" builtinId="8" hidden="1"/>
    <cellStyle name="Hyperlink" xfId="27062" builtinId="8" hidden="1"/>
    <cellStyle name="Hyperlink" xfId="27025" builtinId="8" hidden="1"/>
    <cellStyle name="Hyperlink" xfId="26994" builtinId="8" hidden="1"/>
    <cellStyle name="Hyperlink" xfId="27064" builtinId="8" hidden="1"/>
    <cellStyle name="Hyperlink" xfId="27066" builtinId="8" hidden="1"/>
    <cellStyle name="Hyperlink" xfId="27068" builtinId="8" hidden="1"/>
    <cellStyle name="Hyperlink" xfId="27070" builtinId="8" hidden="1"/>
    <cellStyle name="Hyperlink" xfId="26995" builtinId="8" hidden="1"/>
    <cellStyle name="Hyperlink" xfId="27028" builtinId="8" hidden="1"/>
    <cellStyle name="Hyperlink" xfId="27072" builtinId="8" hidden="1"/>
    <cellStyle name="Hyperlink" xfId="27074" builtinId="8" hidden="1"/>
    <cellStyle name="Hyperlink" xfId="27076" builtinId="8" hidden="1"/>
    <cellStyle name="Hyperlink" xfId="27078" builtinId="8" hidden="1"/>
    <cellStyle name="Hyperlink" xfId="26997" builtinId="8" hidden="1"/>
    <cellStyle name="Hyperlink" xfId="27038" builtinId="8" hidden="1"/>
    <cellStyle name="Hyperlink" xfId="27080" builtinId="8" hidden="1"/>
    <cellStyle name="Hyperlink" xfId="27082" builtinId="8" hidden="1"/>
    <cellStyle name="Hyperlink" xfId="27084" builtinId="8" hidden="1"/>
    <cellStyle name="Hyperlink" xfId="27086" builtinId="8" hidden="1"/>
    <cellStyle name="Hyperlink" xfId="27018" builtinId="8" hidden="1"/>
    <cellStyle name="Hyperlink" xfId="27021" builtinId="8" hidden="1"/>
    <cellStyle name="Hyperlink" xfId="27088" builtinId="8" hidden="1"/>
    <cellStyle name="Hyperlink" xfId="27090" builtinId="8" hidden="1"/>
    <cellStyle name="Hyperlink" xfId="27092" builtinId="8" hidden="1"/>
    <cellStyle name="Hyperlink" xfId="27094" builtinId="8" hidden="1"/>
    <cellStyle name="Hyperlink" xfId="27022" builtinId="8" hidden="1"/>
    <cellStyle name="Hyperlink" xfId="27019" builtinId="8" hidden="1"/>
    <cellStyle name="Hyperlink" xfId="27096" builtinId="8" hidden="1"/>
    <cellStyle name="Hyperlink" xfId="27098" builtinId="8" hidden="1"/>
    <cellStyle name="Hyperlink" xfId="27100" builtinId="8" hidden="1"/>
    <cellStyle name="Hyperlink" xfId="27102" builtinId="8" hidden="1"/>
    <cellStyle name="Hyperlink" xfId="27037" builtinId="8" hidden="1"/>
    <cellStyle name="Hyperlink" xfId="27014" builtinId="8" hidden="1"/>
    <cellStyle name="Hyperlink" xfId="27104" builtinId="8" hidden="1"/>
    <cellStyle name="Hyperlink" xfId="27106" builtinId="8" hidden="1"/>
    <cellStyle name="Hyperlink" xfId="27108" builtinId="8" hidden="1"/>
    <cellStyle name="Hyperlink" xfId="27110" builtinId="8" hidden="1"/>
    <cellStyle name="Hyperlink" xfId="26992" builtinId="8" hidden="1"/>
    <cellStyle name="Hyperlink" xfId="26993" builtinId="8" hidden="1"/>
    <cellStyle name="Hyperlink" xfId="27112" builtinId="8" hidden="1"/>
    <cellStyle name="Hyperlink" xfId="27114" builtinId="8" hidden="1"/>
    <cellStyle name="Hyperlink" xfId="27116" builtinId="8" hidden="1"/>
    <cellStyle name="Hyperlink" xfId="27118" builtinId="8" hidden="1"/>
    <cellStyle name="Hyperlink" xfId="26998" builtinId="8" hidden="1"/>
    <cellStyle name="Hyperlink" xfId="27034" builtinId="8" hidden="1"/>
    <cellStyle name="Hyperlink" xfId="27120" builtinId="8" hidden="1"/>
    <cellStyle name="Hyperlink" xfId="27122" builtinId="8" hidden="1"/>
    <cellStyle name="Hyperlink" xfId="27124" builtinId="8" hidden="1"/>
    <cellStyle name="Hyperlink" xfId="27126" builtinId="8" hidden="1"/>
    <cellStyle name="Hyperlink" xfId="27003" builtinId="8" hidden="1"/>
    <cellStyle name="Hyperlink" xfId="27023" builtinId="8" hidden="1"/>
    <cellStyle name="Hyperlink" xfId="27128" builtinId="8" hidden="1"/>
    <cellStyle name="Hyperlink" xfId="27130" builtinId="8" hidden="1"/>
    <cellStyle name="Hyperlink" xfId="27132" builtinId="8" hidden="1"/>
    <cellStyle name="Hyperlink" xfId="27134" builtinId="8" hidden="1"/>
    <cellStyle name="Hyperlink" xfId="27010" builtinId="8" hidden="1"/>
    <cellStyle name="Hyperlink" xfId="27008" builtinId="8" hidden="1"/>
    <cellStyle name="Hyperlink" xfId="27136" builtinId="8" hidden="1"/>
    <cellStyle name="Hyperlink" xfId="27138" builtinId="8" hidden="1"/>
    <cellStyle name="Hyperlink" xfId="27140" builtinId="8" hidden="1"/>
    <cellStyle name="Hyperlink" xfId="27142" builtinId="8" hidden="1"/>
    <cellStyle name="Hyperlink" xfId="26392" builtinId="8" hidden="1"/>
    <cellStyle name="Hyperlink" xfId="26363" builtinId="8" hidden="1"/>
    <cellStyle name="Hyperlink" xfId="26410" builtinId="8" hidden="1"/>
    <cellStyle name="Hyperlink" xfId="26328" builtinId="8" hidden="1"/>
    <cellStyle name="Hyperlink" xfId="26407" builtinId="8" hidden="1"/>
    <cellStyle name="Hyperlink" xfId="26343" builtinId="8" hidden="1"/>
    <cellStyle name="Hyperlink" xfId="26414" builtinId="8" hidden="1"/>
    <cellStyle name="Hyperlink" xfId="26369" builtinId="8" hidden="1"/>
    <cellStyle name="Hyperlink" xfId="27149" builtinId="8" hidden="1"/>
    <cellStyle name="Hyperlink" xfId="27151" builtinId="8" hidden="1"/>
    <cellStyle name="Hyperlink" xfId="27153" builtinId="8" hidden="1"/>
    <cellStyle name="Hyperlink" xfId="27155" builtinId="8" hidden="1"/>
    <cellStyle name="Hyperlink" xfId="27157" builtinId="8" hidden="1"/>
    <cellStyle name="Hyperlink" xfId="27159" builtinId="8" hidden="1"/>
    <cellStyle name="Hyperlink" xfId="27209" builtinId="8" hidden="1"/>
    <cellStyle name="Hyperlink" xfId="27211" builtinId="8" hidden="1"/>
    <cellStyle name="Hyperlink" xfId="27213" builtinId="8" hidden="1"/>
    <cellStyle name="Hyperlink" xfId="27215" builtinId="8" hidden="1"/>
    <cellStyle name="Hyperlink" xfId="27205" builtinId="8" hidden="1"/>
    <cellStyle name="Hyperlink" xfId="27195" builtinId="8" hidden="1"/>
    <cellStyle name="Hyperlink" xfId="27217" builtinId="8" hidden="1"/>
    <cellStyle name="Hyperlink" xfId="27219" builtinId="8" hidden="1"/>
    <cellStyle name="Hyperlink" xfId="27221" builtinId="8" hidden="1"/>
    <cellStyle name="Hyperlink" xfId="27223" builtinId="8" hidden="1"/>
    <cellStyle name="Hyperlink" xfId="27189" builtinId="8" hidden="1"/>
    <cellStyle name="Hyperlink" xfId="27175" builtinId="8" hidden="1"/>
    <cellStyle name="Hyperlink" xfId="27225" builtinId="8" hidden="1"/>
    <cellStyle name="Hyperlink" xfId="27227" builtinId="8" hidden="1"/>
    <cellStyle name="Hyperlink" xfId="27229" builtinId="8" hidden="1"/>
    <cellStyle name="Hyperlink" xfId="27231" builtinId="8" hidden="1"/>
    <cellStyle name="Hyperlink" xfId="27194" builtinId="8" hidden="1"/>
    <cellStyle name="Hyperlink" xfId="27163" builtinId="8" hidden="1"/>
    <cellStyle name="Hyperlink" xfId="27233" builtinId="8" hidden="1"/>
    <cellStyle name="Hyperlink" xfId="27235" builtinId="8" hidden="1"/>
    <cellStyle name="Hyperlink" xfId="27237" builtinId="8" hidden="1"/>
    <cellStyle name="Hyperlink" xfId="27239" builtinId="8" hidden="1"/>
    <cellStyle name="Hyperlink" xfId="27164" builtinId="8" hidden="1"/>
    <cellStyle name="Hyperlink" xfId="27197" builtinId="8" hidden="1"/>
    <cellStyle name="Hyperlink" xfId="27241" builtinId="8" hidden="1"/>
    <cellStyle name="Hyperlink" xfId="27243" builtinId="8" hidden="1"/>
    <cellStyle name="Hyperlink" xfId="27245" builtinId="8" hidden="1"/>
    <cellStyle name="Hyperlink" xfId="27247" builtinId="8" hidden="1"/>
    <cellStyle name="Hyperlink" xfId="27166" builtinId="8" hidden="1"/>
    <cellStyle name="Hyperlink" xfId="27207" builtinId="8" hidden="1"/>
    <cellStyle name="Hyperlink" xfId="27249" builtinId="8" hidden="1"/>
    <cellStyle name="Hyperlink" xfId="27251" builtinId="8" hidden="1"/>
    <cellStyle name="Hyperlink" xfId="27253" builtinId="8" hidden="1"/>
    <cellStyle name="Hyperlink" xfId="27255" builtinId="8" hidden="1"/>
    <cellStyle name="Hyperlink" xfId="27187" builtinId="8" hidden="1"/>
    <cellStyle name="Hyperlink" xfId="27190" builtinId="8" hidden="1"/>
    <cellStyle name="Hyperlink" xfId="27257" builtinId="8" hidden="1"/>
    <cellStyle name="Hyperlink" xfId="27259" builtinId="8" hidden="1"/>
    <cellStyle name="Hyperlink" xfId="27261" builtinId="8" hidden="1"/>
    <cellStyle name="Hyperlink" xfId="27263" builtinId="8" hidden="1"/>
    <cellStyle name="Hyperlink" xfId="27191" builtinId="8" hidden="1"/>
    <cellStyle name="Hyperlink" xfId="27188" builtinId="8" hidden="1"/>
    <cellStyle name="Hyperlink" xfId="27265" builtinId="8" hidden="1"/>
    <cellStyle name="Hyperlink" xfId="27267" builtinId="8" hidden="1"/>
    <cellStyle name="Hyperlink" xfId="27269" builtinId="8" hidden="1"/>
    <cellStyle name="Hyperlink" xfId="27271" builtinId="8" hidden="1"/>
    <cellStyle name="Hyperlink" xfId="27206" builtinId="8" hidden="1"/>
    <cellStyle name="Hyperlink" xfId="27183" builtinId="8" hidden="1"/>
    <cellStyle name="Hyperlink" xfId="27273" builtinId="8" hidden="1"/>
    <cellStyle name="Hyperlink" xfId="27275" builtinId="8" hidden="1"/>
    <cellStyle name="Hyperlink" xfId="27277" builtinId="8" hidden="1"/>
    <cellStyle name="Hyperlink" xfId="27279" builtinId="8" hidden="1"/>
    <cellStyle name="Hyperlink" xfId="27161" builtinId="8" hidden="1"/>
    <cellStyle name="Hyperlink" xfId="27162" builtinId="8" hidden="1"/>
    <cellStyle name="Hyperlink" xfId="27281" builtinId="8" hidden="1"/>
    <cellStyle name="Hyperlink" xfId="27283" builtinId="8" hidden="1"/>
    <cellStyle name="Hyperlink" xfId="27285" builtinId="8" hidden="1"/>
    <cellStyle name="Hyperlink" xfId="27287" builtinId="8" hidden="1"/>
    <cellStyle name="Hyperlink" xfId="27167" builtinId="8" hidden="1"/>
    <cellStyle name="Hyperlink" xfId="27203" builtinId="8" hidden="1"/>
    <cellStyle name="Hyperlink" xfId="27289" builtinId="8" hidden="1"/>
    <cellStyle name="Hyperlink" xfId="27291" builtinId="8" hidden="1"/>
    <cellStyle name="Hyperlink" xfId="27293" builtinId="8" hidden="1"/>
    <cellStyle name="Hyperlink" xfId="27295" builtinId="8" hidden="1"/>
    <cellStyle name="Hyperlink" xfId="27172" builtinId="8" hidden="1"/>
    <cellStyle name="Hyperlink" xfId="27192" builtinId="8" hidden="1"/>
    <cellStyle name="Hyperlink" xfId="27297" builtinId="8" hidden="1"/>
    <cellStyle name="Hyperlink" xfId="27299" builtinId="8" hidden="1"/>
    <cellStyle name="Hyperlink" xfId="27301" builtinId="8" hidden="1"/>
    <cellStyle name="Hyperlink" xfId="27303" builtinId="8" hidden="1"/>
    <cellStyle name="Hyperlink" xfId="27179" builtinId="8" hidden="1"/>
    <cellStyle name="Hyperlink" xfId="27177" builtinId="8" hidden="1"/>
    <cellStyle name="Hyperlink" xfId="27305" builtinId="8" hidden="1"/>
    <cellStyle name="Hyperlink" xfId="27307" builtinId="8" hidden="1"/>
    <cellStyle name="Hyperlink" xfId="27309" builtinId="8" hidden="1"/>
    <cellStyle name="Hyperlink" xfId="27311" builtinId="8" hidden="1"/>
    <cellStyle name="Hyperlink" xfId="26634" builtinId="8" hidden="1"/>
    <cellStyle name="Hyperlink" xfId="26801" builtinId="8" hidden="1"/>
    <cellStyle name="Hyperlink" xfId="26438" builtinId="8" hidden="1"/>
    <cellStyle name="Hyperlink" xfId="26327" builtinId="8" hidden="1"/>
    <cellStyle name="Hyperlink" xfId="26323" builtinId="8" hidden="1"/>
    <cellStyle name="Hyperlink" xfId="26371" builtinId="8" hidden="1"/>
    <cellStyle name="Hyperlink" xfId="26332" builtinId="8" hidden="1"/>
    <cellStyle name="Hyperlink" xfId="26408" builtinId="8" hidden="1"/>
    <cellStyle name="Hyperlink" xfId="27318" builtinId="8" hidden="1"/>
    <cellStyle name="Hyperlink" xfId="27320" builtinId="8" hidden="1"/>
    <cellStyle name="Hyperlink" xfId="27322" builtinId="8" hidden="1"/>
    <cellStyle name="Hyperlink" xfId="27324" builtinId="8" hidden="1"/>
    <cellStyle name="Hyperlink" xfId="27326" builtinId="8" hidden="1"/>
    <cellStyle name="Hyperlink" xfId="27328" builtinId="8" hidden="1"/>
    <cellStyle name="Hyperlink" xfId="27378" builtinId="8" hidden="1"/>
    <cellStyle name="Hyperlink" xfId="27380" builtinId="8" hidden="1"/>
    <cellStyle name="Hyperlink" xfId="27382" builtinId="8" hidden="1"/>
    <cellStyle name="Hyperlink" xfId="27384" builtinId="8" hidden="1"/>
    <cellStyle name="Hyperlink" xfId="27374" builtinId="8" hidden="1"/>
    <cellStyle name="Hyperlink" xfId="27364" builtinId="8" hidden="1"/>
    <cellStyle name="Hyperlink" xfId="27386" builtinId="8" hidden="1"/>
    <cellStyle name="Hyperlink" xfId="27388" builtinId="8" hidden="1"/>
    <cellStyle name="Hyperlink" xfId="27390" builtinId="8" hidden="1"/>
    <cellStyle name="Hyperlink" xfId="27392" builtinId="8" hidden="1"/>
    <cellStyle name="Hyperlink" xfId="27358" builtinId="8" hidden="1"/>
    <cellStyle name="Hyperlink" xfId="27344" builtinId="8" hidden="1"/>
    <cellStyle name="Hyperlink" xfId="27394" builtinId="8" hidden="1"/>
    <cellStyle name="Hyperlink" xfId="27396" builtinId="8" hidden="1"/>
    <cellStyle name="Hyperlink" xfId="27398" builtinId="8" hidden="1"/>
    <cellStyle name="Hyperlink" xfId="27400" builtinId="8" hidden="1"/>
    <cellStyle name="Hyperlink" xfId="27363" builtinId="8" hidden="1"/>
    <cellStyle name="Hyperlink" xfId="27332" builtinId="8" hidden="1"/>
    <cellStyle name="Hyperlink" xfId="27402" builtinId="8" hidden="1"/>
    <cellStyle name="Hyperlink" xfId="27404" builtinId="8" hidden="1"/>
    <cellStyle name="Hyperlink" xfId="27406" builtinId="8" hidden="1"/>
    <cellStyle name="Hyperlink" xfId="27408" builtinId="8" hidden="1"/>
    <cellStyle name="Hyperlink" xfId="27333" builtinId="8" hidden="1"/>
    <cellStyle name="Hyperlink" xfId="27366" builtinId="8" hidden="1"/>
    <cellStyle name="Hyperlink" xfId="27410" builtinId="8" hidden="1"/>
    <cellStyle name="Hyperlink" xfId="27412" builtinId="8" hidden="1"/>
    <cellStyle name="Hyperlink" xfId="27414" builtinId="8" hidden="1"/>
    <cellStyle name="Hyperlink" xfId="27416" builtinId="8" hidden="1"/>
    <cellStyle name="Hyperlink" xfId="27335" builtinId="8" hidden="1"/>
    <cellStyle name="Hyperlink" xfId="27376" builtinId="8" hidden="1"/>
    <cellStyle name="Hyperlink" xfId="27418" builtinId="8" hidden="1"/>
    <cellStyle name="Hyperlink" xfId="27420" builtinId="8" hidden="1"/>
    <cellStyle name="Hyperlink" xfId="27422" builtinId="8" hidden="1"/>
    <cellStyle name="Hyperlink" xfId="27424" builtinId="8" hidden="1"/>
    <cellStyle name="Hyperlink" xfId="27356" builtinId="8" hidden="1"/>
    <cellStyle name="Hyperlink" xfId="27359" builtinId="8" hidden="1"/>
    <cellStyle name="Hyperlink" xfId="27426" builtinId="8" hidden="1"/>
    <cellStyle name="Hyperlink" xfId="27428" builtinId="8" hidden="1"/>
    <cellStyle name="Hyperlink" xfId="27430" builtinId="8" hidden="1"/>
    <cellStyle name="Hyperlink" xfId="27432" builtinId="8" hidden="1"/>
    <cellStyle name="Hyperlink" xfId="27360" builtinId="8" hidden="1"/>
    <cellStyle name="Hyperlink" xfId="27357" builtinId="8" hidden="1"/>
    <cellStyle name="Hyperlink" xfId="27434" builtinId="8" hidden="1"/>
    <cellStyle name="Hyperlink" xfId="27436" builtinId="8" hidden="1"/>
    <cellStyle name="Hyperlink" xfId="27438" builtinId="8" hidden="1"/>
    <cellStyle name="Hyperlink" xfId="27440" builtinId="8" hidden="1"/>
    <cellStyle name="Hyperlink" xfId="27375" builtinId="8" hidden="1"/>
    <cellStyle name="Hyperlink" xfId="27352" builtinId="8" hidden="1"/>
    <cellStyle name="Hyperlink" xfId="27442" builtinId="8" hidden="1"/>
    <cellStyle name="Hyperlink" xfId="27444" builtinId="8" hidden="1"/>
    <cellStyle name="Hyperlink" xfId="27446" builtinId="8" hidden="1"/>
    <cellStyle name="Hyperlink" xfId="27448" builtinId="8" hidden="1"/>
    <cellStyle name="Hyperlink" xfId="27330" builtinId="8" hidden="1"/>
    <cellStyle name="Hyperlink" xfId="27331" builtinId="8" hidden="1"/>
    <cellStyle name="Hyperlink" xfId="27450" builtinId="8" hidden="1"/>
    <cellStyle name="Hyperlink" xfId="27452" builtinId="8" hidden="1"/>
    <cellStyle name="Hyperlink" xfId="27454" builtinId="8" hidden="1"/>
    <cellStyle name="Hyperlink" xfId="27456" builtinId="8" hidden="1"/>
    <cellStyle name="Hyperlink" xfId="27336" builtinId="8" hidden="1"/>
    <cellStyle name="Hyperlink" xfId="27372" builtinId="8" hidden="1"/>
    <cellStyle name="Hyperlink" xfId="27458" builtinId="8" hidden="1"/>
    <cellStyle name="Hyperlink" xfId="27460" builtinId="8" hidden="1"/>
    <cellStyle name="Hyperlink" xfId="27462" builtinId="8" hidden="1"/>
    <cellStyle name="Hyperlink" xfId="27464" builtinId="8" hidden="1"/>
    <cellStyle name="Hyperlink" xfId="27341" builtinId="8" hidden="1"/>
    <cellStyle name="Hyperlink" xfId="27361" builtinId="8" hidden="1"/>
    <cellStyle name="Hyperlink" xfId="27466" builtinId="8" hidden="1"/>
    <cellStyle name="Hyperlink" xfId="27468" builtinId="8" hidden="1"/>
    <cellStyle name="Hyperlink" xfId="27470" builtinId="8" hidden="1"/>
    <cellStyle name="Hyperlink" xfId="27472" builtinId="8" hidden="1"/>
    <cellStyle name="Hyperlink" xfId="27348" builtinId="8" hidden="1"/>
    <cellStyle name="Hyperlink" xfId="27346" builtinId="8" hidden="1"/>
    <cellStyle name="Hyperlink" xfId="27474" builtinId="8" hidden="1"/>
    <cellStyle name="Hyperlink" xfId="27476" builtinId="8" hidden="1"/>
    <cellStyle name="Hyperlink" xfId="27478" builtinId="8" hidden="1"/>
    <cellStyle name="Hyperlink" xfId="27480" builtinId="8" hidden="1"/>
    <cellStyle name="Hyperlink" xfId="26324" builtinId="8" hidden="1"/>
    <cellStyle name="Hyperlink" xfId="26439" builtinId="8" hidden="1"/>
    <cellStyle name="Hyperlink" xfId="26808" builtinId="8" hidden="1"/>
    <cellStyle name="Hyperlink" xfId="26441" builtinId="8" hidden="1"/>
    <cellStyle name="Hyperlink" xfId="26422" builtinId="8" hidden="1"/>
    <cellStyle name="Hyperlink" xfId="26454" builtinId="8" hidden="1"/>
    <cellStyle name="Hyperlink" xfId="26329" builtinId="8" hidden="1"/>
    <cellStyle name="Hyperlink" xfId="26456" builtinId="8" hidden="1"/>
    <cellStyle name="Hyperlink" xfId="27485" builtinId="8" hidden="1"/>
    <cellStyle name="Hyperlink" xfId="27487" builtinId="8" hidden="1"/>
    <cellStyle name="Hyperlink" xfId="27489" builtinId="8" hidden="1"/>
    <cellStyle name="Hyperlink" xfId="27491" builtinId="8" hidden="1"/>
    <cellStyle name="Hyperlink" xfId="27493" builtinId="8" hidden="1"/>
    <cellStyle name="Hyperlink" xfId="27495" builtinId="8" hidden="1"/>
    <cellStyle name="Hyperlink" xfId="27545" builtinId="8" hidden="1"/>
    <cellStyle name="Hyperlink" xfId="27547" builtinId="8" hidden="1"/>
    <cellStyle name="Hyperlink" xfId="27549" builtinId="8" hidden="1"/>
    <cellStyle name="Hyperlink" xfId="27551" builtinId="8" hidden="1"/>
    <cellStyle name="Hyperlink" xfId="27541" builtinId="8" hidden="1"/>
    <cellStyle name="Hyperlink" xfId="27531" builtinId="8" hidden="1"/>
    <cellStyle name="Hyperlink" xfId="27553" builtinId="8" hidden="1"/>
    <cellStyle name="Hyperlink" xfId="27555" builtinId="8" hidden="1"/>
    <cellStyle name="Hyperlink" xfId="27557" builtinId="8" hidden="1"/>
    <cellStyle name="Hyperlink" xfId="27559" builtinId="8" hidden="1"/>
    <cellStyle name="Hyperlink" xfId="27525" builtinId="8" hidden="1"/>
    <cellStyle name="Hyperlink" xfId="27511" builtinId="8" hidden="1"/>
    <cellStyle name="Hyperlink" xfId="27561" builtinId="8" hidden="1"/>
    <cellStyle name="Hyperlink" xfId="27563" builtinId="8" hidden="1"/>
    <cellStyle name="Hyperlink" xfId="27565" builtinId="8" hidden="1"/>
    <cellStyle name="Hyperlink" xfId="27567" builtinId="8" hidden="1"/>
    <cellStyle name="Hyperlink" xfId="27530" builtinId="8" hidden="1"/>
    <cellStyle name="Hyperlink" xfId="27499" builtinId="8" hidden="1"/>
    <cellStyle name="Hyperlink" xfId="27569" builtinId="8" hidden="1"/>
    <cellStyle name="Hyperlink" xfId="27571" builtinId="8" hidden="1"/>
    <cellStyle name="Hyperlink" xfId="27573" builtinId="8" hidden="1"/>
    <cellStyle name="Hyperlink" xfId="27575" builtinId="8" hidden="1"/>
    <cellStyle name="Hyperlink" xfId="27500" builtinId="8" hidden="1"/>
    <cellStyle name="Hyperlink" xfId="27533" builtinId="8" hidden="1"/>
    <cellStyle name="Hyperlink" xfId="27577" builtinId="8" hidden="1"/>
    <cellStyle name="Hyperlink" xfId="27579" builtinId="8" hidden="1"/>
    <cellStyle name="Hyperlink" xfId="27581" builtinId="8" hidden="1"/>
    <cellStyle name="Hyperlink" xfId="27583" builtinId="8" hidden="1"/>
    <cellStyle name="Hyperlink" xfId="27502" builtinId="8" hidden="1"/>
    <cellStyle name="Hyperlink" xfId="27543" builtinId="8" hidden="1"/>
    <cellStyle name="Hyperlink" xfId="27585" builtinId="8" hidden="1"/>
    <cellStyle name="Hyperlink" xfId="27587" builtinId="8" hidden="1"/>
    <cellStyle name="Hyperlink" xfId="27589" builtinId="8" hidden="1"/>
    <cellStyle name="Hyperlink" xfId="27591" builtinId="8" hidden="1"/>
    <cellStyle name="Hyperlink" xfId="27523" builtinId="8" hidden="1"/>
    <cellStyle name="Hyperlink" xfId="27526" builtinId="8" hidden="1"/>
    <cellStyle name="Hyperlink" xfId="27593" builtinId="8" hidden="1"/>
    <cellStyle name="Hyperlink" xfId="27595" builtinId="8" hidden="1"/>
    <cellStyle name="Hyperlink" xfId="27597" builtinId="8" hidden="1"/>
    <cellStyle name="Hyperlink" xfId="27599" builtinId="8" hidden="1"/>
    <cellStyle name="Hyperlink" xfId="27527" builtinId="8" hidden="1"/>
    <cellStyle name="Hyperlink" xfId="27524" builtinId="8" hidden="1"/>
    <cellStyle name="Hyperlink" xfId="27601" builtinId="8" hidden="1"/>
    <cellStyle name="Hyperlink" xfId="27603" builtinId="8" hidden="1"/>
    <cellStyle name="Hyperlink" xfId="27605" builtinId="8" hidden="1"/>
    <cellStyle name="Hyperlink" xfId="27607" builtinId="8" hidden="1"/>
    <cellStyle name="Hyperlink" xfId="27542" builtinId="8" hidden="1"/>
    <cellStyle name="Hyperlink" xfId="27519" builtinId="8" hidden="1"/>
    <cellStyle name="Hyperlink" xfId="27609" builtinId="8" hidden="1"/>
    <cellStyle name="Hyperlink" xfId="27611" builtinId="8" hidden="1"/>
    <cellStyle name="Hyperlink" xfId="27613" builtinId="8" hidden="1"/>
    <cellStyle name="Hyperlink" xfId="27615" builtinId="8" hidden="1"/>
    <cellStyle name="Hyperlink" xfId="27497" builtinId="8" hidden="1"/>
    <cellStyle name="Hyperlink" xfId="27498" builtinId="8" hidden="1"/>
    <cellStyle name="Hyperlink" xfId="27617" builtinId="8" hidden="1"/>
    <cellStyle name="Hyperlink" xfId="27619" builtinId="8" hidden="1"/>
    <cellStyle name="Hyperlink" xfId="27621" builtinId="8" hidden="1"/>
    <cellStyle name="Hyperlink" xfId="27623" builtinId="8" hidden="1"/>
    <cellStyle name="Hyperlink" xfId="27503" builtinId="8" hidden="1"/>
    <cellStyle name="Hyperlink" xfId="27539" builtinId="8" hidden="1"/>
    <cellStyle name="Hyperlink" xfId="27625" builtinId="8" hidden="1"/>
    <cellStyle name="Hyperlink" xfId="27627" builtinId="8" hidden="1"/>
    <cellStyle name="Hyperlink" xfId="27629" builtinId="8" hidden="1"/>
    <cellStyle name="Hyperlink" xfId="27631" builtinId="8" hidden="1"/>
    <cellStyle name="Hyperlink" xfId="27508" builtinId="8" hidden="1"/>
    <cellStyle name="Hyperlink" xfId="27528" builtinId="8" hidden="1"/>
    <cellStyle name="Hyperlink" xfId="27633" builtinId="8" hidden="1"/>
    <cellStyle name="Hyperlink" xfId="27635" builtinId="8" hidden="1"/>
    <cellStyle name="Hyperlink" xfId="27637" builtinId="8" hidden="1"/>
    <cellStyle name="Hyperlink" xfId="27639" builtinId="8" hidden="1"/>
    <cellStyle name="Hyperlink" xfId="27515" builtinId="8" hidden="1"/>
    <cellStyle name="Hyperlink" xfId="27513" builtinId="8" hidden="1"/>
    <cellStyle name="Hyperlink" xfId="27641" builtinId="8" hidden="1"/>
    <cellStyle name="Hyperlink" xfId="27643" builtinId="8" hidden="1"/>
    <cellStyle name="Hyperlink" xfId="27645" builtinId="8" hidden="1"/>
    <cellStyle name="Hyperlink" xfId="27647" builtinId="8" hidden="1"/>
    <cellStyle name="Hyperlink" xfId="26465" builtinId="8" hidden="1"/>
    <cellStyle name="Hyperlink" xfId="26436" builtinId="8" hidden="1"/>
    <cellStyle name="Hyperlink" xfId="26978" builtinId="8" hidden="1"/>
    <cellStyle name="Hyperlink" xfId="26461" builtinId="8" hidden="1"/>
    <cellStyle name="Hyperlink" xfId="26398" builtinId="8" hidden="1"/>
    <cellStyle name="Hyperlink" xfId="26339" builtinId="8" hidden="1"/>
    <cellStyle name="Hyperlink" xfId="26453" builtinId="8" hidden="1"/>
    <cellStyle name="Hyperlink" xfId="26446" builtinId="8" hidden="1"/>
    <cellStyle name="Hyperlink" xfId="27652" builtinId="8" hidden="1"/>
    <cellStyle name="Hyperlink" xfId="27654" builtinId="8" hidden="1"/>
    <cellStyle name="Hyperlink" xfId="27656" builtinId="8" hidden="1"/>
    <cellStyle name="Hyperlink" xfId="27658" builtinId="8" hidden="1"/>
    <cellStyle name="Hyperlink" xfId="27660" builtinId="8" hidden="1"/>
    <cellStyle name="Hyperlink" xfId="27662" builtinId="8" hidden="1"/>
    <cellStyle name="Hyperlink" xfId="27712" builtinId="8" hidden="1"/>
    <cellStyle name="Hyperlink" xfId="27714" builtinId="8" hidden="1"/>
    <cellStyle name="Hyperlink" xfId="27716" builtinId="8" hidden="1"/>
    <cellStyle name="Hyperlink" xfId="27718" builtinId="8" hidden="1"/>
    <cellStyle name="Hyperlink" xfId="27708" builtinId="8" hidden="1"/>
    <cellStyle name="Hyperlink" xfId="27698" builtinId="8" hidden="1"/>
    <cellStyle name="Hyperlink" xfId="27720" builtinId="8" hidden="1"/>
    <cellStyle name="Hyperlink" xfId="27722" builtinId="8" hidden="1"/>
    <cellStyle name="Hyperlink" xfId="27724" builtinId="8" hidden="1"/>
    <cellStyle name="Hyperlink" xfId="27726" builtinId="8" hidden="1"/>
    <cellStyle name="Hyperlink" xfId="27692" builtinId="8" hidden="1"/>
    <cellStyle name="Hyperlink" xfId="27678" builtinId="8" hidden="1"/>
    <cellStyle name="Hyperlink" xfId="27728" builtinId="8" hidden="1"/>
    <cellStyle name="Hyperlink" xfId="27730" builtinId="8" hidden="1"/>
    <cellStyle name="Hyperlink" xfId="27732" builtinId="8" hidden="1"/>
    <cellStyle name="Hyperlink" xfId="27734" builtinId="8" hidden="1"/>
    <cellStyle name="Hyperlink" xfId="27697" builtinId="8" hidden="1"/>
    <cellStyle name="Hyperlink" xfId="27666" builtinId="8" hidden="1"/>
    <cellStyle name="Hyperlink" xfId="27736" builtinId="8" hidden="1"/>
    <cellStyle name="Hyperlink" xfId="27738" builtinId="8" hidden="1"/>
    <cellStyle name="Hyperlink" xfId="27740" builtinId="8" hidden="1"/>
    <cellStyle name="Hyperlink" xfId="27742" builtinId="8" hidden="1"/>
    <cellStyle name="Hyperlink" xfId="27667" builtinId="8" hidden="1"/>
    <cellStyle name="Hyperlink" xfId="27700" builtinId="8" hidden="1"/>
    <cellStyle name="Hyperlink" xfId="27744" builtinId="8" hidden="1"/>
    <cellStyle name="Hyperlink" xfId="27746" builtinId="8" hidden="1"/>
    <cellStyle name="Hyperlink" xfId="27748" builtinId="8" hidden="1"/>
    <cellStyle name="Hyperlink" xfId="27750" builtinId="8" hidden="1"/>
    <cellStyle name="Hyperlink" xfId="27669" builtinId="8" hidden="1"/>
    <cellStyle name="Hyperlink" xfId="27710" builtinId="8" hidden="1"/>
    <cellStyle name="Hyperlink" xfId="27752" builtinId="8" hidden="1"/>
    <cellStyle name="Hyperlink" xfId="27754" builtinId="8" hidden="1"/>
    <cellStyle name="Hyperlink" xfId="27756" builtinId="8" hidden="1"/>
    <cellStyle name="Hyperlink" xfId="27758" builtinId="8" hidden="1"/>
    <cellStyle name="Hyperlink" xfId="27690" builtinId="8" hidden="1"/>
    <cellStyle name="Hyperlink" xfId="27693" builtinId="8" hidden="1"/>
    <cellStyle name="Hyperlink" xfId="27760" builtinId="8" hidden="1"/>
    <cellStyle name="Hyperlink" xfId="27762" builtinId="8" hidden="1"/>
    <cellStyle name="Hyperlink" xfId="27764" builtinId="8" hidden="1"/>
    <cellStyle name="Hyperlink" xfId="27766" builtinId="8" hidden="1"/>
    <cellStyle name="Hyperlink" xfId="27694" builtinId="8" hidden="1"/>
    <cellStyle name="Hyperlink" xfId="27691" builtinId="8" hidden="1"/>
    <cellStyle name="Hyperlink" xfId="27768" builtinId="8" hidden="1"/>
    <cellStyle name="Hyperlink" xfId="27770" builtinId="8" hidden="1"/>
    <cellStyle name="Hyperlink" xfId="27772" builtinId="8" hidden="1"/>
    <cellStyle name="Hyperlink" xfId="27774" builtinId="8" hidden="1"/>
    <cellStyle name="Hyperlink" xfId="27709" builtinId="8" hidden="1"/>
    <cellStyle name="Hyperlink" xfId="27686" builtinId="8" hidden="1"/>
    <cellStyle name="Hyperlink" xfId="27776" builtinId="8" hidden="1"/>
    <cellStyle name="Hyperlink" xfId="27778" builtinId="8" hidden="1"/>
    <cellStyle name="Hyperlink" xfId="27780" builtinId="8" hidden="1"/>
    <cellStyle name="Hyperlink" xfId="27782" builtinId="8" hidden="1"/>
    <cellStyle name="Hyperlink" xfId="27664" builtinId="8" hidden="1"/>
    <cellStyle name="Hyperlink" xfId="27665" builtinId="8" hidden="1"/>
    <cellStyle name="Hyperlink" xfId="27784" builtinId="8" hidden="1"/>
    <cellStyle name="Hyperlink" xfId="27786" builtinId="8" hidden="1"/>
    <cellStyle name="Hyperlink" xfId="27788" builtinId="8" hidden="1"/>
    <cellStyle name="Hyperlink" xfId="27790" builtinId="8" hidden="1"/>
    <cellStyle name="Hyperlink" xfId="27670" builtinId="8" hidden="1"/>
    <cellStyle name="Hyperlink" xfId="27706" builtinId="8" hidden="1"/>
    <cellStyle name="Hyperlink" xfId="27792" builtinId="8" hidden="1"/>
    <cellStyle name="Hyperlink" xfId="27794" builtinId="8" hidden="1"/>
    <cellStyle name="Hyperlink" xfId="27796" builtinId="8" hidden="1"/>
    <cellStyle name="Hyperlink" xfId="27798" builtinId="8" hidden="1"/>
    <cellStyle name="Hyperlink" xfId="27675" builtinId="8" hidden="1"/>
    <cellStyle name="Hyperlink" xfId="27695" builtinId="8" hidden="1"/>
    <cellStyle name="Hyperlink" xfId="27800" builtinId="8" hidden="1"/>
    <cellStyle name="Hyperlink" xfId="27802" builtinId="8" hidden="1"/>
    <cellStyle name="Hyperlink" xfId="27804" builtinId="8" hidden="1"/>
    <cellStyle name="Hyperlink" xfId="27806" builtinId="8" hidden="1"/>
    <cellStyle name="Hyperlink" xfId="27682" builtinId="8" hidden="1"/>
    <cellStyle name="Hyperlink" xfId="27680" builtinId="8" hidden="1"/>
    <cellStyle name="Hyperlink" xfId="27808" builtinId="8" hidden="1"/>
    <cellStyle name="Hyperlink" xfId="27810" builtinId="8" hidden="1"/>
    <cellStyle name="Hyperlink" xfId="27812" builtinId="8" hidden="1"/>
    <cellStyle name="Hyperlink" xfId="27814" builtinId="8" hidden="1"/>
    <cellStyle name="Hyperlink" xfId="26440" builtinId="8" hidden="1"/>
    <cellStyle name="Hyperlink" xfId="26424" builtinId="8" hidden="1"/>
    <cellStyle name="Hyperlink" xfId="27147" builtinId="8" hidden="1"/>
    <cellStyle name="Hyperlink" xfId="26403" builtinId="8" hidden="1"/>
    <cellStyle name="Hyperlink" xfId="26320" builtinId="8" hidden="1"/>
    <cellStyle name="Hyperlink" xfId="26382" builtinId="8" hidden="1"/>
    <cellStyle name="Hyperlink" xfId="26804" builtinId="8" hidden="1"/>
    <cellStyle name="Hyperlink" xfId="26401" builtinId="8" hidden="1"/>
    <cellStyle name="Hyperlink" xfId="27817" builtinId="8" hidden="1"/>
    <cellStyle name="Hyperlink" xfId="27819" builtinId="8" hidden="1"/>
    <cellStyle name="Hyperlink" xfId="27821" builtinId="8" hidden="1"/>
    <cellStyle name="Hyperlink" xfId="27823" builtinId="8" hidden="1"/>
    <cellStyle name="Hyperlink" xfId="27825" builtinId="8" hidden="1"/>
    <cellStyle name="Hyperlink" xfId="27827" builtinId="8" hidden="1"/>
    <cellStyle name="Hyperlink" xfId="27877" builtinId="8" hidden="1"/>
    <cellStyle name="Hyperlink" xfId="27879" builtinId="8" hidden="1"/>
    <cellStyle name="Hyperlink" xfId="27881" builtinId="8" hidden="1"/>
    <cellStyle name="Hyperlink" xfId="27883" builtinId="8" hidden="1"/>
    <cellStyle name="Hyperlink" xfId="27873" builtinId="8" hidden="1"/>
    <cellStyle name="Hyperlink" xfId="27863" builtinId="8" hidden="1"/>
    <cellStyle name="Hyperlink" xfId="27885" builtinId="8" hidden="1"/>
    <cellStyle name="Hyperlink" xfId="27887" builtinId="8" hidden="1"/>
    <cellStyle name="Hyperlink" xfId="27889" builtinId="8" hidden="1"/>
    <cellStyle name="Hyperlink" xfId="27891" builtinId="8" hidden="1"/>
    <cellStyle name="Hyperlink" xfId="27857" builtinId="8" hidden="1"/>
    <cellStyle name="Hyperlink" xfId="27843" builtinId="8" hidden="1"/>
    <cellStyle name="Hyperlink" xfId="27893" builtinId="8" hidden="1"/>
    <cellStyle name="Hyperlink" xfId="27895" builtinId="8" hidden="1"/>
    <cellStyle name="Hyperlink" xfId="27897" builtinId="8" hidden="1"/>
    <cellStyle name="Hyperlink" xfId="27899" builtinId="8" hidden="1"/>
    <cellStyle name="Hyperlink" xfId="27862" builtinId="8" hidden="1"/>
    <cellStyle name="Hyperlink" xfId="27831" builtinId="8" hidden="1"/>
    <cellStyle name="Hyperlink" xfId="27901" builtinId="8" hidden="1"/>
    <cellStyle name="Hyperlink" xfId="27903" builtinId="8" hidden="1"/>
    <cellStyle name="Hyperlink" xfId="27905" builtinId="8" hidden="1"/>
    <cellStyle name="Hyperlink" xfId="27907" builtinId="8" hidden="1"/>
    <cellStyle name="Hyperlink" xfId="27832" builtinId="8" hidden="1"/>
    <cellStyle name="Hyperlink" xfId="27865" builtinId="8" hidden="1"/>
    <cellStyle name="Hyperlink" xfId="27909" builtinId="8" hidden="1"/>
    <cellStyle name="Hyperlink" xfId="27911" builtinId="8" hidden="1"/>
    <cellStyle name="Hyperlink" xfId="27913" builtinId="8" hidden="1"/>
    <cellStyle name="Hyperlink" xfId="27915" builtinId="8" hidden="1"/>
    <cellStyle name="Hyperlink" xfId="27834" builtinId="8" hidden="1"/>
    <cellStyle name="Hyperlink" xfId="27875" builtinId="8" hidden="1"/>
    <cellStyle name="Hyperlink" xfId="27917" builtinId="8" hidden="1"/>
    <cellStyle name="Hyperlink" xfId="27919" builtinId="8" hidden="1"/>
    <cellStyle name="Hyperlink" xfId="27921" builtinId="8" hidden="1"/>
    <cellStyle name="Hyperlink" xfId="27923" builtinId="8" hidden="1"/>
    <cellStyle name="Hyperlink" xfId="27855" builtinId="8" hidden="1"/>
    <cellStyle name="Hyperlink" xfId="27858" builtinId="8" hidden="1"/>
    <cellStyle name="Hyperlink" xfId="27925" builtinId="8" hidden="1"/>
    <cellStyle name="Hyperlink" xfId="27927" builtinId="8" hidden="1"/>
    <cellStyle name="Hyperlink" xfId="27929" builtinId="8" hidden="1"/>
    <cellStyle name="Hyperlink" xfId="27931" builtinId="8" hidden="1"/>
    <cellStyle name="Hyperlink" xfId="27859" builtinId="8" hidden="1"/>
    <cellStyle name="Hyperlink" xfId="27856" builtinId="8" hidden="1"/>
    <cellStyle name="Hyperlink" xfId="27933" builtinId="8" hidden="1"/>
    <cellStyle name="Hyperlink" xfId="27935" builtinId="8" hidden="1"/>
    <cellStyle name="Hyperlink" xfId="27937" builtinId="8" hidden="1"/>
    <cellStyle name="Hyperlink" xfId="27939" builtinId="8" hidden="1"/>
    <cellStyle name="Hyperlink" xfId="27874" builtinId="8" hidden="1"/>
    <cellStyle name="Hyperlink" xfId="27851" builtinId="8" hidden="1"/>
    <cellStyle name="Hyperlink" xfId="27941" builtinId="8" hidden="1"/>
    <cellStyle name="Hyperlink" xfId="27943" builtinId="8" hidden="1"/>
    <cellStyle name="Hyperlink" xfId="27945" builtinId="8" hidden="1"/>
    <cellStyle name="Hyperlink" xfId="27947" builtinId="8" hidden="1"/>
    <cellStyle name="Hyperlink" xfId="27829" builtinId="8" hidden="1"/>
    <cellStyle name="Hyperlink" xfId="27830" builtinId="8" hidden="1"/>
    <cellStyle name="Hyperlink" xfId="27949" builtinId="8" hidden="1"/>
    <cellStyle name="Hyperlink" xfId="27951" builtinId="8" hidden="1"/>
    <cellStyle name="Hyperlink" xfId="27953" builtinId="8" hidden="1"/>
    <cellStyle name="Hyperlink" xfId="27955" builtinId="8" hidden="1"/>
    <cellStyle name="Hyperlink" xfId="27835" builtinId="8" hidden="1"/>
    <cellStyle name="Hyperlink" xfId="27871" builtinId="8" hidden="1"/>
    <cellStyle name="Hyperlink" xfId="27957" builtinId="8" hidden="1"/>
    <cellStyle name="Hyperlink" xfId="27959" builtinId="8" hidden="1"/>
    <cellStyle name="Hyperlink" xfId="27961" builtinId="8" hidden="1"/>
    <cellStyle name="Hyperlink" xfId="27963" builtinId="8" hidden="1"/>
    <cellStyle name="Hyperlink" xfId="27840" builtinId="8" hidden="1"/>
    <cellStyle name="Hyperlink" xfId="27860" builtinId="8" hidden="1"/>
    <cellStyle name="Hyperlink" xfId="27965" builtinId="8" hidden="1"/>
    <cellStyle name="Hyperlink" xfId="27967" builtinId="8" hidden="1"/>
    <cellStyle name="Hyperlink" xfId="27969" builtinId="8" hidden="1"/>
    <cellStyle name="Hyperlink" xfId="27971" builtinId="8" hidden="1"/>
    <cellStyle name="Hyperlink" xfId="27847" builtinId="8" hidden="1"/>
    <cellStyle name="Hyperlink" xfId="27845" builtinId="8" hidden="1"/>
    <cellStyle name="Hyperlink" xfId="27973" builtinId="8" hidden="1"/>
    <cellStyle name="Hyperlink" xfId="27975" builtinId="8" hidden="1"/>
    <cellStyle name="Hyperlink" xfId="27977" builtinId="8" hidden="1"/>
    <cellStyle name="Hyperlink" xfId="27979" builtinId="8" hidden="1"/>
    <cellStyle name="Hyperlink" xfId="26460" builtinId="8" hidden="1"/>
    <cellStyle name="Hyperlink" xfId="26344" builtinId="8" hidden="1"/>
    <cellStyle name="Hyperlink" xfId="27316" builtinId="8" hidden="1"/>
    <cellStyle name="Hyperlink" xfId="26325" builtinId="8" hidden="1"/>
    <cellStyle name="Hyperlink" xfId="26383" builtinId="8" hidden="1"/>
    <cellStyle name="Hyperlink" xfId="26418" builtinId="8" hidden="1"/>
    <cellStyle name="Hyperlink" xfId="26974" builtinId="8" hidden="1"/>
    <cellStyle name="Hyperlink" xfId="26340" builtinId="8" hidden="1"/>
    <cellStyle name="Hyperlink" xfId="27982" builtinId="8" hidden="1"/>
    <cellStyle name="Hyperlink" xfId="27984" builtinId="8" hidden="1"/>
    <cellStyle name="Hyperlink" xfId="27986" builtinId="8" hidden="1"/>
    <cellStyle name="Hyperlink" xfId="27988" builtinId="8" hidden="1"/>
    <cellStyle name="Hyperlink" xfId="27990" builtinId="8" hidden="1"/>
    <cellStyle name="Hyperlink" xfId="27992" builtinId="8" hidden="1"/>
    <cellStyle name="Hyperlink" xfId="28042" builtinId="8" hidden="1"/>
    <cellStyle name="Hyperlink" xfId="28044" builtinId="8" hidden="1"/>
    <cellStyle name="Hyperlink" xfId="28046" builtinId="8" hidden="1"/>
    <cellStyle name="Hyperlink" xfId="28048" builtinId="8" hidden="1"/>
    <cellStyle name="Hyperlink" xfId="28038" builtinId="8" hidden="1"/>
    <cellStyle name="Hyperlink" xfId="28028" builtinId="8" hidden="1"/>
    <cellStyle name="Hyperlink" xfId="28050" builtinId="8" hidden="1"/>
    <cellStyle name="Hyperlink" xfId="28052" builtinId="8" hidden="1"/>
    <cellStyle name="Hyperlink" xfId="28054" builtinId="8" hidden="1"/>
    <cellStyle name="Hyperlink" xfId="28056" builtinId="8" hidden="1"/>
    <cellStyle name="Hyperlink" xfId="28022" builtinId="8" hidden="1"/>
    <cellStyle name="Hyperlink" xfId="28008" builtinId="8" hidden="1"/>
    <cellStyle name="Hyperlink" xfId="28058" builtinId="8" hidden="1"/>
    <cellStyle name="Hyperlink" xfId="28060" builtinId="8" hidden="1"/>
    <cellStyle name="Hyperlink" xfId="28062" builtinId="8" hidden="1"/>
    <cellStyle name="Hyperlink" xfId="28064" builtinId="8" hidden="1"/>
    <cellStyle name="Hyperlink" xfId="28027" builtinId="8" hidden="1"/>
    <cellStyle name="Hyperlink" xfId="27996" builtinId="8" hidden="1"/>
    <cellStyle name="Hyperlink" xfId="28066" builtinId="8" hidden="1"/>
    <cellStyle name="Hyperlink" xfId="28068" builtinId="8" hidden="1"/>
    <cellStyle name="Hyperlink" xfId="28070" builtinId="8" hidden="1"/>
    <cellStyle name="Hyperlink" xfId="28072" builtinId="8" hidden="1"/>
    <cellStyle name="Hyperlink" xfId="27997" builtinId="8" hidden="1"/>
    <cellStyle name="Hyperlink" xfId="28030" builtinId="8" hidden="1"/>
    <cellStyle name="Hyperlink" xfId="28074" builtinId="8" hidden="1"/>
    <cellStyle name="Hyperlink" xfId="28076" builtinId="8" hidden="1"/>
    <cellStyle name="Hyperlink" xfId="28078" builtinId="8" hidden="1"/>
    <cellStyle name="Hyperlink" xfId="28080" builtinId="8" hidden="1"/>
    <cellStyle name="Hyperlink" xfId="27999" builtinId="8" hidden="1"/>
    <cellStyle name="Hyperlink" xfId="28040" builtinId="8" hidden="1"/>
    <cellStyle name="Hyperlink" xfId="28082" builtinId="8" hidden="1"/>
    <cellStyle name="Hyperlink" xfId="28084" builtinId="8" hidden="1"/>
    <cellStyle name="Hyperlink" xfId="28086" builtinId="8" hidden="1"/>
    <cellStyle name="Hyperlink" xfId="28088" builtinId="8" hidden="1"/>
    <cellStyle name="Hyperlink" xfId="28020" builtinId="8" hidden="1"/>
    <cellStyle name="Hyperlink" xfId="28023" builtinId="8" hidden="1"/>
    <cellStyle name="Hyperlink" xfId="28090" builtinId="8" hidden="1"/>
    <cellStyle name="Hyperlink" xfId="28092" builtinId="8" hidden="1"/>
    <cellStyle name="Hyperlink" xfId="28094" builtinId="8" hidden="1"/>
    <cellStyle name="Hyperlink" xfId="28096" builtinId="8" hidden="1"/>
    <cellStyle name="Hyperlink" xfId="28024" builtinId="8" hidden="1"/>
    <cellStyle name="Hyperlink" xfId="28021" builtinId="8" hidden="1"/>
    <cellStyle name="Hyperlink" xfId="28098" builtinId="8" hidden="1"/>
    <cellStyle name="Hyperlink" xfId="28100" builtinId="8" hidden="1"/>
    <cellStyle name="Hyperlink" xfId="28102" builtinId="8" hidden="1"/>
    <cellStyle name="Hyperlink" xfId="28104" builtinId="8" hidden="1"/>
    <cellStyle name="Hyperlink" xfId="28039" builtinId="8" hidden="1"/>
    <cellStyle name="Hyperlink" xfId="28016" builtinId="8" hidden="1"/>
    <cellStyle name="Hyperlink" xfId="28106" builtinId="8" hidden="1"/>
    <cellStyle name="Hyperlink" xfId="28108" builtinId="8" hidden="1"/>
    <cellStyle name="Hyperlink" xfId="28110" builtinId="8" hidden="1"/>
    <cellStyle name="Hyperlink" xfId="28112" builtinId="8" hidden="1"/>
    <cellStyle name="Hyperlink" xfId="27994" builtinId="8" hidden="1"/>
    <cellStyle name="Hyperlink" xfId="27995" builtinId="8" hidden="1"/>
    <cellStyle name="Hyperlink" xfId="28114" builtinId="8" hidden="1"/>
    <cellStyle name="Hyperlink" xfId="28116" builtinId="8" hidden="1"/>
    <cellStyle name="Hyperlink" xfId="28118" builtinId="8" hidden="1"/>
    <cellStyle name="Hyperlink" xfId="28120" builtinId="8" hidden="1"/>
    <cellStyle name="Hyperlink" xfId="28000" builtinId="8" hidden="1"/>
    <cellStyle name="Hyperlink" xfId="28036" builtinId="8" hidden="1"/>
    <cellStyle name="Hyperlink" xfId="28122" builtinId="8" hidden="1"/>
    <cellStyle name="Hyperlink" xfId="28124" builtinId="8" hidden="1"/>
    <cellStyle name="Hyperlink" xfId="28126" builtinId="8" hidden="1"/>
    <cellStyle name="Hyperlink" xfId="28128" builtinId="8" hidden="1"/>
    <cellStyle name="Hyperlink" xfId="28005" builtinId="8" hidden="1"/>
    <cellStyle name="Hyperlink" xfId="28025" builtinId="8" hidden="1"/>
    <cellStyle name="Hyperlink" xfId="28130" builtinId="8" hidden="1"/>
    <cellStyle name="Hyperlink" xfId="28132" builtinId="8" hidden="1"/>
    <cellStyle name="Hyperlink" xfId="28134" builtinId="8" hidden="1"/>
    <cellStyle name="Hyperlink" xfId="28136" builtinId="8" hidden="1"/>
    <cellStyle name="Hyperlink" xfId="28012" builtinId="8" hidden="1"/>
    <cellStyle name="Hyperlink" xfId="28010" builtinId="8" hidden="1"/>
    <cellStyle name="Hyperlink" xfId="28138" builtinId="8" hidden="1"/>
    <cellStyle name="Hyperlink" xfId="28140" builtinId="8" hidden="1"/>
    <cellStyle name="Hyperlink" xfId="28142" builtinId="8" hidden="1"/>
    <cellStyle name="Hyperlink" xfId="28144" builtinId="8" hidden="1"/>
    <cellStyle name="Hyperlink" xfId="26644" builtinId="8" hidden="1"/>
    <cellStyle name="Hyperlink" xfId="26803" builtinId="8" hidden="1"/>
    <cellStyle name="Hyperlink" xfId="27483" builtinId="8" hidden="1"/>
    <cellStyle name="Hyperlink" xfId="26805" builtinId="8" hidden="1"/>
    <cellStyle name="Hyperlink" xfId="26462" builtinId="8" hidden="1"/>
    <cellStyle name="Hyperlink" xfId="26412" builtinId="8" hidden="1"/>
    <cellStyle name="Hyperlink" xfId="27144" builtinId="8" hidden="1"/>
    <cellStyle name="Hyperlink" xfId="26430" builtinId="8" hidden="1"/>
    <cellStyle name="Hyperlink" xfId="28147" builtinId="8" hidden="1"/>
    <cellStyle name="Hyperlink" xfId="28149" builtinId="8" hidden="1"/>
    <cellStyle name="Hyperlink" xfId="28151" builtinId="8" hidden="1"/>
    <cellStyle name="Hyperlink" xfId="28153" builtinId="8" hidden="1"/>
    <cellStyle name="Hyperlink" xfId="28155" builtinId="8" hidden="1"/>
    <cellStyle name="Hyperlink" xfId="28157" builtinId="8" hidden="1"/>
    <cellStyle name="Hyperlink" xfId="28207" builtinId="8" hidden="1"/>
    <cellStyle name="Hyperlink" xfId="28209" builtinId="8" hidden="1"/>
    <cellStyle name="Hyperlink" xfId="28211" builtinId="8" hidden="1"/>
    <cellStyle name="Hyperlink" xfId="28213" builtinId="8" hidden="1"/>
    <cellStyle name="Hyperlink" xfId="28203" builtinId="8" hidden="1"/>
    <cellStyle name="Hyperlink" xfId="28193" builtinId="8" hidden="1"/>
    <cellStyle name="Hyperlink" xfId="28215" builtinId="8" hidden="1"/>
    <cellStyle name="Hyperlink" xfId="28217" builtinId="8" hidden="1"/>
    <cellStyle name="Hyperlink" xfId="28219" builtinId="8" hidden="1"/>
    <cellStyle name="Hyperlink" xfId="28221" builtinId="8" hidden="1"/>
    <cellStyle name="Hyperlink" xfId="28187" builtinId="8" hidden="1"/>
    <cellStyle name="Hyperlink" xfId="28173" builtinId="8" hidden="1"/>
    <cellStyle name="Hyperlink" xfId="28223" builtinId="8" hidden="1"/>
    <cellStyle name="Hyperlink" xfId="28225" builtinId="8" hidden="1"/>
    <cellStyle name="Hyperlink" xfId="28227" builtinId="8" hidden="1"/>
    <cellStyle name="Hyperlink" xfId="28229" builtinId="8" hidden="1"/>
    <cellStyle name="Hyperlink" xfId="28192" builtinId="8" hidden="1"/>
    <cellStyle name="Hyperlink" xfId="28161" builtinId="8" hidden="1"/>
    <cellStyle name="Hyperlink" xfId="28231" builtinId="8" hidden="1"/>
    <cellStyle name="Hyperlink" xfId="28233" builtinId="8" hidden="1"/>
    <cellStyle name="Hyperlink" xfId="28235" builtinId="8" hidden="1"/>
    <cellStyle name="Hyperlink" xfId="28237" builtinId="8" hidden="1"/>
    <cellStyle name="Hyperlink" xfId="28162" builtinId="8" hidden="1"/>
    <cellStyle name="Hyperlink" xfId="28195" builtinId="8" hidden="1"/>
    <cellStyle name="Hyperlink" xfId="28239" builtinId="8" hidden="1"/>
    <cellStyle name="Hyperlink" xfId="28241" builtinId="8" hidden="1"/>
    <cellStyle name="Hyperlink" xfId="28243" builtinId="8" hidden="1"/>
    <cellStyle name="Hyperlink" xfId="28245" builtinId="8" hidden="1"/>
    <cellStyle name="Hyperlink" xfId="28164" builtinId="8" hidden="1"/>
    <cellStyle name="Hyperlink" xfId="28205" builtinId="8" hidden="1"/>
    <cellStyle name="Hyperlink" xfId="28247" builtinId="8" hidden="1"/>
    <cellStyle name="Hyperlink" xfId="28249" builtinId="8" hidden="1"/>
    <cellStyle name="Hyperlink" xfId="28251" builtinId="8" hidden="1"/>
    <cellStyle name="Hyperlink" xfId="28253" builtinId="8" hidden="1"/>
    <cellStyle name="Hyperlink" xfId="28185" builtinId="8" hidden="1"/>
    <cellStyle name="Hyperlink" xfId="28188" builtinId="8" hidden="1"/>
    <cellStyle name="Hyperlink" xfId="28255" builtinId="8" hidden="1"/>
    <cellStyle name="Hyperlink" xfId="28257" builtinId="8" hidden="1"/>
    <cellStyle name="Hyperlink" xfId="28259" builtinId="8" hidden="1"/>
    <cellStyle name="Hyperlink" xfId="28261" builtinId="8" hidden="1"/>
    <cellStyle name="Hyperlink" xfId="28189" builtinId="8" hidden="1"/>
    <cellStyle name="Hyperlink" xfId="28186" builtinId="8" hidden="1"/>
    <cellStyle name="Hyperlink" xfId="28263" builtinId="8" hidden="1"/>
    <cellStyle name="Hyperlink" xfId="28265" builtinId="8" hidden="1"/>
    <cellStyle name="Hyperlink" xfId="28267" builtinId="8" hidden="1"/>
    <cellStyle name="Hyperlink" xfId="28269" builtinId="8" hidden="1"/>
    <cellStyle name="Hyperlink" xfId="28204" builtinId="8" hidden="1"/>
    <cellStyle name="Hyperlink" xfId="28181" builtinId="8" hidden="1"/>
    <cellStyle name="Hyperlink" xfId="28271" builtinId="8" hidden="1"/>
    <cellStyle name="Hyperlink" xfId="28273" builtinId="8" hidden="1"/>
    <cellStyle name="Hyperlink" xfId="28275" builtinId="8" hidden="1"/>
    <cellStyle name="Hyperlink" xfId="28277" builtinId="8" hidden="1"/>
    <cellStyle name="Hyperlink" xfId="28159" builtinId="8" hidden="1"/>
    <cellStyle name="Hyperlink" xfId="28160" builtinId="8" hidden="1"/>
    <cellStyle name="Hyperlink" xfId="28279" builtinId="8" hidden="1"/>
    <cellStyle name="Hyperlink" xfId="28281" builtinId="8" hidden="1"/>
    <cellStyle name="Hyperlink" xfId="28283" builtinId="8" hidden="1"/>
    <cellStyle name="Hyperlink" xfId="28285" builtinId="8" hidden="1"/>
    <cellStyle name="Hyperlink" xfId="28165" builtinId="8" hidden="1"/>
    <cellStyle name="Hyperlink" xfId="28201" builtinId="8" hidden="1"/>
    <cellStyle name="Hyperlink" xfId="28287" builtinId="8" hidden="1"/>
    <cellStyle name="Hyperlink" xfId="28289" builtinId="8" hidden="1"/>
    <cellStyle name="Hyperlink" xfId="28291" builtinId="8" hidden="1"/>
    <cellStyle name="Hyperlink" xfId="28293" builtinId="8" hidden="1"/>
    <cellStyle name="Hyperlink" xfId="28170" builtinId="8" hidden="1"/>
    <cellStyle name="Hyperlink" xfId="28190" builtinId="8" hidden="1"/>
    <cellStyle name="Hyperlink" xfId="28295" builtinId="8" hidden="1"/>
    <cellStyle name="Hyperlink" xfId="28297" builtinId="8" hidden="1"/>
    <cellStyle name="Hyperlink" xfId="28299" builtinId="8" hidden="1"/>
    <cellStyle name="Hyperlink" xfId="28301" builtinId="8" hidden="1"/>
    <cellStyle name="Hyperlink" xfId="28177" builtinId="8" hidden="1"/>
    <cellStyle name="Hyperlink" xfId="28175" builtinId="8" hidden="1"/>
    <cellStyle name="Hyperlink" xfId="28303" builtinId="8" hidden="1"/>
    <cellStyle name="Hyperlink" xfId="28305" builtinId="8" hidden="1"/>
    <cellStyle name="Hyperlink" xfId="28307" builtinId="8" hidden="1"/>
    <cellStyle name="Hyperlink" xfId="28309" builtinId="8" hidden="1"/>
    <cellStyle name="Hyperlink" xfId="26346" builtinId="8" hidden="1"/>
    <cellStyle name="Hyperlink" xfId="26435" builtinId="8" hidden="1"/>
    <cellStyle name="Hyperlink" xfId="27650" builtinId="8" hidden="1"/>
    <cellStyle name="Hyperlink" xfId="26975" builtinId="8" hidden="1"/>
    <cellStyle name="Hyperlink" xfId="26464" builtinId="8" hidden="1"/>
    <cellStyle name="Hyperlink" xfId="26375" builtinId="8" hidden="1"/>
    <cellStyle name="Hyperlink" xfId="27313" builtinId="8" hidden="1"/>
    <cellStyle name="Hyperlink" xfId="26466" builtinId="8" hidden="1"/>
    <cellStyle name="Hyperlink" xfId="28311" builtinId="8" hidden="1"/>
    <cellStyle name="Hyperlink" xfId="28313" builtinId="8" hidden="1"/>
    <cellStyle name="Hyperlink" xfId="28315" builtinId="8" hidden="1"/>
    <cellStyle name="Hyperlink" xfId="28317" builtinId="8" hidden="1"/>
    <cellStyle name="Hyperlink" xfId="28319" builtinId="8" hidden="1"/>
    <cellStyle name="Hyperlink" xfId="28321" builtinId="8" hidden="1"/>
    <cellStyle name="Hyperlink" xfId="28371" builtinId="8" hidden="1"/>
    <cellStyle name="Hyperlink" xfId="28373" builtinId="8" hidden="1"/>
    <cellStyle name="Hyperlink" xfId="28375" builtinId="8" hidden="1"/>
    <cellStyle name="Hyperlink" xfId="28377" builtinId="8" hidden="1"/>
    <cellStyle name="Hyperlink" xfId="28367" builtinId="8" hidden="1"/>
    <cellStyle name="Hyperlink" xfId="28357" builtinId="8" hidden="1"/>
    <cellStyle name="Hyperlink" xfId="28379" builtinId="8" hidden="1"/>
    <cellStyle name="Hyperlink" xfId="28381" builtinId="8" hidden="1"/>
    <cellStyle name="Hyperlink" xfId="28383" builtinId="8" hidden="1"/>
    <cellStyle name="Hyperlink" xfId="28385" builtinId="8" hidden="1"/>
    <cellStyle name="Hyperlink" xfId="28351" builtinId="8" hidden="1"/>
    <cellStyle name="Hyperlink" xfId="28337" builtinId="8" hidden="1"/>
    <cellStyle name="Hyperlink" xfId="28387" builtinId="8" hidden="1"/>
    <cellStyle name="Hyperlink" xfId="28389" builtinId="8" hidden="1"/>
    <cellStyle name="Hyperlink" xfId="28391" builtinId="8" hidden="1"/>
    <cellStyle name="Hyperlink" xfId="28393" builtinId="8" hidden="1"/>
    <cellStyle name="Hyperlink" xfId="28356" builtinId="8" hidden="1"/>
    <cellStyle name="Hyperlink" xfId="28325" builtinId="8" hidden="1"/>
    <cellStyle name="Hyperlink" xfId="28395" builtinId="8" hidden="1"/>
    <cellStyle name="Hyperlink" xfId="28397" builtinId="8" hidden="1"/>
    <cellStyle name="Hyperlink" xfId="28399" builtinId="8" hidden="1"/>
    <cellStyle name="Hyperlink" xfId="28401" builtinId="8" hidden="1"/>
    <cellStyle name="Hyperlink" xfId="28326" builtinId="8" hidden="1"/>
    <cellStyle name="Hyperlink" xfId="28359" builtinId="8" hidden="1"/>
    <cellStyle name="Hyperlink" xfId="28403" builtinId="8" hidden="1"/>
    <cellStyle name="Hyperlink" xfId="28405" builtinId="8" hidden="1"/>
    <cellStyle name="Hyperlink" xfId="28407" builtinId="8" hidden="1"/>
    <cellStyle name="Hyperlink" xfId="28409" builtinId="8" hidden="1"/>
    <cellStyle name="Hyperlink" xfId="28328" builtinId="8" hidden="1"/>
    <cellStyle name="Hyperlink" xfId="28369" builtinId="8" hidden="1"/>
    <cellStyle name="Hyperlink" xfId="28411" builtinId="8" hidden="1"/>
    <cellStyle name="Hyperlink" xfId="28413" builtinId="8" hidden="1"/>
    <cellStyle name="Hyperlink" xfId="28415" builtinId="8" hidden="1"/>
    <cellStyle name="Hyperlink" xfId="28417" builtinId="8" hidden="1"/>
    <cellStyle name="Hyperlink" xfId="28349" builtinId="8" hidden="1"/>
    <cellStyle name="Hyperlink" xfId="28352" builtinId="8" hidden="1"/>
    <cellStyle name="Hyperlink" xfId="28419" builtinId="8" hidden="1"/>
    <cellStyle name="Hyperlink" xfId="28421" builtinId="8" hidden="1"/>
    <cellStyle name="Hyperlink" xfId="28423" builtinId="8" hidden="1"/>
    <cellStyle name="Hyperlink" xfId="28425" builtinId="8" hidden="1"/>
    <cellStyle name="Hyperlink" xfId="28353" builtinId="8" hidden="1"/>
    <cellStyle name="Hyperlink" xfId="28350" builtinId="8" hidden="1"/>
    <cellStyle name="Hyperlink" xfId="28427" builtinId="8" hidden="1"/>
    <cellStyle name="Hyperlink" xfId="28429" builtinId="8" hidden="1"/>
    <cellStyle name="Hyperlink" xfId="28431" builtinId="8" hidden="1"/>
    <cellStyle name="Hyperlink" xfId="28433" builtinId="8" hidden="1"/>
    <cellStyle name="Hyperlink" xfId="28368" builtinId="8" hidden="1"/>
    <cellStyle name="Hyperlink" xfId="28345" builtinId="8" hidden="1"/>
    <cellStyle name="Hyperlink" xfId="28435" builtinId="8" hidden="1"/>
    <cellStyle name="Hyperlink" xfId="28437" builtinId="8" hidden="1"/>
    <cellStyle name="Hyperlink" xfId="28439" builtinId="8" hidden="1"/>
    <cellStyle name="Hyperlink" xfId="28441" builtinId="8" hidden="1"/>
    <cellStyle name="Hyperlink" xfId="28323" builtinId="8" hidden="1"/>
    <cellStyle name="Hyperlink" xfId="28324" builtinId="8" hidden="1"/>
    <cellStyle name="Hyperlink" xfId="28443" builtinId="8" hidden="1"/>
    <cellStyle name="Hyperlink" xfId="28445" builtinId="8" hidden="1"/>
    <cellStyle name="Hyperlink" xfId="28447" builtinId="8" hidden="1"/>
    <cellStyle name="Hyperlink" xfId="28449" builtinId="8" hidden="1"/>
    <cellStyle name="Hyperlink" xfId="28329" builtinId="8" hidden="1"/>
    <cellStyle name="Hyperlink" xfId="28365" builtinId="8" hidden="1"/>
    <cellStyle name="Hyperlink" xfId="28451" builtinId="8" hidden="1"/>
    <cellStyle name="Hyperlink" xfId="28453" builtinId="8" hidden="1"/>
    <cellStyle name="Hyperlink" xfId="28455" builtinId="8" hidden="1"/>
    <cellStyle name="Hyperlink" xfId="28457" builtinId="8" hidden="1"/>
    <cellStyle name="Hyperlink" xfId="28334" builtinId="8" hidden="1"/>
    <cellStyle name="Hyperlink" xfId="28354" builtinId="8" hidden="1"/>
    <cellStyle name="Hyperlink" xfId="28459" builtinId="8" hidden="1"/>
    <cellStyle name="Hyperlink" xfId="28461" builtinId="8" hidden="1"/>
    <cellStyle name="Hyperlink" xfId="28463" builtinId="8" hidden="1"/>
    <cellStyle name="Hyperlink" xfId="28465" builtinId="8" hidden="1"/>
    <cellStyle name="Hyperlink" xfId="28341" builtinId="8" hidden="1"/>
    <cellStyle name="Hyperlink" xfId="28339" builtinId="8" hidden="1"/>
    <cellStyle name="Hyperlink" xfId="28467" builtinId="8" hidden="1"/>
    <cellStyle name="Hyperlink" xfId="28469" builtinId="8" hidden="1"/>
    <cellStyle name="Hyperlink" xfId="28471" builtinId="8" hidden="1"/>
    <cellStyle name="Hyperlink" xfId="28473" builtinId="8" hidden="1"/>
    <cellStyle name="Hyperlink" xfId="19040" builtinId="8" hidden="1"/>
    <cellStyle name="Hyperlink" xfId="19014" builtinId="8" hidden="1"/>
    <cellStyle name="Hyperlink" xfId="19025" builtinId="8" hidden="1"/>
    <cellStyle name="Hyperlink" xfId="19145" builtinId="8" hidden="1"/>
    <cellStyle name="Hyperlink" xfId="19035" builtinId="8" hidden="1"/>
    <cellStyle name="Hyperlink" xfId="19091" builtinId="8" hidden="1"/>
    <cellStyle name="Hyperlink" xfId="19080" builtinId="8" hidden="1"/>
    <cellStyle name="Hyperlink" xfId="19047" builtinId="8" hidden="1"/>
    <cellStyle name="Hyperlink" xfId="19018" builtinId="8" hidden="1"/>
    <cellStyle name="Hyperlink" xfId="19110" builtinId="8" hidden="1"/>
    <cellStyle name="Hyperlink" xfId="19030" builtinId="8" hidden="1"/>
    <cellStyle name="Hyperlink" xfId="19115" builtinId="8" hidden="1"/>
    <cellStyle name="Hyperlink" xfId="19042" builtinId="8" hidden="1"/>
    <cellStyle name="Hyperlink" xfId="23821" builtinId="8" hidden="1"/>
    <cellStyle name="Hyperlink" xfId="28476" builtinId="8" hidden="1"/>
    <cellStyle name="Hyperlink" xfId="28478" builtinId="8" hidden="1"/>
    <cellStyle name="Hyperlink" xfId="28480" builtinId="8" hidden="1"/>
    <cellStyle name="Hyperlink" xfId="28482" builtinId="8" hidden="1"/>
    <cellStyle name="Hyperlink" xfId="28484" builtinId="8" hidden="1"/>
    <cellStyle name="Hyperlink" xfId="28486" builtinId="8" hidden="1"/>
    <cellStyle name="Hyperlink" xfId="28536" builtinId="8" hidden="1"/>
    <cellStyle name="Hyperlink" xfId="28538" builtinId="8" hidden="1"/>
    <cellStyle name="Hyperlink" xfId="28540" builtinId="8" hidden="1"/>
    <cellStyle name="Hyperlink" xfId="28542" builtinId="8" hidden="1"/>
    <cellStyle name="Hyperlink" xfId="28532" builtinId="8" hidden="1"/>
    <cellStyle name="Hyperlink" xfId="28522" builtinId="8" hidden="1"/>
    <cellStyle name="Hyperlink" xfId="28544" builtinId="8" hidden="1"/>
    <cellStyle name="Hyperlink" xfId="28546" builtinId="8" hidden="1"/>
    <cellStyle name="Hyperlink" xfId="28548" builtinId="8" hidden="1"/>
    <cellStyle name="Hyperlink" xfId="28550" builtinId="8" hidden="1"/>
    <cellStyle name="Hyperlink" xfId="28516" builtinId="8" hidden="1"/>
    <cellStyle name="Hyperlink" xfId="28502" builtinId="8" hidden="1"/>
    <cellStyle name="Hyperlink" xfId="28552" builtinId="8" hidden="1"/>
    <cellStyle name="Hyperlink" xfId="28554" builtinId="8" hidden="1"/>
    <cellStyle name="Hyperlink" xfId="28556" builtinId="8" hidden="1"/>
    <cellStyle name="Hyperlink" xfId="28558" builtinId="8" hidden="1"/>
    <cellStyle name="Hyperlink" xfId="28521" builtinId="8" hidden="1"/>
    <cellStyle name="Hyperlink" xfId="28490" builtinId="8" hidden="1"/>
    <cellStyle name="Hyperlink" xfId="28560" builtinId="8" hidden="1"/>
    <cellStyle name="Hyperlink" xfId="28562" builtinId="8" hidden="1"/>
    <cellStyle name="Hyperlink" xfId="28564" builtinId="8" hidden="1"/>
    <cellStyle name="Hyperlink" xfId="28566" builtinId="8" hidden="1"/>
    <cellStyle name="Hyperlink" xfId="28491" builtinId="8" hidden="1"/>
    <cellStyle name="Hyperlink" xfId="28524" builtinId="8" hidden="1"/>
    <cellStyle name="Hyperlink" xfId="28568" builtinId="8" hidden="1"/>
    <cellStyle name="Hyperlink" xfId="28570" builtinId="8" hidden="1"/>
    <cellStyle name="Hyperlink" xfId="28572" builtinId="8" hidden="1"/>
    <cellStyle name="Hyperlink" xfId="28574" builtinId="8" hidden="1"/>
    <cellStyle name="Hyperlink" xfId="28493" builtinId="8" hidden="1"/>
    <cellStyle name="Hyperlink" xfId="28534" builtinId="8" hidden="1"/>
    <cellStyle name="Hyperlink" xfId="28576" builtinId="8" hidden="1"/>
    <cellStyle name="Hyperlink" xfId="28578" builtinId="8" hidden="1"/>
    <cellStyle name="Hyperlink" xfId="28580" builtinId="8" hidden="1"/>
    <cellStyle name="Hyperlink" xfId="28582" builtinId="8" hidden="1"/>
    <cellStyle name="Hyperlink" xfId="28514" builtinId="8" hidden="1"/>
    <cellStyle name="Hyperlink" xfId="28517" builtinId="8" hidden="1"/>
    <cellStyle name="Hyperlink" xfId="28584" builtinId="8" hidden="1"/>
    <cellStyle name="Hyperlink" xfId="28586" builtinId="8" hidden="1"/>
    <cellStyle name="Hyperlink" xfId="28588" builtinId="8" hidden="1"/>
    <cellStyle name="Hyperlink" xfId="28590" builtinId="8" hidden="1"/>
    <cellStyle name="Hyperlink" xfId="28518" builtinId="8" hidden="1"/>
    <cellStyle name="Hyperlink" xfId="28515" builtinId="8" hidden="1"/>
    <cellStyle name="Hyperlink" xfId="28592" builtinId="8" hidden="1"/>
    <cellStyle name="Hyperlink" xfId="28594" builtinId="8" hidden="1"/>
    <cellStyle name="Hyperlink" xfId="28596" builtinId="8" hidden="1"/>
    <cellStyle name="Hyperlink" xfId="28598" builtinId="8" hidden="1"/>
    <cellStyle name="Hyperlink" xfId="28533" builtinId="8" hidden="1"/>
    <cellStyle name="Hyperlink" xfId="28510" builtinId="8" hidden="1"/>
    <cellStyle name="Hyperlink" xfId="28600" builtinId="8" hidden="1"/>
    <cellStyle name="Hyperlink" xfId="28602" builtinId="8" hidden="1"/>
    <cellStyle name="Hyperlink" xfId="28604" builtinId="8" hidden="1"/>
    <cellStyle name="Hyperlink" xfId="28606" builtinId="8" hidden="1"/>
    <cellStyle name="Hyperlink" xfId="28488" builtinId="8" hidden="1"/>
    <cellStyle name="Hyperlink" xfId="28489" builtinId="8" hidden="1"/>
    <cellStyle name="Hyperlink" xfId="28608" builtinId="8" hidden="1"/>
    <cellStyle name="Hyperlink" xfId="28610" builtinId="8" hidden="1"/>
    <cellStyle name="Hyperlink" xfId="28612" builtinId="8" hidden="1"/>
    <cellStyle name="Hyperlink" xfId="28614" builtinId="8" hidden="1"/>
    <cellStyle name="Hyperlink" xfId="28494" builtinId="8" hidden="1"/>
    <cellStyle name="Hyperlink" xfId="28530" builtinId="8" hidden="1"/>
    <cellStyle name="Hyperlink" xfId="28616" builtinId="8" hidden="1"/>
    <cellStyle name="Hyperlink" xfId="28618" builtinId="8" hidden="1"/>
    <cellStyle name="Hyperlink" xfId="28620" builtinId="8" hidden="1"/>
    <cellStyle name="Hyperlink" xfId="28622" builtinId="8" hidden="1"/>
    <cellStyle name="Hyperlink" xfId="28499" builtinId="8" hidden="1"/>
    <cellStyle name="Hyperlink" xfId="28519" builtinId="8" hidden="1"/>
    <cellStyle name="Hyperlink" xfId="28624" builtinId="8" hidden="1"/>
    <cellStyle name="Hyperlink" xfId="28626" builtinId="8" hidden="1"/>
    <cellStyle name="Hyperlink" xfId="28628" builtinId="8" hidden="1"/>
    <cellStyle name="Hyperlink" xfId="28630" builtinId="8" hidden="1"/>
    <cellStyle name="Hyperlink" xfId="28506" builtinId="8" hidden="1"/>
    <cellStyle name="Hyperlink" xfId="28504" builtinId="8" hidden="1"/>
    <cellStyle name="Hyperlink" xfId="28632" builtinId="8" hidden="1"/>
    <cellStyle name="Hyperlink" xfId="28634" builtinId="8" hidden="1"/>
    <cellStyle name="Hyperlink" xfId="28636" builtinId="8" hidden="1"/>
    <cellStyle name="Hyperlink" xfId="28638" builtinId="8" hidden="1"/>
    <cellStyle name="Hyperlink" xfId="28640" builtinId="8" hidden="1"/>
    <cellStyle name="Hyperlink" xfId="28642" builtinId="8" hidden="1"/>
    <cellStyle name="Hyperlink" xfId="28708" builtinId="8" hidden="1"/>
    <cellStyle name="Hyperlink" xfId="28710" builtinId="8" hidden="1"/>
    <cellStyle name="Hyperlink" xfId="28712" builtinId="8" hidden="1"/>
    <cellStyle name="Hyperlink" xfId="28714" builtinId="8" hidden="1"/>
    <cellStyle name="Hyperlink" xfId="28717" builtinId="8" hidden="1"/>
    <cellStyle name="Hyperlink" xfId="28719" builtinId="8" hidden="1"/>
    <cellStyle name="Hyperlink" xfId="28793" builtinId="8" hidden="1"/>
    <cellStyle name="Hyperlink" xfId="28795" builtinId="8" hidden="1"/>
    <cellStyle name="Hyperlink" xfId="28797" builtinId="8" hidden="1"/>
    <cellStyle name="Hyperlink" xfId="28799" builtinId="8" hidden="1"/>
    <cellStyle name="Hyperlink" xfId="28801" builtinId="8" hidden="1"/>
    <cellStyle name="Hyperlink" xfId="28803" builtinId="8" hidden="1"/>
    <cellStyle name="Hyperlink" xfId="28853" builtinId="8" hidden="1"/>
    <cellStyle name="Hyperlink" xfId="28855" builtinId="8" hidden="1"/>
    <cellStyle name="Hyperlink" xfId="28857" builtinId="8" hidden="1"/>
    <cellStyle name="Hyperlink" xfId="28859" builtinId="8" hidden="1"/>
    <cellStyle name="Hyperlink" xfId="28849" builtinId="8" hidden="1"/>
    <cellStyle name="Hyperlink" xfId="28839" builtinId="8" hidden="1"/>
    <cellStyle name="Hyperlink" xfId="28861" builtinId="8" hidden="1"/>
    <cellStyle name="Hyperlink" xfId="28863" builtinId="8" hidden="1"/>
    <cellStyle name="Hyperlink" xfId="28865" builtinId="8" hidden="1"/>
    <cellStyle name="Hyperlink" xfId="28867" builtinId="8" hidden="1"/>
    <cellStyle name="Hyperlink" xfId="28833" builtinId="8" hidden="1"/>
    <cellStyle name="Hyperlink" xfId="28819" builtinId="8" hidden="1"/>
    <cellStyle name="Hyperlink" xfId="28869" builtinId="8" hidden="1"/>
    <cellStyle name="Hyperlink" xfId="28871" builtinId="8" hidden="1"/>
    <cellStyle name="Hyperlink" xfId="28873" builtinId="8" hidden="1"/>
    <cellStyle name="Hyperlink" xfId="28875" builtinId="8" hidden="1"/>
    <cellStyle name="Hyperlink" xfId="28838" builtinId="8" hidden="1"/>
    <cellStyle name="Hyperlink" xfId="28807" builtinId="8" hidden="1"/>
    <cellStyle name="Hyperlink" xfId="28877" builtinId="8" hidden="1"/>
    <cellStyle name="Hyperlink" xfId="28879" builtinId="8" hidden="1"/>
    <cellStyle name="Hyperlink" xfId="28881" builtinId="8" hidden="1"/>
    <cellStyle name="Hyperlink" xfId="28883" builtinId="8" hidden="1"/>
    <cellStyle name="Hyperlink" xfId="28808" builtinId="8" hidden="1"/>
    <cellStyle name="Hyperlink" xfId="28841" builtinId="8" hidden="1"/>
    <cellStyle name="Hyperlink" xfId="28885" builtinId="8" hidden="1"/>
    <cellStyle name="Hyperlink" xfId="28887" builtinId="8" hidden="1"/>
    <cellStyle name="Hyperlink" xfId="28889" builtinId="8" hidden="1"/>
    <cellStyle name="Hyperlink" xfId="28891" builtinId="8" hidden="1"/>
    <cellStyle name="Hyperlink" xfId="28810" builtinId="8" hidden="1"/>
    <cellStyle name="Hyperlink" xfId="28851" builtinId="8" hidden="1"/>
    <cellStyle name="Hyperlink" xfId="28893" builtinId="8" hidden="1"/>
    <cellStyle name="Hyperlink" xfId="28895" builtinId="8" hidden="1"/>
    <cellStyle name="Hyperlink" xfId="28897" builtinId="8" hidden="1"/>
    <cellStyle name="Hyperlink" xfId="28899" builtinId="8" hidden="1"/>
    <cellStyle name="Hyperlink" xfId="28831" builtinId="8" hidden="1"/>
    <cellStyle name="Hyperlink" xfId="28834" builtinId="8" hidden="1"/>
    <cellStyle name="Hyperlink" xfId="28901" builtinId="8" hidden="1"/>
    <cellStyle name="Hyperlink" xfId="28903" builtinId="8" hidden="1"/>
    <cellStyle name="Hyperlink" xfId="28905" builtinId="8" hidden="1"/>
    <cellStyle name="Hyperlink" xfId="28907" builtinId="8" hidden="1"/>
    <cellStyle name="Hyperlink" xfId="28835" builtinId="8" hidden="1"/>
    <cellStyle name="Hyperlink" xfId="28832" builtinId="8" hidden="1"/>
    <cellStyle name="Hyperlink" xfId="28909" builtinId="8" hidden="1"/>
    <cellStyle name="Hyperlink" xfId="28911" builtinId="8" hidden="1"/>
    <cellStyle name="Hyperlink" xfId="28913" builtinId="8" hidden="1"/>
    <cellStyle name="Hyperlink" xfId="28915" builtinId="8" hidden="1"/>
    <cellStyle name="Hyperlink" xfId="28850" builtinId="8" hidden="1"/>
    <cellStyle name="Hyperlink" xfId="28827" builtinId="8" hidden="1"/>
    <cellStyle name="Hyperlink" xfId="28917" builtinId="8" hidden="1"/>
    <cellStyle name="Hyperlink" xfId="28919" builtinId="8" hidden="1"/>
    <cellStyle name="Hyperlink" xfId="28921" builtinId="8" hidden="1"/>
    <cellStyle name="Hyperlink" xfId="28923" builtinId="8" hidden="1"/>
    <cellStyle name="Hyperlink" xfId="28805" builtinId="8" hidden="1"/>
    <cellStyle name="Hyperlink" xfId="28806" builtinId="8" hidden="1"/>
    <cellStyle name="Hyperlink" xfId="28925" builtinId="8" hidden="1"/>
    <cellStyle name="Hyperlink" xfId="28927" builtinId="8" hidden="1"/>
    <cellStyle name="Hyperlink" xfId="28929" builtinId="8" hidden="1"/>
    <cellStyle name="Hyperlink" xfId="28931" builtinId="8" hidden="1"/>
    <cellStyle name="Hyperlink" xfId="28811" builtinId="8" hidden="1"/>
    <cellStyle name="Hyperlink" xfId="28847" builtinId="8" hidden="1"/>
    <cellStyle name="Hyperlink" xfId="28933" builtinId="8" hidden="1"/>
    <cellStyle name="Hyperlink" xfId="28935" builtinId="8" hidden="1"/>
    <cellStyle name="Hyperlink" xfId="28937" builtinId="8" hidden="1"/>
    <cellStyle name="Hyperlink" xfId="28939" builtinId="8" hidden="1"/>
    <cellStyle name="Hyperlink" xfId="28816" builtinId="8" hidden="1"/>
    <cellStyle name="Hyperlink" xfId="28836" builtinId="8" hidden="1"/>
    <cellStyle name="Hyperlink" xfId="28941" builtinId="8" hidden="1"/>
    <cellStyle name="Hyperlink" xfId="28943" builtinId="8" hidden="1"/>
    <cellStyle name="Hyperlink" xfId="28945" builtinId="8" hidden="1"/>
    <cellStyle name="Hyperlink" xfId="28947" builtinId="8" hidden="1"/>
    <cellStyle name="Hyperlink" xfId="28823" builtinId="8" hidden="1"/>
    <cellStyle name="Hyperlink" xfId="28821" builtinId="8" hidden="1"/>
    <cellStyle name="Hyperlink" xfId="28949" builtinId="8" hidden="1"/>
    <cellStyle name="Hyperlink" xfId="28951" builtinId="8" hidden="1"/>
    <cellStyle name="Hyperlink" xfId="28953" builtinId="8" hidden="1"/>
    <cellStyle name="Hyperlink" xfId="28955" builtinId="8" hidden="1"/>
    <cellStyle name="Hyperlink" xfId="28654" builtinId="8" hidden="1"/>
    <cellStyle name="Hyperlink" xfId="28766" builtinId="8" hidden="1"/>
    <cellStyle name="Hyperlink" xfId="28658" builtinId="8" hidden="1"/>
    <cellStyle name="Hyperlink" xfId="28769" builtinId="8" hidden="1"/>
    <cellStyle name="Hyperlink" xfId="28752" builtinId="8" hidden="1"/>
    <cellStyle name="Hyperlink" xfId="28704" builtinId="8" hidden="1"/>
    <cellStyle name="Hyperlink" xfId="28645" builtinId="8" hidden="1"/>
    <cellStyle name="Hyperlink" xfId="28757" builtinId="8" hidden="1"/>
    <cellStyle name="Hyperlink" xfId="28960" builtinId="8" hidden="1"/>
    <cellStyle name="Hyperlink" xfId="28962" builtinId="8" hidden="1"/>
    <cellStyle name="Hyperlink" xfId="28964" builtinId="8" hidden="1"/>
    <cellStyle name="Hyperlink" xfId="28966" builtinId="8" hidden="1"/>
    <cellStyle name="Hyperlink" xfId="28969" builtinId="8" hidden="1"/>
    <cellStyle name="Hyperlink" xfId="28971" builtinId="8" hidden="1"/>
    <cellStyle name="Hyperlink" xfId="29021" builtinId="8" hidden="1"/>
    <cellStyle name="Hyperlink" xfId="29023" builtinId="8" hidden="1"/>
    <cellStyle name="Hyperlink" xfId="29025" builtinId="8" hidden="1"/>
    <cellStyle name="Hyperlink" xfId="29027" builtinId="8" hidden="1"/>
    <cellStyle name="Hyperlink" xfId="29017" builtinId="8" hidden="1"/>
    <cellStyle name="Hyperlink" xfId="29007" builtinId="8" hidden="1"/>
    <cellStyle name="Hyperlink" xfId="29029" builtinId="8" hidden="1"/>
    <cellStyle name="Hyperlink" xfId="29031" builtinId="8" hidden="1"/>
    <cellStyle name="Hyperlink" xfId="29033" builtinId="8" hidden="1"/>
    <cellStyle name="Hyperlink" xfId="29035" builtinId="8" hidden="1"/>
    <cellStyle name="Hyperlink" xfId="29001" builtinId="8" hidden="1"/>
    <cellStyle name="Hyperlink" xfId="28987" builtinId="8" hidden="1"/>
    <cellStyle name="Hyperlink" xfId="29037" builtinId="8" hidden="1"/>
    <cellStyle name="Hyperlink" xfId="29039" builtinId="8" hidden="1"/>
    <cellStyle name="Hyperlink" xfId="29041" builtinId="8" hidden="1"/>
    <cellStyle name="Hyperlink" xfId="29043" builtinId="8" hidden="1"/>
    <cellStyle name="Hyperlink" xfId="29006" builtinId="8" hidden="1"/>
    <cellStyle name="Hyperlink" xfId="28975" builtinId="8" hidden="1"/>
    <cellStyle name="Hyperlink" xfId="29045" builtinId="8" hidden="1"/>
    <cellStyle name="Hyperlink" xfId="29047" builtinId="8" hidden="1"/>
    <cellStyle name="Hyperlink" xfId="29049" builtinId="8" hidden="1"/>
    <cellStyle name="Hyperlink" xfId="29051" builtinId="8" hidden="1"/>
    <cellStyle name="Hyperlink" xfId="28976" builtinId="8" hidden="1"/>
    <cellStyle name="Hyperlink" xfId="29009" builtinId="8" hidden="1"/>
    <cellStyle name="Hyperlink" xfId="29053" builtinId="8" hidden="1"/>
    <cellStyle name="Hyperlink" xfId="29055" builtinId="8" hidden="1"/>
    <cellStyle name="Hyperlink" xfId="29057" builtinId="8" hidden="1"/>
    <cellStyle name="Hyperlink" xfId="29059" builtinId="8" hidden="1"/>
    <cellStyle name="Hyperlink" xfId="28978" builtinId="8" hidden="1"/>
    <cellStyle name="Hyperlink" xfId="29019" builtinId="8" hidden="1"/>
    <cellStyle name="Hyperlink" xfId="29061" builtinId="8" hidden="1"/>
    <cellStyle name="Hyperlink" xfId="29063" builtinId="8" hidden="1"/>
    <cellStyle name="Hyperlink" xfId="29065" builtinId="8" hidden="1"/>
    <cellStyle name="Hyperlink" xfId="29067" builtinId="8" hidden="1"/>
    <cellStyle name="Hyperlink" xfId="28999" builtinId="8" hidden="1"/>
    <cellStyle name="Hyperlink" xfId="29002" builtinId="8" hidden="1"/>
    <cellStyle name="Hyperlink" xfId="29069" builtinId="8" hidden="1"/>
    <cellStyle name="Hyperlink" xfId="29071" builtinId="8" hidden="1"/>
    <cellStyle name="Hyperlink" xfId="29073" builtinId="8" hidden="1"/>
    <cellStyle name="Hyperlink" xfId="29075" builtinId="8" hidden="1"/>
    <cellStyle name="Hyperlink" xfId="29003" builtinId="8" hidden="1"/>
    <cellStyle name="Hyperlink" xfId="29000" builtinId="8" hidden="1"/>
    <cellStyle name="Hyperlink" xfId="29077" builtinId="8" hidden="1"/>
    <cellStyle name="Hyperlink" xfId="29079" builtinId="8" hidden="1"/>
    <cellStyle name="Hyperlink" xfId="29081" builtinId="8" hidden="1"/>
    <cellStyle name="Hyperlink" xfId="29083" builtinId="8" hidden="1"/>
    <cellStyle name="Hyperlink" xfId="29018" builtinId="8" hidden="1"/>
    <cellStyle name="Hyperlink" xfId="28995" builtinId="8" hidden="1"/>
    <cellStyle name="Hyperlink" xfId="29085" builtinId="8" hidden="1"/>
    <cellStyle name="Hyperlink" xfId="29087" builtinId="8" hidden="1"/>
    <cellStyle name="Hyperlink" xfId="29089" builtinId="8" hidden="1"/>
    <cellStyle name="Hyperlink" xfId="29091" builtinId="8" hidden="1"/>
    <cellStyle name="Hyperlink" xfId="28973" builtinId="8" hidden="1"/>
    <cellStyle name="Hyperlink" xfId="28974" builtinId="8" hidden="1"/>
    <cellStyle name="Hyperlink" xfId="29093" builtinId="8" hidden="1"/>
    <cellStyle name="Hyperlink" xfId="29095" builtinId="8" hidden="1"/>
    <cellStyle name="Hyperlink" xfId="29097" builtinId="8" hidden="1"/>
    <cellStyle name="Hyperlink" xfId="29099" builtinId="8" hidden="1"/>
    <cellStyle name="Hyperlink" xfId="28979" builtinId="8" hidden="1"/>
    <cellStyle name="Hyperlink" xfId="29015" builtinId="8" hidden="1"/>
    <cellStyle name="Hyperlink" xfId="29101" builtinId="8" hidden="1"/>
    <cellStyle name="Hyperlink" xfId="29103" builtinId="8" hidden="1"/>
    <cellStyle name="Hyperlink" xfId="29105" builtinId="8" hidden="1"/>
    <cellStyle name="Hyperlink" xfId="29107" builtinId="8" hidden="1"/>
    <cellStyle name="Hyperlink" xfId="28984" builtinId="8" hidden="1"/>
    <cellStyle name="Hyperlink" xfId="29004" builtinId="8" hidden="1"/>
    <cellStyle name="Hyperlink" xfId="29109" builtinId="8" hidden="1"/>
    <cellStyle name="Hyperlink" xfId="29111" builtinId="8" hidden="1"/>
    <cellStyle name="Hyperlink" xfId="29113" builtinId="8" hidden="1"/>
    <cellStyle name="Hyperlink" xfId="29115" builtinId="8" hidden="1"/>
    <cellStyle name="Hyperlink" xfId="28991" builtinId="8" hidden="1"/>
    <cellStyle name="Hyperlink" xfId="28989" builtinId="8" hidden="1"/>
    <cellStyle name="Hyperlink" xfId="29117" builtinId="8" hidden="1"/>
    <cellStyle name="Hyperlink" xfId="29119" builtinId="8" hidden="1"/>
    <cellStyle name="Hyperlink" xfId="29121" builtinId="8" hidden="1"/>
    <cellStyle name="Hyperlink" xfId="29123" builtinId="8" hidden="1"/>
    <cellStyle name="Hyperlink" xfId="28700" builtinId="8" hidden="1"/>
    <cellStyle name="Hyperlink" xfId="28701" builtinId="8" hidden="1"/>
    <cellStyle name="Hyperlink" xfId="28675" builtinId="8" hidden="1"/>
    <cellStyle name="Hyperlink" xfId="28676" builtinId="8" hidden="1"/>
    <cellStyle name="Hyperlink" xfId="28691" builtinId="8" hidden="1"/>
    <cellStyle name="Hyperlink" xfId="28689" builtinId="8" hidden="1"/>
    <cellStyle name="Hyperlink" xfId="28682" builtinId="8" hidden="1"/>
    <cellStyle name="Hyperlink" xfId="28683" builtinId="8" hidden="1"/>
    <cellStyle name="Hyperlink" xfId="29134" builtinId="8" hidden="1"/>
    <cellStyle name="Hyperlink" xfId="29136" builtinId="8" hidden="1"/>
    <cellStyle name="Hyperlink" xfId="29138" builtinId="8" hidden="1"/>
    <cellStyle name="Hyperlink" xfId="29140" builtinId="8" hidden="1"/>
    <cellStyle name="Hyperlink" xfId="29142" builtinId="8" hidden="1"/>
    <cellStyle name="Hyperlink" xfId="29144" builtinId="8" hidden="1"/>
    <cellStyle name="Hyperlink" xfId="29194" builtinId="8" hidden="1"/>
    <cellStyle name="Hyperlink" xfId="29196" builtinId="8" hidden="1"/>
    <cellStyle name="Hyperlink" xfId="29198" builtinId="8" hidden="1"/>
    <cellStyle name="Hyperlink" xfId="29200" builtinId="8" hidden="1"/>
    <cellStyle name="Hyperlink" xfId="29190" builtinId="8" hidden="1"/>
    <cellStyle name="Hyperlink" xfId="29180" builtinId="8" hidden="1"/>
    <cellStyle name="Hyperlink" xfId="29202" builtinId="8" hidden="1"/>
    <cellStyle name="Hyperlink" xfId="29204" builtinId="8" hidden="1"/>
    <cellStyle name="Hyperlink" xfId="29206" builtinId="8" hidden="1"/>
    <cellStyle name="Hyperlink" xfId="29208" builtinId="8" hidden="1"/>
    <cellStyle name="Hyperlink" xfId="29174" builtinId="8" hidden="1"/>
    <cellStyle name="Hyperlink" xfId="29160" builtinId="8" hidden="1"/>
    <cellStyle name="Hyperlink" xfId="29210" builtinId="8" hidden="1"/>
    <cellStyle name="Hyperlink" xfId="29212" builtinId="8" hidden="1"/>
    <cellStyle name="Hyperlink" xfId="29214" builtinId="8" hidden="1"/>
    <cellStyle name="Hyperlink" xfId="29216" builtinId="8" hidden="1"/>
    <cellStyle name="Hyperlink" xfId="29179" builtinId="8" hidden="1"/>
    <cellStyle name="Hyperlink" xfId="29148" builtinId="8" hidden="1"/>
    <cellStyle name="Hyperlink" xfId="29218" builtinId="8" hidden="1"/>
    <cellStyle name="Hyperlink" xfId="29220" builtinId="8" hidden="1"/>
    <cellStyle name="Hyperlink" xfId="29222" builtinId="8" hidden="1"/>
    <cellStyle name="Hyperlink" xfId="29224" builtinId="8" hidden="1"/>
    <cellStyle name="Hyperlink" xfId="29149" builtinId="8" hidden="1"/>
    <cellStyle name="Hyperlink" xfId="29182" builtinId="8" hidden="1"/>
    <cellStyle name="Hyperlink" xfId="29226" builtinId="8" hidden="1"/>
    <cellStyle name="Hyperlink" xfId="29228" builtinId="8" hidden="1"/>
    <cellStyle name="Hyperlink" xfId="29230" builtinId="8" hidden="1"/>
    <cellStyle name="Hyperlink" xfId="29232" builtinId="8" hidden="1"/>
    <cellStyle name="Hyperlink" xfId="29151" builtinId="8" hidden="1"/>
    <cellStyle name="Hyperlink" xfId="29192" builtinId="8" hidden="1"/>
    <cellStyle name="Hyperlink" xfId="29234" builtinId="8" hidden="1"/>
    <cellStyle name="Hyperlink" xfId="29236" builtinId="8" hidden="1"/>
    <cellStyle name="Hyperlink" xfId="29238" builtinId="8" hidden="1"/>
    <cellStyle name="Hyperlink" xfId="29240" builtinId="8" hidden="1"/>
    <cellStyle name="Hyperlink" xfId="29172" builtinId="8" hidden="1"/>
    <cellStyle name="Hyperlink" xfId="29175" builtinId="8" hidden="1"/>
    <cellStyle name="Hyperlink" xfId="29242" builtinId="8" hidden="1"/>
    <cellStyle name="Hyperlink" xfId="29244" builtinId="8" hidden="1"/>
    <cellStyle name="Hyperlink" xfId="29246" builtinId="8" hidden="1"/>
    <cellStyle name="Hyperlink" xfId="29248" builtinId="8" hidden="1"/>
    <cellStyle name="Hyperlink" xfId="29176" builtinId="8" hidden="1"/>
    <cellStyle name="Hyperlink" xfId="29173" builtinId="8" hidden="1"/>
    <cellStyle name="Hyperlink" xfId="29250" builtinId="8" hidden="1"/>
    <cellStyle name="Hyperlink" xfId="29252" builtinId="8" hidden="1"/>
    <cellStyle name="Hyperlink" xfId="29254" builtinId="8" hidden="1"/>
    <cellStyle name="Hyperlink" xfId="29256" builtinId="8" hidden="1"/>
    <cellStyle name="Hyperlink" xfId="29191" builtinId="8" hidden="1"/>
    <cellStyle name="Hyperlink" xfId="29168" builtinId="8" hidden="1"/>
    <cellStyle name="Hyperlink" xfId="29258" builtinId="8" hidden="1"/>
    <cellStyle name="Hyperlink" xfId="29260" builtinId="8" hidden="1"/>
    <cellStyle name="Hyperlink" xfId="29262" builtinId="8" hidden="1"/>
    <cellStyle name="Hyperlink" xfId="29264" builtinId="8" hidden="1"/>
    <cellStyle name="Hyperlink" xfId="29146" builtinId="8" hidden="1"/>
    <cellStyle name="Hyperlink" xfId="29147" builtinId="8" hidden="1"/>
    <cellStyle name="Hyperlink" xfId="29266" builtinId="8" hidden="1"/>
    <cellStyle name="Hyperlink" xfId="29268" builtinId="8" hidden="1"/>
    <cellStyle name="Hyperlink" xfId="29270" builtinId="8" hidden="1"/>
    <cellStyle name="Hyperlink" xfId="29272" builtinId="8" hidden="1"/>
    <cellStyle name="Hyperlink" xfId="29152" builtinId="8" hidden="1"/>
    <cellStyle name="Hyperlink" xfId="29188" builtinId="8" hidden="1"/>
    <cellStyle name="Hyperlink" xfId="29274" builtinId="8" hidden="1"/>
    <cellStyle name="Hyperlink" xfId="29276" builtinId="8" hidden="1"/>
    <cellStyle name="Hyperlink" xfId="29278" builtinId="8" hidden="1"/>
    <cellStyle name="Hyperlink" xfId="29280" builtinId="8" hidden="1"/>
    <cellStyle name="Hyperlink" xfId="29157" builtinId="8" hidden="1"/>
    <cellStyle name="Hyperlink" xfId="29177" builtinId="8" hidden="1"/>
    <cellStyle name="Hyperlink" xfId="29282" builtinId="8" hidden="1"/>
    <cellStyle name="Hyperlink" xfId="29284" builtinId="8" hidden="1"/>
    <cellStyle name="Hyperlink" xfId="29286" builtinId="8" hidden="1"/>
    <cellStyle name="Hyperlink" xfId="29288" builtinId="8" hidden="1"/>
    <cellStyle name="Hyperlink" xfId="29164" builtinId="8" hidden="1"/>
    <cellStyle name="Hyperlink" xfId="29162" builtinId="8" hidden="1"/>
    <cellStyle name="Hyperlink" xfId="29290" builtinId="8" hidden="1"/>
    <cellStyle name="Hyperlink" xfId="29292" builtinId="8" hidden="1"/>
    <cellStyle name="Hyperlink" xfId="29294" builtinId="8" hidden="1"/>
    <cellStyle name="Hyperlink" xfId="29296" builtinId="8" hidden="1"/>
    <cellStyle name="Hyperlink" xfId="28741" builtinId="8" hidden="1"/>
    <cellStyle name="Hyperlink" xfId="28684" builtinId="8" hidden="1"/>
    <cellStyle name="Hyperlink" xfId="28694" builtinId="8" hidden="1"/>
    <cellStyle name="Hyperlink" xfId="28661" builtinId="8" hidden="1"/>
    <cellStyle name="Hyperlink" xfId="28744" builtinId="8" hidden="1"/>
    <cellStyle name="Hyperlink" xfId="28776" builtinId="8" hidden="1"/>
    <cellStyle name="Hyperlink" xfId="28755" builtinId="8" hidden="1"/>
    <cellStyle name="Hyperlink" xfId="28705" builtinId="8" hidden="1"/>
    <cellStyle name="Hyperlink" xfId="29304" builtinId="8" hidden="1"/>
    <cellStyle name="Hyperlink" xfId="29306" builtinId="8" hidden="1"/>
    <cellStyle name="Hyperlink" xfId="29308" builtinId="8" hidden="1"/>
    <cellStyle name="Hyperlink" xfId="29310" builtinId="8" hidden="1"/>
    <cellStyle name="Hyperlink" xfId="29312" builtinId="8" hidden="1"/>
    <cellStyle name="Hyperlink" xfId="29314" builtinId="8" hidden="1"/>
    <cellStyle name="Hyperlink" xfId="29364" builtinId="8" hidden="1"/>
    <cellStyle name="Hyperlink" xfId="29366" builtinId="8" hidden="1"/>
    <cellStyle name="Hyperlink" xfId="29368" builtinId="8" hidden="1"/>
    <cellStyle name="Hyperlink" xfId="29370" builtinId="8" hidden="1"/>
    <cellStyle name="Hyperlink" xfId="29360" builtinId="8" hidden="1"/>
    <cellStyle name="Hyperlink" xfId="29350" builtinId="8" hidden="1"/>
    <cellStyle name="Hyperlink" xfId="29372" builtinId="8" hidden="1"/>
    <cellStyle name="Hyperlink" xfId="29374" builtinId="8" hidden="1"/>
    <cellStyle name="Hyperlink" xfId="29376" builtinId="8" hidden="1"/>
    <cellStyle name="Hyperlink" xfId="29378" builtinId="8" hidden="1"/>
    <cellStyle name="Hyperlink" xfId="29344" builtinId="8" hidden="1"/>
    <cellStyle name="Hyperlink" xfId="29330" builtinId="8" hidden="1"/>
    <cellStyle name="Hyperlink" xfId="29380" builtinId="8" hidden="1"/>
    <cellStyle name="Hyperlink" xfId="29382" builtinId="8" hidden="1"/>
    <cellStyle name="Hyperlink" xfId="29384" builtinId="8" hidden="1"/>
    <cellStyle name="Hyperlink" xfId="29386" builtinId="8" hidden="1"/>
    <cellStyle name="Hyperlink" xfId="29349" builtinId="8" hidden="1"/>
    <cellStyle name="Hyperlink" xfId="29318" builtinId="8" hidden="1"/>
    <cellStyle name="Hyperlink" xfId="29388" builtinId="8" hidden="1"/>
    <cellStyle name="Hyperlink" xfId="29390" builtinId="8" hidden="1"/>
    <cellStyle name="Hyperlink" xfId="29392" builtinId="8" hidden="1"/>
    <cellStyle name="Hyperlink" xfId="29394" builtinId="8" hidden="1"/>
    <cellStyle name="Hyperlink" xfId="29319" builtinId="8" hidden="1"/>
    <cellStyle name="Hyperlink" xfId="29352" builtinId="8" hidden="1"/>
    <cellStyle name="Hyperlink" xfId="29396" builtinId="8" hidden="1"/>
    <cellStyle name="Hyperlink" xfId="29398" builtinId="8" hidden="1"/>
    <cellStyle name="Hyperlink" xfId="29400" builtinId="8" hidden="1"/>
    <cellStyle name="Hyperlink" xfId="29402" builtinId="8" hidden="1"/>
    <cellStyle name="Hyperlink" xfId="29321" builtinId="8" hidden="1"/>
    <cellStyle name="Hyperlink" xfId="29362" builtinId="8" hidden="1"/>
    <cellStyle name="Hyperlink" xfId="29404" builtinId="8" hidden="1"/>
    <cellStyle name="Hyperlink" xfId="29406" builtinId="8" hidden="1"/>
    <cellStyle name="Hyperlink" xfId="29408" builtinId="8" hidden="1"/>
    <cellStyle name="Hyperlink" xfId="29410" builtinId="8" hidden="1"/>
    <cellStyle name="Hyperlink" xfId="29342" builtinId="8" hidden="1"/>
    <cellStyle name="Hyperlink" xfId="29345" builtinId="8" hidden="1"/>
    <cellStyle name="Hyperlink" xfId="29412" builtinId="8" hidden="1"/>
    <cellStyle name="Hyperlink" xfId="29414" builtinId="8" hidden="1"/>
    <cellStyle name="Hyperlink" xfId="29416" builtinId="8" hidden="1"/>
    <cellStyle name="Hyperlink" xfId="29418" builtinId="8" hidden="1"/>
    <cellStyle name="Hyperlink" xfId="29346" builtinId="8" hidden="1"/>
    <cellStyle name="Hyperlink" xfId="29343" builtinId="8" hidden="1"/>
    <cellStyle name="Hyperlink" xfId="29420" builtinId="8" hidden="1"/>
    <cellStyle name="Hyperlink" xfId="29422" builtinId="8" hidden="1"/>
    <cellStyle name="Hyperlink" xfId="29424" builtinId="8" hidden="1"/>
    <cellStyle name="Hyperlink" xfId="29426" builtinId="8" hidden="1"/>
    <cellStyle name="Hyperlink" xfId="29361" builtinId="8" hidden="1"/>
    <cellStyle name="Hyperlink" xfId="29338" builtinId="8" hidden="1"/>
    <cellStyle name="Hyperlink" xfId="29428" builtinId="8" hidden="1"/>
    <cellStyle name="Hyperlink" xfId="29430" builtinId="8" hidden="1"/>
    <cellStyle name="Hyperlink" xfId="29432" builtinId="8" hidden="1"/>
    <cellStyle name="Hyperlink" xfId="29434" builtinId="8" hidden="1"/>
    <cellStyle name="Hyperlink" xfId="29316" builtinId="8" hidden="1"/>
    <cellStyle name="Hyperlink" xfId="29317" builtinId="8" hidden="1"/>
    <cellStyle name="Hyperlink" xfId="29436" builtinId="8" hidden="1"/>
    <cellStyle name="Hyperlink" xfId="29438" builtinId="8" hidden="1"/>
    <cellStyle name="Hyperlink" xfId="29440" builtinId="8" hidden="1"/>
    <cellStyle name="Hyperlink" xfId="29442" builtinId="8" hidden="1"/>
    <cellStyle name="Hyperlink" xfId="29322" builtinId="8" hidden="1"/>
    <cellStyle name="Hyperlink" xfId="29358" builtinId="8" hidden="1"/>
    <cellStyle name="Hyperlink" xfId="29444" builtinId="8" hidden="1"/>
    <cellStyle name="Hyperlink" xfId="29446" builtinId="8" hidden="1"/>
    <cellStyle name="Hyperlink" xfId="29448" builtinId="8" hidden="1"/>
    <cellStyle name="Hyperlink" xfId="29450" builtinId="8" hidden="1"/>
    <cellStyle name="Hyperlink" xfId="29327" builtinId="8" hidden="1"/>
    <cellStyle name="Hyperlink" xfId="29347" builtinId="8" hidden="1"/>
    <cellStyle name="Hyperlink" xfId="29452" builtinId="8" hidden="1"/>
    <cellStyle name="Hyperlink" xfId="29454" builtinId="8" hidden="1"/>
    <cellStyle name="Hyperlink" xfId="29456" builtinId="8" hidden="1"/>
    <cellStyle name="Hyperlink" xfId="29458" builtinId="8" hidden="1"/>
    <cellStyle name="Hyperlink" xfId="29334" builtinId="8" hidden="1"/>
    <cellStyle name="Hyperlink" xfId="29332" builtinId="8" hidden="1"/>
    <cellStyle name="Hyperlink" xfId="29460" builtinId="8" hidden="1"/>
    <cellStyle name="Hyperlink" xfId="29462" builtinId="8" hidden="1"/>
    <cellStyle name="Hyperlink" xfId="29464" builtinId="8" hidden="1"/>
    <cellStyle name="Hyperlink" xfId="29466" builtinId="8" hidden="1"/>
    <cellStyle name="Hyperlink" xfId="28716" builtinId="8" hidden="1"/>
    <cellStyle name="Hyperlink" xfId="28687" builtinId="8" hidden="1"/>
    <cellStyle name="Hyperlink" xfId="28734" builtinId="8" hidden="1"/>
    <cellStyle name="Hyperlink" xfId="28652" builtinId="8" hidden="1"/>
    <cellStyle name="Hyperlink" xfId="28731" builtinId="8" hidden="1"/>
    <cellStyle name="Hyperlink" xfId="28667" builtinId="8" hidden="1"/>
    <cellStyle name="Hyperlink" xfId="28738" builtinId="8" hidden="1"/>
    <cellStyle name="Hyperlink" xfId="28693" builtinId="8" hidden="1"/>
    <cellStyle name="Hyperlink" xfId="29473" builtinId="8" hidden="1"/>
    <cellStyle name="Hyperlink" xfId="29475" builtinId="8" hidden="1"/>
    <cellStyle name="Hyperlink" xfId="29477" builtinId="8" hidden="1"/>
    <cellStyle name="Hyperlink" xfId="29479" builtinId="8" hidden="1"/>
    <cellStyle name="Hyperlink" xfId="29481" builtinId="8" hidden="1"/>
    <cellStyle name="Hyperlink" xfId="29483" builtinId="8" hidden="1"/>
    <cellStyle name="Hyperlink" xfId="29533" builtinId="8" hidden="1"/>
    <cellStyle name="Hyperlink" xfId="29535" builtinId="8" hidden="1"/>
    <cellStyle name="Hyperlink" xfId="29537" builtinId="8" hidden="1"/>
    <cellStyle name="Hyperlink" xfId="29539" builtinId="8" hidden="1"/>
    <cellStyle name="Hyperlink" xfId="29529" builtinId="8" hidden="1"/>
    <cellStyle name="Hyperlink" xfId="29519" builtinId="8" hidden="1"/>
    <cellStyle name="Hyperlink" xfId="29541" builtinId="8" hidden="1"/>
    <cellStyle name="Hyperlink" xfId="29543" builtinId="8" hidden="1"/>
    <cellStyle name="Hyperlink" xfId="29545" builtinId="8" hidden="1"/>
    <cellStyle name="Hyperlink" xfId="29547" builtinId="8" hidden="1"/>
    <cellStyle name="Hyperlink" xfId="29513" builtinId="8" hidden="1"/>
    <cellStyle name="Hyperlink" xfId="29499" builtinId="8" hidden="1"/>
    <cellStyle name="Hyperlink" xfId="29549" builtinId="8" hidden="1"/>
    <cellStyle name="Hyperlink" xfId="29551" builtinId="8" hidden="1"/>
    <cellStyle name="Hyperlink" xfId="29553" builtinId="8" hidden="1"/>
    <cellStyle name="Hyperlink" xfId="29555" builtinId="8" hidden="1"/>
    <cellStyle name="Hyperlink" xfId="29518" builtinId="8" hidden="1"/>
    <cellStyle name="Hyperlink" xfId="29487" builtinId="8" hidden="1"/>
    <cellStyle name="Hyperlink" xfId="29557" builtinId="8" hidden="1"/>
    <cellStyle name="Hyperlink" xfId="29559" builtinId="8" hidden="1"/>
    <cellStyle name="Hyperlink" xfId="29561" builtinId="8" hidden="1"/>
    <cellStyle name="Hyperlink" xfId="29563" builtinId="8" hidden="1"/>
    <cellStyle name="Hyperlink" xfId="29488" builtinId="8" hidden="1"/>
    <cellStyle name="Hyperlink" xfId="29521" builtinId="8" hidden="1"/>
    <cellStyle name="Hyperlink" xfId="29565" builtinId="8" hidden="1"/>
    <cellStyle name="Hyperlink" xfId="29567" builtinId="8" hidden="1"/>
    <cellStyle name="Hyperlink" xfId="29569" builtinId="8" hidden="1"/>
    <cellStyle name="Hyperlink" xfId="29571" builtinId="8" hidden="1"/>
    <cellStyle name="Hyperlink" xfId="29490" builtinId="8" hidden="1"/>
    <cellStyle name="Hyperlink" xfId="29531" builtinId="8" hidden="1"/>
    <cellStyle name="Hyperlink" xfId="29573" builtinId="8" hidden="1"/>
    <cellStyle name="Hyperlink" xfId="29575" builtinId="8" hidden="1"/>
    <cellStyle name="Hyperlink" xfId="29577" builtinId="8" hidden="1"/>
    <cellStyle name="Hyperlink" xfId="29579" builtinId="8" hidden="1"/>
    <cellStyle name="Hyperlink" xfId="29511" builtinId="8" hidden="1"/>
    <cellStyle name="Hyperlink" xfId="29514" builtinId="8" hidden="1"/>
    <cellStyle name="Hyperlink" xfId="29581" builtinId="8" hidden="1"/>
    <cellStyle name="Hyperlink" xfId="29583" builtinId="8" hidden="1"/>
    <cellStyle name="Hyperlink" xfId="29585" builtinId="8" hidden="1"/>
    <cellStyle name="Hyperlink" xfId="29587" builtinId="8" hidden="1"/>
    <cellStyle name="Hyperlink" xfId="29515" builtinId="8" hidden="1"/>
    <cellStyle name="Hyperlink" xfId="29512" builtinId="8" hidden="1"/>
    <cellStyle name="Hyperlink" xfId="29589" builtinId="8" hidden="1"/>
    <cellStyle name="Hyperlink" xfId="29591" builtinId="8" hidden="1"/>
    <cellStyle name="Hyperlink" xfId="29593" builtinId="8" hidden="1"/>
    <cellStyle name="Hyperlink" xfId="29595" builtinId="8" hidden="1"/>
    <cellStyle name="Hyperlink" xfId="29530" builtinId="8" hidden="1"/>
    <cellStyle name="Hyperlink" xfId="29507" builtinId="8" hidden="1"/>
    <cellStyle name="Hyperlink" xfId="29597" builtinId="8" hidden="1"/>
    <cellStyle name="Hyperlink" xfId="29599" builtinId="8" hidden="1"/>
    <cellStyle name="Hyperlink" xfId="29601" builtinId="8" hidden="1"/>
    <cellStyle name="Hyperlink" xfId="29603" builtinId="8" hidden="1"/>
    <cellStyle name="Hyperlink" xfId="29485" builtinId="8" hidden="1"/>
    <cellStyle name="Hyperlink" xfId="29486" builtinId="8" hidden="1"/>
    <cellStyle name="Hyperlink" xfId="29605" builtinId="8" hidden="1"/>
    <cellStyle name="Hyperlink" xfId="29607" builtinId="8" hidden="1"/>
    <cellStyle name="Hyperlink" xfId="29609" builtinId="8" hidden="1"/>
    <cellStyle name="Hyperlink" xfId="29611" builtinId="8" hidden="1"/>
    <cellStyle name="Hyperlink" xfId="29491" builtinId="8" hidden="1"/>
    <cellStyle name="Hyperlink" xfId="29527" builtinId="8" hidden="1"/>
    <cellStyle name="Hyperlink" xfId="29613" builtinId="8" hidden="1"/>
    <cellStyle name="Hyperlink" xfId="29615" builtinId="8" hidden="1"/>
    <cellStyle name="Hyperlink" xfId="29617" builtinId="8" hidden="1"/>
    <cellStyle name="Hyperlink" xfId="29619" builtinId="8" hidden="1"/>
    <cellStyle name="Hyperlink" xfId="29496" builtinId="8" hidden="1"/>
    <cellStyle name="Hyperlink" xfId="29516" builtinId="8" hidden="1"/>
    <cellStyle name="Hyperlink" xfId="29621" builtinId="8" hidden="1"/>
    <cellStyle name="Hyperlink" xfId="29623" builtinId="8" hidden="1"/>
    <cellStyle name="Hyperlink" xfId="29625" builtinId="8" hidden="1"/>
    <cellStyle name="Hyperlink" xfId="29627" builtinId="8" hidden="1"/>
    <cellStyle name="Hyperlink" xfId="29503" builtinId="8" hidden="1"/>
    <cellStyle name="Hyperlink" xfId="29501" builtinId="8" hidden="1"/>
    <cellStyle name="Hyperlink" xfId="29629" builtinId="8" hidden="1"/>
    <cellStyle name="Hyperlink" xfId="29631" builtinId="8" hidden="1"/>
    <cellStyle name="Hyperlink" xfId="29633" builtinId="8" hidden="1"/>
    <cellStyle name="Hyperlink" xfId="29635" builtinId="8" hidden="1"/>
    <cellStyle name="Hyperlink" xfId="28958" builtinId="8" hidden="1"/>
    <cellStyle name="Hyperlink" xfId="29125" builtinId="8" hidden="1"/>
    <cellStyle name="Hyperlink" xfId="28762" builtinId="8" hidden="1"/>
    <cellStyle name="Hyperlink" xfId="28651" builtinId="8" hidden="1"/>
    <cellStyle name="Hyperlink" xfId="28647" builtinId="8" hidden="1"/>
    <cellStyle name="Hyperlink" xfId="28695" builtinId="8" hidden="1"/>
    <cellStyle name="Hyperlink" xfId="28656" builtinId="8" hidden="1"/>
    <cellStyle name="Hyperlink" xfId="28732" builtinId="8" hidden="1"/>
    <cellStyle name="Hyperlink" xfId="29642" builtinId="8" hidden="1"/>
    <cellStyle name="Hyperlink" xfId="29644" builtinId="8" hidden="1"/>
    <cellStyle name="Hyperlink" xfId="29646" builtinId="8" hidden="1"/>
    <cellStyle name="Hyperlink" xfId="29648" builtinId="8" hidden="1"/>
    <cellStyle name="Hyperlink" xfId="29650" builtinId="8" hidden="1"/>
    <cellStyle name="Hyperlink" xfId="29652" builtinId="8" hidden="1"/>
    <cellStyle name="Hyperlink" xfId="29702" builtinId="8" hidden="1"/>
    <cellStyle name="Hyperlink" xfId="29704" builtinId="8" hidden="1"/>
    <cellStyle name="Hyperlink" xfId="29706" builtinId="8" hidden="1"/>
    <cellStyle name="Hyperlink" xfId="29708" builtinId="8" hidden="1"/>
    <cellStyle name="Hyperlink" xfId="29698" builtinId="8" hidden="1"/>
    <cellStyle name="Hyperlink" xfId="29688" builtinId="8" hidden="1"/>
    <cellStyle name="Hyperlink" xfId="29710" builtinId="8" hidden="1"/>
    <cellStyle name="Hyperlink" xfId="29712" builtinId="8" hidden="1"/>
    <cellStyle name="Hyperlink" xfId="29714" builtinId="8" hidden="1"/>
    <cellStyle name="Hyperlink" xfId="29716" builtinId="8" hidden="1"/>
    <cellStyle name="Hyperlink" xfId="29682" builtinId="8" hidden="1"/>
    <cellStyle name="Hyperlink" xfId="29668" builtinId="8" hidden="1"/>
    <cellStyle name="Hyperlink" xfId="29718" builtinId="8" hidden="1"/>
    <cellStyle name="Hyperlink" xfId="29720" builtinId="8" hidden="1"/>
    <cellStyle name="Hyperlink" xfId="29722" builtinId="8" hidden="1"/>
    <cellStyle name="Hyperlink" xfId="29724" builtinId="8" hidden="1"/>
    <cellStyle name="Hyperlink" xfId="29687" builtinId="8" hidden="1"/>
    <cellStyle name="Hyperlink" xfId="29656" builtinId="8" hidden="1"/>
    <cellStyle name="Hyperlink" xfId="29726" builtinId="8" hidden="1"/>
    <cellStyle name="Hyperlink" xfId="29728" builtinId="8" hidden="1"/>
    <cellStyle name="Hyperlink" xfId="29730" builtinId="8" hidden="1"/>
    <cellStyle name="Hyperlink" xfId="29732" builtinId="8" hidden="1"/>
    <cellStyle name="Hyperlink" xfId="29657" builtinId="8" hidden="1"/>
    <cellStyle name="Hyperlink" xfId="29690" builtinId="8" hidden="1"/>
    <cellStyle name="Hyperlink" xfId="29734" builtinId="8" hidden="1"/>
    <cellStyle name="Hyperlink" xfId="29736" builtinId="8" hidden="1"/>
    <cellStyle name="Hyperlink" xfId="29738" builtinId="8" hidden="1"/>
    <cellStyle name="Hyperlink" xfId="29740" builtinId="8" hidden="1"/>
    <cellStyle name="Hyperlink" xfId="29659" builtinId="8" hidden="1"/>
    <cellStyle name="Hyperlink" xfId="29700" builtinId="8" hidden="1"/>
    <cellStyle name="Hyperlink" xfId="29742" builtinId="8" hidden="1"/>
    <cellStyle name="Hyperlink" xfId="29744" builtinId="8" hidden="1"/>
    <cellStyle name="Hyperlink" xfId="29746" builtinId="8" hidden="1"/>
    <cellStyle name="Hyperlink" xfId="29748" builtinId="8" hidden="1"/>
    <cellStyle name="Hyperlink" xfId="29680" builtinId="8" hidden="1"/>
    <cellStyle name="Hyperlink" xfId="29683" builtinId="8" hidden="1"/>
    <cellStyle name="Hyperlink" xfId="29750" builtinId="8" hidden="1"/>
    <cellStyle name="Hyperlink" xfId="29752" builtinId="8" hidden="1"/>
    <cellStyle name="Hyperlink" xfId="29754" builtinId="8" hidden="1"/>
    <cellStyle name="Hyperlink" xfId="29756" builtinId="8" hidden="1"/>
    <cellStyle name="Hyperlink" xfId="29684" builtinId="8" hidden="1"/>
    <cellStyle name="Hyperlink" xfId="29681" builtinId="8" hidden="1"/>
    <cellStyle name="Hyperlink" xfId="29758" builtinId="8" hidden="1"/>
    <cellStyle name="Hyperlink" xfId="29760" builtinId="8" hidden="1"/>
    <cellStyle name="Hyperlink" xfId="29762" builtinId="8" hidden="1"/>
    <cellStyle name="Hyperlink" xfId="29764" builtinId="8" hidden="1"/>
    <cellStyle name="Hyperlink" xfId="29699" builtinId="8" hidden="1"/>
    <cellStyle name="Hyperlink" xfId="29676" builtinId="8" hidden="1"/>
    <cellStyle name="Hyperlink" xfId="29766" builtinId="8" hidden="1"/>
    <cellStyle name="Hyperlink" xfId="29768" builtinId="8" hidden="1"/>
    <cellStyle name="Hyperlink" xfId="29770" builtinId="8" hidden="1"/>
    <cellStyle name="Hyperlink" xfId="29772" builtinId="8" hidden="1"/>
    <cellStyle name="Hyperlink" xfId="29654" builtinId="8" hidden="1"/>
    <cellStyle name="Hyperlink" xfId="29655" builtinId="8" hidden="1"/>
    <cellStyle name="Hyperlink" xfId="29774" builtinId="8" hidden="1"/>
    <cellStyle name="Hyperlink" xfId="29776" builtinId="8" hidden="1"/>
    <cellStyle name="Hyperlink" xfId="29778" builtinId="8" hidden="1"/>
    <cellStyle name="Hyperlink" xfId="29780" builtinId="8" hidden="1"/>
    <cellStyle name="Hyperlink" xfId="29660" builtinId="8" hidden="1"/>
    <cellStyle name="Hyperlink" xfId="29696" builtinId="8" hidden="1"/>
    <cellStyle name="Hyperlink" xfId="29782" builtinId="8" hidden="1"/>
    <cellStyle name="Hyperlink" xfId="29784" builtinId="8" hidden="1"/>
    <cellStyle name="Hyperlink" xfId="29786" builtinId="8" hidden="1"/>
    <cellStyle name="Hyperlink" xfId="29788" builtinId="8" hidden="1"/>
    <cellStyle name="Hyperlink" xfId="29665" builtinId="8" hidden="1"/>
    <cellStyle name="Hyperlink" xfId="29685" builtinId="8" hidden="1"/>
    <cellStyle name="Hyperlink" xfId="29790" builtinId="8" hidden="1"/>
    <cellStyle name="Hyperlink" xfId="29792" builtinId="8" hidden="1"/>
    <cellStyle name="Hyperlink" xfId="29794" builtinId="8" hidden="1"/>
    <cellStyle name="Hyperlink" xfId="29796" builtinId="8" hidden="1"/>
    <cellStyle name="Hyperlink" xfId="29672" builtinId="8" hidden="1"/>
    <cellStyle name="Hyperlink" xfId="29670" builtinId="8" hidden="1"/>
    <cellStyle name="Hyperlink" xfId="29798" builtinId="8" hidden="1"/>
    <cellStyle name="Hyperlink" xfId="29800" builtinId="8" hidden="1"/>
    <cellStyle name="Hyperlink" xfId="29802" builtinId="8" hidden="1"/>
    <cellStyle name="Hyperlink" xfId="29804" builtinId="8" hidden="1"/>
    <cellStyle name="Hyperlink" xfId="28648" builtinId="8" hidden="1"/>
    <cellStyle name="Hyperlink" xfId="28763" builtinId="8" hidden="1"/>
    <cellStyle name="Hyperlink" xfId="29132" builtinId="8" hidden="1"/>
    <cellStyle name="Hyperlink" xfId="28765" builtinId="8" hidden="1"/>
    <cellStyle name="Hyperlink" xfId="28746" builtinId="8" hidden="1"/>
    <cellStyle name="Hyperlink" xfId="28778" builtinId="8" hidden="1"/>
    <cellStyle name="Hyperlink" xfId="28653" builtinId="8" hidden="1"/>
    <cellStyle name="Hyperlink" xfId="28780" builtinId="8" hidden="1"/>
    <cellStyle name="Hyperlink" xfId="29809" builtinId="8" hidden="1"/>
    <cellStyle name="Hyperlink" xfId="29811" builtinId="8" hidden="1"/>
    <cellStyle name="Hyperlink" xfId="29813" builtinId="8" hidden="1"/>
    <cellStyle name="Hyperlink" xfId="29815" builtinId="8" hidden="1"/>
    <cellStyle name="Hyperlink" xfId="29817" builtinId="8" hidden="1"/>
    <cellStyle name="Hyperlink" xfId="29819" builtinId="8" hidden="1"/>
    <cellStyle name="Hyperlink" xfId="29869" builtinId="8" hidden="1"/>
    <cellStyle name="Hyperlink" xfId="29871" builtinId="8" hidden="1"/>
    <cellStyle name="Hyperlink" xfId="29873" builtinId="8" hidden="1"/>
    <cellStyle name="Hyperlink" xfId="29875" builtinId="8" hidden="1"/>
    <cellStyle name="Hyperlink" xfId="29865" builtinId="8" hidden="1"/>
    <cellStyle name="Hyperlink" xfId="29855" builtinId="8" hidden="1"/>
    <cellStyle name="Hyperlink" xfId="29877" builtinId="8" hidden="1"/>
    <cellStyle name="Hyperlink" xfId="29879" builtinId="8" hidden="1"/>
    <cellStyle name="Hyperlink" xfId="29881" builtinId="8" hidden="1"/>
    <cellStyle name="Hyperlink" xfId="29883" builtinId="8" hidden="1"/>
    <cellStyle name="Hyperlink" xfId="29849" builtinId="8" hidden="1"/>
    <cellStyle name="Hyperlink" xfId="29835" builtinId="8" hidden="1"/>
    <cellStyle name="Hyperlink" xfId="29885" builtinId="8" hidden="1"/>
    <cellStyle name="Hyperlink" xfId="29887" builtinId="8" hidden="1"/>
    <cellStyle name="Hyperlink" xfId="29889" builtinId="8" hidden="1"/>
    <cellStyle name="Hyperlink" xfId="29891" builtinId="8" hidden="1"/>
    <cellStyle name="Hyperlink" xfId="29854" builtinId="8" hidden="1"/>
    <cellStyle name="Hyperlink" xfId="29823" builtinId="8" hidden="1"/>
    <cellStyle name="Hyperlink" xfId="29893" builtinId="8" hidden="1"/>
    <cellStyle name="Hyperlink" xfId="29895" builtinId="8" hidden="1"/>
    <cellStyle name="Hyperlink" xfId="29897" builtinId="8" hidden="1"/>
    <cellStyle name="Hyperlink" xfId="29899" builtinId="8" hidden="1"/>
    <cellStyle name="Hyperlink" xfId="29824" builtinId="8" hidden="1"/>
    <cellStyle name="Hyperlink" xfId="29857" builtinId="8" hidden="1"/>
    <cellStyle name="Hyperlink" xfId="29901" builtinId="8" hidden="1"/>
    <cellStyle name="Hyperlink" xfId="29903" builtinId="8" hidden="1"/>
    <cellStyle name="Hyperlink" xfId="29905" builtinId="8" hidden="1"/>
    <cellStyle name="Hyperlink" xfId="29907" builtinId="8" hidden="1"/>
    <cellStyle name="Hyperlink" xfId="29826" builtinId="8" hidden="1"/>
    <cellStyle name="Hyperlink" xfId="29867" builtinId="8" hidden="1"/>
    <cellStyle name="Hyperlink" xfId="29909" builtinId="8" hidden="1"/>
    <cellStyle name="Hyperlink" xfId="29911" builtinId="8" hidden="1"/>
    <cellStyle name="Hyperlink" xfId="29913" builtinId="8" hidden="1"/>
    <cellStyle name="Hyperlink" xfId="29915" builtinId="8" hidden="1"/>
    <cellStyle name="Hyperlink" xfId="29847" builtinId="8" hidden="1"/>
    <cellStyle name="Hyperlink" xfId="29850" builtinId="8" hidden="1"/>
    <cellStyle name="Hyperlink" xfId="29917" builtinId="8" hidden="1"/>
    <cellStyle name="Hyperlink" xfId="29919" builtinId="8" hidden="1"/>
    <cellStyle name="Hyperlink" xfId="29921" builtinId="8" hidden="1"/>
    <cellStyle name="Hyperlink" xfId="29923" builtinId="8" hidden="1"/>
    <cellStyle name="Hyperlink" xfId="29851" builtinId="8" hidden="1"/>
    <cellStyle name="Hyperlink" xfId="29848" builtinId="8" hidden="1"/>
    <cellStyle name="Hyperlink" xfId="29925" builtinId="8" hidden="1"/>
    <cellStyle name="Hyperlink" xfId="29927" builtinId="8" hidden="1"/>
    <cellStyle name="Hyperlink" xfId="29929" builtinId="8" hidden="1"/>
    <cellStyle name="Hyperlink" xfId="29931" builtinId="8" hidden="1"/>
    <cellStyle name="Hyperlink" xfId="29866" builtinId="8" hidden="1"/>
    <cellStyle name="Hyperlink" xfId="29843" builtinId="8" hidden="1"/>
    <cellStyle name="Hyperlink" xfId="29933" builtinId="8" hidden="1"/>
    <cellStyle name="Hyperlink" xfId="29935" builtinId="8" hidden="1"/>
    <cellStyle name="Hyperlink" xfId="29937" builtinId="8" hidden="1"/>
    <cellStyle name="Hyperlink" xfId="29939" builtinId="8" hidden="1"/>
    <cellStyle name="Hyperlink" xfId="29821" builtinId="8" hidden="1"/>
    <cellStyle name="Hyperlink" xfId="29822" builtinId="8" hidden="1"/>
    <cellStyle name="Hyperlink" xfId="29941" builtinId="8" hidden="1"/>
    <cellStyle name="Hyperlink" xfId="29943" builtinId="8" hidden="1"/>
    <cellStyle name="Hyperlink" xfId="29945" builtinId="8" hidden="1"/>
    <cellStyle name="Hyperlink" xfId="29947" builtinId="8" hidden="1"/>
    <cellStyle name="Hyperlink" xfId="29827" builtinId="8" hidden="1"/>
    <cellStyle name="Hyperlink" xfId="29863" builtinId="8" hidden="1"/>
    <cellStyle name="Hyperlink" xfId="29949" builtinId="8" hidden="1"/>
    <cellStyle name="Hyperlink" xfId="29951" builtinId="8" hidden="1"/>
    <cellStyle name="Hyperlink" xfId="29953" builtinId="8" hidden="1"/>
    <cellStyle name="Hyperlink" xfId="29955" builtinId="8" hidden="1"/>
    <cellStyle name="Hyperlink" xfId="29832" builtinId="8" hidden="1"/>
    <cellStyle name="Hyperlink" xfId="29852" builtinId="8" hidden="1"/>
    <cellStyle name="Hyperlink" xfId="29957" builtinId="8" hidden="1"/>
    <cellStyle name="Hyperlink" xfId="29959" builtinId="8" hidden="1"/>
    <cellStyle name="Hyperlink" xfId="29961" builtinId="8" hidden="1"/>
    <cellStyle name="Hyperlink" xfId="29963" builtinId="8" hidden="1"/>
    <cellStyle name="Hyperlink" xfId="29839" builtinId="8" hidden="1"/>
    <cellStyle name="Hyperlink" xfId="29837" builtinId="8" hidden="1"/>
    <cellStyle name="Hyperlink" xfId="29965" builtinId="8" hidden="1"/>
    <cellStyle name="Hyperlink" xfId="29967" builtinId="8" hidden="1"/>
    <cellStyle name="Hyperlink" xfId="29969" builtinId="8" hidden="1"/>
    <cellStyle name="Hyperlink" xfId="29971" builtinId="8" hidden="1"/>
    <cellStyle name="Hyperlink" xfId="28789" builtinId="8" hidden="1"/>
    <cellStyle name="Hyperlink" xfId="28760" builtinId="8" hidden="1"/>
    <cellStyle name="Hyperlink" xfId="29302" builtinId="8" hidden="1"/>
    <cellStyle name="Hyperlink" xfId="28785" builtinId="8" hidden="1"/>
    <cellStyle name="Hyperlink" xfId="28722" builtinId="8" hidden="1"/>
    <cellStyle name="Hyperlink" xfId="28663" builtinId="8" hidden="1"/>
    <cellStyle name="Hyperlink" xfId="28777" builtinId="8" hidden="1"/>
    <cellStyle name="Hyperlink" xfId="28770" builtinId="8" hidden="1"/>
    <cellStyle name="Hyperlink" xfId="29976" builtinId="8" hidden="1"/>
    <cellStyle name="Hyperlink" xfId="29978" builtinId="8" hidden="1"/>
    <cellStyle name="Hyperlink" xfId="29980" builtinId="8" hidden="1"/>
    <cellStyle name="Hyperlink" xfId="29982" builtinId="8" hidden="1"/>
    <cellStyle name="Hyperlink" xfId="29984" builtinId="8" hidden="1"/>
    <cellStyle name="Hyperlink" xfId="29986" builtinId="8" hidden="1"/>
    <cellStyle name="Hyperlink" xfId="30036" builtinId="8" hidden="1"/>
    <cellStyle name="Hyperlink" xfId="30038" builtinId="8" hidden="1"/>
    <cellStyle name="Hyperlink" xfId="30040" builtinId="8" hidden="1"/>
    <cellStyle name="Hyperlink" xfId="30042" builtinId="8" hidden="1"/>
    <cellStyle name="Hyperlink" xfId="30032" builtinId="8" hidden="1"/>
    <cellStyle name="Hyperlink" xfId="30022" builtinId="8" hidden="1"/>
    <cellStyle name="Hyperlink" xfId="30044" builtinId="8" hidden="1"/>
    <cellStyle name="Hyperlink" xfId="30046" builtinId="8" hidden="1"/>
    <cellStyle name="Hyperlink" xfId="30048" builtinId="8" hidden="1"/>
    <cellStyle name="Hyperlink" xfId="30050" builtinId="8" hidden="1"/>
    <cellStyle name="Hyperlink" xfId="30016" builtinId="8" hidden="1"/>
    <cellStyle name="Hyperlink" xfId="30002" builtinId="8" hidden="1"/>
    <cellStyle name="Hyperlink" xfId="30052" builtinId="8" hidden="1"/>
    <cellStyle name="Hyperlink" xfId="30054" builtinId="8" hidden="1"/>
    <cellStyle name="Hyperlink" xfId="30056" builtinId="8" hidden="1"/>
    <cellStyle name="Hyperlink" xfId="30058" builtinId="8" hidden="1"/>
    <cellStyle name="Hyperlink" xfId="30021" builtinId="8" hidden="1"/>
    <cellStyle name="Hyperlink" xfId="29990" builtinId="8" hidden="1"/>
    <cellStyle name="Hyperlink" xfId="30060" builtinId="8" hidden="1"/>
    <cellStyle name="Hyperlink" xfId="30062" builtinId="8" hidden="1"/>
    <cellStyle name="Hyperlink" xfId="30064" builtinId="8" hidden="1"/>
    <cellStyle name="Hyperlink" xfId="30066" builtinId="8" hidden="1"/>
    <cellStyle name="Hyperlink" xfId="29991" builtinId="8" hidden="1"/>
    <cellStyle name="Hyperlink" xfId="30024" builtinId="8" hidden="1"/>
    <cellStyle name="Hyperlink" xfId="30068" builtinId="8" hidden="1"/>
    <cellStyle name="Hyperlink" xfId="30070" builtinId="8" hidden="1"/>
    <cellStyle name="Hyperlink" xfId="30072" builtinId="8" hidden="1"/>
    <cellStyle name="Hyperlink" xfId="30074" builtinId="8" hidden="1"/>
    <cellStyle name="Hyperlink" xfId="29993" builtinId="8" hidden="1"/>
    <cellStyle name="Hyperlink" xfId="30034" builtinId="8" hidden="1"/>
    <cellStyle name="Hyperlink" xfId="30076" builtinId="8" hidden="1"/>
    <cellStyle name="Hyperlink" xfId="30078" builtinId="8" hidden="1"/>
    <cellStyle name="Hyperlink" xfId="30080" builtinId="8" hidden="1"/>
    <cellStyle name="Hyperlink" xfId="30082" builtinId="8" hidden="1"/>
    <cellStyle name="Hyperlink" xfId="30014" builtinId="8" hidden="1"/>
    <cellStyle name="Hyperlink" xfId="30017" builtinId="8" hidden="1"/>
    <cellStyle name="Hyperlink" xfId="30084" builtinId="8" hidden="1"/>
    <cellStyle name="Hyperlink" xfId="30086" builtinId="8" hidden="1"/>
    <cellStyle name="Hyperlink" xfId="30088" builtinId="8" hidden="1"/>
    <cellStyle name="Hyperlink" xfId="30090" builtinId="8" hidden="1"/>
    <cellStyle name="Hyperlink" xfId="30018" builtinId="8" hidden="1"/>
    <cellStyle name="Hyperlink" xfId="30015" builtinId="8" hidden="1"/>
    <cellStyle name="Hyperlink" xfId="30092" builtinId="8" hidden="1"/>
    <cellStyle name="Hyperlink" xfId="30094" builtinId="8" hidden="1"/>
    <cellStyle name="Hyperlink" xfId="30096" builtinId="8" hidden="1"/>
    <cellStyle name="Hyperlink" xfId="30098" builtinId="8" hidden="1"/>
    <cellStyle name="Hyperlink" xfId="30033" builtinId="8" hidden="1"/>
    <cellStyle name="Hyperlink" xfId="30010" builtinId="8" hidden="1"/>
    <cellStyle name="Hyperlink" xfId="30100" builtinId="8" hidden="1"/>
    <cellStyle name="Hyperlink" xfId="30102" builtinId="8" hidden="1"/>
    <cellStyle name="Hyperlink" xfId="30104" builtinId="8" hidden="1"/>
    <cellStyle name="Hyperlink" xfId="30106" builtinId="8" hidden="1"/>
    <cellStyle name="Hyperlink" xfId="29988" builtinId="8" hidden="1"/>
    <cellStyle name="Hyperlink" xfId="29989" builtinId="8" hidden="1"/>
    <cellStyle name="Hyperlink" xfId="30108" builtinId="8" hidden="1"/>
    <cellStyle name="Hyperlink" xfId="30110" builtinId="8" hidden="1"/>
    <cellStyle name="Hyperlink" xfId="30112" builtinId="8" hidden="1"/>
    <cellStyle name="Hyperlink" xfId="30114" builtinId="8" hidden="1"/>
    <cellStyle name="Hyperlink" xfId="29994" builtinId="8" hidden="1"/>
    <cellStyle name="Hyperlink" xfId="30030" builtinId="8" hidden="1"/>
    <cellStyle name="Hyperlink" xfId="30116" builtinId="8" hidden="1"/>
    <cellStyle name="Hyperlink" xfId="30118" builtinId="8" hidden="1"/>
    <cellStyle name="Hyperlink" xfId="30120" builtinId="8" hidden="1"/>
    <cellStyle name="Hyperlink" xfId="30122" builtinId="8" hidden="1"/>
    <cellStyle name="Hyperlink" xfId="29999" builtinId="8" hidden="1"/>
    <cellStyle name="Hyperlink" xfId="30019" builtinId="8" hidden="1"/>
    <cellStyle name="Hyperlink" xfId="30124" builtinId="8" hidden="1"/>
    <cellStyle name="Hyperlink" xfId="30126" builtinId="8" hidden="1"/>
    <cellStyle name="Hyperlink" xfId="30128" builtinId="8" hidden="1"/>
    <cellStyle name="Hyperlink" xfId="30130" builtinId="8" hidden="1"/>
    <cellStyle name="Hyperlink" xfId="30006" builtinId="8" hidden="1"/>
    <cellStyle name="Hyperlink" xfId="30004" builtinId="8" hidden="1"/>
    <cellStyle name="Hyperlink" xfId="30132" builtinId="8" hidden="1"/>
    <cellStyle name="Hyperlink" xfId="30134" builtinId="8" hidden="1"/>
    <cellStyle name="Hyperlink" xfId="30136" builtinId="8" hidden="1"/>
    <cellStyle name="Hyperlink" xfId="30138" builtinId="8" hidden="1"/>
    <cellStyle name="Hyperlink" xfId="28764" builtinId="8" hidden="1"/>
    <cellStyle name="Hyperlink" xfId="28748" builtinId="8" hidden="1"/>
    <cellStyle name="Hyperlink" xfId="29471" builtinId="8" hidden="1"/>
    <cellStyle name="Hyperlink" xfId="28727" builtinId="8" hidden="1"/>
    <cellStyle name="Hyperlink" xfId="28644" builtinId="8" hidden="1"/>
    <cellStyle name="Hyperlink" xfId="28706" builtinId="8" hidden="1"/>
    <cellStyle name="Hyperlink" xfId="29128" builtinId="8" hidden="1"/>
    <cellStyle name="Hyperlink" xfId="28725" builtinId="8" hidden="1"/>
    <cellStyle name="Hyperlink" xfId="30141" builtinId="8" hidden="1"/>
    <cellStyle name="Hyperlink" xfId="30143" builtinId="8" hidden="1"/>
    <cellStyle name="Hyperlink" xfId="30145" builtinId="8" hidden="1"/>
    <cellStyle name="Hyperlink" xfId="30147" builtinId="8" hidden="1"/>
    <cellStyle name="Hyperlink" xfId="30149" builtinId="8" hidden="1"/>
    <cellStyle name="Hyperlink" xfId="30151" builtinId="8" hidden="1"/>
    <cellStyle name="Hyperlink" xfId="30201" builtinId="8" hidden="1"/>
    <cellStyle name="Hyperlink" xfId="30203" builtinId="8" hidden="1"/>
    <cellStyle name="Hyperlink" xfId="30205" builtinId="8" hidden="1"/>
    <cellStyle name="Hyperlink" xfId="30207" builtinId="8" hidden="1"/>
    <cellStyle name="Hyperlink" xfId="30197" builtinId="8" hidden="1"/>
    <cellStyle name="Hyperlink" xfId="30187" builtinId="8" hidden="1"/>
    <cellStyle name="Hyperlink" xfId="30209" builtinId="8" hidden="1"/>
    <cellStyle name="Hyperlink" xfId="30211" builtinId="8" hidden="1"/>
    <cellStyle name="Hyperlink" xfId="30213" builtinId="8" hidden="1"/>
    <cellStyle name="Hyperlink" xfId="30215" builtinId="8" hidden="1"/>
    <cellStyle name="Hyperlink" xfId="30181" builtinId="8" hidden="1"/>
    <cellStyle name="Hyperlink" xfId="30167" builtinId="8" hidden="1"/>
    <cellStyle name="Hyperlink" xfId="30217" builtinId="8" hidden="1"/>
    <cellStyle name="Hyperlink" xfId="30219" builtinId="8" hidden="1"/>
    <cellStyle name="Hyperlink" xfId="30221" builtinId="8" hidden="1"/>
    <cellStyle name="Hyperlink" xfId="30223" builtinId="8" hidden="1"/>
    <cellStyle name="Hyperlink" xfId="30186" builtinId="8" hidden="1"/>
    <cellStyle name="Hyperlink" xfId="30155" builtinId="8" hidden="1"/>
    <cellStyle name="Hyperlink" xfId="30225" builtinId="8" hidden="1"/>
    <cellStyle name="Hyperlink" xfId="30227" builtinId="8" hidden="1"/>
    <cellStyle name="Hyperlink" xfId="30229" builtinId="8" hidden="1"/>
    <cellStyle name="Hyperlink" xfId="30231" builtinId="8" hidden="1"/>
    <cellStyle name="Hyperlink" xfId="30156" builtinId="8" hidden="1"/>
    <cellStyle name="Hyperlink" xfId="30189" builtinId="8" hidden="1"/>
    <cellStyle name="Hyperlink" xfId="30233" builtinId="8" hidden="1"/>
    <cellStyle name="Hyperlink" xfId="30235" builtinId="8" hidden="1"/>
    <cellStyle name="Hyperlink" xfId="30237" builtinId="8" hidden="1"/>
    <cellStyle name="Hyperlink" xfId="30239" builtinId="8" hidden="1"/>
    <cellStyle name="Hyperlink" xfId="30158" builtinId="8" hidden="1"/>
    <cellStyle name="Hyperlink" xfId="30199" builtinId="8" hidden="1"/>
    <cellStyle name="Hyperlink" xfId="30241" builtinId="8" hidden="1"/>
    <cellStyle name="Hyperlink" xfId="30243" builtinId="8" hidden="1"/>
    <cellStyle name="Hyperlink" xfId="30245" builtinId="8" hidden="1"/>
    <cellStyle name="Hyperlink" xfId="30247" builtinId="8" hidden="1"/>
    <cellStyle name="Hyperlink" xfId="30179" builtinId="8" hidden="1"/>
    <cellStyle name="Hyperlink" xfId="30182" builtinId="8" hidden="1"/>
    <cellStyle name="Hyperlink" xfId="30249" builtinId="8" hidden="1"/>
    <cellStyle name="Hyperlink" xfId="30251" builtinId="8" hidden="1"/>
    <cellStyle name="Hyperlink" xfId="30253" builtinId="8" hidden="1"/>
    <cellStyle name="Hyperlink" xfId="30255" builtinId="8" hidden="1"/>
    <cellStyle name="Hyperlink" xfId="30183" builtinId="8" hidden="1"/>
    <cellStyle name="Hyperlink" xfId="30180" builtinId="8" hidden="1"/>
    <cellStyle name="Hyperlink" xfId="30257" builtinId="8" hidden="1"/>
    <cellStyle name="Hyperlink" xfId="30259" builtinId="8" hidden="1"/>
    <cellStyle name="Hyperlink" xfId="30261" builtinId="8" hidden="1"/>
    <cellStyle name="Hyperlink" xfId="30263" builtinId="8" hidden="1"/>
    <cellStyle name="Hyperlink" xfId="30198" builtinId="8" hidden="1"/>
    <cellStyle name="Hyperlink" xfId="30175" builtinId="8" hidden="1"/>
    <cellStyle name="Hyperlink" xfId="30265" builtinId="8" hidden="1"/>
    <cellStyle name="Hyperlink" xfId="30267" builtinId="8" hidden="1"/>
    <cellStyle name="Hyperlink" xfId="30269" builtinId="8" hidden="1"/>
    <cellStyle name="Hyperlink" xfId="30271" builtinId="8" hidden="1"/>
    <cellStyle name="Hyperlink" xfId="30153" builtinId="8" hidden="1"/>
    <cellStyle name="Hyperlink" xfId="30154" builtinId="8" hidden="1"/>
    <cellStyle name="Hyperlink" xfId="30273" builtinId="8" hidden="1"/>
    <cellStyle name="Hyperlink" xfId="30275" builtinId="8" hidden="1"/>
    <cellStyle name="Hyperlink" xfId="30277" builtinId="8" hidden="1"/>
    <cellStyle name="Hyperlink" xfId="30279" builtinId="8" hidden="1"/>
    <cellStyle name="Hyperlink" xfId="30159" builtinId="8" hidden="1"/>
    <cellStyle name="Hyperlink" xfId="30195" builtinId="8" hidden="1"/>
    <cellStyle name="Hyperlink" xfId="30281" builtinId="8" hidden="1"/>
    <cellStyle name="Hyperlink" xfId="30283" builtinId="8" hidden="1"/>
    <cellStyle name="Hyperlink" xfId="30285" builtinId="8" hidden="1"/>
    <cellStyle name="Hyperlink" xfId="30287" builtinId="8" hidden="1"/>
    <cellStyle name="Hyperlink" xfId="30164" builtinId="8" hidden="1"/>
    <cellStyle name="Hyperlink" xfId="30184" builtinId="8" hidden="1"/>
    <cellStyle name="Hyperlink" xfId="30289" builtinId="8" hidden="1"/>
    <cellStyle name="Hyperlink" xfId="30291" builtinId="8" hidden="1"/>
    <cellStyle name="Hyperlink" xfId="30293" builtinId="8" hidden="1"/>
    <cellStyle name="Hyperlink" xfId="30295" builtinId="8" hidden="1"/>
    <cellStyle name="Hyperlink" xfId="30171" builtinId="8" hidden="1"/>
    <cellStyle name="Hyperlink" xfId="30169" builtinId="8" hidden="1"/>
    <cellStyle name="Hyperlink" xfId="30297" builtinId="8" hidden="1"/>
    <cellStyle name="Hyperlink" xfId="30299" builtinId="8" hidden="1"/>
    <cellStyle name="Hyperlink" xfId="30301" builtinId="8" hidden="1"/>
    <cellStyle name="Hyperlink" xfId="30303" builtinId="8" hidden="1"/>
    <cellStyle name="Hyperlink" xfId="28784" builtinId="8" hidden="1"/>
    <cellStyle name="Hyperlink" xfId="28668" builtinId="8" hidden="1"/>
    <cellStyle name="Hyperlink" xfId="29640" builtinId="8" hidden="1"/>
    <cellStyle name="Hyperlink" xfId="28649" builtinId="8" hidden="1"/>
    <cellStyle name="Hyperlink" xfId="28707" builtinId="8" hidden="1"/>
    <cellStyle name="Hyperlink" xfId="28742" builtinId="8" hidden="1"/>
    <cellStyle name="Hyperlink" xfId="29298" builtinId="8" hidden="1"/>
    <cellStyle name="Hyperlink" xfId="28664" builtinId="8" hidden="1"/>
    <cellStyle name="Hyperlink" xfId="30306" builtinId="8" hidden="1"/>
    <cellStyle name="Hyperlink" xfId="30308" builtinId="8" hidden="1"/>
    <cellStyle name="Hyperlink" xfId="30310" builtinId="8" hidden="1"/>
    <cellStyle name="Hyperlink" xfId="30312" builtinId="8" hidden="1"/>
    <cellStyle name="Hyperlink" xfId="30314" builtinId="8" hidden="1"/>
    <cellStyle name="Hyperlink" xfId="30316" builtinId="8" hidden="1"/>
    <cellStyle name="Hyperlink" xfId="30366" builtinId="8" hidden="1"/>
    <cellStyle name="Hyperlink" xfId="30368" builtinId="8" hidden="1"/>
    <cellStyle name="Hyperlink" xfId="30370" builtinId="8" hidden="1"/>
    <cellStyle name="Hyperlink" xfId="30372" builtinId="8" hidden="1"/>
    <cellStyle name="Hyperlink" xfId="30362" builtinId="8" hidden="1"/>
    <cellStyle name="Hyperlink" xfId="30352" builtinId="8" hidden="1"/>
    <cellStyle name="Hyperlink" xfId="30374" builtinId="8" hidden="1"/>
    <cellStyle name="Hyperlink" xfId="30376" builtinId="8" hidden="1"/>
    <cellStyle name="Hyperlink" xfId="30378" builtinId="8" hidden="1"/>
    <cellStyle name="Hyperlink" xfId="30380" builtinId="8" hidden="1"/>
    <cellStyle name="Hyperlink" xfId="30346" builtinId="8" hidden="1"/>
    <cellStyle name="Hyperlink" xfId="30332" builtinId="8" hidden="1"/>
    <cellStyle name="Hyperlink" xfId="30382" builtinId="8" hidden="1"/>
    <cellStyle name="Hyperlink" xfId="30384" builtinId="8" hidden="1"/>
    <cellStyle name="Hyperlink" xfId="30386" builtinId="8" hidden="1"/>
    <cellStyle name="Hyperlink" xfId="30388" builtinId="8" hidden="1"/>
    <cellStyle name="Hyperlink" xfId="30351" builtinId="8" hidden="1"/>
    <cellStyle name="Hyperlink" xfId="30320" builtinId="8" hidden="1"/>
    <cellStyle name="Hyperlink" xfId="30390" builtinId="8" hidden="1"/>
    <cellStyle name="Hyperlink" xfId="30392" builtinId="8" hidden="1"/>
    <cellStyle name="Hyperlink" xfId="30394" builtinId="8" hidden="1"/>
    <cellStyle name="Hyperlink" xfId="30396" builtinId="8" hidden="1"/>
    <cellStyle name="Hyperlink" xfId="30321" builtinId="8" hidden="1"/>
    <cellStyle name="Hyperlink" xfId="30354" builtinId="8" hidden="1"/>
    <cellStyle name="Hyperlink" xfId="30398" builtinId="8" hidden="1"/>
    <cellStyle name="Hyperlink" xfId="30400" builtinId="8" hidden="1"/>
    <cellStyle name="Hyperlink" xfId="30402" builtinId="8" hidden="1"/>
    <cellStyle name="Hyperlink" xfId="30404" builtinId="8" hidden="1"/>
    <cellStyle name="Hyperlink" xfId="30323" builtinId="8" hidden="1"/>
    <cellStyle name="Hyperlink" xfId="30364" builtinId="8" hidden="1"/>
    <cellStyle name="Hyperlink" xfId="30406" builtinId="8" hidden="1"/>
    <cellStyle name="Hyperlink" xfId="30408" builtinId="8" hidden="1"/>
    <cellStyle name="Hyperlink" xfId="30410" builtinId="8" hidden="1"/>
    <cellStyle name="Hyperlink" xfId="30412" builtinId="8" hidden="1"/>
    <cellStyle name="Hyperlink" xfId="30344" builtinId="8" hidden="1"/>
    <cellStyle name="Hyperlink" xfId="30347" builtinId="8" hidden="1"/>
    <cellStyle name="Hyperlink" xfId="30414" builtinId="8" hidden="1"/>
    <cellStyle name="Hyperlink" xfId="30416" builtinId="8" hidden="1"/>
    <cellStyle name="Hyperlink" xfId="30418" builtinId="8" hidden="1"/>
    <cellStyle name="Hyperlink" xfId="30420" builtinId="8" hidden="1"/>
    <cellStyle name="Hyperlink" xfId="30348" builtinId="8" hidden="1"/>
    <cellStyle name="Hyperlink" xfId="30345" builtinId="8" hidden="1"/>
    <cellStyle name="Hyperlink" xfId="30422" builtinId="8" hidden="1"/>
    <cellStyle name="Hyperlink" xfId="30424" builtinId="8" hidden="1"/>
    <cellStyle name="Hyperlink" xfId="30426" builtinId="8" hidden="1"/>
    <cellStyle name="Hyperlink" xfId="30428" builtinId="8" hidden="1"/>
    <cellStyle name="Hyperlink" xfId="30363" builtinId="8" hidden="1"/>
    <cellStyle name="Hyperlink" xfId="30340" builtinId="8" hidden="1"/>
    <cellStyle name="Hyperlink" xfId="30430" builtinId="8" hidden="1"/>
    <cellStyle name="Hyperlink" xfId="30432" builtinId="8" hidden="1"/>
    <cellStyle name="Hyperlink" xfId="30434" builtinId="8" hidden="1"/>
    <cellStyle name="Hyperlink" xfId="30436" builtinId="8" hidden="1"/>
    <cellStyle name="Hyperlink" xfId="30318" builtinId="8" hidden="1"/>
    <cellStyle name="Hyperlink" xfId="30319" builtinId="8" hidden="1"/>
    <cellStyle name="Hyperlink" xfId="30438" builtinId="8" hidden="1"/>
    <cellStyle name="Hyperlink" xfId="30440" builtinId="8" hidden="1"/>
    <cellStyle name="Hyperlink" xfId="30442" builtinId="8" hidden="1"/>
    <cellStyle name="Hyperlink" xfId="30444" builtinId="8" hidden="1"/>
    <cellStyle name="Hyperlink" xfId="30324" builtinId="8" hidden="1"/>
    <cellStyle name="Hyperlink" xfId="30360" builtinId="8" hidden="1"/>
    <cellStyle name="Hyperlink" xfId="30446" builtinId="8" hidden="1"/>
    <cellStyle name="Hyperlink" xfId="30448" builtinId="8" hidden="1"/>
    <cellStyle name="Hyperlink" xfId="30450" builtinId="8" hidden="1"/>
    <cellStyle name="Hyperlink" xfId="30452" builtinId="8" hidden="1"/>
    <cellStyle name="Hyperlink" xfId="30329" builtinId="8" hidden="1"/>
    <cellStyle name="Hyperlink" xfId="30349" builtinId="8" hidden="1"/>
    <cellStyle name="Hyperlink" xfId="30454" builtinId="8" hidden="1"/>
    <cellStyle name="Hyperlink" xfId="30456" builtinId="8" hidden="1"/>
    <cellStyle name="Hyperlink" xfId="30458" builtinId="8" hidden="1"/>
    <cellStyle name="Hyperlink" xfId="30460" builtinId="8" hidden="1"/>
    <cellStyle name="Hyperlink" xfId="30336" builtinId="8" hidden="1"/>
    <cellStyle name="Hyperlink" xfId="30334" builtinId="8" hidden="1"/>
    <cellStyle name="Hyperlink" xfId="30462" builtinId="8" hidden="1"/>
    <cellStyle name="Hyperlink" xfId="30464" builtinId="8" hidden="1"/>
    <cellStyle name="Hyperlink" xfId="30466" builtinId="8" hidden="1"/>
    <cellStyle name="Hyperlink" xfId="30468" builtinId="8" hidden="1"/>
    <cellStyle name="Hyperlink" xfId="28968" builtinId="8" hidden="1"/>
    <cellStyle name="Hyperlink" xfId="29127" builtinId="8" hidden="1"/>
    <cellStyle name="Hyperlink" xfId="29807" builtinId="8" hidden="1"/>
    <cellStyle name="Hyperlink" xfId="29129" builtinId="8" hidden="1"/>
    <cellStyle name="Hyperlink" xfId="28786" builtinId="8" hidden="1"/>
    <cellStyle name="Hyperlink" xfId="28736" builtinId="8" hidden="1"/>
    <cellStyle name="Hyperlink" xfId="29468" builtinId="8" hidden="1"/>
    <cellStyle name="Hyperlink" xfId="28754" builtinId="8" hidden="1"/>
    <cellStyle name="Hyperlink" xfId="30471" builtinId="8" hidden="1"/>
    <cellStyle name="Hyperlink" xfId="30473" builtinId="8" hidden="1"/>
    <cellStyle name="Hyperlink" xfId="30475" builtinId="8" hidden="1"/>
    <cellStyle name="Hyperlink" xfId="30477" builtinId="8" hidden="1"/>
    <cellStyle name="Hyperlink" xfId="30479" builtinId="8" hidden="1"/>
    <cellStyle name="Hyperlink" xfId="30481" builtinId="8" hidden="1"/>
    <cellStyle name="Hyperlink" xfId="30531" builtinId="8" hidden="1"/>
    <cellStyle name="Hyperlink" xfId="30533" builtinId="8" hidden="1"/>
    <cellStyle name="Hyperlink" xfId="30535" builtinId="8" hidden="1"/>
    <cellStyle name="Hyperlink" xfId="30537" builtinId="8" hidden="1"/>
    <cellStyle name="Hyperlink" xfId="30527" builtinId="8" hidden="1"/>
    <cellStyle name="Hyperlink" xfId="30517" builtinId="8" hidden="1"/>
    <cellStyle name="Hyperlink" xfId="30539" builtinId="8" hidden="1"/>
    <cellStyle name="Hyperlink" xfId="30541" builtinId="8" hidden="1"/>
    <cellStyle name="Hyperlink" xfId="30543" builtinId="8" hidden="1"/>
    <cellStyle name="Hyperlink" xfId="30545" builtinId="8" hidden="1"/>
    <cellStyle name="Hyperlink" xfId="30511" builtinId="8" hidden="1"/>
    <cellStyle name="Hyperlink" xfId="30497" builtinId="8" hidden="1"/>
    <cellStyle name="Hyperlink" xfId="30547" builtinId="8" hidden="1"/>
    <cellStyle name="Hyperlink" xfId="30549" builtinId="8" hidden="1"/>
    <cellStyle name="Hyperlink" xfId="30551" builtinId="8" hidden="1"/>
    <cellStyle name="Hyperlink" xfId="30553" builtinId="8" hidden="1"/>
    <cellStyle name="Hyperlink" xfId="30516" builtinId="8" hidden="1"/>
    <cellStyle name="Hyperlink" xfId="30485" builtinId="8" hidden="1"/>
    <cellStyle name="Hyperlink" xfId="30555" builtinId="8" hidden="1"/>
    <cellStyle name="Hyperlink" xfId="30557" builtinId="8" hidden="1"/>
    <cellStyle name="Hyperlink" xfId="30559" builtinId="8" hidden="1"/>
    <cellStyle name="Hyperlink" xfId="30561" builtinId="8" hidden="1"/>
    <cellStyle name="Hyperlink" xfId="30486" builtinId="8" hidden="1"/>
    <cellStyle name="Hyperlink" xfId="30519" builtinId="8" hidden="1"/>
    <cellStyle name="Hyperlink" xfId="30563" builtinId="8" hidden="1"/>
    <cellStyle name="Hyperlink" xfId="30565" builtinId="8" hidden="1"/>
    <cellStyle name="Hyperlink" xfId="30567" builtinId="8" hidden="1"/>
    <cellStyle name="Hyperlink" xfId="30569" builtinId="8" hidden="1"/>
    <cellStyle name="Hyperlink" xfId="30488" builtinId="8" hidden="1"/>
    <cellStyle name="Hyperlink" xfId="30529" builtinId="8" hidden="1"/>
    <cellStyle name="Hyperlink" xfId="30571" builtinId="8" hidden="1"/>
    <cellStyle name="Hyperlink" xfId="30573" builtinId="8" hidden="1"/>
    <cellStyle name="Hyperlink" xfId="30575" builtinId="8" hidden="1"/>
    <cellStyle name="Hyperlink" xfId="30577" builtinId="8" hidden="1"/>
    <cellStyle name="Hyperlink" xfId="30509" builtinId="8" hidden="1"/>
    <cellStyle name="Hyperlink" xfId="30512" builtinId="8" hidden="1"/>
    <cellStyle name="Hyperlink" xfId="30579" builtinId="8" hidden="1"/>
    <cellStyle name="Hyperlink" xfId="30581" builtinId="8" hidden="1"/>
    <cellStyle name="Hyperlink" xfId="30583" builtinId="8" hidden="1"/>
    <cellStyle name="Hyperlink" xfId="30585" builtinId="8" hidden="1"/>
    <cellStyle name="Hyperlink" xfId="30513" builtinId="8" hidden="1"/>
    <cellStyle name="Hyperlink" xfId="30510" builtinId="8" hidden="1"/>
    <cellStyle name="Hyperlink" xfId="30587" builtinId="8" hidden="1"/>
    <cellStyle name="Hyperlink" xfId="30589" builtinId="8" hidden="1"/>
    <cellStyle name="Hyperlink" xfId="30591" builtinId="8" hidden="1"/>
    <cellStyle name="Hyperlink" xfId="30593" builtinId="8" hidden="1"/>
    <cellStyle name="Hyperlink" xfId="30528" builtinId="8" hidden="1"/>
    <cellStyle name="Hyperlink" xfId="30505" builtinId="8" hidden="1"/>
    <cellStyle name="Hyperlink" xfId="30595" builtinId="8" hidden="1"/>
    <cellStyle name="Hyperlink" xfId="30597" builtinId="8" hidden="1"/>
    <cellStyle name="Hyperlink" xfId="30599" builtinId="8" hidden="1"/>
    <cellStyle name="Hyperlink" xfId="30601" builtinId="8" hidden="1"/>
    <cellStyle name="Hyperlink" xfId="30483" builtinId="8" hidden="1"/>
    <cellStyle name="Hyperlink" xfId="30484" builtinId="8" hidden="1"/>
    <cellStyle name="Hyperlink" xfId="30603" builtinId="8" hidden="1"/>
    <cellStyle name="Hyperlink" xfId="30605" builtinId="8" hidden="1"/>
    <cellStyle name="Hyperlink" xfId="30607" builtinId="8" hidden="1"/>
    <cellStyle name="Hyperlink" xfId="30609" builtinId="8" hidden="1"/>
    <cellStyle name="Hyperlink" xfId="30489" builtinId="8" hidden="1"/>
    <cellStyle name="Hyperlink" xfId="30525" builtinId="8" hidden="1"/>
    <cellStyle name="Hyperlink" xfId="30611" builtinId="8" hidden="1"/>
    <cellStyle name="Hyperlink" xfId="30613" builtinId="8" hidden="1"/>
    <cellStyle name="Hyperlink" xfId="30615" builtinId="8" hidden="1"/>
    <cellStyle name="Hyperlink" xfId="30617" builtinId="8" hidden="1"/>
    <cellStyle name="Hyperlink" xfId="30494" builtinId="8" hidden="1"/>
    <cellStyle name="Hyperlink" xfId="30514" builtinId="8" hidden="1"/>
    <cellStyle name="Hyperlink" xfId="30619" builtinId="8" hidden="1"/>
    <cellStyle name="Hyperlink" xfId="30621" builtinId="8" hidden="1"/>
    <cellStyle name="Hyperlink" xfId="30623" builtinId="8" hidden="1"/>
    <cellStyle name="Hyperlink" xfId="30625" builtinId="8" hidden="1"/>
    <cellStyle name="Hyperlink" xfId="30501" builtinId="8" hidden="1"/>
    <cellStyle name="Hyperlink" xfId="30499" builtinId="8" hidden="1"/>
    <cellStyle name="Hyperlink" xfId="30627" builtinId="8" hidden="1"/>
    <cellStyle name="Hyperlink" xfId="30629" builtinId="8" hidden="1"/>
    <cellStyle name="Hyperlink" xfId="30631" builtinId="8" hidden="1"/>
    <cellStyle name="Hyperlink" xfId="30633" builtinId="8" hidden="1"/>
    <cellStyle name="Hyperlink" xfId="28670" builtinId="8" hidden="1"/>
    <cellStyle name="Hyperlink" xfId="28759" builtinId="8" hidden="1"/>
    <cellStyle name="Hyperlink" xfId="29974" builtinId="8" hidden="1"/>
    <cellStyle name="Hyperlink" xfId="29299" builtinId="8" hidden="1"/>
    <cellStyle name="Hyperlink" xfId="28788" builtinId="8" hidden="1"/>
    <cellStyle name="Hyperlink" xfId="28699" builtinId="8" hidden="1"/>
    <cellStyle name="Hyperlink" xfId="29637" builtinId="8" hidden="1"/>
    <cellStyle name="Hyperlink" xfId="28790" builtinId="8" hidden="1"/>
    <cellStyle name="Hyperlink" xfId="30635" builtinId="8" hidden="1"/>
    <cellStyle name="Hyperlink" xfId="30637" builtinId="8" hidden="1"/>
    <cellStyle name="Hyperlink" xfId="30639" builtinId="8" hidden="1"/>
    <cellStyle name="Hyperlink" xfId="30641" builtinId="8" hidden="1"/>
    <cellStyle name="Hyperlink" xfId="30643" builtinId="8" hidden="1"/>
    <cellStyle name="Hyperlink" xfId="30645" builtinId="8" hidden="1"/>
    <cellStyle name="Hyperlink" xfId="30695" builtinId="8" hidden="1"/>
    <cellStyle name="Hyperlink" xfId="30697" builtinId="8" hidden="1"/>
    <cellStyle name="Hyperlink" xfId="30699" builtinId="8" hidden="1"/>
    <cellStyle name="Hyperlink" xfId="30701" builtinId="8" hidden="1"/>
    <cellStyle name="Hyperlink" xfId="30691" builtinId="8" hidden="1"/>
    <cellStyle name="Hyperlink" xfId="30681" builtinId="8" hidden="1"/>
    <cellStyle name="Hyperlink" xfId="30703" builtinId="8" hidden="1"/>
    <cellStyle name="Hyperlink" xfId="30705" builtinId="8" hidden="1"/>
    <cellStyle name="Hyperlink" xfId="30707" builtinId="8" hidden="1"/>
    <cellStyle name="Hyperlink" xfId="30709" builtinId="8" hidden="1"/>
    <cellStyle name="Hyperlink" xfId="30675" builtinId="8" hidden="1"/>
    <cellStyle name="Hyperlink" xfId="30661" builtinId="8" hidden="1"/>
    <cellStyle name="Hyperlink" xfId="30711" builtinId="8" hidden="1"/>
    <cellStyle name="Hyperlink" xfId="30713" builtinId="8" hidden="1"/>
    <cellStyle name="Hyperlink" xfId="30715" builtinId="8" hidden="1"/>
    <cellStyle name="Hyperlink" xfId="30717" builtinId="8" hidden="1"/>
    <cellStyle name="Hyperlink" xfId="30680" builtinId="8" hidden="1"/>
    <cellStyle name="Hyperlink" xfId="30649" builtinId="8" hidden="1"/>
    <cellStyle name="Hyperlink" xfId="30719" builtinId="8" hidden="1"/>
    <cellStyle name="Hyperlink" xfId="30721" builtinId="8" hidden="1"/>
    <cellStyle name="Hyperlink" xfId="30723" builtinId="8" hidden="1"/>
    <cellStyle name="Hyperlink" xfId="30725" builtinId="8" hidden="1"/>
    <cellStyle name="Hyperlink" xfId="30650" builtinId="8" hidden="1"/>
    <cellStyle name="Hyperlink" xfId="30683" builtinId="8" hidden="1"/>
    <cellStyle name="Hyperlink" xfId="30727" builtinId="8" hidden="1"/>
    <cellStyle name="Hyperlink" xfId="30729" builtinId="8" hidden="1"/>
    <cellStyle name="Hyperlink" xfId="30731" builtinId="8" hidden="1"/>
    <cellStyle name="Hyperlink" xfId="30733" builtinId="8" hidden="1"/>
    <cellStyle name="Hyperlink" xfId="30652" builtinId="8" hidden="1"/>
    <cellStyle name="Hyperlink" xfId="30693" builtinId="8" hidden="1"/>
    <cellStyle name="Hyperlink" xfId="30735" builtinId="8" hidden="1"/>
    <cellStyle name="Hyperlink" xfId="30737" builtinId="8" hidden="1"/>
    <cellStyle name="Hyperlink" xfId="30739" builtinId="8" hidden="1"/>
    <cellStyle name="Hyperlink" xfId="30741" builtinId="8" hidden="1"/>
    <cellStyle name="Hyperlink" xfId="30673" builtinId="8" hidden="1"/>
    <cellStyle name="Hyperlink" xfId="30676" builtinId="8" hidden="1"/>
    <cellStyle name="Hyperlink" xfId="30743" builtinId="8" hidden="1"/>
    <cellStyle name="Hyperlink" xfId="30745" builtinId="8" hidden="1"/>
    <cellStyle name="Hyperlink" xfId="30747" builtinId="8" hidden="1"/>
    <cellStyle name="Hyperlink" xfId="30749" builtinId="8" hidden="1"/>
    <cellStyle name="Hyperlink" xfId="30677" builtinId="8" hidden="1"/>
    <cellStyle name="Hyperlink" xfId="30674" builtinId="8" hidden="1"/>
    <cellStyle name="Hyperlink" xfId="30751" builtinId="8" hidden="1"/>
    <cellStyle name="Hyperlink" xfId="30753" builtinId="8" hidden="1"/>
    <cellStyle name="Hyperlink" xfId="30755" builtinId="8" hidden="1"/>
    <cellStyle name="Hyperlink" xfId="30757" builtinId="8" hidden="1"/>
    <cellStyle name="Hyperlink" xfId="30692" builtinId="8" hidden="1"/>
    <cellStyle name="Hyperlink" xfId="30669" builtinId="8" hidden="1"/>
    <cellStyle name="Hyperlink" xfId="30759" builtinId="8" hidden="1"/>
    <cellStyle name="Hyperlink" xfId="30761" builtinId="8" hidden="1"/>
    <cellStyle name="Hyperlink" xfId="30763" builtinId="8" hidden="1"/>
    <cellStyle name="Hyperlink" xfId="30765" builtinId="8" hidden="1"/>
    <cellStyle name="Hyperlink" xfId="30647" builtinId="8" hidden="1"/>
    <cellStyle name="Hyperlink" xfId="30648" builtinId="8" hidden="1"/>
    <cellStyle name="Hyperlink" xfId="30767" builtinId="8" hidden="1"/>
    <cellStyle name="Hyperlink" xfId="30769" builtinId="8" hidden="1"/>
    <cellStyle name="Hyperlink" xfId="30771" builtinId="8" hidden="1"/>
    <cellStyle name="Hyperlink" xfId="30773" builtinId="8" hidden="1"/>
    <cellStyle name="Hyperlink" xfId="30653" builtinId="8" hidden="1"/>
    <cellStyle name="Hyperlink" xfId="30689" builtinId="8" hidden="1"/>
    <cellStyle name="Hyperlink" xfId="30775" builtinId="8" hidden="1"/>
    <cellStyle name="Hyperlink" xfId="30777" builtinId="8" hidden="1"/>
    <cellStyle name="Hyperlink" xfId="30779" builtinId="8" hidden="1"/>
    <cellStyle name="Hyperlink" xfId="30781" builtinId="8" hidden="1"/>
    <cellStyle name="Hyperlink" xfId="30658" builtinId="8" hidden="1"/>
    <cellStyle name="Hyperlink" xfId="30678" builtinId="8" hidden="1"/>
    <cellStyle name="Hyperlink" xfId="30783" builtinId="8" hidden="1"/>
    <cellStyle name="Hyperlink" xfId="30785" builtinId="8" hidden="1"/>
    <cellStyle name="Hyperlink" xfId="30787" builtinId="8" hidden="1"/>
    <cellStyle name="Hyperlink" xfId="30789" builtinId="8" hidden="1"/>
    <cellStyle name="Hyperlink" xfId="30665" builtinId="8" hidden="1"/>
    <cellStyle name="Hyperlink" xfId="30663" builtinId="8" hidden="1"/>
    <cellStyle name="Hyperlink" xfId="30791" builtinId="8" hidden="1"/>
    <cellStyle name="Hyperlink" xfId="30793" builtinId="8" hidden="1"/>
    <cellStyle name="Hyperlink" xfId="30795" builtinId="8" hidden="1"/>
    <cellStyle name="Hyperlink" xfId="30797" builtinId="8" hidden="1"/>
    <cellStyle name="Hyperlink" xfId="19146" builtinId="8" hidden="1"/>
    <cellStyle name="Hyperlink" xfId="19024" builtinId="8" hidden="1"/>
    <cellStyle name="Hyperlink" xfId="19109" builtinId="8" hidden="1"/>
    <cellStyle name="Hyperlink" xfId="19157" builtinId="8" hidden="1"/>
    <cellStyle name="Hyperlink" xfId="19022" builtinId="8" hidden="1"/>
    <cellStyle name="Hyperlink" xfId="19027" builtinId="8" hidden="1"/>
    <cellStyle name="Hyperlink" xfId="19019" builtinId="8" hidden="1"/>
    <cellStyle name="Hyperlink" xfId="19073" builtinId="8" hidden="1"/>
    <cellStyle name="Hyperlink" xfId="19034" builtinId="8" hidden="1"/>
    <cellStyle name="Hyperlink" xfId="19089" builtinId="8" hidden="1"/>
    <cellStyle name="Hyperlink" xfId="19129" builtinId="8" hidden="1"/>
    <cellStyle name="Hyperlink" xfId="19148" builtinId="8" hidden="1"/>
    <cellStyle name="Hyperlink" xfId="19092" builtinId="8" hidden="1"/>
    <cellStyle name="Hyperlink" xfId="26149" builtinId="8" hidden="1"/>
    <cellStyle name="Hyperlink" xfId="30799" builtinId="8" hidden="1"/>
    <cellStyle name="Hyperlink" xfId="30801" builtinId="8" hidden="1"/>
    <cellStyle name="Hyperlink" xfId="30803" builtinId="8" hidden="1"/>
    <cellStyle name="Hyperlink" xfId="30805" builtinId="8" hidden="1"/>
    <cellStyle name="Hyperlink" xfId="30807" builtinId="8" hidden="1"/>
    <cellStyle name="Hyperlink" xfId="30809" builtinId="8" hidden="1"/>
    <cellStyle name="Hyperlink" xfId="30859" builtinId="8" hidden="1"/>
    <cellStyle name="Hyperlink" xfId="30861" builtinId="8" hidden="1"/>
    <cellStyle name="Hyperlink" xfId="30863" builtinId="8" hidden="1"/>
    <cellStyle name="Hyperlink" xfId="30865" builtinId="8" hidden="1"/>
    <cellStyle name="Hyperlink" xfId="30855" builtinId="8" hidden="1"/>
    <cellStyle name="Hyperlink" xfId="30845" builtinId="8" hidden="1"/>
    <cellStyle name="Hyperlink" xfId="30867" builtinId="8" hidden="1"/>
    <cellStyle name="Hyperlink" xfId="30869" builtinId="8" hidden="1"/>
    <cellStyle name="Hyperlink" xfId="30871" builtinId="8" hidden="1"/>
    <cellStyle name="Hyperlink" xfId="30873" builtinId="8" hidden="1"/>
    <cellStyle name="Hyperlink" xfId="30839" builtinId="8" hidden="1"/>
    <cellStyle name="Hyperlink" xfId="30825" builtinId="8" hidden="1"/>
    <cellStyle name="Hyperlink" xfId="30875" builtinId="8" hidden="1"/>
    <cellStyle name="Hyperlink" xfId="30877" builtinId="8" hidden="1"/>
    <cellStyle name="Hyperlink" xfId="30879" builtinId="8" hidden="1"/>
    <cellStyle name="Hyperlink" xfId="30881" builtinId="8" hidden="1"/>
    <cellStyle name="Hyperlink" xfId="30844" builtinId="8" hidden="1"/>
    <cellStyle name="Hyperlink" xfId="30813" builtinId="8" hidden="1"/>
    <cellStyle name="Hyperlink" xfId="30883" builtinId="8" hidden="1"/>
    <cellStyle name="Hyperlink" xfId="30885" builtinId="8" hidden="1"/>
    <cellStyle name="Hyperlink" xfId="30887" builtinId="8" hidden="1"/>
    <cellStyle name="Hyperlink" xfId="30889" builtinId="8" hidden="1"/>
    <cellStyle name="Hyperlink" xfId="30814" builtinId="8" hidden="1"/>
    <cellStyle name="Hyperlink" xfId="30847" builtinId="8" hidden="1"/>
    <cellStyle name="Hyperlink" xfId="30891" builtinId="8" hidden="1"/>
    <cellStyle name="Hyperlink" xfId="30893" builtinId="8" hidden="1"/>
    <cellStyle name="Hyperlink" xfId="30895" builtinId="8" hidden="1"/>
    <cellStyle name="Hyperlink" xfId="30897" builtinId="8" hidden="1"/>
    <cellStyle name="Hyperlink" xfId="30816" builtinId="8" hidden="1"/>
    <cellStyle name="Hyperlink" xfId="30857" builtinId="8" hidden="1"/>
    <cellStyle name="Hyperlink" xfId="30899" builtinId="8" hidden="1"/>
    <cellStyle name="Hyperlink" xfId="30901" builtinId="8" hidden="1"/>
    <cellStyle name="Hyperlink" xfId="30903" builtinId="8" hidden="1"/>
    <cellStyle name="Hyperlink" xfId="30905" builtinId="8" hidden="1"/>
    <cellStyle name="Hyperlink" xfId="30837" builtinId="8" hidden="1"/>
    <cellStyle name="Hyperlink" xfId="30840" builtinId="8" hidden="1"/>
    <cellStyle name="Hyperlink" xfId="30907" builtinId="8" hidden="1"/>
    <cellStyle name="Hyperlink" xfId="30909" builtinId="8" hidden="1"/>
    <cellStyle name="Hyperlink" xfId="30911" builtinId="8" hidden="1"/>
    <cellStyle name="Hyperlink" xfId="30913" builtinId="8" hidden="1"/>
    <cellStyle name="Hyperlink" xfId="30841" builtinId="8" hidden="1"/>
    <cellStyle name="Hyperlink" xfId="30838" builtinId="8" hidden="1"/>
    <cellStyle name="Hyperlink" xfId="30915" builtinId="8" hidden="1"/>
    <cellStyle name="Hyperlink" xfId="30917" builtinId="8" hidden="1"/>
    <cellStyle name="Hyperlink" xfId="30919" builtinId="8" hidden="1"/>
    <cellStyle name="Hyperlink" xfId="30921" builtinId="8" hidden="1"/>
    <cellStyle name="Hyperlink" xfId="30856" builtinId="8" hidden="1"/>
    <cellStyle name="Hyperlink" xfId="30833" builtinId="8" hidden="1"/>
    <cellStyle name="Hyperlink" xfId="30923" builtinId="8" hidden="1"/>
    <cellStyle name="Hyperlink" xfId="30925" builtinId="8" hidden="1"/>
    <cellStyle name="Hyperlink" xfId="30927" builtinId="8" hidden="1"/>
    <cellStyle name="Hyperlink" xfId="30929" builtinId="8" hidden="1"/>
    <cellStyle name="Hyperlink" xfId="30811" builtinId="8" hidden="1"/>
    <cellStyle name="Hyperlink" xfId="30812" builtinId="8" hidden="1"/>
    <cellStyle name="Hyperlink" xfId="30931" builtinId="8" hidden="1"/>
    <cellStyle name="Hyperlink" xfId="30933" builtinId="8" hidden="1"/>
    <cellStyle name="Hyperlink" xfId="30935" builtinId="8" hidden="1"/>
    <cellStyle name="Hyperlink" xfId="30937" builtinId="8" hidden="1"/>
    <cellStyle name="Hyperlink" xfId="30817" builtinId="8" hidden="1"/>
    <cellStyle name="Hyperlink" xfId="30853" builtinId="8" hidden="1"/>
    <cellStyle name="Hyperlink" xfId="30939" builtinId="8" hidden="1"/>
    <cellStyle name="Hyperlink" xfId="30941" builtinId="8" hidden="1"/>
    <cellStyle name="Hyperlink" xfId="30943" builtinId="8" hidden="1"/>
    <cellStyle name="Hyperlink" xfId="30945" builtinId="8" hidden="1"/>
    <cellStyle name="Hyperlink" xfId="30822" builtinId="8" hidden="1"/>
    <cellStyle name="Hyperlink" xfId="30842" builtinId="8" hidden="1"/>
    <cellStyle name="Hyperlink" xfId="30947" builtinId="8" hidden="1"/>
    <cellStyle name="Hyperlink" xfId="30949" builtinId="8" hidden="1"/>
    <cellStyle name="Hyperlink" xfId="30951" builtinId="8" hidden="1"/>
    <cellStyle name="Hyperlink" xfId="30953" builtinId="8" hidden="1"/>
    <cellStyle name="Hyperlink" xfId="30829" builtinId="8" hidden="1"/>
    <cellStyle name="Hyperlink" xfId="30827" builtinId="8" hidden="1"/>
    <cellStyle name="Hyperlink" xfId="30955" builtinId="8" hidden="1"/>
    <cellStyle name="Hyperlink" xfId="30957" builtinId="8" hidden="1"/>
    <cellStyle name="Hyperlink" xfId="30959" builtinId="8" hidden="1"/>
    <cellStyle name="Hyperlink" xfId="30961" builtinId="8" hidden="1"/>
    <cellStyle name="Hyperlink" xfId="30963" builtinId="8" hidden="1"/>
    <cellStyle name="Hyperlink" xfId="30965" builtinId="8" hidden="1"/>
    <cellStyle name="Hyperlink" xfId="31031" builtinId="8" hidden="1"/>
    <cellStyle name="Hyperlink" xfId="31033" builtinId="8" hidden="1"/>
    <cellStyle name="Hyperlink" xfId="31035" builtinId="8" hidden="1"/>
    <cellStyle name="Hyperlink" xfId="31037" builtinId="8" hidden="1"/>
    <cellStyle name="Hyperlink" xfId="31040" builtinId="8" hidden="1"/>
    <cellStyle name="Hyperlink" xfId="31042" builtinId="8" hidden="1"/>
    <cellStyle name="Hyperlink" xfId="31116" builtinId="8" hidden="1"/>
    <cellStyle name="Hyperlink" xfId="31118" builtinId="8" hidden="1"/>
    <cellStyle name="Hyperlink" xfId="31120" builtinId="8" hidden="1"/>
    <cellStyle name="Hyperlink" xfId="31122" builtinId="8" hidden="1"/>
    <cellStyle name="Hyperlink" xfId="31124" builtinId="8" hidden="1"/>
    <cellStyle name="Hyperlink" xfId="31126" builtinId="8" hidden="1"/>
    <cellStyle name="Hyperlink" xfId="31176" builtinId="8" hidden="1"/>
    <cellStyle name="Hyperlink" xfId="31178" builtinId="8" hidden="1"/>
    <cellStyle name="Hyperlink" xfId="31180" builtinId="8" hidden="1"/>
    <cellStyle name="Hyperlink" xfId="31182" builtinId="8" hidden="1"/>
    <cellStyle name="Hyperlink" xfId="31172" builtinId="8" hidden="1"/>
    <cellStyle name="Hyperlink" xfId="31162" builtinId="8" hidden="1"/>
    <cellStyle name="Hyperlink" xfId="31184" builtinId="8" hidden="1"/>
    <cellStyle name="Hyperlink" xfId="31186" builtinId="8" hidden="1"/>
    <cellStyle name="Hyperlink" xfId="31188" builtinId="8" hidden="1"/>
    <cellStyle name="Hyperlink" xfId="31190" builtinId="8" hidden="1"/>
    <cellStyle name="Hyperlink" xfId="31156" builtinId="8" hidden="1"/>
    <cellStyle name="Hyperlink" xfId="31142" builtinId="8" hidden="1"/>
    <cellStyle name="Hyperlink" xfId="31192" builtinId="8" hidden="1"/>
    <cellStyle name="Hyperlink" xfId="31194" builtinId="8" hidden="1"/>
    <cellStyle name="Hyperlink" xfId="31196" builtinId="8" hidden="1"/>
    <cellStyle name="Hyperlink" xfId="31198" builtinId="8" hidden="1"/>
    <cellStyle name="Hyperlink" xfId="31161" builtinId="8" hidden="1"/>
    <cellStyle name="Hyperlink" xfId="31130" builtinId="8" hidden="1"/>
    <cellStyle name="Hyperlink" xfId="31200" builtinId="8" hidden="1"/>
    <cellStyle name="Hyperlink" xfId="31202" builtinId="8" hidden="1"/>
    <cellStyle name="Hyperlink" xfId="31204" builtinId="8" hidden="1"/>
    <cellStyle name="Hyperlink" xfId="31206" builtinId="8" hidden="1"/>
    <cellStyle name="Hyperlink" xfId="31131" builtinId="8" hidden="1"/>
    <cellStyle name="Hyperlink" xfId="31164" builtinId="8" hidden="1"/>
    <cellStyle name="Hyperlink" xfId="31208" builtinId="8" hidden="1"/>
    <cellStyle name="Hyperlink" xfId="31210" builtinId="8" hidden="1"/>
    <cellStyle name="Hyperlink" xfId="31212" builtinId="8" hidden="1"/>
    <cellStyle name="Hyperlink" xfId="31214" builtinId="8" hidden="1"/>
    <cellStyle name="Hyperlink" xfId="31133" builtinId="8" hidden="1"/>
    <cellStyle name="Hyperlink" xfId="31174" builtinId="8" hidden="1"/>
    <cellStyle name="Hyperlink" xfId="31216" builtinId="8" hidden="1"/>
    <cellStyle name="Hyperlink" xfId="31218" builtinId="8" hidden="1"/>
    <cellStyle name="Hyperlink" xfId="31220" builtinId="8" hidden="1"/>
    <cellStyle name="Hyperlink" xfId="31222" builtinId="8" hidden="1"/>
    <cellStyle name="Hyperlink" xfId="31154" builtinId="8" hidden="1"/>
    <cellStyle name="Hyperlink" xfId="31157" builtinId="8" hidden="1"/>
    <cellStyle name="Hyperlink" xfId="31224" builtinId="8" hidden="1"/>
    <cellStyle name="Hyperlink" xfId="31226" builtinId="8" hidden="1"/>
    <cellStyle name="Hyperlink" xfId="31228" builtinId="8" hidden="1"/>
    <cellStyle name="Hyperlink" xfId="31230" builtinId="8" hidden="1"/>
    <cellStyle name="Hyperlink" xfId="31158" builtinId="8" hidden="1"/>
    <cellStyle name="Hyperlink" xfId="31155" builtinId="8" hidden="1"/>
    <cellStyle name="Hyperlink" xfId="31232" builtinId="8" hidden="1"/>
    <cellStyle name="Hyperlink" xfId="31234" builtinId="8" hidden="1"/>
    <cellStyle name="Hyperlink" xfId="31236" builtinId="8" hidden="1"/>
    <cellStyle name="Hyperlink" xfId="31238" builtinId="8" hidden="1"/>
    <cellStyle name="Hyperlink" xfId="31173" builtinId="8" hidden="1"/>
    <cellStyle name="Hyperlink" xfId="31150" builtinId="8" hidden="1"/>
    <cellStyle name="Hyperlink" xfId="31240" builtinId="8" hidden="1"/>
    <cellStyle name="Hyperlink" xfId="31242" builtinId="8" hidden="1"/>
    <cellStyle name="Hyperlink" xfId="31244" builtinId="8" hidden="1"/>
    <cellStyle name="Hyperlink" xfId="31246" builtinId="8" hidden="1"/>
    <cellStyle name="Hyperlink" xfId="31128" builtinId="8" hidden="1"/>
    <cellStyle name="Hyperlink" xfId="31129" builtinId="8" hidden="1"/>
    <cellStyle name="Hyperlink" xfId="31248" builtinId="8" hidden="1"/>
    <cellStyle name="Hyperlink" xfId="31250" builtinId="8" hidden="1"/>
    <cellStyle name="Hyperlink" xfId="31252" builtinId="8" hidden="1"/>
    <cellStyle name="Hyperlink" xfId="31254" builtinId="8" hidden="1"/>
    <cellStyle name="Hyperlink" xfId="31134" builtinId="8" hidden="1"/>
    <cellStyle name="Hyperlink" xfId="31170" builtinId="8" hidden="1"/>
    <cellStyle name="Hyperlink" xfId="31256" builtinId="8" hidden="1"/>
    <cellStyle name="Hyperlink" xfId="31258" builtinId="8" hidden="1"/>
    <cellStyle name="Hyperlink" xfId="31260" builtinId="8" hidden="1"/>
    <cellStyle name="Hyperlink" xfId="31262" builtinId="8" hidden="1"/>
    <cellStyle name="Hyperlink" xfId="31139" builtinId="8" hidden="1"/>
    <cellStyle name="Hyperlink" xfId="31159" builtinId="8" hidden="1"/>
    <cellStyle name="Hyperlink" xfId="31264" builtinId="8" hidden="1"/>
    <cellStyle name="Hyperlink" xfId="31266" builtinId="8" hidden="1"/>
    <cellStyle name="Hyperlink" xfId="31268" builtinId="8" hidden="1"/>
    <cellStyle name="Hyperlink" xfId="31270" builtinId="8" hidden="1"/>
    <cellStyle name="Hyperlink" xfId="31146" builtinId="8" hidden="1"/>
    <cellStyle name="Hyperlink" xfId="31144" builtinId="8" hidden="1"/>
    <cellStyle name="Hyperlink" xfId="31272" builtinId="8" hidden="1"/>
    <cellStyle name="Hyperlink" xfId="31274" builtinId="8" hidden="1"/>
    <cellStyle name="Hyperlink" xfId="31276" builtinId="8" hidden="1"/>
    <cellStyle name="Hyperlink" xfId="31278" builtinId="8" hidden="1"/>
    <cellStyle name="Hyperlink" xfId="30977" builtinId="8" hidden="1"/>
    <cellStyle name="Hyperlink" xfId="31089" builtinId="8" hidden="1"/>
    <cellStyle name="Hyperlink" xfId="30981" builtinId="8" hidden="1"/>
    <cellStyle name="Hyperlink" xfId="31092" builtinId="8" hidden="1"/>
    <cellStyle name="Hyperlink" xfId="31075" builtinId="8" hidden="1"/>
    <cellStyle name="Hyperlink" xfId="31027" builtinId="8" hidden="1"/>
    <cellStyle name="Hyperlink" xfId="30968" builtinId="8" hidden="1"/>
    <cellStyle name="Hyperlink" xfId="31080" builtinId="8" hidden="1"/>
    <cellStyle name="Hyperlink" xfId="31283" builtinId="8" hidden="1"/>
    <cellStyle name="Hyperlink" xfId="31285" builtinId="8" hidden="1"/>
    <cellStyle name="Hyperlink" xfId="31287" builtinId="8" hidden="1"/>
    <cellStyle name="Hyperlink" xfId="31289" builtinId="8" hidden="1"/>
    <cellStyle name="Hyperlink" xfId="31292" builtinId="8" hidden="1"/>
    <cellStyle name="Hyperlink" xfId="31294" builtinId="8" hidden="1"/>
    <cellStyle name="Hyperlink" xfId="31344" builtinId="8" hidden="1"/>
    <cellStyle name="Hyperlink" xfId="31346" builtinId="8" hidden="1"/>
    <cellStyle name="Hyperlink" xfId="31348" builtinId="8" hidden="1"/>
    <cellStyle name="Hyperlink" xfId="31350" builtinId="8" hidden="1"/>
    <cellStyle name="Hyperlink" xfId="31340" builtinId="8" hidden="1"/>
    <cellStyle name="Hyperlink" xfId="31330" builtinId="8" hidden="1"/>
    <cellStyle name="Hyperlink" xfId="31352" builtinId="8" hidden="1"/>
    <cellStyle name="Hyperlink" xfId="31354" builtinId="8" hidden="1"/>
    <cellStyle name="Hyperlink" xfId="31356" builtinId="8" hidden="1"/>
    <cellStyle name="Hyperlink" xfId="31358" builtinId="8" hidden="1"/>
    <cellStyle name="Hyperlink" xfId="31324" builtinId="8" hidden="1"/>
    <cellStyle name="Hyperlink" xfId="31310" builtinId="8" hidden="1"/>
    <cellStyle name="Hyperlink" xfId="31360" builtinId="8" hidden="1"/>
    <cellStyle name="Hyperlink" xfId="31362" builtinId="8" hidden="1"/>
    <cellStyle name="Hyperlink" xfId="31364" builtinId="8" hidden="1"/>
    <cellStyle name="Hyperlink" xfId="31366" builtinId="8" hidden="1"/>
    <cellStyle name="Hyperlink" xfId="31329" builtinId="8" hidden="1"/>
    <cellStyle name="Hyperlink" xfId="31298" builtinId="8" hidden="1"/>
    <cellStyle name="Hyperlink" xfId="31368" builtinId="8" hidden="1"/>
    <cellStyle name="Hyperlink" xfId="31370" builtinId="8" hidden="1"/>
    <cellStyle name="Hyperlink" xfId="31372" builtinId="8" hidden="1"/>
    <cellStyle name="Hyperlink" xfId="31374" builtinId="8" hidden="1"/>
    <cellStyle name="Hyperlink" xfId="31299" builtinId="8" hidden="1"/>
    <cellStyle name="Hyperlink" xfId="31332" builtinId="8" hidden="1"/>
    <cellStyle name="Hyperlink" xfId="31376" builtinId="8" hidden="1"/>
    <cellStyle name="Hyperlink" xfId="31378" builtinId="8" hidden="1"/>
    <cellStyle name="Hyperlink" xfId="31380" builtinId="8" hidden="1"/>
    <cellStyle name="Hyperlink" xfId="31382" builtinId="8" hidden="1"/>
    <cellStyle name="Hyperlink" xfId="31301" builtinId="8" hidden="1"/>
    <cellStyle name="Hyperlink" xfId="31342" builtinId="8" hidden="1"/>
    <cellStyle name="Hyperlink" xfId="31384" builtinId="8" hidden="1"/>
    <cellStyle name="Hyperlink" xfId="31386" builtinId="8" hidden="1"/>
    <cellStyle name="Hyperlink" xfId="31388" builtinId="8" hidden="1"/>
    <cellStyle name="Hyperlink" xfId="31390" builtinId="8" hidden="1"/>
    <cellStyle name="Hyperlink" xfId="31322" builtinId="8" hidden="1"/>
    <cellStyle name="Hyperlink" xfId="31325" builtinId="8" hidden="1"/>
    <cellStyle name="Hyperlink" xfId="31392" builtinId="8" hidden="1"/>
    <cellStyle name="Hyperlink" xfId="31394" builtinId="8" hidden="1"/>
    <cellStyle name="Hyperlink" xfId="31396" builtinId="8" hidden="1"/>
    <cellStyle name="Hyperlink" xfId="31398" builtinId="8" hidden="1"/>
    <cellStyle name="Hyperlink" xfId="31326" builtinId="8" hidden="1"/>
    <cellStyle name="Hyperlink" xfId="31323" builtinId="8" hidden="1"/>
    <cellStyle name="Hyperlink" xfId="31400" builtinId="8" hidden="1"/>
    <cellStyle name="Hyperlink" xfId="31402" builtinId="8" hidden="1"/>
    <cellStyle name="Hyperlink" xfId="31404" builtinId="8" hidden="1"/>
    <cellStyle name="Hyperlink" xfId="31406" builtinId="8" hidden="1"/>
    <cellStyle name="Hyperlink" xfId="31341" builtinId="8" hidden="1"/>
    <cellStyle name="Hyperlink" xfId="31318" builtinId="8" hidden="1"/>
    <cellStyle name="Hyperlink" xfId="31408" builtinId="8" hidden="1"/>
    <cellStyle name="Hyperlink" xfId="31410" builtinId="8" hidden="1"/>
    <cellStyle name="Hyperlink" xfId="31412" builtinId="8" hidden="1"/>
    <cellStyle name="Hyperlink" xfId="31414" builtinId="8" hidden="1"/>
    <cellStyle name="Hyperlink" xfId="31296" builtinId="8" hidden="1"/>
    <cellStyle name="Hyperlink" xfId="31297" builtinId="8" hidden="1"/>
    <cellStyle name="Hyperlink" xfId="31416" builtinId="8" hidden="1"/>
    <cellStyle name="Hyperlink" xfId="31418" builtinId="8" hidden="1"/>
    <cellStyle name="Hyperlink" xfId="31420" builtinId="8" hidden="1"/>
    <cellStyle name="Hyperlink" xfId="31422" builtinId="8" hidden="1"/>
    <cellStyle name="Hyperlink" xfId="31302" builtinId="8" hidden="1"/>
    <cellStyle name="Hyperlink" xfId="31338" builtinId="8" hidden="1"/>
    <cellStyle name="Hyperlink" xfId="31424" builtinId="8" hidden="1"/>
    <cellStyle name="Hyperlink" xfId="31426" builtinId="8" hidden="1"/>
    <cellStyle name="Hyperlink" xfId="31428" builtinId="8" hidden="1"/>
    <cellStyle name="Hyperlink" xfId="31430" builtinId="8" hidden="1"/>
    <cellStyle name="Hyperlink" xfId="31307" builtinId="8" hidden="1"/>
    <cellStyle name="Hyperlink" xfId="31327" builtinId="8" hidden="1"/>
    <cellStyle name="Hyperlink" xfId="31432" builtinId="8" hidden="1"/>
    <cellStyle name="Hyperlink" xfId="31434" builtinId="8" hidden="1"/>
    <cellStyle name="Hyperlink" xfId="31436" builtinId="8" hidden="1"/>
    <cellStyle name="Hyperlink" xfId="31438" builtinId="8" hidden="1"/>
    <cellStyle name="Hyperlink" xfId="31314" builtinId="8" hidden="1"/>
    <cellStyle name="Hyperlink" xfId="31312" builtinId="8" hidden="1"/>
    <cellStyle name="Hyperlink" xfId="31440" builtinId="8" hidden="1"/>
    <cellStyle name="Hyperlink" xfId="31442" builtinId="8" hidden="1"/>
    <cellStyle name="Hyperlink" xfId="31444" builtinId="8" hidden="1"/>
    <cellStyle name="Hyperlink" xfId="31446" builtinId="8" hidden="1"/>
    <cellStyle name="Hyperlink" xfId="31023" builtinId="8" hidden="1"/>
    <cellStyle name="Hyperlink" xfId="31024" builtinId="8" hidden="1"/>
    <cellStyle name="Hyperlink" xfId="30998" builtinId="8" hidden="1"/>
    <cellStyle name="Hyperlink" xfId="30999" builtinId="8" hidden="1"/>
    <cellStyle name="Hyperlink" xfId="31014" builtinId="8" hidden="1"/>
    <cellStyle name="Hyperlink" xfId="31012" builtinId="8" hidden="1"/>
    <cellStyle name="Hyperlink" xfId="31005" builtinId="8" hidden="1"/>
    <cellStyle name="Hyperlink" xfId="31006" builtinId="8" hidden="1"/>
    <cellStyle name="Hyperlink" xfId="31457" builtinId="8" hidden="1"/>
    <cellStyle name="Hyperlink" xfId="31459" builtinId="8" hidden="1"/>
    <cellStyle name="Hyperlink" xfId="31461" builtinId="8" hidden="1"/>
    <cellStyle name="Hyperlink" xfId="31463" builtinId="8" hidden="1"/>
    <cellStyle name="Hyperlink" xfId="31465" builtinId="8" hidden="1"/>
    <cellStyle name="Hyperlink" xfId="31467" builtinId="8" hidden="1"/>
    <cellStyle name="Hyperlink" xfId="31517" builtinId="8" hidden="1"/>
    <cellStyle name="Hyperlink" xfId="31519" builtinId="8" hidden="1"/>
    <cellStyle name="Hyperlink" xfId="31521" builtinId="8" hidden="1"/>
    <cellStyle name="Hyperlink" xfId="31523" builtinId="8" hidden="1"/>
    <cellStyle name="Hyperlink" xfId="31513" builtinId="8" hidden="1"/>
    <cellStyle name="Hyperlink" xfId="31503" builtinId="8" hidden="1"/>
    <cellStyle name="Hyperlink" xfId="31525" builtinId="8" hidden="1"/>
    <cellStyle name="Hyperlink" xfId="31527" builtinId="8" hidden="1"/>
    <cellStyle name="Hyperlink" xfId="31529" builtinId="8" hidden="1"/>
    <cellStyle name="Hyperlink" xfId="31531" builtinId="8" hidden="1"/>
    <cellStyle name="Hyperlink" xfId="31497" builtinId="8" hidden="1"/>
    <cellStyle name="Hyperlink" xfId="31483" builtinId="8" hidden="1"/>
    <cellStyle name="Hyperlink" xfId="31533" builtinId="8" hidden="1"/>
    <cellStyle name="Hyperlink" xfId="31535" builtinId="8" hidden="1"/>
    <cellStyle name="Hyperlink" xfId="31537" builtinId="8" hidden="1"/>
    <cellStyle name="Hyperlink" xfId="31539" builtinId="8" hidden="1"/>
    <cellStyle name="Hyperlink" xfId="31502" builtinId="8" hidden="1"/>
    <cellStyle name="Hyperlink" xfId="31471" builtinId="8" hidden="1"/>
    <cellStyle name="Hyperlink" xfId="31541" builtinId="8" hidden="1"/>
    <cellStyle name="Hyperlink" xfId="31543" builtinId="8" hidden="1"/>
    <cellStyle name="Hyperlink" xfId="31545" builtinId="8" hidden="1"/>
    <cellStyle name="Hyperlink" xfId="31547" builtinId="8" hidden="1"/>
    <cellStyle name="Hyperlink" xfId="31472" builtinId="8" hidden="1"/>
    <cellStyle name="Hyperlink" xfId="31505" builtinId="8" hidden="1"/>
    <cellStyle name="Hyperlink" xfId="31549" builtinId="8" hidden="1"/>
    <cellStyle name="Hyperlink" xfId="31551" builtinId="8" hidden="1"/>
    <cellStyle name="Hyperlink" xfId="31553" builtinId="8" hidden="1"/>
    <cellStyle name="Hyperlink" xfId="31555" builtinId="8" hidden="1"/>
    <cellStyle name="Hyperlink" xfId="31474" builtinId="8" hidden="1"/>
    <cellStyle name="Hyperlink" xfId="31515" builtinId="8" hidden="1"/>
    <cellStyle name="Hyperlink" xfId="31557" builtinId="8" hidden="1"/>
    <cellStyle name="Hyperlink" xfId="31559" builtinId="8" hidden="1"/>
    <cellStyle name="Hyperlink" xfId="31561" builtinId="8" hidden="1"/>
    <cellStyle name="Hyperlink" xfId="31563" builtinId="8" hidden="1"/>
    <cellStyle name="Hyperlink" xfId="31495" builtinId="8" hidden="1"/>
    <cellStyle name="Hyperlink" xfId="31498" builtinId="8" hidden="1"/>
    <cellStyle name="Hyperlink" xfId="31565" builtinId="8" hidden="1"/>
    <cellStyle name="Hyperlink" xfId="31567" builtinId="8" hidden="1"/>
    <cellStyle name="Hyperlink" xfId="31569" builtinId="8" hidden="1"/>
    <cellStyle name="Hyperlink" xfId="31571" builtinId="8" hidden="1"/>
    <cellStyle name="Hyperlink" xfId="31499" builtinId="8" hidden="1"/>
    <cellStyle name="Hyperlink" xfId="31496" builtinId="8" hidden="1"/>
    <cellStyle name="Hyperlink" xfId="31573" builtinId="8" hidden="1"/>
    <cellStyle name="Hyperlink" xfId="31575" builtinId="8" hidden="1"/>
    <cellStyle name="Hyperlink" xfId="31577" builtinId="8" hidden="1"/>
    <cellStyle name="Hyperlink" xfId="31579" builtinId="8" hidden="1"/>
    <cellStyle name="Hyperlink" xfId="31514" builtinId="8" hidden="1"/>
    <cellStyle name="Hyperlink" xfId="31491" builtinId="8" hidden="1"/>
    <cellStyle name="Hyperlink" xfId="31581" builtinId="8" hidden="1"/>
    <cellStyle name="Hyperlink" xfId="31583" builtinId="8" hidden="1"/>
    <cellStyle name="Hyperlink" xfId="31585" builtinId="8" hidden="1"/>
    <cellStyle name="Hyperlink" xfId="31587" builtinId="8" hidden="1"/>
    <cellStyle name="Hyperlink" xfId="31469" builtinId="8" hidden="1"/>
    <cellStyle name="Hyperlink" xfId="31470" builtinId="8" hidden="1"/>
    <cellStyle name="Hyperlink" xfId="31589" builtinId="8" hidden="1"/>
    <cellStyle name="Hyperlink" xfId="31591" builtinId="8" hidden="1"/>
    <cellStyle name="Hyperlink" xfId="31593" builtinId="8" hidden="1"/>
    <cellStyle name="Hyperlink" xfId="31595" builtinId="8" hidden="1"/>
    <cellStyle name="Hyperlink" xfId="31475" builtinId="8" hidden="1"/>
    <cellStyle name="Hyperlink" xfId="31511" builtinId="8" hidden="1"/>
    <cellStyle name="Hyperlink" xfId="31597" builtinId="8" hidden="1"/>
    <cellStyle name="Hyperlink" xfId="31599" builtinId="8" hidden="1"/>
    <cellStyle name="Hyperlink" xfId="31601" builtinId="8" hidden="1"/>
    <cellStyle name="Hyperlink" xfId="31603" builtinId="8" hidden="1"/>
    <cellStyle name="Hyperlink" xfId="31480" builtinId="8" hidden="1"/>
    <cellStyle name="Hyperlink" xfId="31500" builtinId="8" hidden="1"/>
    <cellStyle name="Hyperlink" xfId="31605" builtinId="8" hidden="1"/>
    <cellStyle name="Hyperlink" xfId="31607" builtinId="8" hidden="1"/>
    <cellStyle name="Hyperlink" xfId="31609" builtinId="8" hidden="1"/>
    <cellStyle name="Hyperlink" xfId="31611" builtinId="8" hidden="1"/>
    <cellStyle name="Hyperlink" xfId="31487" builtinId="8" hidden="1"/>
    <cellStyle name="Hyperlink" xfId="31485" builtinId="8" hidden="1"/>
    <cellStyle name="Hyperlink" xfId="31613" builtinId="8" hidden="1"/>
    <cellStyle name="Hyperlink" xfId="31615" builtinId="8" hidden="1"/>
    <cellStyle name="Hyperlink" xfId="31617" builtinId="8" hidden="1"/>
    <cellStyle name="Hyperlink" xfId="31619" builtinId="8" hidden="1"/>
    <cellStyle name="Hyperlink" xfId="31064" builtinId="8" hidden="1"/>
    <cellStyle name="Hyperlink" xfId="31007" builtinId="8" hidden="1"/>
    <cellStyle name="Hyperlink" xfId="31017" builtinId="8" hidden="1"/>
    <cellStyle name="Hyperlink" xfId="30984" builtinId="8" hidden="1"/>
    <cellStyle name="Hyperlink" xfId="31067" builtinId="8" hidden="1"/>
    <cellStyle name="Hyperlink" xfId="31099" builtinId="8" hidden="1"/>
    <cellStyle name="Hyperlink" xfId="31078" builtinId="8" hidden="1"/>
    <cellStyle name="Hyperlink" xfId="31028" builtinId="8" hidden="1"/>
    <cellStyle name="Hyperlink" xfId="31627" builtinId="8" hidden="1"/>
    <cellStyle name="Hyperlink" xfId="31629" builtinId="8" hidden="1"/>
    <cellStyle name="Hyperlink" xfId="31631" builtinId="8" hidden="1"/>
    <cellStyle name="Hyperlink" xfId="31633" builtinId="8" hidden="1"/>
    <cellStyle name="Hyperlink" xfId="31635" builtinId="8" hidden="1"/>
    <cellStyle name="Hyperlink" xfId="31637" builtinId="8" hidden="1"/>
    <cellStyle name="Hyperlink" xfId="31687" builtinId="8" hidden="1"/>
    <cellStyle name="Hyperlink" xfId="31689" builtinId="8" hidden="1"/>
    <cellStyle name="Hyperlink" xfId="31691" builtinId="8" hidden="1"/>
    <cellStyle name="Hyperlink" xfId="31693" builtinId="8" hidden="1"/>
    <cellStyle name="Hyperlink" xfId="31683" builtinId="8" hidden="1"/>
    <cellStyle name="Hyperlink" xfId="31673" builtinId="8" hidden="1"/>
    <cellStyle name="Hyperlink" xfId="31695" builtinId="8" hidden="1"/>
    <cellStyle name="Hyperlink" xfId="31697" builtinId="8" hidden="1"/>
    <cellStyle name="Hyperlink" xfId="31699" builtinId="8" hidden="1"/>
    <cellStyle name="Hyperlink" xfId="31701" builtinId="8" hidden="1"/>
    <cellStyle name="Hyperlink" xfId="31667" builtinId="8" hidden="1"/>
    <cellStyle name="Hyperlink" xfId="31653" builtinId="8" hidden="1"/>
    <cellStyle name="Hyperlink" xfId="31703" builtinId="8" hidden="1"/>
    <cellStyle name="Hyperlink" xfId="31705" builtinId="8" hidden="1"/>
    <cellStyle name="Hyperlink" xfId="31707" builtinId="8" hidden="1"/>
    <cellStyle name="Hyperlink" xfId="31709" builtinId="8" hidden="1"/>
    <cellStyle name="Hyperlink" xfId="31672" builtinId="8" hidden="1"/>
    <cellStyle name="Hyperlink" xfId="31641" builtinId="8" hidden="1"/>
    <cellStyle name="Hyperlink" xfId="31711" builtinId="8" hidden="1"/>
    <cellStyle name="Hyperlink" xfId="31713" builtinId="8" hidden="1"/>
    <cellStyle name="Hyperlink" xfId="31715" builtinId="8" hidden="1"/>
    <cellStyle name="Hyperlink" xfId="31717" builtinId="8" hidden="1"/>
    <cellStyle name="Hyperlink" xfId="31642" builtinId="8" hidden="1"/>
    <cellStyle name="Hyperlink" xfId="31675" builtinId="8" hidden="1"/>
    <cellStyle name="Hyperlink" xfId="31719" builtinId="8" hidden="1"/>
    <cellStyle name="Hyperlink" xfId="31721" builtinId="8" hidden="1"/>
    <cellStyle name="Hyperlink" xfId="31723" builtinId="8" hidden="1"/>
    <cellStyle name="Hyperlink" xfId="31725" builtinId="8" hidden="1"/>
    <cellStyle name="Hyperlink" xfId="31644" builtinId="8" hidden="1"/>
    <cellStyle name="Hyperlink" xfId="31685" builtinId="8" hidden="1"/>
    <cellStyle name="Hyperlink" xfId="31727" builtinId="8" hidden="1"/>
    <cellStyle name="Hyperlink" xfId="31729" builtinId="8" hidden="1"/>
    <cellStyle name="Hyperlink" xfId="31731" builtinId="8" hidden="1"/>
    <cellStyle name="Hyperlink" xfId="31733" builtinId="8" hidden="1"/>
    <cellStyle name="Hyperlink" xfId="31665" builtinId="8" hidden="1"/>
    <cellStyle name="Hyperlink" xfId="31668" builtinId="8" hidden="1"/>
    <cellStyle name="Hyperlink" xfId="31735" builtinId="8" hidden="1"/>
    <cellStyle name="Hyperlink" xfId="31737" builtinId="8" hidden="1"/>
    <cellStyle name="Hyperlink" xfId="31739" builtinId="8" hidden="1"/>
    <cellStyle name="Hyperlink" xfId="31741" builtinId="8" hidden="1"/>
    <cellStyle name="Hyperlink" xfId="31669" builtinId="8" hidden="1"/>
    <cellStyle name="Hyperlink" xfId="31666" builtinId="8" hidden="1"/>
    <cellStyle name="Hyperlink" xfId="31743" builtinId="8" hidden="1"/>
    <cellStyle name="Hyperlink" xfId="31745" builtinId="8" hidden="1"/>
    <cellStyle name="Hyperlink" xfId="31747" builtinId="8" hidden="1"/>
    <cellStyle name="Hyperlink" xfId="31749" builtinId="8" hidden="1"/>
    <cellStyle name="Hyperlink" xfId="31684" builtinId="8" hidden="1"/>
    <cellStyle name="Hyperlink" xfId="31661" builtinId="8" hidden="1"/>
    <cellStyle name="Hyperlink" xfId="31751" builtinId="8" hidden="1"/>
    <cellStyle name="Hyperlink" xfId="31753" builtinId="8" hidden="1"/>
    <cellStyle name="Hyperlink" xfId="31755" builtinId="8" hidden="1"/>
    <cellStyle name="Hyperlink" xfId="31757" builtinId="8" hidden="1"/>
    <cellStyle name="Hyperlink" xfId="31639" builtinId="8" hidden="1"/>
    <cellStyle name="Hyperlink" xfId="31640" builtinId="8" hidden="1"/>
    <cellStyle name="Hyperlink" xfId="31759" builtinId="8" hidden="1"/>
    <cellStyle name="Hyperlink" xfId="31761" builtinId="8" hidden="1"/>
    <cellStyle name="Hyperlink" xfId="31763" builtinId="8" hidden="1"/>
    <cellStyle name="Hyperlink" xfId="31765" builtinId="8" hidden="1"/>
    <cellStyle name="Hyperlink" xfId="31645" builtinId="8" hidden="1"/>
    <cellStyle name="Hyperlink" xfId="31681" builtinId="8" hidden="1"/>
    <cellStyle name="Hyperlink" xfId="31767" builtinId="8" hidden="1"/>
    <cellStyle name="Hyperlink" xfId="31769" builtinId="8" hidden="1"/>
    <cellStyle name="Hyperlink" xfId="31771" builtinId="8" hidden="1"/>
    <cellStyle name="Hyperlink" xfId="31773" builtinId="8" hidden="1"/>
    <cellStyle name="Hyperlink" xfId="31650" builtinId="8" hidden="1"/>
    <cellStyle name="Hyperlink" xfId="31670" builtinId="8" hidden="1"/>
    <cellStyle name="Hyperlink" xfId="31775" builtinId="8" hidden="1"/>
    <cellStyle name="Hyperlink" xfId="31777" builtinId="8" hidden="1"/>
    <cellStyle name="Hyperlink" xfId="31779" builtinId="8" hidden="1"/>
    <cellStyle name="Hyperlink" xfId="31781" builtinId="8" hidden="1"/>
    <cellStyle name="Hyperlink" xfId="31657" builtinId="8" hidden="1"/>
    <cellStyle name="Hyperlink" xfId="31655" builtinId="8" hidden="1"/>
    <cellStyle name="Hyperlink" xfId="31783" builtinId="8" hidden="1"/>
    <cellStyle name="Hyperlink" xfId="31785" builtinId="8" hidden="1"/>
    <cellStyle name="Hyperlink" xfId="31787" builtinId="8" hidden="1"/>
    <cellStyle name="Hyperlink" xfId="31789" builtinId="8" hidden="1"/>
    <cellStyle name="Hyperlink" xfId="31039" builtinId="8" hidden="1"/>
    <cellStyle name="Hyperlink" xfId="31010" builtinId="8" hidden="1"/>
    <cellStyle name="Hyperlink" xfId="31057" builtinId="8" hidden="1"/>
    <cellStyle name="Hyperlink" xfId="30975" builtinId="8" hidden="1"/>
    <cellStyle name="Hyperlink" xfId="31054" builtinId="8" hidden="1"/>
    <cellStyle name="Hyperlink" xfId="30990" builtinId="8" hidden="1"/>
    <cellStyle name="Hyperlink" xfId="31061" builtinId="8" hidden="1"/>
    <cellStyle name="Hyperlink" xfId="31016" builtinId="8" hidden="1"/>
    <cellStyle name="Hyperlink" xfId="31796" builtinId="8" hidden="1"/>
    <cellStyle name="Hyperlink" xfId="31798" builtinId="8" hidden="1"/>
    <cellStyle name="Hyperlink" xfId="31800" builtinId="8" hidden="1"/>
    <cellStyle name="Hyperlink" xfId="31802" builtinId="8" hidden="1"/>
    <cellStyle name="Hyperlink" xfId="31804" builtinId="8" hidden="1"/>
    <cellStyle name="Hyperlink" xfId="31806" builtinId="8" hidden="1"/>
    <cellStyle name="Hyperlink" xfId="31856" builtinId="8" hidden="1"/>
    <cellStyle name="Hyperlink" xfId="31858" builtinId="8" hidden="1"/>
    <cellStyle name="Hyperlink" xfId="31860" builtinId="8" hidden="1"/>
    <cellStyle name="Hyperlink" xfId="31862" builtinId="8" hidden="1"/>
    <cellStyle name="Hyperlink" xfId="31852" builtinId="8" hidden="1"/>
    <cellStyle name="Hyperlink" xfId="31842" builtinId="8" hidden="1"/>
    <cellStyle name="Hyperlink" xfId="31864" builtinId="8" hidden="1"/>
    <cellStyle name="Hyperlink" xfId="31866" builtinId="8" hidden="1"/>
    <cellStyle name="Hyperlink" xfId="31868" builtinId="8" hidden="1"/>
    <cellStyle name="Hyperlink" xfId="31870" builtinId="8" hidden="1"/>
    <cellStyle name="Hyperlink" xfId="31836" builtinId="8" hidden="1"/>
    <cellStyle name="Hyperlink" xfId="31822" builtinId="8" hidden="1"/>
    <cellStyle name="Hyperlink" xfId="31872" builtinId="8" hidden="1"/>
    <cellStyle name="Hyperlink" xfId="31874" builtinId="8" hidden="1"/>
    <cellStyle name="Hyperlink" xfId="31876" builtinId="8" hidden="1"/>
    <cellStyle name="Hyperlink" xfId="31878" builtinId="8" hidden="1"/>
    <cellStyle name="Hyperlink" xfId="31841" builtinId="8" hidden="1"/>
    <cellStyle name="Hyperlink" xfId="31810" builtinId="8" hidden="1"/>
    <cellStyle name="Hyperlink" xfId="31880" builtinId="8" hidden="1"/>
    <cellStyle name="Hyperlink" xfId="31882" builtinId="8" hidden="1"/>
    <cellStyle name="Hyperlink" xfId="31884" builtinId="8" hidden="1"/>
    <cellStyle name="Hyperlink" xfId="31886" builtinId="8" hidden="1"/>
    <cellStyle name="Hyperlink" xfId="31811" builtinId="8" hidden="1"/>
    <cellStyle name="Hyperlink" xfId="31844" builtinId="8" hidden="1"/>
    <cellStyle name="Hyperlink" xfId="31888" builtinId="8" hidden="1"/>
    <cellStyle name="Hyperlink" xfId="31890" builtinId="8" hidden="1"/>
    <cellStyle name="Hyperlink" xfId="31892" builtinId="8" hidden="1"/>
    <cellStyle name="Hyperlink" xfId="31894" builtinId="8" hidden="1"/>
    <cellStyle name="Hyperlink" xfId="31813" builtinId="8" hidden="1"/>
    <cellStyle name="Hyperlink" xfId="31854" builtinId="8" hidden="1"/>
    <cellStyle name="Hyperlink" xfId="31896" builtinId="8" hidden="1"/>
    <cellStyle name="Hyperlink" xfId="31898" builtinId="8" hidden="1"/>
    <cellStyle name="Hyperlink" xfId="31900" builtinId="8" hidden="1"/>
    <cellStyle name="Hyperlink" xfId="31902" builtinId="8" hidden="1"/>
    <cellStyle name="Hyperlink" xfId="31834" builtinId="8" hidden="1"/>
    <cellStyle name="Hyperlink" xfId="31837" builtinId="8" hidden="1"/>
    <cellStyle name="Hyperlink" xfId="31904" builtinId="8" hidden="1"/>
    <cellStyle name="Hyperlink" xfId="31906" builtinId="8" hidden="1"/>
    <cellStyle name="Hyperlink" xfId="31908" builtinId="8" hidden="1"/>
    <cellStyle name="Hyperlink" xfId="31910" builtinId="8" hidden="1"/>
    <cellStyle name="Hyperlink" xfId="31838" builtinId="8" hidden="1"/>
    <cellStyle name="Hyperlink" xfId="31835" builtinId="8" hidden="1"/>
    <cellStyle name="Hyperlink" xfId="31912" builtinId="8" hidden="1"/>
    <cellStyle name="Hyperlink" xfId="31914" builtinId="8" hidden="1"/>
    <cellStyle name="Hyperlink" xfId="31916" builtinId="8" hidden="1"/>
    <cellStyle name="Hyperlink" xfId="31918" builtinId="8" hidden="1"/>
    <cellStyle name="Hyperlink" xfId="31853" builtinId="8" hidden="1"/>
    <cellStyle name="Hyperlink" xfId="31830" builtinId="8" hidden="1"/>
    <cellStyle name="Hyperlink" xfId="31920" builtinId="8" hidden="1"/>
    <cellStyle name="Hyperlink" xfId="31922" builtinId="8" hidden="1"/>
    <cellStyle name="Hyperlink" xfId="31924" builtinId="8" hidden="1"/>
    <cellStyle name="Hyperlink" xfId="31926" builtinId="8" hidden="1"/>
    <cellStyle name="Hyperlink" xfId="31808" builtinId="8" hidden="1"/>
    <cellStyle name="Hyperlink" xfId="31809" builtinId="8" hidden="1"/>
    <cellStyle name="Hyperlink" xfId="31928" builtinId="8" hidden="1"/>
    <cellStyle name="Hyperlink" xfId="31930" builtinId="8" hidden="1"/>
    <cellStyle name="Hyperlink" xfId="31932" builtinId="8" hidden="1"/>
    <cellStyle name="Hyperlink" xfId="31934" builtinId="8" hidden="1"/>
    <cellStyle name="Hyperlink" xfId="31814" builtinId="8" hidden="1"/>
    <cellStyle name="Hyperlink" xfId="31850" builtinId="8" hidden="1"/>
    <cellStyle name="Hyperlink" xfId="31936" builtinId="8" hidden="1"/>
    <cellStyle name="Hyperlink" xfId="31938" builtinId="8" hidden="1"/>
    <cellStyle name="Hyperlink" xfId="31940" builtinId="8" hidden="1"/>
    <cellStyle name="Hyperlink" xfId="31942" builtinId="8" hidden="1"/>
    <cellStyle name="Hyperlink" xfId="31819" builtinId="8" hidden="1"/>
    <cellStyle name="Hyperlink" xfId="31839" builtinId="8" hidden="1"/>
    <cellStyle name="Hyperlink" xfId="31944" builtinId="8" hidden="1"/>
    <cellStyle name="Hyperlink" xfId="31946" builtinId="8" hidden="1"/>
    <cellStyle name="Hyperlink" xfId="31948" builtinId="8" hidden="1"/>
    <cellStyle name="Hyperlink" xfId="31950" builtinId="8" hidden="1"/>
    <cellStyle name="Hyperlink" xfId="31826" builtinId="8" hidden="1"/>
    <cellStyle name="Hyperlink" xfId="31824" builtinId="8" hidden="1"/>
    <cellStyle name="Hyperlink" xfId="31952" builtinId="8" hidden="1"/>
    <cellStyle name="Hyperlink" xfId="31954" builtinId="8" hidden="1"/>
    <cellStyle name="Hyperlink" xfId="31956" builtinId="8" hidden="1"/>
    <cellStyle name="Hyperlink" xfId="31958" builtinId="8" hidden="1"/>
    <cellStyle name="Hyperlink" xfId="31281" builtinId="8" hidden="1"/>
    <cellStyle name="Hyperlink" xfId="31448" builtinId="8" hidden="1"/>
    <cellStyle name="Hyperlink" xfId="31085" builtinId="8" hidden="1"/>
    <cellStyle name="Hyperlink" xfId="30974" builtinId="8" hidden="1"/>
    <cellStyle name="Hyperlink" xfId="30970" builtinId="8" hidden="1"/>
    <cellStyle name="Hyperlink" xfId="31018" builtinId="8" hidden="1"/>
    <cellStyle name="Hyperlink" xfId="30979" builtinId="8" hidden="1"/>
    <cellStyle name="Hyperlink" xfId="31055" builtinId="8" hidden="1"/>
    <cellStyle name="Hyperlink" xfId="31965" builtinId="8" hidden="1"/>
    <cellStyle name="Hyperlink" xfId="31967" builtinId="8" hidden="1"/>
    <cellStyle name="Hyperlink" xfId="31969" builtinId="8" hidden="1"/>
    <cellStyle name="Hyperlink" xfId="31971" builtinId="8" hidden="1"/>
    <cellStyle name="Hyperlink" xfId="31973" builtinId="8" hidden="1"/>
    <cellStyle name="Hyperlink" xfId="31975" builtinId="8" hidden="1"/>
    <cellStyle name="Hyperlink" xfId="32025" builtinId="8" hidden="1"/>
    <cellStyle name="Hyperlink" xfId="32027" builtinId="8" hidden="1"/>
    <cellStyle name="Hyperlink" xfId="32029" builtinId="8" hidden="1"/>
    <cellStyle name="Hyperlink" xfId="32031" builtinId="8" hidden="1"/>
    <cellStyle name="Hyperlink" xfId="32021" builtinId="8" hidden="1"/>
    <cellStyle name="Hyperlink" xfId="32011" builtinId="8" hidden="1"/>
    <cellStyle name="Hyperlink" xfId="32033" builtinId="8" hidden="1"/>
    <cellStyle name="Hyperlink" xfId="32035" builtinId="8" hidden="1"/>
    <cellStyle name="Hyperlink" xfId="32037" builtinId="8" hidden="1"/>
    <cellStyle name="Hyperlink" xfId="32039" builtinId="8" hidden="1"/>
    <cellStyle name="Hyperlink" xfId="32005" builtinId="8" hidden="1"/>
    <cellStyle name="Hyperlink" xfId="31991" builtinId="8" hidden="1"/>
    <cellStyle name="Hyperlink" xfId="32041" builtinId="8" hidden="1"/>
    <cellStyle name="Hyperlink" xfId="32043" builtinId="8" hidden="1"/>
    <cellStyle name="Hyperlink" xfId="32045" builtinId="8" hidden="1"/>
    <cellStyle name="Hyperlink" xfId="32047" builtinId="8" hidden="1"/>
    <cellStyle name="Hyperlink" xfId="32010" builtinId="8" hidden="1"/>
    <cellStyle name="Hyperlink" xfId="31979" builtinId="8" hidden="1"/>
    <cellStyle name="Hyperlink" xfId="32049" builtinId="8" hidden="1"/>
    <cellStyle name="Hyperlink" xfId="32051" builtinId="8" hidden="1"/>
    <cellStyle name="Hyperlink" xfId="32053" builtinId="8" hidden="1"/>
    <cellStyle name="Hyperlink" xfId="32055" builtinId="8" hidden="1"/>
    <cellStyle name="Hyperlink" xfId="31980" builtinId="8" hidden="1"/>
    <cellStyle name="Hyperlink" xfId="32013" builtinId="8" hidden="1"/>
    <cellStyle name="Hyperlink" xfId="32057" builtinId="8" hidden="1"/>
    <cellStyle name="Hyperlink" xfId="32059" builtinId="8" hidden="1"/>
    <cellStyle name="Hyperlink" xfId="32061" builtinId="8" hidden="1"/>
    <cellStyle name="Hyperlink" xfId="32063" builtinId="8" hidden="1"/>
    <cellStyle name="Hyperlink" xfId="31982" builtinId="8" hidden="1"/>
    <cellStyle name="Hyperlink" xfId="32023" builtinId="8" hidden="1"/>
    <cellStyle name="Hyperlink" xfId="32065" builtinId="8" hidden="1"/>
    <cellStyle name="Hyperlink" xfId="32067" builtinId="8" hidden="1"/>
    <cellStyle name="Hyperlink" xfId="32069" builtinId="8" hidden="1"/>
    <cellStyle name="Hyperlink" xfId="32071" builtinId="8" hidden="1"/>
    <cellStyle name="Hyperlink" xfId="32003" builtinId="8" hidden="1"/>
    <cellStyle name="Hyperlink" xfId="32006" builtinId="8" hidden="1"/>
    <cellStyle name="Hyperlink" xfId="32073" builtinId="8" hidden="1"/>
    <cellStyle name="Hyperlink" xfId="32075" builtinId="8" hidden="1"/>
    <cellStyle name="Hyperlink" xfId="32077" builtinId="8" hidden="1"/>
    <cellStyle name="Hyperlink" xfId="32079" builtinId="8" hidden="1"/>
    <cellStyle name="Hyperlink" xfId="32007" builtinId="8" hidden="1"/>
    <cellStyle name="Hyperlink" xfId="32004" builtinId="8" hidden="1"/>
    <cellStyle name="Hyperlink" xfId="32081" builtinId="8" hidden="1"/>
    <cellStyle name="Hyperlink" xfId="32083" builtinId="8" hidden="1"/>
    <cellStyle name="Hyperlink" xfId="32085" builtinId="8" hidden="1"/>
    <cellStyle name="Hyperlink" xfId="32087" builtinId="8" hidden="1"/>
    <cellStyle name="Hyperlink" xfId="32022" builtinId="8" hidden="1"/>
    <cellStyle name="Hyperlink" xfId="31999" builtinId="8" hidden="1"/>
    <cellStyle name="Hyperlink" xfId="32089" builtinId="8" hidden="1"/>
    <cellStyle name="Hyperlink" xfId="32091" builtinId="8" hidden="1"/>
    <cellStyle name="Hyperlink" xfId="32093" builtinId="8" hidden="1"/>
    <cellStyle name="Hyperlink" xfId="32095" builtinId="8" hidden="1"/>
    <cellStyle name="Hyperlink" xfId="31977" builtinId="8" hidden="1"/>
    <cellStyle name="Hyperlink" xfId="31978" builtinId="8" hidden="1"/>
    <cellStyle name="Hyperlink" xfId="32097" builtinId="8" hidden="1"/>
    <cellStyle name="Hyperlink" xfId="32099" builtinId="8" hidden="1"/>
    <cellStyle name="Hyperlink" xfId="32101" builtinId="8" hidden="1"/>
    <cellStyle name="Hyperlink" xfId="32103" builtinId="8" hidden="1"/>
    <cellStyle name="Hyperlink" xfId="31983" builtinId="8" hidden="1"/>
    <cellStyle name="Hyperlink" xfId="32019" builtinId="8" hidden="1"/>
    <cellStyle name="Hyperlink" xfId="32105" builtinId="8" hidden="1"/>
    <cellStyle name="Hyperlink" xfId="32107" builtinId="8" hidden="1"/>
    <cellStyle name="Hyperlink" xfId="32109" builtinId="8" hidden="1"/>
    <cellStyle name="Hyperlink" xfId="32111" builtinId="8" hidden="1"/>
    <cellStyle name="Hyperlink" xfId="31988" builtinId="8" hidden="1"/>
    <cellStyle name="Hyperlink" xfId="32008" builtinId="8" hidden="1"/>
    <cellStyle name="Hyperlink" xfId="32113" builtinId="8" hidden="1"/>
    <cellStyle name="Hyperlink" xfId="32115" builtinId="8" hidden="1"/>
    <cellStyle name="Hyperlink" xfId="32117" builtinId="8" hidden="1"/>
    <cellStyle name="Hyperlink" xfId="32119" builtinId="8" hidden="1"/>
    <cellStyle name="Hyperlink" xfId="31995" builtinId="8" hidden="1"/>
    <cellStyle name="Hyperlink" xfId="31993" builtinId="8" hidden="1"/>
    <cellStyle name="Hyperlink" xfId="32121" builtinId="8" hidden="1"/>
    <cellStyle name="Hyperlink" xfId="32123" builtinId="8" hidden="1"/>
    <cellStyle name="Hyperlink" xfId="32125" builtinId="8" hidden="1"/>
    <cellStyle name="Hyperlink" xfId="32127" builtinId="8" hidden="1"/>
    <cellStyle name="Hyperlink" xfId="30971" builtinId="8" hidden="1"/>
    <cellStyle name="Hyperlink" xfId="31086" builtinId="8" hidden="1"/>
    <cellStyle name="Hyperlink" xfId="31455" builtinId="8" hidden="1"/>
    <cellStyle name="Hyperlink" xfId="31088" builtinId="8" hidden="1"/>
    <cellStyle name="Hyperlink" xfId="31069" builtinId="8" hidden="1"/>
    <cellStyle name="Hyperlink" xfId="31101" builtinId="8" hidden="1"/>
    <cellStyle name="Hyperlink" xfId="30976" builtinId="8" hidden="1"/>
    <cellStyle name="Hyperlink" xfId="31103" builtinId="8" hidden="1"/>
    <cellStyle name="Hyperlink" xfId="32132" builtinId="8" hidden="1"/>
    <cellStyle name="Hyperlink" xfId="32134" builtinId="8" hidden="1"/>
    <cellStyle name="Hyperlink" xfId="32136" builtinId="8" hidden="1"/>
    <cellStyle name="Hyperlink" xfId="32138" builtinId="8" hidden="1"/>
    <cellStyle name="Hyperlink" xfId="32140" builtinId="8" hidden="1"/>
    <cellStyle name="Hyperlink" xfId="32142" builtinId="8" hidden="1"/>
    <cellStyle name="Hyperlink" xfId="32192" builtinId="8" hidden="1"/>
    <cellStyle name="Hyperlink" xfId="32194" builtinId="8" hidden="1"/>
    <cellStyle name="Hyperlink" xfId="32196" builtinId="8" hidden="1"/>
    <cellStyle name="Hyperlink" xfId="32198" builtinId="8" hidden="1"/>
    <cellStyle name="Hyperlink" xfId="32188" builtinId="8" hidden="1"/>
    <cellStyle name="Hyperlink" xfId="32178" builtinId="8" hidden="1"/>
    <cellStyle name="Hyperlink" xfId="32200" builtinId="8" hidden="1"/>
    <cellStyle name="Hyperlink" xfId="32202" builtinId="8" hidden="1"/>
    <cellStyle name="Hyperlink" xfId="32204" builtinId="8" hidden="1"/>
    <cellStyle name="Hyperlink" xfId="32206" builtinId="8" hidden="1"/>
    <cellStyle name="Hyperlink" xfId="32172" builtinId="8" hidden="1"/>
    <cellStyle name="Hyperlink" xfId="32158" builtinId="8" hidden="1"/>
    <cellStyle name="Hyperlink" xfId="32208" builtinId="8" hidden="1"/>
    <cellStyle name="Hyperlink" xfId="32210" builtinId="8" hidden="1"/>
    <cellStyle name="Hyperlink" xfId="32212" builtinId="8" hidden="1"/>
    <cellStyle name="Hyperlink" xfId="32214" builtinId="8" hidden="1"/>
    <cellStyle name="Hyperlink" xfId="32177" builtinId="8" hidden="1"/>
    <cellStyle name="Hyperlink" xfId="32146" builtinId="8" hidden="1"/>
    <cellStyle name="Hyperlink" xfId="32216" builtinId="8" hidden="1"/>
    <cellStyle name="Hyperlink" xfId="32218" builtinId="8" hidden="1"/>
    <cellStyle name="Hyperlink" xfId="32220" builtinId="8" hidden="1"/>
    <cellStyle name="Hyperlink" xfId="32222" builtinId="8" hidden="1"/>
    <cellStyle name="Hyperlink" xfId="32147" builtinId="8" hidden="1"/>
    <cellStyle name="Hyperlink" xfId="32180" builtinId="8" hidden="1"/>
    <cellStyle name="Hyperlink" xfId="32224" builtinId="8" hidden="1"/>
    <cellStyle name="Hyperlink" xfId="32226" builtinId="8" hidden="1"/>
    <cellStyle name="Hyperlink" xfId="32228" builtinId="8" hidden="1"/>
    <cellStyle name="Hyperlink" xfId="32230" builtinId="8" hidden="1"/>
    <cellStyle name="Hyperlink" xfId="32149" builtinId="8" hidden="1"/>
    <cellStyle name="Hyperlink" xfId="32190" builtinId="8" hidden="1"/>
    <cellStyle name="Hyperlink" xfId="32232" builtinId="8" hidden="1"/>
    <cellStyle name="Hyperlink" xfId="32234" builtinId="8" hidden="1"/>
    <cellStyle name="Hyperlink" xfId="32236" builtinId="8" hidden="1"/>
    <cellStyle name="Hyperlink" xfId="32238" builtinId="8" hidden="1"/>
    <cellStyle name="Hyperlink" xfId="32170" builtinId="8" hidden="1"/>
    <cellStyle name="Hyperlink" xfId="32173" builtinId="8" hidden="1"/>
    <cellStyle name="Hyperlink" xfId="32240" builtinId="8" hidden="1"/>
    <cellStyle name="Hyperlink" xfId="32242" builtinId="8" hidden="1"/>
    <cellStyle name="Hyperlink" xfId="32244" builtinId="8" hidden="1"/>
    <cellStyle name="Hyperlink" xfId="32246" builtinId="8" hidden="1"/>
    <cellStyle name="Hyperlink" xfId="32174" builtinId="8" hidden="1"/>
    <cellStyle name="Hyperlink" xfId="32171" builtinId="8" hidden="1"/>
    <cellStyle name="Hyperlink" xfId="32248" builtinId="8" hidden="1"/>
    <cellStyle name="Hyperlink" xfId="32250" builtinId="8" hidden="1"/>
    <cellStyle name="Hyperlink" xfId="32252" builtinId="8" hidden="1"/>
    <cellStyle name="Hyperlink" xfId="32254" builtinId="8" hidden="1"/>
    <cellStyle name="Hyperlink" xfId="32189" builtinId="8" hidden="1"/>
    <cellStyle name="Hyperlink" xfId="32166" builtinId="8" hidden="1"/>
    <cellStyle name="Hyperlink" xfId="32256" builtinId="8" hidden="1"/>
    <cellStyle name="Hyperlink" xfId="32258" builtinId="8" hidden="1"/>
    <cellStyle name="Hyperlink" xfId="32260" builtinId="8" hidden="1"/>
    <cellStyle name="Hyperlink" xfId="32262" builtinId="8" hidden="1"/>
    <cellStyle name="Hyperlink" xfId="32144" builtinId="8" hidden="1"/>
    <cellStyle name="Hyperlink" xfId="32145" builtinId="8" hidden="1"/>
    <cellStyle name="Hyperlink" xfId="32264" builtinId="8" hidden="1"/>
    <cellStyle name="Hyperlink" xfId="32266" builtinId="8" hidden="1"/>
    <cellStyle name="Hyperlink" xfId="32268" builtinId="8" hidden="1"/>
    <cellStyle name="Hyperlink" xfId="32270" builtinId="8" hidden="1"/>
    <cellStyle name="Hyperlink" xfId="32150" builtinId="8" hidden="1"/>
    <cellStyle name="Hyperlink" xfId="32186" builtinId="8" hidden="1"/>
    <cellStyle name="Hyperlink" xfId="32272" builtinId="8" hidden="1"/>
    <cellStyle name="Hyperlink" xfId="32274" builtinId="8" hidden="1"/>
    <cellStyle name="Hyperlink" xfId="32276" builtinId="8" hidden="1"/>
    <cellStyle name="Hyperlink" xfId="32278" builtinId="8" hidden="1"/>
    <cellStyle name="Hyperlink" xfId="32155" builtinId="8" hidden="1"/>
    <cellStyle name="Hyperlink" xfId="32175" builtinId="8" hidden="1"/>
    <cellStyle name="Hyperlink" xfId="32280" builtinId="8" hidden="1"/>
    <cellStyle name="Hyperlink" xfId="32282" builtinId="8" hidden="1"/>
    <cellStyle name="Hyperlink" xfId="32284" builtinId="8" hidden="1"/>
    <cellStyle name="Hyperlink" xfId="32286" builtinId="8" hidden="1"/>
    <cellStyle name="Hyperlink" xfId="32162" builtinId="8" hidden="1"/>
    <cellStyle name="Hyperlink" xfId="32160" builtinId="8" hidden="1"/>
    <cellStyle name="Hyperlink" xfId="32288" builtinId="8" hidden="1"/>
    <cellStyle name="Hyperlink" xfId="32290" builtinId="8" hidden="1"/>
    <cellStyle name="Hyperlink" xfId="32292" builtinId="8" hidden="1"/>
    <cellStyle name="Hyperlink" xfId="32294" builtinId="8" hidden="1"/>
    <cellStyle name="Hyperlink" xfId="31112" builtinId="8" hidden="1"/>
    <cellStyle name="Hyperlink" xfId="31083" builtinId="8" hidden="1"/>
    <cellStyle name="Hyperlink" xfId="31625" builtinId="8" hidden="1"/>
    <cellStyle name="Hyperlink" xfId="31108" builtinId="8" hidden="1"/>
    <cellStyle name="Hyperlink" xfId="31045" builtinId="8" hidden="1"/>
    <cellStyle name="Hyperlink" xfId="30986" builtinId="8" hidden="1"/>
    <cellStyle name="Hyperlink" xfId="31100" builtinId="8" hidden="1"/>
    <cellStyle name="Hyperlink" xfId="31093" builtinId="8" hidden="1"/>
    <cellStyle name="Hyperlink" xfId="32299" builtinId="8" hidden="1"/>
    <cellStyle name="Hyperlink" xfId="32301" builtinId="8" hidden="1"/>
    <cellStyle name="Hyperlink" xfId="32303" builtinId="8" hidden="1"/>
    <cellStyle name="Hyperlink" xfId="32305" builtinId="8" hidden="1"/>
    <cellStyle name="Hyperlink" xfId="32307" builtinId="8" hidden="1"/>
    <cellStyle name="Hyperlink" xfId="32309" builtinId="8" hidden="1"/>
    <cellStyle name="Hyperlink" xfId="32359" builtinId="8" hidden="1"/>
    <cellStyle name="Hyperlink" xfId="32361" builtinId="8" hidden="1"/>
    <cellStyle name="Hyperlink" xfId="32363" builtinId="8" hidden="1"/>
    <cellStyle name="Hyperlink" xfId="32365" builtinId="8" hidden="1"/>
    <cellStyle name="Hyperlink" xfId="32355" builtinId="8" hidden="1"/>
    <cellStyle name="Hyperlink" xfId="32345" builtinId="8" hidden="1"/>
    <cellStyle name="Hyperlink" xfId="32367" builtinId="8" hidden="1"/>
    <cellStyle name="Hyperlink" xfId="32369" builtinId="8" hidden="1"/>
    <cellStyle name="Hyperlink" xfId="32371" builtinId="8" hidden="1"/>
    <cellStyle name="Hyperlink" xfId="32373" builtinId="8" hidden="1"/>
    <cellStyle name="Hyperlink" xfId="32339" builtinId="8" hidden="1"/>
    <cellStyle name="Hyperlink" xfId="32325" builtinId="8" hidden="1"/>
    <cellStyle name="Hyperlink" xfId="32375" builtinId="8" hidden="1"/>
    <cellStyle name="Hyperlink" xfId="32377" builtinId="8" hidden="1"/>
    <cellStyle name="Hyperlink" xfId="32379" builtinId="8" hidden="1"/>
    <cellStyle name="Hyperlink" xfId="32381" builtinId="8" hidden="1"/>
    <cellStyle name="Hyperlink" xfId="32344" builtinId="8" hidden="1"/>
    <cellStyle name="Hyperlink" xfId="32313" builtinId="8" hidden="1"/>
    <cellStyle name="Hyperlink" xfId="32383" builtinId="8" hidden="1"/>
    <cellStyle name="Hyperlink" xfId="32385" builtinId="8" hidden="1"/>
    <cellStyle name="Hyperlink" xfId="32387" builtinId="8" hidden="1"/>
    <cellStyle name="Hyperlink" xfId="32389" builtinId="8" hidden="1"/>
    <cellStyle name="Hyperlink" xfId="32314" builtinId="8" hidden="1"/>
    <cellStyle name="Hyperlink" xfId="32347" builtinId="8" hidden="1"/>
    <cellStyle name="Hyperlink" xfId="32391" builtinId="8" hidden="1"/>
    <cellStyle name="Hyperlink" xfId="32393" builtinId="8" hidden="1"/>
    <cellStyle name="Hyperlink" xfId="32395" builtinId="8" hidden="1"/>
    <cellStyle name="Hyperlink" xfId="32397" builtinId="8" hidden="1"/>
    <cellStyle name="Hyperlink" xfId="32316" builtinId="8" hidden="1"/>
    <cellStyle name="Hyperlink" xfId="32357" builtinId="8" hidden="1"/>
    <cellStyle name="Hyperlink" xfId="32399" builtinId="8" hidden="1"/>
    <cellStyle name="Hyperlink" xfId="32401" builtinId="8" hidden="1"/>
    <cellStyle name="Hyperlink" xfId="32403" builtinId="8" hidden="1"/>
    <cellStyle name="Hyperlink" xfId="32405" builtinId="8" hidden="1"/>
    <cellStyle name="Hyperlink" xfId="32337" builtinId="8" hidden="1"/>
    <cellStyle name="Hyperlink" xfId="32340" builtinId="8" hidden="1"/>
    <cellStyle name="Hyperlink" xfId="32407" builtinId="8" hidden="1"/>
    <cellStyle name="Hyperlink" xfId="32409" builtinId="8" hidden="1"/>
    <cellStyle name="Hyperlink" xfId="32411" builtinId="8" hidden="1"/>
    <cellStyle name="Hyperlink" xfId="32413" builtinId="8" hidden="1"/>
    <cellStyle name="Hyperlink" xfId="32341" builtinId="8" hidden="1"/>
    <cellStyle name="Hyperlink" xfId="32338" builtinId="8" hidden="1"/>
    <cellStyle name="Hyperlink" xfId="32415" builtinId="8" hidden="1"/>
    <cellStyle name="Hyperlink" xfId="32417" builtinId="8" hidden="1"/>
    <cellStyle name="Hyperlink" xfId="32419" builtinId="8" hidden="1"/>
    <cellStyle name="Hyperlink" xfId="32421" builtinId="8" hidden="1"/>
    <cellStyle name="Hyperlink" xfId="32356" builtinId="8" hidden="1"/>
    <cellStyle name="Hyperlink" xfId="32333" builtinId="8" hidden="1"/>
    <cellStyle name="Hyperlink" xfId="32423" builtinId="8" hidden="1"/>
    <cellStyle name="Hyperlink" xfId="32425" builtinId="8" hidden="1"/>
    <cellStyle name="Hyperlink" xfId="32427" builtinId="8" hidden="1"/>
    <cellStyle name="Hyperlink" xfId="32429" builtinId="8" hidden="1"/>
    <cellStyle name="Hyperlink" xfId="32311" builtinId="8" hidden="1"/>
    <cellStyle name="Hyperlink" xfId="32312" builtinId="8" hidden="1"/>
    <cellStyle name="Hyperlink" xfId="32431" builtinId="8" hidden="1"/>
    <cellStyle name="Hyperlink" xfId="32433" builtinId="8" hidden="1"/>
    <cellStyle name="Hyperlink" xfId="32435" builtinId="8" hidden="1"/>
    <cellStyle name="Hyperlink" xfId="32437" builtinId="8" hidden="1"/>
    <cellStyle name="Hyperlink" xfId="32317" builtinId="8" hidden="1"/>
    <cellStyle name="Hyperlink" xfId="32353" builtinId="8" hidden="1"/>
    <cellStyle name="Hyperlink" xfId="32439" builtinId="8" hidden="1"/>
    <cellStyle name="Hyperlink" xfId="32441" builtinId="8" hidden="1"/>
    <cellStyle name="Hyperlink" xfId="32443" builtinId="8" hidden="1"/>
    <cellStyle name="Hyperlink" xfId="32445" builtinId="8" hidden="1"/>
    <cellStyle name="Hyperlink" xfId="32322" builtinId="8" hidden="1"/>
    <cellStyle name="Hyperlink" xfId="32342" builtinId="8" hidden="1"/>
    <cellStyle name="Hyperlink" xfId="32447" builtinId="8" hidden="1"/>
    <cellStyle name="Hyperlink" xfId="32449" builtinId="8" hidden="1"/>
    <cellStyle name="Hyperlink" xfId="32451" builtinId="8" hidden="1"/>
    <cellStyle name="Hyperlink" xfId="32453" builtinId="8" hidden="1"/>
    <cellStyle name="Hyperlink" xfId="32329" builtinId="8" hidden="1"/>
    <cellStyle name="Hyperlink" xfId="32327" builtinId="8" hidden="1"/>
    <cellStyle name="Hyperlink" xfId="32455" builtinId="8" hidden="1"/>
    <cellStyle name="Hyperlink" xfId="32457" builtinId="8" hidden="1"/>
    <cellStyle name="Hyperlink" xfId="32459" builtinId="8" hidden="1"/>
    <cellStyle name="Hyperlink" xfId="32461" builtinId="8" hidden="1"/>
    <cellStyle name="Hyperlink" xfId="31087" builtinId="8" hidden="1"/>
    <cellStyle name="Hyperlink" xfId="31071" builtinId="8" hidden="1"/>
    <cellStyle name="Hyperlink" xfId="31794" builtinId="8" hidden="1"/>
    <cellStyle name="Hyperlink" xfId="31050" builtinId="8" hidden="1"/>
    <cellStyle name="Hyperlink" xfId="30967" builtinId="8" hidden="1"/>
    <cellStyle name="Hyperlink" xfId="31029" builtinId="8" hidden="1"/>
    <cellStyle name="Hyperlink" xfId="31451" builtinId="8" hidden="1"/>
    <cellStyle name="Hyperlink" xfId="31048" builtinId="8" hidden="1"/>
    <cellStyle name="Hyperlink" xfId="32464" builtinId="8" hidden="1"/>
    <cellStyle name="Hyperlink" xfId="32466" builtinId="8" hidden="1"/>
    <cellStyle name="Hyperlink" xfId="32468" builtinId="8" hidden="1"/>
    <cellStyle name="Hyperlink" xfId="32470" builtinId="8" hidden="1"/>
    <cellStyle name="Hyperlink" xfId="32472" builtinId="8" hidden="1"/>
    <cellStyle name="Hyperlink" xfId="32474" builtinId="8" hidden="1"/>
    <cellStyle name="Hyperlink" xfId="32524" builtinId="8" hidden="1"/>
    <cellStyle name="Hyperlink" xfId="32526" builtinId="8" hidden="1"/>
    <cellStyle name="Hyperlink" xfId="32528" builtinId="8" hidden="1"/>
    <cellStyle name="Hyperlink" xfId="32530" builtinId="8" hidden="1"/>
    <cellStyle name="Hyperlink" xfId="32520" builtinId="8" hidden="1"/>
    <cellStyle name="Hyperlink" xfId="32510" builtinId="8" hidden="1"/>
    <cellStyle name="Hyperlink" xfId="32532" builtinId="8" hidden="1"/>
    <cellStyle name="Hyperlink" xfId="32534" builtinId="8" hidden="1"/>
    <cellStyle name="Hyperlink" xfId="32536" builtinId="8" hidden="1"/>
    <cellStyle name="Hyperlink" xfId="32538" builtinId="8" hidden="1"/>
    <cellStyle name="Hyperlink" xfId="32504" builtinId="8" hidden="1"/>
    <cellStyle name="Hyperlink" xfId="32490" builtinId="8" hidden="1"/>
    <cellStyle name="Hyperlink" xfId="32540" builtinId="8" hidden="1"/>
    <cellStyle name="Hyperlink" xfId="32542" builtinId="8" hidden="1"/>
    <cellStyle name="Hyperlink" xfId="32544" builtinId="8" hidden="1"/>
    <cellStyle name="Hyperlink" xfId="32546" builtinId="8" hidden="1"/>
    <cellStyle name="Hyperlink" xfId="32509" builtinId="8" hidden="1"/>
    <cellStyle name="Hyperlink" xfId="32478" builtinId="8" hidden="1"/>
    <cellStyle name="Hyperlink" xfId="32548" builtinId="8" hidden="1"/>
    <cellStyle name="Hyperlink" xfId="32550" builtinId="8" hidden="1"/>
    <cellStyle name="Hyperlink" xfId="32552" builtinId="8" hidden="1"/>
    <cellStyle name="Hyperlink" xfId="32554" builtinId="8" hidden="1"/>
    <cellStyle name="Hyperlink" xfId="32479" builtinId="8" hidden="1"/>
    <cellStyle name="Hyperlink" xfId="32512" builtinId="8" hidden="1"/>
    <cellStyle name="Hyperlink" xfId="32556" builtinId="8" hidden="1"/>
    <cellStyle name="Hyperlink" xfId="32558" builtinId="8" hidden="1"/>
    <cellStyle name="Hyperlink" xfId="32560" builtinId="8" hidden="1"/>
    <cellStyle name="Hyperlink" xfId="32562" builtinId="8" hidden="1"/>
    <cellStyle name="Hyperlink" xfId="32481" builtinId="8" hidden="1"/>
    <cellStyle name="Hyperlink" xfId="32522" builtinId="8" hidden="1"/>
    <cellStyle name="Hyperlink" xfId="32564" builtinId="8" hidden="1"/>
    <cellStyle name="Hyperlink" xfId="32566" builtinId="8" hidden="1"/>
    <cellStyle name="Hyperlink" xfId="32568" builtinId="8" hidden="1"/>
    <cellStyle name="Hyperlink" xfId="32570" builtinId="8" hidden="1"/>
    <cellStyle name="Hyperlink" xfId="32502" builtinId="8" hidden="1"/>
    <cellStyle name="Hyperlink" xfId="32505" builtinId="8" hidden="1"/>
    <cellStyle name="Hyperlink" xfId="32572" builtinId="8" hidden="1"/>
    <cellStyle name="Hyperlink" xfId="32574" builtinId="8" hidden="1"/>
    <cellStyle name="Hyperlink" xfId="32576" builtinId="8" hidden="1"/>
    <cellStyle name="Hyperlink" xfId="32578" builtinId="8" hidden="1"/>
    <cellStyle name="Hyperlink" xfId="32506" builtinId="8" hidden="1"/>
    <cellStyle name="Hyperlink" xfId="32503" builtinId="8" hidden="1"/>
    <cellStyle name="Hyperlink" xfId="32580" builtinId="8" hidden="1"/>
    <cellStyle name="Hyperlink" xfId="32582" builtinId="8" hidden="1"/>
    <cellStyle name="Hyperlink" xfId="32584" builtinId="8" hidden="1"/>
    <cellStyle name="Hyperlink" xfId="32586" builtinId="8" hidden="1"/>
    <cellStyle name="Hyperlink" xfId="32521" builtinId="8" hidden="1"/>
    <cellStyle name="Hyperlink" xfId="32498" builtinId="8" hidden="1"/>
    <cellStyle name="Hyperlink" xfId="32588" builtinId="8" hidden="1"/>
    <cellStyle name="Hyperlink" xfId="32590" builtinId="8" hidden="1"/>
    <cellStyle name="Hyperlink" xfId="32592" builtinId="8" hidden="1"/>
    <cellStyle name="Hyperlink" xfId="32594" builtinId="8" hidden="1"/>
    <cellStyle name="Hyperlink" xfId="32476" builtinId="8" hidden="1"/>
    <cellStyle name="Hyperlink" xfId="32477" builtinId="8" hidden="1"/>
    <cellStyle name="Hyperlink" xfId="32596" builtinId="8" hidden="1"/>
    <cellStyle name="Hyperlink" xfId="32598" builtinId="8" hidden="1"/>
    <cellStyle name="Hyperlink" xfId="32600" builtinId="8" hidden="1"/>
    <cellStyle name="Hyperlink" xfId="32602" builtinId="8" hidden="1"/>
    <cellStyle name="Hyperlink" xfId="32482" builtinId="8" hidden="1"/>
    <cellStyle name="Hyperlink" xfId="32518" builtinId="8" hidden="1"/>
    <cellStyle name="Hyperlink" xfId="32604" builtinId="8" hidden="1"/>
    <cellStyle name="Hyperlink" xfId="32606" builtinId="8" hidden="1"/>
    <cellStyle name="Hyperlink" xfId="32608" builtinId="8" hidden="1"/>
    <cellStyle name="Hyperlink" xfId="32610" builtinId="8" hidden="1"/>
    <cellStyle name="Hyperlink" xfId="32487" builtinId="8" hidden="1"/>
    <cellStyle name="Hyperlink" xfId="32507" builtinId="8" hidden="1"/>
    <cellStyle name="Hyperlink" xfId="32612" builtinId="8" hidden="1"/>
    <cellStyle name="Hyperlink" xfId="32614" builtinId="8" hidden="1"/>
    <cellStyle name="Hyperlink" xfId="32616" builtinId="8" hidden="1"/>
    <cellStyle name="Hyperlink" xfId="32618" builtinId="8" hidden="1"/>
    <cellStyle name="Hyperlink" xfId="32494" builtinId="8" hidden="1"/>
    <cellStyle name="Hyperlink" xfId="32492" builtinId="8" hidden="1"/>
    <cellStyle name="Hyperlink" xfId="32620" builtinId="8" hidden="1"/>
    <cellStyle name="Hyperlink" xfId="32622" builtinId="8" hidden="1"/>
    <cellStyle name="Hyperlink" xfId="32624" builtinId="8" hidden="1"/>
    <cellStyle name="Hyperlink" xfId="32626" builtinId="8" hidden="1"/>
    <cellStyle name="Hyperlink" xfId="31107" builtinId="8" hidden="1"/>
    <cellStyle name="Hyperlink" xfId="30991" builtinId="8" hidden="1"/>
    <cellStyle name="Hyperlink" xfId="31963" builtinId="8" hidden="1"/>
    <cellStyle name="Hyperlink" xfId="30972" builtinId="8" hidden="1"/>
    <cellStyle name="Hyperlink" xfId="31030" builtinId="8" hidden="1"/>
    <cellStyle name="Hyperlink" xfId="31065" builtinId="8" hidden="1"/>
    <cellStyle name="Hyperlink" xfId="31621" builtinId="8" hidden="1"/>
    <cellStyle name="Hyperlink" xfId="30987" builtinId="8" hidden="1"/>
    <cellStyle name="Hyperlink" xfId="32629" builtinId="8" hidden="1"/>
    <cellStyle name="Hyperlink" xfId="32631" builtinId="8" hidden="1"/>
    <cellStyle name="Hyperlink" xfId="32633" builtinId="8" hidden="1"/>
    <cellStyle name="Hyperlink" xfId="32635" builtinId="8" hidden="1"/>
    <cellStyle name="Hyperlink" xfId="32637" builtinId="8" hidden="1"/>
    <cellStyle name="Hyperlink" xfId="32639" builtinId="8" hidden="1"/>
    <cellStyle name="Hyperlink" xfId="32689" builtinId="8" hidden="1"/>
    <cellStyle name="Hyperlink" xfId="32691" builtinId="8" hidden="1"/>
    <cellStyle name="Hyperlink" xfId="32693" builtinId="8" hidden="1"/>
    <cellStyle name="Hyperlink" xfId="32695" builtinId="8" hidden="1"/>
    <cellStyle name="Hyperlink" xfId="32685" builtinId="8" hidden="1"/>
    <cellStyle name="Hyperlink" xfId="32675" builtinId="8" hidden="1"/>
    <cellStyle name="Hyperlink" xfId="32697" builtinId="8" hidden="1"/>
    <cellStyle name="Hyperlink" xfId="32699" builtinId="8" hidden="1"/>
    <cellStyle name="Hyperlink" xfId="32701" builtinId="8" hidden="1"/>
    <cellStyle name="Hyperlink" xfId="32703" builtinId="8" hidden="1"/>
    <cellStyle name="Hyperlink" xfId="32669" builtinId="8" hidden="1"/>
    <cellStyle name="Hyperlink" xfId="32655" builtinId="8" hidden="1"/>
    <cellStyle name="Hyperlink" xfId="32705" builtinId="8" hidden="1"/>
    <cellStyle name="Hyperlink" xfId="32707" builtinId="8" hidden="1"/>
    <cellStyle name="Hyperlink" xfId="32709" builtinId="8" hidden="1"/>
    <cellStyle name="Hyperlink" xfId="32711" builtinId="8" hidden="1"/>
    <cellStyle name="Hyperlink" xfId="32674" builtinId="8" hidden="1"/>
    <cellStyle name="Hyperlink" xfId="32643" builtinId="8" hidden="1"/>
    <cellStyle name="Hyperlink" xfId="32713" builtinId="8" hidden="1"/>
    <cellStyle name="Hyperlink" xfId="32715" builtinId="8" hidden="1"/>
    <cellStyle name="Hyperlink" xfId="32717" builtinId="8" hidden="1"/>
    <cellStyle name="Hyperlink" xfId="32719" builtinId="8" hidden="1"/>
    <cellStyle name="Hyperlink" xfId="32644" builtinId="8" hidden="1"/>
    <cellStyle name="Hyperlink" xfId="32677" builtinId="8" hidden="1"/>
    <cellStyle name="Hyperlink" xfId="32721" builtinId="8" hidden="1"/>
    <cellStyle name="Hyperlink" xfId="32723" builtinId="8" hidden="1"/>
    <cellStyle name="Hyperlink" xfId="32725" builtinId="8" hidden="1"/>
    <cellStyle name="Hyperlink" xfId="32727" builtinId="8" hidden="1"/>
    <cellStyle name="Hyperlink" xfId="32646" builtinId="8" hidden="1"/>
    <cellStyle name="Hyperlink" xfId="32687" builtinId="8" hidden="1"/>
    <cellStyle name="Hyperlink" xfId="32729" builtinId="8" hidden="1"/>
    <cellStyle name="Hyperlink" xfId="32731" builtinId="8" hidden="1"/>
    <cellStyle name="Hyperlink" xfId="32733" builtinId="8" hidden="1"/>
    <cellStyle name="Hyperlink" xfId="32735" builtinId="8" hidden="1"/>
    <cellStyle name="Hyperlink" xfId="32667" builtinId="8" hidden="1"/>
    <cellStyle name="Hyperlink" xfId="32670" builtinId="8" hidden="1"/>
    <cellStyle name="Hyperlink" xfId="32737" builtinId="8" hidden="1"/>
    <cellStyle name="Hyperlink" xfId="32739" builtinId="8" hidden="1"/>
    <cellStyle name="Hyperlink" xfId="32741" builtinId="8" hidden="1"/>
    <cellStyle name="Hyperlink" xfId="32743" builtinId="8" hidden="1"/>
    <cellStyle name="Hyperlink" xfId="32671" builtinId="8" hidden="1"/>
    <cellStyle name="Hyperlink" xfId="32668" builtinId="8" hidden="1"/>
    <cellStyle name="Hyperlink" xfId="32745" builtinId="8" hidden="1"/>
    <cellStyle name="Hyperlink" xfId="32747" builtinId="8" hidden="1"/>
    <cellStyle name="Hyperlink" xfId="32749" builtinId="8" hidden="1"/>
    <cellStyle name="Hyperlink" xfId="32751" builtinId="8" hidden="1"/>
    <cellStyle name="Hyperlink" xfId="32686" builtinId="8" hidden="1"/>
    <cellStyle name="Hyperlink" xfId="32663" builtinId="8" hidden="1"/>
    <cellStyle name="Hyperlink" xfId="32753" builtinId="8" hidden="1"/>
    <cellStyle name="Hyperlink" xfId="32755" builtinId="8" hidden="1"/>
    <cellStyle name="Hyperlink" xfId="32757" builtinId="8" hidden="1"/>
    <cellStyle name="Hyperlink" xfId="32759" builtinId="8" hidden="1"/>
    <cellStyle name="Hyperlink" xfId="32641" builtinId="8" hidden="1"/>
    <cellStyle name="Hyperlink" xfId="32642" builtinId="8" hidden="1"/>
    <cellStyle name="Hyperlink" xfId="32761" builtinId="8" hidden="1"/>
    <cellStyle name="Hyperlink" xfId="32763" builtinId="8" hidden="1"/>
    <cellStyle name="Hyperlink" xfId="32765" builtinId="8" hidden="1"/>
    <cellStyle name="Hyperlink" xfId="32767" builtinId="8" hidden="1"/>
    <cellStyle name="Hyperlink" xfId="32647" builtinId="8" hidden="1"/>
    <cellStyle name="Hyperlink" xfId="32683" builtinId="8" hidden="1"/>
    <cellStyle name="Hyperlink" xfId="32769" builtinId="8" hidden="1"/>
    <cellStyle name="Hyperlink" xfId="32771" builtinId="8" hidden="1"/>
    <cellStyle name="Hyperlink" xfId="32773" builtinId="8" hidden="1"/>
    <cellStyle name="Hyperlink" xfId="32775" builtinId="8" hidden="1"/>
    <cellStyle name="Hyperlink" xfId="32652" builtinId="8" hidden="1"/>
    <cellStyle name="Hyperlink" xfId="32672" builtinId="8" hidden="1"/>
    <cellStyle name="Hyperlink" xfId="32777" builtinId="8" hidden="1"/>
    <cellStyle name="Hyperlink" xfId="32779" builtinId="8" hidden="1"/>
    <cellStyle name="Hyperlink" xfId="32781" builtinId="8" hidden="1"/>
    <cellStyle name="Hyperlink" xfId="32783" builtinId="8" hidden="1"/>
    <cellStyle name="Hyperlink" xfId="32659" builtinId="8" hidden="1"/>
    <cellStyle name="Hyperlink" xfId="32657" builtinId="8" hidden="1"/>
    <cellStyle name="Hyperlink" xfId="32785" builtinId="8" hidden="1"/>
    <cellStyle name="Hyperlink" xfId="32787" builtinId="8" hidden="1"/>
    <cellStyle name="Hyperlink" xfId="32789" builtinId="8" hidden="1"/>
    <cellStyle name="Hyperlink" xfId="32791" builtinId="8" hidden="1"/>
    <cellStyle name="Hyperlink" xfId="31291" builtinId="8" hidden="1"/>
    <cellStyle name="Hyperlink" xfId="31450" builtinId="8" hidden="1"/>
    <cellStyle name="Hyperlink" xfId="32130" builtinId="8" hidden="1"/>
    <cellStyle name="Hyperlink" xfId="31452" builtinId="8" hidden="1"/>
    <cellStyle name="Hyperlink" xfId="31109" builtinId="8" hidden="1"/>
    <cellStyle name="Hyperlink" xfId="31059" builtinId="8" hidden="1"/>
    <cellStyle name="Hyperlink" xfId="31791" builtinId="8" hidden="1"/>
    <cellStyle name="Hyperlink" xfId="31077" builtinId="8" hidden="1"/>
    <cellStyle name="Hyperlink" xfId="32794" builtinId="8" hidden="1"/>
    <cellStyle name="Hyperlink" xfId="32796" builtinId="8" hidden="1"/>
    <cellStyle name="Hyperlink" xfId="32798" builtinId="8" hidden="1"/>
    <cellStyle name="Hyperlink" xfId="32800" builtinId="8" hidden="1"/>
    <cellStyle name="Hyperlink" xfId="32802" builtinId="8" hidden="1"/>
    <cellStyle name="Hyperlink" xfId="32804" builtinId="8" hidden="1"/>
    <cellStyle name="Hyperlink" xfId="32854" builtinId="8" hidden="1"/>
    <cellStyle name="Hyperlink" xfId="32856" builtinId="8" hidden="1"/>
    <cellStyle name="Hyperlink" xfId="32858" builtinId="8" hidden="1"/>
    <cellStyle name="Hyperlink" xfId="32860" builtinId="8" hidden="1"/>
    <cellStyle name="Hyperlink" xfId="32850" builtinId="8" hidden="1"/>
    <cellStyle name="Hyperlink" xfId="32840" builtinId="8" hidden="1"/>
    <cellStyle name="Hyperlink" xfId="32862" builtinId="8" hidden="1"/>
    <cellStyle name="Hyperlink" xfId="32864" builtinId="8" hidden="1"/>
    <cellStyle name="Hyperlink" xfId="32866" builtinId="8" hidden="1"/>
    <cellStyle name="Hyperlink" xfId="32868" builtinId="8" hidden="1"/>
    <cellStyle name="Hyperlink" xfId="32834" builtinId="8" hidden="1"/>
    <cellStyle name="Hyperlink" xfId="32820" builtinId="8" hidden="1"/>
    <cellStyle name="Hyperlink" xfId="32870" builtinId="8" hidden="1"/>
    <cellStyle name="Hyperlink" xfId="32872" builtinId="8" hidden="1"/>
    <cellStyle name="Hyperlink" xfId="32874" builtinId="8" hidden="1"/>
    <cellStyle name="Hyperlink" xfId="32876" builtinId="8" hidden="1"/>
    <cellStyle name="Hyperlink" xfId="32839" builtinId="8" hidden="1"/>
    <cellStyle name="Hyperlink" xfId="32808" builtinId="8" hidden="1"/>
    <cellStyle name="Hyperlink" xfId="32878" builtinId="8" hidden="1"/>
    <cellStyle name="Hyperlink" xfId="32880" builtinId="8" hidden="1"/>
    <cellStyle name="Hyperlink" xfId="32882" builtinId="8" hidden="1"/>
    <cellStyle name="Hyperlink" xfId="32884" builtinId="8" hidden="1"/>
    <cellStyle name="Hyperlink" xfId="32809" builtinId="8" hidden="1"/>
    <cellStyle name="Hyperlink" xfId="32842" builtinId="8" hidden="1"/>
    <cellStyle name="Hyperlink" xfId="32886" builtinId="8" hidden="1"/>
    <cellStyle name="Hyperlink" xfId="32888" builtinId="8" hidden="1"/>
    <cellStyle name="Hyperlink" xfId="32890" builtinId="8" hidden="1"/>
    <cellStyle name="Hyperlink" xfId="32892" builtinId="8" hidden="1"/>
    <cellStyle name="Hyperlink" xfId="32811" builtinId="8" hidden="1"/>
    <cellStyle name="Hyperlink" xfId="32852" builtinId="8" hidden="1"/>
    <cellStyle name="Hyperlink" xfId="32894" builtinId="8" hidden="1"/>
    <cellStyle name="Hyperlink" xfId="32896" builtinId="8" hidden="1"/>
    <cellStyle name="Hyperlink" xfId="32898" builtinId="8" hidden="1"/>
    <cellStyle name="Hyperlink" xfId="32900" builtinId="8" hidden="1"/>
    <cellStyle name="Hyperlink" xfId="32832" builtinId="8" hidden="1"/>
    <cellStyle name="Hyperlink" xfId="32835" builtinId="8" hidden="1"/>
    <cellStyle name="Hyperlink" xfId="32902" builtinId="8" hidden="1"/>
    <cellStyle name="Hyperlink" xfId="32904" builtinId="8" hidden="1"/>
    <cellStyle name="Hyperlink" xfId="32906" builtinId="8" hidden="1"/>
    <cellStyle name="Hyperlink" xfId="32908" builtinId="8" hidden="1"/>
    <cellStyle name="Hyperlink" xfId="32836" builtinId="8" hidden="1"/>
    <cellStyle name="Hyperlink" xfId="32833" builtinId="8" hidden="1"/>
    <cellStyle name="Hyperlink" xfId="32910" builtinId="8" hidden="1"/>
    <cellStyle name="Hyperlink" xfId="32912" builtinId="8" hidden="1"/>
    <cellStyle name="Hyperlink" xfId="32914" builtinId="8" hidden="1"/>
    <cellStyle name="Hyperlink" xfId="32916" builtinId="8" hidden="1"/>
    <cellStyle name="Hyperlink" xfId="32851" builtinId="8" hidden="1"/>
    <cellStyle name="Hyperlink" xfId="32828" builtinId="8" hidden="1"/>
    <cellStyle name="Hyperlink" xfId="32918" builtinId="8" hidden="1"/>
    <cellStyle name="Hyperlink" xfId="32920" builtinId="8" hidden="1"/>
    <cellStyle name="Hyperlink" xfId="32922" builtinId="8" hidden="1"/>
    <cellStyle name="Hyperlink" xfId="32924" builtinId="8" hidden="1"/>
    <cellStyle name="Hyperlink" xfId="32806" builtinId="8" hidden="1"/>
    <cellStyle name="Hyperlink" xfId="32807" builtinId="8" hidden="1"/>
    <cellStyle name="Hyperlink" xfId="32926" builtinId="8" hidden="1"/>
    <cellStyle name="Hyperlink" xfId="32928" builtinId="8" hidden="1"/>
    <cellStyle name="Hyperlink" xfId="32930" builtinId="8" hidden="1"/>
    <cellStyle name="Hyperlink" xfId="32932" builtinId="8" hidden="1"/>
    <cellStyle name="Hyperlink" xfId="32812" builtinId="8" hidden="1"/>
    <cellStyle name="Hyperlink" xfId="32848" builtinId="8" hidden="1"/>
    <cellStyle name="Hyperlink" xfId="32934" builtinId="8" hidden="1"/>
    <cellStyle name="Hyperlink" xfId="32936" builtinId="8" hidden="1"/>
    <cellStyle name="Hyperlink" xfId="32938" builtinId="8" hidden="1"/>
    <cellStyle name="Hyperlink" xfId="32940" builtinId="8" hidden="1"/>
    <cellStyle name="Hyperlink" xfId="32817" builtinId="8" hidden="1"/>
    <cellStyle name="Hyperlink" xfId="32837" builtinId="8" hidden="1"/>
    <cellStyle name="Hyperlink" xfId="32942" builtinId="8" hidden="1"/>
    <cellStyle name="Hyperlink" xfId="32944" builtinId="8" hidden="1"/>
    <cellStyle name="Hyperlink" xfId="32946" builtinId="8" hidden="1"/>
    <cellStyle name="Hyperlink" xfId="32948" builtinId="8" hidden="1"/>
    <cellStyle name="Hyperlink" xfId="32824" builtinId="8" hidden="1"/>
    <cellStyle name="Hyperlink" xfId="32822" builtinId="8" hidden="1"/>
    <cellStyle name="Hyperlink" xfId="32950" builtinId="8" hidden="1"/>
    <cellStyle name="Hyperlink" xfId="32952" builtinId="8" hidden="1"/>
    <cellStyle name="Hyperlink" xfId="32954" builtinId="8" hidden="1"/>
    <cellStyle name="Hyperlink" xfId="32956" builtinId="8" hidden="1"/>
    <cellStyle name="Hyperlink" xfId="30993" builtinId="8" hidden="1"/>
    <cellStyle name="Hyperlink" xfId="31082" builtinId="8" hidden="1"/>
    <cellStyle name="Hyperlink" xfId="32297" builtinId="8" hidden="1"/>
    <cellStyle name="Hyperlink" xfId="31622" builtinId="8" hidden="1"/>
    <cellStyle name="Hyperlink" xfId="31111" builtinId="8" hidden="1"/>
    <cellStyle name="Hyperlink" xfId="31022" builtinId="8" hidden="1"/>
    <cellStyle name="Hyperlink" xfId="31960" builtinId="8" hidden="1"/>
    <cellStyle name="Hyperlink" xfId="31113" builtinId="8" hidden="1"/>
    <cellStyle name="Hyperlink" xfId="32958" builtinId="8" hidden="1"/>
    <cellStyle name="Hyperlink" xfId="32960" builtinId="8" hidden="1"/>
    <cellStyle name="Hyperlink" xfId="32962" builtinId="8" hidden="1"/>
    <cellStyle name="Hyperlink" xfId="32964" builtinId="8" hidden="1"/>
    <cellStyle name="Hyperlink" xfId="32966" builtinId="8" hidden="1"/>
    <cellStyle name="Hyperlink" xfId="32968" builtinId="8" hidden="1"/>
    <cellStyle name="Hyperlink" xfId="33018" builtinId="8" hidden="1"/>
    <cellStyle name="Hyperlink" xfId="33020" builtinId="8" hidden="1"/>
    <cellStyle name="Hyperlink" xfId="33022" builtinId="8" hidden="1"/>
    <cellStyle name="Hyperlink" xfId="33024" builtinId="8" hidden="1"/>
    <cellStyle name="Hyperlink" xfId="33014" builtinId="8" hidden="1"/>
    <cellStyle name="Hyperlink" xfId="33004" builtinId="8" hidden="1"/>
    <cellStyle name="Hyperlink" xfId="33026" builtinId="8" hidden="1"/>
    <cellStyle name="Hyperlink" xfId="33028" builtinId="8" hidden="1"/>
    <cellStyle name="Hyperlink" xfId="33030" builtinId="8" hidden="1"/>
    <cellStyle name="Hyperlink" xfId="33032" builtinId="8" hidden="1"/>
    <cellStyle name="Hyperlink" xfId="32998" builtinId="8" hidden="1"/>
    <cellStyle name="Hyperlink" xfId="32984" builtinId="8" hidden="1"/>
    <cellStyle name="Hyperlink" xfId="33034" builtinId="8" hidden="1"/>
    <cellStyle name="Hyperlink" xfId="33036" builtinId="8" hidden="1"/>
    <cellStyle name="Hyperlink" xfId="33038" builtinId="8" hidden="1"/>
    <cellStyle name="Hyperlink" xfId="33040" builtinId="8" hidden="1"/>
    <cellStyle name="Hyperlink" xfId="33003" builtinId="8" hidden="1"/>
    <cellStyle name="Hyperlink" xfId="32972" builtinId="8" hidden="1"/>
    <cellStyle name="Hyperlink" xfId="33042" builtinId="8" hidden="1"/>
    <cellStyle name="Hyperlink" xfId="33044" builtinId="8" hidden="1"/>
    <cellStyle name="Hyperlink" xfId="33046" builtinId="8" hidden="1"/>
    <cellStyle name="Hyperlink" xfId="33048" builtinId="8" hidden="1"/>
    <cellStyle name="Hyperlink" xfId="32973" builtinId="8" hidden="1"/>
    <cellStyle name="Hyperlink" xfId="33006" builtinId="8" hidden="1"/>
    <cellStyle name="Hyperlink" xfId="33050" builtinId="8" hidden="1"/>
    <cellStyle name="Hyperlink" xfId="33052" builtinId="8" hidden="1"/>
    <cellStyle name="Hyperlink" xfId="33054" builtinId="8" hidden="1"/>
    <cellStyle name="Hyperlink" xfId="33056" builtinId="8" hidden="1"/>
    <cellStyle name="Hyperlink" xfId="32975" builtinId="8" hidden="1"/>
    <cellStyle name="Hyperlink" xfId="33016" builtinId="8" hidden="1"/>
    <cellStyle name="Hyperlink" xfId="33058" builtinId="8" hidden="1"/>
    <cellStyle name="Hyperlink" xfId="33060" builtinId="8" hidden="1"/>
    <cellStyle name="Hyperlink" xfId="33062" builtinId="8" hidden="1"/>
    <cellStyle name="Hyperlink" xfId="33064" builtinId="8" hidden="1"/>
    <cellStyle name="Hyperlink" xfId="32996" builtinId="8" hidden="1"/>
    <cellStyle name="Hyperlink" xfId="32999" builtinId="8" hidden="1"/>
    <cellStyle name="Hyperlink" xfId="33066" builtinId="8" hidden="1"/>
    <cellStyle name="Hyperlink" xfId="33068" builtinId="8" hidden="1"/>
    <cellStyle name="Hyperlink" xfId="33070" builtinId="8" hidden="1"/>
    <cellStyle name="Hyperlink" xfId="33072" builtinId="8" hidden="1"/>
    <cellStyle name="Hyperlink" xfId="33000" builtinId="8" hidden="1"/>
    <cellStyle name="Hyperlink" xfId="32997" builtinId="8" hidden="1"/>
    <cellStyle name="Hyperlink" xfId="33074" builtinId="8" hidden="1"/>
    <cellStyle name="Hyperlink" xfId="33076" builtinId="8" hidden="1"/>
    <cellStyle name="Hyperlink" xfId="33078" builtinId="8" hidden="1"/>
    <cellStyle name="Hyperlink" xfId="33080" builtinId="8" hidden="1"/>
    <cellStyle name="Hyperlink" xfId="33015" builtinId="8" hidden="1"/>
    <cellStyle name="Hyperlink" xfId="32992" builtinId="8" hidden="1"/>
    <cellStyle name="Hyperlink" xfId="33082" builtinId="8" hidden="1"/>
    <cellStyle name="Hyperlink" xfId="33084" builtinId="8" hidden="1"/>
    <cellStyle name="Hyperlink" xfId="33086" builtinId="8" hidden="1"/>
    <cellStyle name="Hyperlink" xfId="33088" builtinId="8" hidden="1"/>
    <cellStyle name="Hyperlink" xfId="32970" builtinId="8" hidden="1"/>
    <cellStyle name="Hyperlink" xfId="32971" builtinId="8" hidden="1"/>
    <cellStyle name="Hyperlink" xfId="33090" builtinId="8" hidden="1"/>
    <cellStyle name="Hyperlink" xfId="33092" builtinId="8" hidden="1"/>
    <cellStyle name="Hyperlink" xfId="33094" builtinId="8" hidden="1"/>
    <cellStyle name="Hyperlink" xfId="33096" builtinId="8" hidden="1"/>
    <cellStyle name="Hyperlink" xfId="32976" builtinId="8" hidden="1"/>
    <cellStyle name="Hyperlink" xfId="33012" builtinId="8" hidden="1"/>
    <cellStyle name="Hyperlink" xfId="33098" builtinId="8" hidden="1"/>
    <cellStyle name="Hyperlink" xfId="33100" builtinId="8" hidden="1"/>
    <cellStyle name="Hyperlink" xfId="33102" builtinId="8" hidden="1"/>
    <cellStyle name="Hyperlink" xfId="33104" builtinId="8" hidden="1"/>
    <cellStyle name="Hyperlink" xfId="32981" builtinId="8" hidden="1"/>
    <cellStyle name="Hyperlink" xfId="33001" builtinId="8" hidden="1"/>
    <cellStyle name="Hyperlink" xfId="33106" builtinId="8" hidden="1"/>
    <cellStyle name="Hyperlink" xfId="33108" builtinId="8" hidden="1"/>
    <cellStyle name="Hyperlink" xfId="33110" builtinId="8" hidden="1"/>
    <cellStyle name="Hyperlink" xfId="33112" builtinId="8" hidden="1"/>
    <cellStyle name="Hyperlink" xfId="32988" builtinId="8" hidden="1"/>
    <cellStyle name="Hyperlink" xfId="32986" builtinId="8" hidden="1"/>
    <cellStyle name="Hyperlink" xfId="33114" builtinId="8" hidden="1"/>
    <cellStyle name="Hyperlink" xfId="33116" builtinId="8" hidden="1"/>
    <cellStyle name="Hyperlink" xfId="33118" builtinId="8" hidden="1"/>
    <cellStyle name="Hyperlink" xfId="33120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5</xdr:row>
          <xdr:rowOff>95250</xdr:rowOff>
        </xdr:from>
        <xdr:to>
          <xdr:col>6</xdr:col>
          <xdr:colOff>1657350</xdr:colOff>
          <xdr:row>5</xdr:row>
          <xdr:rowOff>1143000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ESD MODE</a:t>
              </a:r>
            </a:p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904875</xdr:colOff>
      <xdr:row>19</xdr:row>
      <xdr:rowOff>0</xdr:rowOff>
    </xdr:from>
    <xdr:to>
      <xdr:col>21</xdr:col>
      <xdr:colOff>395143</xdr:colOff>
      <xdr:row>19</xdr:row>
      <xdr:rowOff>839066</xdr:rowOff>
    </xdr:to>
    <xdr:pic>
      <xdr:nvPicPr>
        <xdr:cNvPr id="5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604625" y="6651625"/>
          <a:ext cx="2427143" cy="8390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31750</xdr:colOff>
      <xdr:row>19</xdr:row>
      <xdr:rowOff>15875</xdr:rowOff>
    </xdr:from>
    <xdr:to>
      <xdr:col>17</xdr:col>
      <xdr:colOff>174625</xdr:colOff>
      <xdr:row>19</xdr:row>
      <xdr:rowOff>817631</xdr:rowOff>
    </xdr:to>
    <xdr:pic>
      <xdr:nvPicPr>
        <xdr:cNvPr id="6" name="Picture 5" descr="Lauren Concise Logo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715125" y="6667500"/>
          <a:ext cx="4159250" cy="80175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49853850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49853850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9853850" y="313658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12544425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12544425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8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392914" y="2834900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355482</xdr:colOff>
      <xdr:row>60</xdr:row>
      <xdr:rowOff>80103</xdr:rowOff>
    </xdr:from>
    <xdr:to>
      <xdr:col>70</xdr:col>
      <xdr:colOff>87924</xdr:colOff>
      <xdr:row>62</xdr:row>
      <xdr:rowOff>251926</xdr:rowOff>
    </xdr:to>
    <xdr:pic>
      <xdr:nvPicPr>
        <xdr:cNvPr id="9" name="Picture 8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7297828" y="28281430"/>
          <a:ext cx="4245827" cy="816592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</xdr:row>
      <xdr:rowOff>0</xdr:rowOff>
    </xdr:from>
    <xdr:to>
      <xdr:col>5</xdr:col>
      <xdr:colOff>1217469</xdr:colOff>
      <xdr:row>5</xdr:row>
      <xdr:rowOff>1145720</xdr:rowOff>
    </xdr:to>
    <xdr:sp macro="" textlink="">
      <xdr:nvSpPr>
        <xdr:cNvPr id="10" name="Text 10"/>
        <xdr:cNvSpPr txBox="1">
          <a:spLocks noChangeArrowheads="1"/>
        </xdr:cNvSpPr>
      </xdr:nvSpPr>
      <xdr:spPr bwMode="auto">
        <a:xfrm>
          <a:off x="1790700" y="266700"/>
          <a:ext cx="10075719" cy="10061120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CTR - Control	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10 - Fire / Gas trip when 2 of x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11 - Field Decision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latin typeface="+mn-lt"/>
              <a:ea typeface="+mn-ea"/>
              <a:cs typeface="+mn-cs"/>
            </a:rPr>
            <a:t>13 - Station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14 - P101/M001 Electrical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effectLst/>
              <a:latin typeface="+mn-lt"/>
              <a:ea typeface="+mn-ea"/>
              <a:cs typeface="+mn-cs"/>
            </a:rPr>
            <a:t>15 - P102/M002 Electrical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16 - P101/M001 Mechanical Lockout</a:t>
          </a:r>
          <a:endParaRPr lang="en-CA" sz="1400">
            <a:effectLst/>
          </a:endParaRPr>
        </a:p>
        <a:p>
          <a:pPr rtl="0" eaLnBrk="1" fontAlgn="auto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17 - P102/M002 Mechanical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18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Edmonton Control Center ONLY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19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Hardwire &amp; PLC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20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PLC ONLY</a:t>
          </a:r>
        </a:p>
        <a:p>
          <a:pPr rtl="0" eaLnBrk="1" fontAlgn="auto" latinLnBrk="0" hangingPunct="1"/>
          <a:r>
            <a:rPr lang="en-CA" sz="1400" b="1">
              <a:effectLst/>
              <a:latin typeface="+mn-lt"/>
              <a:ea typeface="+mn-ea"/>
              <a:cs typeface="+mn-cs"/>
            </a:rPr>
            <a:t>21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Alarm if not tracking the output</a:t>
          </a:r>
        </a:p>
        <a:p>
          <a:pPr rtl="0" eaLnBrk="1" fontAlgn="auto" latinLnBrk="0" hangingPunct="1"/>
          <a:r>
            <a:rPr lang="en-CA" sz="1400" b="1" baseline="0">
              <a:effectLst/>
              <a:latin typeface="+mn-lt"/>
              <a:ea typeface="+mn-ea"/>
              <a:cs typeface="+mn-cs"/>
            </a:rPr>
            <a:t>22 - Low Select Control</a:t>
          </a:r>
        </a:p>
        <a:p>
          <a:pPr rtl="0" eaLnBrk="1" fontAlgn="auto" latinLnBrk="0" hangingPunct="1"/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RESET: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L</a:t>
          </a:r>
          <a:r>
            <a:rPr lang="en-CA" sz="1400" b="1" baseline="0">
              <a:effectLst/>
            </a:rPr>
            <a:t> - Local Reset Required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 baseline="0">
              <a:effectLst/>
            </a:rPr>
            <a:t>R - Remote Reset Enabled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 sz="1400">
            <a:effectLst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Site ESD and Shutin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Shutdown rotating equipment, ESD Valves stay in current position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3 - 5KV/480V Equipment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P101/ M001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P102/ M002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Alarm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FKO Pump Shutdown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0" y="313848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7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8307314" y="2836805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355482</xdr:colOff>
      <xdr:row>60</xdr:row>
      <xdr:rowOff>80103</xdr:rowOff>
    </xdr:from>
    <xdr:to>
      <xdr:col>70</xdr:col>
      <xdr:colOff>87924</xdr:colOff>
      <xdr:row>62</xdr:row>
      <xdr:rowOff>251926</xdr:rowOff>
    </xdr:to>
    <xdr:pic>
      <xdr:nvPicPr>
        <xdr:cNvPr id="8" name="Picture 7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8017332" y="28378878"/>
          <a:ext cx="4237767" cy="819523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</xdr:row>
      <xdr:rowOff>0</xdr:rowOff>
    </xdr:from>
    <xdr:to>
      <xdr:col>5</xdr:col>
      <xdr:colOff>1217469</xdr:colOff>
      <xdr:row>5</xdr:row>
      <xdr:rowOff>1145720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1781175" y="257175"/>
          <a:ext cx="10056669" cy="10051595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CTR - Control	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10 - Fire / Gas trip when 2 of x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11 - Field Decision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latin typeface="+mn-lt"/>
              <a:ea typeface="+mn-ea"/>
              <a:cs typeface="+mn-cs"/>
            </a:rPr>
            <a:t>13 - Station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14 - P101/M001 Electrical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effectLst/>
              <a:latin typeface="+mn-lt"/>
              <a:ea typeface="+mn-ea"/>
              <a:cs typeface="+mn-cs"/>
            </a:rPr>
            <a:t>15 - P102/M002 Electrical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16 - P101/M001 Mechanical Lockout</a:t>
          </a:r>
          <a:endParaRPr lang="en-CA" sz="1400">
            <a:effectLst/>
          </a:endParaRPr>
        </a:p>
        <a:p>
          <a:pPr rtl="0" eaLnBrk="1" fontAlgn="auto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17 - P102/M002 Mechanical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18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Edmonton Control Center ONLY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19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Hardwire &amp; PLC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20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PLC ONLY</a:t>
          </a:r>
        </a:p>
        <a:p>
          <a:pPr rtl="0" eaLnBrk="1" fontAlgn="auto" latinLnBrk="0" hangingPunct="1"/>
          <a:r>
            <a:rPr lang="en-CA" sz="1400" b="1">
              <a:effectLst/>
              <a:latin typeface="+mn-lt"/>
              <a:ea typeface="+mn-ea"/>
              <a:cs typeface="+mn-cs"/>
            </a:rPr>
            <a:t>21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Alarm if not tracking the output</a:t>
          </a:r>
        </a:p>
        <a:p>
          <a:pPr rtl="0" eaLnBrk="1" fontAlgn="auto" latinLnBrk="0" hangingPunct="1"/>
          <a:r>
            <a:rPr lang="en-CA" sz="1400" b="1" baseline="0">
              <a:effectLst/>
              <a:latin typeface="+mn-lt"/>
              <a:ea typeface="+mn-ea"/>
              <a:cs typeface="+mn-cs"/>
            </a:rPr>
            <a:t>22 - Low Select Control</a:t>
          </a:r>
        </a:p>
        <a:p>
          <a:pPr rtl="0" eaLnBrk="1" fontAlgn="auto" latinLnBrk="0" hangingPunct="1"/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RESET: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L</a:t>
          </a:r>
          <a:r>
            <a:rPr lang="en-CA" sz="1400" b="1" baseline="0">
              <a:effectLst/>
            </a:rPr>
            <a:t> - Local Reset Required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 sz="1400">
            <a:effectLst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Site ESD and Shutin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Shutdown rotating equipment, ESD Valves stay in current position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3 - 5KV/480V Equipment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P101/ M001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P102/ M002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Alarm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FKO Pump Shutdown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0" y="313848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7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8307314" y="2836805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355482</xdr:colOff>
      <xdr:row>60</xdr:row>
      <xdr:rowOff>80103</xdr:rowOff>
    </xdr:from>
    <xdr:to>
      <xdr:col>70</xdr:col>
      <xdr:colOff>87924</xdr:colOff>
      <xdr:row>62</xdr:row>
      <xdr:rowOff>251926</xdr:rowOff>
    </xdr:to>
    <xdr:pic>
      <xdr:nvPicPr>
        <xdr:cNvPr id="8" name="Picture 7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8017332" y="28378878"/>
          <a:ext cx="4237767" cy="819523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</xdr:row>
      <xdr:rowOff>0</xdr:rowOff>
    </xdr:from>
    <xdr:to>
      <xdr:col>5</xdr:col>
      <xdr:colOff>1217469</xdr:colOff>
      <xdr:row>5</xdr:row>
      <xdr:rowOff>1145720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1781175" y="257175"/>
          <a:ext cx="10056669" cy="10051595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CTR - Control	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10 - Fire / Gas trip when 2 of x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11 - Field Decision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latin typeface="+mn-lt"/>
              <a:ea typeface="+mn-ea"/>
              <a:cs typeface="+mn-cs"/>
            </a:rPr>
            <a:t>13 - Station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14 - P101/M001 Electrical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effectLst/>
              <a:latin typeface="+mn-lt"/>
              <a:ea typeface="+mn-ea"/>
              <a:cs typeface="+mn-cs"/>
            </a:rPr>
            <a:t>15 - P102/M002 Electrical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16 - P101/M001 Mechanical Lockout</a:t>
          </a:r>
          <a:endParaRPr lang="en-CA" sz="1400">
            <a:effectLst/>
          </a:endParaRPr>
        </a:p>
        <a:p>
          <a:pPr rtl="0" eaLnBrk="1" fontAlgn="auto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17 - P102/M002 Mechanical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18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Edmonton Control Center ONLY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19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Hardwire &amp; PLC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20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PLC ONLY</a:t>
          </a:r>
        </a:p>
        <a:p>
          <a:pPr rtl="0" eaLnBrk="1" fontAlgn="auto" latinLnBrk="0" hangingPunct="1"/>
          <a:r>
            <a:rPr lang="en-CA" sz="1400" b="1">
              <a:effectLst/>
              <a:latin typeface="+mn-lt"/>
              <a:ea typeface="+mn-ea"/>
              <a:cs typeface="+mn-cs"/>
            </a:rPr>
            <a:t>21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Alarm if not tracking the output</a:t>
          </a:r>
        </a:p>
        <a:p>
          <a:pPr rtl="0" eaLnBrk="1" fontAlgn="auto" latinLnBrk="0" hangingPunct="1"/>
          <a:r>
            <a:rPr lang="en-CA" sz="1400" b="1" baseline="0">
              <a:effectLst/>
              <a:latin typeface="+mn-lt"/>
              <a:ea typeface="+mn-ea"/>
              <a:cs typeface="+mn-cs"/>
            </a:rPr>
            <a:t>22 - Low Select Control</a:t>
          </a:r>
        </a:p>
        <a:p>
          <a:pPr rtl="0" eaLnBrk="1" fontAlgn="auto" latinLnBrk="0" hangingPunct="1"/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RESET: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L</a:t>
          </a:r>
          <a:r>
            <a:rPr lang="en-CA" sz="1400" b="1" baseline="0">
              <a:effectLst/>
            </a:rPr>
            <a:t> - Local Reset Required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 sz="1400">
            <a:effectLst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Site ESD and Shutin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Shutdown rotating equipment, ESD Valves stay in current position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3 - 5KV/480V Equipment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P101/ M001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P102/ M002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Alarm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FKO Pump Shutdown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0" y="313848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7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8307314" y="2836805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355482</xdr:colOff>
      <xdr:row>60</xdr:row>
      <xdr:rowOff>80103</xdr:rowOff>
    </xdr:from>
    <xdr:to>
      <xdr:col>70</xdr:col>
      <xdr:colOff>87924</xdr:colOff>
      <xdr:row>62</xdr:row>
      <xdr:rowOff>251926</xdr:rowOff>
    </xdr:to>
    <xdr:pic>
      <xdr:nvPicPr>
        <xdr:cNvPr id="8" name="Picture 7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8017332" y="28378878"/>
          <a:ext cx="4237767" cy="819523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</xdr:row>
      <xdr:rowOff>0</xdr:rowOff>
    </xdr:from>
    <xdr:to>
      <xdr:col>5</xdr:col>
      <xdr:colOff>1217469</xdr:colOff>
      <xdr:row>5</xdr:row>
      <xdr:rowOff>1145720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1781175" y="257175"/>
          <a:ext cx="10056669" cy="10051595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CTR - Control	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10 - Fire / Gas trip when 2 of x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11 - Field Decision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latin typeface="+mn-lt"/>
              <a:ea typeface="+mn-ea"/>
              <a:cs typeface="+mn-cs"/>
            </a:rPr>
            <a:t>13 - Station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14 - P101/M001 Electrical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effectLst/>
              <a:latin typeface="+mn-lt"/>
              <a:ea typeface="+mn-ea"/>
              <a:cs typeface="+mn-cs"/>
            </a:rPr>
            <a:t>15 - P102/M002 Electrical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16 - P101/M001 Mechanical Lockout</a:t>
          </a:r>
          <a:endParaRPr lang="en-CA" sz="1400">
            <a:effectLst/>
          </a:endParaRPr>
        </a:p>
        <a:p>
          <a:pPr rtl="0" eaLnBrk="1" fontAlgn="auto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17 - P102/M002 Mechanical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18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Edmonton Control Center ONLY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19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Hardwire &amp; PLC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20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PLC ONLY</a:t>
          </a:r>
        </a:p>
        <a:p>
          <a:pPr rtl="0" eaLnBrk="1" fontAlgn="auto" latinLnBrk="0" hangingPunct="1"/>
          <a:r>
            <a:rPr lang="en-CA" sz="1400" b="1">
              <a:effectLst/>
              <a:latin typeface="+mn-lt"/>
              <a:ea typeface="+mn-ea"/>
              <a:cs typeface="+mn-cs"/>
            </a:rPr>
            <a:t>21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Alarm if not tracking the output</a:t>
          </a:r>
        </a:p>
        <a:p>
          <a:pPr rtl="0" eaLnBrk="1" fontAlgn="auto" latinLnBrk="0" hangingPunct="1"/>
          <a:r>
            <a:rPr lang="en-CA" sz="1400" b="1" baseline="0">
              <a:effectLst/>
              <a:latin typeface="+mn-lt"/>
              <a:ea typeface="+mn-ea"/>
              <a:cs typeface="+mn-cs"/>
            </a:rPr>
            <a:t>22 - Low Select Control</a:t>
          </a:r>
        </a:p>
        <a:p>
          <a:pPr rtl="0" eaLnBrk="1" fontAlgn="auto" latinLnBrk="0" hangingPunct="1"/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RESET: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L</a:t>
          </a:r>
          <a:r>
            <a:rPr lang="en-CA" sz="1400" b="1" baseline="0">
              <a:effectLst/>
            </a:rPr>
            <a:t> - Local Reset Required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 sz="1400">
            <a:effectLst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Site ESD and Shutin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Shutdown rotating equipment, ESD Valves stay in current position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3 - 5KV/480V Equipment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P101/ M001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P102/ M002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Alarm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FKO Pump Shutdown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0" y="313848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7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8307314" y="2836805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355482</xdr:colOff>
      <xdr:row>60</xdr:row>
      <xdr:rowOff>80103</xdr:rowOff>
    </xdr:from>
    <xdr:to>
      <xdr:col>70</xdr:col>
      <xdr:colOff>87924</xdr:colOff>
      <xdr:row>62</xdr:row>
      <xdr:rowOff>251926</xdr:rowOff>
    </xdr:to>
    <xdr:pic>
      <xdr:nvPicPr>
        <xdr:cNvPr id="8" name="Picture 7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8017332" y="28378878"/>
          <a:ext cx="4237767" cy="819523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</xdr:row>
      <xdr:rowOff>0</xdr:rowOff>
    </xdr:from>
    <xdr:to>
      <xdr:col>5</xdr:col>
      <xdr:colOff>1217469</xdr:colOff>
      <xdr:row>5</xdr:row>
      <xdr:rowOff>1145720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1781175" y="257175"/>
          <a:ext cx="10056669" cy="10051595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CTR - Control	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10 - Fire / Gas trip when 2 of x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11 - Field Decision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latin typeface="+mn-lt"/>
              <a:ea typeface="+mn-ea"/>
              <a:cs typeface="+mn-cs"/>
            </a:rPr>
            <a:t>13 - Station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14 - P101/M001 Electrical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effectLst/>
              <a:latin typeface="+mn-lt"/>
              <a:ea typeface="+mn-ea"/>
              <a:cs typeface="+mn-cs"/>
            </a:rPr>
            <a:t>15 - P102/M002 Electrical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16 - P101/M001 Mechanical Lockout</a:t>
          </a:r>
          <a:endParaRPr lang="en-CA" sz="1400">
            <a:effectLst/>
          </a:endParaRPr>
        </a:p>
        <a:p>
          <a:pPr rtl="0" eaLnBrk="1" fontAlgn="auto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17 - P102/M002 Mechanical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18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Edmonton Control Center ONLY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19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Hardwire &amp; PLC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20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PLC ONLY</a:t>
          </a:r>
        </a:p>
        <a:p>
          <a:pPr rtl="0" eaLnBrk="1" fontAlgn="auto" latinLnBrk="0" hangingPunct="1"/>
          <a:r>
            <a:rPr lang="en-CA" sz="1400" b="1">
              <a:effectLst/>
              <a:latin typeface="+mn-lt"/>
              <a:ea typeface="+mn-ea"/>
              <a:cs typeface="+mn-cs"/>
            </a:rPr>
            <a:t>21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Alarm if not tracking the output</a:t>
          </a:r>
        </a:p>
        <a:p>
          <a:pPr rtl="0" eaLnBrk="1" fontAlgn="auto" latinLnBrk="0" hangingPunct="1"/>
          <a:r>
            <a:rPr lang="en-CA" sz="1400" b="1" baseline="0">
              <a:effectLst/>
              <a:latin typeface="+mn-lt"/>
              <a:ea typeface="+mn-ea"/>
              <a:cs typeface="+mn-cs"/>
            </a:rPr>
            <a:t>22 - Low Select Control</a:t>
          </a:r>
        </a:p>
        <a:p>
          <a:pPr rtl="0" eaLnBrk="1" fontAlgn="auto" latinLnBrk="0" hangingPunct="1"/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RESET: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L</a:t>
          </a:r>
          <a:r>
            <a:rPr lang="en-CA" sz="1400" b="1" baseline="0">
              <a:effectLst/>
            </a:rPr>
            <a:t> - Local Reset Required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 sz="1400">
            <a:effectLst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Site ESD and Shutin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Shutdown rotating equipment, ESD Valves stay in current position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3 - 5KV/480V Equipment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P101/ M001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P102/ M002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Alarm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FKO Pump Shutdown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0" y="313848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7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8307314" y="2836805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355482</xdr:colOff>
      <xdr:row>60</xdr:row>
      <xdr:rowOff>80103</xdr:rowOff>
    </xdr:from>
    <xdr:to>
      <xdr:col>70</xdr:col>
      <xdr:colOff>87924</xdr:colOff>
      <xdr:row>62</xdr:row>
      <xdr:rowOff>251926</xdr:rowOff>
    </xdr:to>
    <xdr:pic>
      <xdr:nvPicPr>
        <xdr:cNvPr id="8" name="Picture 7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8017332" y="28378878"/>
          <a:ext cx="4237767" cy="819523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</xdr:row>
      <xdr:rowOff>0</xdr:rowOff>
    </xdr:from>
    <xdr:to>
      <xdr:col>5</xdr:col>
      <xdr:colOff>1217469</xdr:colOff>
      <xdr:row>5</xdr:row>
      <xdr:rowOff>1145720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1781175" y="257175"/>
          <a:ext cx="10056669" cy="10051595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CTR - Control	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10 - Fire / Gas trip when 2 of x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11 - Field Decision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latin typeface="+mn-lt"/>
              <a:ea typeface="+mn-ea"/>
              <a:cs typeface="+mn-cs"/>
            </a:rPr>
            <a:t>13 - Station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14 - P101/M001 Electrical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effectLst/>
              <a:latin typeface="+mn-lt"/>
              <a:ea typeface="+mn-ea"/>
              <a:cs typeface="+mn-cs"/>
            </a:rPr>
            <a:t>15 - P102/M002 Electrical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16 - P101/M001 Mechanical Lockout</a:t>
          </a:r>
          <a:endParaRPr lang="en-CA" sz="1400">
            <a:effectLst/>
          </a:endParaRPr>
        </a:p>
        <a:p>
          <a:pPr rtl="0" eaLnBrk="1" fontAlgn="auto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17 - P102/M002 Mechanical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18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Edmonton Control Center ONLY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19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Hardwire &amp; PLC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20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PLC ONLY</a:t>
          </a:r>
        </a:p>
        <a:p>
          <a:pPr rtl="0" eaLnBrk="1" fontAlgn="auto" latinLnBrk="0" hangingPunct="1"/>
          <a:r>
            <a:rPr lang="en-CA" sz="1400" b="1">
              <a:effectLst/>
              <a:latin typeface="+mn-lt"/>
              <a:ea typeface="+mn-ea"/>
              <a:cs typeface="+mn-cs"/>
            </a:rPr>
            <a:t>21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Alarm if not tracking the output</a:t>
          </a:r>
        </a:p>
        <a:p>
          <a:pPr rtl="0" eaLnBrk="1" fontAlgn="auto" latinLnBrk="0" hangingPunct="1"/>
          <a:r>
            <a:rPr lang="en-CA" sz="1400" b="1" baseline="0">
              <a:effectLst/>
              <a:latin typeface="+mn-lt"/>
              <a:ea typeface="+mn-ea"/>
              <a:cs typeface="+mn-cs"/>
            </a:rPr>
            <a:t>22 - Low Select Control</a:t>
          </a:r>
        </a:p>
        <a:p>
          <a:pPr rtl="0" eaLnBrk="1" fontAlgn="auto" latinLnBrk="0" hangingPunct="1"/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RESET: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L</a:t>
          </a:r>
          <a:r>
            <a:rPr lang="en-CA" sz="1400" b="1" baseline="0">
              <a:effectLst/>
            </a:rPr>
            <a:t> - Local Reset Required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 sz="1400">
            <a:effectLst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Site ESD and Shutin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Shutdown rotating equipment, ESD Valves stay in current position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3 - 5KV/480V Equipment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P101/ M001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P102/ M002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Alarm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FKO Pump Shutdown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 enableFormatConditionsCalculation="0">
    <pageSetUpPr fitToPage="1"/>
  </sheetPr>
  <dimension ref="A1:FJ293"/>
  <sheetViews>
    <sheetView tabSelected="1" zoomScale="60" zoomScaleNormal="60" zoomScaleSheetLayoutView="55" zoomScalePageLayoutView="50" workbookViewId="0">
      <pane xSplit="11" ySplit="9" topLeftCell="L79" activePane="bottomRight" state="frozen"/>
      <selection pane="topRight" activeCell="L1" sqref="L1"/>
      <selection pane="bottomLeft" activeCell="A10" sqref="A10"/>
      <selection pane="bottomRight" activeCell="F5" sqref="F5"/>
    </sheetView>
  </sheetViews>
  <sheetFormatPr defaultRowHeight="15.75" x14ac:dyDescent="0.25"/>
  <cols>
    <col min="1" max="1" width="8.85546875" style="541" bestFit="1" customWidth="1"/>
    <col min="2" max="2" width="8.140625" style="222" bestFit="1" customWidth="1"/>
    <col min="3" max="3" width="11.28515625" style="315" customWidth="1"/>
    <col min="4" max="4" width="39.42578125" style="541" customWidth="1"/>
    <col min="5" max="5" width="72.140625" style="222" customWidth="1"/>
    <col min="6" max="6" width="17.140625" style="220" bestFit="1" customWidth="1"/>
    <col min="7" max="7" width="27.140625" style="220" bestFit="1" customWidth="1"/>
    <col min="8" max="8" width="32.85546875" style="541" bestFit="1" customWidth="1"/>
    <col min="9" max="9" width="8.42578125" style="222" customWidth="1"/>
    <col min="10" max="10" width="8.7109375" style="222" customWidth="1"/>
    <col min="11" max="11" width="8.42578125" style="316" customWidth="1"/>
    <col min="12" max="165" width="6.28515625" style="222" customWidth="1"/>
    <col min="166" max="16384" width="9.140625" style="222"/>
  </cols>
  <sheetData>
    <row r="1" spans="1:165" s="298" customFormat="1" ht="16.5" thickBot="1" x14ac:dyDescent="0.25">
      <c r="A1" s="220">
        <v>16384</v>
      </c>
      <c r="B1" s="220"/>
      <c r="C1" s="223"/>
      <c r="D1" s="220"/>
      <c r="E1" s="220"/>
      <c r="F1" s="220"/>
      <c r="G1" s="220"/>
      <c r="H1" s="220"/>
      <c r="I1" s="626" t="s">
        <v>0</v>
      </c>
      <c r="J1" s="627"/>
      <c r="K1" s="628"/>
      <c r="L1" s="413">
        <f t="shared" ref="L1:BW1" si="0">COLUMN()-11</f>
        <v>1</v>
      </c>
      <c r="M1" s="310">
        <f t="shared" si="0"/>
        <v>2</v>
      </c>
      <c r="N1" s="310">
        <f t="shared" si="0"/>
        <v>3</v>
      </c>
      <c r="O1" s="310">
        <f t="shared" si="0"/>
        <v>4</v>
      </c>
      <c r="P1" s="310">
        <f t="shared" si="0"/>
        <v>5</v>
      </c>
      <c r="Q1" s="76">
        <f t="shared" si="0"/>
        <v>6</v>
      </c>
      <c r="R1" s="76">
        <f t="shared" si="0"/>
        <v>7</v>
      </c>
      <c r="S1" s="556">
        <f t="shared" si="0"/>
        <v>8</v>
      </c>
      <c r="T1" s="556">
        <f t="shared" si="0"/>
        <v>9</v>
      </c>
      <c r="U1" s="556">
        <f t="shared" si="0"/>
        <v>10</v>
      </c>
      <c r="V1" s="556">
        <f t="shared" si="0"/>
        <v>11</v>
      </c>
      <c r="W1" s="556">
        <f t="shared" si="0"/>
        <v>12</v>
      </c>
      <c r="X1" s="556">
        <f t="shared" si="0"/>
        <v>13</v>
      </c>
      <c r="Y1" s="567">
        <f t="shared" si="0"/>
        <v>14</v>
      </c>
      <c r="Z1" s="556">
        <f t="shared" si="0"/>
        <v>15</v>
      </c>
      <c r="AA1" s="556">
        <f t="shared" si="0"/>
        <v>16</v>
      </c>
      <c r="AB1" s="556">
        <f t="shared" si="0"/>
        <v>17</v>
      </c>
      <c r="AC1" s="556">
        <f t="shared" si="0"/>
        <v>18</v>
      </c>
      <c r="AD1" s="556">
        <f t="shared" si="0"/>
        <v>19</v>
      </c>
      <c r="AE1" s="556">
        <f t="shared" si="0"/>
        <v>20</v>
      </c>
      <c r="AF1" s="556">
        <f t="shared" si="0"/>
        <v>21</v>
      </c>
      <c r="AG1" s="556">
        <f t="shared" si="0"/>
        <v>22</v>
      </c>
      <c r="AH1" s="556">
        <f t="shared" si="0"/>
        <v>23</v>
      </c>
      <c r="AI1" s="556">
        <f t="shared" si="0"/>
        <v>24</v>
      </c>
      <c r="AJ1" s="76">
        <f t="shared" si="0"/>
        <v>25</v>
      </c>
      <c r="AK1" s="76">
        <f t="shared" si="0"/>
        <v>26</v>
      </c>
      <c r="AL1" s="556">
        <f t="shared" si="0"/>
        <v>27</v>
      </c>
      <c r="AM1" s="556">
        <f t="shared" si="0"/>
        <v>28</v>
      </c>
      <c r="AN1" s="556">
        <f t="shared" si="0"/>
        <v>29</v>
      </c>
      <c r="AO1" s="556">
        <f t="shared" si="0"/>
        <v>30</v>
      </c>
      <c r="AP1" s="556">
        <f t="shared" si="0"/>
        <v>31</v>
      </c>
      <c r="AQ1" s="556">
        <f t="shared" si="0"/>
        <v>32</v>
      </c>
      <c r="AR1" s="556">
        <f t="shared" si="0"/>
        <v>33</v>
      </c>
      <c r="AS1" s="76">
        <f t="shared" si="0"/>
        <v>34</v>
      </c>
      <c r="AT1" s="76">
        <f t="shared" si="0"/>
        <v>35</v>
      </c>
      <c r="AU1" s="556">
        <f t="shared" si="0"/>
        <v>36</v>
      </c>
      <c r="AV1" s="556">
        <f t="shared" si="0"/>
        <v>37</v>
      </c>
      <c r="AW1" s="556">
        <f t="shared" si="0"/>
        <v>38</v>
      </c>
      <c r="AX1" s="556">
        <f t="shared" si="0"/>
        <v>39</v>
      </c>
      <c r="AY1" s="556">
        <f t="shared" si="0"/>
        <v>40</v>
      </c>
      <c r="AZ1" s="556">
        <f t="shared" si="0"/>
        <v>41</v>
      </c>
      <c r="BA1" s="556">
        <f t="shared" si="0"/>
        <v>42</v>
      </c>
      <c r="BB1" s="556">
        <f t="shared" si="0"/>
        <v>43</v>
      </c>
      <c r="BC1" s="556">
        <f t="shared" si="0"/>
        <v>44</v>
      </c>
      <c r="BD1" s="556">
        <f t="shared" si="0"/>
        <v>45</v>
      </c>
      <c r="BE1" s="76">
        <f t="shared" si="0"/>
        <v>46</v>
      </c>
      <c r="BF1" s="76">
        <f t="shared" si="0"/>
        <v>47</v>
      </c>
      <c r="BG1" s="556">
        <f t="shared" si="0"/>
        <v>48</v>
      </c>
      <c r="BH1" s="556">
        <f t="shared" si="0"/>
        <v>49</v>
      </c>
      <c r="BI1" s="556">
        <f t="shared" si="0"/>
        <v>50</v>
      </c>
      <c r="BJ1" s="556">
        <f t="shared" si="0"/>
        <v>51</v>
      </c>
      <c r="BK1" s="556">
        <f t="shared" si="0"/>
        <v>52</v>
      </c>
      <c r="BL1" s="556">
        <f t="shared" si="0"/>
        <v>53</v>
      </c>
      <c r="BM1" s="556">
        <f t="shared" si="0"/>
        <v>54</v>
      </c>
      <c r="BN1" s="556">
        <f t="shared" si="0"/>
        <v>55</v>
      </c>
      <c r="BO1" s="556">
        <f t="shared" si="0"/>
        <v>56</v>
      </c>
      <c r="BP1" s="556">
        <f t="shared" si="0"/>
        <v>57</v>
      </c>
      <c r="BQ1" s="76">
        <f t="shared" si="0"/>
        <v>58</v>
      </c>
      <c r="BR1" s="76">
        <f t="shared" si="0"/>
        <v>59</v>
      </c>
      <c r="BS1" s="556">
        <f t="shared" si="0"/>
        <v>60</v>
      </c>
      <c r="BT1" s="76">
        <f t="shared" si="0"/>
        <v>61</v>
      </c>
      <c r="BU1" s="76">
        <f t="shared" si="0"/>
        <v>62</v>
      </c>
      <c r="BV1" s="567">
        <f t="shared" si="0"/>
        <v>63</v>
      </c>
      <c r="BW1" s="567">
        <f t="shared" si="0"/>
        <v>64</v>
      </c>
      <c r="BX1" s="567">
        <f t="shared" ref="BX1:CM1" si="1">COLUMN()-11</f>
        <v>65</v>
      </c>
      <c r="BY1" s="567">
        <f t="shared" si="1"/>
        <v>66</v>
      </c>
      <c r="BZ1" s="76">
        <f t="shared" si="1"/>
        <v>67</v>
      </c>
      <c r="CA1" s="76">
        <f t="shared" si="1"/>
        <v>68</v>
      </c>
      <c r="CB1" s="567">
        <f t="shared" si="1"/>
        <v>69</v>
      </c>
      <c r="CC1" s="567">
        <f t="shared" si="1"/>
        <v>70</v>
      </c>
      <c r="CD1" s="567">
        <f t="shared" si="1"/>
        <v>71</v>
      </c>
      <c r="CE1" s="76">
        <f t="shared" si="1"/>
        <v>72</v>
      </c>
      <c r="CF1" s="76">
        <f t="shared" si="1"/>
        <v>73</v>
      </c>
      <c r="CG1" s="567">
        <f t="shared" si="1"/>
        <v>74</v>
      </c>
      <c r="CH1" s="567">
        <f t="shared" si="1"/>
        <v>75</v>
      </c>
      <c r="CI1" s="567">
        <f t="shared" si="1"/>
        <v>76</v>
      </c>
      <c r="CJ1" s="76">
        <f t="shared" si="1"/>
        <v>77</v>
      </c>
      <c r="CK1" s="76">
        <f t="shared" si="1"/>
        <v>78</v>
      </c>
      <c r="CL1" s="76">
        <f t="shared" si="1"/>
        <v>79</v>
      </c>
      <c r="CM1" s="76">
        <f t="shared" si="1"/>
        <v>80</v>
      </c>
      <c r="CN1" s="140"/>
      <c r="CO1" s="140"/>
      <c r="CP1" s="140"/>
      <c r="CQ1" s="140"/>
      <c r="CR1" s="140"/>
      <c r="CS1" s="140"/>
      <c r="CT1" s="140"/>
      <c r="CU1" s="140"/>
      <c r="CV1" s="140"/>
      <c r="CW1" s="140"/>
      <c r="CX1" s="140"/>
      <c r="CY1" s="140"/>
      <c r="CZ1" s="140"/>
      <c r="DA1" s="140"/>
      <c r="DB1" s="140"/>
      <c r="DC1" s="140"/>
      <c r="DD1" s="140"/>
      <c r="DE1" s="140"/>
      <c r="DF1" s="140"/>
      <c r="DG1" s="140"/>
      <c r="DH1" s="140"/>
      <c r="DI1" s="140"/>
      <c r="DJ1" s="140"/>
      <c r="DK1" s="140"/>
      <c r="DL1" s="140"/>
      <c r="DM1" s="140"/>
      <c r="DN1" s="140"/>
      <c r="DO1" s="140"/>
      <c r="DP1" s="140"/>
      <c r="DQ1" s="140"/>
      <c r="DR1" s="140"/>
      <c r="DS1" s="140"/>
      <c r="DT1" s="140"/>
      <c r="DU1" s="140"/>
      <c r="DV1" s="140"/>
      <c r="DW1" s="140"/>
      <c r="DX1" s="140"/>
      <c r="DY1" s="140"/>
      <c r="DZ1" s="140"/>
      <c r="EA1" s="140"/>
      <c r="EB1" s="140"/>
      <c r="EC1" s="140"/>
      <c r="ED1" s="140"/>
      <c r="EE1" s="140"/>
      <c r="EF1" s="140"/>
      <c r="EG1" s="140"/>
      <c r="EH1" s="140"/>
      <c r="EI1" s="140"/>
      <c r="EJ1" s="140"/>
      <c r="EK1" s="140"/>
      <c r="EL1" s="140"/>
      <c r="EM1" s="140"/>
      <c r="EN1" s="140"/>
      <c r="EO1" s="140"/>
      <c r="EP1" s="140"/>
      <c r="EQ1" s="140"/>
      <c r="ER1" s="140"/>
      <c r="ES1" s="140"/>
      <c r="ET1" s="140"/>
      <c r="EU1" s="140"/>
      <c r="EV1" s="140"/>
      <c r="EW1" s="140"/>
      <c r="EX1" s="140"/>
      <c r="EY1" s="140"/>
      <c r="EZ1" s="140"/>
      <c r="FA1" s="140"/>
      <c r="FB1" s="140"/>
      <c r="FC1" s="140"/>
      <c r="FD1" s="140"/>
      <c r="FE1" s="140"/>
      <c r="FF1" s="140"/>
      <c r="FG1" s="140"/>
      <c r="FH1" s="140"/>
      <c r="FI1" s="140"/>
    </row>
    <row r="2" spans="1:165" s="299" customFormat="1" ht="16.5" thickBot="1" x14ac:dyDescent="0.3">
      <c r="A2" s="539"/>
      <c r="B2" s="539"/>
      <c r="C2" s="225"/>
      <c r="D2" s="226"/>
      <c r="E2" s="226"/>
      <c r="F2" s="539"/>
      <c r="G2" s="539"/>
      <c r="H2" s="226"/>
      <c r="I2" s="626" t="s">
        <v>38</v>
      </c>
      <c r="J2" s="627"/>
      <c r="K2" s="628"/>
      <c r="L2" s="519">
        <v>0</v>
      </c>
      <c r="M2" s="519">
        <v>0</v>
      </c>
      <c r="N2" s="519">
        <v>0</v>
      </c>
      <c r="O2" s="519">
        <v>0</v>
      </c>
      <c r="P2" s="519">
        <v>0</v>
      </c>
      <c r="Q2" s="185"/>
      <c r="R2" s="76"/>
      <c r="S2" s="557">
        <v>0</v>
      </c>
      <c r="T2" s="565">
        <v>0</v>
      </c>
      <c r="U2" s="557">
        <v>0</v>
      </c>
      <c r="V2" s="557">
        <v>0</v>
      </c>
      <c r="W2" s="565">
        <v>0</v>
      </c>
      <c r="X2" s="557">
        <v>0</v>
      </c>
      <c r="Y2" s="557">
        <v>0</v>
      </c>
      <c r="Z2" s="557">
        <v>0</v>
      </c>
      <c r="AA2" s="557">
        <v>0</v>
      </c>
      <c r="AB2" s="557">
        <v>0</v>
      </c>
      <c r="AC2" s="557">
        <v>0</v>
      </c>
      <c r="AD2" s="557">
        <v>0</v>
      </c>
      <c r="AE2" s="565">
        <v>0</v>
      </c>
      <c r="AF2" s="565">
        <v>0</v>
      </c>
      <c r="AG2" s="557">
        <v>0</v>
      </c>
      <c r="AH2" s="557">
        <v>0</v>
      </c>
      <c r="AI2" s="565">
        <v>0</v>
      </c>
      <c r="AJ2" s="140"/>
      <c r="AK2" s="140"/>
      <c r="AL2" s="565">
        <v>0</v>
      </c>
      <c r="AM2" s="565">
        <v>0</v>
      </c>
      <c r="AN2" s="565">
        <v>0</v>
      </c>
      <c r="AO2" s="565">
        <v>0</v>
      </c>
      <c r="AP2" s="565">
        <v>0</v>
      </c>
      <c r="AQ2" s="565">
        <v>0</v>
      </c>
      <c r="AR2" s="557">
        <v>0</v>
      </c>
      <c r="AS2" s="140"/>
      <c r="AT2" s="140"/>
      <c r="AU2" s="557">
        <v>0</v>
      </c>
      <c r="AV2" s="557">
        <v>0</v>
      </c>
      <c r="AW2" s="565">
        <v>0</v>
      </c>
      <c r="AX2" s="565">
        <v>0</v>
      </c>
      <c r="AY2" s="557">
        <v>0</v>
      </c>
      <c r="AZ2" s="557">
        <v>0</v>
      </c>
      <c r="BA2" s="565">
        <v>0</v>
      </c>
      <c r="BB2" s="565">
        <v>0</v>
      </c>
      <c r="BC2" s="565">
        <v>0</v>
      </c>
      <c r="BD2" s="565">
        <v>0</v>
      </c>
      <c r="BE2" s="140"/>
      <c r="BF2" s="140"/>
      <c r="BG2" s="557">
        <v>0</v>
      </c>
      <c r="BH2" s="557">
        <v>0</v>
      </c>
      <c r="BI2" s="557">
        <v>0</v>
      </c>
      <c r="BJ2" s="557">
        <v>0</v>
      </c>
      <c r="BK2" s="557">
        <v>0</v>
      </c>
      <c r="BL2" s="557">
        <v>0</v>
      </c>
      <c r="BM2" s="565">
        <v>0</v>
      </c>
      <c r="BN2" s="565">
        <v>0</v>
      </c>
      <c r="BO2" s="565">
        <v>0</v>
      </c>
      <c r="BP2" s="565">
        <v>0</v>
      </c>
      <c r="BQ2" s="140"/>
      <c r="BR2" s="140"/>
      <c r="BS2" s="557">
        <v>0</v>
      </c>
      <c r="BT2" s="140"/>
      <c r="BU2" s="140"/>
      <c r="BV2" s="565">
        <v>0</v>
      </c>
      <c r="BW2" s="565">
        <v>0</v>
      </c>
      <c r="BX2" s="557">
        <v>0</v>
      </c>
      <c r="BY2" s="557">
        <v>0</v>
      </c>
      <c r="BZ2" s="140"/>
      <c r="CA2" s="140"/>
      <c r="CB2" s="565">
        <v>0</v>
      </c>
      <c r="CC2" s="565">
        <v>0</v>
      </c>
      <c r="CD2" s="557">
        <v>0</v>
      </c>
      <c r="CE2" s="140"/>
      <c r="CF2" s="140"/>
      <c r="CG2" s="565">
        <v>0</v>
      </c>
      <c r="CH2" s="565">
        <v>0</v>
      </c>
      <c r="CI2" s="565">
        <v>0</v>
      </c>
      <c r="CJ2" s="186"/>
      <c r="CK2" s="186"/>
      <c r="CL2" s="186"/>
      <c r="CM2" s="186"/>
      <c r="CN2" s="186"/>
      <c r="CO2" s="186"/>
      <c r="CP2" s="186"/>
      <c r="CQ2" s="186"/>
      <c r="CR2" s="186"/>
      <c r="CS2" s="186"/>
      <c r="CT2" s="186"/>
      <c r="CU2" s="186"/>
      <c r="CV2" s="186"/>
      <c r="CW2" s="186"/>
      <c r="CX2" s="186"/>
      <c r="CY2" s="186"/>
      <c r="CZ2" s="186"/>
      <c r="DA2" s="186"/>
      <c r="DB2" s="186"/>
      <c r="DC2" s="186"/>
      <c r="DD2" s="186"/>
      <c r="DE2" s="186"/>
      <c r="DF2" s="186"/>
      <c r="DG2" s="186"/>
      <c r="DH2" s="186"/>
      <c r="DI2" s="186"/>
      <c r="DJ2" s="186"/>
      <c r="DK2" s="186"/>
      <c r="DL2" s="186"/>
      <c r="DM2" s="186"/>
      <c r="DN2" s="186"/>
      <c r="DO2" s="186"/>
      <c r="DP2" s="186"/>
      <c r="DQ2" s="186"/>
      <c r="DR2" s="186"/>
      <c r="DS2" s="186"/>
      <c r="DT2" s="186"/>
      <c r="DU2" s="186"/>
      <c r="DV2" s="186"/>
      <c r="DW2" s="186"/>
      <c r="DX2" s="186"/>
      <c r="DY2" s="186"/>
      <c r="DZ2" s="186"/>
      <c r="EA2" s="186"/>
      <c r="EB2" s="186"/>
      <c r="EC2" s="186"/>
      <c r="ED2" s="186"/>
      <c r="EE2" s="186"/>
      <c r="EF2" s="186"/>
      <c r="EG2" s="186"/>
      <c r="EH2" s="186"/>
      <c r="EI2" s="186"/>
      <c r="EJ2" s="186"/>
      <c r="EK2" s="186"/>
      <c r="EL2" s="186"/>
      <c r="EM2" s="186"/>
      <c r="EN2" s="186"/>
      <c r="EO2" s="186"/>
      <c r="EP2" s="186"/>
      <c r="EQ2" s="186"/>
      <c r="ER2" s="186"/>
      <c r="ES2" s="186"/>
      <c r="ET2" s="186"/>
      <c r="EU2" s="186"/>
      <c r="EV2" s="186"/>
      <c r="EW2" s="186"/>
      <c r="EX2" s="186"/>
      <c r="EY2" s="186"/>
      <c r="EZ2" s="186"/>
      <c r="FA2" s="186"/>
      <c r="FB2" s="186"/>
      <c r="FC2" s="186"/>
      <c r="FD2" s="186"/>
      <c r="FE2" s="186"/>
      <c r="FF2" s="186"/>
      <c r="FG2" s="186"/>
      <c r="FH2" s="186"/>
      <c r="FI2" s="186"/>
    </row>
    <row r="3" spans="1:165" s="228" customFormat="1" ht="138.75" customHeight="1" thickBot="1" x14ac:dyDescent="0.25">
      <c r="A3" s="220"/>
      <c r="B3" s="220"/>
      <c r="C3" s="223"/>
      <c r="D3" s="541"/>
      <c r="E3" s="541"/>
      <c r="F3" s="220"/>
      <c r="G3" s="220"/>
      <c r="H3" s="541"/>
      <c r="I3" s="629" t="s">
        <v>35</v>
      </c>
      <c r="J3" s="630"/>
      <c r="K3" s="631"/>
      <c r="L3" s="520" t="s">
        <v>1044</v>
      </c>
      <c r="M3" s="521" t="s">
        <v>1044</v>
      </c>
      <c r="N3" s="521" t="s">
        <v>1044</v>
      </c>
      <c r="O3" s="521" t="s">
        <v>1044</v>
      </c>
      <c r="P3" s="521" t="s">
        <v>1044</v>
      </c>
      <c r="Q3" s="144"/>
      <c r="R3" s="146"/>
      <c r="S3" s="558" t="s">
        <v>1044</v>
      </c>
      <c r="T3" s="559" t="s">
        <v>1044</v>
      </c>
      <c r="U3" s="558" t="s">
        <v>1044</v>
      </c>
      <c r="V3" s="559">
        <v>5</v>
      </c>
      <c r="W3" s="559" t="s">
        <v>1044</v>
      </c>
      <c r="X3" s="559" t="s">
        <v>1044</v>
      </c>
      <c r="Y3" s="558" t="s">
        <v>1044</v>
      </c>
      <c r="Z3" s="559" t="s">
        <v>1044</v>
      </c>
      <c r="AA3" s="559">
        <v>5</v>
      </c>
      <c r="AB3" s="559">
        <v>5</v>
      </c>
      <c r="AC3" s="559">
        <v>5</v>
      </c>
      <c r="AD3" s="559">
        <v>5</v>
      </c>
      <c r="AE3" s="559" t="s">
        <v>135</v>
      </c>
      <c r="AF3" s="559" t="s">
        <v>135</v>
      </c>
      <c r="AG3" s="559" t="s">
        <v>1044</v>
      </c>
      <c r="AH3" s="559" t="s">
        <v>1044</v>
      </c>
      <c r="AI3" s="558" t="s">
        <v>1044</v>
      </c>
      <c r="AJ3" s="146"/>
      <c r="AK3" s="146"/>
      <c r="AL3" s="559">
        <v>1</v>
      </c>
      <c r="AM3" s="559">
        <v>1</v>
      </c>
      <c r="AN3" s="559">
        <v>1</v>
      </c>
      <c r="AO3" s="559">
        <v>1</v>
      </c>
      <c r="AP3" s="559">
        <v>1</v>
      </c>
      <c r="AQ3" s="559">
        <v>1</v>
      </c>
      <c r="AR3" s="559">
        <v>1</v>
      </c>
      <c r="AS3" s="151"/>
      <c r="AT3" s="146"/>
      <c r="AU3" s="559" t="s">
        <v>135</v>
      </c>
      <c r="AV3" s="559" t="s">
        <v>135</v>
      </c>
      <c r="AW3" s="559" t="s">
        <v>135</v>
      </c>
      <c r="AX3" s="559" t="s">
        <v>135</v>
      </c>
      <c r="AY3" s="559" t="s">
        <v>135</v>
      </c>
      <c r="AZ3" s="559">
        <v>4</v>
      </c>
      <c r="BA3" s="559">
        <v>2</v>
      </c>
      <c r="BB3" s="559">
        <v>2</v>
      </c>
      <c r="BC3" s="559">
        <v>2</v>
      </c>
      <c r="BD3" s="559">
        <v>2</v>
      </c>
      <c r="BE3" s="146"/>
      <c r="BF3" s="146"/>
      <c r="BG3" s="559" t="s">
        <v>135</v>
      </c>
      <c r="BH3" s="559" t="s">
        <v>135</v>
      </c>
      <c r="BI3" s="559" t="s">
        <v>135</v>
      </c>
      <c r="BJ3" s="559" t="s">
        <v>135</v>
      </c>
      <c r="BK3" s="559" t="s">
        <v>135</v>
      </c>
      <c r="BL3" s="559">
        <v>4</v>
      </c>
      <c r="BM3" s="559">
        <v>2</v>
      </c>
      <c r="BN3" s="559">
        <v>2</v>
      </c>
      <c r="BO3" s="559">
        <v>2</v>
      </c>
      <c r="BP3" s="559">
        <v>2</v>
      </c>
      <c r="BQ3" s="146"/>
      <c r="BR3" s="146"/>
      <c r="BS3" s="559">
        <v>3</v>
      </c>
      <c r="BT3" s="146"/>
      <c r="BU3" s="146"/>
      <c r="BV3" s="571" t="s">
        <v>135</v>
      </c>
      <c r="BW3" s="559" t="s">
        <v>135</v>
      </c>
      <c r="BX3" s="571" t="s">
        <v>135</v>
      </c>
      <c r="BY3" s="559" t="s">
        <v>135</v>
      </c>
      <c r="BZ3" s="146"/>
      <c r="CA3" s="146"/>
      <c r="CB3" s="559" t="s">
        <v>135</v>
      </c>
      <c r="CC3" s="559" t="s">
        <v>135</v>
      </c>
      <c r="CD3" s="559" t="s">
        <v>135</v>
      </c>
      <c r="CE3" s="146"/>
      <c r="CF3" s="146"/>
      <c r="CG3" s="559">
        <v>5</v>
      </c>
      <c r="CH3" s="558" t="s">
        <v>1044</v>
      </c>
      <c r="CI3" s="558" t="s">
        <v>1044</v>
      </c>
      <c r="CJ3" s="144"/>
      <c r="CK3" s="144"/>
      <c r="CL3" s="144"/>
      <c r="CM3" s="144"/>
      <c r="CN3" s="144"/>
      <c r="CO3" s="144"/>
      <c r="CP3" s="144"/>
      <c r="CQ3" s="144"/>
      <c r="CR3" s="144"/>
      <c r="CS3" s="144"/>
      <c r="CT3" s="144"/>
      <c r="CU3" s="144"/>
      <c r="CV3" s="144"/>
      <c r="CW3" s="144"/>
      <c r="CX3" s="144"/>
      <c r="CY3" s="144"/>
      <c r="CZ3" s="144"/>
      <c r="DA3" s="144"/>
      <c r="DB3" s="144"/>
      <c r="DC3" s="144"/>
      <c r="DD3" s="144"/>
      <c r="DE3" s="144"/>
      <c r="DF3" s="144"/>
      <c r="DG3" s="144"/>
      <c r="DH3" s="144"/>
      <c r="DI3" s="144"/>
      <c r="DJ3" s="144"/>
      <c r="DK3" s="144"/>
      <c r="DL3" s="144"/>
      <c r="DM3" s="144"/>
      <c r="DN3" s="144"/>
      <c r="DO3" s="144"/>
      <c r="DP3" s="144"/>
      <c r="DQ3" s="144"/>
      <c r="DR3" s="144"/>
      <c r="DS3" s="144"/>
      <c r="DT3" s="144"/>
      <c r="DU3" s="144"/>
      <c r="DV3" s="144"/>
      <c r="DW3" s="144"/>
      <c r="DX3" s="144"/>
      <c r="DY3" s="144"/>
      <c r="DZ3" s="144"/>
      <c r="EA3" s="144"/>
      <c r="EB3" s="144"/>
      <c r="EC3" s="144"/>
      <c r="ED3" s="144"/>
      <c r="EE3" s="144"/>
      <c r="EF3" s="144"/>
      <c r="EG3" s="144"/>
      <c r="EH3" s="144"/>
      <c r="EI3" s="144"/>
      <c r="EJ3" s="144"/>
      <c r="EK3" s="144"/>
      <c r="EL3" s="144"/>
      <c r="EM3" s="144"/>
      <c r="EN3" s="144"/>
      <c r="EO3" s="144"/>
      <c r="EP3" s="144"/>
      <c r="EQ3" s="144"/>
      <c r="ER3" s="144"/>
      <c r="ES3" s="144"/>
      <c r="ET3" s="144"/>
      <c r="EU3" s="144"/>
      <c r="EV3" s="144"/>
      <c r="EW3" s="144"/>
      <c r="EX3" s="144"/>
      <c r="EY3" s="144"/>
      <c r="EZ3" s="144"/>
      <c r="FA3" s="144"/>
      <c r="FB3" s="144"/>
      <c r="FC3" s="144"/>
      <c r="FD3" s="144"/>
      <c r="FE3" s="144"/>
      <c r="FF3" s="144"/>
      <c r="FG3" s="144"/>
      <c r="FH3" s="144"/>
      <c r="FI3" s="144"/>
    </row>
    <row r="4" spans="1:165" s="228" customFormat="1" ht="147.75" customHeight="1" thickBot="1" x14ac:dyDescent="0.25">
      <c r="A4" s="220"/>
      <c r="B4" s="220"/>
      <c r="C4" s="223"/>
      <c r="D4" s="541"/>
      <c r="E4" s="541"/>
      <c r="F4" s="220"/>
      <c r="G4" s="227"/>
      <c r="I4" s="629" t="s">
        <v>36</v>
      </c>
      <c r="J4" s="630"/>
      <c r="K4" s="631"/>
      <c r="L4" s="520" t="s">
        <v>1044</v>
      </c>
      <c r="M4" s="521" t="s">
        <v>1044</v>
      </c>
      <c r="N4" s="521" t="s">
        <v>1044</v>
      </c>
      <c r="O4" s="521" t="s">
        <v>1044</v>
      </c>
      <c r="P4" s="521" t="s">
        <v>1044</v>
      </c>
      <c r="Q4" s="144"/>
      <c r="R4" s="146"/>
      <c r="S4" s="559" t="s">
        <v>136</v>
      </c>
      <c r="T4" s="559" t="s">
        <v>137</v>
      </c>
      <c r="U4" s="559" t="s">
        <v>138</v>
      </c>
      <c r="V4" s="559" t="s">
        <v>139</v>
      </c>
      <c r="W4" s="559" t="s">
        <v>140</v>
      </c>
      <c r="X4" s="559" t="s">
        <v>141</v>
      </c>
      <c r="Y4" s="558" t="s">
        <v>142</v>
      </c>
      <c r="Z4" s="559" t="s">
        <v>143</v>
      </c>
      <c r="AA4" s="559" t="s">
        <v>144</v>
      </c>
      <c r="AB4" s="559" t="s">
        <v>145</v>
      </c>
      <c r="AC4" s="559" t="s">
        <v>146</v>
      </c>
      <c r="AD4" s="559" t="s">
        <v>147</v>
      </c>
      <c r="AE4" s="559" t="s">
        <v>148</v>
      </c>
      <c r="AF4" s="559" t="s">
        <v>149</v>
      </c>
      <c r="AG4" s="558" t="s">
        <v>922</v>
      </c>
      <c r="AH4" s="558" t="s">
        <v>921</v>
      </c>
      <c r="AI4" s="558" t="s">
        <v>1049</v>
      </c>
      <c r="AJ4" s="146"/>
      <c r="AK4" s="146"/>
      <c r="AL4" s="559" t="s">
        <v>150</v>
      </c>
      <c r="AM4" s="559" t="s">
        <v>151</v>
      </c>
      <c r="AN4" s="559" t="s">
        <v>152</v>
      </c>
      <c r="AO4" s="559" t="s">
        <v>153</v>
      </c>
      <c r="AP4" s="559" t="s">
        <v>154</v>
      </c>
      <c r="AQ4" s="559" t="s">
        <v>155</v>
      </c>
      <c r="AR4" s="559" t="s">
        <v>156</v>
      </c>
      <c r="AS4" s="151"/>
      <c r="AT4" s="146"/>
      <c r="AU4" s="559" t="s">
        <v>157</v>
      </c>
      <c r="AV4" s="559" t="s">
        <v>158</v>
      </c>
      <c r="AW4" s="559" t="s">
        <v>159</v>
      </c>
      <c r="AX4" s="559" t="s">
        <v>160</v>
      </c>
      <c r="AY4" s="559" t="s">
        <v>161</v>
      </c>
      <c r="AZ4" s="559" t="s">
        <v>162</v>
      </c>
      <c r="BA4" s="559" t="s">
        <v>163</v>
      </c>
      <c r="BB4" s="559" t="s">
        <v>164</v>
      </c>
      <c r="BC4" s="559" t="s">
        <v>165</v>
      </c>
      <c r="BD4" s="559" t="s">
        <v>166</v>
      </c>
      <c r="BE4" s="146"/>
      <c r="BF4" s="146"/>
      <c r="BG4" s="559" t="s">
        <v>167</v>
      </c>
      <c r="BH4" s="559" t="s">
        <v>168</v>
      </c>
      <c r="BI4" s="559" t="s">
        <v>169</v>
      </c>
      <c r="BJ4" s="559" t="s">
        <v>170</v>
      </c>
      <c r="BK4" s="559" t="s">
        <v>171</v>
      </c>
      <c r="BL4" s="559" t="s">
        <v>172</v>
      </c>
      <c r="BM4" s="559" t="s">
        <v>173</v>
      </c>
      <c r="BN4" s="559" t="s">
        <v>174</v>
      </c>
      <c r="BO4" s="559" t="s">
        <v>175</v>
      </c>
      <c r="BP4" s="559" t="s">
        <v>176</v>
      </c>
      <c r="BQ4" s="146"/>
      <c r="BR4" s="146"/>
      <c r="BS4" s="559" t="s">
        <v>177</v>
      </c>
      <c r="BT4" s="146"/>
      <c r="BU4" s="146"/>
      <c r="BV4" s="571" t="s">
        <v>178</v>
      </c>
      <c r="BW4" s="559" t="s">
        <v>179</v>
      </c>
      <c r="BX4" s="571" t="s">
        <v>180</v>
      </c>
      <c r="BY4" s="559" t="s">
        <v>181</v>
      </c>
      <c r="BZ4" s="146"/>
      <c r="CA4" s="146"/>
      <c r="CB4" s="559" t="s">
        <v>182</v>
      </c>
      <c r="CC4" s="559" t="s">
        <v>183</v>
      </c>
      <c r="CD4" s="559" t="s">
        <v>622</v>
      </c>
      <c r="CE4" s="146"/>
      <c r="CF4" s="146"/>
      <c r="CG4" s="559" t="s">
        <v>623</v>
      </c>
      <c r="CH4" s="716" t="s">
        <v>41</v>
      </c>
      <c r="CI4" s="559" t="s">
        <v>42</v>
      </c>
      <c r="CJ4" s="144"/>
      <c r="CK4" s="144"/>
      <c r="CL4" s="144"/>
      <c r="CM4" s="144"/>
      <c r="CN4" s="144"/>
      <c r="CO4" s="144"/>
      <c r="CP4" s="144"/>
      <c r="CQ4" s="144"/>
      <c r="CR4" s="144"/>
      <c r="CS4" s="144"/>
      <c r="CT4" s="144"/>
      <c r="CU4" s="144"/>
      <c r="CV4" s="144"/>
      <c r="CW4" s="144"/>
      <c r="CX4" s="144"/>
      <c r="CY4" s="144"/>
      <c r="CZ4" s="144"/>
      <c r="DA4" s="144"/>
      <c r="DB4" s="144"/>
      <c r="DC4" s="144"/>
      <c r="DD4" s="144"/>
      <c r="DE4" s="144"/>
      <c r="DF4" s="144"/>
      <c r="DG4" s="144"/>
      <c r="DH4" s="144"/>
      <c r="DI4" s="144"/>
      <c r="DJ4" s="144"/>
      <c r="DK4" s="144"/>
      <c r="DL4" s="144"/>
      <c r="DM4" s="144"/>
      <c r="DN4" s="144"/>
      <c r="DO4" s="144"/>
      <c r="DP4" s="144"/>
      <c r="DQ4" s="144"/>
      <c r="DR4" s="144"/>
      <c r="DS4" s="144"/>
      <c r="DT4" s="144"/>
      <c r="DU4" s="144"/>
      <c r="DV4" s="144"/>
      <c r="DW4" s="144"/>
      <c r="DX4" s="144"/>
      <c r="DY4" s="144"/>
      <c r="DZ4" s="144"/>
      <c r="EA4" s="144"/>
      <c r="EB4" s="144"/>
      <c r="EC4" s="144"/>
      <c r="ED4" s="144"/>
      <c r="EE4" s="144"/>
      <c r="EF4" s="144"/>
      <c r="EG4" s="144"/>
      <c r="EH4" s="144"/>
      <c r="EI4" s="144"/>
      <c r="EJ4" s="144"/>
      <c r="EK4" s="144"/>
      <c r="EL4" s="144"/>
      <c r="EM4" s="144"/>
      <c r="EN4" s="144"/>
      <c r="EO4" s="144"/>
      <c r="EP4" s="144"/>
      <c r="EQ4" s="144"/>
      <c r="ER4" s="144"/>
      <c r="ES4" s="144"/>
      <c r="ET4" s="144"/>
      <c r="EU4" s="144"/>
      <c r="EV4" s="144"/>
      <c r="EW4" s="144"/>
      <c r="EX4" s="144"/>
      <c r="EY4" s="144"/>
      <c r="EZ4" s="144"/>
      <c r="FA4" s="144"/>
      <c r="FB4" s="144"/>
      <c r="FC4" s="144"/>
      <c r="FD4" s="144"/>
      <c r="FE4" s="144"/>
      <c r="FF4" s="144"/>
      <c r="FG4" s="144"/>
      <c r="FH4" s="144"/>
      <c r="FI4" s="144"/>
    </row>
    <row r="5" spans="1:165" s="230" customFormat="1" ht="312.75" customHeight="1" thickBot="1" x14ac:dyDescent="0.25">
      <c r="A5" s="220"/>
      <c r="B5" s="220"/>
      <c r="C5" s="223"/>
      <c r="D5" s="220"/>
      <c r="E5" s="229"/>
      <c r="F5" s="220"/>
      <c r="G5" s="539"/>
      <c r="H5" s="227" t="s">
        <v>25</v>
      </c>
      <c r="I5" s="629" t="s">
        <v>11</v>
      </c>
      <c r="J5" s="630"/>
      <c r="K5" s="631"/>
      <c r="L5" s="543" t="s">
        <v>130</v>
      </c>
      <c r="M5" s="544" t="s">
        <v>131</v>
      </c>
      <c r="N5" s="545" t="s">
        <v>132</v>
      </c>
      <c r="O5" s="545" t="s">
        <v>133</v>
      </c>
      <c r="P5" s="544" t="s">
        <v>134</v>
      </c>
      <c r="Q5" s="144"/>
      <c r="R5" s="152" t="s">
        <v>43</v>
      </c>
      <c r="S5" s="560" t="s">
        <v>184</v>
      </c>
      <c r="T5" s="560" t="s">
        <v>185</v>
      </c>
      <c r="U5" s="560" t="s">
        <v>624</v>
      </c>
      <c r="V5" s="560" t="s">
        <v>186</v>
      </c>
      <c r="W5" s="560" t="s">
        <v>187</v>
      </c>
      <c r="X5" s="560" t="s">
        <v>188</v>
      </c>
      <c r="Y5" s="568" t="s">
        <v>625</v>
      </c>
      <c r="Z5" s="560" t="s">
        <v>189</v>
      </c>
      <c r="AA5" s="560" t="s">
        <v>190</v>
      </c>
      <c r="AB5" s="560" t="s">
        <v>191</v>
      </c>
      <c r="AC5" s="560" t="s">
        <v>192</v>
      </c>
      <c r="AD5" s="560" t="s">
        <v>193</v>
      </c>
      <c r="AE5" s="569" t="s">
        <v>627</v>
      </c>
      <c r="AF5" s="560" t="s">
        <v>626</v>
      </c>
      <c r="AG5" s="714" t="s">
        <v>952</v>
      </c>
      <c r="AH5" s="715" t="s">
        <v>953</v>
      </c>
      <c r="AI5" s="715" t="s">
        <v>1048</v>
      </c>
      <c r="AJ5" s="151"/>
      <c r="AK5" s="152" t="s">
        <v>628</v>
      </c>
      <c r="AL5" s="560" t="s">
        <v>194</v>
      </c>
      <c r="AM5" s="560" t="s">
        <v>195</v>
      </c>
      <c r="AN5" s="560" t="s">
        <v>196</v>
      </c>
      <c r="AO5" s="560" t="s">
        <v>197</v>
      </c>
      <c r="AP5" s="560" t="s">
        <v>198</v>
      </c>
      <c r="AQ5" s="560" t="s">
        <v>199</v>
      </c>
      <c r="AR5" s="560" t="s">
        <v>200</v>
      </c>
      <c r="AS5" s="151"/>
      <c r="AT5" s="152" t="s">
        <v>629</v>
      </c>
      <c r="AU5" s="560" t="s">
        <v>201</v>
      </c>
      <c r="AV5" s="560" t="s">
        <v>202</v>
      </c>
      <c r="AW5" s="560" t="s">
        <v>203</v>
      </c>
      <c r="AX5" s="560" t="s">
        <v>204</v>
      </c>
      <c r="AY5" s="560" t="s">
        <v>205</v>
      </c>
      <c r="AZ5" s="560" t="s">
        <v>206</v>
      </c>
      <c r="BA5" s="560" t="s">
        <v>630</v>
      </c>
      <c r="BB5" s="560" t="s">
        <v>631</v>
      </c>
      <c r="BC5" s="560" t="s">
        <v>632</v>
      </c>
      <c r="BD5" s="560" t="s">
        <v>633</v>
      </c>
      <c r="BE5" s="151"/>
      <c r="BF5" s="152" t="s">
        <v>634</v>
      </c>
      <c r="BG5" s="560" t="s">
        <v>207</v>
      </c>
      <c r="BH5" s="560" t="s">
        <v>208</v>
      </c>
      <c r="BI5" s="560" t="s">
        <v>209</v>
      </c>
      <c r="BJ5" s="560" t="s">
        <v>210</v>
      </c>
      <c r="BK5" s="560" t="s">
        <v>635</v>
      </c>
      <c r="BL5" s="560" t="s">
        <v>211</v>
      </c>
      <c r="BM5" s="569" t="s">
        <v>636</v>
      </c>
      <c r="BN5" s="569" t="s">
        <v>637</v>
      </c>
      <c r="BO5" s="560" t="s">
        <v>638</v>
      </c>
      <c r="BP5" s="560" t="s">
        <v>639</v>
      </c>
      <c r="BQ5" s="151"/>
      <c r="BR5" s="152" t="s">
        <v>44</v>
      </c>
      <c r="BS5" s="569" t="s">
        <v>212</v>
      </c>
      <c r="BT5" s="158"/>
      <c r="BU5" s="152" t="s">
        <v>640</v>
      </c>
      <c r="BV5" s="572" t="s">
        <v>213</v>
      </c>
      <c r="BW5" s="560" t="s">
        <v>214</v>
      </c>
      <c r="BX5" s="572" t="s">
        <v>215</v>
      </c>
      <c r="BY5" s="569" t="s">
        <v>216</v>
      </c>
      <c r="BZ5" s="151"/>
      <c r="CA5" s="152" t="s">
        <v>641</v>
      </c>
      <c r="CB5" s="560" t="s">
        <v>217</v>
      </c>
      <c r="CC5" s="560" t="s">
        <v>218</v>
      </c>
      <c r="CD5" s="575" t="s">
        <v>219</v>
      </c>
      <c r="CE5" s="151"/>
      <c r="CF5" s="151"/>
      <c r="CG5" s="560" t="s">
        <v>642</v>
      </c>
      <c r="CH5" s="717" t="s">
        <v>45</v>
      </c>
      <c r="CI5" s="560" t="s">
        <v>643</v>
      </c>
      <c r="CJ5" s="144"/>
      <c r="CK5" s="144"/>
      <c r="CL5" s="144"/>
      <c r="CM5" s="144"/>
      <c r="CN5" s="144"/>
      <c r="CO5" s="144"/>
      <c r="CP5" s="144"/>
      <c r="CQ5" s="144"/>
      <c r="CR5" s="144"/>
      <c r="CS5" s="144"/>
      <c r="CT5" s="144"/>
      <c r="CU5" s="144"/>
      <c r="CV5" s="144"/>
      <c r="CW5" s="144"/>
      <c r="CX5" s="144"/>
      <c r="CY5" s="144"/>
      <c r="CZ5" s="144"/>
      <c r="DA5" s="144"/>
      <c r="DB5" s="144"/>
      <c r="DC5" s="144"/>
      <c r="DD5" s="144"/>
      <c r="DE5" s="144"/>
      <c r="DF5" s="144"/>
      <c r="DG5" s="144"/>
      <c r="DH5" s="144"/>
      <c r="DI5" s="144"/>
      <c r="DJ5" s="144"/>
      <c r="DK5" s="144"/>
      <c r="DL5" s="144"/>
      <c r="DM5" s="144"/>
      <c r="DN5" s="144"/>
      <c r="DO5" s="144"/>
      <c r="DP5" s="144"/>
      <c r="DQ5" s="144"/>
      <c r="DR5" s="144"/>
      <c r="DS5" s="144"/>
      <c r="DT5" s="144"/>
      <c r="DU5" s="144"/>
      <c r="DV5" s="144"/>
      <c r="DW5" s="144"/>
      <c r="DX5" s="144"/>
      <c r="DY5" s="144"/>
      <c r="DZ5" s="144"/>
      <c r="EA5" s="144"/>
      <c r="EB5" s="144"/>
      <c r="EC5" s="144"/>
      <c r="ED5" s="144"/>
      <c r="EE5" s="144"/>
      <c r="EF5" s="144"/>
      <c r="EG5" s="144"/>
      <c r="EH5" s="144"/>
      <c r="EI5" s="144"/>
      <c r="EJ5" s="144"/>
      <c r="EK5" s="144"/>
      <c r="EL5" s="144"/>
      <c r="EM5" s="144"/>
      <c r="EN5" s="144"/>
      <c r="EO5" s="144"/>
      <c r="EP5" s="144"/>
      <c r="EQ5" s="144"/>
      <c r="ER5" s="144"/>
      <c r="ES5" s="144"/>
      <c r="ET5" s="144"/>
      <c r="EU5" s="144"/>
      <c r="EV5" s="144"/>
      <c r="EW5" s="144"/>
      <c r="EX5" s="144"/>
      <c r="EY5" s="144"/>
      <c r="EZ5" s="144"/>
      <c r="FA5" s="144"/>
      <c r="FB5" s="144"/>
      <c r="FC5" s="144"/>
      <c r="FD5" s="144"/>
      <c r="FE5" s="144"/>
      <c r="FF5" s="144"/>
      <c r="FG5" s="144"/>
      <c r="FH5" s="144"/>
      <c r="FI5" s="144"/>
    </row>
    <row r="6" spans="1:165" s="228" customFormat="1" ht="106.5" thickBot="1" x14ac:dyDescent="0.25">
      <c r="A6" s="231"/>
      <c r="B6" s="231"/>
      <c r="C6" s="232"/>
      <c r="E6" s="540" t="s">
        <v>24</v>
      </c>
      <c r="F6" s="231"/>
      <c r="G6" s="231"/>
      <c r="H6" s="231"/>
      <c r="I6" s="629" t="s">
        <v>14</v>
      </c>
      <c r="J6" s="630"/>
      <c r="K6" s="631"/>
      <c r="L6" s="522" t="s">
        <v>1117</v>
      </c>
      <c r="M6" s="523" t="s">
        <v>1118</v>
      </c>
      <c r="N6" s="523" t="s">
        <v>1119</v>
      </c>
      <c r="O6" s="523" t="s">
        <v>1120</v>
      </c>
      <c r="P6" s="523" t="s">
        <v>1121</v>
      </c>
      <c r="Q6" s="187"/>
      <c r="R6" s="188"/>
      <c r="S6" s="561" t="s">
        <v>220</v>
      </c>
      <c r="T6" s="561" t="s">
        <v>221</v>
      </c>
      <c r="U6" s="561" t="s">
        <v>222</v>
      </c>
      <c r="V6" s="561" t="s">
        <v>223</v>
      </c>
      <c r="W6" s="561" t="s">
        <v>224</v>
      </c>
      <c r="X6" s="561" t="s">
        <v>225</v>
      </c>
      <c r="Y6" s="561" t="s">
        <v>226</v>
      </c>
      <c r="Z6" s="561" t="s">
        <v>227</v>
      </c>
      <c r="AA6" s="561" t="s">
        <v>228</v>
      </c>
      <c r="AB6" s="561" t="s">
        <v>229</v>
      </c>
      <c r="AC6" s="561" t="s">
        <v>230</v>
      </c>
      <c r="AD6" s="561" t="s">
        <v>231</v>
      </c>
      <c r="AE6" s="561" t="s">
        <v>232</v>
      </c>
      <c r="AF6" s="561" t="s">
        <v>233</v>
      </c>
      <c r="AG6" s="561" t="s">
        <v>919</v>
      </c>
      <c r="AH6" s="561" t="s">
        <v>920</v>
      </c>
      <c r="AI6" s="561" t="s">
        <v>1047</v>
      </c>
      <c r="AJ6" s="188"/>
      <c r="AK6" s="188"/>
      <c r="AL6" s="561" t="s">
        <v>46</v>
      </c>
      <c r="AM6" s="561" t="s">
        <v>47</v>
      </c>
      <c r="AN6" s="561" t="s">
        <v>48</v>
      </c>
      <c r="AO6" s="561" t="s">
        <v>49</v>
      </c>
      <c r="AP6" s="561" t="s">
        <v>50</v>
      </c>
      <c r="AQ6" s="561" t="s">
        <v>234</v>
      </c>
      <c r="AR6" s="561" t="s">
        <v>51</v>
      </c>
      <c r="AS6" s="189"/>
      <c r="AT6" s="188"/>
      <c r="AU6" s="561" t="s">
        <v>235</v>
      </c>
      <c r="AV6" s="561" t="s">
        <v>236</v>
      </c>
      <c r="AW6" s="561" t="s">
        <v>237</v>
      </c>
      <c r="AX6" s="561" t="s">
        <v>238</v>
      </c>
      <c r="AY6" s="561" t="s">
        <v>239</v>
      </c>
      <c r="AZ6" s="561" t="s">
        <v>240</v>
      </c>
      <c r="BA6" s="561" t="s">
        <v>52</v>
      </c>
      <c r="BB6" s="561" t="s">
        <v>53</v>
      </c>
      <c r="BC6" s="561" t="s">
        <v>54</v>
      </c>
      <c r="BD6" s="561" t="s">
        <v>55</v>
      </c>
      <c r="BE6" s="188"/>
      <c r="BF6" s="188"/>
      <c r="BG6" s="561" t="s">
        <v>241</v>
      </c>
      <c r="BH6" s="561" t="s">
        <v>242</v>
      </c>
      <c r="BI6" s="561" t="s">
        <v>243</v>
      </c>
      <c r="BJ6" s="561" t="s">
        <v>244</v>
      </c>
      <c r="BK6" s="561" t="s">
        <v>245</v>
      </c>
      <c r="BL6" s="561" t="s">
        <v>246</v>
      </c>
      <c r="BM6" s="561" t="s">
        <v>56</v>
      </c>
      <c r="BN6" s="561" t="s">
        <v>57</v>
      </c>
      <c r="BO6" s="561" t="s">
        <v>58</v>
      </c>
      <c r="BP6" s="561" t="s">
        <v>59</v>
      </c>
      <c r="BQ6" s="188"/>
      <c r="BR6" s="188"/>
      <c r="BS6" s="561" t="s">
        <v>247</v>
      </c>
      <c r="BT6" s="188"/>
      <c r="BU6" s="188"/>
      <c r="BV6" s="573" t="s">
        <v>644</v>
      </c>
      <c r="BW6" s="561" t="s">
        <v>645</v>
      </c>
      <c r="BX6" s="573" t="s">
        <v>646</v>
      </c>
      <c r="BY6" s="561" t="s">
        <v>647</v>
      </c>
      <c r="BZ6" s="188"/>
      <c r="CA6" s="188"/>
      <c r="CB6" s="561" t="s">
        <v>60</v>
      </c>
      <c r="CC6" s="561" t="s">
        <v>61</v>
      </c>
      <c r="CD6" s="561" t="s">
        <v>249</v>
      </c>
      <c r="CE6" s="188"/>
      <c r="CF6" s="188"/>
      <c r="CG6" s="561" t="s">
        <v>648</v>
      </c>
      <c r="CH6" s="718" t="s">
        <v>1137</v>
      </c>
      <c r="CI6" s="561" t="s">
        <v>1136</v>
      </c>
      <c r="CJ6" s="187"/>
      <c r="CK6" s="187"/>
      <c r="CL6" s="187"/>
      <c r="CM6" s="187"/>
      <c r="CN6" s="187"/>
      <c r="CO6" s="187"/>
      <c r="CP6" s="187"/>
      <c r="CQ6" s="187"/>
      <c r="CR6" s="187"/>
      <c r="CS6" s="187"/>
      <c r="CT6" s="187"/>
      <c r="CU6" s="187"/>
      <c r="CV6" s="187"/>
      <c r="CW6" s="187"/>
      <c r="CX6" s="187"/>
      <c r="CY6" s="187"/>
      <c r="CZ6" s="187"/>
      <c r="DA6" s="187"/>
      <c r="DB6" s="187"/>
      <c r="DC6" s="187"/>
      <c r="DD6" s="187"/>
      <c r="DE6" s="187"/>
      <c r="DF6" s="187"/>
      <c r="DG6" s="187"/>
      <c r="DH6" s="187"/>
      <c r="DI6" s="187"/>
      <c r="DJ6" s="187"/>
      <c r="DK6" s="187"/>
      <c r="DL6" s="187"/>
      <c r="DM6" s="187"/>
      <c r="DN6" s="187"/>
      <c r="DO6" s="187"/>
      <c r="DP6" s="187"/>
      <c r="DQ6" s="187"/>
      <c r="DR6" s="187"/>
      <c r="DS6" s="187"/>
      <c r="DT6" s="187"/>
      <c r="DU6" s="187"/>
      <c r="DV6" s="187"/>
      <c r="DW6" s="187"/>
      <c r="DX6" s="187"/>
      <c r="DY6" s="187"/>
      <c r="DZ6" s="187"/>
      <c r="EA6" s="187"/>
      <c r="EB6" s="187"/>
      <c r="EC6" s="187"/>
      <c r="ED6" s="187"/>
      <c r="EE6" s="187"/>
      <c r="EF6" s="187"/>
      <c r="EG6" s="187"/>
      <c r="EH6" s="187"/>
      <c r="EI6" s="187"/>
      <c r="EJ6" s="187"/>
      <c r="EK6" s="187"/>
      <c r="EL6" s="187"/>
      <c r="EM6" s="187"/>
      <c r="EN6" s="187"/>
      <c r="EO6" s="187"/>
      <c r="EP6" s="187"/>
      <c r="EQ6" s="187"/>
      <c r="ER6" s="187"/>
      <c r="ES6" s="187"/>
      <c r="ET6" s="187"/>
      <c r="EU6" s="187"/>
      <c r="EV6" s="187"/>
      <c r="EW6" s="187"/>
      <c r="EX6" s="187"/>
      <c r="EY6" s="187"/>
      <c r="EZ6" s="187"/>
      <c r="FA6" s="187"/>
      <c r="FB6" s="187"/>
      <c r="FC6" s="187"/>
      <c r="FD6" s="187"/>
      <c r="FE6" s="187"/>
      <c r="FF6" s="187"/>
      <c r="FG6" s="187"/>
      <c r="FH6" s="187"/>
      <c r="FI6" s="187"/>
    </row>
    <row r="7" spans="1:165" s="299" customFormat="1" ht="23.25" customHeight="1" thickBot="1" x14ac:dyDescent="0.3">
      <c r="A7" s="620" t="s">
        <v>3</v>
      </c>
      <c r="B7" s="620" t="s">
        <v>13</v>
      </c>
      <c r="C7" s="623" t="s">
        <v>1041</v>
      </c>
      <c r="D7" s="620" t="s">
        <v>23</v>
      </c>
      <c r="E7" s="620" t="s">
        <v>11</v>
      </c>
      <c r="F7" s="620" t="s">
        <v>22</v>
      </c>
      <c r="G7" s="620" t="s">
        <v>37</v>
      </c>
      <c r="H7" s="620" t="s">
        <v>12</v>
      </c>
      <c r="I7" s="300" t="s">
        <v>2</v>
      </c>
      <c r="J7" s="538"/>
      <c r="K7" s="301"/>
      <c r="L7" s="429">
        <v>1</v>
      </c>
      <c r="M7" s="426">
        <v>2</v>
      </c>
      <c r="N7" s="426">
        <v>3</v>
      </c>
      <c r="O7" s="426">
        <v>4</v>
      </c>
      <c r="P7" s="426">
        <v>5</v>
      </c>
      <c r="Q7" s="103"/>
      <c r="R7" s="103"/>
      <c r="S7" s="562"/>
      <c r="T7" s="562"/>
      <c r="U7" s="562"/>
      <c r="V7" s="562"/>
      <c r="W7" s="562"/>
      <c r="X7" s="562"/>
      <c r="Y7" s="562"/>
      <c r="Z7" s="562"/>
      <c r="AA7" s="562"/>
      <c r="AB7" s="562"/>
      <c r="AC7" s="562"/>
      <c r="AD7" s="562"/>
      <c r="AE7" s="562"/>
      <c r="AF7" s="562"/>
      <c r="AG7" s="562"/>
      <c r="AH7" s="562"/>
      <c r="AI7" s="562"/>
      <c r="AJ7" s="103"/>
      <c r="AK7" s="103"/>
      <c r="AL7" s="562"/>
      <c r="AM7" s="562"/>
      <c r="AN7" s="562"/>
      <c r="AO7" s="562"/>
      <c r="AP7" s="562"/>
      <c r="AQ7" s="562"/>
      <c r="AR7" s="562"/>
      <c r="AS7" s="103"/>
      <c r="AT7" s="103"/>
      <c r="AU7" s="562"/>
      <c r="AV7" s="562"/>
      <c r="AW7" s="562"/>
      <c r="AX7" s="562"/>
      <c r="AY7" s="562"/>
      <c r="AZ7" s="562"/>
      <c r="BA7" s="562"/>
      <c r="BB7" s="562"/>
      <c r="BC7" s="562"/>
      <c r="BD7" s="562"/>
      <c r="BE7" s="103"/>
      <c r="BF7" s="103"/>
      <c r="BG7" s="562"/>
      <c r="BH7" s="562"/>
      <c r="BI7" s="562"/>
      <c r="BJ7" s="562"/>
      <c r="BK7" s="562"/>
      <c r="BL7" s="562"/>
      <c r="BM7" s="562"/>
      <c r="BN7" s="562"/>
      <c r="BO7" s="562"/>
      <c r="BP7" s="562"/>
      <c r="BQ7" s="103"/>
      <c r="BR7" s="103"/>
      <c r="BS7" s="562"/>
      <c r="BT7" s="103"/>
      <c r="BU7" s="103"/>
      <c r="BV7" s="562"/>
      <c r="BW7" s="562"/>
      <c r="BX7" s="562"/>
      <c r="BY7" s="562"/>
      <c r="BZ7" s="103"/>
      <c r="CA7" s="103"/>
      <c r="CB7" s="562"/>
      <c r="CC7" s="562"/>
      <c r="CD7" s="562"/>
      <c r="CE7" s="103"/>
      <c r="CF7" s="103"/>
      <c r="CG7" s="562"/>
      <c r="CH7" s="562"/>
      <c r="CI7" s="562"/>
      <c r="CJ7" s="233"/>
      <c r="CK7" s="208"/>
      <c r="CL7" s="208"/>
      <c r="CM7" s="208"/>
      <c r="CN7" s="208"/>
      <c r="CO7" s="208"/>
      <c r="CP7" s="208"/>
      <c r="CQ7" s="208"/>
      <c r="CR7" s="208"/>
      <c r="CS7" s="208"/>
      <c r="CT7" s="208"/>
      <c r="CU7" s="208"/>
      <c r="CV7" s="208"/>
      <c r="CW7" s="208"/>
      <c r="CX7" s="208"/>
      <c r="CY7" s="208"/>
      <c r="CZ7" s="208"/>
      <c r="DA7" s="208"/>
      <c r="DB7" s="208"/>
      <c r="DC7" s="208"/>
      <c r="DD7" s="208"/>
      <c r="DE7" s="208"/>
      <c r="DF7" s="208"/>
      <c r="DG7" s="208"/>
      <c r="DH7" s="208"/>
      <c r="DI7" s="208"/>
      <c r="DJ7" s="208"/>
      <c r="DK7" s="208"/>
      <c r="DL7" s="208"/>
      <c r="DM7" s="208"/>
      <c r="DN7" s="208"/>
      <c r="DO7" s="208"/>
      <c r="DP7" s="208"/>
      <c r="DQ7" s="208"/>
      <c r="DR7" s="208"/>
      <c r="DS7" s="208"/>
      <c r="DT7" s="208"/>
      <c r="DU7" s="208"/>
      <c r="DV7" s="208"/>
      <c r="DW7" s="208"/>
      <c r="DX7" s="208"/>
      <c r="DY7" s="208"/>
      <c r="DZ7" s="208"/>
      <c r="EA7" s="208"/>
      <c r="EB7" s="208"/>
      <c r="EC7" s="208"/>
      <c r="ED7" s="208"/>
      <c r="EE7" s="208"/>
      <c r="EF7" s="208"/>
      <c r="EG7" s="208"/>
      <c r="EH7" s="208"/>
      <c r="EI7" s="208"/>
      <c r="EJ7" s="208"/>
      <c r="EK7" s="208"/>
      <c r="EL7" s="208"/>
      <c r="EM7" s="208"/>
      <c r="EN7" s="208"/>
      <c r="EO7" s="208"/>
      <c r="EP7" s="208"/>
      <c r="EQ7" s="208"/>
      <c r="ER7" s="208"/>
      <c r="ES7" s="208"/>
      <c r="ET7" s="208"/>
      <c r="EU7" s="208"/>
      <c r="EV7" s="208"/>
      <c r="EW7" s="208"/>
      <c r="EX7" s="208"/>
      <c r="EY7" s="208"/>
      <c r="EZ7" s="208"/>
      <c r="FA7" s="208"/>
      <c r="FB7" s="208"/>
      <c r="FC7" s="208"/>
      <c r="FD7" s="208"/>
      <c r="FE7" s="208"/>
      <c r="FF7" s="208"/>
      <c r="FG7" s="208"/>
      <c r="FH7" s="208"/>
      <c r="FI7" s="208"/>
    </row>
    <row r="8" spans="1:165" s="299" customFormat="1" ht="23.25" customHeight="1" thickBot="1" x14ac:dyDescent="0.3">
      <c r="A8" s="621"/>
      <c r="B8" s="621"/>
      <c r="C8" s="624"/>
      <c r="D8" s="621"/>
      <c r="E8" s="621"/>
      <c r="F8" s="621"/>
      <c r="G8" s="621"/>
      <c r="H8" s="621"/>
      <c r="I8" s="536"/>
      <c r="J8" s="302" t="s">
        <v>4</v>
      </c>
      <c r="K8" s="301"/>
      <c r="L8" s="413"/>
      <c r="M8" s="310"/>
      <c r="N8" s="310"/>
      <c r="O8" s="310"/>
      <c r="P8" s="310"/>
      <c r="Q8" s="76"/>
      <c r="R8" s="76"/>
      <c r="S8" s="556"/>
      <c r="T8" s="556"/>
      <c r="U8" s="556"/>
      <c r="V8" s="556"/>
      <c r="W8" s="556"/>
      <c r="X8" s="556"/>
      <c r="Y8" s="556"/>
      <c r="Z8" s="556"/>
      <c r="AA8" s="556"/>
      <c r="AB8" s="556"/>
      <c r="AC8" s="556"/>
      <c r="AD8" s="556"/>
      <c r="AE8" s="556"/>
      <c r="AF8" s="556"/>
      <c r="AG8" s="556"/>
      <c r="AH8" s="556"/>
      <c r="AI8" s="556"/>
      <c r="AJ8" s="76"/>
      <c r="AK8" s="76"/>
      <c r="AL8" s="556"/>
      <c r="AM8" s="556"/>
      <c r="AN8" s="556"/>
      <c r="AO8" s="556"/>
      <c r="AP8" s="556"/>
      <c r="AQ8" s="556"/>
      <c r="AR8" s="556"/>
      <c r="AS8" s="76"/>
      <c r="AT8" s="76"/>
      <c r="AU8" s="556"/>
      <c r="AV8" s="556"/>
      <c r="AW8" s="556"/>
      <c r="AX8" s="556"/>
      <c r="AY8" s="556"/>
      <c r="AZ8" s="556"/>
      <c r="BA8" s="556"/>
      <c r="BB8" s="556"/>
      <c r="BC8" s="556"/>
      <c r="BD8" s="556"/>
      <c r="BE8" s="76"/>
      <c r="BF8" s="76"/>
      <c r="BG8" s="556"/>
      <c r="BH8" s="556"/>
      <c r="BI8" s="556"/>
      <c r="BJ8" s="556"/>
      <c r="BK8" s="556"/>
      <c r="BL8" s="556"/>
      <c r="BM8" s="570"/>
      <c r="BN8" s="570"/>
      <c r="BO8" s="556"/>
      <c r="BP8" s="556"/>
      <c r="BQ8" s="76"/>
      <c r="BR8" s="76"/>
      <c r="BS8" s="556"/>
      <c r="BT8" s="76"/>
      <c r="BU8" s="76"/>
      <c r="BV8" s="556"/>
      <c r="BW8" s="556"/>
      <c r="BX8" s="556"/>
      <c r="BY8" s="556"/>
      <c r="BZ8" s="76"/>
      <c r="CA8" s="76"/>
      <c r="CB8" s="556"/>
      <c r="CC8" s="556"/>
      <c r="CD8" s="556"/>
      <c r="CE8" s="76"/>
      <c r="CF8" s="76"/>
      <c r="CG8" s="556"/>
      <c r="CH8" s="556"/>
      <c r="CI8" s="556"/>
      <c r="CJ8" s="219"/>
      <c r="CK8" s="537"/>
      <c r="CL8" s="537"/>
      <c r="CM8" s="537"/>
      <c r="CN8" s="537"/>
      <c r="CO8" s="537"/>
      <c r="CP8" s="537"/>
      <c r="CQ8" s="537"/>
      <c r="CR8" s="537"/>
      <c r="CS8" s="537"/>
      <c r="CT8" s="537"/>
      <c r="CU8" s="537"/>
      <c r="CV8" s="537"/>
      <c r="CW8" s="537"/>
      <c r="CX8" s="537"/>
      <c r="CY8" s="537"/>
      <c r="CZ8" s="537"/>
      <c r="DA8" s="537"/>
      <c r="DB8" s="537"/>
      <c r="DC8" s="537"/>
      <c r="DD8" s="537"/>
      <c r="DE8" s="537"/>
      <c r="DF8" s="537"/>
      <c r="DG8" s="537"/>
      <c r="DH8" s="537"/>
      <c r="DI8" s="537"/>
      <c r="DJ8" s="537"/>
      <c r="DK8" s="537"/>
      <c r="DL8" s="537"/>
      <c r="DM8" s="537"/>
      <c r="DN8" s="537"/>
      <c r="DO8" s="537"/>
      <c r="DP8" s="537"/>
      <c r="DQ8" s="537"/>
      <c r="DR8" s="537"/>
      <c r="DS8" s="537"/>
      <c r="DT8" s="537"/>
      <c r="DU8" s="537"/>
      <c r="DV8" s="537"/>
      <c r="DW8" s="537"/>
      <c r="DX8" s="537"/>
      <c r="DY8" s="537"/>
      <c r="DZ8" s="537"/>
      <c r="EA8" s="537"/>
      <c r="EB8" s="537"/>
      <c r="EC8" s="537"/>
      <c r="ED8" s="537"/>
      <c r="EE8" s="537"/>
      <c r="EF8" s="537"/>
      <c r="EG8" s="537"/>
      <c r="EH8" s="537"/>
      <c r="EI8" s="537"/>
      <c r="EJ8" s="537"/>
      <c r="EK8" s="537"/>
      <c r="EL8" s="537"/>
      <c r="EM8" s="537"/>
      <c r="EN8" s="537"/>
      <c r="EO8" s="537"/>
      <c r="EP8" s="537"/>
      <c r="EQ8" s="537"/>
      <c r="ER8" s="537"/>
      <c r="ES8" s="537"/>
      <c r="ET8" s="537"/>
      <c r="EU8" s="537"/>
      <c r="EV8" s="537"/>
      <c r="EW8" s="537"/>
      <c r="EX8" s="537"/>
      <c r="EY8" s="537"/>
      <c r="EZ8" s="537"/>
      <c r="FA8" s="537"/>
      <c r="FB8" s="537"/>
      <c r="FC8" s="537"/>
      <c r="FD8" s="537"/>
      <c r="FE8" s="537"/>
      <c r="FF8" s="537"/>
      <c r="FG8" s="537"/>
      <c r="FH8" s="537"/>
      <c r="FI8" s="537"/>
    </row>
    <row r="9" spans="1:165" s="299" customFormat="1" ht="23.25" customHeight="1" thickBot="1" x14ac:dyDescent="0.3">
      <c r="A9" s="622"/>
      <c r="B9" s="622"/>
      <c r="C9" s="625"/>
      <c r="D9" s="622"/>
      <c r="E9" s="622"/>
      <c r="F9" s="622"/>
      <c r="G9" s="622"/>
      <c r="H9" s="622"/>
      <c r="I9" s="536"/>
      <c r="J9" s="539"/>
      <c r="K9" s="303" t="s">
        <v>5</v>
      </c>
      <c r="L9" s="524"/>
      <c r="M9" s="525"/>
      <c r="N9" s="525"/>
      <c r="O9" s="525"/>
      <c r="P9" s="525"/>
      <c r="Q9" s="255"/>
      <c r="R9" s="89"/>
      <c r="S9" s="563"/>
      <c r="T9" s="563"/>
      <c r="U9" s="563"/>
      <c r="V9" s="563"/>
      <c r="W9" s="563"/>
      <c r="X9" s="563"/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563"/>
      <c r="AJ9" s="89"/>
      <c r="AK9" s="89"/>
      <c r="AL9" s="563" t="s">
        <v>910</v>
      </c>
      <c r="AM9" s="563">
        <v>18</v>
      </c>
      <c r="AN9" s="563">
        <v>1</v>
      </c>
      <c r="AO9" s="563">
        <v>19</v>
      </c>
      <c r="AP9" s="563">
        <v>1</v>
      </c>
      <c r="AQ9" s="563">
        <v>19</v>
      </c>
      <c r="AR9" s="563"/>
      <c r="AS9" s="89"/>
      <c r="AT9" s="89"/>
      <c r="AU9" s="563">
        <v>2</v>
      </c>
      <c r="AV9" s="563">
        <v>2</v>
      </c>
      <c r="AW9" s="563"/>
      <c r="AX9" s="563"/>
      <c r="AY9" s="563"/>
      <c r="AZ9" s="563"/>
      <c r="BA9" s="563">
        <v>1</v>
      </c>
      <c r="BB9" s="563">
        <v>20</v>
      </c>
      <c r="BC9" s="563">
        <v>1</v>
      </c>
      <c r="BD9" s="563">
        <v>20</v>
      </c>
      <c r="BE9" s="89"/>
      <c r="BF9" s="89"/>
      <c r="BG9" s="563">
        <v>2</v>
      </c>
      <c r="BH9" s="563">
        <v>2</v>
      </c>
      <c r="BI9" s="563"/>
      <c r="BJ9" s="563"/>
      <c r="BK9" s="563"/>
      <c r="BL9" s="563"/>
      <c r="BM9" s="563">
        <v>1</v>
      </c>
      <c r="BN9" s="563">
        <v>20</v>
      </c>
      <c r="BO9" s="563">
        <v>1</v>
      </c>
      <c r="BP9" s="563">
        <v>20</v>
      </c>
      <c r="BQ9" s="89"/>
      <c r="BR9" s="89"/>
      <c r="BS9" s="563"/>
      <c r="BT9" s="89"/>
      <c r="BU9" s="89"/>
      <c r="BV9" s="574">
        <v>2</v>
      </c>
      <c r="BW9" s="574" t="s">
        <v>250</v>
      </c>
      <c r="BX9" s="563">
        <v>2</v>
      </c>
      <c r="BY9" s="574" t="s">
        <v>250</v>
      </c>
      <c r="BZ9" s="89"/>
      <c r="CA9" s="89"/>
      <c r="CB9" s="563"/>
      <c r="CC9" s="563"/>
      <c r="CD9" s="563"/>
      <c r="CE9" s="89"/>
      <c r="CF9" s="89"/>
      <c r="CG9" s="563"/>
      <c r="CH9" s="563"/>
      <c r="CI9" s="563"/>
      <c r="CJ9" s="542"/>
      <c r="CK9" s="212"/>
      <c r="CL9" s="212"/>
      <c r="CM9" s="212"/>
      <c r="CN9" s="212"/>
      <c r="CO9" s="212"/>
      <c r="CP9" s="212"/>
      <c r="CQ9" s="212"/>
      <c r="CR9" s="212"/>
      <c r="CS9" s="212"/>
      <c r="CT9" s="212"/>
      <c r="CU9" s="212"/>
      <c r="CV9" s="212"/>
      <c r="CW9" s="212"/>
      <c r="CX9" s="212"/>
      <c r="CY9" s="212"/>
      <c r="CZ9" s="212"/>
      <c r="DA9" s="212"/>
      <c r="DB9" s="212"/>
      <c r="DC9" s="212"/>
      <c r="DD9" s="212"/>
      <c r="DE9" s="212"/>
      <c r="DF9" s="212"/>
      <c r="DG9" s="212"/>
      <c r="DH9" s="212"/>
      <c r="DI9" s="212"/>
      <c r="DJ9" s="212"/>
      <c r="DK9" s="212"/>
      <c r="DL9" s="212"/>
      <c r="DM9" s="212"/>
      <c r="DN9" s="212"/>
      <c r="DO9" s="212"/>
      <c r="DP9" s="212"/>
      <c r="DQ9" s="212"/>
      <c r="DR9" s="212"/>
      <c r="DS9" s="212"/>
      <c r="DT9" s="212"/>
      <c r="DU9" s="212"/>
      <c r="DV9" s="212"/>
      <c r="DW9" s="212"/>
      <c r="DX9" s="212"/>
      <c r="DY9" s="212"/>
      <c r="DZ9" s="212"/>
      <c r="EA9" s="212"/>
      <c r="EB9" s="212"/>
      <c r="EC9" s="212"/>
      <c r="ED9" s="212"/>
      <c r="EE9" s="212"/>
      <c r="EF9" s="212"/>
      <c r="EG9" s="212"/>
      <c r="EH9" s="212"/>
      <c r="EI9" s="212"/>
      <c r="EJ9" s="212"/>
      <c r="EK9" s="212"/>
      <c r="EL9" s="212"/>
      <c r="EM9" s="212"/>
      <c r="EN9" s="212"/>
      <c r="EO9" s="212"/>
      <c r="EP9" s="212"/>
      <c r="EQ9" s="212"/>
      <c r="ER9" s="212"/>
      <c r="ES9" s="212"/>
      <c r="ET9" s="212"/>
      <c r="EU9" s="212"/>
      <c r="EV9" s="212"/>
      <c r="EW9" s="212"/>
      <c r="EX9" s="212"/>
      <c r="EY9" s="212"/>
      <c r="EZ9" s="212"/>
      <c r="FA9" s="212"/>
      <c r="FB9" s="212"/>
      <c r="FC9" s="212"/>
      <c r="FD9" s="212"/>
      <c r="FE9" s="212"/>
      <c r="FF9" s="212"/>
      <c r="FG9" s="212"/>
      <c r="FH9" s="212"/>
      <c r="FI9" s="212"/>
    </row>
    <row r="10" spans="1:165" s="305" customFormat="1" ht="18" customHeight="1" thickBot="1" x14ac:dyDescent="0.3">
      <c r="A10" s="546">
        <f t="shared" ref="A10:A81" si="2">ROW()-9</f>
        <v>1</v>
      </c>
      <c r="B10" s="547">
        <v>0</v>
      </c>
      <c r="C10" s="548" t="s">
        <v>1044</v>
      </c>
      <c r="D10" s="549" t="s">
        <v>1044</v>
      </c>
      <c r="E10" s="550" t="s">
        <v>130</v>
      </c>
      <c r="F10" s="551" t="s">
        <v>1044</v>
      </c>
      <c r="G10" s="551" t="s">
        <v>1044</v>
      </c>
      <c r="H10" s="552" t="s">
        <v>125</v>
      </c>
      <c r="I10" s="553">
        <v>1</v>
      </c>
      <c r="J10" s="554"/>
      <c r="K10" s="555"/>
      <c r="L10" s="362" t="s">
        <v>122</v>
      </c>
      <c r="M10" s="304"/>
      <c r="N10" s="304"/>
      <c r="O10" s="304"/>
      <c r="P10" s="304"/>
      <c r="Q10" s="92"/>
      <c r="R10" s="92"/>
      <c r="S10" s="564"/>
      <c r="T10" s="564" t="s">
        <v>120</v>
      </c>
      <c r="U10" s="564"/>
      <c r="V10" s="564"/>
      <c r="W10" s="564" t="s">
        <v>120</v>
      </c>
      <c r="X10" s="566" t="s">
        <v>120</v>
      </c>
      <c r="Y10" s="564"/>
      <c r="Z10" s="564"/>
      <c r="AA10" s="564"/>
      <c r="AB10" s="564"/>
      <c r="AC10" s="564"/>
      <c r="AD10" s="564"/>
      <c r="AE10" s="564" t="s">
        <v>120</v>
      </c>
      <c r="AF10" s="564" t="s">
        <v>120</v>
      </c>
      <c r="AG10" s="564" t="s">
        <v>120</v>
      </c>
      <c r="AH10" s="564" t="s">
        <v>120</v>
      </c>
      <c r="AI10" s="564"/>
      <c r="AJ10" s="92"/>
      <c r="AK10" s="92"/>
      <c r="AL10" s="564"/>
      <c r="AM10" s="564"/>
      <c r="AN10" s="564"/>
      <c r="AO10" s="564" t="s">
        <v>121</v>
      </c>
      <c r="AP10" s="564"/>
      <c r="AQ10" s="564" t="s">
        <v>121</v>
      </c>
      <c r="AR10" s="564"/>
      <c r="AS10" s="92"/>
      <c r="AT10" s="92"/>
      <c r="AU10" s="564"/>
      <c r="AV10" s="564"/>
      <c r="AW10" s="564"/>
      <c r="AX10" s="564" t="s">
        <v>120</v>
      </c>
      <c r="AY10" s="564"/>
      <c r="AZ10" s="564"/>
      <c r="BA10" s="564"/>
      <c r="BB10" s="564" t="s">
        <v>121</v>
      </c>
      <c r="BC10" s="564"/>
      <c r="BD10" s="564" t="s">
        <v>121</v>
      </c>
      <c r="BE10" s="92"/>
      <c r="BF10" s="92"/>
      <c r="BG10" s="564"/>
      <c r="BH10" s="564"/>
      <c r="BI10" s="564"/>
      <c r="BJ10" s="564" t="s">
        <v>120</v>
      </c>
      <c r="BK10" s="564"/>
      <c r="BL10" s="564"/>
      <c r="BM10" s="564"/>
      <c r="BN10" s="564" t="s">
        <v>121</v>
      </c>
      <c r="BO10" s="564"/>
      <c r="BP10" s="564" t="s">
        <v>121</v>
      </c>
      <c r="BQ10" s="92"/>
      <c r="BR10" s="92"/>
      <c r="BS10" s="564" t="s">
        <v>120</v>
      </c>
      <c r="BT10" s="92"/>
      <c r="BU10" s="92"/>
      <c r="BV10" s="564"/>
      <c r="BW10" s="564"/>
      <c r="BX10" s="564"/>
      <c r="BY10" s="564"/>
      <c r="BZ10" s="92"/>
      <c r="CA10" s="92"/>
      <c r="CB10" s="564" t="s">
        <v>122</v>
      </c>
      <c r="CC10" s="564"/>
      <c r="CD10" s="564"/>
      <c r="CE10" s="92"/>
      <c r="CF10" s="92"/>
      <c r="CG10" s="564"/>
      <c r="CH10" s="564" t="s">
        <v>40</v>
      </c>
      <c r="CI10" s="564" t="s">
        <v>40</v>
      </c>
      <c r="CJ10" s="217"/>
      <c r="CK10" s="217"/>
      <c r="CL10" s="217"/>
      <c r="CM10" s="217"/>
      <c r="CN10" s="217"/>
      <c r="CO10" s="217"/>
      <c r="CP10" s="217"/>
      <c r="CQ10" s="217"/>
      <c r="CR10" s="217"/>
      <c r="CS10" s="217"/>
      <c r="CT10" s="217"/>
      <c r="CU10" s="217"/>
      <c r="CV10" s="217"/>
      <c r="CW10" s="217"/>
      <c r="CX10" s="217"/>
      <c r="CY10" s="217"/>
      <c r="CZ10" s="217"/>
      <c r="DA10" s="217"/>
      <c r="DB10" s="217"/>
      <c r="DC10" s="217"/>
      <c r="DD10" s="217"/>
      <c r="DE10" s="217"/>
      <c r="DF10" s="217"/>
      <c r="DG10" s="217"/>
      <c r="DH10" s="217"/>
      <c r="DI10" s="217"/>
      <c r="DJ10" s="217"/>
      <c r="DK10" s="217"/>
      <c r="DL10" s="217"/>
      <c r="DM10" s="217"/>
      <c r="DN10" s="217"/>
      <c r="DO10" s="217"/>
      <c r="DP10" s="217"/>
      <c r="DQ10" s="217"/>
      <c r="DR10" s="217"/>
      <c r="DS10" s="217"/>
      <c r="DT10" s="217"/>
      <c r="DU10" s="217"/>
      <c r="DV10" s="217"/>
      <c r="DW10" s="217"/>
      <c r="DX10" s="217"/>
      <c r="DY10" s="217"/>
      <c r="DZ10" s="217"/>
      <c r="EA10" s="217"/>
      <c r="EB10" s="217"/>
      <c r="EC10" s="217"/>
      <c r="ED10" s="217"/>
      <c r="EE10" s="217"/>
      <c r="EF10" s="217"/>
      <c r="EG10" s="217"/>
      <c r="EH10" s="217"/>
      <c r="EI10" s="217"/>
      <c r="EJ10" s="217"/>
      <c r="EK10" s="217"/>
      <c r="EL10" s="217"/>
      <c r="EM10" s="217"/>
      <c r="EN10" s="217"/>
      <c r="EO10" s="217"/>
      <c r="EP10" s="217"/>
      <c r="EQ10" s="217"/>
      <c r="ER10" s="217"/>
      <c r="ES10" s="217"/>
      <c r="ET10" s="217"/>
      <c r="EU10" s="217"/>
      <c r="EV10" s="217"/>
      <c r="EW10" s="217"/>
      <c r="EX10" s="217"/>
      <c r="EY10" s="217"/>
      <c r="EZ10" s="217"/>
      <c r="FA10" s="217"/>
      <c r="FB10" s="217"/>
      <c r="FC10" s="217"/>
      <c r="FD10" s="217"/>
      <c r="FE10" s="217"/>
      <c r="FF10" s="217"/>
      <c r="FG10" s="217"/>
      <c r="FH10" s="217"/>
      <c r="FI10" s="217"/>
    </row>
    <row r="11" spans="1:165" s="228" customFormat="1" ht="18" customHeight="1" thickBot="1" x14ac:dyDescent="0.3">
      <c r="A11" s="576">
        <f t="shared" si="2"/>
        <v>2</v>
      </c>
      <c r="B11" s="547">
        <v>0</v>
      </c>
      <c r="C11" s="577" t="s">
        <v>1044</v>
      </c>
      <c r="D11" s="578" t="s">
        <v>1044</v>
      </c>
      <c r="E11" s="579" t="s">
        <v>131</v>
      </c>
      <c r="F11" s="580" t="s">
        <v>1044</v>
      </c>
      <c r="G11" s="580" t="s">
        <v>1044</v>
      </c>
      <c r="H11" s="581" t="s">
        <v>126</v>
      </c>
      <c r="I11" s="582">
        <v>2</v>
      </c>
      <c r="J11" s="583"/>
      <c r="K11" s="584"/>
      <c r="L11" s="306"/>
      <c r="M11" s="307" t="s">
        <v>122</v>
      </c>
      <c r="N11" s="307"/>
      <c r="O11" s="307"/>
      <c r="P11" s="307"/>
      <c r="Q11" s="79"/>
      <c r="R11" s="79"/>
      <c r="S11" s="585"/>
      <c r="T11" s="585"/>
      <c r="U11" s="585"/>
      <c r="V11" s="585"/>
      <c r="W11" s="585"/>
      <c r="X11" s="585"/>
      <c r="Y11" s="585"/>
      <c r="Z11" s="585"/>
      <c r="AA11" s="585"/>
      <c r="AB11" s="585"/>
      <c r="AC11" s="585"/>
      <c r="AD11" s="585"/>
      <c r="AE11" s="585"/>
      <c r="AF11" s="585"/>
      <c r="AG11" s="585"/>
      <c r="AH11" s="585"/>
      <c r="AI11" s="585"/>
      <c r="AJ11" s="79"/>
      <c r="AK11" s="79"/>
      <c r="AL11" s="585"/>
      <c r="AM11" s="585"/>
      <c r="AN11" s="585"/>
      <c r="AO11" s="585"/>
      <c r="AP11" s="585"/>
      <c r="AQ11" s="585"/>
      <c r="AR11" s="585"/>
      <c r="AS11" s="79"/>
      <c r="AT11" s="79"/>
      <c r="AU11" s="585"/>
      <c r="AV11" s="585"/>
      <c r="AW11" s="585"/>
      <c r="AX11" s="585" t="s">
        <v>120</v>
      </c>
      <c r="AY11" s="585"/>
      <c r="AZ11" s="585"/>
      <c r="BA11" s="585"/>
      <c r="BB11" s="585"/>
      <c r="BC11" s="585"/>
      <c r="BD11" s="585" t="s">
        <v>121</v>
      </c>
      <c r="BE11" s="79"/>
      <c r="BF11" s="79"/>
      <c r="BG11" s="585"/>
      <c r="BH11" s="585"/>
      <c r="BI11" s="585"/>
      <c r="BJ11" s="585" t="s">
        <v>120</v>
      </c>
      <c r="BK11" s="585"/>
      <c r="BL11" s="585"/>
      <c r="BM11" s="585"/>
      <c r="BN11" s="585"/>
      <c r="BO11" s="585"/>
      <c r="BP11" s="585" t="s">
        <v>121</v>
      </c>
      <c r="BQ11" s="79"/>
      <c r="BR11" s="79"/>
      <c r="BS11" s="585"/>
      <c r="BT11" s="79"/>
      <c r="BU11" s="79"/>
      <c r="BV11" s="585"/>
      <c r="BW11" s="585"/>
      <c r="BX11" s="585"/>
      <c r="BY11" s="585"/>
      <c r="BZ11" s="79"/>
      <c r="CA11" s="79"/>
      <c r="CB11" s="585"/>
      <c r="CC11" s="585"/>
      <c r="CD11" s="585"/>
      <c r="CE11" s="79"/>
      <c r="CF11" s="79"/>
      <c r="CG11" s="585"/>
      <c r="CH11" s="585" t="s">
        <v>40</v>
      </c>
      <c r="CI11" s="585" t="s">
        <v>40</v>
      </c>
      <c r="CJ11" s="210"/>
      <c r="CK11" s="210"/>
      <c r="CL11" s="210"/>
      <c r="CM11" s="210"/>
      <c r="CN11" s="210"/>
      <c r="CO11" s="210"/>
      <c r="CP11" s="210"/>
      <c r="CQ11" s="210"/>
      <c r="CR11" s="210"/>
      <c r="CS11" s="210"/>
      <c r="CT11" s="210"/>
      <c r="CU11" s="210"/>
      <c r="CV11" s="210"/>
      <c r="CW11" s="210"/>
      <c r="CX11" s="210"/>
      <c r="CY11" s="210"/>
      <c r="CZ11" s="210"/>
      <c r="DA11" s="210"/>
      <c r="DB11" s="210"/>
      <c r="DC11" s="210"/>
      <c r="DD11" s="210"/>
      <c r="DE11" s="210"/>
      <c r="DF11" s="210"/>
      <c r="DG11" s="210"/>
      <c r="DH11" s="210"/>
      <c r="DI11" s="210"/>
      <c r="DJ11" s="210"/>
      <c r="DK11" s="210"/>
      <c r="DL11" s="210"/>
      <c r="DM11" s="210"/>
      <c r="DN11" s="210"/>
      <c r="DO11" s="210"/>
      <c r="DP11" s="210"/>
      <c r="DQ11" s="210"/>
      <c r="DR11" s="210"/>
      <c r="DS11" s="210"/>
      <c r="DT11" s="210"/>
      <c r="DU11" s="210"/>
      <c r="DV11" s="210"/>
      <c r="DW11" s="210"/>
      <c r="DX11" s="210"/>
      <c r="DY11" s="210"/>
      <c r="DZ11" s="210"/>
      <c r="EA11" s="210"/>
      <c r="EB11" s="210"/>
      <c r="EC11" s="210"/>
      <c r="ED11" s="210"/>
      <c r="EE11" s="210"/>
      <c r="EF11" s="210"/>
      <c r="EG11" s="210"/>
      <c r="EH11" s="210"/>
      <c r="EI11" s="210"/>
      <c r="EJ11" s="210"/>
      <c r="EK11" s="210"/>
      <c r="EL11" s="210"/>
      <c r="EM11" s="210"/>
      <c r="EN11" s="210"/>
      <c r="EO11" s="210"/>
      <c r="EP11" s="210"/>
      <c r="EQ11" s="210"/>
      <c r="ER11" s="210"/>
      <c r="ES11" s="210"/>
      <c r="ET11" s="210"/>
      <c r="EU11" s="210"/>
      <c r="EV11" s="210"/>
      <c r="EW11" s="210"/>
      <c r="EX11" s="210"/>
      <c r="EY11" s="210"/>
      <c r="EZ11" s="210"/>
      <c r="FA11" s="210"/>
      <c r="FB11" s="210"/>
      <c r="FC11" s="210"/>
      <c r="FD11" s="210"/>
      <c r="FE11" s="210"/>
      <c r="FF11" s="210"/>
      <c r="FG11" s="210"/>
      <c r="FH11" s="210"/>
      <c r="FI11" s="210"/>
    </row>
    <row r="12" spans="1:165" s="228" customFormat="1" ht="18" customHeight="1" thickBot="1" x14ac:dyDescent="0.3">
      <c r="A12" s="576">
        <f t="shared" si="2"/>
        <v>3</v>
      </c>
      <c r="B12" s="547">
        <v>0</v>
      </c>
      <c r="C12" s="577" t="s">
        <v>1044</v>
      </c>
      <c r="D12" s="578" t="s">
        <v>1044</v>
      </c>
      <c r="E12" s="579" t="s">
        <v>132</v>
      </c>
      <c r="F12" s="580" t="s">
        <v>1044</v>
      </c>
      <c r="G12" s="580" t="s">
        <v>1044</v>
      </c>
      <c r="H12" s="581" t="s">
        <v>127</v>
      </c>
      <c r="I12" s="582">
        <v>3</v>
      </c>
      <c r="J12" s="583"/>
      <c r="K12" s="584"/>
      <c r="L12" s="306"/>
      <c r="M12" s="307"/>
      <c r="N12" s="307" t="s">
        <v>122</v>
      </c>
      <c r="O12" s="307"/>
      <c r="P12" s="307"/>
      <c r="Q12" s="79"/>
      <c r="R12" s="79"/>
      <c r="S12" s="585"/>
      <c r="T12" s="585" t="s">
        <v>120</v>
      </c>
      <c r="U12" s="585"/>
      <c r="V12" s="585"/>
      <c r="W12" s="585" t="s">
        <v>120</v>
      </c>
      <c r="X12" s="586" t="s">
        <v>120</v>
      </c>
      <c r="Y12" s="585"/>
      <c r="Z12" s="585"/>
      <c r="AA12" s="585"/>
      <c r="AB12" s="585"/>
      <c r="AC12" s="585"/>
      <c r="AD12" s="585"/>
      <c r="AE12" s="585" t="s">
        <v>120</v>
      </c>
      <c r="AF12" s="585" t="s">
        <v>120</v>
      </c>
      <c r="AG12" s="585" t="s">
        <v>120</v>
      </c>
      <c r="AH12" s="585" t="s">
        <v>120</v>
      </c>
      <c r="AI12" s="585"/>
      <c r="AJ12" s="79"/>
      <c r="AK12" s="79"/>
      <c r="AL12" s="585"/>
      <c r="AM12" s="585"/>
      <c r="AN12" s="585"/>
      <c r="AO12" s="585"/>
      <c r="AP12" s="585"/>
      <c r="AQ12" s="585"/>
      <c r="AR12" s="585"/>
      <c r="AS12" s="79"/>
      <c r="AT12" s="79"/>
      <c r="AU12" s="585"/>
      <c r="AV12" s="585"/>
      <c r="AW12" s="585"/>
      <c r="AX12" s="585"/>
      <c r="AY12" s="585"/>
      <c r="AZ12" s="585"/>
      <c r="BA12" s="585"/>
      <c r="BB12" s="585"/>
      <c r="BC12" s="585"/>
      <c r="BD12" s="585"/>
      <c r="BE12" s="79"/>
      <c r="BF12" s="79"/>
      <c r="BG12" s="585"/>
      <c r="BH12" s="585"/>
      <c r="BI12" s="585"/>
      <c r="BJ12" s="585"/>
      <c r="BK12" s="585"/>
      <c r="BL12" s="585"/>
      <c r="BM12" s="585"/>
      <c r="BN12" s="585"/>
      <c r="BO12" s="585"/>
      <c r="BP12" s="585"/>
      <c r="BQ12" s="79"/>
      <c r="BR12" s="79"/>
      <c r="BS12" s="585" t="s">
        <v>120</v>
      </c>
      <c r="BT12" s="79"/>
      <c r="BU12" s="79"/>
      <c r="BV12" s="585"/>
      <c r="BW12" s="585"/>
      <c r="BX12" s="585"/>
      <c r="BY12" s="585"/>
      <c r="BZ12" s="79"/>
      <c r="CA12" s="79"/>
      <c r="CB12" s="585"/>
      <c r="CC12" s="585"/>
      <c r="CD12" s="585"/>
      <c r="CE12" s="79"/>
      <c r="CF12" s="79"/>
      <c r="CG12" s="585"/>
      <c r="CH12" s="585" t="s">
        <v>40</v>
      </c>
      <c r="CI12" s="585" t="s">
        <v>40</v>
      </c>
      <c r="CJ12" s="210"/>
      <c r="CK12" s="210"/>
      <c r="CL12" s="210"/>
      <c r="CM12" s="210"/>
      <c r="CN12" s="210"/>
      <c r="CO12" s="210"/>
      <c r="CP12" s="210"/>
      <c r="CQ12" s="210"/>
      <c r="CR12" s="210"/>
      <c r="CS12" s="210"/>
      <c r="CT12" s="210"/>
      <c r="CU12" s="210"/>
      <c r="CV12" s="210"/>
      <c r="CW12" s="210"/>
      <c r="CX12" s="210"/>
      <c r="CY12" s="210"/>
      <c r="CZ12" s="210"/>
      <c r="DA12" s="210"/>
      <c r="DB12" s="210"/>
      <c r="DC12" s="210"/>
      <c r="DD12" s="210"/>
      <c r="DE12" s="210"/>
      <c r="DF12" s="210"/>
      <c r="DG12" s="210"/>
      <c r="DH12" s="210"/>
      <c r="DI12" s="210"/>
      <c r="DJ12" s="210"/>
      <c r="DK12" s="210"/>
      <c r="DL12" s="210"/>
      <c r="DM12" s="210"/>
      <c r="DN12" s="210"/>
      <c r="DO12" s="210"/>
      <c r="DP12" s="210"/>
      <c r="DQ12" s="210"/>
      <c r="DR12" s="210"/>
      <c r="DS12" s="210"/>
      <c r="DT12" s="210"/>
      <c r="DU12" s="210"/>
      <c r="DV12" s="210"/>
      <c r="DW12" s="210"/>
      <c r="DX12" s="210"/>
      <c r="DY12" s="210"/>
      <c r="DZ12" s="210"/>
      <c r="EA12" s="210"/>
      <c r="EB12" s="210"/>
      <c r="EC12" s="210"/>
      <c r="ED12" s="210"/>
      <c r="EE12" s="210"/>
      <c r="EF12" s="210"/>
      <c r="EG12" s="210"/>
      <c r="EH12" s="210"/>
      <c r="EI12" s="210"/>
      <c r="EJ12" s="210"/>
      <c r="EK12" s="210"/>
      <c r="EL12" s="210"/>
      <c r="EM12" s="210"/>
      <c r="EN12" s="210"/>
      <c r="EO12" s="210"/>
      <c r="EP12" s="210"/>
      <c r="EQ12" s="210"/>
      <c r="ER12" s="210"/>
      <c r="ES12" s="210"/>
      <c r="ET12" s="210"/>
      <c r="EU12" s="210"/>
      <c r="EV12" s="210"/>
      <c r="EW12" s="210"/>
      <c r="EX12" s="210"/>
      <c r="EY12" s="210"/>
      <c r="EZ12" s="210"/>
      <c r="FA12" s="210"/>
      <c r="FB12" s="210"/>
      <c r="FC12" s="210"/>
      <c r="FD12" s="210"/>
      <c r="FE12" s="210"/>
      <c r="FF12" s="210"/>
      <c r="FG12" s="210"/>
      <c r="FH12" s="210"/>
      <c r="FI12" s="210"/>
    </row>
    <row r="13" spans="1:165" s="228" customFormat="1" ht="18" customHeight="1" thickBot="1" x14ac:dyDescent="0.3">
      <c r="A13" s="576">
        <f t="shared" si="2"/>
        <v>4</v>
      </c>
      <c r="B13" s="547">
        <v>0</v>
      </c>
      <c r="C13" s="577" t="s">
        <v>1044</v>
      </c>
      <c r="D13" s="578" t="s">
        <v>1044</v>
      </c>
      <c r="E13" s="579" t="s">
        <v>133</v>
      </c>
      <c r="F13" s="580" t="s">
        <v>1044</v>
      </c>
      <c r="G13" s="580" t="s">
        <v>1044</v>
      </c>
      <c r="H13" s="581" t="s">
        <v>128</v>
      </c>
      <c r="I13" s="582">
        <v>4</v>
      </c>
      <c r="J13" s="583"/>
      <c r="K13" s="584"/>
      <c r="L13" s="306"/>
      <c r="M13" s="307"/>
      <c r="N13" s="307"/>
      <c r="O13" s="307" t="s">
        <v>122</v>
      </c>
      <c r="P13" s="307"/>
      <c r="Q13" s="79"/>
      <c r="R13" s="79"/>
      <c r="S13" s="585"/>
      <c r="T13" s="585"/>
      <c r="U13" s="585"/>
      <c r="V13" s="585"/>
      <c r="W13" s="585"/>
      <c r="X13" s="585"/>
      <c r="Y13" s="585"/>
      <c r="Z13" s="585"/>
      <c r="AA13" s="585"/>
      <c r="AB13" s="585"/>
      <c r="AC13" s="585"/>
      <c r="AD13" s="585"/>
      <c r="AE13" s="585"/>
      <c r="AF13" s="585"/>
      <c r="AG13" s="585"/>
      <c r="AH13" s="585"/>
      <c r="AI13" s="585"/>
      <c r="AJ13" s="79"/>
      <c r="AK13" s="79"/>
      <c r="AL13" s="585"/>
      <c r="AM13" s="585"/>
      <c r="AN13" s="585"/>
      <c r="AO13" s="585"/>
      <c r="AP13" s="585"/>
      <c r="AQ13" s="585"/>
      <c r="AR13" s="585"/>
      <c r="AS13" s="79"/>
      <c r="AT13" s="79"/>
      <c r="AU13" s="585"/>
      <c r="AV13" s="585"/>
      <c r="AW13" s="585"/>
      <c r="AX13" s="585" t="s">
        <v>120</v>
      </c>
      <c r="AY13" s="585"/>
      <c r="AZ13" s="585"/>
      <c r="BA13" s="585"/>
      <c r="BB13" s="585"/>
      <c r="BC13" s="585"/>
      <c r="BD13" s="585" t="s">
        <v>121</v>
      </c>
      <c r="BE13" s="79"/>
      <c r="BF13" s="79"/>
      <c r="BG13" s="585"/>
      <c r="BH13" s="585"/>
      <c r="BI13" s="585"/>
      <c r="BJ13" s="585"/>
      <c r="BK13" s="585"/>
      <c r="BL13" s="585"/>
      <c r="BM13" s="585"/>
      <c r="BN13" s="585"/>
      <c r="BO13" s="585"/>
      <c r="BP13" s="585"/>
      <c r="BQ13" s="79"/>
      <c r="BR13" s="79"/>
      <c r="BS13" s="585"/>
      <c r="BT13" s="79"/>
      <c r="BU13" s="79"/>
      <c r="BV13" s="585"/>
      <c r="BW13" s="585"/>
      <c r="BX13" s="585"/>
      <c r="BY13" s="585"/>
      <c r="BZ13" s="79"/>
      <c r="CA13" s="79"/>
      <c r="CB13" s="585"/>
      <c r="CC13" s="585"/>
      <c r="CD13" s="585"/>
      <c r="CE13" s="79"/>
      <c r="CF13" s="79"/>
      <c r="CG13" s="585"/>
      <c r="CH13" s="585" t="s">
        <v>40</v>
      </c>
      <c r="CI13" s="585" t="s">
        <v>40</v>
      </c>
      <c r="CJ13" s="210"/>
      <c r="CK13" s="210"/>
      <c r="CL13" s="210"/>
      <c r="CM13" s="210"/>
      <c r="CN13" s="210"/>
      <c r="CO13" s="210"/>
      <c r="CP13" s="210"/>
      <c r="CQ13" s="210"/>
      <c r="CR13" s="210"/>
      <c r="CS13" s="210"/>
      <c r="CT13" s="210"/>
      <c r="CU13" s="210"/>
      <c r="CV13" s="210"/>
      <c r="CW13" s="210"/>
      <c r="CX13" s="210"/>
      <c r="CY13" s="210"/>
      <c r="CZ13" s="210"/>
      <c r="DA13" s="210"/>
      <c r="DB13" s="210"/>
      <c r="DC13" s="210"/>
      <c r="DD13" s="210"/>
      <c r="DE13" s="210"/>
      <c r="DF13" s="210"/>
      <c r="DG13" s="210"/>
      <c r="DH13" s="210"/>
      <c r="DI13" s="210"/>
      <c r="DJ13" s="210"/>
      <c r="DK13" s="210"/>
      <c r="DL13" s="210"/>
      <c r="DM13" s="210"/>
      <c r="DN13" s="210"/>
      <c r="DO13" s="210"/>
      <c r="DP13" s="210"/>
      <c r="DQ13" s="210"/>
      <c r="DR13" s="210"/>
      <c r="DS13" s="210"/>
      <c r="DT13" s="210"/>
      <c r="DU13" s="210"/>
      <c r="DV13" s="210"/>
      <c r="DW13" s="210"/>
      <c r="DX13" s="210"/>
      <c r="DY13" s="210"/>
      <c r="DZ13" s="210"/>
      <c r="EA13" s="210"/>
      <c r="EB13" s="210"/>
      <c r="EC13" s="210"/>
      <c r="ED13" s="210"/>
      <c r="EE13" s="210"/>
      <c r="EF13" s="210"/>
      <c r="EG13" s="210"/>
      <c r="EH13" s="210"/>
      <c r="EI13" s="210"/>
      <c r="EJ13" s="210"/>
      <c r="EK13" s="210"/>
      <c r="EL13" s="210"/>
      <c r="EM13" s="210"/>
      <c r="EN13" s="210"/>
      <c r="EO13" s="210"/>
      <c r="EP13" s="210"/>
      <c r="EQ13" s="210"/>
      <c r="ER13" s="210"/>
      <c r="ES13" s="210"/>
      <c r="ET13" s="210"/>
      <c r="EU13" s="210"/>
      <c r="EV13" s="210"/>
      <c r="EW13" s="210"/>
      <c r="EX13" s="210"/>
      <c r="EY13" s="210"/>
      <c r="EZ13" s="210"/>
      <c r="FA13" s="210"/>
      <c r="FB13" s="210"/>
      <c r="FC13" s="210"/>
      <c r="FD13" s="210"/>
      <c r="FE13" s="210"/>
      <c r="FF13" s="210"/>
      <c r="FG13" s="210"/>
      <c r="FH13" s="210"/>
      <c r="FI13" s="210"/>
    </row>
    <row r="14" spans="1:165" s="228" customFormat="1" ht="18" customHeight="1" x14ac:dyDescent="0.25">
      <c r="A14" s="576">
        <f t="shared" si="2"/>
        <v>5</v>
      </c>
      <c r="B14" s="547">
        <v>0</v>
      </c>
      <c r="C14" s="577" t="s">
        <v>1044</v>
      </c>
      <c r="D14" s="578" t="s">
        <v>1044</v>
      </c>
      <c r="E14" s="579" t="s">
        <v>134</v>
      </c>
      <c r="F14" s="580" t="s">
        <v>1044</v>
      </c>
      <c r="G14" s="580" t="s">
        <v>1044</v>
      </c>
      <c r="H14" s="581" t="s">
        <v>129</v>
      </c>
      <c r="I14" s="582">
        <v>5</v>
      </c>
      <c r="J14" s="583"/>
      <c r="K14" s="584"/>
      <c r="L14" s="362"/>
      <c r="M14" s="304"/>
      <c r="N14" s="304"/>
      <c r="O14" s="304"/>
      <c r="P14" s="304" t="s">
        <v>122</v>
      </c>
      <c r="Q14" s="92"/>
      <c r="R14" s="92"/>
      <c r="S14" s="587"/>
      <c r="T14" s="587"/>
      <c r="U14" s="564"/>
      <c r="V14" s="564"/>
      <c r="W14" s="564"/>
      <c r="X14" s="564"/>
      <c r="Y14" s="564"/>
      <c r="Z14" s="564"/>
      <c r="AA14" s="564"/>
      <c r="AB14" s="564"/>
      <c r="AC14" s="564"/>
      <c r="AD14" s="564"/>
      <c r="AE14" s="564"/>
      <c r="AF14" s="564"/>
      <c r="AG14" s="564"/>
      <c r="AH14" s="564"/>
      <c r="AI14" s="564"/>
      <c r="AJ14" s="92"/>
      <c r="AK14" s="92"/>
      <c r="AL14" s="564"/>
      <c r="AM14" s="564"/>
      <c r="AN14" s="564"/>
      <c r="AO14" s="564"/>
      <c r="AP14" s="564"/>
      <c r="AQ14" s="564"/>
      <c r="AR14" s="564"/>
      <c r="AS14" s="92"/>
      <c r="AT14" s="92"/>
      <c r="AU14" s="564"/>
      <c r="AV14" s="564"/>
      <c r="AW14" s="564"/>
      <c r="AX14" s="564"/>
      <c r="AY14" s="564"/>
      <c r="AZ14" s="564"/>
      <c r="BA14" s="564"/>
      <c r="BB14" s="564"/>
      <c r="BC14" s="564"/>
      <c r="BD14" s="564"/>
      <c r="BE14" s="92"/>
      <c r="BF14" s="92"/>
      <c r="BG14" s="564"/>
      <c r="BH14" s="564"/>
      <c r="BI14" s="564"/>
      <c r="BJ14" s="585" t="s">
        <v>120</v>
      </c>
      <c r="BK14" s="585"/>
      <c r="BL14" s="585"/>
      <c r="BM14" s="585"/>
      <c r="BN14" s="585"/>
      <c r="BO14" s="585"/>
      <c r="BP14" s="585" t="s">
        <v>121</v>
      </c>
      <c r="BQ14" s="92"/>
      <c r="BR14" s="92"/>
      <c r="BS14" s="564"/>
      <c r="BT14" s="92"/>
      <c r="BU14" s="92"/>
      <c r="BV14" s="564"/>
      <c r="BW14" s="564"/>
      <c r="BX14" s="564"/>
      <c r="BY14" s="564"/>
      <c r="BZ14" s="92"/>
      <c r="CA14" s="92"/>
      <c r="CB14" s="564"/>
      <c r="CC14" s="564"/>
      <c r="CD14" s="564"/>
      <c r="CE14" s="92"/>
      <c r="CF14" s="92"/>
      <c r="CG14" s="564"/>
      <c r="CH14" s="564" t="s">
        <v>40</v>
      </c>
      <c r="CI14" s="564" t="s">
        <v>40</v>
      </c>
      <c r="CJ14" s="210"/>
      <c r="CK14" s="210"/>
      <c r="CL14" s="210"/>
      <c r="CM14" s="210"/>
      <c r="CN14" s="210"/>
      <c r="CO14" s="210"/>
      <c r="CP14" s="210"/>
      <c r="CQ14" s="210"/>
      <c r="CR14" s="210"/>
      <c r="CS14" s="210"/>
      <c r="CT14" s="210"/>
      <c r="CU14" s="210"/>
      <c r="CV14" s="210"/>
      <c r="CW14" s="210"/>
      <c r="CX14" s="210"/>
      <c r="CY14" s="210"/>
      <c r="CZ14" s="210"/>
      <c r="DA14" s="210"/>
      <c r="DB14" s="210"/>
      <c r="DC14" s="210"/>
      <c r="DD14" s="210"/>
      <c r="DE14" s="210"/>
      <c r="DF14" s="210"/>
      <c r="DG14" s="210"/>
      <c r="DH14" s="210"/>
      <c r="DI14" s="210"/>
      <c r="DJ14" s="210"/>
      <c r="DK14" s="210"/>
      <c r="DL14" s="210"/>
      <c r="DM14" s="210"/>
      <c r="DN14" s="210"/>
      <c r="DO14" s="210"/>
      <c r="DP14" s="210"/>
      <c r="DQ14" s="210"/>
      <c r="DR14" s="210"/>
      <c r="DS14" s="210"/>
      <c r="DT14" s="210"/>
      <c r="DU14" s="210"/>
      <c r="DV14" s="210"/>
      <c r="DW14" s="210"/>
      <c r="DX14" s="210"/>
      <c r="DY14" s="210"/>
      <c r="DZ14" s="210"/>
      <c r="EA14" s="210"/>
      <c r="EB14" s="210"/>
      <c r="EC14" s="210"/>
      <c r="ED14" s="210"/>
      <c r="EE14" s="210"/>
      <c r="EF14" s="210"/>
      <c r="EG14" s="210"/>
      <c r="EH14" s="210"/>
      <c r="EI14" s="210"/>
      <c r="EJ14" s="210"/>
      <c r="EK14" s="210"/>
      <c r="EL14" s="210"/>
      <c r="EM14" s="210"/>
      <c r="EN14" s="210"/>
      <c r="EO14" s="210"/>
      <c r="EP14" s="210"/>
      <c r="EQ14" s="210"/>
      <c r="ER14" s="210"/>
      <c r="ES14" s="210"/>
      <c r="ET14" s="210"/>
      <c r="EU14" s="210"/>
      <c r="EV14" s="210"/>
      <c r="EW14" s="210"/>
      <c r="EX14" s="210"/>
      <c r="EY14" s="210"/>
      <c r="EZ14" s="210"/>
      <c r="FA14" s="210"/>
      <c r="FB14" s="210"/>
      <c r="FC14" s="210"/>
      <c r="FD14" s="210"/>
      <c r="FE14" s="210"/>
      <c r="FF14" s="210"/>
      <c r="FG14" s="210"/>
      <c r="FH14" s="210"/>
      <c r="FI14" s="210"/>
    </row>
    <row r="15" spans="1:165" s="309" customFormat="1" ht="18" customHeight="1" x14ac:dyDescent="0.2">
      <c r="A15" s="289">
        <f t="shared" si="2"/>
        <v>6</v>
      </c>
      <c r="B15" s="72"/>
      <c r="C15" s="290"/>
      <c r="D15" s="289"/>
      <c r="E15" s="291"/>
      <c r="F15" s="518"/>
      <c r="G15" s="518"/>
      <c r="H15" s="294"/>
      <c r="I15" s="142"/>
      <c r="J15" s="76"/>
      <c r="K15" s="141"/>
      <c r="L15" s="258"/>
      <c r="M15" s="92"/>
      <c r="N15" s="92"/>
      <c r="O15" s="92"/>
      <c r="P15" s="92"/>
      <c r="Q15" s="92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79"/>
      <c r="CF15" s="79"/>
      <c r="CG15" s="79"/>
      <c r="CH15" s="79"/>
      <c r="CI15" s="79"/>
      <c r="CJ15" s="209"/>
      <c r="CK15" s="210"/>
      <c r="CL15" s="210"/>
      <c r="CM15" s="210"/>
      <c r="CN15" s="210"/>
      <c r="CO15" s="210"/>
      <c r="CP15" s="210"/>
      <c r="CQ15" s="210"/>
      <c r="CR15" s="210"/>
      <c r="CS15" s="210"/>
      <c r="CT15" s="210"/>
      <c r="CU15" s="210"/>
      <c r="CV15" s="210"/>
      <c r="CW15" s="210"/>
      <c r="CX15" s="210"/>
      <c r="CY15" s="210"/>
      <c r="CZ15" s="210"/>
      <c r="DA15" s="210"/>
      <c r="DB15" s="210"/>
      <c r="DC15" s="210"/>
      <c r="DD15" s="210"/>
      <c r="DE15" s="210"/>
      <c r="DF15" s="210"/>
      <c r="DG15" s="210"/>
      <c r="DH15" s="210"/>
      <c r="DI15" s="210"/>
      <c r="DJ15" s="210"/>
      <c r="DK15" s="210"/>
      <c r="DL15" s="210"/>
      <c r="DM15" s="210"/>
      <c r="DN15" s="210"/>
      <c r="DO15" s="210"/>
      <c r="DP15" s="210"/>
      <c r="DQ15" s="210"/>
      <c r="DR15" s="210"/>
      <c r="DS15" s="210"/>
      <c r="DT15" s="210"/>
      <c r="DU15" s="210"/>
      <c r="DV15" s="210"/>
      <c r="DW15" s="210"/>
      <c r="DX15" s="210"/>
      <c r="DY15" s="210"/>
      <c r="DZ15" s="210"/>
      <c r="EA15" s="210"/>
      <c r="EB15" s="210"/>
      <c r="EC15" s="210"/>
      <c r="ED15" s="210"/>
      <c r="EE15" s="210"/>
      <c r="EF15" s="210"/>
      <c r="EG15" s="210"/>
      <c r="EH15" s="210"/>
      <c r="EI15" s="210"/>
      <c r="EJ15" s="210"/>
      <c r="EK15" s="210"/>
      <c r="EL15" s="210"/>
      <c r="EM15" s="210"/>
      <c r="EN15" s="210"/>
      <c r="EO15" s="210"/>
      <c r="EP15" s="210"/>
      <c r="EQ15" s="210"/>
      <c r="ER15" s="210"/>
      <c r="ES15" s="210"/>
      <c r="ET15" s="210"/>
      <c r="EU15" s="210"/>
      <c r="EV15" s="210"/>
      <c r="EW15" s="210"/>
      <c r="EX15" s="210"/>
      <c r="EY15" s="210"/>
      <c r="EZ15" s="210"/>
      <c r="FA15" s="210"/>
      <c r="FB15" s="210"/>
      <c r="FC15" s="210"/>
      <c r="FD15" s="210"/>
      <c r="FE15" s="210"/>
      <c r="FF15" s="210"/>
      <c r="FG15" s="210"/>
      <c r="FH15" s="210"/>
      <c r="FI15" s="210"/>
    </row>
    <row r="16" spans="1:165" s="311" customFormat="1" ht="18" customHeight="1" x14ac:dyDescent="0.25">
      <c r="A16" s="576">
        <f t="shared" si="2"/>
        <v>7</v>
      </c>
      <c r="B16" s="588">
        <v>0</v>
      </c>
      <c r="C16" s="556" t="s">
        <v>135</v>
      </c>
      <c r="D16" s="556" t="s">
        <v>251</v>
      </c>
      <c r="E16" s="589" t="s">
        <v>252</v>
      </c>
      <c r="F16" s="590" t="s">
        <v>1044</v>
      </c>
      <c r="G16" s="591" t="s">
        <v>253</v>
      </c>
      <c r="H16" s="592" t="s">
        <v>911</v>
      </c>
      <c r="I16" s="593"/>
      <c r="J16" s="556"/>
      <c r="K16" s="594"/>
      <c r="L16" s="306"/>
      <c r="M16" s="307"/>
      <c r="N16" s="307"/>
      <c r="O16" s="307"/>
      <c r="P16" s="307"/>
      <c r="Q16" s="79"/>
      <c r="R16" s="79"/>
      <c r="S16" s="585"/>
      <c r="T16" s="585" t="s">
        <v>118</v>
      </c>
      <c r="U16" s="585"/>
      <c r="V16" s="585"/>
      <c r="W16" s="585" t="s">
        <v>118</v>
      </c>
      <c r="X16" s="586" t="s">
        <v>118</v>
      </c>
      <c r="Y16" s="585"/>
      <c r="Z16" s="585"/>
      <c r="AA16" s="585"/>
      <c r="AB16" s="585"/>
      <c r="AC16" s="585"/>
      <c r="AD16" s="585"/>
      <c r="AE16" s="585" t="s">
        <v>118</v>
      </c>
      <c r="AF16" s="585" t="s">
        <v>118</v>
      </c>
      <c r="AG16" s="585" t="s">
        <v>118</v>
      </c>
      <c r="AH16" s="585" t="s">
        <v>118</v>
      </c>
      <c r="AI16" s="585"/>
      <c r="AJ16" s="79"/>
      <c r="AK16" s="79"/>
      <c r="AL16" s="585"/>
      <c r="AM16" s="585"/>
      <c r="AN16" s="585" t="s">
        <v>118</v>
      </c>
      <c r="AO16" s="585"/>
      <c r="AP16" s="585" t="s">
        <v>118</v>
      </c>
      <c r="AQ16" s="585"/>
      <c r="AR16" s="585"/>
      <c r="AS16" s="79"/>
      <c r="AT16" s="79"/>
      <c r="AU16" s="585"/>
      <c r="AV16" s="585" t="s">
        <v>581</v>
      </c>
      <c r="AW16" s="556" t="s">
        <v>118</v>
      </c>
      <c r="AX16" s="585"/>
      <c r="AY16" s="585"/>
      <c r="AZ16" s="585"/>
      <c r="BA16" s="585" t="s">
        <v>118</v>
      </c>
      <c r="BB16" s="585"/>
      <c r="BC16" s="585"/>
      <c r="BD16" s="585"/>
      <c r="BE16" s="79"/>
      <c r="BF16" s="79"/>
      <c r="BG16" s="585"/>
      <c r="BH16" s="585" t="s">
        <v>581</v>
      </c>
      <c r="BI16" s="585" t="s">
        <v>118</v>
      </c>
      <c r="BJ16" s="585"/>
      <c r="BK16" s="585"/>
      <c r="BL16" s="585"/>
      <c r="BM16" s="585" t="s">
        <v>118</v>
      </c>
      <c r="BN16" s="585"/>
      <c r="BO16" s="585"/>
      <c r="BP16" s="585"/>
      <c r="BQ16" s="79"/>
      <c r="BR16" s="79"/>
      <c r="BS16" s="586" t="s">
        <v>118</v>
      </c>
      <c r="BT16" s="79"/>
      <c r="BU16" s="79"/>
      <c r="BV16" s="585"/>
      <c r="BW16" s="585" t="s">
        <v>118</v>
      </c>
      <c r="BX16" s="585"/>
      <c r="BY16" s="585" t="s">
        <v>118</v>
      </c>
      <c r="BZ16" s="79"/>
      <c r="CA16" s="79"/>
      <c r="CB16" s="585"/>
      <c r="CC16" s="585"/>
      <c r="CD16" s="585"/>
      <c r="CE16" s="79"/>
      <c r="CF16" s="79"/>
      <c r="CG16" s="585" t="s">
        <v>119</v>
      </c>
      <c r="CH16" s="585" t="s">
        <v>119</v>
      </c>
      <c r="CI16" s="585" t="s">
        <v>119</v>
      </c>
      <c r="CJ16" s="201"/>
      <c r="CK16" s="202"/>
      <c r="CL16" s="202"/>
      <c r="CM16" s="202"/>
      <c r="CN16" s="202"/>
      <c r="CO16" s="202"/>
      <c r="CP16" s="202"/>
      <c r="CQ16" s="202"/>
      <c r="CR16" s="202"/>
      <c r="CS16" s="202"/>
      <c r="CT16" s="202"/>
      <c r="CU16" s="202"/>
      <c r="CV16" s="202"/>
      <c r="CW16" s="202"/>
      <c r="CX16" s="202"/>
      <c r="CY16" s="202"/>
      <c r="CZ16" s="202"/>
      <c r="DA16" s="202"/>
      <c r="DB16" s="202"/>
      <c r="DC16" s="202"/>
      <c r="DD16" s="202"/>
      <c r="DE16" s="202"/>
      <c r="DF16" s="202"/>
      <c r="DG16" s="202"/>
      <c r="DH16" s="202"/>
      <c r="DI16" s="202"/>
      <c r="DJ16" s="202"/>
      <c r="DK16" s="202"/>
      <c r="DL16" s="202"/>
      <c r="DM16" s="202"/>
      <c r="DN16" s="202"/>
      <c r="DO16" s="202"/>
      <c r="DP16" s="202"/>
      <c r="DQ16" s="202"/>
      <c r="DR16" s="202"/>
      <c r="DS16" s="202"/>
      <c r="DT16" s="202"/>
      <c r="DU16" s="202"/>
      <c r="DV16" s="202"/>
      <c r="DW16" s="202"/>
      <c r="DX16" s="202"/>
      <c r="DY16" s="202"/>
      <c r="DZ16" s="202"/>
      <c r="EA16" s="202"/>
      <c r="EB16" s="202"/>
      <c r="EC16" s="202"/>
      <c r="ED16" s="202"/>
      <c r="EE16" s="202"/>
      <c r="EF16" s="202"/>
      <c r="EG16" s="202"/>
      <c r="EH16" s="202"/>
      <c r="EI16" s="202"/>
      <c r="EJ16" s="202"/>
      <c r="EK16" s="202"/>
      <c r="EL16" s="202"/>
      <c r="EM16" s="202"/>
      <c r="EN16" s="202"/>
      <c r="EO16" s="202"/>
      <c r="EP16" s="202"/>
      <c r="EQ16" s="202"/>
      <c r="ER16" s="202"/>
      <c r="ES16" s="202"/>
      <c r="ET16" s="202"/>
      <c r="EU16" s="202"/>
      <c r="EV16" s="202"/>
      <c r="EW16" s="202"/>
      <c r="EX16" s="202"/>
      <c r="EY16" s="202"/>
      <c r="EZ16" s="202"/>
      <c r="FA16" s="202"/>
      <c r="FB16" s="202"/>
      <c r="FC16" s="202"/>
      <c r="FD16" s="202"/>
      <c r="FE16" s="202"/>
      <c r="FF16" s="202"/>
      <c r="FG16" s="202"/>
      <c r="FH16" s="202"/>
      <c r="FI16" s="202"/>
    </row>
    <row r="17" spans="1:165" s="228" customFormat="1" ht="18" customHeight="1" x14ac:dyDescent="0.2">
      <c r="A17" s="289">
        <f t="shared" si="2"/>
        <v>8</v>
      </c>
      <c r="B17" s="78"/>
      <c r="C17" s="72"/>
      <c r="D17" s="72"/>
      <c r="E17" s="77"/>
      <c r="F17" s="72"/>
      <c r="G17" s="72"/>
      <c r="H17" s="175"/>
      <c r="I17" s="142" t="s">
        <v>785</v>
      </c>
      <c r="J17" s="76"/>
      <c r="K17" s="141"/>
      <c r="L17" s="258"/>
      <c r="M17" s="92"/>
      <c r="N17" s="92"/>
      <c r="O17" s="92"/>
      <c r="P17" s="92"/>
      <c r="Q17" s="92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79"/>
      <c r="CF17" s="79"/>
      <c r="CG17" s="79"/>
      <c r="CH17" s="79" t="s">
        <v>785</v>
      </c>
      <c r="CI17" s="79" t="s">
        <v>785</v>
      </c>
      <c r="CJ17" s="209"/>
      <c r="CK17" s="210"/>
      <c r="CL17" s="210"/>
      <c r="CM17" s="210"/>
      <c r="CN17" s="210"/>
      <c r="CO17" s="210"/>
      <c r="CP17" s="210"/>
      <c r="CQ17" s="210"/>
      <c r="CR17" s="210"/>
      <c r="CS17" s="210"/>
      <c r="CT17" s="210"/>
      <c r="CU17" s="210"/>
      <c r="CV17" s="210"/>
      <c r="CW17" s="210"/>
      <c r="CX17" s="210"/>
      <c r="CY17" s="210"/>
      <c r="CZ17" s="210"/>
      <c r="DA17" s="210"/>
      <c r="DB17" s="210"/>
      <c r="DC17" s="210"/>
      <c r="DD17" s="210"/>
      <c r="DE17" s="210"/>
      <c r="DF17" s="210"/>
      <c r="DG17" s="210"/>
      <c r="DH17" s="210"/>
      <c r="DI17" s="210"/>
      <c r="DJ17" s="210"/>
      <c r="DK17" s="210"/>
      <c r="DL17" s="210"/>
      <c r="DM17" s="210"/>
      <c r="DN17" s="210"/>
      <c r="DO17" s="210"/>
      <c r="DP17" s="210"/>
      <c r="DQ17" s="210"/>
      <c r="DR17" s="210"/>
      <c r="DS17" s="210"/>
      <c r="DT17" s="210"/>
      <c r="DU17" s="210"/>
      <c r="DV17" s="210"/>
      <c r="DW17" s="210"/>
      <c r="DX17" s="210"/>
      <c r="DY17" s="210"/>
      <c r="DZ17" s="210"/>
      <c r="EA17" s="210"/>
      <c r="EB17" s="210"/>
      <c r="EC17" s="210"/>
      <c r="ED17" s="210"/>
      <c r="EE17" s="210"/>
      <c r="EF17" s="210"/>
      <c r="EG17" s="210"/>
      <c r="EH17" s="210"/>
      <c r="EI17" s="210"/>
      <c r="EJ17" s="210"/>
      <c r="EK17" s="210"/>
      <c r="EL17" s="210"/>
      <c r="EM17" s="210"/>
      <c r="EN17" s="210"/>
      <c r="EO17" s="210"/>
      <c r="EP17" s="210"/>
      <c r="EQ17" s="210"/>
      <c r="ER17" s="210"/>
      <c r="ES17" s="210"/>
      <c r="ET17" s="210"/>
      <c r="EU17" s="210"/>
      <c r="EV17" s="210"/>
      <c r="EW17" s="210"/>
      <c r="EX17" s="210"/>
      <c r="EY17" s="210"/>
      <c r="EZ17" s="210"/>
      <c r="FA17" s="210"/>
      <c r="FB17" s="210"/>
      <c r="FC17" s="210"/>
      <c r="FD17" s="210"/>
      <c r="FE17" s="210"/>
      <c r="FF17" s="210"/>
      <c r="FG17" s="210"/>
      <c r="FH17" s="210"/>
      <c r="FI17" s="210"/>
    </row>
    <row r="18" spans="1:165" s="228" customFormat="1" ht="18" customHeight="1" x14ac:dyDescent="0.25">
      <c r="A18" s="576">
        <f t="shared" si="2"/>
        <v>9</v>
      </c>
      <c r="B18" s="588">
        <v>0</v>
      </c>
      <c r="C18" s="567" t="s">
        <v>1044</v>
      </c>
      <c r="D18" s="556" t="s">
        <v>41</v>
      </c>
      <c r="E18" s="595" t="s">
        <v>649</v>
      </c>
      <c r="F18" s="567" t="s">
        <v>1044</v>
      </c>
      <c r="G18" s="556" t="s">
        <v>650</v>
      </c>
      <c r="H18" s="556" t="s">
        <v>584</v>
      </c>
      <c r="I18" s="593">
        <v>2</v>
      </c>
      <c r="J18" s="556"/>
      <c r="K18" s="594">
        <v>7</v>
      </c>
      <c r="L18" s="306"/>
      <c r="M18" s="307" t="s">
        <v>122</v>
      </c>
      <c r="N18" s="307"/>
      <c r="O18" s="307"/>
      <c r="P18" s="307"/>
      <c r="Q18" s="79"/>
      <c r="R18" s="79"/>
      <c r="S18" s="585"/>
      <c r="T18" s="585"/>
      <c r="U18" s="585"/>
      <c r="V18" s="585"/>
      <c r="W18" s="585"/>
      <c r="X18" s="585"/>
      <c r="Y18" s="585"/>
      <c r="Z18" s="585"/>
      <c r="AA18" s="585"/>
      <c r="AB18" s="585"/>
      <c r="AC18" s="585"/>
      <c r="AD18" s="585"/>
      <c r="AE18" s="585"/>
      <c r="AF18" s="585"/>
      <c r="AG18" s="585"/>
      <c r="AH18" s="585"/>
      <c r="AI18" s="585"/>
      <c r="AJ18" s="79"/>
      <c r="AK18" s="79"/>
      <c r="AL18" s="585"/>
      <c r="AM18" s="585"/>
      <c r="AN18" s="585"/>
      <c r="AO18" s="585"/>
      <c r="AP18" s="585"/>
      <c r="AQ18" s="585"/>
      <c r="AR18" s="585"/>
      <c r="AS18" s="79"/>
      <c r="AT18" s="79"/>
      <c r="AU18" s="585"/>
      <c r="AV18" s="585"/>
      <c r="AW18" s="585"/>
      <c r="AX18" s="585" t="s">
        <v>120</v>
      </c>
      <c r="AY18" s="585"/>
      <c r="AZ18" s="585"/>
      <c r="BA18" s="585"/>
      <c r="BB18" s="585"/>
      <c r="BC18" s="585"/>
      <c r="BD18" s="585" t="s">
        <v>121</v>
      </c>
      <c r="BE18" s="79"/>
      <c r="BF18" s="79"/>
      <c r="BG18" s="585"/>
      <c r="BH18" s="585"/>
      <c r="BI18" s="585"/>
      <c r="BJ18" s="585" t="s">
        <v>120</v>
      </c>
      <c r="BK18" s="585"/>
      <c r="BL18" s="585"/>
      <c r="BM18" s="585"/>
      <c r="BN18" s="585"/>
      <c r="BO18" s="585"/>
      <c r="BP18" s="585" t="s">
        <v>121</v>
      </c>
      <c r="BQ18" s="79"/>
      <c r="BR18" s="79"/>
      <c r="BS18" s="585"/>
      <c r="BT18" s="79"/>
      <c r="BU18" s="79"/>
      <c r="BV18" s="585"/>
      <c r="BW18" s="585"/>
      <c r="BX18" s="585"/>
      <c r="BY18" s="585"/>
      <c r="BZ18" s="79"/>
      <c r="CA18" s="79"/>
      <c r="CB18" s="585"/>
      <c r="CC18" s="585"/>
      <c r="CD18" s="585"/>
      <c r="CE18" s="79"/>
      <c r="CF18" s="79"/>
      <c r="CG18" s="585"/>
      <c r="CH18" s="585" t="s">
        <v>40</v>
      </c>
      <c r="CI18" s="585" t="s">
        <v>40</v>
      </c>
      <c r="CJ18" s="201"/>
      <c r="CK18" s="201"/>
      <c r="CL18" s="201"/>
      <c r="CM18" s="201"/>
      <c r="CN18" s="201"/>
      <c r="CO18" s="201"/>
      <c r="CP18" s="201"/>
      <c r="CQ18" s="201"/>
      <c r="CR18" s="201"/>
      <c r="CS18" s="201"/>
      <c r="CT18" s="201"/>
      <c r="CU18" s="201"/>
      <c r="CV18" s="201"/>
      <c r="CW18" s="201"/>
      <c r="CX18" s="201"/>
      <c r="CY18" s="201"/>
      <c r="CZ18" s="201"/>
      <c r="DA18" s="201"/>
      <c r="DB18" s="201"/>
      <c r="DC18" s="201"/>
      <c r="DD18" s="201"/>
      <c r="DE18" s="201"/>
      <c r="DF18" s="201"/>
      <c r="DG18" s="201"/>
      <c r="DH18" s="201"/>
      <c r="DI18" s="201"/>
      <c r="DJ18" s="201"/>
      <c r="DK18" s="201"/>
      <c r="DL18" s="201"/>
      <c r="DM18" s="201"/>
      <c r="DN18" s="201"/>
      <c r="DO18" s="201"/>
      <c r="DP18" s="201"/>
      <c r="DQ18" s="201"/>
      <c r="DR18" s="201"/>
      <c r="DS18" s="201"/>
      <c r="DT18" s="201"/>
      <c r="DU18" s="201"/>
      <c r="DV18" s="201"/>
      <c r="DW18" s="201"/>
      <c r="DX18" s="201"/>
      <c r="DY18" s="201"/>
      <c r="DZ18" s="201"/>
      <c r="EA18" s="201"/>
      <c r="EB18" s="201"/>
      <c r="EC18" s="201"/>
      <c r="ED18" s="201"/>
      <c r="EE18" s="201"/>
      <c r="EF18" s="201"/>
      <c r="EG18" s="201"/>
      <c r="EH18" s="201"/>
      <c r="EI18" s="201"/>
      <c r="EJ18" s="201"/>
      <c r="EK18" s="201"/>
      <c r="EL18" s="201"/>
      <c r="EM18" s="201"/>
      <c r="EN18" s="201"/>
      <c r="EO18" s="201"/>
      <c r="EP18" s="201"/>
      <c r="EQ18" s="201"/>
      <c r="ER18" s="201"/>
      <c r="ES18" s="201"/>
      <c r="ET18" s="201"/>
      <c r="EU18" s="201"/>
      <c r="EV18" s="201"/>
      <c r="EW18" s="201"/>
      <c r="EX18" s="201"/>
      <c r="EY18" s="201"/>
      <c r="EZ18" s="201"/>
      <c r="FA18" s="201"/>
      <c r="FB18" s="201"/>
      <c r="FC18" s="201"/>
      <c r="FD18" s="201"/>
      <c r="FE18" s="201"/>
      <c r="FF18" s="201"/>
      <c r="FG18" s="201"/>
      <c r="FH18" s="201"/>
      <c r="FI18" s="201"/>
    </row>
    <row r="19" spans="1:165" s="228" customFormat="1" ht="18" customHeight="1" x14ac:dyDescent="0.25">
      <c r="A19" s="576">
        <f t="shared" si="2"/>
        <v>10</v>
      </c>
      <c r="B19" s="588">
        <v>0</v>
      </c>
      <c r="C19" s="590" t="s">
        <v>1044</v>
      </c>
      <c r="D19" s="591" t="s">
        <v>41</v>
      </c>
      <c r="E19" s="595" t="s">
        <v>63</v>
      </c>
      <c r="F19" s="590" t="s">
        <v>1044</v>
      </c>
      <c r="G19" s="591" t="s">
        <v>651</v>
      </c>
      <c r="H19" s="591" t="s">
        <v>786</v>
      </c>
      <c r="I19" s="593">
        <v>1</v>
      </c>
      <c r="J19" s="556" t="s">
        <v>64</v>
      </c>
      <c r="K19" s="594">
        <v>13</v>
      </c>
      <c r="L19" s="306" t="s">
        <v>122</v>
      </c>
      <c r="M19" s="307"/>
      <c r="N19" s="307"/>
      <c r="O19" s="307"/>
      <c r="P19" s="307"/>
      <c r="Q19" s="79"/>
      <c r="R19" s="79"/>
      <c r="S19" s="585"/>
      <c r="T19" s="585" t="s">
        <v>120</v>
      </c>
      <c r="U19" s="585"/>
      <c r="V19" s="585"/>
      <c r="W19" s="585" t="s">
        <v>120</v>
      </c>
      <c r="X19" s="586" t="s">
        <v>120</v>
      </c>
      <c r="Y19" s="585"/>
      <c r="Z19" s="585"/>
      <c r="AA19" s="585"/>
      <c r="AB19" s="585"/>
      <c r="AC19" s="585"/>
      <c r="AD19" s="585"/>
      <c r="AE19" s="585" t="s">
        <v>120</v>
      </c>
      <c r="AF19" s="585" t="s">
        <v>120</v>
      </c>
      <c r="AG19" s="585" t="s">
        <v>120</v>
      </c>
      <c r="AH19" s="585" t="s">
        <v>120</v>
      </c>
      <c r="AI19" s="585"/>
      <c r="AJ19" s="79"/>
      <c r="AK19" s="79"/>
      <c r="AL19" s="585"/>
      <c r="AM19" s="585"/>
      <c r="AN19" s="585"/>
      <c r="AO19" s="585" t="s">
        <v>121</v>
      </c>
      <c r="AP19" s="585"/>
      <c r="AQ19" s="585" t="s">
        <v>121</v>
      </c>
      <c r="AR19" s="585"/>
      <c r="AS19" s="79"/>
      <c r="AT19" s="79"/>
      <c r="AU19" s="585"/>
      <c r="AV19" s="585"/>
      <c r="AW19" s="585"/>
      <c r="AX19" s="585" t="s">
        <v>120</v>
      </c>
      <c r="AY19" s="585"/>
      <c r="AZ19" s="585"/>
      <c r="BA19" s="585"/>
      <c r="BB19" s="585" t="s">
        <v>121</v>
      </c>
      <c r="BC19" s="585"/>
      <c r="BD19" s="585" t="s">
        <v>121</v>
      </c>
      <c r="BE19" s="79"/>
      <c r="BF19" s="79"/>
      <c r="BG19" s="585"/>
      <c r="BH19" s="585"/>
      <c r="BI19" s="585"/>
      <c r="BJ19" s="585" t="s">
        <v>120</v>
      </c>
      <c r="BK19" s="585"/>
      <c r="BL19" s="585"/>
      <c r="BM19" s="585"/>
      <c r="BN19" s="585" t="s">
        <v>121</v>
      </c>
      <c r="BO19" s="585"/>
      <c r="BP19" s="585" t="s">
        <v>121</v>
      </c>
      <c r="BQ19" s="79"/>
      <c r="BR19" s="79"/>
      <c r="BS19" s="585" t="s">
        <v>120</v>
      </c>
      <c r="BT19" s="79"/>
      <c r="BU19" s="79"/>
      <c r="BV19" s="585"/>
      <c r="BW19" s="585"/>
      <c r="BX19" s="585"/>
      <c r="BY19" s="585"/>
      <c r="BZ19" s="79"/>
      <c r="CA19" s="79"/>
      <c r="CB19" s="585" t="s">
        <v>122</v>
      </c>
      <c r="CC19" s="585"/>
      <c r="CD19" s="585"/>
      <c r="CE19" s="79"/>
      <c r="CF19" s="79"/>
      <c r="CG19" s="585"/>
      <c r="CH19" s="585" t="s">
        <v>40</v>
      </c>
      <c r="CI19" s="585" t="s">
        <v>40</v>
      </c>
      <c r="CJ19" s="201"/>
      <c r="CK19" s="202"/>
      <c r="CL19" s="202"/>
      <c r="CM19" s="202"/>
      <c r="CN19" s="202"/>
      <c r="CO19" s="202"/>
      <c r="CP19" s="202"/>
      <c r="CQ19" s="202"/>
      <c r="CR19" s="202"/>
      <c r="CS19" s="202"/>
      <c r="CT19" s="202"/>
      <c r="CU19" s="202"/>
      <c r="CV19" s="202"/>
      <c r="CW19" s="202"/>
      <c r="CX19" s="202"/>
      <c r="CY19" s="202"/>
      <c r="CZ19" s="202"/>
      <c r="DA19" s="202"/>
      <c r="DB19" s="202"/>
      <c r="DC19" s="202"/>
      <c r="DD19" s="202"/>
      <c r="DE19" s="202"/>
      <c r="DF19" s="202"/>
      <c r="DG19" s="202"/>
      <c r="DH19" s="202"/>
      <c r="DI19" s="202"/>
      <c r="DJ19" s="202"/>
      <c r="DK19" s="202"/>
      <c r="DL19" s="202"/>
      <c r="DM19" s="202"/>
      <c r="DN19" s="202"/>
      <c r="DO19" s="202"/>
      <c r="DP19" s="202"/>
      <c r="DQ19" s="202"/>
      <c r="DR19" s="202"/>
      <c r="DS19" s="202"/>
      <c r="DT19" s="202"/>
      <c r="DU19" s="202"/>
      <c r="DV19" s="202"/>
      <c r="DW19" s="202"/>
      <c r="DX19" s="202"/>
      <c r="DY19" s="202"/>
      <c r="DZ19" s="202"/>
      <c r="EA19" s="202"/>
      <c r="EB19" s="202"/>
      <c r="EC19" s="202"/>
      <c r="ED19" s="202"/>
      <c r="EE19" s="202"/>
      <c r="EF19" s="202"/>
      <c r="EG19" s="202"/>
      <c r="EH19" s="202"/>
      <c r="EI19" s="202"/>
      <c r="EJ19" s="202"/>
      <c r="EK19" s="202"/>
      <c r="EL19" s="202"/>
      <c r="EM19" s="202"/>
      <c r="EN19" s="202"/>
      <c r="EO19" s="202"/>
      <c r="EP19" s="202"/>
      <c r="EQ19" s="202"/>
      <c r="ER19" s="202"/>
      <c r="ES19" s="202"/>
      <c r="ET19" s="202"/>
      <c r="EU19" s="202"/>
      <c r="EV19" s="202"/>
      <c r="EW19" s="202"/>
      <c r="EX19" s="202"/>
      <c r="EY19" s="202"/>
      <c r="EZ19" s="202"/>
      <c r="FA19" s="202"/>
      <c r="FB19" s="202"/>
      <c r="FC19" s="202"/>
      <c r="FD19" s="202"/>
      <c r="FE19" s="202"/>
      <c r="FF19" s="202"/>
      <c r="FG19" s="202"/>
      <c r="FH19" s="202"/>
      <c r="FI19" s="202"/>
    </row>
    <row r="20" spans="1:165" s="228" customFormat="1" ht="18" customHeight="1" x14ac:dyDescent="0.2">
      <c r="A20" s="289">
        <f t="shared" si="2"/>
        <v>11</v>
      </c>
      <c r="B20" s="94"/>
      <c r="C20" s="72"/>
      <c r="D20" s="72"/>
      <c r="E20" s="72"/>
      <c r="F20" s="72"/>
      <c r="G20" s="72"/>
      <c r="H20" s="72"/>
      <c r="I20" s="259"/>
      <c r="J20" s="130"/>
      <c r="K20" s="260"/>
      <c r="L20" s="261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6"/>
      <c r="AX20" s="79"/>
      <c r="AY20" s="79"/>
      <c r="AZ20" s="79"/>
      <c r="BA20" s="79"/>
      <c r="BB20" s="79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79"/>
      <c r="CF20" s="79"/>
      <c r="CG20" s="79"/>
      <c r="CH20" s="79"/>
      <c r="CI20" s="79"/>
      <c r="CJ20" s="201"/>
      <c r="CK20" s="202"/>
      <c r="CL20" s="202"/>
      <c r="CM20" s="202"/>
      <c r="CN20" s="202"/>
      <c r="CO20" s="202"/>
      <c r="CP20" s="202"/>
      <c r="CQ20" s="202"/>
      <c r="CR20" s="202"/>
      <c r="CS20" s="202"/>
      <c r="CT20" s="202"/>
      <c r="CU20" s="202"/>
      <c r="CV20" s="202"/>
      <c r="CW20" s="202"/>
      <c r="CX20" s="202"/>
      <c r="CY20" s="202"/>
      <c r="CZ20" s="202"/>
      <c r="DA20" s="202"/>
      <c r="DB20" s="202"/>
      <c r="DC20" s="202"/>
      <c r="DD20" s="202"/>
      <c r="DE20" s="202"/>
      <c r="DF20" s="202"/>
      <c r="DG20" s="202"/>
      <c r="DH20" s="202"/>
      <c r="DI20" s="202"/>
      <c r="DJ20" s="202"/>
      <c r="DK20" s="202"/>
      <c r="DL20" s="202"/>
      <c r="DM20" s="202"/>
      <c r="DN20" s="202"/>
      <c r="DO20" s="202"/>
      <c r="DP20" s="202"/>
      <c r="DQ20" s="202"/>
      <c r="DR20" s="202"/>
      <c r="DS20" s="202"/>
      <c r="DT20" s="202"/>
      <c r="DU20" s="202"/>
      <c r="DV20" s="202"/>
      <c r="DW20" s="202"/>
      <c r="DX20" s="202"/>
      <c r="DY20" s="202"/>
      <c r="DZ20" s="202"/>
      <c r="EA20" s="202"/>
      <c r="EB20" s="202"/>
      <c r="EC20" s="202"/>
      <c r="ED20" s="202"/>
      <c r="EE20" s="202"/>
      <c r="EF20" s="202"/>
      <c r="EG20" s="202"/>
      <c r="EH20" s="202"/>
      <c r="EI20" s="202"/>
      <c r="EJ20" s="202"/>
      <c r="EK20" s="202"/>
      <c r="EL20" s="202"/>
      <c r="EM20" s="202"/>
      <c r="EN20" s="202"/>
      <c r="EO20" s="202"/>
      <c r="EP20" s="202"/>
      <c r="EQ20" s="202"/>
      <c r="ER20" s="202"/>
      <c r="ES20" s="202"/>
      <c r="ET20" s="202"/>
      <c r="EU20" s="202"/>
      <c r="EV20" s="202"/>
      <c r="EW20" s="202"/>
      <c r="EX20" s="202"/>
      <c r="EY20" s="202"/>
      <c r="EZ20" s="202"/>
      <c r="FA20" s="202"/>
      <c r="FB20" s="202"/>
      <c r="FC20" s="202"/>
      <c r="FD20" s="202"/>
      <c r="FE20" s="202"/>
      <c r="FF20" s="202"/>
      <c r="FG20" s="202"/>
      <c r="FH20" s="202"/>
      <c r="FI20" s="202"/>
    </row>
    <row r="21" spans="1:165" s="228" customFormat="1" ht="18" customHeight="1" x14ac:dyDescent="0.25">
      <c r="A21" s="576">
        <f t="shared" si="2"/>
        <v>12</v>
      </c>
      <c r="B21" s="596">
        <v>0</v>
      </c>
      <c r="C21" s="556" t="s">
        <v>135</v>
      </c>
      <c r="D21" s="556" t="s">
        <v>254</v>
      </c>
      <c r="E21" s="589" t="s">
        <v>255</v>
      </c>
      <c r="F21" s="590" t="s">
        <v>1044</v>
      </c>
      <c r="G21" s="591" t="s">
        <v>256</v>
      </c>
      <c r="H21" s="591" t="s">
        <v>787</v>
      </c>
      <c r="I21" s="593">
        <v>1</v>
      </c>
      <c r="J21" s="556" t="s">
        <v>64</v>
      </c>
      <c r="K21" s="594">
        <v>13</v>
      </c>
      <c r="L21" s="306" t="s">
        <v>122</v>
      </c>
      <c r="M21" s="307"/>
      <c r="N21" s="307"/>
      <c r="O21" s="307"/>
      <c r="P21" s="307"/>
      <c r="Q21" s="79"/>
      <c r="R21" s="79"/>
      <c r="S21" s="585"/>
      <c r="T21" s="585" t="s">
        <v>120</v>
      </c>
      <c r="U21" s="585"/>
      <c r="V21" s="585"/>
      <c r="W21" s="585" t="s">
        <v>120</v>
      </c>
      <c r="X21" s="586" t="s">
        <v>120</v>
      </c>
      <c r="Y21" s="585"/>
      <c r="Z21" s="585"/>
      <c r="AA21" s="585"/>
      <c r="AB21" s="585"/>
      <c r="AC21" s="585"/>
      <c r="AD21" s="585"/>
      <c r="AE21" s="585" t="s">
        <v>120</v>
      </c>
      <c r="AF21" s="585" t="s">
        <v>120</v>
      </c>
      <c r="AG21" s="585" t="s">
        <v>120</v>
      </c>
      <c r="AH21" s="585" t="s">
        <v>120</v>
      </c>
      <c r="AI21" s="585"/>
      <c r="AJ21" s="79"/>
      <c r="AK21" s="79"/>
      <c r="AL21" s="585"/>
      <c r="AM21" s="585"/>
      <c r="AN21" s="585"/>
      <c r="AO21" s="585" t="s">
        <v>121</v>
      </c>
      <c r="AP21" s="585"/>
      <c r="AQ21" s="585" t="s">
        <v>121</v>
      </c>
      <c r="AR21" s="585"/>
      <c r="AS21" s="79"/>
      <c r="AT21" s="79"/>
      <c r="AU21" s="585"/>
      <c r="AV21" s="585"/>
      <c r="AW21" s="585"/>
      <c r="AX21" s="585" t="s">
        <v>120</v>
      </c>
      <c r="AY21" s="585"/>
      <c r="AZ21" s="585"/>
      <c r="BA21" s="585"/>
      <c r="BB21" s="585" t="s">
        <v>121</v>
      </c>
      <c r="BC21" s="585"/>
      <c r="BD21" s="585" t="s">
        <v>121</v>
      </c>
      <c r="BE21" s="79"/>
      <c r="BF21" s="79"/>
      <c r="BG21" s="585"/>
      <c r="BH21" s="585"/>
      <c r="BI21" s="585"/>
      <c r="BJ21" s="585" t="s">
        <v>120</v>
      </c>
      <c r="BK21" s="585"/>
      <c r="BL21" s="585"/>
      <c r="BM21" s="585"/>
      <c r="BN21" s="585" t="s">
        <v>121</v>
      </c>
      <c r="BO21" s="585"/>
      <c r="BP21" s="585" t="s">
        <v>121</v>
      </c>
      <c r="BQ21" s="79"/>
      <c r="BR21" s="79"/>
      <c r="BS21" s="585" t="s">
        <v>120</v>
      </c>
      <c r="BT21" s="79"/>
      <c r="BU21" s="79"/>
      <c r="BV21" s="585"/>
      <c r="BW21" s="585"/>
      <c r="BX21" s="585"/>
      <c r="BY21" s="585"/>
      <c r="BZ21" s="79"/>
      <c r="CA21" s="79"/>
      <c r="CB21" s="585" t="s">
        <v>122</v>
      </c>
      <c r="CC21" s="585"/>
      <c r="CD21" s="585"/>
      <c r="CE21" s="79"/>
      <c r="CF21" s="79"/>
      <c r="CG21" s="585"/>
      <c r="CH21" s="585" t="s">
        <v>40</v>
      </c>
      <c r="CI21" s="585" t="s">
        <v>40</v>
      </c>
      <c r="CJ21" s="201"/>
      <c r="CK21" s="202"/>
      <c r="CL21" s="202"/>
      <c r="CM21" s="202"/>
      <c r="CN21" s="202"/>
      <c r="CO21" s="202"/>
      <c r="CP21" s="202"/>
      <c r="CQ21" s="202"/>
      <c r="CR21" s="202"/>
      <c r="CS21" s="202"/>
      <c r="CT21" s="202"/>
      <c r="CU21" s="202"/>
      <c r="CV21" s="202"/>
      <c r="CW21" s="202"/>
      <c r="CX21" s="202"/>
      <c r="CY21" s="202"/>
      <c r="CZ21" s="202"/>
      <c r="DA21" s="202"/>
      <c r="DB21" s="202"/>
      <c r="DC21" s="202"/>
      <c r="DD21" s="202"/>
      <c r="DE21" s="202"/>
      <c r="DF21" s="202"/>
      <c r="DG21" s="202"/>
      <c r="DH21" s="202"/>
      <c r="DI21" s="202"/>
      <c r="DJ21" s="202"/>
      <c r="DK21" s="202"/>
      <c r="DL21" s="202"/>
      <c r="DM21" s="202"/>
      <c r="DN21" s="202"/>
      <c r="DO21" s="202"/>
      <c r="DP21" s="202"/>
      <c r="DQ21" s="202"/>
      <c r="DR21" s="202"/>
      <c r="DS21" s="202"/>
      <c r="DT21" s="202"/>
      <c r="DU21" s="202"/>
      <c r="DV21" s="202"/>
      <c r="DW21" s="202"/>
      <c r="DX21" s="202"/>
      <c r="DY21" s="202"/>
      <c r="DZ21" s="202"/>
      <c r="EA21" s="202"/>
      <c r="EB21" s="202"/>
      <c r="EC21" s="202"/>
      <c r="ED21" s="202"/>
      <c r="EE21" s="202"/>
      <c r="EF21" s="202"/>
      <c r="EG21" s="202"/>
      <c r="EH21" s="202"/>
      <c r="EI21" s="202"/>
      <c r="EJ21" s="202"/>
      <c r="EK21" s="202"/>
      <c r="EL21" s="202"/>
      <c r="EM21" s="202"/>
      <c r="EN21" s="202"/>
      <c r="EO21" s="202"/>
      <c r="EP21" s="202"/>
      <c r="EQ21" s="202"/>
      <c r="ER21" s="202"/>
      <c r="ES21" s="202"/>
      <c r="ET21" s="202"/>
      <c r="EU21" s="202"/>
      <c r="EV21" s="202"/>
      <c r="EW21" s="202"/>
      <c r="EX21" s="202"/>
      <c r="EY21" s="202"/>
      <c r="EZ21" s="202"/>
      <c r="FA21" s="202"/>
      <c r="FB21" s="202"/>
      <c r="FC21" s="202"/>
      <c r="FD21" s="202"/>
      <c r="FE21" s="202"/>
      <c r="FF21" s="202"/>
      <c r="FG21" s="202"/>
      <c r="FH21" s="202"/>
      <c r="FI21" s="202"/>
    </row>
    <row r="22" spans="1:165" s="228" customFormat="1" ht="18" customHeight="1" x14ac:dyDescent="0.2">
      <c r="A22" s="289">
        <f t="shared" si="2"/>
        <v>13</v>
      </c>
      <c r="B22" s="78"/>
      <c r="C22" s="72"/>
      <c r="D22" s="72"/>
      <c r="E22" s="80"/>
      <c r="F22" s="72"/>
      <c r="G22" s="72"/>
      <c r="H22" s="72"/>
      <c r="I22" s="142"/>
      <c r="J22" s="76"/>
      <c r="K22" s="141"/>
      <c r="L22" s="261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W22" s="79"/>
      <c r="AX22" s="79"/>
      <c r="AY22" s="79"/>
      <c r="AZ22" s="79"/>
      <c r="BA22" s="79"/>
      <c r="BB22" s="79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79"/>
      <c r="CF22" s="79"/>
      <c r="CG22" s="79"/>
      <c r="CH22" s="79"/>
      <c r="CI22" s="79"/>
      <c r="CJ22" s="201"/>
      <c r="CK22" s="202"/>
      <c r="CL22" s="202"/>
      <c r="CM22" s="202"/>
      <c r="CN22" s="202"/>
      <c r="CO22" s="202"/>
      <c r="CP22" s="202"/>
      <c r="CQ22" s="202"/>
      <c r="CR22" s="202"/>
      <c r="CS22" s="202"/>
      <c r="CT22" s="202"/>
      <c r="CU22" s="202"/>
      <c r="CV22" s="202"/>
      <c r="CW22" s="202"/>
      <c r="CX22" s="202"/>
      <c r="CY22" s="202"/>
      <c r="CZ22" s="202"/>
      <c r="DA22" s="202"/>
      <c r="DB22" s="202"/>
      <c r="DC22" s="202"/>
      <c r="DD22" s="202"/>
      <c r="DE22" s="202"/>
      <c r="DF22" s="202"/>
      <c r="DG22" s="202"/>
      <c r="DH22" s="202"/>
      <c r="DI22" s="202"/>
      <c r="DJ22" s="202"/>
      <c r="DK22" s="202"/>
      <c r="DL22" s="202"/>
      <c r="DM22" s="202"/>
      <c r="DN22" s="202"/>
      <c r="DO22" s="202"/>
      <c r="DP22" s="202"/>
      <c r="DQ22" s="202"/>
      <c r="DR22" s="202"/>
      <c r="DS22" s="202"/>
      <c r="DT22" s="202"/>
      <c r="DU22" s="202"/>
      <c r="DV22" s="202"/>
      <c r="DW22" s="202"/>
      <c r="DX22" s="202"/>
      <c r="DY22" s="202"/>
      <c r="DZ22" s="202"/>
      <c r="EA22" s="202"/>
      <c r="EB22" s="202"/>
      <c r="EC22" s="202"/>
      <c r="ED22" s="202"/>
      <c r="EE22" s="202"/>
      <c r="EF22" s="202"/>
      <c r="EG22" s="202"/>
      <c r="EH22" s="202"/>
      <c r="EI22" s="202"/>
      <c r="EJ22" s="202"/>
      <c r="EK22" s="202"/>
      <c r="EL22" s="202"/>
      <c r="EM22" s="202"/>
      <c r="EN22" s="202"/>
      <c r="EO22" s="202"/>
      <c r="EP22" s="202"/>
      <c r="EQ22" s="202"/>
      <c r="ER22" s="202"/>
      <c r="ES22" s="202"/>
      <c r="ET22" s="202"/>
      <c r="EU22" s="202"/>
      <c r="EV22" s="202"/>
      <c r="EW22" s="202"/>
      <c r="EX22" s="202"/>
      <c r="EY22" s="202"/>
      <c r="EZ22" s="202"/>
      <c r="FA22" s="202"/>
      <c r="FB22" s="202"/>
      <c r="FC22" s="202"/>
      <c r="FD22" s="202"/>
      <c r="FE22" s="202"/>
      <c r="FF22" s="202"/>
      <c r="FG22" s="202"/>
      <c r="FH22" s="202"/>
      <c r="FI22" s="202"/>
    </row>
    <row r="23" spans="1:165" s="228" customFormat="1" ht="18" customHeight="1" x14ac:dyDescent="0.25">
      <c r="A23" s="576">
        <f t="shared" si="2"/>
        <v>14</v>
      </c>
      <c r="B23" s="588">
        <v>0</v>
      </c>
      <c r="C23" s="591">
        <v>5</v>
      </c>
      <c r="D23" s="556" t="s">
        <v>257</v>
      </c>
      <c r="E23" s="595" t="s">
        <v>258</v>
      </c>
      <c r="F23" s="590" t="s">
        <v>1044</v>
      </c>
      <c r="G23" s="591" t="s">
        <v>259</v>
      </c>
      <c r="H23" s="591" t="s">
        <v>788</v>
      </c>
      <c r="I23" s="593">
        <v>1</v>
      </c>
      <c r="J23" s="556" t="s">
        <v>64</v>
      </c>
      <c r="K23" s="594">
        <v>13</v>
      </c>
      <c r="L23" s="306" t="s">
        <v>122</v>
      </c>
      <c r="M23" s="307"/>
      <c r="N23" s="307"/>
      <c r="O23" s="307"/>
      <c r="P23" s="307"/>
      <c r="Q23" s="79"/>
      <c r="R23" s="79"/>
      <c r="S23" s="585"/>
      <c r="T23" s="585" t="s">
        <v>120</v>
      </c>
      <c r="U23" s="585"/>
      <c r="V23" s="585"/>
      <c r="W23" s="585" t="s">
        <v>120</v>
      </c>
      <c r="X23" s="586" t="s">
        <v>120</v>
      </c>
      <c r="Y23" s="585"/>
      <c r="Z23" s="585"/>
      <c r="AA23" s="585"/>
      <c r="AB23" s="585"/>
      <c r="AC23" s="585"/>
      <c r="AD23" s="585"/>
      <c r="AE23" s="585" t="s">
        <v>120</v>
      </c>
      <c r="AF23" s="585" t="s">
        <v>120</v>
      </c>
      <c r="AG23" s="585" t="s">
        <v>120</v>
      </c>
      <c r="AH23" s="585" t="s">
        <v>120</v>
      </c>
      <c r="AI23" s="585"/>
      <c r="AJ23" s="79"/>
      <c r="AK23" s="79"/>
      <c r="AL23" s="585"/>
      <c r="AM23" s="585"/>
      <c r="AN23" s="585"/>
      <c r="AO23" s="585" t="s">
        <v>121</v>
      </c>
      <c r="AP23" s="585"/>
      <c r="AQ23" s="585" t="s">
        <v>121</v>
      </c>
      <c r="AR23" s="585"/>
      <c r="AS23" s="79"/>
      <c r="AT23" s="79"/>
      <c r="AU23" s="585"/>
      <c r="AV23" s="585"/>
      <c r="AW23" s="585"/>
      <c r="AX23" s="585" t="s">
        <v>120</v>
      </c>
      <c r="AY23" s="585"/>
      <c r="AZ23" s="585"/>
      <c r="BA23" s="585"/>
      <c r="BB23" s="585" t="s">
        <v>121</v>
      </c>
      <c r="BC23" s="585"/>
      <c r="BD23" s="585" t="s">
        <v>121</v>
      </c>
      <c r="BE23" s="79"/>
      <c r="BF23" s="79"/>
      <c r="BG23" s="585"/>
      <c r="BH23" s="585"/>
      <c r="BI23" s="585"/>
      <c r="BJ23" s="585" t="s">
        <v>120</v>
      </c>
      <c r="BK23" s="585"/>
      <c r="BL23" s="585"/>
      <c r="BM23" s="585"/>
      <c r="BN23" s="585" t="s">
        <v>121</v>
      </c>
      <c r="BO23" s="585"/>
      <c r="BP23" s="585" t="s">
        <v>121</v>
      </c>
      <c r="BQ23" s="79"/>
      <c r="BR23" s="79"/>
      <c r="BS23" s="585" t="s">
        <v>120</v>
      </c>
      <c r="BT23" s="79"/>
      <c r="BU23" s="79"/>
      <c r="BV23" s="585"/>
      <c r="BW23" s="585"/>
      <c r="BX23" s="585"/>
      <c r="BY23" s="585"/>
      <c r="BZ23" s="79"/>
      <c r="CA23" s="79"/>
      <c r="CB23" s="585" t="s">
        <v>122</v>
      </c>
      <c r="CC23" s="585"/>
      <c r="CD23" s="585"/>
      <c r="CE23" s="79"/>
      <c r="CF23" s="79"/>
      <c r="CG23" s="585"/>
      <c r="CH23" s="585" t="s">
        <v>40</v>
      </c>
      <c r="CI23" s="585" t="s">
        <v>40</v>
      </c>
      <c r="CJ23" s="201"/>
      <c r="CK23" s="202"/>
      <c r="CL23" s="202"/>
      <c r="CM23" s="202"/>
      <c r="CN23" s="202"/>
      <c r="CO23" s="202"/>
      <c r="CP23" s="202"/>
      <c r="CQ23" s="202"/>
      <c r="CR23" s="202"/>
      <c r="CS23" s="202"/>
      <c r="CT23" s="202"/>
      <c r="CU23" s="202"/>
      <c r="CV23" s="202"/>
      <c r="CW23" s="202"/>
      <c r="CX23" s="202"/>
      <c r="CY23" s="202"/>
      <c r="CZ23" s="202"/>
      <c r="DA23" s="202"/>
      <c r="DB23" s="202"/>
      <c r="DC23" s="202"/>
      <c r="DD23" s="202"/>
      <c r="DE23" s="202"/>
      <c r="DF23" s="202"/>
      <c r="DG23" s="202"/>
      <c r="DH23" s="202"/>
      <c r="DI23" s="202"/>
      <c r="DJ23" s="202"/>
      <c r="DK23" s="202"/>
      <c r="DL23" s="202"/>
      <c r="DM23" s="202"/>
      <c r="DN23" s="202"/>
      <c r="DO23" s="202"/>
      <c r="DP23" s="202"/>
      <c r="DQ23" s="202"/>
      <c r="DR23" s="202"/>
      <c r="DS23" s="202"/>
      <c r="DT23" s="202"/>
      <c r="DU23" s="202"/>
      <c r="DV23" s="202"/>
      <c r="DW23" s="202"/>
      <c r="DX23" s="202"/>
      <c r="DY23" s="202"/>
      <c r="DZ23" s="202"/>
      <c r="EA23" s="202"/>
      <c r="EB23" s="202"/>
      <c r="EC23" s="202"/>
      <c r="ED23" s="202"/>
      <c r="EE23" s="202"/>
      <c r="EF23" s="202"/>
      <c r="EG23" s="202"/>
      <c r="EH23" s="202"/>
      <c r="EI23" s="202"/>
      <c r="EJ23" s="202"/>
      <c r="EK23" s="202"/>
      <c r="EL23" s="202"/>
      <c r="EM23" s="202"/>
      <c r="EN23" s="202"/>
      <c r="EO23" s="202"/>
      <c r="EP23" s="202"/>
      <c r="EQ23" s="202"/>
      <c r="ER23" s="202"/>
      <c r="ES23" s="202"/>
      <c r="ET23" s="202"/>
      <c r="EU23" s="202"/>
      <c r="EV23" s="202"/>
      <c r="EW23" s="202"/>
      <c r="EX23" s="202"/>
      <c r="EY23" s="202"/>
      <c r="EZ23" s="202"/>
      <c r="FA23" s="202"/>
      <c r="FB23" s="202"/>
      <c r="FC23" s="202"/>
      <c r="FD23" s="202"/>
      <c r="FE23" s="202"/>
      <c r="FF23" s="202"/>
      <c r="FG23" s="202"/>
      <c r="FH23" s="202"/>
      <c r="FI23" s="202"/>
    </row>
    <row r="24" spans="1:165" s="228" customFormat="1" ht="18" customHeight="1" x14ac:dyDescent="0.25">
      <c r="A24" s="576">
        <f t="shared" si="2"/>
        <v>15</v>
      </c>
      <c r="B24" s="588">
        <v>0</v>
      </c>
      <c r="C24" s="591">
        <v>5</v>
      </c>
      <c r="D24" s="556" t="s">
        <v>652</v>
      </c>
      <c r="E24" s="595" t="s">
        <v>260</v>
      </c>
      <c r="F24" s="590" t="s">
        <v>1044</v>
      </c>
      <c r="G24" s="591" t="s">
        <v>653</v>
      </c>
      <c r="H24" s="591" t="s">
        <v>789</v>
      </c>
      <c r="I24" s="593">
        <v>1</v>
      </c>
      <c r="J24" s="556" t="s">
        <v>64</v>
      </c>
      <c r="K24" s="594">
        <v>13</v>
      </c>
      <c r="L24" s="306" t="s">
        <v>122</v>
      </c>
      <c r="M24" s="307"/>
      <c r="N24" s="307"/>
      <c r="O24" s="307"/>
      <c r="P24" s="307"/>
      <c r="Q24" s="79"/>
      <c r="R24" s="79"/>
      <c r="S24" s="585"/>
      <c r="T24" s="585" t="s">
        <v>120</v>
      </c>
      <c r="U24" s="585"/>
      <c r="V24" s="585"/>
      <c r="W24" s="585" t="s">
        <v>120</v>
      </c>
      <c r="X24" s="586" t="s">
        <v>120</v>
      </c>
      <c r="Y24" s="585"/>
      <c r="Z24" s="585"/>
      <c r="AA24" s="585"/>
      <c r="AB24" s="585"/>
      <c r="AC24" s="585"/>
      <c r="AD24" s="585"/>
      <c r="AE24" s="585" t="s">
        <v>120</v>
      </c>
      <c r="AF24" s="585" t="s">
        <v>120</v>
      </c>
      <c r="AG24" s="585" t="s">
        <v>120</v>
      </c>
      <c r="AH24" s="585" t="s">
        <v>120</v>
      </c>
      <c r="AI24" s="585"/>
      <c r="AJ24" s="79"/>
      <c r="AK24" s="79"/>
      <c r="AL24" s="585"/>
      <c r="AM24" s="585"/>
      <c r="AN24" s="585"/>
      <c r="AO24" s="585" t="s">
        <v>121</v>
      </c>
      <c r="AP24" s="585"/>
      <c r="AQ24" s="585" t="s">
        <v>121</v>
      </c>
      <c r="AR24" s="585"/>
      <c r="AS24" s="79"/>
      <c r="AT24" s="79"/>
      <c r="AU24" s="585"/>
      <c r="AV24" s="585"/>
      <c r="AW24" s="585"/>
      <c r="AX24" s="585" t="s">
        <v>120</v>
      </c>
      <c r="AY24" s="585"/>
      <c r="AZ24" s="585"/>
      <c r="BA24" s="585"/>
      <c r="BB24" s="585" t="s">
        <v>121</v>
      </c>
      <c r="BC24" s="585"/>
      <c r="BD24" s="585" t="s">
        <v>121</v>
      </c>
      <c r="BE24" s="79"/>
      <c r="BF24" s="79"/>
      <c r="BG24" s="585"/>
      <c r="BH24" s="585"/>
      <c r="BI24" s="585"/>
      <c r="BJ24" s="585" t="s">
        <v>120</v>
      </c>
      <c r="BK24" s="585"/>
      <c r="BL24" s="585"/>
      <c r="BM24" s="585"/>
      <c r="BN24" s="585" t="s">
        <v>121</v>
      </c>
      <c r="BO24" s="585"/>
      <c r="BP24" s="585" t="s">
        <v>121</v>
      </c>
      <c r="BQ24" s="79"/>
      <c r="BR24" s="79"/>
      <c r="BS24" s="585" t="s">
        <v>120</v>
      </c>
      <c r="BT24" s="79"/>
      <c r="BU24" s="79"/>
      <c r="BV24" s="585"/>
      <c r="BW24" s="585"/>
      <c r="BX24" s="585"/>
      <c r="BY24" s="585"/>
      <c r="BZ24" s="79"/>
      <c r="CA24" s="79"/>
      <c r="CB24" s="585" t="s">
        <v>122</v>
      </c>
      <c r="CC24" s="585"/>
      <c r="CD24" s="585"/>
      <c r="CE24" s="79"/>
      <c r="CF24" s="79"/>
      <c r="CG24" s="585"/>
      <c r="CH24" s="585" t="s">
        <v>40</v>
      </c>
      <c r="CI24" s="585" t="s">
        <v>40</v>
      </c>
      <c r="CJ24" s="201"/>
      <c r="CK24" s="202"/>
      <c r="CL24" s="202"/>
      <c r="CM24" s="202"/>
      <c r="CN24" s="202"/>
      <c r="CO24" s="202"/>
      <c r="CP24" s="202"/>
      <c r="CQ24" s="202"/>
      <c r="CR24" s="202"/>
      <c r="CS24" s="202"/>
      <c r="CT24" s="202"/>
      <c r="CU24" s="202"/>
      <c r="CV24" s="202"/>
      <c r="CW24" s="202"/>
      <c r="CX24" s="202"/>
      <c r="CY24" s="202"/>
      <c r="CZ24" s="202"/>
      <c r="DA24" s="202"/>
      <c r="DB24" s="202"/>
      <c r="DC24" s="202"/>
      <c r="DD24" s="202"/>
      <c r="DE24" s="202"/>
      <c r="DF24" s="202"/>
      <c r="DG24" s="202"/>
      <c r="DH24" s="202"/>
      <c r="DI24" s="202"/>
      <c r="DJ24" s="202"/>
      <c r="DK24" s="202"/>
      <c r="DL24" s="202"/>
      <c r="DM24" s="202"/>
      <c r="DN24" s="202"/>
      <c r="DO24" s="202"/>
      <c r="DP24" s="202"/>
      <c r="DQ24" s="202"/>
      <c r="DR24" s="202"/>
      <c r="DS24" s="202"/>
      <c r="DT24" s="202"/>
      <c r="DU24" s="202"/>
      <c r="DV24" s="202"/>
      <c r="DW24" s="202"/>
      <c r="DX24" s="202"/>
      <c r="DY24" s="202"/>
      <c r="DZ24" s="202"/>
      <c r="EA24" s="202"/>
      <c r="EB24" s="202"/>
      <c r="EC24" s="202"/>
      <c r="ED24" s="202"/>
      <c r="EE24" s="202"/>
      <c r="EF24" s="202"/>
      <c r="EG24" s="202"/>
      <c r="EH24" s="202"/>
      <c r="EI24" s="202"/>
      <c r="EJ24" s="202"/>
      <c r="EK24" s="202"/>
      <c r="EL24" s="202"/>
      <c r="EM24" s="202"/>
      <c r="EN24" s="202"/>
      <c r="EO24" s="202"/>
      <c r="EP24" s="202"/>
      <c r="EQ24" s="202"/>
      <c r="ER24" s="202"/>
      <c r="ES24" s="202"/>
      <c r="ET24" s="202"/>
      <c r="EU24" s="202"/>
      <c r="EV24" s="202"/>
      <c r="EW24" s="202"/>
      <c r="EX24" s="202"/>
      <c r="EY24" s="202"/>
      <c r="EZ24" s="202"/>
      <c r="FA24" s="202"/>
      <c r="FB24" s="202"/>
      <c r="FC24" s="202"/>
      <c r="FD24" s="202"/>
      <c r="FE24" s="202"/>
      <c r="FF24" s="202"/>
      <c r="FG24" s="202"/>
      <c r="FH24" s="202"/>
      <c r="FI24" s="202"/>
    </row>
    <row r="25" spans="1:165" s="228" customFormat="1" ht="18" customHeight="1" x14ac:dyDescent="0.2">
      <c r="A25" s="289">
        <f t="shared" si="2"/>
        <v>16</v>
      </c>
      <c r="B25" s="78"/>
      <c r="C25" s="79"/>
      <c r="D25" s="79"/>
      <c r="E25" s="77"/>
      <c r="F25" s="79"/>
      <c r="G25" s="79"/>
      <c r="H25" s="175"/>
      <c r="I25" s="142"/>
      <c r="J25" s="76"/>
      <c r="K25" s="141"/>
      <c r="L25" s="261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  <c r="AD25" s="79"/>
      <c r="AE25" s="79"/>
      <c r="AF25" s="79"/>
      <c r="AG25" s="79"/>
      <c r="AH25" s="79"/>
      <c r="AI25" s="79"/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  <c r="AW25" s="79"/>
      <c r="AX25" s="79"/>
      <c r="AY25" s="79"/>
      <c r="AZ25" s="79"/>
      <c r="BA25" s="79"/>
      <c r="BB25" s="79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79"/>
      <c r="CF25" s="79"/>
      <c r="CG25" s="79"/>
      <c r="CH25" s="79"/>
      <c r="CI25" s="79"/>
      <c r="CJ25" s="201"/>
      <c r="CK25" s="202"/>
      <c r="CL25" s="202"/>
      <c r="CM25" s="202"/>
      <c r="CN25" s="202"/>
      <c r="CO25" s="202"/>
      <c r="CP25" s="202"/>
      <c r="CQ25" s="202"/>
      <c r="CR25" s="202"/>
      <c r="CS25" s="202"/>
      <c r="CT25" s="202"/>
      <c r="CU25" s="202"/>
      <c r="CV25" s="202"/>
      <c r="CW25" s="202"/>
      <c r="CX25" s="202"/>
      <c r="CY25" s="202"/>
      <c r="CZ25" s="202"/>
      <c r="DA25" s="202"/>
      <c r="DB25" s="202"/>
      <c r="DC25" s="202"/>
      <c r="DD25" s="202"/>
      <c r="DE25" s="202"/>
      <c r="DF25" s="202"/>
      <c r="DG25" s="202"/>
      <c r="DH25" s="202"/>
      <c r="DI25" s="202"/>
      <c r="DJ25" s="202"/>
      <c r="DK25" s="202"/>
      <c r="DL25" s="202"/>
      <c r="DM25" s="202"/>
      <c r="DN25" s="202"/>
      <c r="DO25" s="202"/>
      <c r="DP25" s="202"/>
      <c r="DQ25" s="202"/>
      <c r="DR25" s="202"/>
      <c r="DS25" s="202"/>
      <c r="DT25" s="202"/>
      <c r="DU25" s="202"/>
      <c r="DV25" s="202"/>
      <c r="DW25" s="202"/>
      <c r="DX25" s="202"/>
      <c r="DY25" s="202"/>
      <c r="DZ25" s="202"/>
      <c r="EA25" s="202"/>
      <c r="EB25" s="202"/>
      <c r="EC25" s="202"/>
      <c r="ED25" s="202"/>
      <c r="EE25" s="202"/>
      <c r="EF25" s="202"/>
      <c r="EG25" s="202"/>
      <c r="EH25" s="202"/>
      <c r="EI25" s="202"/>
      <c r="EJ25" s="202"/>
      <c r="EK25" s="202"/>
      <c r="EL25" s="202"/>
      <c r="EM25" s="202"/>
      <c r="EN25" s="202"/>
      <c r="EO25" s="202"/>
      <c r="EP25" s="202"/>
      <c r="EQ25" s="202"/>
      <c r="ER25" s="202"/>
      <c r="ES25" s="202"/>
      <c r="ET25" s="202"/>
      <c r="EU25" s="202"/>
      <c r="EV25" s="202"/>
      <c r="EW25" s="202"/>
      <c r="EX25" s="202"/>
      <c r="EY25" s="202"/>
      <c r="EZ25" s="202"/>
      <c r="FA25" s="202"/>
      <c r="FB25" s="202"/>
      <c r="FC25" s="202"/>
      <c r="FD25" s="202"/>
      <c r="FE25" s="202"/>
      <c r="FF25" s="202"/>
      <c r="FG25" s="202"/>
      <c r="FH25" s="202"/>
      <c r="FI25" s="202"/>
    </row>
    <row r="26" spans="1:165" s="228" customFormat="1" ht="18" customHeight="1" x14ac:dyDescent="0.2">
      <c r="A26" s="529">
        <f t="shared" si="2"/>
        <v>17</v>
      </c>
      <c r="B26" s="526">
        <v>0</v>
      </c>
      <c r="C26" s="535" t="s">
        <v>1044</v>
      </c>
      <c r="D26" s="535" t="s">
        <v>1044</v>
      </c>
      <c r="E26" s="314" t="s">
        <v>1059</v>
      </c>
      <c r="F26" s="310" t="s">
        <v>1122</v>
      </c>
      <c r="G26" s="310" t="s">
        <v>1044</v>
      </c>
      <c r="H26" s="535" t="s">
        <v>1123</v>
      </c>
      <c r="I26" s="413">
        <v>9</v>
      </c>
      <c r="J26" s="310"/>
      <c r="K26" s="411"/>
      <c r="L26" s="306"/>
      <c r="M26" s="307"/>
      <c r="N26" s="307"/>
      <c r="O26" s="307"/>
      <c r="P26" s="307"/>
      <c r="Q26" s="79"/>
      <c r="R26" s="79"/>
      <c r="S26" s="307"/>
      <c r="T26" s="307"/>
      <c r="U26" s="307"/>
      <c r="V26" s="307"/>
      <c r="W26" s="307"/>
      <c r="X26" s="307"/>
      <c r="Y26" s="307"/>
      <c r="Z26" s="307"/>
      <c r="AA26" s="307"/>
      <c r="AB26" s="307"/>
      <c r="AC26" s="307"/>
      <c r="AD26" s="307"/>
      <c r="AE26" s="307"/>
      <c r="AF26" s="307"/>
      <c r="AG26" s="307"/>
      <c r="AH26" s="307"/>
      <c r="AI26" s="307"/>
      <c r="AJ26" s="79"/>
      <c r="AK26" s="79"/>
      <c r="AL26" s="307"/>
      <c r="AM26" s="307"/>
      <c r="AN26" s="307"/>
      <c r="AO26" s="307"/>
      <c r="AP26" s="307"/>
      <c r="AQ26" s="307"/>
      <c r="AR26" s="307"/>
      <c r="AS26" s="79"/>
      <c r="AT26" s="79"/>
      <c r="AU26" s="307"/>
      <c r="AV26" s="307"/>
      <c r="AW26" s="307"/>
      <c r="AX26" s="307"/>
      <c r="AY26" s="307"/>
      <c r="AZ26" s="307"/>
      <c r="BA26" s="307"/>
      <c r="BB26" s="307"/>
      <c r="BC26" s="307"/>
      <c r="BD26" s="307"/>
      <c r="BE26" s="79"/>
      <c r="BF26" s="79"/>
      <c r="BG26" s="307"/>
      <c r="BH26" s="307"/>
      <c r="BI26" s="307"/>
      <c r="BJ26" s="307"/>
      <c r="BK26" s="307"/>
      <c r="BL26" s="307"/>
      <c r="BM26" s="307"/>
      <c r="BN26" s="307"/>
      <c r="BO26" s="307"/>
      <c r="BP26" s="307"/>
      <c r="BQ26" s="79"/>
      <c r="BR26" s="79"/>
      <c r="BS26" s="307"/>
      <c r="BT26" s="79"/>
      <c r="BU26" s="79"/>
      <c r="BV26" s="307"/>
      <c r="BW26" s="307"/>
      <c r="BX26" s="307"/>
      <c r="BY26" s="307"/>
      <c r="BZ26" s="79"/>
      <c r="CA26" s="79"/>
      <c r="CB26" s="307"/>
      <c r="CC26" s="307"/>
      <c r="CD26" s="307"/>
      <c r="CE26" s="79"/>
      <c r="CF26" s="79"/>
      <c r="CG26" s="307"/>
      <c r="CH26" s="307" t="s">
        <v>40</v>
      </c>
      <c r="CI26" s="307" t="s">
        <v>40</v>
      </c>
      <c r="CJ26" s="201"/>
      <c r="CK26" s="202"/>
      <c r="CL26" s="202"/>
      <c r="CM26" s="202"/>
      <c r="CN26" s="202"/>
      <c r="CO26" s="202"/>
      <c r="CP26" s="202"/>
      <c r="CQ26" s="202"/>
      <c r="CR26" s="202"/>
      <c r="CS26" s="202"/>
      <c r="CT26" s="202"/>
      <c r="CU26" s="202"/>
      <c r="CV26" s="202"/>
      <c r="CW26" s="202"/>
      <c r="CX26" s="202"/>
      <c r="CY26" s="202"/>
      <c r="CZ26" s="202"/>
      <c r="DA26" s="202"/>
      <c r="DB26" s="202"/>
      <c r="DC26" s="202"/>
      <c r="DD26" s="202"/>
      <c r="DE26" s="202"/>
      <c r="DF26" s="202"/>
      <c r="DG26" s="202"/>
      <c r="DH26" s="202"/>
      <c r="DI26" s="202"/>
      <c r="DJ26" s="202"/>
      <c r="DK26" s="202"/>
      <c r="DL26" s="202"/>
      <c r="DM26" s="202"/>
      <c r="DN26" s="202"/>
      <c r="DO26" s="202"/>
      <c r="DP26" s="202"/>
      <c r="DQ26" s="202"/>
      <c r="DR26" s="202"/>
      <c r="DS26" s="202"/>
      <c r="DT26" s="202"/>
      <c r="DU26" s="202"/>
      <c r="DV26" s="202"/>
      <c r="DW26" s="202"/>
      <c r="DX26" s="202"/>
      <c r="DY26" s="202"/>
      <c r="DZ26" s="202"/>
      <c r="EA26" s="202"/>
      <c r="EB26" s="202"/>
      <c r="EC26" s="202"/>
      <c r="ED26" s="202"/>
      <c r="EE26" s="202"/>
      <c r="EF26" s="202"/>
      <c r="EG26" s="202"/>
      <c r="EH26" s="202"/>
      <c r="EI26" s="202"/>
      <c r="EJ26" s="202"/>
      <c r="EK26" s="202"/>
      <c r="EL26" s="202"/>
      <c r="EM26" s="202"/>
      <c r="EN26" s="202"/>
      <c r="EO26" s="202"/>
      <c r="EP26" s="202"/>
      <c r="EQ26" s="202"/>
      <c r="ER26" s="202"/>
      <c r="ES26" s="202"/>
      <c r="ET26" s="202"/>
      <c r="EU26" s="202"/>
      <c r="EV26" s="202"/>
      <c r="EW26" s="202"/>
      <c r="EX26" s="202"/>
      <c r="EY26" s="202"/>
      <c r="EZ26" s="202"/>
      <c r="FA26" s="202"/>
      <c r="FB26" s="202"/>
      <c r="FC26" s="202"/>
      <c r="FD26" s="202"/>
      <c r="FE26" s="202"/>
      <c r="FF26" s="202"/>
      <c r="FG26" s="202"/>
      <c r="FH26" s="202"/>
      <c r="FI26" s="202"/>
    </row>
    <row r="27" spans="1:165" s="228" customFormat="1" ht="18" customHeight="1" x14ac:dyDescent="0.2">
      <c r="A27" s="289">
        <f t="shared" si="2"/>
        <v>18</v>
      </c>
      <c r="B27" s="78"/>
      <c r="C27" s="79"/>
      <c r="D27" s="79"/>
      <c r="E27" s="77"/>
      <c r="F27" s="79"/>
      <c r="G27" s="79"/>
      <c r="H27" s="175"/>
      <c r="I27" s="142"/>
      <c r="J27" s="76"/>
      <c r="K27" s="141"/>
      <c r="L27" s="261"/>
      <c r="M27" s="79"/>
      <c r="N27" s="79"/>
      <c r="O27" s="79"/>
      <c r="P27" s="79"/>
      <c r="Q27" s="79"/>
      <c r="R27" s="79"/>
      <c r="S27" s="79"/>
      <c r="T27" s="79"/>
      <c r="U27" s="79"/>
      <c r="V27" s="79"/>
      <c r="W27" s="79"/>
      <c r="X27" s="79"/>
      <c r="Y27" s="79"/>
      <c r="Z27" s="79"/>
      <c r="AA27" s="79"/>
      <c r="AB27" s="79"/>
      <c r="AC27" s="79"/>
      <c r="AD27" s="79"/>
      <c r="AE27" s="79"/>
      <c r="AF27" s="79"/>
      <c r="AG27" s="79"/>
      <c r="AH27" s="79"/>
      <c r="AI27" s="79"/>
      <c r="AJ27" s="79"/>
      <c r="AK27" s="79"/>
      <c r="AL27" s="79"/>
      <c r="AM27" s="79"/>
      <c r="AN27" s="79"/>
      <c r="AO27" s="79"/>
      <c r="AP27" s="79"/>
      <c r="AQ27" s="79"/>
      <c r="AR27" s="79"/>
      <c r="AS27" s="79"/>
      <c r="AT27" s="79"/>
      <c r="AU27" s="79"/>
      <c r="AV27" s="79"/>
      <c r="AW27" s="79"/>
      <c r="AX27" s="79"/>
      <c r="AY27" s="79"/>
      <c r="AZ27" s="79"/>
      <c r="BA27" s="79"/>
      <c r="BB27" s="79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79"/>
      <c r="CF27" s="79"/>
      <c r="CG27" s="79"/>
      <c r="CH27" s="79"/>
      <c r="CI27" s="79"/>
      <c r="CJ27" s="201"/>
      <c r="CK27" s="202"/>
      <c r="CL27" s="202"/>
      <c r="CM27" s="202"/>
      <c r="CN27" s="202"/>
      <c r="CO27" s="202"/>
      <c r="CP27" s="202"/>
      <c r="CQ27" s="202"/>
      <c r="CR27" s="202"/>
      <c r="CS27" s="202"/>
      <c r="CT27" s="202"/>
      <c r="CU27" s="202"/>
      <c r="CV27" s="202"/>
      <c r="CW27" s="202"/>
      <c r="CX27" s="202"/>
      <c r="CY27" s="202"/>
      <c r="CZ27" s="202"/>
      <c r="DA27" s="202"/>
      <c r="DB27" s="202"/>
      <c r="DC27" s="202"/>
      <c r="DD27" s="202"/>
      <c r="DE27" s="202"/>
      <c r="DF27" s="202"/>
      <c r="DG27" s="202"/>
      <c r="DH27" s="202"/>
      <c r="DI27" s="202"/>
      <c r="DJ27" s="202"/>
      <c r="DK27" s="202"/>
      <c r="DL27" s="202"/>
      <c r="DM27" s="202"/>
      <c r="DN27" s="202"/>
      <c r="DO27" s="202"/>
      <c r="DP27" s="202"/>
      <c r="DQ27" s="202"/>
      <c r="DR27" s="202"/>
      <c r="DS27" s="202"/>
      <c r="DT27" s="202"/>
      <c r="DU27" s="202"/>
      <c r="DV27" s="202"/>
      <c r="DW27" s="202"/>
      <c r="DX27" s="202"/>
      <c r="DY27" s="202"/>
      <c r="DZ27" s="202"/>
      <c r="EA27" s="202"/>
      <c r="EB27" s="202"/>
      <c r="EC27" s="202"/>
      <c r="ED27" s="202"/>
      <c r="EE27" s="202"/>
      <c r="EF27" s="202"/>
      <c r="EG27" s="202"/>
      <c r="EH27" s="202"/>
      <c r="EI27" s="202"/>
      <c r="EJ27" s="202"/>
      <c r="EK27" s="202"/>
      <c r="EL27" s="202"/>
      <c r="EM27" s="202"/>
      <c r="EN27" s="202"/>
      <c r="EO27" s="202"/>
      <c r="EP27" s="202"/>
      <c r="EQ27" s="202"/>
      <c r="ER27" s="202"/>
      <c r="ES27" s="202"/>
      <c r="ET27" s="202"/>
      <c r="EU27" s="202"/>
      <c r="EV27" s="202"/>
      <c r="EW27" s="202"/>
      <c r="EX27" s="202"/>
      <c r="EY27" s="202"/>
      <c r="EZ27" s="202"/>
      <c r="FA27" s="202"/>
      <c r="FB27" s="202"/>
      <c r="FC27" s="202"/>
      <c r="FD27" s="202"/>
      <c r="FE27" s="202"/>
      <c r="FF27" s="202"/>
      <c r="FG27" s="202"/>
      <c r="FH27" s="202"/>
      <c r="FI27" s="202"/>
    </row>
    <row r="28" spans="1:165" s="228" customFormat="1" ht="18" customHeight="1" x14ac:dyDescent="0.2">
      <c r="A28" s="289">
        <f t="shared" si="2"/>
        <v>19</v>
      </c>
      <c r="B28" s="78"/>
      <c r="C28" s="79"/>
      <c r="D28" s="79"/>
      <c r="E28" s="98" t="s">
        <v>654</v>
      </c>
      <c r="F28" s="79"/>
      <c r="G28" s="79"/>
      <c r="H28" s="175"/>
      <c r="I28" s="142"/>
      <c r="J28" s="76"/>
      <c r="K28" s="141"/>
      <c r="L28" s="261"/>
      <c r="M28" s="79"/>
      <c r="N28" s="79"/>
      <c r="O28" s="79"/>
      <c r="P28" s="79"/>
      <c r="Q28" s="79"/>
      <c r="R28" s="79"/>
      <c r="S28" s="79"/>
      <c r="T28" s="79"/>
      <c r="U28" s="79"/>
      <c r="V28" s="79"/>
      <c r="W28" s="79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79"/>
      <c r="AY28" s="79"/>
      <c r="AZ28" s="79"/>
      <c r="BA28" s="79"/>
      <c r="BB28" s="79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79"/>
      <c r="CF28" s="79"/>
      <c r="CG28" s="79"/>
      <c r="CH28" s="79"/>
      <c r="CI28" s="79"/>
      <c r="CJ28" s="201"/>
      <c r="CK28" s="202"/>
      <c r="CL28" s="202"/>
      <c r="CM28" s="202"/>
      <c r="CN28" s="202"/>
      <c r="CO28" s="202"/>
      <c r="CP28" s="202"/>
      <c r="CQ28" s="202"/>
      <c r="CR28" s="202"/>
      <c r="CS28" s="202"/>
      <c r="CT28" s="202"/>
      <c r="CU28" s="202"/>
      <c r="CV28" s="202"/>
      <c r="CW28" s="202"/>
      <c r="CX28" s="202"/>
      <c r="CY28" s="202"/>
      <c r="CZ28" s="202"/>
      <c r="DA28" s="202"/>
      <c r="DB28" s="202"/>
      <c r="DC28" s="202"/>
      <c r="DD28" s="202"/>
      <c r="DE28" s="202"/>
      <c r="DF28" s="202"/>
      <c r="DG28" s="202"/>
      <c r="DH28" s="202"/>
      <c r="DI28" s="202"/>
      <c r="DJ28" s="202"/>
      <c r="DK28" s="202"/>
      <c r="DL28" s="202"/>
      <c r="DM28" s="202"/>
      <c r="DN28" s="202"/>
      <c r="DO28" s="202"/>
      <c r="DP28" s="202"/>
      <c r="DQ28" s="202"/>
      <c r="DR28" s="202"/>
      <c r="DS28" s="202"/>
      <c r="DT28" s="202"/>
      <c r="DU28" s="202"/>
      <c r="DV28" s="202"/>
      <c r="DW28" s="202"/>
      <c r="DX28" s="202"/>
      <c r="DY28" s="202"/>
      <c r="DZ28" s="202"/>
      <c r="EA28" s="202"/>
      <c r="EB28" s="202"/>
      <c r="EC28" s="202"/>
      <c r="ED28" s="202"/>
      <c r="EE28" s="202"/>
      <c r="EF28" s="202"/>
      <c r="EG28" s="202"/>
      <c r="EH28" s="202"/>
      <c r="EI28" s="202"/>
      <c r="EJ28" s="202"/>
      <c r="EK28" s="202"/>
      <c r="EL28" s="202"/>
      <c r="EM28" s="202"/>
      <c r="EN28" s="202"/>
      <c r="EO28" s="202"/>
      <c r="EP28" s="202"/>
      <c r="EQ28" s="202"/>
      <c r="ER28" s="202"/>
      <c r="ES28" s="202"/>
      <c r="ET28" s="202"/>
      <c r="EU28" s="202"/>
      <c r="EV28" s="202"/>
      <c r="EW28" s="202"/>
      <c r="EX28" s="202"/>
      <c r="EY28" s="202"/>
      <c r="EZ28" s="202"/>
      <c r="FA28" s="202"/>
      <c r="FB28" s="202"/>
      <c r="FC28" s="202"/>
      <c r="FD28" s="202"/>
      <c r="FE28" s="202"/>
      <c r="FF28" s="202"/>
      <c r="FG28" s="202"/>
      <c r="FH28" s="202"/>
      <c r="FI28" s="202"/>
    </row>
    <row r="29" spans="1:165" s="228" customFormat="1" ht="18" customHeight="1" x14ac:dyDescent="0.25">
      <c r="A29" s="578">
        <f t="shared" si="2"/>
        <v>20</v>
      </c>
      <c r="B29" s="588">
        <v>0</v>
      </c>
      <c r="C29" s="591">
        <v>5</v>
      </c>
      <c r="D29" s="556" t="s">
        <v>261</v>
      </c>
      <c r="E29" s="597" t="s">
        <v>262</v>
      </c>
      <c r="F29" s="598" t="s">
        <v>1044</v>
      </c>
      <c r="G29" s="556" t="s">
        <v>263</v>
      </c>
      <c r="H29" s="599" t="s">
        <v>790</v>
      </c>
      <c r="I29" s="593">
        <v>1</v>
      </c>
      <c r="J29" s="556" t="s">
        <v>64</v>
      </c>
      <c r="K29" s="594">
        <v>13</v>
      </c>
      <c r="L29" s="306" t="s">
        <v>122</v>
      </c>
      <c r="M29" s="307"/>
      <c r="N29" s="307"/>
      <c r="O29" s="307"/>
      <c r="P29" s="307"/>
      <c r="Q29" s="79"/>
      <c r="R29" s="79"/>
      <c r="S29" s="585" t="s">
        <v>122</v>
      </c>
      <c r="T29" s="585" t="s">
        <v>120</v>
      </c>
      <c r="U29" s="585"/>
      <c r="V29" s="585"/>
      <c r="W29" s="585" t="s">
        <v>120</v>
      </c>
      <c r="X29" s="586" t="s">
        <v>120</v>
      </c>
      <c r="Y29" s="585"/>
      <c r="Z29" s="585"/>
      <c r="AA29" s="585"/>
      <c r="AB29" s="585"/>
      <c r="AC29" s="585"/>
      <c r="AD29" s="585"/>
      <c r="AE29" s="585" t="s">
        <v>120</v>
      </c>
      <c r="AF29" s="585" t="s">
        <v>120</v>
      </c>
      <c r="AG29" s="585" t="s">
        <v>120</v>
      </c>
      <c r="AH29" s="585" t="s">
        <v>120</v>
      </c>
      <c r="AI29" s="585"/>
      <c r="AJ29" s="79"/>
      <c r="AK29" s="79"/>
      <c r="AL29" s="585"/>
      <c r="AM29" s="585"/>
      <c r="AN29" s="585"/>
      <c r="AO29" s="585" t="s">
        <v>121</v>
      </c>
      <c r="AP29" s="585"/>
      <c r="AQ29" s="585" t="s">
        <v>121</v>
      </c>
      <c r="AR29" s="585"/>
      <c r="AS29" s="79"/>
      <c r="AT29" s="79"/>
      <c r="AU29" s="585"/>
      <c r="AV29" s="585"/>
      <c r="AW29" s="585"/>
      <c r="AX29" s="585" t="s">
        <v>120</v>
      </c>
      <c r="AY29" s="585"/>
      <c r="AZ29" s="585"/>
      <c r="BA29" s="585"/>
      <c r="BB29" s="585" t="s">
        <v>121</v>
      </c>
      <c r="BC29" s="585"/>
      <c r="BD29" s="585" t="s">
        <v>121</v>
      </c>
      <c r="BE29" s="79"/>
      <c r="BF29" s="79"/>
      <c r="BG29" s="585"/>
      <c r="BH29" s="585"/>
      <c r="BI29" s="585"/>
      <c r="BJ29" s="585" t="s">
        <v>120</v>
      </c>
      <c r="BK29" s="585"/>
      <c r="BL29" s="585"/>
      <c r="BM29" s="585"/>
      <c r="BN29" s="585" t="s">
        <v>121</v>
      </c>
      <c r="BO29" s="585"/>
      <c r="BP29" s="585" t="s">
        <v>121</v>
      </c>
      <c r="BQ29" s="79"/>
      <c r="BR29" s="79"/>
      <c r="BS29" s="585" t="s">
        <v>120</v>
      </c>
      <c r="BT29" s="79"/>
      <c r="BU29" s="79"/>
      <c r="BV29" s="585"/>
      <c r="BW29" s="585"/>
      <c r="BX29" s="585"/>
      <c r="BY29" s="585"/>
      <c r="BZ29" s="79"/>
      <c r="CA29" s="79"/>
      <c r="CB29" s="585" t="s">
        <v>122</v>
      </c>
      <c r="CC29" s="585"/>
      <c r="CD29" s="585"/>
      <c r="CE29" s="79"/>
      <c r="CF29" s="79"/>
      <c r="CG29" s="585"/>
      <c r="CH29" s="585" t="s">
        <v>40</v>
      </c>
      <c r="CI29" s="585" t="s">
        <v>40</v>
      </c>
      <c r="CJ29" s="201"/>
      <c r="CK29" s="202"/>
      <c r="CL29" s="202"/>
      <c r="CM29" s="202"/>
      <c r="CN29" s="202"/>
      <c r="CO29" s="202"/>
      <c r="CP29" s="202"/>
      <c r="CQ29" s="202"/>
      <c r="CR29" s="202"/>
      <c r="CS29" s="202"/>
      <c r="CT29" s="202"/>
      <c r="CU29" s="202"/>
      <c r="CV29" s="202"/>
      <c r="CW29" s="202"/>
      <c r="CX29" s="202"/>
      <c r="CY29" s="202"/>
      <c r="CZ29" s="202"/>
      <c r="DA29" s="202"/>
      <c r="DB29" s="202"/>
      <c r="DC29" s="202"/>
      <c r="DD29" s="202"/>
      <c r="DE29" s="202"/>
      <c r="DF29" s="202"/>
      <c r="DG29" s="202"/>
      <c r="DH29" s="202"/>
      <c r="DI29" s="202"/>
      <c r="DJ29" s="202"/>
      <c r="DK29" s="202"/>
      <c r="DL29" s="202"/>
      <c r="DM29" s="202"/>
      <c r="DN29" s="202"/>
      <c r="DO29" s="202"/>
      <c r="DP29" s="202"/>
      <c r="DQ29" s="202"/>
      <c r="DR29" s="202"/>
      <c r="DS29" s="202"/>
      <c r="DT29" s="202"/>
      <c r="DU29" s="202"/>
      <c r="DV29" s="202"/>
      <c r="DW29" s="202"/>
      <c r="DX29" s="202"/>
      <c r="DY29" s="202"/>
      <c r="DZ29" s="202"/>
      <c r="EA29" s="202"/>
      <c r="EB29" s="202"/>
      <c r="EC29" s="202"/>
      <c r="ED29" s="202"/>
      <c r="EE29" s="202"/>
      <c r="EF29" s="202"/>
      <c r="EG29" s="202"/>
      <c r="EH29" s="202"/>
      <c r="EI29" s="202"/>
      <c r="EJ29" s="202"/>
      <c r="EK29" s="202"/>
      <c r="EL29" s="202"/>
      <c r="EM29" s="202"/>
      <c r="EN29" s="202"/>
      <c r="EO29" s="202"/>
      <c r="EP29" s="202"/>
      <c r="EQ29" s="202"/>
      <c r="ER29" s="202"/>
      <c r="ES29" s="202"/>
      <c r="ET29" s="202"/>
      <c r="EU29" s="202"/>
      <c r="EV29" s="202"/>
      <c r="EW29" s="202"/>
      <c r="EX29" s="202"/>
      <c r="EY29" s="202"/>
      <c r="EZ29" s="202"/>
      <c r="FA29" s="202"/>
      <c r="FB29" s="202"/>
      <c r="FC29" s="202"/>
      <c r="FD29" s="202"/>
      <c r="FE29" s="202"/>
      <c r="FF29" s="202"/>
      <c r="FG29" s="202"/>
      <c r="FH29" s="202"/>
      <c r="FI29" s="202"/>
    </row>
    <row r="30" spans="1:165" s="228" customFormat="1" ht="18" customHeight="1" x14ac:dyDescent="0.25">
      <c r="A30" s="578">
        <f t="shared" si="2"/>
        <v>21</v>
      </c>
      <c r="B30" s="588">
        <v>0</v>
      </c>
      <c r="C30" s="591">
        <v>5</v>
      </c>
      <c r="D30" s="556" t="s">
        <v>655</v>
      </c>
      <c r="E30" s="597" t="s">
        <v>264</v>
      </c>
      <c r="F30" s="598" t="s">
        <v>1044</v>
      </c>
      <c r="G30" s="556" t="s">
        <v>656</v>
      </c>
      <c r="H30" s="599" t="s">
        <v>791</v>
      </c>
      <c r="I30" s="593">
        <v>1</v>
      </c>
      <c r="J30" s="556" t="s">
        <v>64</v>
      </c>
      <c r="K30" s="594" t="s">
        <v>265</v>
      </c>
      <c r="L30" s="306" t="s">
        <v>122</v>
      </c>
      <c r="M30" s="307"/>
      <c r="N30" s="307"/>
      <c r="O30" s="307"/>
      <c r="P30" s="307"/>
      <c r="Q30" s="79"/>
      <c r="R30" s="79"/>
      <c r="S30" s="585" t="s">
        <v>122</v>
      </c>
      <c r="T30" s="585" t="s">
        <v>120</v>
      </c>
      <c r="U30" s="585"/>
      <c r="V30" s="585"/>
      <c r="W30" s="585" t="s">
        <v>120</v>
      </c>
      <c r="X30" s="586" t="s">
        <v>120</v>
      </c>
      <c r="Y30" s="585"/>
      <c r="Z30" s="585"/>
      <c r="AA30" s="585"/>
      <c r="AB30" s="585"/>
      <c r="AC30" s="585"/>
      <c r="AD30" s="585"/>
      <c r="AE30" s="585" t="s">
        <v>120</v>
      </c>
      <c r="AF30" s="585" t="s">
        <v>120</v>
      </c>
      <c r="AG30" s="585" t="s">
        <v>120</v>
      </c>
      <c r="AH30" s="585" t="s">
        <v>120</v>
      </c>
      <c r="AI30" s="585"/>
      <c r="AJ30" s="79"/>
      <c r="AK30" s="79"/>
      <c r="AL30" s="585"/>
      <c r="AM30" s="585"/>
      <c r="AN30" s="585"/>
      <c r="AO30" s="585" t="s">
        <v>121</v>
      </c>
      <c r="AP30" s="585"/>
      <c r="AQ30" s="585" t="s">
        <v>121</v>
      </c>
      <c r="AR30" s="585"/>
      <c r="AS30" s="79"/>
      <c r="AT30" s="79"/>
      <c r="AU30" s="585"/>
      <c r="AV30" s="585"/>
      <c r="AW30" s="585"/>
      <c r="AX30" s="585" t="s">
        <v>120</v>
      </c>
      <c r="AY30" s="585"/>
      <c r="AZ30" s="585"/>
      <c r="BA30" s="585"/>
      <c r="BB30" s="585" t="s">
        <v>121</v>
      </c>
      <c r="BC30" s="585"/>
      <c r="BD30" s="585" t="s">
        <v>121</v>
      </c>
      <c r="BE30" s="79"/>
      <c r="BF30" s="79"/>
      <c r="BG30" s="585"/>
      <c r="BH30" s="585"/>
      <c r="BI30" s="585"/>
      <c r="BJ30" s="585" t="s">
        <v>120</v>
      </c>
      <c r="BK30" s="585"/>
      <c r="BL30" s="585"/>
      <c r="BM30" s="585"/>
      <c r="BN30" s="585" t="s">
        <v>121</v>
      </c>
      <c r="BO30" s="585"/>
      <c r="BP30" s="585" t="s">
        <v>121</v>
      </c>
      <c r="BQ30" s="79"/>
      <c r="BR30" s="79"/>
      <c r="BS30" s="585" t="s">
        <v>120</v>
      </c>
      <c r="BT30" s="79"/>
      <c r="BU30" s="79"/>
      <c r="BV30" s="585"/>
      <c r="BW30" s="585"/>
      <c r="BX30" s="585"/>
      <c r="BY30" s="585"/>
      <c r="BZ30" s="79"/>
      <c r="CA30" s="79"/>
      <c r="CB30" s="585" t="s">
        <v>122</v>
      </c>
      <c r="CC30" s="585"/>
      <c r="CD30" s="585"/>
      <c r="CE30" s="79"/>
      <c r="CF30" s="79"/>
      <c r="CG30" s="585"/>
      <c r="CH30" s="585" t="s">
        <v>40</v>
      </c>
      <c r="CI30" s="585" t="s">
        <v>40</v>
      </c>
      <c r="CJ30" s="201"/>
      <c r="CK30" s="202"/>
      <c r="CL30" s="202"/>
      <c r="CM30" s="202"/>
      <c r="CN30" s="202"/>
      <c r="CO30" s="202"/>
      <c r="CP30" s="202"/>
      <c r="CQ30" s="202"/>
      <c r="CR30" s="202"/>
      <c r="CS30" s="202"/>
      <c r="CT30" s="202"/>
      <c r="CU30" s="202"/>
      <c r="CV30" s="202"/>
      <c r="CW30" s="202"/>
      <c r="CX30" s="202"/>
      <c r="CY30" s="202"/>
      <c r="CZ30" s="202"/>
      <c r="DA30" s="202"/>
      <c r="DB30" s="202"/>
      <c r="DC30" s="202"/>
      <c r="DD30" s="202"/>
      <c r="DE30" s="202"/>
      <c r="DF30" s="202"/>
      <c r="DG30" s="202"/>
      <c r="DH30" s="202"/>
      <c r="DI30" s="202"/>
      <c r="DJ30" s="202"/>
      <c r="DK30" s="202"/>
      <c r="DL30" s="202"/>
      <c r="DM30" s="202"/>
      <c r="DN30" s="202"/>
      <c r="DO30" s="202"/>
      <c r="DP30" s="202"/>
      <c r="DQ30" s="202"/>
      <c r="DR30" s="202"/>
      <c r="DS30" s="202"/>
      <c r="DT30" s="202"/>
      <c r="DU30" s="202"/>
      <c r="DV30" s="202"/>
      <c r="DW30" s="202"/>
      <c r="DX30" s="202"/>
      <c r="DY30" s="202"/>
      <c r="DZ30" s="202"/>
      <c r="EA30" s="202"/>
      <c r="EB30" s="202"/>
      <c r="EC30" s="202"/>
      <c r="ED30" s="202"/>
      <c r="EE30" s="202"/>
      <c r="EF30" s="202"/>
      <c r="EG30" s="202"/>
      <c r="EH30" s="202"/>
      <c r="EI30" s="202"/>
      <c r="EJ30" s="202"/>
      <c r="EK30" s="202"/>
      <c r="EL30" s="202"/>
      <c r="EM30" s="202"/>
      <c r="EN30" s="202"/>
      <c r="EO30" s="202"/>
      <c r="EP30" s="202"/>
      <c r="EQ30" s="202"/>
      <c r="ER30" s="202"/>
      <c r="ES30" s="202"/>
      <c r="ET30" s="202"/>
      <c r="EU30" s="202"/>
      <c r="EV30" s="202"/>
      <c r="EW30" s="202"/>
      <c r="EX30" s="202"/>
      <c r="EY30" s="202"/>
      <c r="EZ30" s="202"/>
      <c r="FA30" s="202"/>
      <c r="FB30" s="202"/>
      <c r="FC30" s="202"/>
      <c r="FD30" s="202"/>
      <c r="FE30" s="202"/>
      <c r="FF30" s="202"/>
      <c r="FG30" s="202"/>
      <c r="FH30" s="202"/>
      <c r="FI30" s="202"/>
    </row>
    <row r="31" spans="1:165" s="228" customFormat="1" ht="18" customHeight="1" x14ac:dyDescent="0.25">
      <c r="A31" s="578">
        <f t="shared" si="2"/>
        <v>22</v>
      </c>
      <c r="B31" s="588">
        <v>0</v>
      </c>
      <c r="C31" s="591">
        <v>5</v>
      </c>
      <c r="D31" s="556" t="s">
        <v>657</v>
      </c>
      <c r="E31" s="597" t="s">
        <v>264</v>
      </c>
      <c r="F31" s="598" t="s">
        <v>1044</v>
      </c>
      <c r="G31" s="556" t="s">
        <v>658</v>
      </c>
      <c r="H31" s="599" t="s">
        <v>792</v>
      </c>
      <c r="I31" s="593">
        <v>1</v>
      </c>
      <c r="J31" s="556" t="s">
        <v>64</v>
      </c>
      <c r="K31" s="594" t="s">
        <v>265</v>
      </c>
      <c r="L31" s="306" t="s">
        <v>122</v>
      </c>
      <c r="M31" s="307"/>
      <c r="N31" s="307"/>
      <c r="O31" s="307"/>
      <c r="P31" s="307"/>
      <c r="Q31" s="79"/>
      <c r="R31" s="79"/>
      <c r="S31" s="585" t="s">
        <v>122</v>
      </c>
      <c r="T31" s="585" t="s">
        <v>120</v>
      </c>
      <c r="U31" s="585"/>
      <c r="V31" s="585"/>
      <c r="W31" s="585" t="s">
        <v>120</v>
      </c>
      <c r="X31" s="586" t="s">
        <v>120</v>
      </c>
      <c r="Y31" s="585"/>
      <c r="Z31" s="585"/>
      <c r="AA31" s="585"/>
      <c r="AB31" s="585"/>
      <c r="AC31" s="585"/>
      <c r="AD31" s="585"/>
      <c r="AE31" s="585" t="s">
        <v>120</v>
      </c>
      <c r="AF31" s="585" t="s">
        <v>120</v>
      </c>
      <c r="AG31" s="585" t="s">
        <v>120</v>
      </c>
      <c r="AH31" s="585" t="s">
        <v>120</v>
      </c>
      <c r="AI31" s="585"/>
      <c r="AJ31" s="79"/>
      <c r="AK31" s="79"/>
      <c r="AL31" s="585"/>
      <c r="AM31" s="585"/>
      <c r="AN31" s="585"/>
      <c r="AO31" s="585" t="s">
        <v>121</v>
      </c>
      <c r="AP31" s="585"/>
      <c r="AQ31" s="585" t="s">
        <v>121</v>
      </c>
      <c r="AR31" s="585"/>
      <c r="AS31" s="79"/>
      <c r="AT31" s="79"/>
      <c r="AU31" s="585"/>
      <c r="AV31" s="585"/>
      <c r="AW31" s="585"/>
      <c r="AX31" s="585" t="s">
        <v>120</v>
      </c>
      <c r="AY31" s="585"/>
      <c r="AZ31" s="585"/>
      <c r="BA31" s="585"/>
      <c r="BB31" s="585" t="s">
        <v>121</v>
      </c>
      <c r="BC31" s="585"/>
      <c r="BD31" s="585" t="s">
        <v>121</v>
      </c>
      <c r="BE31" s="79"/>
      <c r="BF31" s="79"/>
      <c r="BG31" s="585"/>
      <c r="BH31" s="585"/>
      <c r="BI31" s="585"/>
      <c r="BJ31" s="585" t="s">
        <v>120</v>
      </c>
      <c r="BK31" s="585"/>
      <c r="BL31" s="585"/>
      <c r="BM31" s="585"/>
      <c r="BN31" s="585" t="s">
        <v>121</v>
      </c>
      <c r="BO31" s="585"/>
      <c r="BP31" s="585" t="s">
        <v>121</v>
      </c>
      <c r="BQ31" s="79"/>
      <c r="BR31" s="79"/>
      <c r="BS31" s="585" t="s">
        <v>120</v>
      </c>
      <c r="BT31" s="79"/>
      <c r="BU31" s="79"/>
      <c r="BV31" s="585"/>
      <c r="BW31" s="585"/>
      <c r="BX31" s="585"/>
      <c r="BY31" s="585"/>
      <c r="BZ31" s="79"/>
      <c r="CA31" s="79"/>
      <c r="CB31" s="585" t="s">
        <v>122</v>
      </c>
      <c r="CC31" s="585"/>
      <c r="CD31" s="585"/>
      <c r="CE31" s="79"/>
      <c r="CF31" s="79"/>
      <c r="CG31" s="585"/>
      <c r="CH31" s="585" t="s">
        <v>40</v>
      </c>
      <c r="CI31" s="585" t="s">
        <v>40</v>
      </c>
      <c r="CJ31" s="201"/>
      <c r="CK31" s="202"/>
      <c r="CL31" s="202"/>
      <c r="CM31" s="202"/>
      <c r="CN31" s="202"/>
      <c r="CO31" s="202"/>
      <c r="CP31" s="202"/>
      <c r="CQ31" s="202"/>
      <c r="CR31" s="202"/>
      <c r="CS31" s="202"/>
      <c r="CT31" s="202"/>
      <c r="CU31" s="202"/>
      <c r="CV31" s="202"/>
      <c r="CW31" s="202"/>
      <c r="CX31" s="202"/>
      <c r="CY31" s="202"/>
      <c r="CZ31" s="202"/>
      <c r="DA31" s="202"/>
      <c r="DB31" s="202"/>
      <c r="DC31" s="202"/>
      <c r="DD31" s="202"/>
      <c r="DE31" s="202"/>
      <c r="DF31" s="202"/>
      <c r="DG31" s="202"/>
      <c r="DH31" s="202"/>
      <c r="DI31" s="202"/>
      <c r="DJ31" s="202"/>
      <c r="DK31" s="202"/>
      <c r="DL31" s="202"/>
      <c r="DM31" s="202"/>
      <c r="DN31" s="202"/>
      <c r="DO31" s="202"/>
      <c r="DP31" s="202"/>
      <c r="DQ31" s="202"/>
      <c r="DR31" s="202"/>
      <c r="DS31" s="202"/>
      <c r="DT31" s="202"/>
      <c r="DU31" s="202"/>
      <c r="DV31" s="202"/>
      <c r="DW31" s="202"/>
      <c r="DX31" s="202"/>
      <c r="DY31" s="202"/>
      <c r="DZ31" s="202"/>
      <c r="EA31" s="202"/>
      <c r="EB31" s="202"/>
      <c r="EC31" s="202"/>
      <c r="ED31" s="202"/>
      <c r="EE31" s="202"/>
      <c r="EF31" s="202"/>
      <c r="EG31" s="202"/>
      <c r="EH31" s="202"/>
      <c r="EI31" s="202"/>
      <c r="EJ31" s="202"/>
      <c r="EK31" s="202"/>
      <c r="EL31" s="202"/>
      <c r="EM31" s="202"/>
      <c r="EN31" s="202"/>
      <c r="EO31" s="202"/>
      <c r="EP31" s="202"/>
      <c r="EQ31" s="202"/>
      <c r="ER31" s="202"/>
      <c r="ES31" s="202"/>
      <c r="ET31" s="202"/>
      <c r="EU31" s="202"/>
      <c r="EV31" s="202"/>
      <c r="EW31" s="202"/>
      <c r="EX31" s="202"/>
      <c r="EY31" s="202"/>
      <c r="EZ31" s="202"/>
      <c r="FA31" s="202"/>
      <c r="FB31" s="202"/>
      <c r="FC31" s="202"/>
      <c r="FD31" s="202"/>
      <c r="FE31" s="202"/>
      <c r="FF31" s="202"/>
      <c r="FG31" s="202"/>
      <c r="FH31" s="202"/>
      <c r="FI31" s="202"/>
    </row>
    <row r="32" spans="1:165" s="228" customFormat="1" ht="18" customHeight="1" x14ac:dyDescent="0.25">
      <c r="A32" s="578">
        <f t="shared" si="2"/>
        <v>23</v>
      </c>
      <c r="B32" s="588">
        <v>0</v>
      </c>
      <c r="C32" s="591">
        <v>5</v>
      </c>
      <c r="D32" s="556" t="s">
        <v>659</v>
      </c>
      <c r="E32" s="597" t="s">
        <v>266</v>
      </c>
      <c r="F32" s="598" t="s">
        <v>1044</v>
      </c>
      <c r="G32" s="556" t="s">
        <v>660</v>
      </c>
      <c r="H32" s="599" t="s">
        <v>793</v>
      </c>
      <c r="I32" s="593">
        <v>1</v>
      </c>
      <c r="J32" s="556" t="s">
        <v>64</v>
      </c>
      <c r="K32" s="594" t="s">
        <v>265</v>
      </c>
      <c r="L32" s="306" t="s">
        <v>122</v>
      </c>
      <c r="M32" s="307"/>
      <c r="N32" s="307"/>
      <c r="O32" s="307"/>
      <c r="P32" s="307"/>
      <c r="Q32" s="79"/>
      <c r="R32" s="79"/>
      <c r="S32" s="585" t="s">
        <v>122</v>
      </c>
      <c r="T32" s="585" t="s">
        <v>120</v>
      </c>
      <c r="U32" s="585"/>
      <c r="V32" s="585"/>
      <c r="W32" s="585" t="s">
        <v>120</v>
      </c>
      <c r="X32" s="586" t="s">
        <v>120</v>
      </c>
      <c r="Y32" s="585"/>
      <c r="Z32" s="585"/>
      <c r="AA32" s="585"/>
      <c r="AB32" s="585"/>
      <c r="AC32" s="585"/>
      <c r="AD32" s="585"/>
      <c r="AE32" s="585" t="s">
        <v>120</v>
      </c>
      <c r="AF32" s="585" t="s">
        <v>120</v>
      </c>
      <c r="AG32" s="585" t="s">
        <v>120</v>
      </c>
      <c r="AH32" s="585" t="s">
        <v>120</v>
      </c>
      <c r="AI32" s="585"/>
      <c r="AJ32" s="79"/>
      <c r="AK32" s="79"/>
      <c r="AL32" s="585"/>
      <c r="AM32" s="585"/>
      <c r="AN32" s="585"/>
      <c r="AO32" s="585" t="s">
        <v>121</v>
      </c>
      <c r="AP32" s="585"/>
      <c r="AQ32" s="585" t="s">
        <v>121</v>
      </c>
      <c r="AR32" s="585"/>
      <c r="AS32" s="79"/>
      <c r="AT32" s="79"/>
      <c r="AU32" s="585"/>
      <c r="AV32" s="585"/>
      <c r="AW32" s="585"/>
      <c r="AX32" s="585" t="s">
        <v>120</v>
      </c>
      <c r="AY32" s="585"/>
      <c r="AZ32" s="585"/>
      <c r="BA32" s="585"/>
      <c r="BB32" s="585" t="s">
        <v>121</v>
      </c>
      <c r="BC32" s="585"/>
      <c r="BD32" s="585" t="s">
        <v>121</v>
      </c>
      <c r="BE32" s="79"/>
      <c r="BF32" s="79"/>
      <c r="BG32" s="585"/>
      <c r="BH32" s="585"/>
      <c r="BI32" s="585"/>
      <c r="BJ32" s="585" t="s">
        <v>120</v>
      </c>
      <c r="BK32" s="585"/>
      <c r="BL32" s="585"/>
      <c r="BM32" s="585"/>
      <c r="BN32" s="585" t="s">
        <v>121</v>
      </c>
      <c r="BO32" s="585"/>
      <c r="BP32" s="585" t="s">
        <v>121</v>
      </c>
      <c r="BQ32" s="79"/>
      <c r="BR32" s="79"/>
      <c r="BS32" s="585" t="s">
        <v>120</v>
      </c>
      <c r="BT32" s="79"/>
      <c r="BU32" s="79"/>
      <c r="BV32" s="585"/>
      <c r="BW32" s="585"/>
      <c r="BX32" s="585"/>
      <c r="BY32" s="585"/>
      <c r="BZ32" s="79"/>
      <c r="CA32" s="79"/>
      <c r="CB32" s="585" t="s">
        <v>122</v>
      </c>
      <c r="CC32" s="585"/>
      <c r="CD32" s="585"/>
      <c r="CE32" s="79"/>
      <c r="CF32" s="79"/>
      <c r="CG32" s="585"/>
      <c r="CH32" s="585" t="s">
        <v>40</v>
      </c>
      <c r="CI32" s="585" t="s">
        <v>40</v>
      </c>
      <c r="CJ32" s="201"/>
      <c r="CK32" s="202"/>
      <c r="CL32" s="202"/>
      <c r="CM32" s="202"/>
      <c r="CN32" s="202"/>
      <c r="CO32" s="202"/>
      <c r="CP32" s="202"/>
      <c r="CQ32" s="202"/>
      <c r="CR32" s="202"/>
      <c r="CS32" s="202"/>
      <c r="CT32" s="202"/>
      <c r="CU32" s="202"/>
      <c r="CV32" s="202"/>
      <c r="CW32" s="202"/>
      <c r="CX32" s="202"/>
      <c r="CY32" s="202"/>
      <c r="CZ32" s="202"/>
      <c r="DA32" s="202"/>
      <c r="DB32" s="202"/>
      <c r="DC32" s="202"/>
      <c r="DD32" s="202"/>
      <c r="DE32" s="202"/>
      <c r="DF32" s="202"/>
      <c r="DG32" s="202"/>
      <c r="DH32" s="202"/>
      <c r="DI32" s="202"/>
      <c r="DJ32" s="202"/>
      <c r="DK32" s="202"/>
      <c r="DL32" s="202"/>
      <c r="DM32" s="202"/>
      <c r="DN32" s="202"/>
      <c r="DO32" s="202"/>
      <c r="DP32" s="202"/>
      <c r="DQ32" s="202"/>
      <c r="DR32" s="202"/>
      <c r="DS32" s="202"/>
      <c r="DT32" s="202"/>
      <c r="DU32" s="202"/>
      <c r="DV32" s="202"/>
      <c r="DW32" s="202"/>
      <c r="DX32" s="202"/>
      <c r="DY32" s="202"/>
      <c r="DZ32" s="202"/>
      <c r="EA32" s="202"/>
      <c r="EB32" s="202"/>
      <c r="EC32" s="202"/>
      <c r="ED32" s="202"/>
      <c r="EE32" s="202"/>
      <c r="EF32" s="202"/>
      <c r="EG32" s="202"/>
      <c r="EH32" s="202"/>
      <c r="EI32" s="202"/>
      <c r="EJ32" s="202"/>
      <c r="EK32" s="202"/>
      <c r="EL32" s="202"/>
      <c r="EM32" s="202"/>
      <c r="EN32" s="202"/>
      <c r="EO32" s="202"/>
      <c r="EP32" s="202"/>
      <c r="EQ32" s="202"/>
      <c r="ER32" s="202"/>
      <c r="ES32" s="202"/>
      <c r="ET32" s="202"/>
      <c r="EU32" s="202"/>
      <c r="EV32" s="202"/>
      <c r="EW32" s="202"/>
      <c r="EX32" s="202"/>
      <c r="EY32" s="202"/>
      <c r="EZ32" s="202"/>
      <c r="FA32" s="202"/>
      <c r="FB32" s="202"/>
      <c r="FC32" s="202"/>
      <c r="FD32" s="202"/>
      <c r="FE32" s="202"/>
      <c r="FF32" s="202"/>
      <c r="FG32" s="202"/>
      <c r="FH32" s="202"/>
      <c r="FI32" s="202"/>
    </row>
    <row r="33" spans="1:165" s="228" customFormat="1" ht="18" customHeight="1" x14ac:dyDescent="0.25">
      <c r="A33" s="578">
        <f t="shared" si="2"/>
        <v>24</v>
      </c>
      <c r="B33" s="588">
        <v>0</v>
      </c>
      <c r="C33" s="591">
        <v>5</v>
      </c>
      <c r="D33" s="556" t="s">
        <v>661</v>
      </c>
      <c r="E33" s="597" t="s">
        <v>266</v>
      </c>
      <c r="F33" s="598" t="s">
        <v>1044</v>
      </c>
      <c r="G33" s="556" t="s">
        <v>662</v>
      </c>
      <c r="H33" s="599" t="s">
        <v>794</v>
      </c>
      <c r="I33" s="593">
        <v>1</v>
      </c>
      <c r="J33" s="556" t="s">
        <v>64</v>
      </c>
      <c r="K33" s="594" t="s">
        <v>265</v>
      </c>
      <c r="L33" s="306" t="s">
        <v>122</v>
      </c>
      <c r="M33" s="307"/>
      <c r="N33" s="307"/>
      <c r="O33" s="307"/>
      <c r="P33" s="307"/>
      <c r="Q33" s="79"/>
      <c r="R33" s="79"/>
      <c r="S33" s="585" t="s">
        <v>122</v>
      </c>
      <c r="T33" s="585" t="s">
        <v>120</v>
      </c>
      <c r="U33" s="585"/>
      <c r="V33" s="585"/>
      <c r="W33" s="585" t="s">
        <v>120</v>
      </c>
      <c r="X33" s="586" t="s">
        <v>120</v>
      </c>
      <c r="Y33" s="585"/>
      <c r="Z33" s="585"/>
      <c r="AA33" s="585"/>
      <c r="AB33" s="585"/>
      <c r="AC33" s="585"/>
      <c r="AD33" s="585"/>
      <c r="AE33" s="585" t="s">
        <v>120</v>
      </c>
      <c r="AF33" s="585" t="s">
        <v>120</v>
      </c>
      <c r="AG33" s="585" t="s">
        <v>120</v>
      </c>
      <c r="AH33" s="585" t="s">
        <v>120</v>
      </c>
      <c r="AI33" s="585"/>
      <c r="AJ33" s="79"/>
      <c r="AK33" s="79"/>
      <c r="AL33" s="585"/>
      <c r="AM33" s="585"/>
      <c r="AN33" s="585"/>
      <c r="AO33" s="585" t="s">
        <v>121</v>
      </c>
      <c r="AP33" s="585"/>
      <c r="AQ33" s="585" t="s">
        <v>121</v>
      </c>
      <c r="AR33" s="585"/>
      <c r="AS33" s="79"/>
      <c r="AT33" s="79"/>
      <c r="AU33" s="585"/>
      <c r="AV33" s="585"/>
      <c r="AW33" s="585"/>
      <c r="AX33" s="585" t="s">
        <v>120</v>
      </c>
      <c r="AY33" s="585"/>
      <c r="AZ33" s="585"/>
      <c r="BA33" s="585"/>
      <c r="BB33" s="585" t="s">
        <v>121</v>
      </c>
      <c r="BC33" s="585"/>
      <c r="BD33" s="585" t="s">
        <v>121</v>
      </c>
      <c r="BE33" s="79"/>
      <c r="BF33" s="79"/>
      <c r="BG33" s="585"/>
      <c r="BH33" s="585"/>
      <c r="BI33" s="585"/>
      <c r="BJ33" s="585" t="s">
        <v>120</v>
      </c>
      <c r="BK33" s="585"/>
      <c r="BL33" s="585"/>
      <c r="BM33" s="585"/>
      <c r="BN33" s="585" t="s">
        <v>121</v>
      </c>
      <c r="BO33" s="585"/>
      <c r="BP33" s="585" t="s">
        <v>121</v>
      </c>
      <c r="BQ33" s="79"/>
      <c r="BR33" s="79"/>
      <c r="BS33" s="585" t="s">
        <v>120</v>
      </c>
      <c r="BT33" s="79"/>
      <c r="BU33" s="79"/>
      <c r="BV33" s="585"/>
      <c r="BW33" s="585"/>
      <c r="BX33" s="585"/>
      <c r="BY33" s="585"/>
      <c r="BZ33" s="79"/>
      <c r="CA33" s="79"/>
      <c r="CB33" s="585" t="s">
        <v>122</v>
      </c>
      <c r="CC33" s="585"/>
      <c r="CD33" s="585"/>
      <c r="CE33" s="79"/>
      <c r="CF33" s="79"/>
      <c r="CG33" s="585"/>
      <c r="CH33" s="585" t="s">
        <v>40</v>
      </c>
      <c r="CI33" s="585" t="s">
        <v>40</v>
      </c>
      <c r="CJ33" s="201"/>
      <c r="CK33" s="202"/>
      <c r="CL33" s="202"/>
      <c r="CM33" s="202"/>
      <c r="CN33" s="202"/>
      <c r="CO33" s="202"/>
      <c r="CP33" s="202"/>
      <c r="CQ33" s="202"/>
      <c r="CR33" s="202"/>
      <c r="CS33" s="202"/>
      <c r="CT33" s="202"/>
      <c r="CU33" s="202"/>
      <c r="CV33" s="202"/>
      <c r="CW33" s="202"/>
      <c r="CX33" s="202"/>
      <c r="CY33" s="202"/>
      <c r="CZ33" s="202"/>
      <c r="DA33" s="202"/>
      <c r="DB33" s="202"/>
      <c r="DC33" s="202"/>
      <c r="DD33" s="202"/>
      <c r="DE33" s="202"/>
      <c r="DF33" s="202"/>
      <c r="DG33" s="202"/>
      <c r="DH33" s="202"/>
      <c r="DI33" s="202"/>
      <c r="DJ33" s="202"/>
      <c r="DK33" s="202"/>
      <c r="DL33" s="202"/>
      <c r="DM33" s="202"/>
      <c r="DN33" s="202"/>
      <c r="DO33" s="202"/>
      <c r="DP33" s="202"/>
      <c r="DQ33" s="202"/>
      <c r="DR33" s="202"/>
      <c r="DS33" s="202"/>
      <c r="DT33" s="202"/>
      <c r="DU33" s="202"/>
      <c r="DV33" s="202"/>
      <c r="DW33" s="202"/>
      <c r="DX33" s="202"/>
      <c r="DY33" s="202"/>
      <c r="DZ33" s="202"/>
      <c r="EA33" s="202"/>
      <c r="EB33" s="202"/>
      <c r="EC33" s="202"/>
      <c r="ED33" s="202"/>
      <c r="EE33" s="202"/>
      <c r="EF33" s="202"/>
      <c r="EG33" s="202"/>
      <c r="EH33" s="202"/>
      <c r="EI33" s="202"/>
      <c r="EJ33" s="202"/>
      <c r="EK33" s="202"/>
      <c r="EL33" s="202"/>
      <c r="EM33" s="202"/>
      <c r="EN33" s="202"/>
      <c r="EO33" s="202"/>
      <c r="EP33" s="202"/>
      <c r="EQ33" s="202"/>
      <c r="ER33" s="202"/>
      <c r="ES33" s="202"/>
      <c r="ET33" s="202"/>
      <c r="EU33" s="202"/>
      <c r="EV33" s="202"/>
      <c r="EW33" s="202"/>
      <c r="EX33" s="202"/>
      <c r="EY33" s="202"/>
      <c r="EZ33" s="202"/>
      <c r="FA33" s="202"/>
      <c r="FB33" s="202"/>
      <c r="FC33" s="202"/>
      <c r="FD33" s="202"/>
      <c r="FE33" s="202"/>
      <c r="FF33" s="202"/>
      <c r="FG33" s="202"/>
      <c r="FH33" s="202"/>
      <c r="FI33" s="202"/>
    </row>
    <row r="34" spans="1:165" s="228" customFormat="1" ht="18" customHeight="1" x14ac:dyDescent="0.25">
      <c r="A34" s="578">
        <f t="shared" si="2"/>
        <v>25</v>
      </c>
      <c r="B34" s="588">
        <v>0</v>
      </c>
      <c r="C34" s="591">
        <v>5</v>
      </c>
      <c r="D34" s="591" t="s">
        <v>267</v>
      </c>
      <c r="E34" s="600" t="s">
        <v>663</v>
      </c>
      <c r="F34" s="601" t="s">
        <v>268</v>
      </c>
      <c r="G34" s="601" t="s">
        <v>65</v>
      </c>
      <c r="H34" s="602" t="s">
        <v>795</v>
      </c>
      <c r="I34" s="593">
        <v>1</v>
      </c>
      <c r="J34" s="556" t="s">
        <v>64</v>
      </c>
      <c r="K34" s="594">
        <v>13</v>
      </c>
      <c r="L34" s="306" t="s">
        <v>122</v>
      </c>
      <c r="M34" s="307"/>
      <c r="N34" s="307"/>
      <c r="O34" s="307"/>
      <c r="P34" s="307"/>
      <c r="Q34" s="79"/>
      <c r="R34" s="79"/>
      <c r="S34" s="585"/>
      <c r="T34" s="585" t="s">
        <v>120</v>
      </c>
      <c r="U34" s="585"/>
      <c r="V34" s="585"/>
      <c r="W34" s="585" t="s">
        <v>120</v>
      </c>
      <c r="X34" s="586" t="s">
        <v>120</v>
      </c>
      <c r="Y34" s="585"/>
      <c r="Z34" s="585"/>
      <c r="AA34" s="585"/>
      <c r="AB34" s="585"/>
      <c r="AC34" s="585"/>
      <c r="AD34" s="585"/>
      <c r="AE34" s="585" t="s">
        <v>120</v>
      </c>
      <c r="AF34" s="585" t="s">
        <v>120</v>
      </c>
      <c r="AG34" s="585" t="s">
        <v>120</v>
      </c>
      <c r="AH34" s="585" t="s">
        <v>120</v>
      </c>
      <c r="AI34" s="585"/>
      <c r="AJ34" s="79"/>
      <c r="AK34" s="79"/>
      <c r="AL34" s="585"/>
      <c r="AM34" s="585"/>
      <c r="AN34" s="585"/>
      <c r="AO34" s="585" t="s">
        <v>121</v>
      </c>
      <c r="AP34" s="585"/>
      <c r="AQ34" s="585" t="s">
        <v>121</v>
      </c>
      <c r="AR34" s="585"/>
      <c r="AS34" s="79"/>
      <c r="AT34" s="79"/>
      <c r="AU34" s="585"/>
      <c r="AV34" s="585"/>
      <c r="AW34" s="585"/>
      <c r="AX34" s="585" t="s">
        <v>120</v>
      </c>
      <c r="AY34" s="585"/>
      <c r="AZ34" s="585"/>
      <c r="BA34" s="585"/>
      <c r="BB34" s="585" t="s">
        <v>121</v>
      </c>
      <c r="BC34" s="585"/>
      <c r="BD34" s="585" t="s">
        <v>121</v>
      </c>
      <c r="BE34" s="79"/>
      <c r="BF34" s="79"/>
      <c r="BG34" s="585"/>
      <c r="BH34" s="585"/>
      <c r="BI34" s="585"/>
      <c r="BJ34" s="585" t="s">
        <v>120</v>
      </c>
      <c r="BK34" s="585"/>
      <c r="BL34" s="585"/>
      <c r="BM34" s="585"/>
      <c r="BN34" s="585" t="s">
        <v>121</v>
      </c>
      <c r="BO34" s="585"/>
      <c r="BP34" s="585" t="s">
        <v>121</v>
      </c>
      <c r="BQ34" s="79"/>
      <c r="BR34" s="79"/>
      <c r="BS34" s="585" t="s">
        <v>120</v>
      </c>
      <c r="BT34" s="79"/>
      <c r="BU34" s="79"/>
      <c r="BV34" s="585"/>
      <c r="BW34" s="585"/>
      <c r="BX34" s="585"/>
      <c r="BY34" s="585"/>
      <c r="BZ34" s="79"/>
      <c r="CA34" s="79"/>
      <c r="CB34" s="585" t="s">
        <v>122</v>
      </c>
      <c r="CC34" s="585"/>
      <c r="CD34" s="585"/>
      <c r="CE34" s="79"/>
      <c r="CF34" s="79"/>
      <c r="CG34" s="585"/>
      <c r="CH34" s="585" t="s">
        <v>40</v>
      </c>
      <c r="CI34" s="585" t="s">
        <v>40</v>
      </c>
      <c r="CJ34" s="201"/>
      <c r="CK34" s="202"/>
      <c r="CL34" s="202"/>
      <c r="CM34" s="202"/>
      <c r="CN34" s="202"/>
      <c r="CO34" s="202"/>
      <c r="CP34" s="202"/>
      <c r="CQ34" s="202"/>
      <c r="CR34" s="202"/>
      <c r="CS34" s="202"/>
      <c r="CT34" s="202"/>
      <c r="CU34" s="202"/>
      <c r="CV34" s="202"/>
      <c r="CW34" s="202"/>
      <c r="CX34" s="202"/>
      <c r="CY34" s="202"/>
      <c r="CZ34" s="202"/>
      <c r="DA34" s="202"/>
      <c r="DB34" s="202"/>
      <c r="DC34" s="202"/>
      <c r="DD34" s="202"/>
      <c r="DE34" s="202"/>
      <c r="DF34" s="202"/>
      <c r="DG34" s="202"/>
      <c r="DH34" s="202"/>
      <c r="DI34" s="202"/>
      <c r="DJ34" s="202"/>
      <c r="DK34" s="202"/>
      <c r="DL34" s="202"/>
      <c r="DM34" s="202"/>
      <c r="DN34" s="202"/>
      <c r="DO34" s="202"/>
      <c r="DP34" s="202"/>
      <c r="DQ34" s="202"/>
      <c r="DR34" s="202"/>
      <c r="DS34" s="202"/>
      <c r="DT34" s="202"/>
      <c r="DU34" s="202"/>
      <c r="DV34" s="202"/>
      <c r="DW34" s="202"/>
      <c r="DX34" s="202"/>
      <c r="DY34" s="202"/>
      <c r="DZ34" s="202"/>
      <c r="EA34" s="202"/>
      <c r="EB34" s="202"/>
      <c r="EC34" s="202"/>
      <c r="ED34" s="202"/>
      <c r="EE34" s="202"/>
      <c r="EF34" s="202"/>
      <c r="EG34" s="202"/>
      <c r="EH34" s="202"/>
      <c r="EI34" s="202"/>
      <c r="EJ34" s="202"/>
      <c r="EK34" s="202"/>
      <c r="EL34" s="202"/>
      <c r="EM34" s="202"/>
      <c r="EN34" s="202"/>
      <c r="EO34" s="202"/>
      <c r="EP34" s="202"/>
      <c r="EQ34" s="202"/>
      <c r="ER34" s="202"/>
      <c r="ES34" s="202"/>
      <c r="ET34" s="202"/>
      <c r="EU34" s="202"/>
      <c r="EV34" s="202"/>
      <c r="EW34" s="202"/>
      <c r="EX34" s="202"/>
      <c r="EY34" s="202"/>
      <c r="EZ34" s="202"/>
      <c r="FA34" s="202"/>
      <c r="FB34" s="202"/>
      <c r="FC34" s="202"/>
      <c r="FD34" s="202"/>
      <c r="FE34" s="202"/>
      <c r="FF34" s="202"/>
      <c r="FG34" s="202"/>
      <c r="FH34" s="202"/>
      <c r="FI34" s="202"/>
    </row>
    <row r="35" spans="1:165" s="228" customFormat="1" ht="18" customHeight="1" x14ac:dyDescent="0.25">
      <c r="A35" s="578">
        <f t="shared" si="2"/>
        <v>26</v>
      </c>
      <c r="B35" s="588">
        <v>0</v>
      </c>
      <c r="C35" s="591">
        <v>5</v>
      </c>
      <c r="D35" s="591" t="s">
        <v>269</v>
      </c>
      <c r="E35" s="600" t="s">
        <v>664</v>
      </c>
      <c r="F35" s="601" t="s">
        <v>268</v>
      </c>
      <c r="G35" s="585" t="s">
        <v>66</v>
      </c>
      <c r="H35" s="603" t="s">
        <v>796</v>
      </c>
      <c r="I35" s="593">
        <v>1</v>
      </c>
      <c r="J35" s="556" t="s">
        <v>64</v>
      </c>
      <c r="K35" s="594">
        <v>13</v>
      </c>
      <c r="L35" s="306" t="s">
        <v>122</v>
      </c>
      <c r="M35" s="307"/>
      <c r="N35" s="307"/>
      <c r="O35" s="307"/>
      <c r="P35" s="307"/>
      <c r="Q35" s="79"/>
      <c r="R35" s="79"/>
      <c r="S35" s="585"/>
      <c r="T35" s="585" t="s">
        <v>120</v>
      </c>
      <c r="U35" s="585"/>
      <c r="V35" s="585"/>
      <c r="W35" s="585" t="s">
        <v>120</v>
      </c>
      <c r="X35" s="586" t="s">
        <v>120</v>
      </c>
      <c r="Y35" s="585"/>
      <c r="Z35" s="585"/>
      <c r="AA35" s="585"/>
      <c r="AB35" s="585"/>
      <c r="AC35" s="585"/>
      <c r="AD35" s="585"/>
      <c r="AE35" s="585" t="s">
        <v>120</v>
      </c>
      <c r="AF35" s="585" t="s">
        <v>120</v>
      </c>
      <c r="AG35" s="585" t="s">
        <v>120</v>
      </c>
      <c r="AH35" s="585" t="s">
        <v>120</v>
      </c>
      <c r="AI35" s="585"/>
      <c r="AJ35" s="79"/>
      <c r="AK35" s="79"/>
      <c r="AL35" s="585"/>
      <c r="AM35" s="585"/>
      <c r="AN35" s="585"/>
      <c r="AO35" s="585" t="s">
        <v>121</v>
      </c>
      <c r="AP35" s="585"/>
      <c r="AQ35" s="585" t="s">
        <v>121</v>
      </c>
      <c r="AR35" s="585"/>
      <c r="AS35" s="79"/>
      <c r="AT35" s="79"/>
      <c r="AU35" s="585"/>
      <c r="AV35" s="585"/>
      <c r="AW35" s="585"/>
      <c r="AX35" s="585" t="s">
        <v>120</v>
      </c>
      <c r="AY35" s="585"/>
      <c r="AZ35" s="585"/>
      <c r="BA35" s="585"/>
      <c r="BB35" s="585" t="s">
        <v>121</v>
      </c>
      <c r="BC35" s="585"/>
      <c r="BD35" s="585" t="s">
        <v>121</v>
      </c>
      <c r="BE35" s="79"/>
      <c r="BF35" s="79"/>
      <c r="BG35" s="585"/>
      <c r="BH35" s="585"/>
      <c r="BI35" s="585"/>
      <c r="BJ35" s="585" t="s">
        <v>120</v>
      </c>
      <c r="BK35" s="585"/>
      <c r="BL35" s="585"/>
      <c r="BM35" s="585"/>
      <c r="BN35" s="585" t="s">
        <v>121</v>
      </c>
      <c r="BO35" s="585"/>
      <c r="BP35" s="585" t="s">
        <v>121</v>
      </c>
      <c r="BQ35" s="79"/>
      <c r="BR35" s="79"/>
      <c r="BS35" s="585" t="s">
        <v>120</v>
      </c>
      <c r="BT35" s="79"/>
      <c r="BU35" s="79"/>
      <c r="BV35" s="585"/>
      <c r="BW35" s="585"/>
      <c r="BX35" s="585"/>
      <c r="BY35" s="585"/>
      <c r="BZ35" s="79"/>
      <c r="CA35" s="79"/>
      <c r="CB35" s="585" t="s">
        <v>122</v>
      </c>
      <c r="CC35" s="585"/>
      <c r="CD35" s="585"/>
      <c r="CE35" s="79"/>
      <c r="CF35" s="79"/>
      <c r="CG35" s="585"/>
      <c r="CH35" s="585" t="s">
        <v>40</v>
      </c>
      <c r="CI35" s="585" t="s">
        <v>40</v>
      </c>
      <c r="CJ35" s="201"/>
      <c r="CK35" s="202"/>
      <c r="CL35" s="202"/>
      <c r="CM35" s="202"/>
      <c r="CN35" s="202"/>
      <c r="CO35" s="202"/>
      <c r="CP35" s="202"/>
      <c r="CQ35" s="202"/>
      <c r="CR35" s="202"/>
      <c r="CS35" s="202"/>
      <c r="CT35" s="202"/>
      <c r="CU35" s="202"/>
      <c r="CV35" s="202"/>
      <c r="CW35" s="202"/>
      <c r="CX35" s="202"/>
      <c r="CY35" s="202"/>
      <c r="CZ35" s="202"/>
      <c r="DA35" s="202"/>
      <c r="DB35" s="202"/>
      <c r="DC35" s="202"/>
      <c r="DD35" s="202"/>
      <c r="DE35" s="202"/>
      <c r="DF35" s="202"/>
      <c r="DG35" s="202"/>
      <c r="DH35" s="202"/>
      <c r="DI35" s="202"/>
      <c r="DJ35" s="202"/>
      <c r="DK35" s="202"/>
      <c r="DL35" s="202"/>
      <c r="DM35" s="202"/>
      <c r="DN35" s="202"/>
      <c r="DO35" s="202"/>
      <c r="DP35" s="202"/>
      <c r="DQ35" s="202"/>
      <c r="DR35" s="202"/>
      <c r="DS35" s="202"/>
      <c r="DT35" s="202"/>
      <c r="DU35" s="202"/>
      <c r="DV35" s="202"/>
      <c r="DW35" s="202"/>
      <c r="DX35" s="202"/>
      <c r="DY35" s="202"/>
      <c r="DZ35" s="202"/>
      <c r="EA35" s="202"/>
      <c r="EB35" s="202"/>
      <c r="EC35" s="202"/>
      <c r="ED35" s="202"/>
      <c r="EE35" s="202"/>
      <c r="EF35" s="202"/>
      <c r="EG35" s="202"/>
      <c r="EH35" s="202"/>
      <c r="EI35" s="202"/>
      <c r="EJ35" s="202"/>
      <c r="EK35" s="202"/>
      <c r="EL35" s="202"/>
      <c r="EM35" s="202"/>
      <c r="EN35" s="202"/>
      <c r="EO35" s="202"/>
      <c r="EP35" s="202"/>
      <c r="EQ35" s="202"/>
      <c r="ER35" s="202"/>
      <c r="ES35" s="202"/>
      <c r="ET35" s="202"/>
      <c r="EU35" s="202"/>
      <c r="EV35" s="202"/>
      <c r="EW35" s="202"/>
      <c r="EX35" s="202"/>
      <c r="EY35" s="202"/>
      <c r="EZ35" s="202"/>
      <c r="FA35" s="202"/>
      <c r="FB35" s="202"/>
      <c r="FC35" s="202"/>
      <c r="FD35" s="202"/>
      <c r="FE35" s="202"/>
      <c r="FF35" s="202"/>
      <c r="FG35" s="202"/>
      <c r="FH35" s="202"/>
      <c r="FI35" s="202"/>
    </row>
    <row r="36" spans="1:165" s="228" customFormat="1" ht="18" customHeight="1" x14ac:dyDescent="0.2">
      <c r="A36" s="289">
        <f t="shared" si="2"/>
        <v>27</v>
      </c>
      <c r="B36" s="179"/>
      <c r="C36" s="72"/>
      <c r="D36" s="76"/>
      <c r="E36" s="114"/>
      <c r="F36" s="107"/>
      <c r="G36" s="296"/>
      <c r="H36" s="180"/>
      <c r="I36" s="142"/>
      <c r="J36" s="76"/>
      <c r="K36" s="141"/>
      <c r="L36" s="261"/>
      <c r="M36" s="79"/>
      <c r="N36" s="79"/>
      <c r="O36" s="79"/>
      <c r="P36" s="79"/>
      <c r="Q36" s="79"/>
      <c r="R36" s="76"/>
      <c r="S36" s="76"/>
      <c r="T36" s="79"/>
      <c r="U36" s="79"/>
      <c r="V36" s="79"/>
      <c r="W36" s="76"/>
      <c r="X36" s="76"/>
      <c r="Y36" s="76"/>
      <c r="Z36" s="76"/>
      <c r="AA36" s="79"/>
      <c r="AB36" s="79"/>
      <c r="AC36" s="76"/>
      <c r="AD36" s="76"/>
      <c r="AE36" s="76"/>
      <c r="AF36" s="76"/>
      <c r="AG36" s="76"/>
      <c r="AH36" s="76"/>
      <c r="AI36" s="76"/>
      <c r="AJ36" s="76"/>
      <c r="AK36" s="79"/>
      <c r="AL36" s="76"/>
      <c r="AM36" s="76"/>
      <c r="AN36" s="76"/>
      <c r="AO36" s="79"/>
      <c r="AP36" s="76"/>
      <c r="AQ36" s="79"/>
      <c r="AR36" s="79"/>
      <c r="AS36" s="79"/>
      <c r="AT36" s="79"/>
      <c r="AU36" s="79"/>
      <c r="AV36" s="79"/>
      <c r="AW36" s="79"/>
      <c r="AX36" s="79"/>
      <c r="AY36" s="79"/>
      <c r="AZ36" s="79"/>
      <c r="BA36" s="79"/>
      <c r="BB36" s="79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6"/>
      <c r="BS36" s="76"/>
      <c r="BT36" s="76"/>
      <c r="BU36" s="79"/>
      <c r="BV36" s="79"/>
      <c r="BW36" s="79"/>
      <c r="BX36" s="79"/>
      <c r="BY36" s="79"/>
      <c r="BZ36" s="79"/>
      <c r="CA36" s="76"/>
      <c r="CB36" s="79"/>
      <c r="CC36" s="79"/>
      <c r="CD36" s="79"/>
      <c r="CE36" s="79"/>
      <c r="CF36" s="79"/>
      <c r="CG36" s="79"/>
      <c r="CH36" s="79"/>
      <c r="CI36" s="79"/>
      <c r="CJ36" s="201"/>
      <c r="CK36" s="202"/>
      <c r="CL36" s="202"/>
      <c r="CM36" s="202"/>
      <c r="CN36" s="202"/>
      <c r="CO36" s="202"/>
      <c r="CP36" s="202"/>
      <c r="CQ36" s="202"/>
      <c r="CR36" s="202"/>
      <c r="CS36" s="202"/>
      <c r="CT36" s="202"/>
      <c r="CU36" s="202"/>
      <c r="CV36" s="202"/>
      <c r="CW36" s="202"/>
      <c r="CX36" s="202"/>
      <c r="CY36" s="202"/>
      <c r="CZ36" s="202"/>
      <c r="DA36" s="202"/>
      <c r="DB36" s="202"/>
      <c r="DC36" s="202"/>
      <c r="DD36" s="202"/>
      <c r="DE36" s="202"/>
      <c r="DF36" s="202"/>
      <c r="DG36" s="202"/>
      <c r="DH36" s="202"/>
      <c r="DI36" s="202"/>
      <c r="DJ36" s="202"/>
      <c r="DK36" s="202"/>
      <c r="DL36" s="202"/>
      <c r="DM36" s="202"/>
      <c r="DN36" s="202"/>
      <c r="DO36" s="202"/>
      <c r="DP36" s="202"/>
      <c r="DQ36" s="202"/>
      <c r="DR36" s="202"/>
      <c r="DS36" s="202"/>
      <c r="DT36" s="202"/>
      <c r="DU36" s="202"/>
      <c r="DV36" s="202"/>
      <c r="DW36" s="202"/>
      <c r="DX36" s="202"/>
      <c r="DY36" s="202"/>
      <c r="DZ36" s="202"/>
      <c r="EA36" s="202"/>
      <c r="EB36" s="202"/>
      <c r="EC36" s="202"/>
      <c r="ED36" s="202"/>
      <c r="EE36" s="202"/>
      <c r="EF36" s="202"/>
      <c r="EG36" s="202"/>
      <c r="EH36" s="202"/>
      <c r="EI36" s="202"/>
      <c r="EJ36" s="202"/>
      <c r="EK36" s="202"/>
      <c r="EL36" s="202"/>
      <c r="EM36" s="202"/>
      <c r="EN36" s="202"/>
      <c r="EO36" s="202"/>
      <c r="EP36" s="202"/>
      <c r="EQ36" s="202"/>
      <c r="ER36" s="202"/>
      <c r="ES36" s="202"/>
      <c r="ET36" s="202"/>
      <c r="EU36" s="202"/>
      <c r="EV36" s="202"/>
      <c r="EW36" s="202"/>
      <c r="EX36" s="202"/>
      <c r="EY36" s="202"/>
      <c r="EZ36" s="202"/>
      <c r="FA36" s="202"/>
      <c r="FB36" s="202"/>
      <c r="FC36" s="202"/>
      <c r="FD36" s="202"/>
      <c r="FE36" s="202"/>
      <c r="FF36" s="202"/>
      <c r="FG36" s="202"/>
      <c r="FH36" s="202"/>
      <c r="FI36" s="202"/>
    </row>
    <row r="37" spans="1:165" s="228" customFormat="1" ht="18" customHeight="1" x14ac:dyDescent="0.25">
      <c r="A37" s="578">
        <f t="shared" si="2"/>
        <v>28</v>
      </c>
      <c r="B37" s="604">
        <v>0</v>
      </c>
      <c r="C37" s="591">
        <v>5</v>
      </c>
      <c r="D37" s="556" t="s">
        <v>270</v>
      </c>
      <c r="E37" s="589" t="s">
        <v>271</v>
      </c>
      <c r="F37" s="598" t="s">
        <v>1044</v>
      </c>
      <c r="G37" s="556" t="s">
        <v>272</v>
      </c>
      <c r="H37" s="599" t="s">
        <v>665</v>
      </c>
      <c r="I37" s="605">
        <v>9</v>
      </c>
      <c r="J37" s="556"/>
      <c r="K37" s="594"/>
      <c r="L37" s="306"/>
      <c r="M37" s="307"/>
      <c r="N37" s="307"/>
      <c r="O37" s="307"/>
      <c r="P37" s="307"/>
      <c r="Q37" s="79"/>
      <c r="R37" s="76"/>
      <c r="S37" s="556"/>
      <c r="T37" s="585"/>
      <c r="U37" s="585"/>
      <c r="V37" s="585"/>
      <c r="W37" s="556"/>
      <c r="X37" s="556"/>
      <c r="Y37" s="556"/>
      <c r="Z37" s="556"/>
      <c r="AA37" s="585"/>
      <c r="AB37" s="585"/>
      <c r="AC37" s="556"/>
      <c r="AD37" s="556"/>
      <c r="AE37" s="556"/>
      <c r="AF37" s="556"/>
      <c r="AG37" s="556"/>
      <c r="AH37" s="556"/>
      <c r="AI37" s="556"/>
      <c r="AJ37" s="76"/>
      <c r="AK37" s="79"/>
      <c r="AL37" s="556"/>
      <c r="AM37" s="556"/>
      <c r="AN37" s="556"/>
      <c r="AO37" s="585"/>
      <c r="AP37" s="556"/>
      <c r="AQ37" s="585"/>
      <c r="AR37" s="585"/>
      <c r="AS37" s="79"/>
      <c r="AT37" s="79"/>
      <c r="AU37" s="585"/>
      <c r="AV37" s="585"/>
      <c r="AW37" s="585"/>
      <c r="AX37" s="585"/>
      <c r="AY37" s="585"/>
      <c r="AZ37" s="585"/>
      <c r="BA37" s="585"/>
      <c r="BB37" s="585"/>
      <c r="BC37" s="585"/>
      <c r="BD37" s="585"/>
      <c r="BE37" s="79"/>
      <c r="BF37" s="79"/>
      <c r="BG37" s="585"/>
      <c r="BH37" s="585"/>
      <c r="BI37" s="585"/>
      <c r="BJ37" s="585"/>
      <c r="BK37" s="585"/>
      <c r="BL37" s="585"/>
      <c r="BM37" s="585"/>
      <c r="BN37" s="585"/>
      <c r="BO37" s="585"/>
      <c r="BP37" s="585"/>
      <c r="BQ37" s="79"/>
      <c r="BR37" s="76"/>
      <c r="BS37" s="556"/>
      <c r="BT37" s="76"/>
      <c r="BU37" s="79"/>
      <c r="BV37" s="585"/>
      <c r="BW37" s="585"/>
      <c r="BX37" s="585"/>
      <c r="BY37" s="585"/>
      <c r="BZ37" s="79"/>
      <c r="CA37" s="76"/>
      <c r="CB37" s="585"/>
      <c r="CC37" s="585"/>
      <c r="CD37" s="585"/>
      <c r="CE37" s="79"/>
      <c r="CF37" s="79"/>
      <c r="CG37" s="585"/>
      <c r="CH37" s="585" t="s">
        <v>40</v>
      </c>
      <c r="CI37" s="585" t="s">
        <v>40</v>
      </c>
      <c r="CJ37" s="201"/>
      <c r="CK37" s="202"/>
      <c r="CL37" s="202"/>
      <c r="CM37" s="202"/>
      <c r="CN37" s="202"/>
      <c r="CO37" s="202"/>
      <c r="CP37" s="202"/>
      <c r="CQ37" s="202"/>
      <c r="CR37" s="202"/>
      <c r="CS37" s="202"/>
      <c r="CT37" s="202"/>
      <c r="CU37" s="202"/>
      <c r="CV37" s="202"/>
      <c r="CW37" s="202"/>
      <c r="CX37" s="202"/>
      <c r="CY37" s="202"/>
      <c r="CZ37" s="202"/>
      <c r="DA37" s="202"/>
      <c r="DB37" s="202"/>
      <c r="DC37" s="202"/>
      <c r="DD37" s="202"/>
      <c r="DE37" s="202"/>
      <c r="DF37" s="202"/>
      <c r="DG37" s="202"/>
      <c r="DH37" s="202"/>
      <c r="DI37" s="202"/>
      <c r="DJ37" s="202"/>
      <c r="DK37" s="202"/>
      <c r="DL37" s="202"/>
      <c r="DM37" s="202"/>
      <c r="DN37" s="202"/>
      <c r="DO37" s="202"/>
      <c r="DP37" s="202"/>
      <c r="DQ37" s="202"/>
      <c r="DR37" s="202"/>
      <c r="DS37" s="202"/>
      <c r="DT37" s="202"/>
      <c r="DU37" s="202"/>
      <c r="DV37" s="202"/>
      <c r="DW37" s="202"/>
      <c r="DX37" s="202"/>
      <c r="DY37" s="202"/>
      <c r="DZ37" s="202"/>
      <c r="EA37" s="202"/>
      <c r="EB37" s="202"/>
      <c r="EC37" s="202"/>
      <c r="ED37" s="202"/>
      <c r="EE37" s="202"/>
      <c r="EF37" s="202"/>
      <c r="EG37" s="202"/>
      <c r="EH37" s="202"/>
      <c r="EI37" s="202"/>
      <c r="EJ37" s="202"/>
      <c r="EK37" s="202"/>
      <c r="EL37" s="202"/>
      <c r="EM37" s="202"/>
      <c r="EN37" s="202"/>
      <c r="EO37" s="202"/>
      <c r="EP37" s="202"/>
      <c r="EQ37" s="202"/>
      <c r="ER37" s="202"/>
      <c r="ES37" s="202"/>
      <c r="ET37" s="202"/>
      <c r="EU37" s="202"/>
      <c r="EV37" s="202"/>
      <c r="EW37" s="202"/>
      <c r="EX37" s="202"/>
      <c r="EY37" s="202"/>
      <c r="EZ37" s="202"/>
      <c r="FA37" s="202"/>
      <c r="FB37" s="202"/>
      <c r="FC37" s="202"/>
      <c r="FD37" s="202"/>
      <c r="FE37" s="202"/>
      <c r="FF37" s="202"/>
      <c r="FG37" s="202"/>
      <c r="FH37" s="202"/>
      <c r="FI37" s="202"/>
    </row>
    <row r="38" spans="1:165" s="228" customFormat="1" ht="18" customHeight="1" x14ac:dyDescent="0.25">
      <c r="A38" s="578">
        <f t="shared" si="2"/>
        <v>29</v>
      </c>
      <c r="B38" s="604">
        <v>0</v>
      </c>
      <c r="C38" s="591">
        <v>5</v>
      </c>
      <c r="D38" s="556" t="s">
        <v>273</v>
      </c>
      <c r="E38" s="589" t="s">
        <v>666</v>
      </c>
      <c r="F38" s="598" t="s">
        <v>1044</v>
      </c>
      <c r="G38" s="556" t="s">
        <v>274</v>
      </c>
      <c r="H38" s="599" t="s">
        <v>667</v>
      </c>
      <c r="I38" s="605">
        <v>9</v>
      </c>
      <c r="J38" s="556"/>
      <c r="K38" s="594"/>
      <c r="L38" s="306"/>
      <c r="M38" s="307"/>
      <c r="N38" s="307"/>
      <c r="O38" s="307"/>
      <c r="P38" s="307"/>
      <c r="Q38" s="79"/>
      <c r="R38" s="76"/>
      <c r="S38" s="556"/>
      <c r="T38" s="585"/>
      <c r="U38" s="585"/>
      <c r="V38" s="585"/>
      <c r="W38" s="556"/>
      <c r="X38" s="556"/>
      <c r="Y38" s="556"/>
      <c r="Z38" s="556"/>
      <c r="AA38" s="585"/>
      <c r="AB38" s="585"/>
      <c r="AC38" s="556"/>
      <c r="AD38" s="556"/>
      <c r="AE38" s="556"/>
      <c r="AF38" s="556"/>
      <c r="AG38" s="556"/>
      <c r="AH38" s="556"/>
      <c r="AI38" s="556"/>
      <c r="AJ38" s="76"/>
      <c r="AK38" s="79"/>
      <c r="AL38" s="556"/>
      <c r="AM38" s="556"/>
      <c r="AN38" s="556"/>
      <c r="AO38" s="585"/>
      <c r="AP38" s="556"/>
      <c r="AQ38" s="585"/>
      <c r="AR38" s="585"/>
      <c r="AS38" s="79"/>
      <c r="AT38" s="79"/>
      <c r="AU38" s="585"/>
      <c r="AV38" s="585"/>
      <c r="AW38" s="585"/>
      <c r="AX38" s="585"/>
      <c r="AY38" s="585"/>
      <c r="AZ38" s="585"/>
      <c r="BA38" s="585"/>
      <c r="BB38" s="585"/>
      <c r="BC38" s="585"/>
      <c r="BD38" s="585"/>
      <c r="BE38" s="79"/>
      <c r="BF38" s="79"/>
      <c r="BG38" s="585"/>
      <c r="BH38" s="585"/>
      <c r="BI38" s="585"/>
      <c r="BJ38" s="585"/>
      <c r="BK38" s="585"/>
      <c r="BL38" s="585"/>
      <c r="BM38" s="585"/>
      <c r="BN38" s="585"/>
      <c r="BO38" s="585"/>
      <c r="BP38" s="585"/>
      <c r="BQ38" s="79"/>
      <c r="BR38" s="76"/>
      <c r="BS38" s="556"/>
      <c r="BT38" s="76"/>
      <c r="BU38" s="79"/>
      <c r="BV38" s="585"/>
      <c r="BW38" s="585"/>
      <c r="BX38" s="585"/>
      <c r="BY38" s="585"/>
      <c r="BZ38" s="79"/>
      <c r="CA38" s="76"/>
      <c r="CB38" s="585"/>
      <c r="CC38" s="585"/>
      <c r="CD38" s="585"/>
      <c r="CE38" s="79"/>
      <c r="CF38" s="79"/>
      <c r="CG38" s="585"/>
      <c r="CH38" s="585" t="s">
        <v>40</v>
      </c>
      <c r="CI38" s="585" t="s">
        <v>40</v>
      </c>
      <c r="CJ38" s="201"/>
      <c r="CK38" s="202"/>
      <c r="CL38" s="202"/>
      <c r="CM38" s="202"/>
      <c r="CN38" s="202"/>
      <c r="CO38" s="202"/>
      <c r="CP38" s="202"/>
      <c r="CQ38" s="202"/>
      <c r="CR38" s="202"/>
      <c r="CS38" s="202"/>
      <c r="CT38" s="202"/>
      <c r="CU38" s="202"/>
      <c r="CV38" s="202"/>
      <c r="CW38" s="202"/>
      <c r="CX38" s="202"/>
      <c r="CY38" s="202"/>
      <c r="CZ38" s="202"/>
      <c r="DA38" s="202"/>
      <c r="DB38" s="202"/>
      <c r="DC38" s="202"/>
      <c r="DD38" s="202"/>
      <c r="DE38" s="202"/>
      <c r="DF38" s="202"/>
      <c r="DG38" s="202"/>
      <c r="DH38" s="202"/>
      <c r="DI38" s="202"/>
      <c r="DJ38" s="202"/>
      <c r="DK38" s="202"/>
      <c r="DL38" s="202"/>
      <c r="DM38" s="202"/>
      <c r="DN38" s="202"/>
      <c r="DO38" s="202"/>
      <c r="DP38" s="202"/>
      <c r="DQ38" s="202"/>
      <c r="DR38" s="202"/>
      <c r="DS38" s="202"/>
      <c r="DT38" s="202"/>
      <c r="DU38" s="202"/>
      <c r="DV38" s="202"/>
      <c r="DW38" s="202"/>
      <c r="DX38" s="202"/>
      <c r="DY38" s="202"/>
      <c r="DZ38" s="202"/>
      <c r="EA38" s="202"/>
      <c r="EB38" s="202"/>
      <c r="EC38" s="202"/>
      <c r="ED38" s="202"/>
      <c r="EE38" s="202"/>
      <c r="EF38" s="202"/>
      <c r="EG38" s="202"/>
      <c r="EH38" s="202"/>
      <c r="EI38" s="202"/>
      <c r="EJ38" s="202"/>
      <c r="EK38" s="202"/>
      <c r="EL38" s="202"/>
      <c r="EM38" s="202"/>
      <c r="EN38" s="202"/>
      <c r="EO38" s="202"/>
      <c r="EP38" s="202"/>
      <c r="EQ38" s="202"/>
      <c r="ER38" s="202"/>
      <c r="ES38" s="202"/>
      <c r="ET38" s="202"/>
      <c r="EU38" s="202"/>
      <c r="EV38" s="202"/>
      <c r="EW38" s="202"/>
      <c r="EX38" s="202"/>
      <c r="EY38" s="202"/>
      <c r="EZ38" s="202"/>
      <c r="FA38" s="202"/>
      <c r="FB38" s="202"/>
      <c r="FC38" s="202"/>
      <c r="FD38" s="202"/>
      <c r="FE38" s="202"/>
      <c r="FF38" s="202"/>
      <c r="FG38" s="202"/>
      <c r="FH38" s="202"/>
      <c r="FI38" s="202"/>
    </row>
    <row r="39" spans="1:165" s="228" customFormat="1" ht="18" customHeight="1" x14ac:dyDescent="0.2">
      <c r="A39" s="289">
        <f t="shared" si="2"/>
        <v>30</v>
      </c>
      <c r="B39" s="181"/>
      <c r="C39" s="72"/>
      <c r="D39" s="76"/>
      <c r="E39" s="77"/>
      <c r="F39" s="107"/>
      <c r="G39" s="296"/>
      <c r="H39" s="180"/>
      <c r="I39" s="259"/>
      <c r="J39" s="130"/>
      <c r="K39" s="260"/>
      <c r="L39" s="261"/>
      <c r="M39" s="79"/>
      <c r="N39" s="79"/>
      <c r="O39" s="79"/>
      <c r="P39" s="79"/>
      <c r="Q39" s="79"/>
      <c r="R39" s="76"/>
      <c r="S39" s="76"/>
      <c r="T39" s="79"/>
      <c r="U39" s="79"/>
      <c r="V39" s="79"/>
      <c r="W39" s="76"/>
      <c r="X39" s="76"/>
      <c r="Y39" s="76"/>
      <c r="Z39" s="76"/>
      <c r="AA39" s="79"/>
      <c r="AB39" s="79"/>
      <c r="AC39" s="76"/>
      <c r="AD39" s="76"/>
      <c r="AE39" s="76"/>
      <c r="AF39" s="76"/>
      <c r="AG39" s="76"/>
      <c r="AH39" s="76"/>
      <c r="AI39" s="76"/>
      <c r="AJ39" s="76"/>
      <c r="AK39" s="79"/>
      <c r="AL39" s="76"/>
      <c r="AM39" s="76"/>
      <c r="AN39" s="76"/>
      <c r="AO39" s="79"/>
      <c r="AP39" s="76"/>
      <c r="AQ39" s="79"/>
      <c r="AR39" s="79"/>
      <c r="AS39" s="79"/>
      <c r="AT39" s="79"/>
      <c r="AU39" s="79"/>
      <c r="AV39" s="79"/>
      <c r="AW39" s="79"/>
      <c r="AX39" s="79"/>
      <c r="AY39" s="79"/>
      <c r="AZ39" s="79"/>
      <c r="BA39" s="79"/>
      <c r="BB39" s="79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6"/>
      <c r="BS39" s="76"/>
      <c r="BT39" s="76"/>
      <c r="BU39" s="79"/>
      <c r="BV39" s="79"/>
      <c r="BW39" s="79"/>
      <c r="BX39" s="79"/>
      <c r="BY39" s="79"/>
      <c r="BZ39" s="79"/>
      <c r="CA39" s="76"/>
      <c r="CB39" s="79"/>
      <c r="CC39" s="79"/>
      <c r="CD39" s="79"/>
      <c r="CE39" s="79"/>
      <c r="CF39" s="79"/>
      <c r="CG39" s="79"/>
      <c r="CH39" s="79"/>
      <c r="CI39" s="79"/>
      <c r="CJ39" s="201"/>
      <c r="CK39" s="202"/>
      <c r="CL39" s="202"/>
      <c r="CM39" s="202"/>
      <c r="CN39" s="202"/>
      <c r="CO39" s="202"/>
      <c r="CP39" s="202"/>
      <c r="CQ39" s="202"/>
      <c r="CR39" s="202"/>
      <c r="CS39" s="202"/>
      <c r="CT39" s="202"/>
      <c r="CU39" s="202"/>
      <c r="CV39" s="202"/>
      <c r="CW39" s="202"/>
      <c r="CX39" s="202"/>
      <c r="CY39" s="202"/>
      <c r="CZ39" s="202"/>
      <c r="DA39" s="202"/>
      <c r="DB39" s="202"/>
      <c r="DC39" s="202"/>
      <c r="DD39" s="202"/>
      <c r="DE39" s="202"/>
      <c r="DF39" s="202"/>
      <c r="DG39" s="202"/>
      <c r="DH39" s="202"/>
      <c r="DI39" s="202"/>
      <c r="DJ39" s="202"/>
      <c r="DK39" s="202"/>
      <c r="DL39" s="202"/>
      <c r="DM39" s="202"/>
      <c r="DN39" s="202"/>
      <c r="DO39" s="202"/>
      <c r="DP39" s="202"/>
      <c r="DQ39" s="202"/>
      <c r="DR39" s="202"/>
      <c r="DS39" s="202"/>
      <c r="DT39" s="202"/>
      <c r="DU39" s="202"/>
      <c r="DV39" s="202"/>
      <c r="DW39" s="202"/>
      <c r="DX39" s="202"/>
      <c r="DY39" s="202"/>
      <c r="DZ39" s="202"/>
      <c r="EA39" s="202"/>
      <c r="EB39" s="202"/>
      <c r="EC39" s="202"/>
      <c r="ED39" s="202"/>
      <c r="EE39" s="202"/>
      <c r="EF39" s="202"/>
      <c r="EG39" s="202"/>
      <c r="EH39" s="202"/>
      <c r="EI39" s="202"/>
      <c r="EJ39" s="202"/>
      <c r="EK39" s="202"/>
      <c r="EL39" s="202"/>
      <c r="EM39" s="202"/>
      <c r="EN39" s="202"/>
      <c r="EO39" s="202"/>
      <c r="EP39" s="202"/>
      <c r="EQ39" s="202"/>
      <c r="ER39" s="202"/>
      <c r="ES39" s="202"/>
      <c r="ET39" s="202"/>
      <c r="EU39" s="202"/>
      <c r="EV39" s="202"/>
      <c r="EW39" s="202"/>
      <c r="EX39" s="202"/>
      <c r="EY39" s="202"/>
      <c r="EZ39" s="202"/>
      <c r="FA39" s="202"/>
      <c r="FB39" s="202"/>
      <c r="FC39" s="202"/>
      <c r="FD39" s="202"/>
      <c r="FE39" s="202"/>
      <c r="FF39" s="202"/>
      <c r="FG39" s="202"/>
      <c r="FH39" s="202"/>
      <c r="FI39" s="202"/>
    </row>
    <row r="40" spans="1:165" s="228" customFormat="1" ht="18" customHeight="1" x14ac:dyDescent="0.2">
      <c r="A40" s="289">
        <f t="shared" si="2"/>
        <v>31</v>
      </c>
      <c r="B40" s="181"/>
      <c r="C40" s="72"/>
      <c r="D40" s="76"/>
      <c r="E40" s="98" t="s">
        <v>43</v>
      </c>
      <c r="F40" s="107"/>
      <c r="G40" s="296"/>
      <c r="H40" s="180"/>
      <c r="I40" s="259"/>
      <c r="J40" s="130"/>
      <c r="K40" s="260"/>
      <c r="L40" s="261"/>
      <c r="M40" s="79"/>
      <c r="N40" s="79"/>
      <c r="O40" s="79"/>
      <c r="P40" s="79"/>
      <c r="Q40" s="79"/>
      <c r="R40" s="76"/>
      <c r="S40" s="76"/>
      <c r="T40" s="79"/>
      <c r="U40" s="79"/>
      <c r="V40" s="79"/>
      <c r="W40" s="76"/>
      <c r="X40" s="76"/>
      <c r="Y40" s="76"/>
      <c r="Z40" s="76"/>
      <c r="AA40" s="79"/>
      <c r="AB40" s="79"/>
      <c r="AC40" s="76"/>
      <c r="AD40" s="76"/>
      <c r="AE40" s="76"/>
      <c r="AF40" s="76"/>
      <c r="AG40" s="76"/>
      <c r="AH40" s="76"/>
      <c r="AI40" s="76"/>
      <c r="AJ40" s="76"/>
      <c r="AK40" s="79"/>
      <c r="AL40" s="76"/>
      <c r="AM40" s="76"/>
      <c r="AN40" s="76"/>
      <c r="AO40" s="79"/>
      <c r="AP40" s="76"/>
      <c r="AQ40" s="79"/>
      <c r="AR40" s="79"/>
      <c r="AS40" s="79"/>
      <c r="AT40" s="79"/>
      <c r="AU40" s="79"/>
      <c r="AV40" s="79"/>
      <c r="AW40" s="79"/>
      <c r="AX40" s="79"/>
      <c r="AY40" s="79"/>
      <c r="AZ40" s="79"/>
      <c r="BA40" s="79"/>
      <c r="BB40" s="79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6"/>
      <c r="BS40" s="76"/>
      <c r="BT40" s="76"/>
      <c r="BU40" s="79"/>
      <c r="BV40" s="79"/>
      <c r="BW40" s="79"/>
      <c r="BX40" s="79"/>
      <c r="BY40" s="79"/>
      <c r="BZ40" s="79"/>
      <c r="CA40" s="76"/>
      <c r="CB40" s="79"/>
      <c r="CC40" s="79"/>
      <c r="CD40" s="79"/>
      <c r="CE40" s="79"/>
      <c r="CF40" s="79"/>
      <c r="CG40" s="79"/>
      <c r="CH40" s="79"/>
      <c r="CI40" s="79"/>
      <c r="CJ40" s="201"/>
      <c r="CK40" s="202"/>
      <c r="CL40" s="202"/>
      <c r="CM40" s="202"/>
      <c r="CN40" s="202"/>
      <c r="CO40" s="202"/>
      <c r="CP40" s="202"/>
      <c r="CQ40" s="202"/>
      <c r="CR40" s="202"/>
      <c r="CS40" s="202"/>
      <c r="CT40" s="202"/>
      <c r="CU40" s="202"/>
      <c r="CV40" s="202"/>
      <c r="CW40" s="202"/>
      <c r="CX40" s="202"/>
      <c r="CY40" s="202"/>
      <c r="CZ40" s="202"/>
      <c r="DA40" s="202"/>
      <c r="DB40" s="202"/>
      <c r="DC40" s="202"/>
      <c r="DD40" s="202"/>
      <c r="DE40" s="202"/>
      <c r="DF40" s="202"/>
      <c r="DG40" s="202"/>
      <c r="DH40" s="202"/>
      <c r="DI40" s="202"/>
      <c r="DJ40" s="202"/>
      <c r="DK40" s="202"/>
      <c r="DL40" s="202"/>
      <c r="DM40" s="202"/>
      <c r="DN40" s="202"/>
      <c r="DO40" s="202"/>
      <c r="DP40" s="202"/>
      <c r="DQ40" s="202"/>
      <c r="DR40" s="202"/>
      <c r="DS40" s="202"/>
      <c r="DT40" s="202"/>
      <c r="DU40" s="202"/>
      <c r="DV40" s="202"/>
      <c r="DW40" s="202"/>
      <c r="DX40" s="202"/>
      <c r="DY40" s="202"/>
      <c r="DZ40" s="202"/>
      <c r="EA40" s="202"/>
      <c r="EB40" s="202"/>
      <c r="EC40" s="202"/>
      <c r="ED40" s="202"/>
      <c r="EE40" s="202"/>
      <c r="EF40" s="202"/>
      <c r="EG40" s="202"/>
      <c r="EH40" s="202"/>
      <c r="EI40" s="202"/>
      <c r="EJ40" s="202"/>
      <c r="EK40" s="202"/>
      <c r="EL40" s="202"/>
      <c r="EM40" s="202"/>
      <c r="EN40" s="202"/>
      <c r="EO40" s="202"/>
      <c r="EP40" s="202"/>
      <c r="EQ40" s="202"/>
      <c r="ER40" s="202"/>
      <c r="ES40" s="202"/>
      <c r="ET40" s="202"/>
      <c r="EU40" s="202"/>
      <c r="EV40" s="202"/>
      <c r="EW40" s="202"/>
      <c r="EX40" s="202"/>
      <c r="EY40" s="202"/>
      <c r="EZ40" s="202"/>
      <c r="FA40" s="202"/>
      <c r="FB40" s="202"/>
      <c r="FC40" s="202"/>
      <c r="FD40" s="202"/>
      <c r="FE40" s="202"/>
      <c r="FF40" s="202"/>
      <c r="FG40" s="202"/>
      <c r="FH40" s="202"/>
      <c r="FI40" s="202"/>
    </row>
    <row r="41" spans="1:165" s="228" customFormat="1" ht="18" customHeight="1" x14ac:dyDescent="0.25">
      <c r="A41" s="578">
        <f t="shared" si="2"/>
        <v>32</v>
      </c>
      <c r="B41" s="606">
        <v>0</v>
      </c>
      <c r="C41" s="591">
        <v>5</v>
      </c>
      <c r="D41" s="567" t="s">
        <v>1045</v>
      </c>
      <c r="E41" s="589" t="s">
        <v>668</v>
      </c>
      <c r="F41" s="601"/>
      <c r="G41" s="556" t="s">
        <v>275</v>
      </c>
      <c r="H41" s="599" t="s">
        <v>669</v>
      </c>
      <c r="I41" s="607"/>
      <c r="J41" s="608"/>
      <c r="K41" s="609"/>
      <c r="L41" s="306"/>
      <c r="M41" s="307"/>
      <c r="N41" s="307"/>
      <c r="O41" s="307"/>
      <c r="P41" s="307"/>
      <c r="Q41" s="79"/>
      <c r="R41" s="76"/>
      <c r="S41" s="556"/>
      <c r="T41" s="585"/>
      <c r="U41" s="585"/>
      <c r="V41" s="585"/>
      <c r="W41" s="556"/>
      <c r="X41" s="556"/>
      <c r="Y41" s="556"/>
      <c r="Z41" s="556"/>
      <c r="AA41" s="585"/>
      <c r="AB41" s="585"/>
      <c r="AC41" s="556"/>
      <c r="AD41" s="556"/>
      <c r="AE41" s="556"/>
      <c r="AF41" s="556"/>
      <c r="AG41" s="556"/>
      <c r="AH41" s="556"/>
      <c r="AI41" s="556"/>
      <c r="AJ41" s="76"/>
      <c r="AK41" s="79"/>
      <c r="AL41" s="556"/>
      <c r="AM41" s="556"/>
      <c r="AN41" s="556"/>
      <c r="AO41" s="585"/>
      <c r="AP41" s="556"/>
      <c r="AQ41" s="585"/>
      <c r="AR41" s="585"/>
      <c r="AS41" s="79"/>
      <c r="AT41" s="79"/>
      <c r="AU41" s="585"/>
      <c r="AV41" s="585"/>
      <c r="AW41" s="585"/>
      <c r="AX41" s="585"/>
      <c r="AY41" s="585"/>
      <c r="AZ41" s="585"/>
      <c r="BA41" s="585"/>
      <c r="BB41" s="585"/>
      <c r="BC41" s="585"/>
      <c r="BD41" s="585"/>
      <c r="BE41" s="79"/>
      <c r="BF41" s="79"/>
      <c r="BG41" s="585"/>
      <c r="BH41" s="585"/>
      <c r="BI41" s="585"/>
      <c r="BJ41" s="585"/>
      <c r="BK41" s="585"/>
      <c r="BL41" s="585"/>
      <c r="BM41" s="585"/>
      <c r="BN41" s="585"/>
      <c r="BO41" s="585"/>
      <c r="BP41" s="585"/>
      <c r="BQ41" s="79"/>
      <c r="BR41" s="76"/>
      <c r="BS41" s="556"/>
      <c r="BT41" s="76"/>
      <c r="BU41" s="79"/>
      <c r="BV41" s="585"/>
      <c r="BW41" s="585"/>
      <c r="BX41" s="585"/>
      <c r="BY41" s="585"/>
      <c r="BZ41" s="79"/>
      <c r="CA41" s="76"/>
      <c r="CB41" s="585"/>
      <c r="CC41" s="585"/>
      <c r="CD41" s="585"/>
      <c r="CE41" s="79"/>
      <c r="CF41" s="79"/>
      <c r="CG41" s="585"/>
      <c r="CH41" s="585"/>
      <c r="CI41" s="586"/>
      <c r="CJ41" s="201"/>
      <c r="CK41" s="202"/>
      <c r="CL41" s="202"/>
      <c r="CM41" s="202"/>
      <c r="CN41" s="202"/>
      <c r="CO41" s="202"/>
      <c r="CP41" s="202"/>
      <c r="CQ41" s="202"/>
      <c r="CR41" s="202"/>
      <c r="CS41" s="202"/>
      <c r="CT41" s="202"/>
      <c r="CU41" s="202"/>
      <c r="CV41" s="202"/>
      <c r="CW41" s="202"/>
      <c r="CX41" s="202"/>
      <c r="CY41" s="202"/>
      <c r="CZ41" s="202"/>
      <c r="DA41" s="202"/>
      <c r="DB41" s="202"/>
      <c r="DC41" s="202"/>
      <c r="DD41" s="202"/>
      <c r="DE41" s="202"/>
      <c r="DF41" s="202"/>
      <c r="DG41" s="202"/>
      <c r="DH41" s="202"/>
      <c r="DI41" s="202"/>
      <c r="DJ41" s="202"/>
      <c r="DK41" s="202"/>
      <c r="DL41" s="202"/>
      <c r="DM41" s="202"/>
      <c r="DN41" s="202"/>
      <c r="DO41" s="202"/>
      <c r="DP41" s="202"/>
      <c r="DQ41" s="202"/>
      <c r="DR41" s="202"/>
      <c r="DS41" s="202"/>
      <c r="DT41" s="202"/>
      <c r="DU41" s="202"/>
      <c r="DV41" s="202"/>
      <c r="DW41" s="202"/>
      <c r="DX41" s="202"/>
      <c r="DY41" s="202"/>
      <c r="DZ41" s="202"/>
      <c r="EA41" s="202"/>
      <c r="EB41" s="202"/>
      <c r="EC41" s="202"/>
      <c r="ED41" s="202"/>
      <c r="EE41" s="202"/>
      <c r="EF41" s="202"/>
      <c r="EG41" s="202"/>
      <c r="EH41" s="202"/>
      <c r="EI41" s="202"/>
      <c r="EJ41" s="202"/>
      <c r="EK41" s="202"/>
      <c r="EL41" s="202"/>
      <c r="EM41" s="202"/>
      <c r="EN41" s="202"/>
      <c r="EO41" s="202"/>
      <c r="EP41" s="202"/>
      <c r="EQ41" s="202"/>
      <c r="ER41" s="202"/>
      <c r="ES41" s="202"/>
      <c r="ET41" s="202"/>
      <c r="EU41" s="202"/>
      <c r="EV41" s="202"/>
      <c r="EW41" s="202"/>
      <c r="EX41" s="202"/>
      <c r="EY41" s="202"/>
      <c r="EZ41" s="202"/>
      <c r="FA41" s="202"/>
      <c r="FB41" s="202"/>
      <c r="FC41" s="202"/>
      <c r="FD41" s="202"/>
      <c r="FE41" s="202"/>
      <c r="FF41" s="202"/>
      <c r="FG41" s="202"/>
      <c r="FH41" s="202"/>
      <c r="FI41" s="202"/>
    </row>
    <row r="42" spans="1:165" s="228" customFormat="1" ht="18" customHeight="1" x14ac:dyDescent="0.25">
      <c r="A42" s="578">
        <f t="shared" si="2"/>
        <v>33</v>
      </c>
      <c r="B42" s="606">
        <v>0</v>
      </c>
      <c r="C42" s="591">
        <v>5</v>
      </c>
      <c r="D42" s="556" t="s">
        <v>276</v>
      </c>
      <c r="E42" s="589" t="s">
        <v>670</v>
      </c>
      <c r="F42" s="598" t="s">
        <v>1044</v>
      </c>
      <c r="G42" s="556" t="s">
        <v>277</v>
      </c>
      <c r="H42" s="599" t="s">
        <v>612</v>
      </c>
      <c r="I42" s="607"/>
      <c r="J42" s="608"/>
      <c r="K42" s="609"/>
      <c r="L42" s="306"/>
      <c r="M42" s="307"/>
      <c r="N42" s="307"/>
      <c r="O42" s="307"/>
      <c r="P42" s="307"/>
      <c r="Q42" s="79"/>
      <c r="R42" s="76"/>
      <c r="S42" s="556"/>
      <c r="T42" s="585"/>
      <c r="U42" s="585"/>
      <c r="V42" s="585"/>
      <c r="W42" s="556"/>
      <c r="X42" s="556"/>
      <c r="Y42" s="556"/>
      <c r="Z42" s="556"/>
      <c r="AA42" s="585"/>
      <c r="AB42" s="585"/>
      <c r="AC42" s="556"/>
      <c r="AD42" s="556"/>
      <c r="AE42" s="556"/>
      <c r="AF42" s="556"/>
      <c r="AG42" s="556"/>
      <c r="AH42" s="556"/>
      <c r="AI42" s="556"/>
      <c r="AJ42" s="76"/>
      <c r="AK42" s="79"/>
      <c r="AL42" s="556"/>
      <c r="AM42" s="556"/>
      <c r="AN42" s="556"/>
      <c r="AO42" s="585"/>
      <c r="AP42" s="556"/>
      <c r="AQ42" s="585"/>
      <c r="AR42" s="585"/>
      <c r="AS42" s="79"/>
      <c r="AT42" s="79"/>
      <c r="AU42" s="585"/>
      <c r="AV42" s="585"/>
      <c r="AW42" s="585"/>
      <c r="AX42" s="585"/>
      <c r="AY42" s="585"/>
      <c r="AZ42" s="585"/>
      <c r="BA42" s="585"/>
      <c r="BB42" s="585"/>
      <c r="BC42" s="585"/>
      <c r="BD42" s="585"/>
      <c r="BE42" s="79"/>
      <c r="BF42" s="79"/>
      <c r="BG42" s="585"/>
      <c r="BH42" s="585"/>
      <c r="BI42" s="585"/>
      <c r="BJ42" s="585"/>
      <c r="BK42" s="585"/>
      <c r="BL42" s="585"/>
      <c r="BM42" s="585"/>
      <c r="BN42" s="585"/>
      <c r="BO42" s="585"/>
      <c r="BP42" s="585"/>
      <c r="BQ42" s="79"/>
      <c r="BR42" s="76"/>
      <c r="BS42" s="556"/>
      <c r="BT42" s="76"/>
      <c r="BU42" s="79"/>
      <c r="BV42" s="585"/>
      <c r="BW42" s="585"/>
      <c r="BX42" s="585"/>
      <c r="BY42" s="585"/>
      <c r="BZ42" s="79"/>
      <c r="CA42" s="76"/>
      <c r="CB42" s="585"/>
      <c r="CC42" s="585"/>
      <c r="CD42" s="585"/>
      <c r="CE42" s="79"/>
      <c r="CF42" s="79"/>
      <c r="CG42" s="585"/>
      <c r="CH42" s="585"/>
      <c r="CI42" s="585"/>
      <c r="CJ42" s="201"/>
      <c r="CK42" s="202"/>
      <c r="CL42" s="202"/>
      <c r="CM42" s="202"/>
      <c r="CN42" s="202"/>
      <c r="CO42" s="202"/>
      <c r="CP42" s="202"/>
      <c r="CQ42" s="202"/>
      <c r="CR42" s="202"/>
      <c r="CS42" s="202"/>
      <c r="CT42" s="202"/>
      <c r="CU42" s="202"/>
      <c r="CV42" s="202"/>
      <c r="CW42" s="202"/>
      <c r="CX42" s="202"/>
      <c r="CY42" s="202"/>
      <c r="CZ42" s="202"/>
      <c r="DA42" s="202"/>
      <c r="DB42" s="202"/>
      <c r="DC42" s="202"/>
      <c r="DD42" s="202"/>
      <c r="DE42" s="202"/>
      <c r="DF42" s="202"/>
      <c r="DG42" s="202"/>
      <c r="DH42" s="202"/>
      <c r="DI42" s="202"/>
      <c r="DJ42" s="202"/>
      <c r="DK42" s="202"/>
      <c r="DL42" s="202"/>
      <c r="DM42" s="202"/>
      <c r="DN42" s="202"/>
      <c r="DO42" s="202"/>
      <c r="DP42" s="202"/>
      <c r="DQ42" s="202"/>
      <c r="DR42" s="202"/>
      <c r="DS42" s="202"/>
      <c r="DT42" s="202"/>
      <c r="DU42" s="202"/>
      <c r="DV42" s="202"/>
      <c r="DW42" s="202"/>
      <c r="DX42" s="202"/>
      <c r="DY42" s="202"/>
      <c r="DZ42" s="202"/>
      <c r="EA42" s="202"/>
      <c r="EB42" s="202"/>
      <c r="EC42" s="202"/>
      <c r="ED42" s="202"/>
      <c r="EE42" s="202"/>
      <c r="EF42" s="202"/>
      <c r="EG42" s="202"/>
      <c r="EH42" s="202"/>
      <c r="EI42" s="202"/>
      <c r="EJ42" s="202"/>
      <c r="EK42" s="202"/>
      <c r="EL42" s="202"/>
      <c r="EM42" s="202"/>
      <c r="EN42" s="202"/>
      <c r="EO42" s="202"/>
      <c r="EP42" s="202"/>
      <c r="EQ42" s="202"/>
      <c r="ER42" s="202"/>
      <c r="ES42" s="202"/>
      <c r="ET42" s="202"/>
      <c r="EU42" s="202"/>
      <c r="EV42" s="202"/>
      <c r="EW42" s="202"/>
      <c r="EX42" s="202"/>
      <c r="EY42" s="202"/>
      <c r="EZ42" s="202"/>
      <c r="FA42" s="202"/>
      <c r="FB42" s="202"/>
      <c r="FC42" s="202"/>
      <c r="FD42" s="202"/>
      <c r="FE42" s="202"/>
      <c r="FF42" s="202"/>
      <c r="FG42" s="202"/>
      <c r="FH42" s="202"/>
      <c r="FI42" s="202"/>
    </row>
    <row r="43" spans="1:165" s="228" customFormat="1" ht="18" customHeight="1" x14ac:dyDescent="0.25">
      <c r="A43" s="578">
        <f t="shared" si="2"/>
        <v>34</v>
      </c>
      <c r="B43" s="606">
        <v>0</v>
      </c>
      <c r="C43" s="591">
        <v>5</v>
      </c>
      <c r="D43" s="556" t="s">
        <v>278</v>
      </c>
      <c r="E43" s="589" t="s">
        <v>671</v>
      </c>
      <c r="F43" s="598" t="s">
        <v>1044</v>
      </c>
      <c r="G43" s="556" t="s">
        <v>279</v>
      </c>
      <c r="H43" s="599" t="s">
        <v>613</v>
      </c>
      <c r="I43" s="610">
        <v>9</v>
      </c>
      <c r="J43" s="608"/>
      <c r="K43" s="609"/>
      <c r="L43" s="306"/>
      <c r="M43" s="307"/>
      <c r="N43" s="307"/>
      <c r="O43" s="307"/>
      <c r="P43" s="307"/>
      <c r="Q43" s="79"/>
      <c r="R43" s="76"/>
      <c r="S43" s="556"/>
      <c r="T43" s="585"/>
      <c r="U43" s="585"/>
      <c r="V43" s="585"/>
      <c r="W43" s="556"/>
      <c r="X43" s="556"/>
      <c r="Y43" s="556"/>
      <c r="Z43" s="556"/>
      <c r="AA43" s="585"/>
      <c r="AB43" s="585"/>
      <c r="AC43" s="556"/>
      <c r="AD43" s="556"/>
      <c r="AE43" s="556"/>
      <c r="AF43" s="556"/>
      <c r="AG43" s="556"/>
      <c r="AH43" s="556"/>
      <c r="AI43" s="556"/>
      <c r="AJ43" s="76"/>
      <c r="AK43" s="79"/>
      <c r="AL43" s="556"/>
      <c r="AM43" s="556"/>
      <c r="AN43" s="556"/>
      <c r="AO43" s="585"/>
      <c r="AP43" s="556"/>
      <c r="AQ43" s="585"/>
      <c r="AR43" s="585"/>
      <c r="AS43" s="79"/>
      <c r="AT43" s="79"/>
      <c r="AU43" s="585"/>
      <c r="AV43" s="585"/>
      <c r="AW43" s="585"/>
      <c r="AX43" s="585"/>
      <c r="AY43" s="585"/>
      <c r="AZ43" s="585"/>
      <c r="BA43" s="585"/>
      <c r="BB43" s="585"/>
      <c r="BC43" s="585"/>
      <c r="BD43" s="585"/>
      <c r="BE43" s="79"/>
      <c r="BF43" s="79"/>
      <c r="BG43" s="585"/>
      <c r="BH43" s="585"/>
      <c r="BI43" s="585"/>
      <c r="BJ43" s="585"/>
      <c r="BK43" s="585"/>
      <c r="BL43" s="585"/>
      <c r="BM43" s="585"/>
      <c r="BN43" s="585"/>
      <c r="BO43" s="585"/>
      <c r="BP43" s="585"/>
      <c r="BQ43" s="79"/>
      <c r="BR43" s="76"/>
      <c r="BS43" s="556"/>
      <c r="BT43" s="76"/>
      <c r="BU43" s="79"/>
      <c r="BV43" s="585"/>
      <c r="BW43" s="585"/>
      <c r="BX43" s="585"/>
      <c r="BY43" s="585"/>
      <c r="BZ43" s="79"/>
      <c r="CA43" s="76"/>
      <c r="CB43" s="585"/>
      <c r="CC43" s="585"/>
      <c r="CD43" s="585"/>
      <c r="CE43" s="79"/>
      <c r="CF43" s="79"/>
      <c r="CG43" s="585"/>
      <c r="CH43" s="585" t="s">
        <v>40</v>
      </c>
      <c r="CI43" s="585" t="s">
        <v>40</v>
      </c>
      <c r="CJ43" s="201"/>
      <c r="CK43" s="202"/>
      <c r="CL43" s="202"/>
      <c r="CM43" s="202"/>
      <c r="CN43" s="202"/>
      <c r="CO43" s="202"/>
      <c r="CP43" s="202"/>
      <c r="CQ43" s="202"/>
      <c r="CR43" s="202"/>
      <c r="CS43" s="202"/>
      <c r="CT43" s="202"/>
      <c r="CU43" s="202"/>
      <c r="CV43" s="202"/>
      <c r="CW43" s="202"/>
      <c r="CX43" s="202"/>
      <c r="CY43" s="202"/>
      <c r="CZ43" s="202"/>
      <c r="DA43" s="202"/>
      <c r="DB43" s="202"/>
      <c r="DC43" s="202"/>
      <c r="DD43" s="202"/>
      <c r="DE43" s="202"/>
      <c r="DF43" s="202"/>
      <c r="DG43" s="202"/>
      <c r="DH43" s="202"/>
      <c r="DI43" s="202"/>
      <c r="DJ43" s="202"/>
      <c r="DK43" s="202"/>
      <c r="DL43" s="202"/>
      <c r="DM43" s="202"/>
      <c r="DN43" s="202"/>
      <c r="DO43" s="202"/>
      <c r="DP43" s="202"/>
      <c r="DQ43" s="202"/>
      <c r="DR43" s="202"/>
      <c r="DS43" s="202"/>
      <c r="DT43" s="202"/>
      <c r="DU43" s="202"/>
      <c r="DV43" s="202"/>
      <c r="DW43" s="202"/>
      <c r="DX43" s="202"/>
      <c r="DY43" s="202"/>
      <c r="DZ43" s="202"/>
      <c r="EA43" s="202"/>
      <c r="EB43" s="202"/>
      <c r="EC43" s="202"/>
      <c r="ED43" s="202"/>
      <c r="EE43" s="202"/>
      <c r="EF43" s="202"/>
      <c r="EG43" s="202"/>
      <c r="EH43" s="202"/>
      <c r="EI43" s="202"/>
      <c r="EJ43" s="202"/>
      <c r="EK43" s="202"/>
      <c r="EL43" s="202"/>
      <c r="EM43" s="202"/>
      <c r="EN43" s="202"/>
      <c r="EO43" s="202"/>
      <c r="EP43" s="202"/>
      <c r="EQ43" s="202"/>
      <c r="ER43" s="202"/>
      <c r="ES43" s="202"/>
      <c r="ET43" s="202"/>
      <c r="EU43" s="202"/>
      <c r="EV43" s="202"/>
      <c r="EW43" s="202"/>
      <c r="EX43" s="202"/>
      <c r="EY43" s="202"/>
      <c r="EZ43" s="202"/>
      <c r="FA43" s="202"/>
      <c r="FB43" s="202"/>
      <c r="FC43" s="202"/>
      <c r="FD43" s="202"/>
      <c r="FE43" s="202"/>
      <c r="FF43" s="202"/>
      <c r="FG43" s="202"/>
      <c r="FH43" s="202"/>
      <c r="FI43" s="202"/>
    </row>
    <row r="44" spans="1:165" s="228" customFormat="1" ht="18" customHeight="1" x14ac:dyDescent="0.25">
      <c r="A44" s="578">
        <f t="shared" si="2"/>
        <v>35</v>
      </c>
      <c r="B44" s="606">
        <v>0</v>
      </c>
      <c r="C44" s="591">
        <v>5</v>
      </c>
      <c r="D44" s="556" t="s">
        <v>280</v>
      </c>
      <c r="E44" s="589" t="s">
        <v>672</v>
      </c>
      <c r="F44" s="598" t="s">
        <v>1044</v>
      </c>
      <c r="G44" s="567" t="s">
        <v>1124</v>
      </c>
      <c r="H44" s="599" t="s">
        <v>614</v>
      </c>
      <c r="I44" s="607"/>
      <c r="J44" s="608"/>
      <c r="K44" s="609"/>
      <c r="L44" s="306"/>
      <c r="M44" s="307"/>
      <c r="N44" s="307"/>
      <c r="O44" s="307"/>
      <c r="P44" s="307"/>
      <c r="Q44" s="79"/>
      <c r="R44" s="76"/>
      <c r="S44" s="556"/>
      <c r="T44" s="585"/>
      <c r="U44" s="585"/>
      <c r="V44" s="585"/>
      <c r="W44" s="556"/>
      <c r="X44" s="556"/>
      <c r="Y44" s="556"/>
      <c r="Z44" s="556"/>
      <c r="AA44" s="585"/>
      <c r="AB44" s="585"/>
      <c r="AC44" s="556"/>
      <c r="AD44" s="556"/>
      <c r="AE44" s="556"/>
      <c r="AF44" s="556"/>
      <c r="AG44" s="556"/>
      <c r="AH44" s="556"/>
      <c r="AI44" s="556"/>
      <c r="AJ44" s="76"/>
      <c r="AK44" s="79"/>
      <c r="AL44" s="556"/>
      <c r="AM44" s="556"/>
      <c r="AN44" s="556"/>
      <c r="AO44" s="585"/>
      <c r="AP44" s="556"/>
      <c r="AQ44" s="585"/>
      <c r="AR44" s="585"/>
      <c r="AS44" s="79"/>
      <c r="AT44" s="79"/>
      <c r="AU44" s="585"/>
      <c r="AV44" s="585"/>
      <c r="AW44" s="585"/>
      <c r="AX44" s="585"/>
      <c r="AY44" s="585"/>
      <c r="AZ44" s="585"/>
      <c r="BA44" s="585"/>
      <c r="BB44" s="585"/>
      <c r="BC44" s="585"/>
      <c r="BD44" s="585"/>
      <c r="BE44" s="79"/>
      <c r="BF44" s="79"/>
      <c r="BG44" s="585"/>
      <c r="BH44" s="585"/>
      <c r="BI44" s="585"/>
      <c r="BJ44" s="585"/>
      <c r="BK44" s="585"/>
      <c r="BL44" s="585"/>
      <c r="BM44" s="585"/>
      <c r="BN44" s="585"/>
      <c r="BO44" s="585"/>
      <c r="BP44" s="585"/>
      <c r="BQ44" s="79"/>
      <c r="BR44" s="76"/>
      <c r="BS44" s="556"/>
      <c r="BT44" s="76"/>
      <c r="BU44" s="79"/>
      <c r="BV44" s="585"/>
      <c r="BW44" s="585"/>
      <c r="BX44" s="585"/>
      <c r="BY44" s="585"/>
      <c r="BZ44" s="79"/>
      <c r="CA44" s="76"/>
      <c r="CB44" s="585"/>
      <c r="CC44" s="585"/>
      <c r="CD44" s="585"/>
      <c r="CE44" s="79"/>
      <c r="CF44" s="79"/>
      <c r="CG44" s="585"/>
      <c r="CH44" s="585"/>
      <c r="CI44" s="585"/>
      <c r="CJ44" s="201"/>
      <c r="CK44" s="202"/>
      <c r="CL44" s="202"/>
      <c r="CM44" s="202"/>
      <c r="CN44" s="202"/>
      <c r="CO44" s="202"/>
      <c r="CP44" s="202"/>
      <c r="CQ44" s="202"/>
      <c r="CR44" s="202"/>
      <c r="CS44" s="202"/>
      <c r="CT44" s="202"/>
      <c r="CU44" s="202"/>
      <c r="CV44" s="202"/>
      <c r="CW44" s="202"/>
      <c r="CX44" s="202"/>
      <c r="CY44" s="202"/>
      <c r="CZ44" s="202"/>
      <c r="DA44" s="202"/>
      <c r="DB44" s="202"/>
      <c r="DC44" s="202"/>
      <c r="DD44" s="202"/>
      <c r="DE44" s="202"/>
      <c r="DF44" s="202"/>
      <c r="DG44" s="202"/>
      <c r="DH44" s="202"/>
      <c r="DI44" s="202"/>
      <c r="DJ44" s="202"/>
      <c r="DK44" s="202"/>
      <c r="DL44" s="202"/>
      <c r="DM44" s="202"/>
      <c r="DN44" s="202"/>
      <c r="DO44" s="202"/>
      <c r="DP44" s="202"/>
      <c r="DQ44" s="202"/>
      <c r="DR44" s="202"/>
      <c r="DS44" s="202"/>
      <c r="DT44" s="202"/>
      <c r="DU44" s="202"/>
      <c r="DV44" s="202"/>
      <c r="DW44" s="202"/>
      <c r="DX44" s="202"/>
      <c r="DY44" s="202"/>
      <c r="DZ44" s="202"/>
      <c r="EA44" s="202"/>
      <c r="EB44" s="202"/>
      <c r="EC44" s="202"/>
      <c r="ED44" s="202"/>
      <c r="EE44" s="202"/>
      <c r="EF44" s="202"/>
      <c r="EG44" s="202"/>
      <c r="EH44" s="202"/>
      <c r="EI44" s="202"/>
      <c r="EJ44" s="202"/>
      <c r="EK44" s="202"/>
      <c r="EL44" s="202"/>
      <c r="EM44" s="202"/>
      <c r="EN44" s="202"/>
      <c r="EO44" s="202"/>
      <c r="EP44" s="202"/>
      <c r="EQ44" s="202"/>
      <c r="ER44" s="202"/>
      <c r="ES44" s="202"/>
      <c r="ET44" s="202"/>
      <c r="EU44" s="202"/>
      <c r="EV44" s="202"/>
      <c r="EW44" s="202"/>
      <c r="EX44" s="202"/>
      <c r="EY44" s="202"/>
      <c r="EZ44" s="202"/>
      <c r="FA44" s="202"/>
      <c r="FB44" s="202"/>
      <c r="FC44" s="202"/>
      <c r="FD44" s="202"/>
      <c r="FE44" s="202"/>
      <c r="FF44" s="202"/>
      <c r="FG44" s="202"/>
      <c r="FH44" s="202"/>
      <c r="FI44" s="202"/>
    </row>
    <row r="45" spans="1:165" s="228" customFormat="1" ht="18" customHeight="1" x14ac:dyDescent="0.25">
      <c r="A45" s="578">
        <f t="shared" si="2"/>
        <v>36</v>
      </c>
      <c r="B45" s="606">
        <v>0</v>
      </c>
      <c r="C45" s="591">
        <v>5</v>
      </c>
      <c r="D45" s="567" t="s">
        <v>1046</v>
      </c>
      <c r="E45" s="589" t="s">
        <v>674</v>
      </c>
      <c r="F45" s="601"/>
      <c r="G45" s="556" t="s">
        <v>281</v>
      </c>
      <c r="H45" s="599" t="s">
        <v>675</v>
      </c>
      <c r="I45" s="607"/>
      <c r="J45" s="608"/>
      <c r="K45" s="609"/>
      <c r="L45" s="306"/>
      <c r="M45" s="307"/>
      <c r="N45" s="307"/>
      <c r="O45" s="307"/>
      <c r="P45" s="307"/>
      <c r="Q45" s="79"/>
      <c r="R45" s="76"/>
      <c r="S45" s="556"/>
      <c r="T45" s="585"/>
      <c r="U45" s="585"/>
      <c r="V45" s="585"/>
      <c r="W45" s="556"/>
      <c r="X45" s="556"/>
      <c r="Y45" s="556"/>
      <c r="Z45" s="556"/>
      <c r="AA45" s="585"/>
      <c r="AB45" s="585"/>
      <c r="AC45" s="556"/>
      <c r="AD45" s="556"/>
      <c r="AE45" s="556"/>
      <c r="AF45" s="556"/>
      <c r="AG45" s="556"/>
      <c r="AH45" s="556"/>
      <c r="AI45" s="556"/>
      <c r="AJ45" s="76"/>
      <c r="AK45" s="79"/>
      <c r="AL45" s="556"/>
      <c r="AM45" s="556"/>
      <c r="AN45" s="556"/>
      <c r="AO45" s="585"/>
      <c r="AP45" s="556"/>
      <c r="AQ45" s="585"/>
      <c r="AR45" s="585"/>
      <c r="AS45" s="79"/>
      <c r="AT45" s="79"/>
      <c r="AU45" s="585"/>
      <c r="AV45" s="585"/>
      <c r="AW45" s="585"/>
      <c r="AX45" s="585"/>
      <c r="AY45" s="585"/>
      <c r="AZ45" s="585"/>
      <c r="BA45" s="585"/>
      <c r="BB45" s="585"/>
      <c r="BC45" s="585"/>
      <c r="BD45" s="585"/>
      <c r="BE45" s="79"/>
      <c r="BF45" s="79"/>
      <c r="BG45" s="585"/>
      <c r="BH45" s="585"/>
      <c r="BI45" s="585"/>
      <c r="BJ45" s="585"/>
      <c r="BK45" s="585"/>
      <c r="BL45" s="585"/>
      <c r="BM45" s="585"/>
      <c r="BN45" s="585"/>
      <c r="BO45" s="585"/>
      <c r="BP45" s="585"/>
      <c r="BQ45" s="79"/>
      <c r="BR45" s="76"/>
      <c r="BS45" s="556"/>
      <c r="BT45" s="76"/>
      <c r="BU45" s="79"/>
      <c r="BV45" s="585"/>
      <c r="BW45" s="585"/>
      <c r="BX45" s="585"/>
      <c r="BY45" s="585"/>
      <c r="BZ45" s="79"/>
      <c r="CA45" s="76"/>
      <c r="CB45" s="585"/>
      <c r="CC45" s="585"/>
      <c r="CD45" s="585"/>
      <c r="CE45" s="79"/>
      <c r="CF45" s="79"/>
      <c r="CG45" s="585"/>
      <c r="CH45" s="585"/>
      <c r="CI45" s="586"/>
      <c r="CJ45" s="201"/>
      <c r="CK45" s="202"/>
      <c r="CL45" s="202"/>
      <c r="CM45" s="202"/>
      <c r="CN45" s="202"/>
      <c r="CO45" s="202"/>
      <c r="CP45" s="202"/>
      <c r="CQ45" s="202"/>
      <c r="CR45" s="202"/>
      <c r="CS45" s="202"/>
      <c r="CT45" s="202"/>
      <c r="CU45" s="202"/>
      <c r="CV45" s="202"/>
      <c r="CW45" s="202"/>
      <c r="CX45" s="202"/>
      <c r="CY45" s="202"/>
      <c r="CZ45" s="202"/>
      <c r="DA45" s="202"/>
      <c r="DB45" s="202"/>
      <c r="DC45" s="202"/>
      <c r="DD45" s="202"/>
      <c r="DE45" s="202"/>
      <c r="DF45" s="202"/>
      <c r="DG45" s="202"/>
      <c r="DH45" s="202"/>
      <c r="DI45" s="202"/>
      <c r="DJ45" s="202"/>
      <c r="DK45" s="202"/>
      <c r="DL45" s="202"/>
      <c r="DM45" s="202"/>
      <c r="DN45" s="202"/>
      <c r="DO45" s="202"/>
      <c r="DP45" s="202"/>
      <c r="DQ45" s="202"/>
      <c r="DR45" s="202"/>
      <c r="DS45" s="202"/>
      <c r="DT45" s="202"/>
      <c r="DU45" s="202"/>
      <c r="DV45" s="202"/>
      <c r="DW45" s="202"/>
      <c r="DX45" s="202"/>
      <c r="DY45" s="202"/>
      <c r="DZ45" s="202"/>
      <c r="EA45" s="202"/>
      <c r="EB45" s="202"/>
      <c r="EC45" s="202"/>
      <c r="ED45" s="202"/>
      <c r="EE45" s="202"/>
      <c r="EF45" s="202"/>
      <c r="EG45" s="202"/>
      <c r="EH45" s="202"/>
      <c r="EI45" s="202"/>
      <c r="EJ45" s="202"/>
      <c r="EK45" s="202"/>
      <c r="EL45" s="202"/>
      <c r="EM45" s="202"/>
      <c r="EN45" s="202"/>
      <c r="EO45" s="202"/>
      <c r="EP45" s="202"/>
      <c r="EQ45" s="202"/>
      <c r="ER45" s="202"/>
      <c r="ES45" s="202"/>
      <c r="ET45" s="202"/>
      <c r="EU45" s="202"/>
      <c r="EV45" s="202"/>
      <c r="EW45" s="202"/>
      <c r="EX45" s="202"/>
      <c r="EY45" s="202"/>
      <c r="EZ45" s="202"/>
      <c r="FA45" s="202"/>
      <c r="FB45" s="202"/>
      <c r="FC45" s="202"/>
      <c r="FD45" s="202"/>
      <c r="FE45" s="202"/>
      <c r="FF45" s="202"/>
      <c r="FG45" s="202"/>
      <c r="FH45" s="202"/>
      <c r="FI45" s="202"/>
    </row>
    <row r="46" spans="1:165" s="228" customFormat="1" ht="18" customHeight="1" x14ac:dyDescent="0.25">
      <c r="A46" s="578">
        <f t="shared" si="2"/>
        <v>37</v>
      </c>
      <c r="B46" s="606">
        <v>0</v>
      </c>
      <c r="C46" s="591">
        <v>5</v>
      </c>
      <c r="D46" s="556" t="s">
        <v>282</v>
      </c>
      <c r="E46" s="589" t="s">
        <v>676</v>
      </c>
      <c r="F46" s="598" t="s">
        <v>1044</v>
      </c>
      <c r="G46" s="556" t="s">
        <v>283</v>
      </c>
      <c r="H46" s="599" t="s">
        <v>677</v>
      </c>
      <c r="I46" s="607"/>
      <c r="J46" s="608"/>
      <c r="K46" s="609"/>
      <c r="L46" s="306"/>
      <c r="M46" s="307"/>
      <c r="N46" s="307"/>
      <c r="O46" s="307"/>
      <c r="P46" s="307"/>
      <c r="Q46" s="79"/>
      <c r="R46" s="76"/>
      <c r="S46" s="556"/>
      <c r="T46" s="585"/>
      <c r="U46" s="585"/>
      <c r="V46" s="585"/>
      <c r="W46" s="556"/>
      <c r="X46" s="556"/>
      <c r="Y46" s="556"/>
      <c r="Z46" s="556"/>
      <c r="AA46" s="585"/>
      <c r="AB46" s="585"/>
      <c r="AC46" s="556"/>
      <c r="AD46" s="556"/>
      <c r="AE46" s="556"/>
      <c r="AF46" s="556"/>
      <c r="AG46" s="556"/>
      <c r="AH46" s="556"/>
      <c r="AI46" s="556"/>
      <c r="AJ46" s="76"/>
      <c r="AK46" s="79"/>
      <c r="AL46" s="556"/>
      <c r="AM46" s="556"/>
      <c r="AN46" s="556"/>
      <c r="AO46" s="585"/>
      <c r="AP46" s="556"/>
      <c r="AQ46" s="585"/>
      <c r="AR46" s="585"/>
      <c r="AS46" s="79"/>
      <c r="AT46" s="79"/>
      <c r="AU46" s="585"/>
      <c r="AV46" s="585"/>
      <c r="AW46" s="585"/>
      <c r="AX46" s="585"/>
      <c r="AY46" s="585"/>
      <c r="AZ46" s="585"/>
      <c r="BA46" s="585"/>
      <c r="BB46" s="585"/>
      <c r="BC46" s="585"/>
      <c r="BD46" s="585"/>
      <c r="BE46" s="79"/>
      <c r="BF46" s="79"/>
      <c r="BG46" s="585"/>
      <c r="BH46" s="585"/>
      <c r="BI46" s="585"/>
      <c r="BJ46" s="585"/>
      <c r="BK46" s="585"/>
      <c r="BL46" s="585"/>
      <c r="BM46" s="585"/>
      <c r="BN46" s="585"/>
      <c r="BO46" s="585"/>
      <c r="BP46" s="585"/>
      <c r="BQ46" s="79"/>
      <c r="BR46" s="76"/>
      <c r="BS46" s="556"/>
      <c r="BT46" s="76"/>
      <c r="BU46" s="79"/>
      <c r="BV46" s="585"/>
      <c r="BW46" s="585"/>
      <c r="BX46" s="585"/>
      <c r="BY46" s="585"/>
      <c r="BZ46" s="79"/>
      <c r="CA46" s="76"/>
      <c r="CB46" s="585"/>
      <c r="CC46" s="585"/>
      <c r="CD46" s="585"/>
      <c r="CE46" s="79"/>
      <c r="CF46" s="79"/>
      <c r="CG46" s="585"/>
      <c r="CH46" s="585"/>
      <c r="CI46" s="585"/>
      <c r="CJ46" s="201"/>
      <c r="CK46" s="202"/>
      <c r="CL46" s="202"/>
      <c r="CM46" s="202"/>
      <c r="CN46" s="202"/>
      <c r="CO46" s="202"/>
      <c r="CP46" s="202"/>
      <c r="CQ46" s="202"/>
      <c r="CR46" s="202"/>
      <c r="CS46" s="202"/>
      <c r="CT46" s="202"/>
      <c r="CU46" s="202"/>
      <c r="CV46" s="202"/>
      <c r="CW46" s="202"/>
      <c r="CX46" s="202"/>
      <c r="CY46" s="202"/>
      <c r="CZ46" s="202"/>
      <c r="DA46" s="202"/>
      <c r="DB46" s="202"/>
      <c r="DC46" s="202"/>
      <c r="DD46" s="202"/>
      <c r="DE46" s="202"/>
      <c r="DF46" s="202"/>
      <c r="DG46" s="202"/>
      <c r="DH46" s="202"/>
      <c r="DI46" s="202"/>
      <c r="DJ46" s="202"/>
      <c r="DK46" s="202"/>
      <c r="DL46" s="202"/>
      <c r="DM46" s="202"/>
      <c r="DN46" s="202"/>
      <c r="DO46" s="202"/>
      <c r="DP46" s="202"/>
      <c r="DQ46" s="202"/>
      <c r="DR46" s="202"/>
      <c r="DS46" s="202"/>
      <c r="DT46" s="202"/>
      <c r="DU46" s="202"/>
      <c r="DV46" s="202"/>
      <c r="DW46" s="202"/>
      <c r="DX46" s="202"/>
      <c r="DY46" s="202"/>
      <c r="DZ46" s="202"/>
      <c r="EA46" s="202"/>
      <c r="EB46" s="202"/>
      <c r="EC46" s="202"/>
      <c r="ED46" s="202"/>
      <c r="EE46" s="202"/>
      <c r="EF46" s="202"/>
      <c r="EG46" s="202"/>
      <c r="EH46" s="202"/>
      <c r="EI46" s="202"/>
      <c r="EJ46" s="202"/>
      <c r="EK46" s="202"/>
      <c r="EL46" s="202"/>
      <c r="EM46" s="202"/>
      <c r="EN46" s="202"/>
      <c r="EO46" s="202"/>
      <c r="EP46" s="202"/>
      <c r="EQ46" s="202"/>
      <c r="ER46" s="202"/>
      <c r="ES46" s="202"/>
      <c r="ET46" s="202"/>
      <c r="EU46" s="202"/>
      <c r="EV46" s="202"/>
      <c r="EW46" s="202"/>
      <c r="EX46" s="202"/>
      <c r="EY46" s="202"/>
      <c r="EZ46" s="202"/>
      <c r="FA46" s="202"/>
      <c r="FB46" s="202"/>
      <c r="FC46" s="202"/>
      <c r="FD46" s="202"/>
      <c r="FE46" s="202"/>
      <c r="FF46" s="202"/>
      <c r="FG46" s="202"/>
      <c r="FH46" s="202"/>
      <c r="FI46" s="202"/>
    </row>
    <row r="47" spans="1:165" s="228" customFormat="1" ht="18" customHeight="1" x14ac:dyDescent="0.25">
      <c r="A47" s="578">
        <f t="shared" si="2"/>
        <v>38</v>
      </c>
      <c r="B47" s="606">
        <v>0</v>
      </c>
      <c r="C47" s="591">
        <v>5</v>
      </c>
      <c r="D47" s="556" t="s">
        <v>284</v>
      </c>
      <c r="E47" s="589" t="s">
        <v>678</v>
      </c>
      <c r="F47" s="598" t="s">
        <v>1044</v>
      </c>
      <c r="G47" s="556" t="s">
        <v>285</v>
      </c>
      <c r="H47" s="599" t="s">
        <v>679</v>
      </c>
      <c r="I47" s="610">
        <v>9</v>
      </c>
      <c r="J47" s="608"/>
      <c r="K47" s="609"/>
      <c r="L47" s="306"/>
      <c r="M47" s="307"/>
      <c r="N47" s="307"/>
      <c r="O47" s="307"/>
      <c r="P47" s="307"/>
      <c r="Q47" s="79"/>
      <c r="R47" s="76"/>
      <c r="S47" s="556"/>
      <c r="T47" s="585"/>
      <c r="U47" s="585"/>
      <c r="V47" s="585"/>
      <c r="W47" s="556"/>
      <c r="X47" s="556"/>
      <c r="Y47" s="556"/>
      <c r="Z47" s="556"/>
      <c r="AA47" s="585"/>
      <c r="AB47" s="585"/>
      <c r="AC47" s="556"/>
      <c r="AD47" s="556"/>
      <c r="AE47" s="556"/>
      <c r="AF47" s="556"/>
      <c r="AG47" s="556"/>
      <c r="AH47" s="556"/>
      <c r="AI47" s="556"/>
      <c r="AJ47" s="76"/>
      <c r="AK47" s="79"/>
      <c r="AL47" s="556"/>
      <c r="AM47" s="556"/>
      <c r="AN47" s="556"/>
      <c r="AO47" s="585"/>
      <c r="AP47" s="556"/>
      <c r="AQ47" s="585"/>
      <c r="AR47" s="585"/>
      <c r="AS47" s="79"/>
      <c r="AT47" s="79"/>
      <c r="AU47" s="585"/>
      <c r="AV47" s="585"/>
      <c r="AW47" s="585"/>
      <c r="AX47" s="585"/>
      <c r="AY47" s="585"/>
      <c r="AZ47" s="585"/>
      <c r="BA47" s="585"/>
      <c r="BB47" s="585"/>
      <c r="BC47" s="585"/>
      <c r="BD47" s="585"/>
      <c r="BE47" s="79"/>
      <c r="BF47" s="79"/>
      <c r="BG47" s="585"/>
      <c r="BH47" s="585"/>
      <c r="BI47" s="585"/>
      <c r="BJ47" s="585"/>
      <c r="BK47" s="585"/>
      <c r="BL47" s="585"/>
      <c r="BM47" s="585"/>
      <c r="BN47" s="585"/>
      <c r="BO47" s="585"/>
      <c r="BP47" s="585"/>
      <c r="BQ47" s="79"/>
      <c r="BR47" s="76"/>
      <c r="BS47" s="556"/>
      <c r="BT47" s="76"/>
      <c r="BU47" s="79"/>
      <c r="BV47" s="585"/>
      <c r="BW47" s="585"/>
      <c r="BX47" s="585"/>
      <c r="BY47" s="585"/>
      <c r="BZ47" s="79"/>
      <c r="CA47" s="76"/>
      <c r="CB47" s="585"/>
      <c r="CC47" s="585"/>
      <c r="CD47" s="585"/>
      <c r="CE47" s="79"/>
      <c r="CF47" s="79"/>
      <c r="CG47" s="585"/>
      <c r="CH47" s="585" t="s">
        <v>40</v>
      </c>
      <c r="CI47" s="585" t="s">
        <v>40</v>
      </c>
      <c r="CJ47" s="201"/>
      <c r="CK47" s="202"/>
      <c r="CL47" s="202"/>
      <c r="CM47" s="202"/>
      <c r="CN47" s="202"/>
      <c r="CO47" s="202"/>
      <c r="CP47" s="202"/>
      <c r="CQ47" s="202"/>
      <c r="CR47" s="202"/>
      <c r="CS47" s="202"/>
      <c r="CT47" s="202"/>
      <c r="CU47" s="202"/>
      <c r="CV47" s="202"/>
      <c r="CW47" s="202"/>
      <c r="CX47" s="202"/>
      <c r="CY47" s="202"/>
      <c r="CZ47" s="202"/>
      <c r="DA47" s="202"/>
      <c r="DB47" s="202"/>
      <c r="DC47" s="202"/>
      <c r="DD47" s="202"/>
      <c r="DE47" s="202"/>
      <c r="DF47" s="202"/>
      <c r="DG47" s="202"/>
      <c r="DH47" s="202"/>
      <c r="DI47" s="202"/>
      <c r="DJ47" s="202"/>
      <c r="DK47" s="202"/>
      <c r="DL47" s="202"/>
      <c r="DM47" s="202"/>
      <c r="DN47" s="202"/>
      <c r="DO47" s="202"/>
      <c r="DP47" s="202"/>
      <c r="DQ47" s="202"/>
      <c r="DR47" s="202"/>
      <c r="DS47" s="202"/>
      <c r="DT47" s="202"/>
      <c r="DU47" s="202"/>
      <c r="DV47" s="202"/>
      <c r="DW47" s="202"/>
      <c r="DX47" s="202"/>
      <c r="DY47" s="202"/>
      <c r="DZ47" s="202"/>
      <c r="EA47" s="202"/>
      <c r="EB47" s="202"/>
      <c r="EC47" s="202"/>
      <c r="ED47" s="202"/>
      <c r="EE47" s="202"/>
      <c r="EF47" s="202"/>
      <c r="EG47" s="202"/>
      <c r="EH47" s="202"/>
      <c r="EI47" s="202"/>
      <c r="EJ47" s="202"/>
      <c r="EK47" s="202"/>
      <c r="EL47" s="202"/>
      <c r="EM47" s="202"/>
      <c r="EN47" s="202"/>
      <c r="EO47" s="202"/>
      <c r="EP47" s="202"/>
      <c r="EQ47" s="202"/>
      <c r="ER47" s="202"/>
      <c r="ES47" s="202"/>
      <c r="ET47" s="202"/>
      <c r="EU47" s="202"/>
      <c r="EV47" s="202"/>
      <c r="EW47" s="202"/>
      <c r="EX47" s="202"/>
      <c r="EY47" s="202"/>
      <c r="EZ47" s="202"/>
      <c r="FA47" s="202"/>
      <c r="FB47" s="202"/>
      <c r="FC47" s="202"/>
      <c r="FD47" s="202"/>
      <c r="FE47" s="202"/>
      <c r="FF47" s="202"/>
      <c r="FG47" s="202"/>
      <c r="FH47" s="202"/>
      <c r="FI47" s="202"/>
    </row>
    <row r="48" spans="1:165" s="228" customFormat="1" ht="18" customHeight="1" x14ac:dyDescent="0.25">
      <c r="A48" s="578">
        <f t="shared" si="2"/>
        <v>39</v>
      </c>
      <c r="B48" s="606">
        <v>0</v>
      </c>
      <c r="C48" s="591">
        <v>5</v>
      </c>
      <c r="D48" s="556" t="s">
        <v>680</v>
      </c>
      <c r="E48" s="589" t="s">
        <v>681</v>
      </c>
      <c r="F48" s="598" t="s">
        <v>1044</v>
      </c>
      <c r="G48" s="556" t="s">
        <v>286</v>
      </c>
      <c r="H48" s="599" t="s">
        <v>682</v>
      </c>
      <c r="I48" s="607"/>
      <c r="J48" s="608"/>
      <c r="K48" s="609"/>
      <c r="L48" s="306"/>
      <c r="M48" s="307"/>
      <c r="N48" s="307"/>
      <c r="O48" s="307"/>
      <c r="P48" s="307"/>
      <c r="Q48" s="79"/>
      <c r="R48" s="76"/>
      <c r="S48" s="556"/>
      <c r="T48" s="585"/>
      <c r="U48" s="585"/>
      <c r="V48" s="585"/>
      <c r="W48" s="556"/>
      <c r="X48" s="556"/>
      <c r="Y48" s="556"/>
      <c r="Z48" s="556"/>
      <c r="AA48" s="585"/>
      <c r="AB48" s="585"/>
      <c r="AC48" s="556"/>
      <c r="AD48" s="556"/>
      <c r="AE48" s="556"/>
      <c r="AF48" s="556"/>
      <c r="AG48" s="556"/>
      <c r="AH48" s="556"/>
      <c r="AI48" s="556"/>
      <c r="AJ48" s="76"/>
      <c r="AK48" s="79"/>
      <c r="AL48" s="556"/>
      <c r="AM48" s="556"/>
      <c r="AN48" s="556"/>
      <c r="AO48" s="585"/>
      <c r="AP48" s="556"/>
      <c r="AQ48" s="585"/>
      <c r="AR48" s="585"/>
      <c r="AS48" s="79"/>
      <c r="AT48" s="79"/>
      <c r="AU48" s="585"/>
      <c r="AV48" s="585"/>
      <c r="AW48" s="585"/>
      <c r="AX48" s="585"/>
      <c r="AY48" s="585"/>
      <c r="AZ48" s="585"/>
      <c r="BA48" s="585"/>
      <c r="BB48" s="585"/>
      <c r="BC48" s="585"/>
      <c r="BD48" s="585"/>
      <c r="BE48" s="79"/>
      <c r="BF48" s="79"/>
      <c r="BG48" s="585"/>
      <c r="BH48" s="585"/>
      <c r="BI48" s="585"/>
      <c r="BJ48" s="585"/>
      <c r="BK48" s="585"/>
      <c r="BL48" s="585"/>
      <c r="BM48" s="585"/>
      <c r="BN48" s="585"/>
      <c r="BO48" s="585"/>
      <c r="BP48" s="585"/>
      <c r="BQ48" s="79"/>
      <c r="BR48" s="76"/>
      <c r="BS48" s="556"/>
      <c r="BT48" s="76"/>
      <c r="BU48" s="79"/>
      <c r="BV48" s="585"/>
      <c r="BW48" s="585"/>
      <c r="BX48" s="585"/>
      <c r="BY48" s="585"/>
      <c r="BZ48" s="79"/>
      <c r="CA48" s="76"/>
      <c r="CB48" s="585"/>
      <c r="CC48" s="585"/>
      <c r="CD48" s="585"/>
      <c r="CE48" s="79"/>
      <c r="CF48" s="79"/>
      <c r="CG48" s="585"/>
      <c r="CH48" s="585"/>
      <c r="CI48" s="585"/>
      <c r="CJ48" s="201"/>
      <c r="CK48" s="202"/>
      <c r="CL48" s="202"/>
      <c r="CM48" s="202"/>
      <c r="CN48" s="202"/>
      <c r="CO48" s="202"/>
      <c r="CP48" s="202"/>
      <c r="CQ48" s="202"/>
      <c r="CR48" s="202"/>
      <c r="CS48" s="202"/>
      <c r="CT48" s="202"/>
      <c r="CU48" s="202"/>
      <c r="CV48" s="202"/>
      <c r="CW48" s="202"/>
      <c r="CX48" s="202"/>
      <c r="CY48" s="202"/>
      <c r="CZ48" s="202"/>
      <c r="DA48" s="202"/>
      <c r="DB48" s="202"/>
      <c r="DC48" s="202"/>
      <c r="DD48" s="202"/>
      <c r="DE48" s="202"/>
      <c r="DF48" s="202"/>
      <c r="DG48" s="202"/>
      <c r="DH48" s="202"/>
      <c r="DI48" s="202"/>
      <c r="DJ48" s="202"/>
      <c r="DK48" s="202"/>
      <c r="DL48" s="202"/>
      <c r="DM48" s="202"/>
      <c r="DN48" s="202"/>
      <c r="DO48" s="202"/>
      <c r="DP48" s="202"/>
      <c r="DQ48" s="202"/>
      <c r="DR48" s="202"/>
      <c r="DS48" s="202"/>
      <c r="DT48" s="202"/>
      <c r="DU48" s="202"/>
      <c r="DV48" s="202"/>
      <c r="DW48" s="202"/>
      <c r="DX48" s="202"/>
      <c r="DY48" s="202"/>
      <c r="DZ48" s="202"/>
      <c r="EA48" s="202"/>
      <c r="EB48" s="202"/>
      <c r="EC48" s="202"/>
      <c r="ED48" s="202"/>
      <c r="EE48" s="202"/>
      <c r="EF48" s="202"/>
      <c r="EG48" s="202"/>
      <c r="EH48" s="202"/>
      <c r="EI48" s="202"/>
      <c r="EJ48" s="202"/>
      <c r="EK48" s="202"/>
      <c r="EL48" s="202"/>
      <c r="EM48" s="202"/>
      <c r="EN48" s="202"/>
      <c r="EO48" s="202"/>
      <c r="EP48" s="202"/>
      <c r="EQ48" s="202"/>
      <c r="ER48" s="202"/>
      <c r="ES48" s="202"/>
      <c r="ET48" s="202"/>
      <c r="EU48" s="202"/>
      <c r="EV48" s="202"/>
      <c r="EW48" s="202"/>
      <c r="EX48" s="202"/>
      <c r="EY48" s="202"/>
      <c r="EZ48" s="202"/>
      <c r="FA48" s="202"/>
      <c r="FB48" s="202"/>
      <c r="FC48" s="202"/>
      <c r="FD48" s="202"/>
      <c r="FE48" s="202"/>
      <c r="FF48" s="202"/>
      <c r="FG48" s="202"/>
      <c r="FH48" s="202"/>
      <c r="FI48" s="202"/>
    </row>
    <row r="49" spans="1:166" s="228" customFormat="1" ht="18" customHeight="1" x14ac:dyDescent="0.2">
      <c r="A49" s="529">
        <f t="shared" si="2"/>
        <v>40</v>
      </c>
      <c r="B49" s="533">
        <v>0</v>
      </c>
      <c r="C49" s="528" t="s">
        <v>1044</v>
      </c>
      <c r="D49" s="310" t="s">
        <v>1060</v>
      </c>
      <c r="E49" s="527" t="s">
        <v>1061</v>
      </c>
      <c r="F49" s="531" t="s">
        <v>1044</v>
      </c>
      <c r="G49" s="310" t="s">
        <v>1062</v>
      </c>
      <c r="H49" s="530" t="s">
        <v>1063</v>
      </c>
      <c r="I49" s="421"/>
      <c r="J49" s="418"/>
      <c r="K49" s="419"/>
      <c r="L49" s="306"/>
      <c r="M49" s="307"/>
      <c r="N49" s="307"/>
      <c r="O49" s="307"/>
      <c r="P49" s="307"/>
      <c r="Q49" s="79"/>
      <c r="R49" s="76"/>
      <c r="S49" s="310"/>
      <c r="T49" s="307"/>
      <c r="U49" s="307"/>
      <c r="V49" s="307"/>
      <c r="W49" s="310"/>
      <c r="X49" s="310"/>
      <c r="Y49" s="310"/>
      <c r="Z49" s="310"/>
      <c r="AA49" s="307"/>
      <c r="AB49" s="307"/>
      <c r="AC49" s="310"/>
      <c r="AD49" s="310"/>
      <c r="AE49" s="310"/>
      <c r="AF49" s="310"/>
      <c r="AG49" s="310"/>
      <c r="AH49" s="310"/>
      <c r="AI49" s="310"/>
      <c r="AJ49" s="76"/>
      <c r="AK49" s="79"/>
      <c r="AL49" s="310"/>
      <c r="AM49" s="310"/>
      <c r="AN49" s="310"/>
      <c r="AO49" s="307"/>
      <c r="AP49" s="310"/>
      <c r="AQ49" s="307"/>
      <c r="AR49" s="307"/>
      <c r="AS49" s="79"/>
      <c r="AT49" s="79"/>
      <c r="AU49" s="307"/>
      <c r="AV49" s="307"/>
      <c r="AW49" s="307"/>
      <c r="AX49" s="307"/>
      <c r="AY49" s="307"/>
      <c r="AZ49" s="307"/>
      <c r="BA49" s="307"/>
      <c r="BB49" s="307"/>
      <c r="BC49" s="307"/>
      <c r="BD49" s="307"/>
      <c r="BE49" s="79"/>
      <c r="BF49" s="79"/>
      <c r="BG49" s="307"/>
      <c r="BH49" s="307"/>
      <c r="BI49" s="307"/>
      <c r="BJ49" s="307"/>
      <c r="BK49" s="307"/>
      <c r="BL49" s="307"/>
      <c r="BM49" s="307"/>
      <c r="BN49" s="307"/>
      <c r="BO49" s="307"/>
      <c r="BP49" s="307"/>
      <c r="BQ49" s="79"/>
      <c r="BR49" s="76"/>
      <c r="BS49" s="310"/>
      <c r="BT49" s="76"/>
      <c r="BU49" s="79"/>
      <c r="BV49" s="307"/>
      <c r="BW49" s="307"/>
      <c r="BX49" s="307"/>
      <c r="BY49" s="307"/>
      <c r="BZ49" s="79"/>
      <c r="CA49" s="76"/>
      <c r="CB49" s="307"/>
      <c r="CC49" s="307"/>
      <c r="CD49" s="307"/>
      <c r="CE49" s="79"/>
      <c r="CF49" s="79"/>
      <c r="CG49" s="307"/>
      <c r="CH49" s="307"/>
      <c r="CI49" s="307"/>
      <c r="CJ49" s="201"/>
      <c r="CK49" s="202"/>
      <c r="CL49" s="202"/>
      <c r="CM49" s="202"/>
      <c r="CN49" s="202"/>
      <c r="CO49" s="202"/>
      <c r="CP49" s="202"/>
      <c r="CQ49" s="202"/>
      <c r="CR49" s="202"/>
      <c r="CS49" s="202"/>
      <c r="CT49" s="202"/>
      <c r="CU49" s="202"/>
      <c r="CV49" s="202"/>
      <c r="CW49" s="202"/>
      <c r="CX49" s="202"/>
      <c r="CY49" s="202"/>
      <c r="CZ49" s="202"/>
      <c r="DA49" s="202"/>
      <c r="DB49" s="202"/>
      <c r="DC49" s="202"/>
      <c r="DD49" s="202"/>
      <c r="DE49" s="202"/>
      <c r="DF49" s="202"/>
      <c r="DG49" s="202"/>
      <c r="DH49" s="202"/>
      <c r="DI49" s="202"/>
      <c r="DJ49" s="202"/>
      <c r="DK49" s="202"/>
      <c r="DL49" s="202"/>
      <c r="DM49" s="202"/>
      <c r="DN49" s="202"/>
      <c r="DO49" s="202"/>
      <c r="DP49" s="202"/>
      <c r="DQ49" s="202"/>
      <c r="DR49" s="202"/>
      <c r="DS49" s="202"/>
      <c r="DT49" s="202"/>
      <c r="DU49" s="202"/>
      <c r="DV49" s="202"/>
      <c r="DW49" s="202"/>
      <c r="DX49" s="202"/>
      <c r="DY49" s="202"/>
      <c r="DZ49" s="202"/>
      <c r="EA49" s="202"/>
      <c r="EB49" s="202"/>
      <c r="EC49" s="202"/>
      <c r="ED49" s="202"/>
      <c r="EE49" s="202"/>
      <c r="EF49" s="202"/>
      <c r="EG49" s="202"/>
      <c r="EH49" s="202"/>
      <c r="EI49" s="202"/>
      <c r="EJ49" s="202"/>
      <c r="EK49" s="202"/>
      <c r="EL49" s="202"/>
      <c r="EM49" s="202"/>
      <c r="EN49" s="202"/>
      <c r="EO49" s="202"/>
      <c r="EP49" s="202"/>
      <c r="EQ49" s="202"/>
      <c r="ER49" s="202"/>
      <c r="ES49" s="202"/>
      <c r="ET49" s="202"/>
      <c r="EU49" s="202"/>
      <c r="EV49" s="202"/>
      <c r="EW49" s="202"/>
      <c r="EX49" s="202"/>
      <c r="EY49" s="202"/>
      <c r="EZ49" s="202"/>
      <c r="FA49" s="202"/>
      <c r="FB49" s="202"/>
      <c r="FC49" s="202"/>
      <c r="FD49" s="202"/>
      <c r="FE49" s="202"/>
      <c r="FF49" s="202"/>
      <c r="FG49" s="202"/>
      <c r="FH49" s="202"/>
      <c r="FI49" s="202"/>
    </row>
    <row r="50" spans="1:166" s="228" customFormat="1" ht="18" customHeight="1" x14ac:dyDescent="0.2">
      <c r="A50" s="529">
        <f t="shared" si="2"/>
        <v>41</v>
      </c>
      <c r="B50" s="533">
        <v>0</v>
      </c>
      <c r="C50" s="528" t="s">
        <v>1044</v>
      </c>
      <c r="D50" s="310" t="s">
        <v>1072</v>
      </c>
      <c r="E50" s="527" t="s">
        <v>1073</v>
      </c>
      <c r="F50" s="531" t="s">
        <v>1044</v>
      </c>
      <c r="G50" s="310" t="s">
        <v>1074</v>
      </c>
      <c r="H50" s="530" t="s">
        <v>1075</v>
      </c>
      <c r="I50" s="421"/>
      <c r="J50" s="418"/>
      <c r="K50" s="419"/>
      <c r="L50" s="306"/>
      <c r="M50" s="307"/>
      <c r="N50" s="307"/>
      <c r="O50" s="307"/>
      <c r="P50" s="307"/>
      <c r="Q50" s="79"/>
      <c r="R50" s="76"/>
      <c r="S50" s="310"/>
      <c r="T50" s="307"/>
      <c r="U50" s="307"/>
      <c r="V50" s="307"/>
      <c r="W50" s="310"/>
      <c r="X50" s="310"/>
      <c r="Y50" s="310"/>
      <c r="Z50" s="310"/>
      <c r="AA50" s="307"/>
      <c r="AB50" s="307"/>
      <c r="AC50" s="310"/>
      <c r="AD50" s="310"/>
      <c r="AE50" s="310"/>
      <c r="AF50" s="310"/>
      <c r="AG50" s="310"/>
      <c r="AH50" s="310"/>
      <c r="AI50" s="310"/>
      <c r="AJ50" s="76"/>
      <c r="AK50" s="79"/>
      <c r="AL50" s="310"/>
      <c r="AM50" s="310"/>
      <c r="AN50" s="310"/>
      <c r="AO50" s="307"/>
      <c r="AP50" s="310"/>
      <c r="AQ50" s="307"/>
      <c r="AR50" s="307"/>
      <c r="AS50" s="79"/>
      <c r="AT50" s="79"/>
      <c r="AU50" s="307"/>
      <c r="AV50" s="307"/>
      <c r="AW50" s="307"/>
      <c r="AX50" s="307"/>
      <c r="AY50" s="307"/>
      <c r="AZ50" s="307"/>
      <c r="BA50" s="307"/>
      <c r="BB50" s="307"/>
      <c r="BC50" s="307"/>
      <c r="BD50" s="307"/>
      <c r="BE50" s="79"/>
      <c r="BF50" s="79"/>
      <c r="BG50" s="307"/>
      <c r="BH50" s="307"/>
      <c r="BI50" s="307"/>
      <c r="BJ50" s="307"/>
      <c r="BK50" s="307"/>
      <c r="BL50" s="307"/>
      <c r="BM50" s="307"/>
      <c r="BN50" s="307"/>
      <c r="BO50" s="307"/>
      <c r="BP50" s="307"/>
      <c r="BQ50" s="79"/>
      <c r="BR50" s="76"/>
      <c r="BS50" s="310"/>
      <c r="BT50" s="76"/>
      <c r="BU50" s="79"/>
      <c r="BV50" s="307"/>
      <c r="BW50" s="307"/>
      <c r="BX50" s="307"/>
      <c r="BY50" s="307"/>
      <c r="BZ50" s="79"/>
      <c r="CA50" s="76"/>
      <c r="CB50" s="307"/>
      <c r="CC50" s="307"/>
      <c r="CD50" s="307"/>
      <c r="CE50" s="79"/>
      <c r="CF50" s="79"/>
      <c r="CG50" s="307"/>
      <c r="CH50" s="307"/>
      <c r="CI50" s="307"/>
      <c r="CJ50" s="201"/>
      <c r="CK50" s="202"/>
      <c r="CL50" s="202"/>
      <c r="CM50" s="202"/>
      <c r="CN50" s="202"/>
      <c r="CO50" s="202"/>
      <c r="CP50" s="202"/>
      <c r="CQ50" s="202"/>
      <c r="CR50" s="202"/>
      <c r="CS50" s="202"/>
      <c r="CT50" s="202"/>
      <c r="CU50" s="202"/>
      <c r="CV50" s="202"/>
      <c r="CW50" s="202"/>
      <c r="CX50" s="202"/>
      <c r="CY50" s="202"/>
      <c r="CZ50" s="202"/>
      <c r="DA50" s="202"/>
      <c r="DB50" s="202"/>
      <c r="DC50" s="202"/>
      <c r="DD50" s="202"/>
      <c r="DE50" s="202"/>
      <c r="DF50" s="202"/>
      <c r="DG50" s="202"/>
      <c r="DH50" s="202"/>
      <c r="DI50" s="202"/>
      <c r="DJ50" s="202"/>
      <c r="DK50" s="202"/>
      <c r="DL50" s="202"/>
      <c r="DM50" s="202"/>
      <c r="DN50" s="202"/>
      <c r="DO50" s="202"/>
      <c r="DP50" s="202"/>
      <c r="DQ50" s="202"/>
      <c r="DR50" s="202"/>
      <c r="DS50" s="202"/>
      <c r="DT50" s="202"/>
      <c r="DU50" s="202"/>
      <c r="DV50" s="202"/>
      <c r="DW50" s="202"/>
      <c r="DX50" s="202"/>
      <c r="DY50" s="202"/>
      <c r="DZ50" s="202"/>
      <c r="EA50" s="202"/>
      <c r="EB50" s="202"/>
      <c r="EC50" s="202"/>
      <c r="ED50" s="202"/>
      <c r="EE50" s="202"/>
      <c r="EF50" s="202"/>
      <c r="EG50" s="202"/>
      <c r="EH50" s="202"/>
      <c r="EI50" s="202"/>
      <c r="EJ50" s="202"/>
      <c r="EK50" s="202"/>
      <c r="EL50" s="202"/>
      <c r="EM50" s="202"/>
      <c r="EN50" s="202"/>
      <c r="EO50" s="202"/>
      <c r="EP50" s="202"/>
      <c r="EQ50" s="202"/>
      <c r="ER50" s="202"/>
      <c r="ES50" s="202"/>
      <c r="ET50" s="202"/>
      <c r="EU50" s="202"/>
      <c r="EV50" s="202"/>
      <c r="EW50" s="202"/>
      <c r="EX50" s="202"/>
      <c r="EY50" s="202"/>
      <c r="EZ50" s="202"/>
      <c r="FA50" s="202"/>
      <c r="FB50" s="202"/>
      <c r="FC50" s="202"/>
      <c r="FD50" s="202"/>
      <c r="FE50" s="202"/>
      <c r="FF50" s="202"/>
      <c r="FG50" s="202"/>
      <c r="FH50" s="202"/>
      <c r="FI50" s="202"/>
    </row>
    <row r="51" spans="1:166" s="228" customFormat="1" ht="18" customHeight="1" x14ac:dyDescent="0.25">
      <c r="A51" s="578">
        <f t="shared" si="2"/>
        <v>42</v>
      </c>
      <c r="B51" s="606">
        <v>0</v>
      </c>
      <c r="C51" s="591">
        <v>5</v>
      </c>
      <c r="D51" s="556" t="s">
        <v>287</v>
      </c>
      <c r="E51" s="589" t="s">
        <v>683</v>
      </c>
      <c r="F51" s="598" t="s">
        <v>1044</v>
      </c>
      <c r="G51" s="567" t="s">
        <v>1125</v>
      </c>
      <c r="H51" s="599" t="s">
        <v>615</v>
      </c>
      <c r="I51" s="607"/>
      <c r="J51" s="608"/>
      <c r="K51" s="609"/>
      <c r="L51" s="306"/>
      <c r="M51" s="307"/>
      <c r="N51" s="307"/>
      <c r="O51" s="307"/>
      <c r="P51" s="307"/>
      <c r="Q51" s="79"/>
      <c r="R51" s="76"/>
      <c r="S51" s="556"/>
      <c r="T51" s="585"/>
      <c r="U51" s="585"/>
      <c r="V51" s="585"/>
      <c r="W51" s="556"/>
      <c r="X51" s="556"/>
      <c r="Y51" s="556"/>
      <c r="Z51" s="556"/>
      <c r="AA51" s="585"/>
      <c r="AB51" s="585"/>
      <c r="AC51" s="556"/>
      <c r="AD51" s="556"/>
      <c r="AE51" s="556"/>
      <c r="AF51" s="556"/>
      <c r="AG51" s="556"/>
      <c r="AH51" s="556"/>
      <c r="AI51" s="556"/>
      <c r="AJ51" s="76"/>
      <c r="AK51" s="79"/>
      <c r="AL51" s="556"/>
      <c r="AM51" s="556"/>
      <c r="AN51" s="556"/>
      <c r="AO51" s="585"/>
      <c r="AP51" s="556"/>
      <c r="AQ51" s="585"/>
      <c r="AR51" s="585"/>
      <c r="AS51" s="79"/>
      <c r="AT51" s="79"/>
      <c r="AU51" s="585"/>
      <c r="AV51" s="585"/>
      <c r="AW51" s="585"/>
      <c r="AX51" s="585"/>
      <c r="AY51" s="585"/>
      <c r="AZ51" s="585"/>
      <c r="BA51" s="585"/>
      <c r="BB51" s="585"/>
      <c r="BC51" s="585"/>
      <c r="BD51" s="585"/>
      <c r="BE51" s="79"/>
      <c r="BF51" s="79"/>
      <c r="BG51" s="585"/>
      <c r="BH51" s="585"/>
      <c r="BI51" s="585"/>
      <c r="BJ51" s="585"/>
      <c r="BK51" s="585"/>
      <c r="BL51" s="585"/>
      <c r="BM51" s="585"/>
      <c r="BN51" s="585"/>
      <c r="BO51" s="585"/>
      <c r="BP51" s="585"/>
      <c r="BQ51" s="79"/>
      <c r="BR51" s="76"/>
      <c r="BS51" s="556"/>
      <c r="BT51" s="76"/>
      <c r="BU51" s="79"/>
      <c r="BV51" s="585"/>
      <c r="BW51" s="585"/>
      <c r="BX51" s="585"/>
      <c r="BY51" s="585"/>
      <c r="BZ51" s="79"/>
      <c r="CA51" s="76"/>
      <c r="CB51" s="585"/>
      <c r="CC51" s="585"/>
      <c r="CD51" s="585"/>
      <c r="CE51" s="79"/>
      <c r="CF51" s="79"/>
      <c r="CG51" s="585"/>
      <c r="CH51" s="585"/>
      <c r="CI51" s="585"/>
      <c r="CJ51" s="201"/>
      <c r="CK51" s="202"/>
      <c r="CL51" s="202"/>
      <c r="CM51" s="202"/>
      <c r="CN51" s="202"/>
      <c r="CO51" s="202"/>
      <c r="CP51" s="202"/>
      <c r="CQ51" s="202"/>
      <c r="CR51" s="202"/>
      <c r="CS51" s="202"/>
      <c r="CT51" s="202"/>
      <c r="CU51" s="202"/>
      <c r="CV51" s="202"/>
      <c r="CW51" s="202"/>
      <c r="CX51" s="202"/>
      <c r="CY51" s="202"/>
      <c r="CZ51" s="202"/>
      <c r="DA51" s="202"/>
      <c r="DB51" s="202"/>
      <c r="DC51" s="202"/>
      <c r="DD51" s="202"/>
      <c r="DE51" s="202"/>
      <c r="DF51" s="202"/>
      <c r="DG51" s="202"/>
      <c r="DH51" s="202"/>
      <c r="DI51" s="202"/>
      <c r="DJ51" s="202"/>
      <c r="DK51" s="202"/>
      <c r="DL51" s="202"/>
      <c r="DM51" s="202"/>
      <c r="DN51" s="202"/>
      <c r="DO51" s="202"/>
      <c r="DP51" s="202"/>
      <c r="DQ51" s="202"/>
      <c r="DR51" s="202"/>
      <c r="DS51" s="202"/>
      <c r="DT51" s="202"/>
      <c r="DU51" s="202"/>
      <c r="DV51" s="202"/>
      <c r="DW51" s="202"/>
      <c r="DX51" s="202"/>
      <c r="DY51" s="202"/>
      <c r="DZ51" s="202"/>
      <c r="EA51" s="202"/>
      <c r="EB51" s="202"/>
      <c r="EC51" s="202"/>
      <c r="ED51" s="202"/>
      <c r="EE51" s="202"/>
      <c r="EF51" s="202"/>
      <c r="EG51" s="202"/>
      <c r="EH51" s="202"/>
      <c r="EI51" s="202"/>
      <c r="EJ51" s="202"/>
      <c r="EK51" s="202"/>
      <c r="EL51" s="202"/>
      <c r="EM51" s="202"/>
      <c r="EN51" s="202"/>
      <c r="EO51" s="202"/>
      <c r="EP51" s="202"/>
      <c r="EQ51" s="202"/>
      <c r="ER51" s="202"/>
      <c r="ES51" s="202"/>
      <c r="ET51" s="202"/>
      <c r="EU51" s="202"/>
      <c r="EV51" s="202"/>
      <c r="EW51" s="202"/>
      <c r="EX51" s="202"/>
      <c r="EY51" s="202"/>
      <c r="EZ51" s="202"/>
      <c r="FA51" s="202"/>
      <c r="FB51" s="202"/>
      <c r="FC51" s="202"/>
      <c r="FD51" s="202"/>
      <c r="FE51" s="202"/>
      <c r="FF51" s="202"/>
      <c r="FG51" s="202"/>
      <c r="FH51" s="202"/>
      <c r="FI51" s="202"/>
    </row>
    <row r="52" spans="1:166" s="228" customFormat="1" ht="18" customHeight="1" x14ac:dyDescent="0.25">
      <c r="A52" s="578">
        <f t="shared" si="2"/>
        <v>43</v>
      </c>
      <c r="B52" s="606">
        <v>0</v>
      </c>
      <c r="C52" s="591">
        <v>5</v>
      </c>
      <c r="D52" s="556" t="s">
        <v>288</v>
      </c>
      <c r="E52" s="589" t="s">
        <v>685</v>
      </c>
      <c r="F52" s="598" t="s">
        <v>1044</v>
      </c>
      <c r="G52" s="567" t="s">
        <v>1126</v>
      </c>
      <c r="H52" s="599" t="s">
        <v>616</v>
      </c>
      <c r="I52" s="607"/>
      <c r="J52" s="608"/>
      <c r="K52" s="609"/>
      <c r="L52" s="306"/>
      <c r="M52" s="307"/>
      <c r="N52" s="307"/>
      <c r="O52" s="307"/>
      <c r="P52" s="307"/>
      <c r="Q52" s="79"/>
      <c r="R52" s="76"/>
      <c r="S52" s="556"/>
      <c r="T52" s="585"/>
      <c r="U52" s="585"/>
      <c r="V52" s="585"/>
      <c r="W52" s="556"/>
      <c r="X52" s="556"/>
      <c r="Y52" s="556"/>
      <c r="Z52" s="556"/>
      <c r="AA52" s="585"/>
      <c r="AB52" s="585"/>
      <c r="AC52" s="556"/>
      <c r="AD52" s="556"/>
      <c r="AE52" s="556"/>
      <c r="AF52" s="556"/>
      <c r="AG52" s="556"/>
      <c r="AH52" s="556"/>
      <c r="AI52" s="556"/>
      <c r="AJ52" s="76"/>
      <c r="AK52" s="79"/>
      <c r="AL52" s="556"/>
      <c r="AM52" s="556"/>
      <c r="AN52" s="556"/>
      <c r="AO52" s="585"/>
      <c r="AP52" s="556"/>
      <c r="AQ52" s="585"/>
      <c r="AR52" s="585"/>
      <c r="AS52" s="79"/>
      <c r="AT52" s="79"/>
      <c r="AU52" s="585"/>
      <c r="AV52" s="585"/>
      <c r="AW52" s="585"/>
      <c r="AX52" s="585"/>
      <c r="AY52" s="585"/>
      <c r="AZ52" s="585"/>
      <c r="BA52" s="585"/>
      <c r="BB52" s="585"/>
      <c r="BC52" s="585"/>
      <c r="BD52" s="585"/>
      <c r="BE52" s="79"/>
      <c r="BF52" s="79"/>
      <c r="BG52" s="585"/>
      <c r="BH52" s="585"/>
      <c r="BI52" s="585"/>
      <c r="BJ52" s="585"/>
      <c r="BK52" s="585"/>
      <c r="BL52" s="585"/>
      <c r="BM52" s="585"/>
      <c r="BN52" s="585"/>
      <c r="BO52" s="585"/>
      <c r="BP52" s="585"/>
      <c r="BQ52" s="79"/>
      <c r="BR52" s="76"/>
      <c r="BS52" s="556"/>
      <c r="BT52" s="76"/>
      <c r="BU52" s="79"/>
      <c r="BV52" s="585"/>
      <c r="BW52" s="585"/>
      <c r="BX52" s="585"/>
      <c r="BY52" s="585"/>
      <c r="BZ52" s="79"/>
      <c r="CA52" s="76"/>
      <c r="CB52" s="585"/>
      <c r="CC52" s="585"/>
      <c r="CD52" s="585"/>
      <c r="CE52" s="79"/>
      <c r="CF52" s="79"/>
      <c r="CG52" s="585"/>
      <c r="CH52" s="585"/>
      <c r="CI52" s="585"/>
      <c r="CJ52" s="201"/>
      <c r="CK52" s="202"/>
      <c r="CL52" s="202"/>
      <c r="CM52" s="202"/>
      <c r="CN52" s="202"/>
      <c r="CO52" s="202"/>
      <c r="CP52" s="202"/>
      <c r="CQ52" s="202"/>
      <c r="CR52" s="202"/>
      <c r="CS52" s="202"/>
      <c r="CT52" s="202"/>
      <c r="CU52" s="202"/>
      <c r="CV52" s="202"/>
      <c r="CW52" s="202"/>
      <c r="CX52" s="202"/>
      <c r="CY52" s="202"/>
      <c r="CZ52" s="202"/>
      <c r="DA52" s="202"/>
      <c r="DB52" s="202"/>
      <c r="DC52" s="202"/>
      <c r="DD52" s="202"/>
      <c r="DE52" s="202"/>
      <c r="DF52" s="202"/>
      <c r="DG52" s="202"/>
      <c r="DH52" s="202"/>
      <c r="DI52" s="202"/>
      <c r="DJ52" s="202"/>
      <c r="DK52" s="202"/>
      <c r="DL52" s="202"/>
      <c r="DM52" s="202"/>
      <c r="DN52" s="202"/>
      <c r="DO52" s="202"/>
      <c r="DP52" s="202"/>
      <c r="DQ52" s="202"/>
      <c r="DR52" s="202"/>
      <c r="DS52" s="202"/>
      <c r="DT52" s="202"/>
      <c r="DU52" s="202"/>
      <c r="DV52" s="202"/>
      <c r="DW52" s="202"/>
      <c r="DX52" s="202"/>
      <c r="DY52" s="202"/>
      <c r="DZ52" s="202"/>
      <c r="EA52" s="202"/>
      <c r="EB52" s="202"/>
      <c r="EC52" s="202"/>
      <c r="ED52" s="202"/>
      <c r="EE52" s="202"/>
      <c r="EF52" s="202"/>
      <c r="EG52" s="202"/>
      <c r="EH52" s="202"/>
      <c r="EI52" s="202"/>
      <c r="EJ52" s="202"/>
      <c r="EK52" s="202"/>
      <c r="EL52" s="202"/>
      <c r="EM52" s="202"/>
      <c r="EN52" s="202"/>
      <c r="EO52" s="202"/>
      <c r="EP52" s="202"/>
      <c r="EQ52" s="202"/>
      <c r="ER52" s="202"/>
      <c r="ES52" s="202"/>
      <c r="ET52" s="202"/>
      <c r="EU52" s="202"/>
      <c r="EV52" s="202"/>
      <c r="EW52" s="202"/>
      <c r="EX52" s="202"/>
      <c r="EY52" s="202"/>
      <c r="EZ52" s="202"/>
      <c r="FA52" s="202"/>
      <c r="FB52" s="202"/>
      <c r="FC52" s="202"/>
      <c r="FD52" s="202"/>
      <c r="FE52" s="202"/>
      <c r="FF52" s="202"/>
      <c r="FG52" s="202"/>
      <c r="FH52" s="202"/>
      <c r="FI52" s="202"/>
    </row>
    <row r="53" spans="1:166" s="228" customFormat="1" ht="18" customHeight="1" x14ac:dyDescent="0.25">
      <c r="A53" s="578">
        <f t="shared" si="2"/>
        <v>44</v>
      </c>
      <c r="B53" s="606">
        <v>0</v>
      </c>
      <c r="C53" s="591">
        <v>5</v>
      </c>
      <c r="D53" s="556" t="s">
        <v>289</v>
      </c>
      <c r="E53" s="589" t="s">
        <v>687</v>
      </c>
      <c r="F53" s="598" t="s">
        <v>1044</v>
      </c>
      <c r="G53" s="567" t="s">
        <v>1127</v>
      </c>
      <c r="H53" s="599" t="s">
        <v>617</v>
      </c>
      <c r="I53" s="607"/>
      <c r="J53" s="608"/>
      <c r="K53" s="609"/>
      <c r="L53" s="306"/>
      <c r="M53" s="307"/>
      <c r="N53" s="307"/>
      <c r="O53" s="307"/>
      <c r="P53" s="307"/>
      <c r="Q53" s="79"/>
      <c r="R53" s="76"/>
      <c r="S53" s="556"/>
      <c r="T53" s="585"/>
      <c r="U53" s="585"/>
      <c r="V53" s="585"/>
      <c r="W53" s="556"/>
      <c r="X53" s="556"/>
      <c r="Y53" s="556"/>
      <c r="Z53" s="556"/>
      <c r="AA53" s="585"/>
      <c r="AB53" s="585"/>
      <c r="AC53" s="556"/>
      <c r="AD53" s="556"/>
      <c r="AE53" s="556"/>
      <c r="AF53" s="556"/>
      <c r="AG53" s="556"/>
      <c r="AH53" s="556"/>
      <c r="AI53" s="556"/>
      <c r="AJ53" s="76"/>
      <c r="AK53" s="79"/>
      <c r="AL53" s="556"/>
      <c r="AM53" s="556"/>
      <c r="AN53" s="556"/>
      <c r="AO53" s="585"/>
      <c r="AP53" s="556"/>
      <c r="AQ53" s="585"/>
      <c r="AR53" s="585"/>
      <c r="AS53" s="79"/>
      <c r="AT53" s="79"/>
      <c r="AU53" s="585"/>
      <c r="AV53" s="585"/>
      <c r="AW53" s="585"/>
      <c r="AX53" s="585"/>
      <c r="AY53" s="585"/>
      <c r="AZ53" s="585"/>
      <c r="BA53" s="585"/>
      <c r="BB53" s="585"/>
      <c r="BC53" s="585"/>
      <c r="BD53" s="585"/>
      <c r="BE53" s="79"/>
      <c r="BF53" s="79"/>
      <c r="BG53" s="585"/>
      <c r="BH53" s="585"/>
      <c r="BI53" s="585"/>
      <c r="BJ53" s="585"/>
      <c r="BK53" s="585"/>
      <c r="BL53" s="585"/>
      <c r="BM53" s="585"/>
      <c r="BN53" s="585"/>
      <c r="BO53" s="585"/>
      <c r="BP53" s="585"/>
      <c r="BQ53" s="79"/>
      <c r="BR53" s="76"/>
      <c r="BS53" s="556"/>
      <c r="BT53" s="76"/>
      <c r="BU53" s="79"/>
      <c r="BV53" s="585"/>
      <c r="BW53" s="585"/>
      <c r="BX53" s="585"/>
      <c r="BY53" s="585"/>
      <c r="BZ53" s="79"/>
      <c r="CA53" s="76"/>
      <c r="CB53" s="585"/>
      <c r="CC53" s="585"/>
      <c r="CD53" s="585"/>
      <c r="CE53" s="79"/>
      <c r="CF53" s="79"/>
      <c r="CG53" s="585"/>
      <c r="CH53" s="585"/>
      <c r="CI53" s="585"/>
      <c r="CJ53" s="201"/>
      <c r="CK53" s="202"/>
      <c r="CL53" s="202"/>
      <c r="CM53" s="202"/>
      <c r="CN53" s="202"/>
      <c r="CO53" s="202"/>
      <c r="CP53" s="202"/>
      <c r="CQ53" s="202"/>
      <c r="CR53" s="202"/>
      <c r="CS53" s="202"/>
      <c r="CT53" s="202"/>
      <c r="CU53" s="202"/>
      <c r="CV53" s="202"/>
      <c r="CW53" s="202"/>
      <c r="CX53" s="202"/>
      <c r="CY53" s="202"/>
      <c r="CZ53" s="202"/>
      <c r="DA53" s="202"/>
      <c r="DB53" s="202"/>
      <c r="DC53" s="202"/>
      <c r="DD53" s="202"/>
      <c r="DE53" s="202"/>
      <c r="DF53" s="202"/>
      <c r="DG53" s="202"/>
      <c r="DH53" s="202"/>
      <c r="DI53" s="202"/>
      <c r="DJ53" s="202"/>
      <c r="DK53" s="202"/>
      <c r="DL53" s="202"/>
      <c r="DM53" s="202"/>
      <c r="DN53" s="202"/>
      <c r="DO53" s="202"/>
      <c r="DP53" s="202"/>
      <c r="DQ53" s="202"/>
      <c r="DR53" s="202"/>
      <c r="DS53" s="202"/>
      <c r="DT53" s="202"/>
      <c r="DU53" s="202"/>
      <c r="DV53" s="202"/>
      <c r="DW53" s="202"/>
      <c r="DX53" s="202"/>
      <c r="DY53" s="202"/>
      <c r="DZ53" s="202"/>
      <c r="EA53" s="202"/>
      <c r="EB53" s="202"/>
      <c r="EC53" s="202"/>
      <c r="ED53" s="202"/>
      <c r="EE53" s="202"/>
      <c r="EF53" s="202"/>
      <c r="EG53" s="202"/>
      <c r="EH53" s="202"/>
      <c r="EI53" s="202"/>
      <c r="EJ53" s="202"/>
      <c r="EK53" s="202"/>
      <c r="EL53" s="202"/>
      <c r="EM53" s="202"/>
      <c r="EN53" s="202"/>
      <c r="EO53" s="202"/>
      <c r="EP53" s="202"/>
      <c r="EQ53" s="202"/>
      <c r="ER53" s="202"/>
      <c r="ES53" s="202"/>
      <c r="ET53" s="202"/>
      <c r="EU53" s="202"/>
      <c r="EV53" s="202"/>
      <c r="EW53" s="202"/>
      <c r="EX53" s="202"/>
      <c r="EY53" s="202"/>
      <c r="EZ53" s="202"/>
      <c r="FA53" s="202"/>
      <c r="FB53" s="202"/>
      <c r="FC53" s="202"/>
      <c r="FD53" s="202"/>
      <c r="FE53" s="202"/>
      <c r="FF53" s="202"/>
      <c r="FG53" s="202"/>
      <c r="FH53" s="202"/>
      <c r="FI53" s="202"/>
    </row>
    <row r="54" spans="1:166" s="228" customFormat="1" ht="18" customHeight="1" x14ac:dyDescent="0.2">
      <c r="A54" s="529">
        <f t="shared" si="2"/>
        <v>45</v>
      </c>
      <c r="B54" s="533">
        <v>0</v>
      </c>
      <c r="C54" s="88">
        <v>5</v>
      </c>
      <c r="D54" s="310" t="s">
        <v>1052</v>
      </c>
      <c r="E54" s="527" t="s">
        <v>1051</v>
      </c>
      <c r="F54" s="531" t="s">
        <v>1044</v>
      </c>
      <c r="G54" s="310" t="s">
        <v>1050</v>
      </c>
      <c r="H54" s="530" t="s">
        <v>1138</v>
      </c>
      <c r="I54" s="421"/>
      <c r="J54" s="418"/>
      <c r="K54" s="419"/>
      <c r="L54" s="306"/>
      <c r="M54" s="307"/>
      <c r="N54" s="307"/>
      <c r="O54" s="307"/>
      <c r="P54" s="307"/>
      <c r="Q54" s="79"/>
      <c r="R54" s="76"/>
      <c r="S54" s="310"/>
      <c r="T54" s="307"/>
      <c r="U54" s="307"/>
      <c r="V54" s="307"/>
      <c r="W54" s="310"/>
      <c r="X54" s="310"/>
      <c r="Y54" s="310"/>
      <c r="Z54" s="310"/>
      <c r="AA54" s="307"/>
      <c r="AB54" s="307"/>
      <c r="AC54" s="310"/>
      <c r="AD54" s="310"/>
      <c r="AE54" s="310"/>
      <c r="AF54" s="310"/>
      <c r="AG54" s="310"/>
      <c r="AH54" s="310"/>
      <c r="AI54" s="310"/>
      <c r="AJ54" s="76"/>
      <c r="AK54" s="79"/>
      <c r="AL54" s="310"/>
      <c r="AM54" s="310"/>
      <c r="AN54" s="310"/>
      <c r="AO54" s="307"/>
      <c r="AP54" s="310"/>
      <c r="AQ54" s="307"/>
      <c r="AR54" s="307"/>
      <c r="AS54" s="79"/>
      <c r="AT54" s="79"/>
      <c r="AU54" s="307"/>
      <c r="AV54" s="307"/>
      <c r="AW54" s="307"/>
      <c r="AX54" s="307"/>
      <c r="AY54" s="307"/>
      <c r="AZ54" s="307"/>
      <c r="BA54" s="307"/>
      <c r="BB54" s="307"/>
      <c r="BC54" s="307"/>
      <c r="BD54" s="307"/>
      <c r="BE54" s="79"/>
      <c r="BF54" s="79"/>
      <c r="BG54" s="307"/>
      <c r="BH54" s="307"/>
      <c r="BI54" s="307"/>
      <c r="BJ54" s="307"/>
      <c r="BK54" s="307"/>
      <c r="BL54" s="307"/>
      <c r="BM54" s="307"/>
      <c r="BN54" s="307"/>
      <c r="BO54" s="307"/>
      <c r="BP54" s="307"/>
      <c r="BQ54" s="79"/>
      <c r="BR54" s="76"/>
      <c r="BS54" s="310"/>
      <c r="BT54" s="76"/>
      <c r="BU54" s="79"/>
      <c r="BV54" s="307"/>
      <c r="BW54" s="307"/>
      <c r="BX54" s="307"/>
      <c r="BY54" s="307"/>
      <c r="BZ54" s="79"/>
      <c r="CA54" s="76"/>
      <c r="CB54" s="307"/>
      <c r="CC54" s="307"/>
      <c r="CD54" s="307"/>
      <c r="CE54" s="79"/>
      <c r="CF54" s="79"/>
      <c r="CG54" s="307"/>
      <c r="CH54" s="307"/>
      <c r="CI54" s="307"/>
      <c r="CJ54" s="201"/>
      <c r="CK54" s="202"/>
      <c r="CL54" s="202"/>
      <c r="CM54" s="202"/>
      <c r="CN54" s="202"/>
      <c r="CO54" s="202"/>
      <c r="CP54" s="202"/>
      <c r="CQ54" s="202"/>
      <c r="CR54" s="202"/>
      <c r="CS54" s="202"/>
      <c r="CT54" s="202"/>
      <c r="CU54" s="202"/>
      <c r="CV54" s="202"/>
      <c r="CW54" s="202"/>
      <c r="CX54" s="202"/>
      <c r="CY54" s="202"/>
      <c r="CZ54" s="202"/>
      <c r="DA54" s="202"/>
      <c r="DB54" s="202"/>
      <c r="DC54" s="202"/>
      <c r="DD54" s="202"/>
      <c r="DE54" s="202"/>
      <c r="DF54" s="202"/>
      <c r="DG54" s="202"/>
      <c r="DH54" s="202"/>
      <c r="DI54" s="202"/>
      <c r="DJ54" s="202"/>
      <c r="DK54" s="202"/>
      <c r="DL54" s="202"/>
      <c r="DM54" s="202"/>
      <c r="DN54" s="202"/>
      <c r="DO54" s="202"/>
      <c r="DP54" s="202"/>
      <c r="DQ54" s="202"/>
      <c r="DR54" s="202"/>
      <c r="DS54" s="202"/>
      <c r="DT54" s="202"/>
      <c r="DU54" s="202"/>
      <c r="DV54" s="202"/>
      <c r="DW54" s="202"/>
      <c r="DX54" s="202"/>
      <c r="DY54" s="202"/>
      <c r="DZ54" s="202"/>
      <c r="EA54" s="202"/>
      <c r="EB54" s="202"/>
      <c r="EC54" s="202"/>
      <c r="ED54" s="202"/>
      <c r="EE54" s="202"/>
      <c r="EF54" s="202"/>
      <c r="EG54" s="202"/>
      <c r="EH54" s="202"/>
      <c r="EI54" s="202"/>
      <c r="EJ54" s="202"/>
      <c r="EK54" s="202"/>
      <c r="EL54" s="202"/>
      <c r="EM54" s="202"/>
      <c r="EN54" s="202"/>
      <c r="EO54" s="202"/>
      <c r="EP54" s="202"/>
      <c r="EQ54" s="202"/>
      <c r="ER54" s="202"/>
      <c r="ES54" s="202"/>
      <c r="ET54" s="202"/>
      <c r="EU54" s="202"/>
      <c r="EV54" s="202"/>
      <c r="EW54" s="202"/>
      <c r="EX54" s="202"/>
      <c r="EY54" s="202"/>
      <c r="EZ54" s="202"/>
      <c r="FA54" s="202"/>
      <c r="FB54" s="202"/>
      <c r="FC54" s="202"/>
      <c r="FD54" s="202"/>
      <c r="FE54" s="202"/>
      <c r="FF54" s="202"/>
      <c r="FG54" s="202"/>
      <c r="FH54" s="202"/>
      <c r="FI54" s="202"/>
    </row>
    <row r="55" spans="1:166" s="228" customFormat="1" ht="18" customHeight="1" x14ac:dyDescent="0.25">
      <c r="A55" s="578">
        <f t="shared" si="2"/>
        <v>46</v>
      </c>
      <c r="B55" s="606">
        <v>0</v>
      </c>
      <c r="C55" s="591">
        <v>5</v>
      </c>
      <c r="D55" s="556" t="s">
        <v>290</v>
      </c>
      <c r="E55" s="589" t="s">
        <v>689</v>
      </c>
      <c r="F55" s="598" t="s">
        <v>1044</v>
      </c>
      <c r="G55" s="567" t="s">
        <v>1128</v>
      </c>
      <c r="H55" s="599" t="s">
        <v>618</v>
      </c>
      <c r="I55" s="607"/>
      <c r="J55" s="608"/>
      <c r="K55" s="609"/>
      <c r="L55" s="306"/>
      <c r="M55" s="307"/>
      <c r="N55" s="307"/>
      <c r="O55" s="307"/>
      <c r="P55" s="307"/>
      <c r="Q55" s="79"/>
      <c r="R55" s="76"/>
      <c r="S55" s="556"/>
      <c r="T55" s="585"/>
      <c r="U55" s="585"/>
      <c r="V55" s="585"/>
      <c r="W55" s="556"/>
      <c r="X55" s="556"/>
      <c r="Y55" s="556"/>
      <c r="Z55" s="556"/>
      <c r="AA55" s="585"/>
      <c r="AB55" s="585"/>
      <c r="AC55" s="556"/>
      <c r="AD55" s="556"/>
      <c r="AE55" s="556"/>
      <c r="AF55" s="556"/>
      <c r="AG55" s="556"/>
      <c r="AH55" s="556"/>
      <c r="AI55" s="556"/>
      <c r="AJ55" s="76"/>
      <c r="AK55" s="79"/>
      <c r="AL55" s="556"/>
      <c r="AM55" s="556"/>
      <c r="AN55" s="556"/>
      <c r="AO55" s="585"/>
      <c r="AP55" s="556"/>
      <c r="AQ55" s="585"/>
      <c r="AR55" s="585"/>
      <c r="AS55" s="79"/>
      <c r="AT55" s="79"/>
      <c r="AU55" s="585"/>
      <c r="AV55" s="585"/>
      <c r="AW55" s="585"/>
      <c r="AX55" s="585"/>
      <c r="AY55" s="585"/>
      <c r="AZ55" s="585"/>
      <c r="BA55" s="585"/>
      <c r="BB55" s="585"/>
      <c r="BC55" s="585"/>
      <c r="BD55" s="585"/>
      <c r="BE55" s="79"/>
      <c r="BF55" s="79"/>
      <c r="BG55" s="585"/>
      <c r="BH55" s="585"/>
      <c r="BI55" s="585"/>
      <c r="BJ55" s="585"/>
      <c r="BK55" s="585"/>
      <c r="BL55" s="585"/>
      <c r="BM55" s="585"/>
      <c r="BN55" s="585"/>
      <c r="BO55" s="585"/>
      <c r="BP55" s="585"/>
      <c r="BQ55" s="79"/>
      <c r="BR55" s="76"/>
      <c r="BS55" s="556"/>
      <c r="BT55" s="76"/>
      <c r="BU55" s="79"/>
      <c r="BV55" s="585"/>
      <c r="BW55" s="585"/>
      <c r="BX55" s="585"/>
      <c r="BY55" s="585"/>
      <c r="BZ55" s="79"/>
      <c r="CA55" s="76"/>
      <c r="CB55" s="585"/>
      <c r="CC55" s="585"/>
      <c r="CD55" s="585"/>
      <c r="CE55" s="79"/>
      <c r="CF55" s="79"/>
      <c r="CG55" s="585"/>
      <c r="CH55" s="585"/>
      <c r="CI55" s="585"/>
      <c r="CJ55" s="201"/>
      <c r="CK55" s="202"/>
      <c r="CL55" s="202"/>
      <c r="CM55" s="202"/>
      <c r="CN55" s="202"/>
      <c r="CO55" s="202"/>
      <c r="CP55" s="202"/>
      <c r="CQ55" s="202"/>
      <c r="CR55" s="202"/>
      <c r="CS55" s="202"/>
      <c r="CT55" s="202"/>
      <c r="CU55" s="202"/>
      <c r="CV55" s="202"/>
      <c r="CW55" s="202"/>
      <c r="CX55" s="202"/>
      <c r="CY55" s="202"/>
      <c r="CZ55" s="202"/>
      <c r="DA55" s="202"/>
      <c r="DB55" s="202"/>
      <c r="DC55" s="202"/>
      <c r="DD55" s="202"/>
      <c r="DE55" s="202"/>
      <c r="DF55" s="202"/>
      <c r="DG55" s="202"/>
      <c r="DH55" s="202"/>
      <c r="DI55" s="202"/>
      <c r="DJ55" s="202"/>
      <c r="DK55" s="202"/>
      <c r="DL55" s="202"/>
      <c r="DM55" s="202"/>
      <c r="DN55" s="202"/>
      <c r="DO55" s="202"/>
      <c r="DP55" s="202"/>
      <c r="DQ55" s="202"/>
      <c r="DR55" s="202"/>
      <c r="DS55" s="202"/>
      <c r="DT55" s="202"/>
      <c r="DU55" s="202"/>
      <c r="DV55" s="202"/>
      <c r="DW55" s="202"/>
      <c r="DX55" s="202"/>
      <c r="DY55" s="202"/>
      <c r="DZ55" s="202"/>
      <c r="EA55" s="202"/>
      <c r="EB55" s="202"/>
      <c r="EC55" s="202"/>
      <c r="ED55" s="202"/>
      <c r="EE55" s="202"/>
      <c r="EF55" s="202"/>
      <c r="EG55" s="202"/>
      <c r="EH55" s="202"/>
      <c r="EI55" s="202"/>
      <c r="EJ55" s="202"/>
      <c r="EK55" s="202"/>
      <c r="EL55" s="202"/>
      <c r="EM55" s="202"/>
      <c r="EN55" s="202"/>
      <c r="EO55" s="202"/>
      <c r="EP55" s="202"/>
      <c r="EQ55" s="202"/>
      <c r="ER55" s="202"/>
      <c r="ES55" s="202"/>
      <c r="ET55" s="202"/>
      <c r="EU55" s="202"/>
      <c r="EV55" s="202"/>
      <c r="EW55" s="202"/>
      <c r="EX55" s="202"/>
      <c r="EY55" s="202"/>
      <c r="EZ55" s="202"/>
      <c r="FA55" s="202"/>
      <c r="FB55" s="202"/>
      <c r="FC55" s="202"/>
      <c r="FD55" s="202"/>
      <c r="FE55" s="202"/>
      <c r="FF55" s="202"/>
      <c r="FG55" s="202"/>
      <c r="FH55" s="202"/>
      <c r="FI55" s="202"/>
    </row>
    <row r="56" spans="1:166" s="228" customFormat="1" ht="18" customHeight="1" x14ac:dyDescent="0.25">
      <c r="A56" s="578">
        <f t="shared" si="2"/>
        <v>47</v>
      </c>
      <c r="B56" s="606">
        <v>0</v>
      </c>
      <c r="C56" s="591">
        <v>5</v>
      </c>
      <c r="D56" s="556" t="s">
        <v>291</v>
      </c>
      <c r="E56" s="589" t="s">
        <v>691</v>
      </c>
      <c r="F56" s="598" t="s">
        <v>1044</v>
      </c>
      <c r="G56" s="567" t="s">
        <v>1129</v>
      </c>
      <c r="H56" s="599" t="s">
        <v>619</v>
      </c>
      <c r="I56" s="607"/>
      <c r="J56" s="608"/>
      <c r="K56" s="609"/>
      <c r="L56" s="306"/>
      <c r="M56" s="307"/>
      <c r="N56" s="307"/>
      <c r="O56" s="307"/>
      <c r="P56" s="307"/>
      <c r="Q56" s="79"/>
      <c r="R56" s="76"/>
      <c r="S56" s="556"/>
      <c r="T56" s="585"/>
      <c r="U56" s="585"/>
      <c r="V56" s="585"/>
      <c r="W56" s="556"/>
      <c r="X56" s="556"/>
      <c r="Y56" s="556"/>
      <c r="Z56" s="556"/>
      <c r="AA56" s="585"/>
      <c r="AB56" s="585"/>
      <c r="AC56" s="556"/>
      <c r="AD56" s="556"/>
      <c r="AE56" s="556"/>
      <c r="AF56" s="556"/>
      <c r="AG56" s="556"/>
      <c r="AH56" s="556"/>
      <c r="AI56" s="556"/>
      <c r="AJ56" s="76"/>
      <c r="AK56" s="79"/>
      <c r="AL56" s="556"/>
      <c r="AM56" s="556"/>
      <c r="AN56" s="556"/>
      <c r="AO56" s="585"/>
      <c r="AP56" s="556"/>
      <c r="AQ56" s="585"/>
      <c r="AR56" s="585"/>
      <c r="AS56" s="79"/>
      <c r="AT56" s="79"/>
      <c r="AU56" s="585"/>
      <c r="AV56" s="585"/>
      <c r="AW56" s="585"/>
      <c r="AX56" s="585"/>
      <c r="AY56" s="585"/>
      <c r="AZ56" s="585"/>
      <c r="BA56" s="585"/>
      <c r="BB56" s="585"/>
      <c r="BC56" s="585"/>
      <c r="BD56" s="585"/>
      <c r="BE56" s="79"/>
      <c r="BF56" s="79"/>
      <c r="BG56" s="585"/>
      <c r="BH56" s="585"/>
      <c r="BI56" s="585"/>
      <c r="BJ56" s="585"/>
      <c r="BK56" s="585"/>
      <c r="BL56" s="585"/>
      <c r="BM56" s="585"/>
      <c r="BN56" s="585"/>
      <c r="BO56" s="585"/>
      <c r="BP56" s="585"/>
      <c r="BQ56" s="79"/>
      <c r="BR56" s="76"/>
      <c r="BS56" s="556"/>
      <c r="BT56" s="76"/>
      <c r="BU56" s="79"/>
      <c r="BV56" s="585"/>
      <c r="BW56" s="585"/>
      <c r="BX56" s="585"/>
      <c r="BY56" s="585"/>
      <c r="BZ56" s="79"/>
      <c r="CA56" s="76"/>
      <c r="CB56" s="585"/>
      <c r="CC56" s="585"/>
      <c r="CD56" s="585"/>
      <c r="CE56" s="79"/>
      <c r="CF56" s="79"/>
      <c r="CG56" s="585"/>
      <c r="CH56" s="585"/>
      <c r="CI56" s="585"/>
      <c r="CJ56" s="201"/>
      <c r="CK56" s="202"/>
      <c r="CL56" s="202"/>
      <c r="CM56" s="202"/>
      <c r="CN56" s="202"/>
      <c r="CO56" s="202"/>
      <c r="CP56" s="202"/>
      <c r="CQ56" s="202"/>
      <c r="CR56" s="202"/>
      <c r="CS56" s="202"/>
      <c r="CT56" s="202"/>
      <c r="CU56" s="202"/>
      <c r="CV56" s="202"/>
      <c r="CW56" s="202"/>
      <c r="CX56" s="202"/>
      <c r="CY56" s="202"/>
      <c r="CZ56" s="202"/>
      <c r="DA56" s="202"/>
      <c r="DB56" s="202"/>
      <c r="DC56" s="202"/>
      <c r="DD56" s="202"/>
      <c r="DE56" s="202"/>
      <c r="DF56" s="202"/>
      <c r="DG56" s="202"/>
      <c r="DH56" s="202"/>
      <c r="DI56" s="202"/>
      <c r="DJ56" s="202"/>
      <c r="DK56" s="202"/>
      <c r="DL56" s="202"/>
      <c r="DM56" s="202"/>
      <c r="DN56" s="202"/>
      <c r="DO56" s="202"/>
      <c r="DP56" s="202"/>
      <c r="DQ56" s="202"/>
      <c r="DR56" s="202"/>
      <c r="DS56" s="202"/>
      <c r="DT56" s="202"/>
      <c r="DU56" s="202"/>
      <c r="DV56" s="202"/>
      <c r="DW56" s="202"/>
      <c r="DX56" s="202"/>
      <c r="DY56" s="202"/>
      <c r="DZ56" s="202"/>
      <c r="EA56" s="202"/>
      <c r="EB56" s="202"/>
      <c r="EC56" s="202"/>
      <c r="ED56" s="202"/>
      <c r="EE56" s="202"/>
      <c r="EF56" s="202"/>
      <c r="EG56" s="202"/>
      <c r="EH56" s="202"/>
      <c r="EI56" s="202"/>
      <c r="EJ56" s="202"/>
      <c r="EK56" s="202"/>
      <c r="EL56" s="202"/>
      <c r="EM56" s="202"/>
      <c r="EN56" s="202"/>
      <c r="EO56" s="202"/>
      <c r="EP56" s="202"/>
      <c r="EQ56" s="202"/>
      <c r="ER56" s="202"/>
      <c r="ES56" s="202"/>
      <c r="ET56" s="202"/>
      <c r="EU56" s="202"/>
      <c r="EV56" s="202"/>
      <c r="EW56" s="202"/>
      <c r="EX56" s="202"/>
      <c r="EY56" s="202"/>
      <c r="EZ56" s="202"/>
      <c r="FA56" s="202"/>
      <c r="FB56" s="202"/>
      <c r="FC56" s="202"/>
      <c r="FD56" s="202"/>
      <c r="FE56" s="202"/>
      <c r="FF56" s="202"/>
      <c r="FG56" s="202"/>
      <c r="FH56" s="202"/>
      <c r="FI56" s="202"/>
    </row>
    <row r="57" spans="1:166" s="228" customFormat="1" ht="18" customHeight="1" x14ac:dyDescent="0.25">
      <c r="A57" s="578">
        <f t="shared" si="2"/>
        <v>48</v>
      </c>
      <c r="B57" s="606">
        <v>0</v>
      </c>
      <c r="C57" s="591">
        <v>5</v>
      </c>
      <c r="D57" s="556" t="s">
        <v>955</v>
      </c>
      <c r="E57" s="589" t="s">
        <v>956</v>
      </c>
      <c r="F57" s="598" t="s">
        <v>1044</v>
      </c>
      <c r="G57" s="556" t="s">
        <v>957</v>
      </c>
      <c r="H57" s="599" t="s">
        <v>958</v>
      </c>
      <c r="I57" s="607"/>
      <c r="J57" s="608"/>
      <c r="K57" s="609"/>
      <c r="L57" s="306"/>
      <c r="M57" s="307"/>
      <c r="N57" s="307"/>
      <c r="O57" s="307"/>
      <c r="P57" s="307"/>
      <c r="Q57" s="79"/>
      <c r="R57" s="76"/>
      <c r="S57" s="556"/>
      <c r="T57" s="585"/>
      <c r="U57" s="585"/>
      <c r="V57" s="585"/>
      <c r="W57" s="556"/>
      <c r="X57" s="556"/>
      <c r="Y57" s="556"/>
      <c r="Z57" s="556"/>
      <c r="AA57" s="585"/>
      <c r="AB57" s="585"/>
      <c r="AC57" s="556"/>
      <c r="AD57" s="556"/>
      <c r="AE57" s="556"/>
      <c r="AF57" s="556"/>
      <c r="AG57" s="556"/>
      <c r="AH57" s="556"/>
      <c r="AI57" s="556"/>
      <c r="AJ57" s="76"/>
      <c r="AK57" s="76"/>
      <c r="AL57" s="585"/>
      <c r="AM57" s="556"/>
      <c r="AN57" s="556"/>
      <c r="AO57" s="556"/>
      <c r="AP57" s="585"/>
      <c r="AQ57" s="556"/>
      <c r="AR57" s="585"/>
      <c r="AS57" s="79"/>
      <c r="AT57" s="79"/>
      <c r="AU57" s="585"/>
      <c r="AV57" s="585"/>
      <c r="AW57" s="585"/>
      <c r="AX57" s="585"/>
      <c r="AY57" s="585"/>
      <c r="AZ57" s="585"/>
      <c r="BA57" s="585"/>
      <c r="BB57" s="585"/>
      <c r="BC57" s="585"/>
      <c r="BD57" s="585"/>
      <c r="BE57" s="79"/>
      <c r="BF57" s="79"/>
      <c r="BG57" s="585"/>
      <c r="BH57" s="585"/>
      <c r="BI57" s="585"/>
      <c r="BJ57" s="585"/>
      <c r="BK57" s="585"/>
      <c r="BL57" s="585"/>
      <c r="BM57" s="585"/>
      <c r="BN57" s="585"/>
      <c r="BO57" s="585"/>
      <c r="BP57" s="585"/>
      <c r="BQ57" s="79"/>
      <c r="BR57" s="79"/>
      <c r="BS57" s="556"/>
      <c r="BT57" s="76"/>
      <c r="BU57" s="76"/>
      <c r="BV57" s="585"/>
      <c r="BW57" s="585"/>
      <c r="BX57" s="585"/>
      <c r="BY57" s="585"/>
      <c r="BZ57" s="79"/>
      <c r="CA57" s="79"/>
      <c r="CB57" s="556"/>
      <c r="CC57" s="585"/>
      <c r="CD57" s="585"/>
      <c r="CE57" s="79"/>
      <c r="CF57" s="79"/>
      <c r="CG57" s="585"/>
      <c r="CH57" s="585"/>
      <c r="CI57" s="585"/>
      <c r="CJ57" s="202"/>
      <c r="CK57" s="201"/>
      <c r="CL57" s="202"/>
      <c r="CM57" s="202"/>
      <c r="CN57" s="202"/>
      <c r="CO57" s="202"/>
      <c r="CP57" s="202"/>
      <c r="CQ57" s="202"/>
      <c r="CR57" s="202"/>
      <c r="CS57" s="202"/>
      <c r="CT57" s="202"/>
      <c r="CU57" s="202"/>
      <c r="CV57" s="202"/>
      <c r="CW57" s="202"/>
      <c r="CX57" s="202"/>
      <c r="CY57" s="202"/>
      <c r="CZ57" s="202"/>
      <c r="DA57" s="202"/>
      <c r="DB57" s="202"/>
      <c r="DC57" s="202"/>
      <c r="DD57" s="202"/>
      <c r="DE57" s="202"/>
      <c r="DF57" s="202"/>
      <c r="DG57" s="202"/>
      <c r="DH57" s="202"/>
      <c r="DI57" s="202"/>
      <c r="DJ57" s="202"/>
      <c r="DK57" s="202"/>
      <c r="DL57" s="202"/>
      <c r="DM57" s="202"/>
      <c r="DN57" s="202"/>
      <c r="DO57" s="202"/>
      <c r="DP57" s="202"/>
      <c r="DQ57" s="202"/>
      <c r="DR57" s="202"/>
      <c r="DS57" s="202"/>
      <c r="DT57" s="202"/>
      <c r="DU57" s="202"/>
      <c r="DV57" s="202"/>
      <c r="DW57" s="202"/>
      <c r="DX57" s="202"/>
      <c r="DY57" s="202"/>
      <c r="DZ57" s="202"/>
      <c r="EA57" s="202"/>
      <c r="EB57" s="202"/>
      <c r="EC57" s="202"/>
      <c r="ED57" s="202"/>
      <c r="EE57" s="202"/>
      <c r="EF57" s="202"/>
      <c r="EG57" s="202"/>
      <c r="EH57" s="202"/>
      <c r="EI57" s="202"/>
      <c r="EJ57" s="202"/>
      <c r="EK57" s="202"/>
      <c r="EL57" s="202"/>
      <c r="EM57" s="202"/>
      <c r="EN57" s="202"/>
      <c r="EO57" s="202"/>
      <c r="EP57" s="202"/>
      <c r="EQ57" s="202"/>
      <c r="ER57" s="202"/>
      <c r="ES57" s="202"/>
      <c r="ET57" s="202"/>
      <c r="EU57" s="202"/>
      <c r="EV57" s="202"/>
      <c r="EW57" s="202"/>
      <c r="EX57" s="202"/>
      <c r="EY57" s="202"/>
      <c r="EZ57" s="202"/>
      <c r="FA57" s="202"/>
      <c r="FB57" s="202"/>
      <c r="FC57" s="202"/>
      <c r="FD57" s="202"/>
      <c r="FE57" s="202"/>
      <c r="FF57" s="202"/>
      <c r="FG57" s="202"/>
      <c r="FH57" s="202"/>
      <c r="FI57" s="202"/>
      <c r="FJ57" s="202"/>
    </row>
    <row r="58" spans="1:166" s="228" customFormat="1" ht="18" customHeight="1" x14ac:dyDescent="0.2">
      <c r="A58" s="529">
        <f t="shared" si="2"/>
        <v>49</v>
      </c>
      <c r="B58" s="533">
        <v>0</v>
      </c>
      <c r="C58" s="528">
        <v>5</v>
      </c>
      <c r="D58" s="310" t="s">
        <v>959</v>
      </c>
      <c r="E58" s="527" t="s">
        <v>1130</v>
      </c>
      <c r="F58" s="531" t="s">
        <v>1044</v>
      </c>
      <c r="G58" s="310" t="s">
        <v>960</v>
      </c>
      <c r="H58" s="530" t="s">
        <v>961</v>
      </c>
      <c r="I58" s="421"/>
      <c r="J58" s="418"/>
      <c r="K58" s="419"/>
      <c r="L58" s="306"/>
      <c r="M58" s="307"/>
      <c r="N58" s="307"/>
      <c r="O58" s="307"/>
      <c r="P58" s="307"/>
      <c r="Q58" s="79"/>
      <c r="R58" s="76"/>
      <c r="S58" s="310"/>
      <c r="T58" s="307"/>
      <c r="U58" s="307"/>
      <c r="V58" s="307"/>
      <c r="W58" s="310"/>
      <c r="X58" s="310"/>
      <c r="Y58" s="310"/>
      <c r="Z58" s="310"/>
      <c r="AA58" s="307"/>
      <c r="AB58" s="307"/>
      <c r="AC58" s="310"/>
      <c r="AD58" s="310"/>
      <c r="AE58" s="310"/>
      <c r="AF58" s="310"/>
      <c r="AG58" s="310"/>
      <c r="AH58" s="310"/>
      <c r="AI58" s="310"/>
      <c r="AJ58" s="76"/>
      <c r="AK58" s="76"/>
      <c r="AL58" s="307"/>
      <c r="AM58" s="310"/>
      <c r="AN58" s="310"/>
      <c r="AO58" s="310"/>
      <c r="AP58" s="307"/>
      <c r="AQ58" s="310"/>
      <c r="AR58" s="307"/>
      <c r="AS58" s="79"/>
      <c r="AT58" s="79"/>
      <c r="AU58" s="307"/>
      <c r="AV58" s="307"/>
      <c r="AW58" s="307"/>
      <c r="AX58" s="307"/>
      <c r="AY58" s="307"/>
      <c r="AZ58" s="307"/>
      <c r="BA58" s="307"/>
      <c r="BB58" s="307"/>
      <c r="BC58" s="307"/>
      <c r="BD58" s="307"/>
      <c r="BE58" s="79"/>
      <c r="BF58" s="79"/>
      <c r="BG58" s="307"/>
      <c r="BH58" s="307"/>
      <c r="BI58" s="307"/>
      <c r="BJ58" s="307"/>
      <c r="BK58" s="307"/>
      <c r="BL58" s="307"/>
      <c r="BM58" s="307"/>
      <c r="BN58" s="307"/>
      <c r="BO58" s="307"/>
      <c r="BP58" s="307"/>
      <c r="BQ58" s="79"/>
      <c r="BR58" s="79"/>
      <c r="BS58" s="310"/>
      <c r="BT58" s="76"/>
      <c r="BU58" s="76"/>
      <c r="BV58" s="307"/>
      <c r="BW58" s="307"/>
      <c r="BX58" s="307"/>
      <c r="BY58" s="307"/>
      <c r="BZ58" s="79"/>
      <c r="CA58" s="79"/>
      <c r="CB58" s="310"/>
      <c r="CC58" s="307"/>
      <c r="CD58" s="307"/>
      <c r="CE58" s="79"/>
      <c r="CF58" s="79"/>
      <c r="CG58" s="307"/>
      <c r="CH58" s="307"/>
      <c r="CI58" s="307"/>
      <c r="CJ58" s="202"/>
      <c r="CK58" s="201"/>
      <c r="CL58" s="202"/>
      <c r="CM58" s="202"/>
      <c r="CN58" s="202"/>
      <c r="CO58" s="202"/>
      <c r="CP58" s="202"/>
      <c r="CQ58" s="202"/>
      <c r="CR58" s="202"/>
      <c r="CS58" s="202"/>
      <c r="CT58" s="202"/>
      <c r="CU58" s="202"/>
      <c r="CV58" s="202"/>
      <c r="CW58" s="202"/>
      <c r="CX58" s="202"/>
      <c r="CY58" s="202"/>
      <c r="CZ58" s="202"/>
      <c r="DA58" s="202"/>
      <c r="DB58" s="202"/>
      <c r="DC58" s="202"/>
      <c r="DD58" s="202"/>
      <c r="DE58" s="202"/>
      <c r="DF58" s="202"/>
      <c r="DG58" s="202"/>
      <c r="DH58" s="202"/>
      <c r="DI58" s="202"/>
      <c r="DJ58" s="202"/>
      <c r="DK58" s="202"/>
      <c r="DL58" s="202"/>
      <c r="DM58" s="202"/>
      <c r="DN58" s="202"/>
      <c r="DO58" s="202"/>
      <c r="DP58" s="202"/>
      <c r="DQ58" s="202"/>
      <c r="DR58" s="202"/>
      <c r="DS58" s="202"/>
      <c r="DT58" s="202"/>
      <c r="DU58" s="202"/>
      <c r="DV58" s="202"/>
      <c r="DW58" s="202"/>
      <c r="DX58" s="202"/>
      <c r="DY58" s="202"/>
      <c r="DZ58" s="202"/>
      <c r="EA58" s="202"/>
      <c r="EB58" s="202"/>
      <c r="EC58" s="202"/>
      <c r="ED58" s="202"/>
      <c r="EE58" s="202"/>
      <c r="EF58" s="202"/>
      <c r="EG58" s="202"/>
      <c r="EH58" s="202"/>
      <c r="EI58" s="202"/>
      <c r="EJ58" s="202"/>
      <c r="EK58" s="202"/>
      <c r="EL58" s="202"/>
      <c r="EM58" s="202"/>
      <c r="EN58" s="202"/>
      <c r="EO58" s="202"/>
      <c r="EP58" s="202"/>
      <c r="EQ58" s="202"/>
      <c r="ER58" s="202"/>
      <c r="ES58" s="202"/>
      <c r="ET58" s="202"/>
      <c r="EU58" s="202"/>
      <c r="EV58" s="202"/>
      <c r="EW58" s="202"/>
      <c r="EX58" s="202"/>
      <c r="EY58" s="202"/>
      <c r="EZ58" s="202"/>
      <c r="FA58" s="202"/>
      <c r="FB58" s="202"/>
      <c r="FC58" s="202"/>
      <c r="FD58" s="202"/>
      <c r="FE58" s="202"/>
      <c r="FF58" s="202"/>
      <c r="FG58" s="202"/>
      <c r="FH58" s="202"/>
      <c r="FI58" s="202"/>
      <c r="FJ58" s="202"/>
    </row>
    <row r="59" spans="1:166" s="228" customFormat="1" ht="18" customHeight="1" x14ac:dyDescent="0.2">
      <c r="A59" s="289">
        <f t="shared" si="2"/>
        <v>50</v>
      </c>
      <c r="B59" s="182"/>
      <c r="C59" s="72"/>
      <c r="D59" s="76"/>
      <c r="E59" s="77"/>
      <c r="F59" s="107"/>
      <c r="G59" s="296"/>
      <c r="H59" s="180"/>
      <c r="I59" s="262"/>
      <c r="J59" s="185"/>
      <c r="K59" s="263"/>
      <c r="L59" s="261"/>
      <c r="M59" s="79"/>
      <c r="N59" s="79"/>
      <c r="O59" s="79"/>
      <c r="P59" s="79"/>
      <c r="Q59" s="79"/>
      <c r="R59" s="76"/>
      <c r="S59" s="76"/>
      <c r="T59" s="79"/>
      <c r="U59" s="79"/>
      <c r="V59" s="79"/>
      <c r="W59" s="76"/>
      <c r="X59" s="76"/>
      <c r="Y59" s="76"/>
      <c r="Z59" s="76"/>
      <c r="AA59" s="79"/>
      <c r="AB59" s="79"/>
      <c r="AC59" s="76"/>
      <c r="AD59" s="76"/>
      <c r="AE59" s="76"/>
      <c r="AF59" s="76"/>
      <c r="AG59" s="76"/>
      <c r="AH59" s="76"/>
      <c r="AI59" s="76"/>
      <c r="AJ59" s="76"/>
      <c r="AK59" s="76"/>
      <c r="AL59" s="79"/>
      <c r="AM59" s="76"/>
      <c r="AN59" s="76"/>
      <c r="AO59" s="76"/>
      <c r="AP59" s="79"/>
      <c r="AQ59" s="76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6"/>
      <c r="BT59" s="76"/>
      <c r="BU59" s="76"/>
      <c r="BV59" s="79"/>
      <c r="BW59" s="79"/>
      <c r="BX59" s="79"/>
      <c r="BY59" s="79"/>
      <c r="BZ59" s="79"/>
      <c r="CA59" s="79"/>
      <c r="CB59" s="76"/>
      <c r="CC59" s="79"/>
      <c r="CD59" s="79"/>
      <c r="CE59" s="79"/>
      <c r="CF59" s="79"/>
      <c r="CG59" s="79"/>
      <c r="CH59" s="79"/>
      <c r="CI59" s="79"/>
      <c r="CJ59" s="201"/>
      <c r="CK59" s="201"/>
      <c r="CL59" s="202"/>
      <c r="CM59" s="202"/>
      <c r="CN59" s="202"/>
      <c r="CO59" s="202"/>
      <c r="CP59" s="202"/>
      <c r="CQ59" s="202"/>
      <c r="CR59" s="202"/>
      <c r="CS59" s="202"/>
      <c r="CT59" s="202"/>
      <c r="CU59" s="202"/>
      <c r="CV59" s="202"/>
      <c r="CW59" s="202"/>
      <c r="CX59" s="202"/>
      <c r="CY59" s="202"/>
      <c r="CZ59" s="202"/>
      <c r="DA59" s="202"/>
      <c r="DB59" s="202"/>
      <c r="DC59" s="202"/>
      <c r="DD59" s="202"/>
      <c r="DE59" s="202"/>
      <c r="DF59" s="202"/>
      <c r="DG59" s="202"/>
      <c r="DH59" s="202"/>
      <c r="DI59" s="202"/>
      <c r="DJ59" s="202"/>
      <c r="DK59" s="202"/>
      <c r="DL59" s="202"/>
      <c r="DM59" s="202"/>
      <c r="DN59" s="202"/>
      <c r="DO59" s="202"/>
      <c r="DP59" s="202"/>
      <c r="DQ59" s="202"/>
      <c r="DR59" s="202"/>
      <c r="DS59" s="202"/>
      <c r="DT59" s="202"/>
      <c r="DU59" s="202"/>
      <c r="DV59" s="202"/>
      <c r="DW59" s="202"/>
      <c r="DX59" s="202"/>
      <c r="DY59" s="202"/>
      <c r="DZ59" s="202"/>
      <c r="EA59" s="202"/>
      <c r="EB59" s="202"/>
      <c r="EC59" s="202"/>
      <c r="ED59" s="202"/>
      <c r="EE59" s="202"/>
      <c r="EF59" s="202"/>
      <c r="EG59" s="202"/>
      <c r="EH59" s="202"/>
      <c r="EI59" s="202"/>
      <c r="EJ59" s="202"/>
      <c r="EK59" s="202"/>
      <c r="EL59" s="202"/>
      <c r="EM59" s="202"/>
      <c r="EN59" s="202"/>
      <c r="EO59" s="202"/>
      <c r="EP59" s="202"/>
      <c r="EQ59" s="202"/>
      <c r="ER59" s="202"/>
      <c r="ES59" s="202"/>
      <c r="ET59" s="202"/>
      <c r="EU59" s="202"/>
      <c r="EV59" s="202"/>
      <c r="EW59" s="202"/>
      <c r="EX59" s="202"/>
      <c r="EY59" s="202"/>
      <c r="EZ59" s="202"/>
      <c r="FA59" s="202"/>
      <c r="FB59" s="202"/>
      <c r="FC59" s="202"/>
      <c r="FD59" s="202"/>
      <c r="FE59" s="202"/>
      <c r="FF59" s="202"/>
      <c r="FG59" s="202"/>
      <c r="FH59" s="202"/>
      <c r="FI59" s="202"/>
      <c r="FJ59" s="234"/>
    </row>
    <row r="60" spans="1:166" s="228" customFormat="1" ht="18" customHeight="1" x14ac:dyDescent="0.2">
      <c r="A60" s="289">
        <f t="shared" si="2"/>
        <v>51</v>
      </c>
      <c r="B60" s="84"/>
      <c r="C60" s="95"/>
      <c r="D60" s="79"/>
      <c r="E60" s="98" t="s">
        <v>628</v>
      </c>
      <c r="F60" s="72"/>
      <c r="G60" s="79"/>
      <c r="H60" s="178"/>
      <c r="I60" s="257"/>
      <c r="J60" s="99"/>
      <c r="K60" s="264"/>
      <c r="L60" s="261"/>
      <c r="M60" s="79"/>
      <c r="N60" s="79"/>
      <c r="O60" s="79"/>
      <c r="P60" s="79"/>
      <c r="Q60" s="79"/>
      <c r="R60" s="76"/>
      <c r="S60" s="76"/>
      <c r="T60" s="79"/>
      <c r="U60" s="79"/>
      <c r="V60" s="79"/>
      <c r="W60" s="76"/>
      <c r="X60" s="76"/>
      <c r="Y60" s="76"/>
      <c r="Z60" s="76"/>
      <c r="AA60" s="79"/>
      <c r="AB60" s="79"/>
      <c r="AC60" s="76"/>
      <c r="AD60" s="76"/>
      <c r="AE60" s="76"/>
      <c r="AF60" s="76"/>
      <c r="AG60" s="76"/>
      <c r="AH60" s="76"/>
      <c r="AI60" s="76"/>
      <c r="AJ60" s="76"/>
      <c r="AK60" s="79"/>
      <c r="AL60" s="76"/>
      <c r="AM60" s="76"/>
      <c r="AN60" s="76"/>
      <c r="AO60" s="79"/>
      <c r="AP60" s="76"/>
      <c r="AQ60" s="79"/>
      <c r="AR60" s="79"/>
      <c r="AS60" s="79"/>
      <c r="AT60" s="79"/>
      <c r="AU60" s="79"/>
      <c r="AV60" s="79"/>
      <c r="AW60" s="79"/>
      <c r="AX60" s="79"/>
      <c r="AY60" s="79"/>
      <c r="AZ60" s="79"/>
      <c r="BA60" s="79"/>
      <c r="BB60" s="79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6"/>
      <c r="BS60" s="76"/>
      <c r="BT60" s="76"/>
      <c r="BU60" s="79"/>
      <c r="BV60" s="79"/>
      <c r="BW60" s="79"/>
      <c r="BX60" s="79"/>
      <c r="BY60" s="79"/>
      <c r="BZ60" s="79"/>
      <c r="CA60" s="76"/>
      <c r="CB60" s="79"/>
      <c r="CC60" s="79"/>
      <c r="CD60" s="79"/>
      <c r="CE60" s="79"/>
      <c r="CF60" s="79"/>
      <c r="CG60" s="79"/>
      <c r="CH60" s="79"/>
      <c r="CI60" s="79"/>
      <c r="CJ60" s="201"/>
      <c r="CK60" s="202"/>
      <c r="CL60" s="202"/>
      <c r="CM60" s="202"/>
      <c r="CN60" s="202"/>
      <c r="CO60" s="202"/>
      <c r="CP60" s="202"/>
      <c r="CQ60" s="202"/>
      <c r="CR60" s="202"/>
      <c r="CS60" s="202"/>
      <c r="CT60" s="202"/>
      <c r="CU60" s="202"/>
      <c r="CV60" s="202"/>
      <c r="CW60" s="202"/>
      <c r="CX60" s="202"/>
      <c r="CY60" s="202"/>
      <c r="CZ60" s="202"/>
      <c r="DA60" s="202"/>
      <c r="DB60" s="202"/>
      <c r="DC60" s="202"/>
      <c r="DD60" s="202"/>
      <c r="DE60" s="202"/>
      <c r="DF60" s="202"/>
      <c r="DG60" s="202"/>
      <c r="DH60" s="202"/>
      <c r="DI60" s="202"/>
      <c r="DJ60" s="202"/>
      <c r="DK60" s="202"/>
      <c r="DL60" s="202"/>
      <c r="DM60" s="202"/>
      <c r="DN60" s="202"/>
      <c r="DO60" s="202"/>
      <c r="DP60" s="202"/>
      <c r="DQ60" s="202"/>
      <c r="DR60" s="202"/>
      <c r="DS60" s="202"/>
      <c r="DT60" s="202"/>
      <c r="DU60" s="202"/>
      <c r="DV60" s="202"/>
      <c r="DW60" s="202"/>
      <c r="DX60" s="202"/>
      <c r="DY60" s="202"/>
      <c r="DZ60" s="202"/>
      <c r="EA60" s="202"/>
      <c r="EB60" s="202"/>
      <c r="EC60" s="202"/>
      <c r="ED60" s="202"/>
      <c r="EE60" s="202"/>
      <c r="EF60" s="202"/>
      <c r="EG60" s="202"/>
      <c r="EH60" s="202"/>
      <c r="EI60" s="202"/>
      <c r="EJ60" s="202"/>
      <c r="EK60" s="202"/>
      <c r="EL60" s="202"/>
      <c r="EM60" s="202"/>
      <c r="EN60" s="202"/>
      <c r="EO60" s="202"/>
      <c r="EP60" s="202"/>
      <c r="EQ60" s="202"/>
      <c r="ER60" s="202"/>
      <c r="ES60" s="202"/>
      <c r="ET60" s="202"/>
      <c r="EU60" s="202"/>
      <c r="EV60" s="202"/>
      <c r="EW60" s="202"/>
      <c r="EX60" s="202"/>
      <c r="EY60" s="202"/>
      <c r="EZ60" s="202"/>
      <c r="FA60" s="202"/>
      <c r="FB60" s="202"/>
      <c r="FC60" s="202"/>
      <c r="FD60" s="202"/>
      <c r="FE60" s="202"/>
      <c r="FF60" s="202"/>
      <c r="FG60" s="202"/>
      <c r="FH60" s="202"/>
      <c r="FI60" s="202"/>
    </row>
    <row r="61" spans="1:166" s="228" customFormat="1" ht="18" customHeight="1" x14ac:dyDescent="0.2">
      <c r="A61" s="529">
        <f t="shared" si="2"/>
        <v>52</v>
      </c>
      <c r="B61" s="534">
        <v>0</v>
      </c>
      <c r="C61" s="535">
        <v>1</v>
      </c>
      <c r="D61" s="307" t="s">
        <v>1064</v>
      </c>
      <c r="E61" s="527" t="s">
        <v>1213</v>
      </c>
      <c r="F61" s="528" t="s">
        <v>693</v>
      </c>
      <c r="G61" s="307" t="s">
        <v>1066</v>
      </c>
      <c r="H61" s="370" t="s">
        <v>1215</v>
      </c>
      <c r="I61" s="425"/>
      <c r="J61" s="422"/>
      <c r="K61" s="423"/>
      <c r="L61" s="306"/>
      <c r="M61" s="307"/>
      <c r="N61" s="307"/>
      <c r="O61" s="307"/>
      <c r="P61" s="307"/>
      <c r="Q61" s="79"/>
      <c r="R61" s="76"/>
      <c r="S61" s="310"/>
      <c r="T61" s="307"/>
      <c r="U61" s="307"/>
      <c r="V61" s="307"/>
      <c r="W61" s="310"/>
      <c r="X61" s="310"/>
      <c r="Y61" s="310"/>
      <c r="Z61" s="310"/>
      <c r="AA61" s="307"/>
      <c r="AB61" s="307"/>
      <c r="AC61" s="310"/>
      <c r="AD61" s="310"/>
      <c r="AE61" s="310"/>
      <c r="AF61" s="310"/>
      <c r="AG61" s="310"/>
      <c r="AH61" s="310"/>
      <c r="AI61" s="310"/>
      <c r="AJ61" s="76"/>
      <c r="AK61" s="79"/>
      <c r="AL61" s="310"/>
      <c r="AM61" s="310"/>
      <c r="AN61" s="310"/>
      <c r="AO61" s="307"/>
      <c r="AP61" s="310"/>
      <c r="AQ61" s="307"/>
      <c r="AR61" s="307"/>
      <c r="AS61" s="79"/>
      <c r="AT61" s="79"/>
      <c r="AU61" s="307"/>
      <c r="AV61" s="307"/>
      <c r="AW61" s="307"/>
      <c r="AX61" s="307"/>
      <c r="AY61" s="307"/>
      <c r="AZ61" s="307"/>
      <c r="BA61" s="307"/>
      <c r="BB61" s="307"/>
      <c r="BC61" s="307"/>
      <c r="BD61" s="307"/>
      <c r="BE61" s="79"/>
      <c r="BF61" s="79"/>
      <c r="BG61" s="307"/>
      <c r="BH61" s="307"/>
      <c r="BI61" s="307"/>
      <c r="BJ61" s="307"/>
      <c r="BK61" s="307"/>
      <c r="BL61" s="307"/>
      <c r="BM61" s="307"/>
      <c r="BN61" s="307"/>
      <c r="BO61" s="307"/>
      <c r="BP61" s="307"/>
      <c r="BQ61" s="79"/>
      <c r="BR61" s="76"/>
      <c r="BS61" s="310"/>
      <c r="BT61" s="76"/>
      <c r="BU61" s="79"/>
      <c r="BV61" s="307"/>
      <c r="BW61" s="307"/>
      <c r="BX61" s="307"/>
      <c r="BY61" s="307"/>
      <c r="BZ61" s="79"/>
      <c r="CA61" s="76"/>
      <c r="CB61" s="307"/>
      <c r="CC61" s="307"/>
      <c r="CD61" s="307"/>
      <c r="CE61" s="79"/>
      <c r="CF61" s="79"/>
      <c r="CG61" s="307"/>
      <c r="CH61" s="307"/>
      <c r="CI61" s="307"/>
      <c r="CJ61" s="201"/>
      <c r="CK61" s="202"/>
      <c r="CL61" s="202"/>
      <c r="CM61" s="202"/>
      <c r="CN61" s="202"/>
      <c r="CO61" s="202"/>
      <c r="CP61" s="202"/>
      <c r="CQ61" s="202"/>
      <c r="CR61" s="202"/>
      <c r="CS61" s="202"/>
      <c r="CT61" s="202"/>
      <c r="CU61" s="202"/>
      <c r="CV61" s="202"/>
      <c r="CW61" s="202"/>
      <c r="CX61" s="202"/>
      <c r="CY61" s="202"/>
      <c r="CZ61" s="202"/>
      <c r="DA61" s="202"/>
      <c r="DB61" s="202"/>
      <c r="DC61" s="202"/>
      <c r="DD61" s="202"/>
      <c r="DE61" s="202"/>
      <c r="DF61" s="202"/>
      <c r="DG61" s="202"/>
      <c r="DH61" s="202"/>
      <c r="DI61" s="202"/>
      <c r="DJ61" s="202"/>
      <c r="DK61" s="202"/>
      <c r="DL61" s="202"/>
      <c r="DM61" s="202"/>
      <c r="DN61" s="202"/>
      <c r="DO61" s="202"/>
      <c r="DP61" s="202"/>
      <c r="DQ61" s="202"/>
      <c r="DR61" s="202"/>
      <c r="DS61" s="202"/>
      <c r="DT61" s="202"/>
      <c r="DU61" s="202"/>
      <c r="DV61" s="202"/>
      <c r="DW61" s="202"/>
      <c r="DX61" s="202"/>
      <c r="DY61" s="202"/>
      <c r="DZ61" s="202"/>
      <c r="EA61" s="202"/>
      <c r="EB61" s="202"/>
      <c r="EC61" s="202"/>
      <c r="ED61" s="202"/>
      <c r="EE61" s="202"/>
      <c r="EF61" s="202"/>
      <c r="EG61" s="202"/>
      <c r="EH61" s="202"/>
      <c r="EI61" s="202"/>
      <c r="EJ61" s="202"/>
      <c r="EK61" s="202"/>
      <c r="EL61" s="202"/>
      <c r="EM61" s="202"/>
      <c r="EN61" s="202"/>
      <c r="EO61" s="202"/>
      <c r="EP61" s="202"/>
      <c r="EQ61" s="202"/>
      <c r="ER61" s="202"/>
      <c r="ES61" s="202"/>
      <c r="ET61" s="202"/>
      <c r="EU61" s="202"/>
      <c r="EV61" s="202"/>
      <c r="EW61" s="202"/>
      <c r="EX61" s="202"/>
      <c r="EY61" s="202"/>
      <c r="EZ61" s="202"/>
      <c r="FA61" s="202"/>
      <c r="FB61" s="202"/>
      <c r="FC61" s="202"/>
      <c r="FD61" s="202"/>
      <c r="FE61" s="202"/>
      <c r="FF61" s="202"/>
      <c r="FG61" s="202"/>
      <c r="FH61" s="202"/>
      <c r="FI61" s="202"/>
    </row>
    <row r="62" spans="1:166" s="228" customFormat="1" ht="18" customHeight="1" x14ac:dyDescent="0.2">
      <c r="A62" s="529">
        <f t="shared" si="2"/>
        <v>53</v>
      </c>
      <c r="B62" s="534">
        <v>0</v>
      </c>
      <c r="C62" s="535">
        <v>1</v>
      </c>
      <c r="D62" s="307" t="s">
        <v>1064</v>
      </c>
      <c r="E62" s="527" t="s">
        <v>1214</v>
      </c>
      <c r="F62" s="528" t="s">
        <v>1217</v>
      </c>
      <c r="G62" s="307" t="s">
        <v>1066</v>
      </c>
      <c r="H62" s="370" t="s">
        <v>1216</v>
      </c>
      <c r="I62" s="425"/>
      <c r="J62" s="422"/>
      <c r="K62" s="423"/>
      <c r="L62" s="306"/>
      <c r="M62" s="307"/>
      <c r="N62" s="307"/>
      <c r="O62" s="307"/>
      <c r="P62" s="307"/>
      <c r="Q62" s="79"/>
      <c r="R62" s="76"/>
      <c r="S62" s="310"/>
      <c r="T62" s="307"/>
      <c r="U62" s="307"/>
      <c r="V62" s="307"/>
      <c r="W62" s="310"/>
      <c r="X62" s="310"/>
      <c r="Y62" s="310"/>
      <c r="Z62" s="310"/>
      <c r="AA62" s="307"/>
      <c r="AB62" s="307"/>
      <c r="AC62" s="310"/>
      <c r="AD62" s="310"/>
      <c r="AE62" s="310"/>
      <c r="AF62" s="310"/>
      <c r="AG62" s="310"/>
      <c r="AH62" s="310"/>
      <c r="AI62" s="310"/>
      <c r="AJ62" s="76"/>
      <c r="AK62" s="79"/>
      <c r="AL62" s="310"/>
      <c r="AM62" s="310"/>
      <c r="AN62" s="310"/>
      <c r="AO62" s="307"/>
      <c r="AP62" s="310"/>
      <c r="AQ62" s="307"/>
      <c r="AR62" s="307"/>
      <c r="AS62" s="79"/>
      <c r="AT62" s="79"/>
      <c r="AU62" s="307"/>
      <c r="AV62" s="307"/>
      <c r="AW62" s="307"/>
      <c r="AX62" s="307"/>
      <c r="AY62" s="307"/>
      <c r="AZ62" s="307"/>
      <c r="BA62" s="307"/>
      <c r="BB62" s="307"/>
      <c r="BC62" s="307"/>
      <c r="BD62" s="307"/>
      <c r="BE62" s="79"/>
      <c r="BF62" s="79"/>
      <c r="BG62" s="307"/>
      <c r="BH62" s="307"/>
      <c r="BI62" s="307"/>
      <c r="BJ62" s="307"/>
      <c r="BK62" s="307"/>
      <c r="BL62" s="307"/>
      <c r="BM62" s="307"/>
      <c r="BN62" s="307"/>
      <c r="BO62" s="307"/>
      <c r="BP62" s="307"/>
      <c r="BQ62" s="79"/>
      <c r="BR62" s="76"/>
      <c r="BS62" s="310"/>
      <c r="BT62" s="76"/>
      <c r="BU62" s="79"/>
      <c r="BV62" s="307"/>
      <c r="BW62" s="307"/>
      <c r="BX62" s="307"/>
      <c r="BY62" s="307"/>
      <c r="BZ62" s="79"/>
      <c r="CA62" s="76"/>
      <c r="CB62" s="307"/>
      <c r="CC62" s="307"/>
      <c r="CD62" s="307"/>
      <c r="CE62" s="79"/>
      <c r="CF62" s="79"/>
      <c r="CG62" s="307"/>
      <c r="CH62" s="307"/>
      <c r="CI62" s="307"/>
      <c r="CJ62" s="201"/>
      <c r="CK62" s="202"/>
      <c r="CL62" s="202"/>
      <c r="CM62" s="202"/>
      <c r="CN62" s="202"/>
      <c r="CO62" s="202"/>
      <c r="CP62" s="202"/>
      <c r="CQ62" s="202"/>
      <c r="CR62" s="202"/>
      <c r="CS62" s="202"/>
      <c r="CT62" s="202"/>
      <c r="CU62" s="202"/>
      <c r="CV62" s="202"/>
      <c r="CW62" s="202"/>
      <c r="CX62" s="202"/>
      <c r="CY62" s="202"/>
      <c r="CZ62" s="202"/>
      <c r="DA62" s="202"/>
      <c r="DB62" s="202"/>
      <c r="DC62" s="202"/>
      <c r="DD62" s="202"/>
      <c r="DE62" s="202"/>
      <c r="DF62" s="202"/>
      <c r="DG62" s="202"/>
      <c r="DH62" s="202"/>
      <c r="DI62" s="202"/>
      <c r="DJ62" s="202"/>
      <c r="DK62" s="202"/>
      <c r="DL62" s="202"/>
      <c r="DM62" s="202"/>
      <c r="DN62" s="202"/>
      <c r="DO62" s="202"/>
      <c r="DP62" s="202"/>
      <c r="DQ62" s="202"/>
      <c r="DR62" s="202"/>
      <c r="DS62" s="202"/>
      <c r="DT62" s="202"/>
      <c r="DU62" s="202"/>
      <c r="DV62" s="202"/>
      <c r="DW62" s="202"/>
      <c r="DX62" s="202"/>
      <c r="DY62" s="202"/>
      <c r="DZ62" s="202"/>
      <c r="EA62" s="202"/>
      <c r="EB62" s="202"/>
      <c r="EC62" s="202"/>
      <c r="ED62" s="202"/>
      <c r="EE62" s="202"/>
      <c r="EF62" s="202"/>
      <c r="EG62" s="202"/>
      <c r="EH62" s="202"/>
      <c r="EI62" s="202"/>
      <c r="EJ62" s="202"/>
      <c r="EK62" s="202"/>
      <c r="EL62" s="202"/>
      <c r="EM62" s="202"/>
      <c r="EN62" s="202"/>
      <c r="EO62" s="202"/>
      <c r="EP62" s="202"/>
      <c r="EQ62" s="202"/>
      <c r="ER62" s="202"/>
      <c r="ES62" s="202"/>
      <c r="ET62" s="202"/>
      <c r="EU62" s="202"/>
      <c r="EV62" s="202"/>
      <c r="EW62" s="202"/>
      <c r="EX62" s="202"/>
      <c r="EY62" s="202"/>
      <c r="EZ62" s="202"/>
      <c r="FA62" s="202"/>
      <c r="FB62" s="202"/>
      <c r="FC62" s="202"/>
      <c r="FD62" s="202"/>
      <c r="FE62" s="202"/>
      <c r="FF62" s="202"/>
      <c r="FG62" s="202"/>
      <c r="FH62" s="202"/>
      <c r="FI62" s="202"/>
    </row>
    <row r="63" spans="1:166" s="228" customFormat="1" ht="18" customHeight="1" x14ac:dyDescent="0.2">
      <c r="A63" s="529">
        <f t="shared" si="2"/>
        <v>54</v>
      </c>
      <c r="B63" s="534">
        <v>0</v>
      </c>
      <c r="C63" s="535">
        <v>1</v>
      </c>
      <c r="D63" s="307" t="s">
        <v>1068</v>
      </c>
      <c r="E63" s="527" t="s">
        <v>1069</v>
      </c>
      <c r="F63" s="528"/>
      <c r="G63" s="307" t="s">
        <v>1070</v>
      </c>
      <c r="H63" s="370" t="s">
        <v>1071</v>
      </c>
      <c r="I63" s="425"/>
      <c r="J63" s="422"/>
      <c r="K63" s="423"/>
      <c r="L63" s="306"/>
      <c r="M63" s="307"/>
      <c r="N63" s="307"/>
      <c r="O63" s="307"/>
      <c r="P63" s="307"/>
      <c r="Q63" s="79"/>
      <c r="R63" s="76"/>
      <c r="S63" s="310"/>
      <c r="T63" s="307"/>
      <c r="U63" s="307"/>
      <c r="V63" s="307"/>
      <c r="W63" s="310"/>
      <c r="X63" s="310"/>
      <c r="Y63" s="310"/>
      <c r="Z63" s="310"/>
      <c r="AA63" s="307"/>
      <c r="AB63" s="307"/>
      <c r="AC63" s="310"/>
      <c r="AD63" s="310"/>
      <c r="AE63" s="310"/>
      <c r="AF63" s="310"/>
      <c r="AG63" s="310"/>
      <c r="AH63" s="310"/>
      <c r="AI63" s="310"/>
      <c r="AJ63" s="76"/>
      <c r="AK63" s="79"/>
      <c r="AL63" s="310"/>
      <c r="AM63" s="310"/>
      <c r="AN63" s="310"/>
      <c r="AO63" s="307"/>
      <c r="AP63" s="310"/>
      <c r="AQ63" s="307"/>
      <c r="AR63" s="307"/>
      <c r="AS63" s="79"/>
      <c r="AT63" s="79"/>
      <c r="AU63" s="307"/>
      <c r="AV63" s="307"/>
      <c r="AW63" s="307"/>
      <c r="AX63" s="307"/>
      <c r="AY63" s="307"/>
      <c r="AZ63" s="307"/>
      <c r="BA63" s="307"/>
      <c r="BB63" s="307"/>
      <c r="BC63" s="307"/>
      <c r="BD63" s="307"/>
      <c r="BE63" s="79"/>
      <c r="BF63" s="79"/>
      <c r="BG63" s="307"/>
      <c r="BH63" s="307"/>
      <c r="BI63" s="307"/>
      <c r="BJ63" s="307"/>
      <c r="BK63" s="307"/>
      <c r="BL63" s="307"/>
      <c r="BM63" s="307"/>
      <c r="BN63" s="307"/>
      <c r="BO63" s="307"/>
      <c r="BP63" s="307"/>
      <c r="BQ63" s="79"/>
      <c r="BR63" s="76"/>
      <c r="BS63" s="310"/>
      <c r="BT63" s="76"/>
      <c r="BU63" s="79"/>
      <c r="BV63" s="307"/>
      <c r="BW63" s="307"/>
      <c r="BX63" s="307"/>
      <c r="BY63" s="307"/>
      <c r="BZ63" s="79"/>
      <c r="CA63" s="76"/>
      <c r="CB63" s="307"/>
      <c r="CC63" s="307"/>
      <c r="CD63" s="307"/>
      <c r="CE63" s="79"/>
      <c r="CF63" s="79"/>
      <c r="CG63" s="307"/>
      <c r="CH63" s="307"/>
      <c r="CI63" s="307"/>
      <c r="CJ63" s="201"/>
      <c r="CK63" s="202"/>
      <c r="CL63" s="202"/>
      <c r="CM63" s="202"/>
      <c r="CN63" s="202"/>
      <c r="CO63" s="202"/>
      <c r="CP63" s="202"/>
      <c r="CQ63" s="202"/>
      <c r="CR63" s="202"/>
      <c r="CS63" s="202"/>
      <c r="CT63" s="202"/>
      <c r="CU63" s="202"/>
      <c r="CV63" s="202"/>
      <c r="CW63" s="202"/>
      <c r="CX63" s="202"/>
      <c r="CY63" s="202"/>
      <c r="CZ63" s="202"/>
      <c r="DA63" s="202"/>
      <c r="DB63" s="202"/>
      <c r="DC63" s="202"/>
      <c r="DD63" s="202"/>
      <c r="DE63" s="202"/>
      <c r="DF63" s="202"/>
      <c r="DG63" s="202"/>
      <c r="DH63" s="202"/>
      <c r="DI63" s="202"/>
      <c r="DJ63" s="202"/>
      <c r="DK63" s="202"/>
      <c r="DL63" s="202"/>
      <c r="DM63" s="202"/>
      <c r="DN63" s="202"/>
      <c r="DO63" s="202"/>
      <c r="DP63" s="202"/>
      <c r="DQ63" s="202"/>
      <c r="DR63" s="202"/>
      <c r="DS63" s="202"/>
      <c r="DT63" s="202"/>
      <c r="DU63" s="202"/>
      <c r="DV63" s="202"/>
      <c r="DW63" s="202"/>
      <c r="DX63" s="202"/>
      <c r="DY63" s="202"/>
      <c r="DZ63" s="202"/>
      <c r="EA63" s="202"/>
      <c r="EB63" s="202"/>
      <c r="EC63" s="202"/>
      <c r="ED63" s="202"/>
      <c r="EE63" s="202"/>
      <c r="EF63" s="202"/>
      <c r="EG63" s="202"/>
      <c r="EH63" s="202"/>
      <c r="EI63" s="202"/>
      <c r="EJ63" s="202"/>
      <c r="EK63" s="202"/>
      <c r="EL63" s="202"/>
      <c r="EM63" s="202"/>
      <c r="EN63" s="202"/>
      <c r="EO63" s="202"/>
      <c r="EP63" s="202"/>
      <c r="EQ63" s="202"/>
      <c r="ER63" s="202"/>
      <c r="ES63" s="202"/>
      <c r="ET63" s="202"/>
      <c r="EU63" s="202"/>
      <c r="EV63" s="202"/>
      <c r="EW63" s="202"/>
      <c r="EX63" s="202"/>
      <c r="EY63" s="202"/>
      <c r="EZ63" s="202"/>
      <c r="FA63" s="202"/>
      <c r="FB63" s="202"/>
      <c r="FC63" s="202"/>
      <c r="FD63" s="202"/>
      <c r="FE63" s="202"/>
      <c r="FF63" s="202"/>
      <c r="FG63" s="202"/>
      <c r="FH63" s="202"/>
      <c r="FI63" s="202"/>
    </row>
    <row r="64" spans="1:166" s="228" customFormat="1" ht="18" customHeight="1" x14ac:dyDescent="0.25">
      <c r="A64" s="576">
        <f t="shared" si="2"/>
        <v>55</v>
      </c>
      <c r="B64" s="611">
        <v>0</v>
      </c>
      <c r="C64" s="612">
        <v>1</v>
      </c>
      <c r="D64" s="585" t="s">
        <v>292</v>
      </c>
      <c r="E64" s="613" t="s">
        <v>1092</v>
      </c>
      <c r="F64" s="567" t="s">
        <v>693</v>
      </c>
      <c r="G64" s="585" t="s">
        <v>67</v>
      </c>
      <c r="H64" s="585" t="s">
        <v>585</v>
      </c>
      <c r="I64" s="582"/>
      <c r="J64" s="583"/>
      <c r="K64" s="614">
        <v>22</v>
      </c>
      <c r="L64" s="306"/>
      <c r="M64" s="307"/>
      <c r="N64" s="307"/>
      <c r="O64" s="307"/>
      <c r="P64" s="307"/>
      <c r="Q64" s="79"/>
      <c r="R64" s="76"/>
      <c r="S64" s="556"/>
      <c r="T64" s="585"/>
      <c r="U64" s="585"/>
      <c r="V64" s="585"/>
      <c r="W64" s="556"/>
      <c r="X64" s="556"/>
      <c r="Y64" s="556"/>
      <c r="Z64" s="556"/>
      <c r="AA64" s="585"/>
      <c r="AB64" s="585"/>
      <c r="AC64" s="556"/>
      <c r="AD64" s="556"/>
      <c r="AE64" s="556"/>
      <c r="AF64" s="556"/>
      <c r="AG64" s="556"/>
      <c r="AH64" s="556"/>
      <c r="AI64" s="556"/>
      <c r="AJ64" s="76"/>
      <c r="AK64" s="79"/>
      <c r="AL64" s="556"/>
      <c r="AM64" s="556"/>
      <c r="AN64" s="556"/>
      <c r="AO64" s="585"/>
      <c r="AP64" s="556"/>
      <c r="AQ64" s="585"/>
      <c r="AR64" s="585" t="s">
        <v>1040</v>
      </c>
      <c r="AS64" s="79"/>
      <c r="AT64" s="79"/>
      <c r="AU64" s="585"/>
      <c r="AV64" s="585"/>
      <c r="AW64" s="585"/>
      <c r="AX64" s="585"/>
      <c r="AY64" s="585"/>
      <c r="AZ64" s="585" t="s">
        <v>1040</v>
      </c>
      <c r="BA64" s="585"/>
      <c r="BB64" s="585"/>
      <c r="BC64" s="585"/>
      <c r="BD64" s="585"/>
      <c r="BE64" s="79"/>
      <c r="BF64" s="79"/>
      <c r="BG64" s="585"/>
      <c r="BH64" s="585"/>
      <c r="BI64" s="585"/>
      <c r="BJ64" s="585"/>
      <c r="BK64" s="585"/>
      <c r="BL64" s="585" t="s">
        <v>1040</v>
      </c>
      <c r="BM64" s="585"/>
      <c r="BN64" s="585"/>
      <c r="BO64" s="585"/>
      <c r="BP64" s="585"/>
      <c r="BQ64" s="79"/>
      <c r="BR64" s="76"/>
      <c r="BS64" s="556"/>
      <c r="BT64" s="76"/>
      <c r="BU64" s="79"/>
      <c r="BV64" s="585"/>
      <c r="BW64" s="585"/>
      <c r="BX64" s="585"/>
      <c r="BY64" s="585"/>
      <c r="BZ64" s="79"/>
      <c r="CA64" s="76"/>
      <c r="CB64" s="585"/>
      <c r="CC64" s="585"/>
      <c r="CD64" s="585"/>
      <c r="CE64" s="79"/>
      <c r="CF64" s="79"/>
      <c r="CG64" s="585"/>
      <c r="CH64" s="585"/>
      <c r="CI64" s="585"/>
      <c r="CJ64" s="201"/>
      <c r="CK64" s="202"/>
      <c r="CL64" s="202"/>
      <c r="CM64" s="202"/>
      <c r="CN64" s="202"/>
      <c r="CO64" s="202"/>
      <c r="CP64" s="202"/>
      <c r="CQ64" s="202"/>
      <c r="CR64" s="202"/>
      <c r="CS64" s="202"/>
      <c r="CT64" s="202"/>
      <c r="CU64" s="202"/>
      <c r="CV64" s="202"/>
      <c r="CW64" s="202"/>
      <c r="CX64" s="202"/>
      <c r="CY64" s="202"/>
      <c r="CZ64" s="202"/>
      <c r="DA64" s="202"/>
      <c r="DB64" s="202"/>
      <c r="DC64" s="202"/>
      <c r="DD64" s="202"/>
      <c r="DE64" s="202"/>
      <c r="DF64" s="202"/>
      <c r="DG64" s="202"/>
      <c r="DH64" s="202"/>
      <c r="DI64" s="202"/>
      <c r="DJ64" s="202"/>
      <c r="DK64" s="202"/>
      <c r="DL64" s="202"/>
      <c r="DM64" s="202"/>
      <c r="DN64" s="202"/>
      <c r="DO64" s="202"/>
      <c r="DP64" s="202"/>
      <c r="DQ64" s="202"/>
      <c r="DR64" s="202"/>
      <c r="DS64" s="202"/>
      <c r="DT64" s="202"/>
      <c r="DU64" s="202"/>
      <c r="DV64" s="202"/>
      <c r="DW64" s="202"/>
      <c r="DX64" s="202"/>
      <c r="DY64" s="202"/>
      <c r="DZ64" s="202"/>
      <c r="EA64" s="202"/>
      <c r="EB64" s="202"/>
      <c r="EC64" s="202"/>
      <c r="ED64" s="202"/>
      <c r="EE64" s="202"/>
      <c r="EF64" s="202"/>
      <c r="EG64" s="202"/>
      <c r="EH64" s="202"/>
      <c r="EI64" s="202"/>
      <c r="EJ64" s="202"/>
      <c r="EK64" s="202"/>
      <c r="EL64" s="202"/>
      <c r="EM64" s="202"/>
      <c r="EN64" s="202"/>
      <c r="EO64" s="202"/>
      <c r="EP64" s="202"/>
      <c r="EQ64" s="202"/>
      <c r="ER64" s="202"/>
      <c r="ES64" s="202"/>
      <c r="ET64" s="202"/>
      <c r="EU64" s="202"/>
      <c r="EV64" s="202"/>
      <c r="EW64" s="202"/>
      <c r="EX64" s="202"/>
      <c r="EY64" s="202"/>
      <c r="EZ64" s="202"/>
      <c r="FA64" s="202"/>
      <c r="FB64" s="202"/>
      <c r="FC64" s="202"/>
      <c r="FD64" s="202"/>
      <c r="FE64" s="202"/>
      <c r="FF64" s="202"/>
      <c r="FG64" s="202"/>
      <c r="FH64" s="202"/>
      <c r="FI64" s="202"/>
    </row>
    <row r="65" spans="1:165" s="228" customFormat="1" ht="18" customHeight="1" x14ac:dyDescent="0.25">
      <c r="A65" s="576">
        <f t="shared" si="2"/>
        <v>56</v>
      </c>
      <c r="B65" s="611">
        <v>0</v>
      </c>
      <c r="C65" s="612">
        <v>1</v>
      </c>
      <c r="D65" s="585" t="s">
        <v>292</v>
      </c>
      <c r="E65" s="613" t="s">
        <v>1094</v>
      </c>
      <c r="F65" s="567" t="s">
        <v>695</v>
      </c>
      <c r="G65" s="585" t="s">
        <v>67</v>
      </c>
      <c r="H65" s="585" t="s">
        <v>798</v>
      </c>
      <c r="I65" s="615">
        <v>9</v>
      </c>
      <c r="J65" s="583"/>
      <c r="K65" s="616"/>
      <c r="L65" s="306"/>
      <c r="M65" s="307"/>
      <c r="N65" s="307"/>
      <c r="O65" s="307"/>
      <c r="P65" s="307"/>
      <c r="Q65" s="79"/>
      <c r="R65" s="76"/>
      <c r="S65" s="556"/>
      <c r="T65" s="585"/>
      <c r="U65" s="585"/>
      <c r="V65" s="585"/>
      <c r="W65" s="556"/>
      <c r="X65" s="556"/>
      <c r="Y65" s="556"/>
      <c r="Z65" s="556"/>
      <c r="AA65" s="585"/>
      <c r="AB65" s="585"/>
      <c r="AC65" s="556"/>
      <c r="AD65" s="556"/>
      <c r="AE65" s="556"/>
      <c r="AF65" s="556"/>
      <c r="AG65" s="556"/>
      <c r="AH65" s="556"/>
      <c r="AI65" s="556"/>
      <c r="AJ65" s="76"/>
      <c r="AK65" s="79"/>
      <c r="AL65" s="556"/>
      <c r="AM65" s="556"/>
      <c r="AN65" s="556"/>
      <c r="AO65" s="585"/>
      <c r="AP65" s="556"/>
      <c r="AQ65" s="585"/>
      <c r="AR65" s="585"/>
      <c r="AS65" s="79"/>
      <c r="AT65" s="79"/>
      <c r="AU65" s="585"/>
      <c r="AV65" s="585"/>
      <c r="AW65" s="585"/>
      <c r="AX65" s="585"/>
      <c r="AY65" s="585"/>
      <c r="AZ65" s="585"/>
      <c r="BA65" s="585"/>
      <c r="BB65" s="585"/>
      <c r="BC65" s="585"/>
      <c r="BD65" s="585"/>
      <c r="BE65" s="79"/>
      <c r="BF65" s="79"/>
      <c r="BG65" s="585"/>
      <c r="BH65" s="585"/>
      <c r="BI65" s="585"/>
      <c r="BJ65" s="585"/>
      <c r="BK65" s="585"/>
      <c r="BL65" s="585"/>
      <c r="BM65" s="585"/>
      <c r="BN65" s="585"/>
      <c r="BO65" s="585"/>
      <c r="BP65" s="585"/>
      <c r="BQ65" s="79"/>
      <c r="BR65" s="76"/>
      <c r="BS65" s="556"/>
      <c r="BT65" s="76"/>
      <c r="BU65" s="79"/>
      <c r="BV65" s="585"/>
      <c r="BW65" s="585"/>
      <c r="BX65" s="585"/>
      <c r="BY65" s="585"/>
      <c r="BZ65" s="79"/>
      <c r="CA65" s="76"/>
      <c r="CB65" s="585"/>
      <c r="CC65" s="585"/>
      <c r="CD65" s="585"/>
      <c r="CE65" s="79"/>
      <c r="CF65" s="79"/>
      <c r="CG65" s="585"/>
      <c r="CH65" s="585" t="s">
        <v>40</v>
      </c>
      <c r="CI65" s="585" t="s">
        <v>40</v>
      </c>
      <c r="CJ65" s="201"/>
      <c r="CK65" s="202"/>
      <c r="CL65" s="202"/>
      <c r="CM65" s="202"/>
      <c r="CN65" s="202"/>
      <c r="CO65" s="202"/>
      <c r="CP65" s="202"/>
      <c r="CQ65" s="202"/>
      <c r="CR65" s="202"/>
      <c r="CS65" s="202"/>
      <c r="CT65" s="202"/>
      <c r="CU65" s="202"/>
      <c r="CV65" s="202"/>
      <c r="CW65" s="202"/>
      <c r="CX65" s="202"/>
      <c r="CY65" s="202"/>
      <c r="CZ65" s="202"/>
      <c r="DA65" s="202"/>
      <c r="DB65" s="202"/>
      <c r="DC65" s="202"/>
      <c r="DD65" s="202"/>
      <c r="DE65" s="202"/>
      <c r="DF65" s="202"/>
      <c r="DG65" s="202"/>
      <c r="DH65" s="202"/>
      <c r="DI65" s="202"/>
      <c r="DJ65" s="202"/>
      <c r="DK65" s="202"/>
      <c r="DL65" s="202"/>
      <c r="DM65" s="202"/>
      <c r="DN65" s="202"/>
      <c r="DO65" s="202"/>
      <c r="DP65" s="202"/>
      <c r="DQ65" s="202"/>
      <c r="DR65" s="202"/>
      <c r="DS65" s="202"/>
      <c r="DT65" s="202"/>
      <c r="DU65" s="202"/>
      <c r="DV65" s="202"/>
      <c r="DW65" s="202"/>
      <c r="DX65" s="202"/>
      <c r="DY65" s="202"/>
      <c r="DZ65" s="202"/>
      <c r="EA65" s="202"/>
      <c r="EB65" s="202"/>
      <c r="EC65" s="202"/>
      <c r="ED65" s="202"/>
      <c r="EE65" s="202"/>
      <c r="EF65" s="202"/>
      <c r="EG65" s="202"/>
      <c r="EH65" s="202"/>
      <c r="EI65" s="202"/>
      <c r="EJ65" s="202"/>
      <c r="EK65" s="202"/>
      <c r="EL65" s="202"/>
      <c r="EM65" s="202"/>
      <c r="EN65" s="202"/>
      <c r="EO65" s="202"/>
      <c r="EP65" s="202"/>
      <c r="EQ65" s="202"/>
      <c r="ER65" s="202"/>
      <c r="ES65" s="202"/>
      <c r="ET65" s="202"/>
      <c r="EU65" s="202"/>
      <c r="EV65" s="202"/>
      <c r="EW65" s="202"/>
      <c r="EX65" s="202"/>
      <c r="EY65" s="202"/>
      <c r="EZ65" s="202"/>
      <c r="FA65" s="202"/>
      <c r="FB65" s="202"/>
      <c r="FC65" s="202"/>
      <c r="FD65" s="202"/>
      <c r="FE65" s="202"/>
      <c r="FF65" s="202"/>
      <c r="FG65" s="202"/>
      <c r="FH65" s="202"/>
      <c r="FI65" s="202"/>
    </row>
    <row r="66" spans="1:165" s="228" customFormat="1" ht="18" customHeight="1" x14ac:dyDescent="0.25">
      <c r="A66" s="576">
        <f t="shared" si="2"/>
        <v>57</v>
      </c>
      <c r="B66" s="611">
        <v>0</v>
      </c>
      <c r="C66" s="612">
        <v>1</v>
      </c>
      <c r="D66" s="585" t="s">
        <v>292</v>
      </c>
      <c r="E66" s="613" t="s">
        <v>1141</v>
      </c>
      <c r="F66" s="567" t="s">
        <v>693</v>
      </c>
      <c r="G66" s="585" t="s">
        <v>67</v>
      </c>
      <c r="H66" s="585" t="s">
        <v>1142</v>
      </c>
      <c r="I66" s="615">
        <v>9</v>
      </c>
      <c r="J66" s="583"/>
      <c r="K66" s="616"/>
      <c r="L66" s="306"/>
      <c r="M66" s="307"/>
      <c r="N66" s="307"/>
      <c r="O66" s="307"/>
      <c r="P66" s="307"/>
      <c r="Q66" s="79"/>
      <c r="R66" s="76"/>
      <c r="S66" s="556"/>
      <c r="T66" s="585"/>
      <c r="U66" s="585"/>
      <c r="V66" s="585"/>
      <c r="W66" s="556"/>
      <c r="X66" s="556"/>
      <c r="Y66" s="556"/>
      <c r="Z66" s="556"/>
      <c r="AA66" s="585"/>
      <c r="AB66" s="585"/>
      <c r="AC66" s="556"/>
      <c r="AD66" s="556"/>
      <c r="AE66" s="556"/>
      <c r="AF66" s="556"/>
      <c r="AG66" s="556"/>
      <c r="AH66" s="556"/>
      <c r="AI66" s="556"/>
      <c r="AJ66" s="76"/>
      <c r="AK66" s="79"/>
      <c r="AL66" s="556"/>
      <c r="AM66" s="556"/>
      <c r="AN66" s="556"/>
      <c r="AO66" s="585"/>
      <c r="AP66" s="556"/>
      <c r="AQ66" s="585"/>
      <c r="AR66" s="585"/>
      <c r="AS66" s="79"/>
      <c r="AT66" s="79"/>
      <c r="AU66" s="585"/>
      <c r="AV66" s="585"/>
      <c r="AW66" s="585"/>
      <c r="AX66" s="585"/>
      <c r="AY66" s="585"/>
      <c r="AZ66" s="585"/>
      <c r="BA66" s="585"/>
      <c r="BB66" s="585"/>
      <c r="BC66" s="585"/>
      <c r="BD66" s="585"/>
      <c r="BE66" s="79"/>
      <c r="BF66" s="79"/>
      <c r="BG66" s="585"/>
      <c r="BH66" s="585"/>
      <c r="BI66" s="585"/>
      <c r="BJ66" s="585"/>
      <c r="BK66" s="585"/>
      <c r="BL66" s="585"/>
      <c r="BM66" s="585"/>
      <c r="BN66" s="585"/>
      <c r="BO66" s="585"/>
      <c r="BP66" s="585"/>
      <c r="BQ66" s="79"/>
      <c r="BR66" s="76"/>
      <c r="BS66" s="556"/>
      <c r="BT66" s="76"/>
      <c r="BU66" s="79"/>
      <c r="BV66" s="585"/>
      <c r="BW66" s="585"/>
      <c r="BX66" s="585"/>
      <c r="BY66" s="585"/>
      <c r="BZ66" s="79"/>
      <c r="CA66" s="76"/>
      <c r="CB66" s="585"/>
      <c r="CC66" s="585"/>
      <c r="CD66" s="585"/>
      <c r="CE66" s="79"/>
      <c r="CF66" s="79"/>
      <c r="CG66" s="585"/>
      <c r="CH66" s="585" t="s">
        <v>40</v>
      </c>
      <c r="CI66" s="585" t="s">
        <v>40</v>
      </c>
      <c r="CJ66" s="201"/>
      <c r="CK66" s="202"/>
      <c r="CL66" s="202"/>
      <c r="CM66" s="202"/>
      <c r="CN66" s="202"/>
      <c r="CO66" s="202"/>
      <c r="CP66" s="202"/>
      <c r="CQ66" s="202"/>
      <c r="CR66" s="202"/>
      <c r="CS66" s="202"/>
      <c r="CT66" s="202"/>
      <c r="CU66" s="202"/>
      <c r="CV66" s="202"/>
      <c r="CW66" s="202"/>
      <c r="CX66" s="202"/>
      <c r="CY66" s="202"/>
      <c r="CZ66" s="202"/>
      <c r="DA66" s="202"/>
      <c r="DB66" s="202"/>
      <c r="DC66" s="202"/>
      <c r="DD66" s="202"/>
      <c r="DE66" s="202"/>
      <c r="DF66" s="202"/>
      <c r="DG66" s="202"/>
      <c r="DH66" s="202"/>
      <c r="DI66" s="202"/>
      <c r="DJ66" s="202"/>
      <c r="DK66" s="202"/>
      <c r="DL66" s="202"/>
      <c r="DM66" s="202"/>
      <c r="DN66" s="202"/>
      <c r="DO66" s="202"/>
      <c r="DP66" s="202"/>
      <c r="DQ66" s="202"/>
      <c r="DR66" s="202"/>
      <c r="DS66" s="202"/>
      <c r="DT66" s="202"/>
      <c r="DU66" s="202"/>
      <c r="DV66" s="202"/>
      <c r="DW66" s="202"/>
      <c r="DX66" s="202"/>
      <c r="DY66" s="202"/>
      <c r="DZ66" s="202"/>
      <c r="EA66" s="202"/>
      <c r="EB66" s="202"/>
      <c r="EC66" s="202"/>
      <c r="ED66" s="202"/>
      <c r="EE66" s="202"/>
      <c r="EF66" s="202"/>
      <c r="EG66" s="202"/>
      <c r="EH66" s="202"/>
      <c r="EI66" s="202"/>
      <c r="EJ66" s="202"/>
      <c r="EK66" s="202"/>
      <c r="EL66" s="202"/>
      <c r="EM66" s="202"/>
      <c r="EN66" s="202"/>
      <c r="EO66" s="202"/>
      <c r="EP66" s="202"/>
      <c r="EQ66" s="202"/>
      <c r="ER66" s="202"/>
      <c r="ES66" s="202"/>
      <c r="ET66" s="202"/>
      <c r="EU66" s="202"/>
      <c r="EV66" s="202"/>
      <c r="EW66" s="202"/>
      <c r="EX66" s="202"/>
      <c r="EY66" s="202"/>
      <c r="EZ66" s="202"/>
      <c r="FA66" s="202"/>
      <c r="FB66" s="202"/>
      <c r="FC66" s="202"/>
      <c r="FD66" s="202"/>
      <c r="FE66" s="202"/>
      <c r="FF66" s="202"/>
      <c r="FG66" s="202"/>
      <c r="FH66" s="202"/>
      <c r="FI66" s="202"/>
    </row>
    <row r="67" spans="1:165" s="228" customFormat="1" ht="18" customHeight="1" x14ac:dyDescent="0.25">
      <c r="A67" s="576">
        <f t="shared" si="2"/>
        <v>58</v>
      </c>
      <c r="B67" s="611">
        <v>0</v>
      </c>
      <c r="C67" s="612">
        <v>1</v>
      </c>
      <c r="D67" s="585" t="s">
        <v>292</v>
      </c>
      <c r="E67" s="613" t="s">
        <v>1095</v>
      </c>
      <c r="F67" s="567" t="s">
        <v>1103</v>
      </c>
      <c r="G67" s="585" t="s">
        <v>67</v>
      </c>
      <c r="H67" s="585" t="s">
        <v>799</v>
      </c>
      <c r="I67" s="582">
        <v>2</v>
      </c>
      <c r="J67" s="583"/>
      <c r="K67" s="616"/>
      <c r="L67" s="306"/>
      <c r="M67" s="307" t="s">
        <v>122</v>
      </c>
      <c r="N67" s="307"/>
      <c r="O67" s="307"/>
      <c r="P67" s="307"/>
      <c r="Q67" s="79"/>
      <c r="R67" s="79"/>
      <c r="S67" s="585"/>
      <c r="T67" s="585"/>
      <c r="U67" s="585"/>
      <c r="V67" s="585"/>
      <c r="W67" s="585"/>
      <c r="X67" s="585"/>
      <c r="Y67" s="585"/>
      <c r="Z67" s="585"/>
      <c r="AA67" s="585"/>
      <c r="AB67" s="585"/>
      <c r="AC67" s="585"/>
      <c r="AD67" s="585"/>
      <c r="AE67" s="585"/>
      <c r="AF67" s="585"/>
      <c r="AG67" s="585"/>
      <c r="AH67" s="585"/>
      <c r="AI67" s="585"/>
      <c r="AJ67" s="79"/>
      <c r="AK67" s="79"/>
      <c r="AL67" s="585"/>
      <c r="AM67" s="585"/>
      <c r="AN67" s="585"/>
      <c r="AO67" s="585"/>
      <c r="AP67" s="585"/>
      <c r="AQ67" s="585"/>
      <c r="AR67" s="585"/>
      <c r="AS67" s="79"/>
      <c r="AT67" s="79"/>
      <c r="AU67" s="585"/>
      <c r="AV67" s="585"/>
      <c r="AW67" s="585"/>
      <c r="AX67" s="585" t="s">
        <v>120</v>
      </c>
      <c r="AY67" s="585"/>
      <c r="AZ67" s="585"/>
      <c r="BA67" s="585"/>
      <c r="BB67" s="585"/>
      <c r="BC67" s="585"/>
      <c r="BD67" s="585" t="s">
        <v>121</v>
      </c>
      <c r="BE67" s="79"/>
      <c r="BF67" s="79"/>
      <c r="BG67" s="585"/>
      <c r="BH67" s="585"/>
      <c r="BI67" s="585"/>
      <c r="BJ67" s="585" t="s">
        <v>120</v>
      </c>
      <c r="BK67" s="585"/>
      <c r="BL67" s="585"/>
      <c r="BM67" s="585"/>
      <c r="BN67" s="585"/>
      <c r="BO67" s="585"/>
      <c r="BP67" s="585" t="s">
        <v>121</v>
      </c>
      <c r="BQ67" s="79"/>
      <c r="BR67" s="79"/>
      <c r="BS67" s="585"/>
      <c r="BT67" s="79"/>
      <c r="BU67" s="79"/>
      <c r="BV67" s="585"/>
      <c r="BW67" s="585"/>
      <c r="BX67" s="585"/>
      <c r="BY67" s="585"/>
      <c r="BZ67" s="79"/>
      <c r="CA67" s="79"/>
      <c r="CB67" s="585"/>
      <c r="CC67" s="585"/>
      <c r="CD67" s="585"/>
      <c r="CE67" s="79"/>
      <c r="CF67" s="79"/>
      <c r="CG67" s="585"/>
      <c r="CH67" s="585" t="s">
        <v>40</v>
      </c>
      <c r="CI67" s="585" t="s">
        <v>40</v>
      </c>
      <c r="CJ67" s="201"/>
      <c r="CK67" s="202"/>
      <c r="CL67" s="202"/>
      <c r="CM67" s="202"/>
      <c r="CN67" s="202"/>
      <c r="CO67" s="202"/>
      <c r="CP67" s="202"/>
      <c r="CQ67" s="202"/>
      <c r="CR67" s="202"/>
      <c r="CS67" s="202"/>
      <c r="CT67" s="202"/>
      <c r="CU67" s="202"/>
      <c r="CV67" s="202"/>
      <c r="CW67" s="202"/>
      <c r="CX67" s="202"/>
      <c r="CY67" s="202"/>
      <c r="CZ67" s="202"/>
      <c r="DA67" s="202"/>
      <c r="DB67" s="202"/>
      <c r="DC67" s="202"/>
      <c r="DD67" s="202"/>
      <c r="DE67" s="202"/>
      <c r="DF67" s="202"/>
      <c r="DG67" s="202"/>
      <c r="DH67" s="202"/>
      <c r="DI67" s="202"/>
      <c r="DJ67" s="202"/>
      <c r="DK67" s="202"/>
      <c r="DL67" s="202"/>
      <c r="DM67" s="202"/>
      <c r="DN67" s="202"/>
      <c r="DO67" s="202"/>
      <c r="DP67" s="202"/>
      <c r="DQ67" s="202"/>
      <c r="DR67" s="202"/>
      <c r="DS67" s="202"/>
      <c r="DT67" s="202"/>
      <c r="DU67" s="202"/>
      <c r="DV67" s="202"/>
      <c r="DW67" s="202"/>
      <c r="DX67" s="202"/>
      <c r="DY67" s="202"/>
      <c r="DZ67" s="202"/>
      <c r="EA67" s="202"/>
      <c r="EB67" s="202"/>
      <c r="EC67" s="202"/>
      <c r="ED67" s="202"/>
      <c r="EE67" s="202"/>
      <c r="EF67" s="202"/>
      <c r="EG67" s="202"/>
      <c r="EH67" s="202"/>
      <c r="EI67" s="202"/>
      <c r="EJ67" s="202"/>
      <c r="EK67" s="202"/>
      <c r="EL67" s="202"/>
      <c r="EM67" s="202"/>
      <c r="EN67" s="202"/>
      <c r="EO67" s="202"/>
      <c r="EP67" s="202"/>
      <c r="EQ67" s="202"/>
      <c r="ER67" s="202"/>
      <c r="ES67" s="202"/>
      <c r="ET67" s="202"/>
      <c r="EU67" s="202"/>
      <c r="EV67" s="202"/>
      <c r="EW67" s="202"/>
      <c r="EX67" s="202"/>
      <c r="EY67" s="202"/>
      <c r="EZ67" s="202"/>
      <c r="FA67" s="202"/>
      <c r="FB67" s="202"/>
      <c r="FC67" s="202"/>
      <c r="FD67" s="202"/>
      <c r="FE67" s="202"/>
      <c r="FF67" s="202"/>
      <c r="FG67" s="202"/>
      <c r="FH67" s="202"/>
      <c r="FI67" s="202"/>
    </row>
    <row r="68" spans="1:165" s="228" customFormat="1" ht="18" customHeight="1" x14ac:dyDescent="0.25">
      <c r="A68" s="576">
        <f t="shared" si="2"/>
        <v>59</v>
      </c>
      <c r="B68" s="611">
        <v>0</v>
      </c>
      <c r="C68" s="612">
        <v>1</v>
      </c>
      <c r="D68" s="585" t="s">
        <v>293</v>
      </c>
      <c r="E68" s="613" t="s">
        <v>1096</v>
      </c>
      <c r="F68" s="567" t="s">
        <v>696</v>
      </c>
      <c r="G68" s="585" t="s">
        <v>68</v>
      </c>
      <c r="H68" s="585" t="s">
        <v>586</v>
      </c>
      <c r="I68" s="582"/>
      <c r="J68" s="583"/>
      <c r="K68" s="614">
        <v>22</v>
      </c>
      <c r="L68" s="306"/>
      <c r="M68" s="307"/>
      <c r="N68" s="307"/>
      <c r="O68" s="307"/>
      <c r="P68" s="307"/>
      <c r="Q68" s="79"/>
      <c r="R68" s="79"/>
      <c r="S68" s="585"/>
      <c r="T68" s="585"/>
      <c r="U68" s="585"/>
      <c r="V68" s="585"/>
      <c r="W68" s="585"/>
      <c r="X68" s="585"/>
      <c r="Y68" s="585"/>
      <c r="Z68" s="585"/>
      <c r="AA68" s="585"/>
      <c r="AB68" s="585"/>
      <c r="AC68" s="585"/>
      <c r="AD68" s="585"/>
      <c r="AE68" s="585"/>
      <c r="AF68" s="585"/>
      <c r="AG68" s="585"/>
      <c r="AH68" s="585"/>
      <c r="AI68" s="585"/>
      <c r="AJ68" s="79"/>
      <c r="AK68" s="79"/>
      <c r="AL68" s="585"/>
      <c r="AM68" s="585"/>
      <c r="AN68" s="585"/>
      <c r="AO68" s="585"/>
      <c r="AP68" s="585"/>
      <c r="AQ68" s="585"/>
      <c r="AR68" s="585" t="s">
        <v>1040</v>
      </c>
      <c r="AS68" s="79"/>
      <c r="AT68" s="79"/>
      <c r="AU68" s="585"/>
      <c r="AV68" s="585"/>
      <c r="AW68" s="585"/>
      <c r="AX68" s="585"/>
      <c r="AY68" s="585"/>
      <c r="AZ68" s="585" t="s">
        <v>1040</v>
      </c>
      <c r="BA68" s="585"/>
      <c r="BB68" s="585"/>
      <c r="BC68" s="585"/>
      <c r="BD68" s="585"/>
      <c r="BE68" s="79"/>
      <c r="BF68" s="79"/>
      <c r="BG68" s="585"/>
      <c r="BH68" s="585"/>
      <c r="BI68" s="585"/>
      <c r="BJ68" s="585"/>
      <c r="BK68" s="585"/>
      <c r="BL68" s="585" t="s">
        <v>1040</v>
      </c>
      <c r="BM68" s="585"/>
      <c r="BN68" s="585"/>
      <c r="BO68" s="585"/>
      <c r="BP68" s="585"/>
      <c r="BQ68" s="79"/>
      <c r="BR68" s="79"/>
      <c r="BS68" s="585"/>
      <c r="BT68" s="79"/>
      <c r="BU68" s="79"/>
      <c r="BV68" s="585"/>
      <c r="BW68" s="585"/>
      <c r="BX68" s="585"/>
      <c r="BY68" s="585"/>
      <c r="BZ68" s="79"/>
      <c r="CA68" s="79"/>
      <c r="CB68" s="585"/>
      <c r="CC68" s="585"/>
      <c r="CD68" s="585"/>
      <c r="CE68" s="79"/>
      <c r="CF68" s="79"/>
      <c r="CG68" s="585"/>
      <c r="CH68" s="585"/>
      <c r="CI68" s="585"/>
      <c r="CJ68" s="201"/>
      <c r="CK68" s="202"/>
      <c r="CL68" s="202"/>
      <c r="CM68" s="202"/>
      <c r="CN68" s="202"/>
      <c r="CO68" s="202"/>
      <c r="CP68" s="202"/>
      <c r="CQ68" s="202"/>
      <c r="CR68" s="202"/>
      <c r="CS68" s="202"/>
      <c r="CT68" s="202"/>
      <c r="CU68" s="202"/>
      <c r="CV68" s="202"/>
      <c r="CW68" s="202"/>
      <c r="CX68" s="202"/>
      <c r="CY68" s="202"/>
      <c r="CZ68" s="202"/>
      <c r="DA68" s="202"/>
      <c r="DB68" s="202"/>
      <c r="DC68" s="202"/>
      <c r="DD68" s="202"/>
      <c r="DE68" s="202"/>
      <c r="DF68" s="202"/>
      <c r="DG68" s="202"/>
      <c r="DH68" s="202"/>
      <c r="DI68" s="202"/>
      <c r="DJ68" s="202"/>
      <c r="DK68" s="202"/>
      <c r="DL68" s="202"/>
      <c r="DM68" s="202"/>
      <c r="DN68" s="202"/>
      <c r="DO68" s="202"/>
      <c r="DP68" s="202"/>
      <c r="DQ68" s="202"/>
      <c r="DR68" s="202"/>
      <c r="DS68" s="202"/>
      <c r="DT68" s="202"/>
      <c r="DU68" s="202"/>
      <c r="DV68" s="202"/>
      <c r="DW68" s="202"/>
      <c r="DX68" s="202"/>
      <c r="DY68" s="202"/>
      <c r="DZ68" s="202"/>
      <c r="EA68" s="202"/>
      <c r="EB68" s="202"/>
      <c r="EC68" s="202"/>
      <c r="ED68" s="202"/>
      <c r="EE68" s="202"/>
      <c r="EF68" s="202"/>
      <c r="EG68" s="202"/>
      <c r="EH68" s="202"/>
      <c r="EI68" s="202"/>
      <c r="EJ68" s="202"/>
      <c r="EK68" s="202"/>
      <c r="EL68" s="202"/>
      <c r="EM68" s="202"/>
      <c r="EN68" s="202"/>
      <c r="EO68" s="202"/>
      <c r="EP68" s="202"/>
      <c r="EQ68" s="202"/>
      <c r="ER68" s="202"/>
      <c r="ES68" s="202"/>
      <c r="ET68" s="202"/>
      <c r="EU68" s="202"/>
      <c r="EV68" s="202"/>
      <c r="EW68" s="202"/>
      <c r="EX68" s="202"/>
      <c r="EY68" s="202"/>
      <c r="EZ68" s="202"/>
      <c r="FA68" s="202"/>
      <c r="FB68" s="202"/>
      <c r="FC68" s="202"/>
      <c r="FD68" s="202"/>
      <c r="FE68" s="202"/>
      <c r="FF68" s="202"/>
      <c r="FG68" s="202"/>
      <c r="FH68" s="202"/>
      <c r="FI68" s="202"/>
    </row>
    <row r="69" spans="1:165" s="228" customFormat="1" ht="18" customHeight="1" x14ac:dyDescent="0.25">
      <c r="A69" s="576">
        <f t="shared" si="2"/>
        <v>60</v>
      </c>
      <c r="B69" s="611">
        <v>0</v>
      </c>
      <c r="C69" s="612">
        <v>1</v>
      </c>
      <c r="D69" s="585" t="s">
        <v>293</v>
      </c>
      <c r="E69" s="613" t="s">
        <v>1097</v>
      </c>
      <c r="F69" s="567" t="s">
        <v>697</v>
      </c>
      <c r="G69" s="585" t="s">
        <v>68</v>
      </c>
      <c r="H69" s="585" t="s">
        <v>800</v>
      </c>
      <c r="I69" s="582">
        <v>2</v>
      </c>
      <c r="J69" s="583"/>
      <c r="K69" s="616"/>
      <c r="L69" s="306"/>
      <c r="M69" s="307" t="s">
        <v>122</v>
      </c>
      <c r="N69" s="307"/>
      <c r="O69" s="307"/>
      <c r="P69" s="307"/>
      <c r="Q69" s="79"/>
      <c r="R69" s="79"/>
      <c r="S69" s="585"/>
      <c r="T69" s="585"/>
      <c r="U69" s="585"/>
      <c r="V69" s="585"/>
      <c r="W69" s="585"/>
      <c r="X69" s="585"/>
      <c r="Y69" s="585"/>
      <c r="Z69" s="585"/>
      <c r="AA69" s="585"/>
      <c r="AB69" s="585"/>
      <c r="AC69" s="585"/>
      <c r="AD69" s="585"/>
      <c r="AE69" s="585"/>
      <c r="AF69" s="585"/>
      <c r="AG69" s="585"/>
      <c r="AH69" s="585"/>
      <c r="AI69" s="585"/>
      <c r="AJ69" s="79"/>
      <c r="AK69" s="79"/>
      <c r="AL69" s="585"/>
      <c r="AM69" s="585"/>
      <c r="AN69" s="585"/>
      <c r="AO69" s="585"/>
      <c r="AP69" s="585"/>
      <c r="AQ69" s="585"/>
      <c r="AR69" s="585"/>
      <c r="AS69" s="79"/>
      <c r="AT69" s="79"/>
      <c r="AU69" s="585"/>
      <c r="AV69" s="585"/>
      <c r="AW69" s="585"/>
      <c r="AX69" s="585" t="s">
        <v>120</v>
      </c>
      <c r="AY69" s="585"/>
      <c r="AZ69" s="585"/>
      <c r="BA69" s="585"/>
      <c r="BB69" s="585"/>
      <c r="BC69" s="585"/>
      <c r="BD69" s="585" t="s">
        <v>121</v>
      </c>
      <c r="BE69" s="79"/>
      <c r="BF69" s="79"/>
      <c r="BG69" s="585"/>
      <c r="BH69" s="585"/>
      <c r="BI69" s="585"/>
      <c r="BJ69" s="585" t="s">
        <v>120</v>
      </c>
      <c r="BK69" s="585"/>
      <c r="BL69" s="585"/>
      <c r="BM69" s="585"/>
      <c r="BN69" s="585"/>
      <c r="BO69" s="585"/>
      <c r="BP69" s="585" t="s">
        <v>121</v>
      </c>
      <c r="BQ69" s="79"/>
      <c r="BR69" s="79"/>
      <c r="BS69" s="585"/>
      <c r="BT69" s="79"/>
      <c r="BU69" s="79"/>
      <c r="BV69" s="585"/>
      <c r="BW69" s="585"/>
      <c r="BX69" s="585"/>
      <c r="BY69" s="585"/>
      <c r="BZ69" s="79"/>
      <c r="CA69" s="79"/>
      <c r="CB69" s="585"/>
      <c r="CC69" s="585"/>
      <c r="CD69" s="585"/>
      <c r="CE69" s="79"/>
      <c r="CF69" s="79"/>
      <c r="CG69" s="585"/>
      <c r="CH69" s="585" t="s">
        <v>40</v>
      </c>
      <c r="CI69" s="585" t="s">
        <v>40</v>
      </c>
      <c r="CJ69" s="201"/>
      <c r="CK69" s="202"/>
      <c r="CL69" s="202"/>
      <c r="CM69" s="202"/>
      <c r="CN69" s="202"/>
      <c r="CO69" s="202"/>
      <c r="CP69" s="202"/>
      <c r="CQ69" s="202"/>
      <c r="CR69" s="202"/>
      <c r="CS69" s="202"/>
      <c r="CT69" s="202"/>
      <c r="CU69" s="202"/>
      <c r="CV69" s="202"/>
      <c r="CW69" s="202"/>
      <c r="CX69" s="202"/>
      <c r="CY69" s="202"/>
      <c r="CZ69" s="202"/>
      <c r="DA69" s="202"/>
      <c r="DB69" s="202"/>
      <c r="DC69" s="202"/>
      <c r="DD69" s="202"/>
      <c r="DE69" s="202"/>
      <c r="DF69" s="202"/>
      <c r="DG69" s="202"/>
      <c r="DH69" s="202"/>
      <c r="DI69" s="202"/>
      <c r="DJ69" s="202"/>
      <c r="DK69" s="202"/>
      <c r="DL69" s="202"/>
      <c r="DM69" s="202"/>
      <c r="DN69" s="202"/>
      <c r="DO69" s="202"/>
      <c r="DP69" s="202"/>
      <c r="DQ69" s="202"/>
      <c r="DR69" s="202"/>
      <c r="DS69" s="202"/>
      <c r="DT69" s="202"/>
      <c r="DU69" s="202"/>
      <c r="DV69" s="202"/>
      <c r="DW69" s="202"/>
      <c r="DX69" s="202"/>
      <c r="DY69" s="202"/>
      <c r="DZ69" s="202"/>
      <c r="EA69" s="202"/>
      <c r="EB69" s="202"/>
      <c r="EC69" s="202"/>
      <c r="ED69" s="202"/>
      <c r="EE69" s="202"/>
      <c r="EF69" s="202"/>
      <c r="EG69" s="202"/>
      <c r="EH69" s="202"/>
      <c r="EI69" s="202"/>
      <c r="EJ69" s="202"/>
      <c r="EK69" s="202"/>
      <c r="EL69" s="202"/>
      <c r="EM69" s="202"/>
      <c r="EN69" s="202"/>
      <c r="EO69" s="202"/>
      <c r="EP69" s="202"/>
      <c r="EQ69" s="202"/>
      <c r="ER69" s="202"/>
      <c r="ES69" s="202"/>
      <c r="ET69" s="202"/>
      <c r="EU69" s="202"/>
      <c r="EV69" s="202"/>
      <c r="EW69" s="202"/>
      <c r="EX69" s="202"/>
      <c r="EY69" s="202"/>
      <c r="EZ69" s="202"/>
      <c r="FA69" s="202"/>
      <c r="FB69" s="202"/>
      <c r="FC69" s="202"/>
      <c r="FD69" s="202"/>
      <c r="FE69" s="202"/>
      <c r="FF69" s="202"/>
      <c r="FG69" s="202"/>
      <c r="FH69" s="202"/>
      <c r="FI69" s="202"/>
    </row>
    <row r="70" spans="1:165" s="228" customFormat="1" ht="18" customHeight="1" x14ac:dyDescent="0.25">
      <c r="A70" s="576">
        <f t="shared" si="2"/>
        <v>61</v>
      </c>
      <c r="B70" s="611">
        <v>0</v>
      </c>
      <c r="C70" s="612">
        <v>1</v>
      </c>
      <c r="D70" s="585" t="s">
        <v>293</v>
      </c>
      <c r="E70" s="613" t="s">
        <v>1098</v>
      </c>
      <c r="F70" s="567" t="s">
        <v>696</v>
      </c>
      <c r="G70" s="585" t="s">
        <v>68</v>
      </c>
      <c r="H70" s="585" t="s">
        <v>801</v>
      </c>
      <c r="I70" s="615">
        <v>9</v>
      </c>
      <c r="J70" s="583"/>
      <c r="K70" s="616"/>
      <c r="L70" s="306"/>
      <c r="M70" s="307"/>
      <c r="N70" s="307"/>
      <c r="O70" s="307"/>
      <c r="P70" s="307"/>
      <c r="Q70" s="79"/>
      <c r="R70" s="76"/>
      <c r="S70" s="556"/>
      <c r="T70" s="585"/>
      <c r="U70" s="585"/>
      <c r="V70" s="585"/>
      <c r="W70" s="556"/>
      <c r="X70" s="556"/>
      <c r="Y70" s="556"/>
      <c r="Z70" s="556"/>
      <c r="AA70" s="585"/>
      <c r="AB70" s="585"/>
      <c r="AC70" s="556"/>
      <c r="AD70" s="556"/>
      <c r="AE70" s="556"/>
      <c r="AF70" s="556"/>
      <c r="AG70" s="556"/>
      <c r="AH70" s="556"/>
      <c r="AI70" s="556"/>
      <c r="AJ70" s="76"/>
      <c r="AK70" s="79"/>
      <c r="AL70" s="556"/>
      <c r="AM70" s="556"/>
      <c r="AN70" s="556"/>
      <c r="AO70" s="585"/>
      <c r="AP70" s="556"/>
      <c r="AQ70" s="585"/>
      <c r="AR70" s="585"/>
      <c r="AS70" s="79"/>
      <c r="AT70" s="79"/>
      <c r="AU70" s="585"/>
      <c r="AV70" s="585"/>
      <c r="AW70" s="585"/>
      <c r="AX70" s="585"/>
      <c r="AY70" s="585"/>
      <c r="AZ70" s="585"/>
      <c r="BA70" s="585"/>
      <c r="BB70" s="585"/>
      <c r="BC70" s="585"/>
      <c r="BD70" s="585"/>
      <c r="BE70" s="79"/>
      <c r="BF70" s="79"/>
      <c r="BG70" s="585"/>
      <c r="BH70" s="585"/>
      <c r="BI70" s="585"/>
      <c r="BJ70" s="585"/>
      <c r="BK70" s="585"/>
      <c r="BL70" s="585"/>
      <c r="BM70" s="585"/>
      <c r="BN70" s="585"/>
      <c r="BO70" s="585"/>
      <c r="BP70" s="585"/>
      <c r="BQ70" s="79"/>
      <c r="BR70" s="76"/>
      <c r="BS70" s="556"/>
      <c r="BT70" s="76"/>
      <c r="BU70" s="79"/>
      <c r="BV70" s="585"/>
      <c r="BW70" s="585"/>
      <c r="BX70" s="585"/>
      <c r="BY70" s="585"/>
      <c r="BZ70" s="79"/>
      <c r="CA70" s="76"/>
      <c r="CB70" s="585"/>
      <c r="CC70" s="585"/>
      <c r="CD70" s="585"/>
      <c r="CE70" s="79"/>
      <c r="CF70" s="79"/>
      <c r="CG70" s="585"/>
      <c r="CH70" s="585" t="s">
        <v>40</v>
      </c>
      <c r="CI70" s="585" t="s">
        <v>40</v>
      </c>
      <c r="CJ70" s="201"/>
      <c r="CK70" s="202"/>
      <c r="CL70" s="202"/>
      <c r="CM70" s="202"/>
      <c r="CN70" s="202"/>
      <c r="CO70" s="202"/>
      <c r="CP70" s="202"/>
      <c r="CQ70" s="202"/>
      <c r="CR70" s="202"/>
      <c r="CS70" s="202"/>
      <c r="CT70" s="202"/>
      <c r="CU70" s="202"/>
      <c r="CV70" s="202"/>
      <c r="CW70" s="202"/>
      <c r="CX70" s="202"/>
      <c r="CY70" s="202"/>
      <c r="CZ70" s="202"/>
      <c r="DA70" s="202"/>
      <c r="DB70" s="202"/>
      <c r="DC70" s="202"/>
      <c r="DD70" s="202"/>
      <c r="DE70" s="202"/>
      <c r="DF70" s="202"/>
      <c r="DG70" s="202"/>
      <c r="DH70" s="202"/>
      <c r="DI70" s="202"/>
      <c r="DJ70" s="202"/>
      <c r="DK70" s="202"/>
      <c r="DL70" s="202"/>
      <c r="DM70" s="202"/>
      <c r="DN70" s="202"/>
      <c r="DO70" s="202"/>
      <c r="DP70" s="202"/>
      <c r="DQ70" s="202"/>
      <c r="DR70" s="202"/>
      <c r="DS70" s="202"/>
      <c r="DT70" s="202"/>
      <c r="DU70" s="202"/>
      <c r="DV70" s="202"/>
      <c r="DW70" s="202"/>
      <c r="DX70" s="202"/>
      <c r="DY70" s="202"/>
      <c r="DZ70" s="202"/>
      <c r="EA70" s="202"/>
      <c r="EB70" s="202"/>
      <c r="EC70" s="202"/>
      <c r="ED70" s="202"/>
      <c r="EE70" s="202"/>
      <c r="EF70" s="202"/>
      <c r="EG70" s="202"/>
      <c r="EH70" s="202"/>
      <c r="EI70" s="202"/>
      <c r="EJ70" s="202"/>
      <c r="EK70" s="202"/>
      <c r="EL70" s="202"/>
      <c r="EM70" s="202"/>
      <c r="EN70" s="202"/>
      <c r="EO70" s="202"/>
      <c r="EP70" s="202"/>
      <c r="EQ70" s="202"/>
      <c r="ER70" s="202"/>
      <c r="ES70" s="202"/>
      <c r="ET70" s="202"/>
      <c r="EU70" s="202"/>
      <c r="EV70" s="202"/>
      <c r="EW70" s="202"/>
      <c r="EX70" s="202"/>
      <c r="EY70" s="202"/>
      <c r="EZ70" s="202"/>
      <c r="FA70" s="202"/>
      <c r="FB70" s="202"/>
      <c r="FC70" s="202"/>
      <c r="FD70" s="202"/>
      <c r="FE70" s="202"/>
      <c r="FF70" s="202"/>
      <c r="FG70" s="202"/>
      <c r="FH70" s="202"/>
      <c r="FI70" s="202"/>
    </row>
    <row r="71" spans="1:165" s="228" customFormat="1" ht="18" customHeight="1" x14ac:dyDescent="0.25">
      <c r="A71" s="578">
        <f t="shared" si="2"/>
        <v>62</v>
      </c>
      <c r="B71" s="611">
        <v>0</v>
      </c>
      <c r="C71" s="612">
        <v>1</v>
      </c>
      <c r="D71" s="585" t="s">
        <v>294</v>
      </c>
      <c r="E71" s="613" t="s">
        <v>1100</v>
      </c>
      <c r="F71" s="567" t="s">
        <v>697</v>
      </c>
      <c r="G71" s="585" t="s">
        <v>69</v>
      </c>
      <c r="H71" s="585" t="s">
        <v>802</v>
      </c>
      <c r="I71" s="582">
        <v>2</v>
      </c>
      <c r="J71" s="583"/>
      <c r="K71" s="616"/>
      <c r="L71" s="306"/>
      <c r="M71" s="307" t="s">
        <v>122</v>
      </c>
      <c r="N71" s="307"/>
      <c r="O71" s="307"/>
      <c r="P71" s="307"/>
      <c r="Q71" s="79"/>
      <c r="R71" s="79"/>
      <c r="S71" s="585"/>
      <c r="T71" s="585"/>
      <c r="U71" s="585"/>
      <c r="V71" s="585"/>
      <c r="W71" s="585"/>
      <c r="X71" s="585"/>
      <c r="Y71" s="585"/>
      <c r="Z71" s="585"/>
      <c r="AA71" s="585"/>
      <c r="AB71" s="585"/>
      <c r="AC71" s="585"/>
      <c r="AD71" s="585"/>
      <c r="AE71" s="585"/>
      <c r="AF71" s="585"/>
      <c r="AG71" s="585"/>
      <c r="AH71" s="585"/>
      <c r="AI71" s="585"/>
      <c r="AJ71" s="79"/>
      <c r="AK71" s="79"/>
      <c r="AL71" s="585"/>
      <c r="AM71" s="585"/>
      <c r="AN71" s="585"/>
      <c r="AO71" s="585"/>
      <c r="AP71" s="585"/>
      <c r="AQ71" s="585"/>
      <c r="AR71" s="585"/>
      <c r="AS71" s="79"/>
      <c r="AT71" s="79"/>
      <c r="AU71" s="585"/>
      <c r="AV71" s="585"/>
      <c r="AW71" s="585"/>
      <c r="AX71" s="585" t="s">
        <v>120</v>
      </c>
      <c r="AY71" s="585"/>
      <c r="AZ71" s="585"/>
      <c r="BA71" s="585"/>
      <c r="BB71" s="585"/>
      <c r="BC71" s="585"/>
      <c r="BD71" s="585" t="s">
        <v>121</v>
      </c>
      <c r="BE71" s="79"/>
      <c r="BF71" s="79"/>
      <c r="BG71" s="585"/>
      <c r="BH71" s="585"/>
      <c r="BI71" s="585"/>
      <c r="BJ71" s="585" t="s">
        <v>120</v>
      </c>
      <c r="BK71" s="585"/>
      <c r="BL71" s="585"/>
      <c r="BM71" s="585"/>
      <c r="BN71" s="585"/>
      <c r="BO71" s="585"/>
      <c r="BP71" s="585" t="s">
        <v>121</v>
      </c>
      <c r="BQ71" s="79"/>
      <c r="BR71" s="79"/>
      <c r="BS71" s="585"/>
      <c r="BT71" s="79"/>
      <c r="BU71" s="79"/>
      <c r="BV71" s="585"/>
      <c r="BW71" s="585"/>
      <c r="BX71" s="585"/>
      <c r="BY71" s="585"/>
      <c r="BZ71" s="79"/>
      <c r="CA71" s="79"/>
      <c r="CB71" s="585"/>
      <c r="CC71" s="585"/>
      <c r="CD71" s="585"/>
      <c r="CE71" s="79"/>
      <c r="CF71" s="79"/>
      <c r="CG71" s="585"/>
      <c r="CH71" s="585" t="s">
        <v>40</v>
      </c>
      <c r="CI71" s="585" t="s">
        <v>40</v>
      </c>
      <c r="CJ71" s="201"/>
      <c r="CK71" s="202"/>
      <c r="CL71" s="202"/>
      <c r="CM71" s="202"/>
      <c r="CN71" s="202"/>
      <c r="CO71" s="202"/>
      <c r="CP71" s="202"/>
      <c r="CQ71" s="202"/>
      <c r="CR71" s="202"/>
      <c r="CS71" s="202"/>
      <c r="CT71" s="202"/>
      <c r="CU71" s="202"/>
      <c r="CV71" s="202"/>
      <c r="CW71" s="202"/>
      <c r="CX71" s="202"/>
      <c r="CY71" s="202"/>
      <c r="CZ71" s="202"/>
      <c r="DA71" s="202"/>
      <c r="DB71" s="202"/>
      <c r="DC71" s="202"/>
      <c r="DD71" s="202"/>
      <c r="DE71" s="202"/>
      <c r="DF71" s="202"/>
      <c r="DG71" s="202"/>
      <c r="DH71" s="202"/>
      <c r="DI71" s="202"/>
      <c r="DJ71" s="202"/>
      <c r="DK71" s="202"/>
      <c r="DL71" s="202"/>
      <c r="DM71" s="202"/>
      <c r="DN71" s="202"/>
      <c r="DO71" s="202"/>
      <c r="DP71" s="202"/>
      <c r="DQ71" s="202"/>
      <c r="DR71" s="202"/>
      <c r="DS71" s="202"/>
      <c r="DT71" s="202"/>
      <c r="DU71" s="202"/>
      <c r="DV71" s="202"/>
      <c r="DW71" s="202"/>
      <c r="DX71" s="202"/>
      <c r="DY71" s="202"/>
      <c r="DZ71" s="202"/>
      <c r="EA71" s="202"/>
      <c r="EB71" s="202"/>
      <c r="EC71" s="202"/>
      <c r="ED71" s="202"/>
      <c r="EE71" s="202"/>
      <c r="EF71" s="202"/>
      <c r="EG71" s="202"/>
      <c r="EH71" s="202"/>
      <c r="EI71" s="202"/>
      <c r="EJ71" s="202"/>
      <c r="EK71" s="202"/>
      <c r="EL71" s="202"/>
      <c r="EM71" s="202"/>
      <c r="EN71" s="202"/>
      <c r="EO71" s="202"/>
      <c r="EP71" s="202"/>
      <c r="EQ71" s="202"/>
      <c r="ER71" s="202"/>
      <c r="ES71" s="202"/>
      <c r="ET71" s="202"/>
      <c r="EU71" s="202"/>
      <c r="EV71" s="202"/>
      <c r="EW71" s="202"/>
      <c r="EX71" s="202"/>
      <c r="EY71" s="202"/>
      <c r="EZ71" s="202"/>
      <c r="FA71" s="202"/>
      <c r="FB71" s="202"/>
      <c r="FC71" s="202"/>
      <c r="FD71" s="202"/>
      <c r="FE71" s="202"/>
      <c r="FF71" s="202"/>
      <c r="FG71" s="202"/>
      <c r="FH71" s="202"/>
      <c r="FI71" s="202"/>
    </row>
    <row r="72" spans="1:165" s="228" customFormat="1" ht="18" customHeight="1" x14ac:dyDescent="0.25">
      <c r="A72" s="578">
        <f t="shared" si="2"/>
        <v>63</v>
      </c>
      <c r="B72" s="611">
        <v>0</v>
      </c>
      <c r="C72" s="612">
        <v>1</v>
      </c>
      <c r="D72" s="585" t="s">
        <v>294</v>
      </c>
      <c r="E72" s="613" t="s">
        <v>1101</v>
      </c>
      <c r="F72" s="567" t="s">
        <v>696</v>
      </c>
      <c r="G72" s="585" t="s">
        <v>69</v>
      </c>
      <c r="H72" s="585" t="s">
        <v>803</v>
      </c>
      <c r="I72" s="615">
        <v>9</v>
      </c>
      <c r="J72" s="583"/>
      <c r="K72" s="616"/>
      <c r="L72" s="306"/>
      <c r="M72" s="307"/>
      <c r="N72" s="307"/>
      <c r="O72" s="307"/>
      <c r="P72" s="307"/>
      <c r="Q72" s="79"/>
      <c r="R72" s="76"/>
      <c r="S72" s="556"/>
      <c r="T72" s="585"/>
      <c r="U72" s="585"/>
      <c r="V72" s="585"/>
      <c r="W72" s="556"/>
      <c r="X72" s="556"/>
      <c r="Y72" s="556"/>
      <c r="Z72" s="556"/>
      <c r="AA72" s="585"/>
      <c r="AB72" s="585"/>
      <c r="AC72" s="556"/>
      <c r="AD72" s="556"/>
      <c r="AE72" s="556"/>
      <c r="AF72" s="556"/>
      <c r="AG72" s="556"/>
      <c r="AH72" s="556"/>
      <c r="AI72" s="556"/>
      <c r="AJ72" s="76"/>
      <c r="AK72" s="79"/>
      <c r="AL72" s="556"/>
      <c r="AM72" s="556"/>
      <c r="AN72" s="556"/>
      <c r="AO72" s="585"/>
      <c r="AP72" s="556"/>
      <c r="AQ72" s="585"/>
      <c r="AR72" s="585"/>
      <c r="AS72" s="79"/>
      <c r="AT72" s="79"/>
      <c r="AU72" s="585"/>
      <c r="AV72" s="585"/>
      <c r="AW72" s="585"/>
      <c r="AX72" s="585"/>
      <c r="AY72" s="585"/>
      <c r="AZ72" s="585"/>
      <c r="BA72" s="585"/>
      <c r="BB72" s="585"/>
      <c r="BC72" s="585"/>
      <c r="BD72" s="585"/>
      <c r="BE72" s="79"/>
      <c r="BF72" s="79"/>
      <c r="BG72" s="585"/>
      <c r="BH72" s="585"/>
      <c r="BI72" s="585"/>
      <c r="BJ72" s="585"/>
      <c r="BK72" s="585"/>
      <c r="BL72" s="585"/>
      <c r="BM72" s="585"/>
      <c r="BN72" s="585"/>
      <c r="BO72" s="585"/>
      <c r="BP72" s="585"/>
      <c r="BQ72" s="79"/>
      <c r="BR72" s="76"/>
      <c r="BS72" s="556"/>
      <c r="BT72" s="76"/>
      <c r="BU72" s="79"/>
      <c r="BV72" s="585"/>
      <c r="BW72" s="585"/>
      <c r="BX72" s="585"/>
      <c r="BY72" s="585"/>
      <c r="BZ72" s="79"/>
      <c r="CA72" s="76"/>
      <c r="CB72" s="585"/>
      <c r="CC72" s="585"/>
      <c r="CD72" s="585"/>
      <c r="CE72" s="79"/>
      <c r="CF72" s="79"/>
      <c r="CG72" s="585"/>
      <c r="CH72" s="585" t="s">
        <v>40</v>
      </c>
      <c r="CI72" s="585" t="s">
        <v>40</v>
      </c>
      <c r="CJ72" s="201"/>
      <c r="CK72" s="202"/>
      <c r="CL72" s="202"/>
      <c r="CM72" s="202"/>
      <c r="CN72" s="202"/>
      <c r="CO72" s="202"/>
      <c r="CP72" s="202"/>
      <c r="CQ72" s="202"/>
      <c r="CR72" s="202"/>
      <c r="CS72" s="202"/>
      <c r="CT72" s="202"/>
      <c r="CU72" s="202"/>
      <c r="CV72" s="202"/>
      <c r="CW72" s="202"/>
      <c r="CX72" s="202"/>
      <c r="CY72" s="202"/>
      <c r="CZ72" s="202"/>
      <c r="DA72" s="202"/>
      <c r="DB72" s="202"/>
      <c r="DC72" s="202"/>
      <c r="DD72" s="202"/>
      <c r="DE72" s="202"/>
      <c r="DF72" s="202"/>
      <c r="DG72" s="202"/>
      <c r="DH72" s="202"/>
      <c r="DI72" s="202"/>
      <c r="DJ72" s="202"/>
      <c r="DK72" s="202"/>
      <c r="DL72" s="202"/>
      <c r="DM72" s="202"/>
      <c r="DN72" s="202"/>
      <c r="DO72" s="202"/>
      <c r="DP72" s="202"/>
      <c r="DQ72" s="202"/>
      <c r="DR72" s="202"/>
      <c r="DS72" s="202"/>
      <c r="DT72" s="202"/>
      <c r="DU72" s="202"/>
      <c r="DV72" s="202"/>
      <c r="DW72" s="202"/>
      <c r="DX72" s="202"/>
      <c r="DY72" s="202"/>
      <c r="DZ72" s="202"/>
      <c r="EA72" s="202"/>
      <c r="EB72" s="202"/>
      <c r="EC72" s="202"/>
      <c r="ED72" s="202"/>
      <c r="EE72" s="202"/>
      <c r="EF72" s="202"/>
      <c r="EG72" s="202"/>
      <c r="EH72" s="202"/>
      <c r="EI72" s="202"/>
      <c r="EJ72" s="202"/>
      <c r="EK72" s="202"/>
      <c r="EL72" s="202"/>
      <c r="EM72" s="202"/>
      <c r="EN72" s="202"/>
      <c r="EO72" s="202"/>
      <c r="EP72" s="202"/>
      <c r="EQ72" s="202"/>
      <c r="ER72" s="202"/>
      <c r="ES72" s="202"/>
      <c r="ET72" s="202"/>
      <c r="EU72" s="202"/>
      <c r="EV72" s="202"/>
      <c r="EW72" s="202"/>
      <c r="EX72" s="202"/>
      <c r="EY72" s="202"/>
      <c r="EZ72" s="202"/>
      <c r="FA72" s="202"/>
      <c r="FB72" s="202"/>
      <c r="FC72" s="202"/>
      <c r="FD72" s="202"/>
      <c r="FE72" s="202"/>
      <c r="FF72" s="202"/>
      <c r="FG72" s="202"/>
      <c r="FH72" s="202"/>
      <c r="FI72" s="202"/>
    </row>
    <row r="73" spans="1:165" s="228" customFormat="1" ht="18" customHeight="1" x14ac:dyDescent="0.25">
      <c r="A73" s="578">
        <f t="shared" si="2"/>
        <v>64</v>
      </c>
      <c r="B73" s="611">
        <v>0</v>
      </c>
      <c r="C73" s="612">
        <v>1</v>
      </c>
      <c r="D73" s="585" t="s">
        <v>294</v>
      </c>
      <c r="E73" s="613" t="s">
        <v>1102</v>
      </c>
      <c r="F73" s="567" t="s">
        <v>698</v>
      </c>
      <c r="G73" s="585" t="s">
        <v>69</v>
      </c>
      <c r="H73" s="585" t="s">
        <v>804</v>
      </c>
      <c r="I73" s="615">
        <v>9</v>
      </c>
      <c r="J73" s="583"/>
      <c r="K73" s="616"/>
      <c r="L73" s="306"/>
      <c r="M73" s="307"/>
      <c r="N73" s="307"/>
      <c r="O73" s="307"/>
      <c r="P73" s="307"/>
      <c r="Q73" s="79"/>
      <c r="R73" s="76"/>
      <c r="S73" s="556"/>
      <c r="T73" s="585"/>
      <c r="U73" s="585"/>
      <c r="V73" s="585"/>
      <c r="W73" s="556"/>
      <c r="X73" s="556"/>
      <c r="Y73" s="556"/>
      <c r="Z73" s="556"/>
      <c r="AA73" s="585"/>
      <c r="AB73" s="585"/>
      <c r="AC73" s="556"/>
      <c r="AD73" s="556"/>
      <c r="AE73" s="556"/>
      <c r="AF73" s="556"/>
      <c r="AG73" s="556"/>
      <c r="AH73" s="556"/>
      <c r="AI73" s="556"/>
      <c r="AJ73" s="76"/>
      <c r="AK73" s="79"/>
      <c r="AL73" s="556"/>
      <c r="AM73" s="556"/>
      <c r="AN73" s="556"/>
      <c r="AO73" s="585"/>
      <c r="AP73" s="556"/>
      <c r="AQ73" s="585"/>
      <c r="AR73" s="585"/>
      <c r="AS73" s="79"/>
      <c r="AT73" s="79"/>
      <c r="AU73" s="585"/>
      <c r="AV73" s="585"/>
      <c r="AW73" s="585"/>
      <c r="AX73" s="585"/>
      <c r="AY73" s="585"/>
      <c r="AZ73" s="585"/>
      <c r="BA73" s="585"/>
      <c r="BB73" s="585"/>
      <c r="BC73" s="585"/>
      <c r="BD73" s="585"/>
      <c r="BE73" s="79"/>
      <c r="BF73" s="79"/>
      <c r="BG73" s="585"/>
      <c r="BH73" s="585"/>
      <c r="BI73" s="585"/>
      <c r="BJ73" s="585"/>
      <c r="BK73" s="585"/>
      <c r="BL73" s="585"/>
      <c r="BM73" s="585"/>
      <c r="BN73" s="585"/>
      <c r="BO73" s="585"/>
      <c r="BP73" s="585"/>
      <c r="BQ73" s="79"/>
      <c r="BR73" s="76"/>
      <c r="BS73" s="556"/>
      <c r="BT73" s="76"/>
      <c r="BU73" s="79"/>
      <c r="BV73" s="585"/>
      <c r="BW73" s="585"/>
      <c r="BX73" s="585"/>
      <c r="BY73" s="585"/>
      <c r="BZ73" s="79"/>
      <c r="CA73" s="76"/>
      <c r="CB73" s="585"/>
      <c r="CC73" s="585"/>
      <c r="CD73" s="585"/>
      <c r="CE73" s="79"/>
      <c r="CF73" s="79"/>
      <c r="CG73" s="585"/>
      <c r="CH73" s="585" t="s">
        <v>40</v>
      </c>
      <c r="CI73" s="585" t="s">
        <v>40</v>
      </c>
      <c r="CJ73" s="201"/>
      <c r="CK73" s="202"/>
      <c r="CL73" s="202"/>
      <c r="CM73" s="202"/>
      <c r="CN73" s="202"/>
      <c r="CO73" s="202"/>
      <c r="CP73" s="202"/>
      <c r="CQ73" s="202"/>
      <c r="CR73" s="202"/>
      <c r="CS73" s="202"/>
      <c r="CT73" s="202"/>
      <c r="CU73" s="202"/>
      <c r="CV73" s="202"/>
      <c r="CW73" s="202"/>
      <c r="CX73" s="202"/>
      <c r="CY73" s="202"/>
      <c r="CZ73" s="202"/>
      <c r="DA73" s="202"/>
      <c r="DB73" s="202"/>
      <c r="DC73" s="202"/>
      <c r="DD73" s="202"/>
      <c r="DE73" s="202"/>
      <c r="DF73" s="202"/>
      <c r="DG73" s="202"/>
      <c r="DH73" s="202"/>
      <c r="DI73" s="202"/>
      <c r="DJ73" s="202"/>
      <c r="DK73" s="202"/>
      <c r="DL73" s="202"/>
      <c r="DM73" s="202"/>
      <c r="DN73" s="202"/>
      <c r="DO73" s="202"/>
      <c r="DP73" s="202"/>
      <c r="DQ73" s="202"/>
      <c r="DR73" s="202"/>
      <c r="DS73" s="202"/>
      <c r="DT73" s="202"/>
      <c r="DU73" s="202"/>
      <c r="DV73" s="202"/>
      <c r="DW73" s="202"/>
      <c r="DX73" s="202"/>
      <c r="DY73" s="202"/>
      <c r="DZ73" s="202"/>
      <c r="EA73" s="202"/>
      <c r="EB73" s="202"/>
      <c r="EC73" s="202"/>
      <c r="ED73" s="202"/>
      <c r="EE73" s="202"/>
      <c r="EF73" s="202"/>
      <c r="EG73" s="202"/>
      <c r="EH73" s="202"/>
      <c r="EI73" s="202"/>
      <c r="EJ73" s="202"/>
      <c r="EK73" s="202"/>
      <c r="EL73" s="202"/>
      <c r="EM73" s="202"/>
      <c r="EN73" s="202"/>
      <c r="EO73" s="202"/>
      <c r="EP73" s="202"/>
      <c r="EQ73" s="202"/>
      <c r="ER73" s="202"/>
      <c r="ES73" s="202"/>
      <c r="ET73" s="202"/>
      <c r="EU73" s="202"/>
      <c r="EV73" s="202"/>
      <c r="EW73" s="202"/>
      <c r="EX73" s="202"/>
      <c r="EY73" s="202"/>
      <c r="EZ73" s="202"/>
      <c r="FA73" s="202"/>
      <c r="FB73" s="202"/>
      <c r="FC73" s="202"/>
      <c r="FD73" s="202"/>
      <c r="FE73" s="202"/>
      <c r="FF73" s="202"/>
      <c r="FG73" s="202"/>
      <c r="FH73" s="202"/>
      <c r="FI73" s="202"/>
    </row>
    <row r="74" spans="1:165" s="228" customFormat="1" ht="18" customHeight="1" x14ac:dyDescent="0.25">
      <c r="A74" s="578">
        <f t="shared" si="2"/>
        <v>65</v>
      </c>
      <c r="B74" s="611">
        <v>0</v>
      </c>
      <c r="C74" s="612">
        <v>1</v>
      </c>
      <c r="D74" s="585" t="s">
        <v>962</v>
      </c>
      <c r="E74" s="613" t="s">
        <v>1115</v>
      </c>
      <c r="F74" s="567" t="s">
        <v>1044</v>
      </c>
      <c r="G74" s="585" t="s">
        <v>963</v>
      </c>
      <c r="H74" s="585" t="s">
        <v>964</v>
      </c>
      <c r="I74" s="582"/>
      <c r="J74" s="583"/>
      <c r="K74" s="616"/>
      <c r="L74" s="306"/>
      <c r="M74" s="307"/>
      <c r="N74" s="307"/>
      <c r="O74" s="307"/>
      <c r="P74" s="307"/>
      <c r="Q74" s="79"/>
      <c r="R74" s="76"/>
      <c r="S74" s="556"/>
      <c r="T74" s="585"/>
      <c r="U74" s="585"/>
      <c r="V74" s="585"/>
      <c r="W74" s="556"/>
      <c r="X74" s="556"/>
      <c r="Y74" s="556"/>
      <c r="Z74" s="556"/>
      <c r="AA74" s="585"/>
      <c r="AB74" s="585"/>
      <c r="AC74" s="556"/>
      <c r="AD74" s="556"/>
      <c r="AE74" s="556"/>
      <c r="AF74" s="556"/>
      <c r="AG74" s="556"/>
      <c r="AH74" s="556"/>
      <c r="AI74" s="556"/>
      <c r="AJ74" s="76"/>
      <c r="AK74" s="79"/>
      <c r="AL74" s="556"/>
      <c r="AM74" s="556"/>
      <c r="AN74" s="556"/>
      <c r="AO74" s="585"/>
      <c r="AP74" s="556"/>
      <c r="AQ74" s="585"/>
      <c r="AR74" s="585"/>
      <c r="AS74" s="79"/>
      <c r="AT74" s="79"/>
      <c r="AU74" s="585"/>
      <c r="AV74" s="585"/>
      <c r="AW74" s="585"/>
      <c r="AX74" s="585"/>
      <c r="AY74" s="585"/>
      <c r="AZ74" s="585"/>
      <c r="BA74" s="585"/>
      <c r="BB74" s="585"/>
      <c r="BC74" s="585"/>
      <c r="BD74" s="585"/>
      <c r="BE74" s="79"/>
      <c r="BF74" s="79"/>
      <c r="BG74" s="585"/>
      <c r="BH74" s="585"/>
      <c r="BI74" s="585"/>
      <c r="BJ74" s="585"/>
      <c r="BK74" s="585"/>
      <c r="BL74" s="585"/>
      <c r="BM74" s="585"/>
      <c r="BN74" s="585"/>
      <c r="BO74" s="585"/>
      <c r="BP74" s="585"/>
      <c r="BQ74" s="79"/>
      <c r="BR74" s="76"/>
      <c r="BS74" s="556"/>
      <c r="BT74" s="76"/>
      <c r="BU74" s="79"/>
      <c r="BV74" s="585"/>
      <c r="BW74" s="585"/>
      <c r="BX74" s="585"/>
      <c r="BY74" s="585"/>
      <c r="BZ74" s="79"/>
      <c r="CA74" s="76"/>
      <c r="CB74" s="585"/>
      <c r="CC74" s="585"/>
      <c r="CD74" s="585"/>
      <c r="CE74" s="79"/>
      <c r="CF74" s="79"/>
      <c r="CG74" s="585"/>
      <c r="CH74" s="585"/>
      <c r="CI74" s="585"/>
      <c r="CJ74" s="201"/>
      <c r="CK74" s="202"/>
      <c r="CL74" s="202"/>
      <c r="CM74" s="202"/>
      <c r="CN74" s="202"/>
      <c r="CO74" s="202"/>
      <c r="CP74" s="202"/>
      <c r="CQ74" s="202"/>
      <c r="CR74" s="202"/>
      <c r="CS74" s="202"/>
      <c r="CT74" s="202"/>
      <c r="CU74" s="202"/>
      <c r="CV74" s="202"/>
      <c r="CW74" s="202"/>
      <c r="CX74" s="202"/>
      <c r="CY74" s="202"/>
      <c r="CZ74" s="202"/>
      <c r="DA74" s="202"/>
      <c r="DB74" s="202"/>
      <c r="DC74" s="202"/>
      <c r="DD74" s="202"/>
      <c r="DE74" s="202"/>
      <c r="DF74" s="202"/>
      <c r="DG74" s="202"/>
      <c r="DH74" s="202"/>
      <c r="DI74" s="202"/>
      <c r="DJ74" s="202"/>
      <c r="DK74" s="202"/>
      <c r="DL74" s="202"/>
      <c r="DM74" s="202"/>
      <c r="DN74" s="202"/>
      <c r="DO74" s="202"/>
      <c r="DP74" s="202"/>
      <c r="DQ74" s="202"/>
      <c r="DR74" s="202"/>
      <c r="DS74" s="202"/>
      <c r="DT74" s="202"/>
      <c r="DU74" s="202"/>
      <c r="DV74" s="202"/>
      <c r="DW74" s="202"/>
      <c r="DX74" s="202"/>
      <c r="DY74" s="202"/>
      <c r="DZ74" s="202"/>
      <c r="EA74" s="202"/>
      <c r="EB74" s="202"/>
      <c r="EC74" s="202"/>
      <c r="ED74" s="202"/>
      <c r="EE74" s="202"/>
      <c r="EF74" s="202"/>
      <c r="EG74" s="202"/>
      <c r="EH74" s="202"/>
      <c r="EI74" s="202"/>
      <c r="EJ74" s="202"/>
      <c r="EK74" s="202"/>
      <c r="EL74" s="202"/>
      <c r="EM74" s="202"/>
      <c r="EN74" s="202"/>
      <c r="EO74" s="202"/>
      <c r="EP74" s="202"/>
      <c r="EQ74" s="202"/>
      <c r="ER74" s="202"/>
      <c r="ES74" s="202"/>
      <c r="ET74" s="202"/>
      <c r="EU74" s="202"/>
      <c r="EV74" s="202"/>
      <c r="EW74" s="202"/>
      <c r="EX74" s="202"/>
      <c r="EY74" s="202"/>
      <c r="EZ74" s="202"/>
      <c r="FA74" s="202"/>
      <c r="FB74" s="202"/>
      <c r="FC74" s="202"/>
      <c r="FD74" s="202"/>
      <c r="FE74" s="202"/>
      <c r="FF74" s="202"/>
      <c r="FG74" s="202"/>
      <c r="FH74" s="202"/>
      <c r="FI74" s="202"/>
    </row>
    <row r="75" spans="1:165" s="228" customFormat="1" ht="18" customHeight="1" x14ac:dyDescent="0.25">
      <c r="A75" s="578">
        <f t="shared" si="2"/>
        <v>66</v>
      </c>
      <c r="B75" s="611">
        <v>0</v>
      </c>
      <c r="C75" s="612">
        <v>1</v>
      </c>
      <c r="D75" s="585" t="s">
        <v>699</v>
      </c>
      <c r="E75" s="613" t="s">
        <v>1116</v>
      </c>
      <c r="F75" s="567" t="s">
        <v>1044</v>
      </c>
      <c r="G75" s="585" t="s">
        <v>700</v>
      </c>
      <c r="H75" s="617" t="s">
        <v>588</v>
      </c>
      <c r="I75" s="615">
        <v>9</v>
      </c>
      <c r="J75" s="583"/>
      <c r="K75" s="616">
        <v>21</v>
      </c>
      <c r="L75" s="306"/>
      <c r="M75" s="307"/>
      <c r="N75" s="307"/>
      <c r="O75" s="307"/>
      <c r="P75" s="307"/>
      <c r="Q75" s="79"/>
      <c r="R75" s="76"/>
      <c r="S75" s="556"/>
      <c r="T75" s="585"/>
      <c r="U75" s="585"/>
      <c r="V75" s="585"/>
      <c r="W75" s="556"/>
      <c r="X75" s="556"/>
      <c r="Y75" s="556"/>
      <c r="Z75" s="556"/>
      <c r="AA75" s="585"/>
      <c r="AB75" s="585"/>
      <c r="AC75" s="556"/>
      <c r="AD75" s="556"/>
      <c r="AE75" s="556"/>
      <c r="AF75" s="556"/>
      <c r="AG75" s="556"/>
      <c r="AH75" s="556"/>
      <c r="AI75" s="556"/>
      <c r="AJ75" s="76"/>
      <c r="AK75" s="79"/>
      <c r="AL75" s="556"/>
      <c r="AM75" s="556"/>
      <c r="AN75" s="556"/>
      <c r="AO75" s="585"/>
      <c r="AP75" s="556"/>
      <c r="AQ75" s="585"/>
      <c r="AR75" s="585"/>
      <c r="AS75" s="79"/>
      <c r="AT75" s="79"/>
      <c r="AU75" s="585"/>
      <c r="AV75" s="585"/>
      <c r="AW75" s="585"/>
      <c r="AX75" s="585"/>
      <c r="AY75" s="585"/>
      <c r="AZ75" s="585"/>
      <c r="BA75" s="585"/>
      <c r="BB75" s="585"/>
      <c r="BC75" s="585"/>
      <c r="BD75" s="585"/>
      <c r="BE75" s="79"/>
      <c r="BF75" s="79"/>
      <c r="BG75" s="585"/>
      <c r="BH75" s="585"/>
      <c r="BI75" s="585"/>
      <c r="BJ75" s="585"/>
      <c r="BK75" s="585"/>
      <c r="BL75" s="585"/>
      <c r="BM75" s="585"/>
      <c r="BN75" s="585"/>
      <c r="BO75" s="585"/>
      <c r="BP75" s="585"/>
      <c r="BQ75" s="79"/>
      <c r="BR75" s="76"/>
      <c r="BS75" s="556"/>
      <c r="BT75" s="76"/>
      <c r="BU75" s="79"/>
      <c r="BV75" s="585"/>
      <c r="BW75" s="585"/>
      <c r="BX75" s="585"/>
      <c r="BY75" s="585"/>
      <c r="BZ75" s="79"/>
      <c r="CA75" s="76"/>
      <c r="CB75" s="585"/>
      <c r="CC75" s="585"/>
      <c r="CD75" s="585"/>
      <c r="CE75" s="79"/>
      <c r="CF75" s="79"/>
      <c r="CG75" s="585"/>
      <c r="CH75" s="586" t="s">
        <v>40</v>
      </c>
      <c r="CI75" s="585" t="s">
        <v>40</v>
      </c>
      <c r="CJ75" s="201"/>
      <c r="CK75" s="202"/>
      <c r="CL75" s="202"/>
      <c r="CM75" s="202"/>
      <c r="CN75" s="202"/>
      <c r="CO75" s="202"/>
      <c r="CP75" s="202"/>
      <c r="CQ75" s="202"/>
      <c r="CR75" s="202"/>
      <c r="CS75" s="202"/>
      <c r="CT75" s="202"/>
      <c r="CU75" s="202"/>
      <c r="CV75" s="202"/>
      <c r="CW75" s="202"/>
      <c r="CX75" s="202"/>
      <c r="CY75" s="202"/>
      <c r="CZ75" s="202"/>
      <c r="DA75" s="202"/>
      <c r="DB75" s="202"/>
      <c r="DC75" s="202"/>
      <c r="DD75" s="202"/>
      <c r="DE75" s="202"/>
      <c r="DF75" s="202"/>
      <c r="DG75" s="202"/>
      <c r="DH75" s="202"/>
      <c r="DI75" s="202"/>
      <c r="DJ75" s="202"/>
      <c r="DK75" s="202"/>
      <c r="DL75" s="202"/>
      <c r="DM75" s="202"/>
      <c r="DN75" s="202"/>
      <c r="DO75" s="202"/>
      <c r="DP75" s="202"/>
      <c r="DQ75" s="202"/>
      <c r="DR75" s="202"/>
      <c r="DS75" s="202"/>
      <c r="DT75" s="202"/>
      <c r="DU75" s="202"/>
      <c r="DV75" s="202"/>
      <c r="DW75" s="202"/>
      <c r="DX75" s="202"/>
      <c r="DY75" s="202"/>
      <c r="DZ75" s="202"/>
      <c r="EA75" s="202"/>
      <c r="EB75" s="202"/>
      <c r="EC75" s="202"/>
      <c r="ED75" s="202"/>
      <c r="EE75" s="202"/>
      <c r="EF75" s="202"/>
      <c r="EG75" s="202"/>
      <c r="EH75" s="202"/>
      <c r="EI75" s="202"/>
      <c r="EJ75" s="202"/>
      <c r="EK75" s="202"/>
      <c r="EL75" s="202"/>
      <c r="EM75" s="202"/>
      <c r="EN75" s="202"/>
      <c r="EO75" s="202"/>
      <c r="EP75" s="202"/>
      <c r="EQ75" s="202"/>
      <c r="ER75" s="202"/>
      <c r="ES75" s="202"/>
      <c r="ET75" s="202"/>
      <c r="EU75" s="202"/>
      <c r="EV75" s="202"/>
      <c r="EW75" s="202"/>
      <c r="EX75" s="202"/>
      <c r="EY75" s="202"/>
      <c r="EZ75" s="202"/>
      <c r="FA75" s="202"/>
      <c r="FB75" s="202"/>
      <c r="FC75" s="202"/>
      <c r="FD75" s="202"/>
      <c r="FE75" s="202"/>
      <c r="FF75" s="202"/>
      <c r="FG75" s="202"/>
      <c r="FH75" s="202"/>
      <c r="FI75" s="202"/>
    </row>
    <row r="76" spans="1:165" s="228" customFormat="1" ht="18" customHeight="1" x14ac:dyDescent="0.25">
      <c r="A76" s="578">
        <f t="shared" si="2"/>
        <v>67</v>
      </c>
      <c r="B76" s="611">
        <v>0</v>
      </c>
      <c r="C76" s="612">
        <v>1</v>
      </c>
      <c r="D76" s="585" t="s">
        <v>965</v>
      </c>
      <c r="E76" s="589" t="s">
        <v>966</v>
      </c>
      <c r="F76" s="567" t="s">
        <v>1044</v>
      </c>
      <c r="G76" s="585" t="s">
        <v>967</v>
      </c>
      <c r="H76" s="603" t="s">
        <v>1212</v>
      </c>
      <c r="I76" s="582"/>
      <c r="J76" s="583"/>
      <c r="K76" s="616"/>
      <c r="L76" s="306"/>
      <c r="M76" s="307"/>
      <c r="N76" s="307"/>
      <c r="O76" s="307"/>
      <c r="P76" s="307"/>
      <c r="Q76" s="79"/>
      <c r="R76" s="76"/>
      <c r="S76" s="556"/>
      <c r="T76" s="585"/>
      <c r="U76" s="585"/>
      <c r="V76" s="585"/>
      <c r="W76" s="556"/>
      <c r="X76" s="556"/>
      <c r="Y76" s="556"/>
      <c r="Z76" s="556"/>
      <c r="AA76" s="585"/>
      <c r="AB76" s="585"/>
      <c r="AC76" s="556"/>
      <c r="AD76" s="556"/>
      <c r="AE76" s="556"/>
      <c r="AF76" s="556"/>
      <c r="AG76" s="556"/>
      <c r="AH76" s="556"/>
      <c r="AI76" s="556"/>
      <c r="AJ76" s="76"/>
      <c r="AK76" s="79"/>
      <c r="AL76" s="556"/>
      <c r="AM76" s="556"/>
      <c r="AN76" s="556"/>
      <c r="AO76" s="585"/>
      <c r="AP76" s="556"/>
      <c r="AQ76" s="585"/>
      <c r="AR76" s="585"/>
      <c r="AS76" s="79"/>
      <c r="AT76" s="79"/>
      <c r="AU76" s="585"/>
      <c r="AV76" s="585"/>
      <c r="AW76" s="585"/>
      <c r="AX76" s="585"/>
      <c r="AY76" s="585"/>
      <c r="AZ76" s="585"/>
      <c r="BA76" s="585"/>
      <c r="BB76" s="585"/>
      <c r="BC76" s="585"/>
      <c r="BD76" s="585"/>
      <c r="BE76" s="79"/>
      <c r="BF76" s="79"/>
      <c r="BG76" s="585"/>
      <c r="BH76" s="585"/>
      <c r="BI76" s="585"/>
      <c r="BJ76" s="585"/>
      <c r="BK76" s="585"/>
      <c r="BL76" s="585"/>
      <c r="BM76" s="585"/>
      <c r="BN76" s="585"/>
      <c r="BO76" s="585"/>
      <c r="BP76" s="585"/>
      <c r="BQ76" s="79"/>
      <c r="BR76" s="76"/>
      <c r="BS76" s="556"/>
      <c r="BT76" s="76"/>
      <c r="BU76" s="79"/>
      <c r="BV76" s="585"/>
      <c r="BW76" s="585"/>
      <c r="BX76" s="585"/>
      <c r="BY76" s="585"/>
      <c r="BZ76" s="79"/>
      <c r="CA76" s="76"/>
      <c r="CB76" s="585"/>
      <c r="CC76" s="585"/>
      <c r="CD76" s="585"/>
      <c r="CE76" s="79"/>
      <c r="CF76" s="79"/>
      <c r="CG76" s="585"/>
      <c r="CH76" s="585"/>
      <c r="CI76" s="585"/>
      <c r="CJ76" s="201"/>
      <c r="CK76" s="202"/>
      <c r="CL76" s="202"/>
      <c r="CM76" s="202"/>
      <c r="CN76" s="202"/>
      <c r="CO76" s="202"/>
      <c r="CP76" s="202"/>
      <c r="CQ76" s="202"/>
      <c r="CR76" s="202"/>
      <c r="CS76" s="202"/>
      <c r="CT76" s="202"/>
      <c r="CU76" s="202"/>
      <c r="CV76" s="202"/>
      <c r="CW76" s="202"/>
      <c r="CX76" s="202"/>
      <c r="CY76" s="202"/>
      <c r="CZ76" s="202"/>
      <c r="DA76" s="202"/>
      <c r="DB76" s="202"/>
      <c r="DC76" s="202"/>
      <c r="DD76" s="202"/>
      <c r="DE76" s="202"/>
      <c r="DF76" s="202"/>
      <c r="DG76" s="202"/>
      <c r="DH76" s="202"/>
      <c r="DI76" s="202"/>
      <c r="DJ76" s="202"/>
      <c r="DK76" s="202"/>
      <c r="DL76" s="202"/>
      <c r="DM76" s="202"/>
      <c r="DN76" s="202"/>
      <c r="DO76" s="202"/>
      <c r="DP76" s="202"/>
      <c r="DQ76" s="202"/>
      <c r="DR76" s="202"/>
      <c r="DS76" s="202"/>
      <c r="DT76" s="202"/>
      <c r="DU76" s="202"/>
      <c r="DV76" s="202"/>
      <c r="DW76" s="202"/>
      <c r="DX76" s="202"/>
      <c r="DY76" s="202"/>
      <c r="DZ76" s="202"/>
      <c r="EA76" s="202"/>
      <c r="EB76" s="202"/>
      <c r="EC76" s="202"/>
      <c r="ED76" s="202"/>
      <c r="EE76" s="202"/>
      <c r="EF76" s="202"/>
      <c r="EG76" s="202"/>
      <c r="EH76" s="202"/>
      <c r="EI76" s="202"/>
      <c r="EJ76" s="202"/>
      <c r="EK76" s="202"/>
      <c r="EL76" s="202"/>
      <c r="EM76" s="202"/>
      <c r="EN76" s="202"/>
      <c r="EO76" s="202"/>
      <c r="EP76" s="202"/>
      <c r="EQ76" s="202"/>
      <c r="ER76" s="202"/>
      <c r="ES76" s="202"/>
      <c r="ET76" s="202"/>
      <c r="EU76" s="202"/>
      <c r="EV76" s="202"/>
      <c r="EW76" s="202"/>
      <c r="EX76" s="202"/>
      <c r="EY76" s="202"/>
      <c r="EZ76" s="202"/>
      <c r="FA76" s="202"/>
      <c r="FB76" s="202"/>
      <c r="FC76" s="202"/>
      <c r="FD76" s="202"/>
      <c r="FE76" s="202"/>
      <c r="FF76" s="202"/>
      <c r="FG76" s="202"/>
      <c r="FH76" s="202"/>
      <c r="FI76" s="202"/>
    </row>
    <row r="77" spans="1:165" s="228" customFormat="1" ht="18" customHeight="1" x14ac:dyDescent="0.25">
      <c r="A77" s="578">
        <f t="shared" si="2"/>
        <v>68</v>
      </c>
      <c r="B77" s="611">
        <v>0</v>
      </c>
      <c r="C77" s="612">
        <v>1</v>
      </c>
      <c r="D77" s="585" t="s">
        <v>295</v>
      </c>
      <c r="E77" s="589" t="s">
        <v>296</v>
      </c>
      <c r="F77" s="567" t="s">
        <v>1044</v>
      </c>
      <c r="G77" s="585" t="s">
        <v>70</v>
      </c>
      <c r="H77" s="585" t="s">
        <v>701</v>
      </c>
      <c r="I77" s="582">
        <v>2</v>
      </c>
      <c r="J77" s="583"/>
      <c r="K77" s="616">
        <v>5</v>
      </c>
      <c r="L77" s="306"/>
      <c r="M77" s="307" t="s">
        <v>122</v>
      </c>
      <c r="N77" s="307"/>
      <c r="O77" s="307"/>
      <c r="P77" s="307"/>
      <c r="Q77" s="79"/>
      <c r="R77" s="76"/>
      <c r="S77" s="556"/>
      <c r="T77" s="585"/>
      <c r="U77" s="585"/>
      <c r="V77" s="585"/>
      <c r="W77" s="556"/>
      <c r="X77" s="556"/>
      <c r="Y77" s="556"/>
      <c r="Z77" s="556"/>
      <c r="AA77" s="585"/>
      <c r="AB77" s="585"/>
      <c r="AC77" s="556"/>
      <c r="AD77" s="556"/>
      <c r="AE77" s="556"/>
      <c r="AF77" s="556"/>
      <c r="AG77" s="556"/>
      <c r="AH77" s="556"/>
      <c r="AI77" s="556"/>
      <c r="AJ77" s="76"/>
      <c r="AK77" s="79"/>
      <c r="AL77" s="556"/>
      <c r="AM77" s="556"/>
      <c r="AN77" s="556"/>
      <c r="AO77" s="585"/>
      <c r="AP77" s="556"/>
      <c r="AQ77" s="585"/>
      <c r="AR77" s="585"/>
      <c r="AS77" s="79"/>
      <c r="AT77" s="79"/>
      <c r="AU77" s="585"/>
      <c r="AV77" s="585"/>
      <c r="AW77" s="585"/>
      <c r="AX77" s="585" t="s">
        <v>120</v>
      </c>
      <c r="AY77" s="585"/>
      <c r="AZ77" s="585"/>
      <c r="BA77" s="585"/>
      <c r="BB77" s="585"/>
      <c r="BC77" s="585"/>
      <c r="BD77" s="585" t="s">
        <v>121</v>
      </c>
      <c r="BE77" s="79"/>
      <c r="BF77" s="79"/>
      <c r="BG77" s="585"/>
      <c r="BH77" s="585"/>
      <c r="BI77" s="585"/>
      <c r="BJ77" s="585" t="s">
        <v>120</v>
      </c>
      <c r="BK77" s="585"/>
      <c r="BL77" s="585"/>
      <c r="BM77" s="585"/>
      <c r="BN77" s="585"/>
      <c r="BO77" s="585"/>
      <c r="BP77" s="585" t="s">
        <v>121</v>
      </c>
      <c r="BQ77" s="79"/>
      <c r="BR77" s="76"/>
      <c r="BS77" s="556"/>
      <c r="BT77" s="76"/>
      <c r="BU77" s="79"/>
      <c r="BV77" s="585"/>
      <c r="BW77" s="585"/>
      <c r="BX77" s="585"/>
      <c r="BY77" s="585"/>
      <c r="BZ77" s="79"/>
      <c r="CA77" s="76"/>
      <c r="CB77" s="585"/>
      <c r="CC77" s="585"/>
      <c r="CD77" s="585"/>
      <c r="CE77" s="79"/>
      <c r="CF77" s="79"/>
      <c r="CG77" s="585"/>
      <c r="CH77" s="585" t="s">
        <v>40</v>
      </c>
      <c r="CI77" s="585" t="s">
        <v>40</v>
      </c>
      <c r="CJ77" s="201"/>
      <c r="CK77" s="202"/>
      <c r="CL77" s="202"/>
      <c r="CM77" s="202"/>
      <c r="CN77" s="202"/>
      <c r="CO77" s="202"/>
      <c r="CP77" s="202"/>
      <c r="CQ77" s="202"/>
      <c r="CR77" s="202"/>
      <c r="CS77" s="202"/>
      <c r="CT77" s="202"/>
      <c r="CU77" s="202"/>
      <c r="CV77" s="202"/>
      <c r="CW77" s="202"/>
      <c r="CX77" s="202"/>
      <c r="CY77" s="202"/>
      <c r="CZ77" s="202"/>
      <c r="DA77" s="202"/>
      <c r="DB77" s="202"/>
      <c r="DC77" s="202"/>
      <c r="DD77" s="202"/>
      <c r="DE77" s="202"/>
      <c r="DF77" s="202"/>
      <c r="DG77" s="202"/>
      <c r="DH77" s="202"/>
      <c r="DI77" s="202"/>
      <c r="DJ77" s="202"/>
      <c r="DK77" s="202"/>
      <c r="DL77" s="202"/>
      <c r="DM77" s="202"/>
      <c r="DN77" s="202"/>
      <c r="DO77" s="202"/>
      <c r="DP77" s="202"/>
      <c r="DQ77" s="202"/>
      <c r="DR77" s="202"/>
      <c r="DS77" s="202"/>
      <c r="DT77" s="202"/>
      <c r="DU77" s="202"/>
      <c r="DV77" s="202"/>
      <c r="DW77" s="202"/>
      <c r="DX77" s="202"/>
      <c r="DY77" s="202"/>
      <c r="DZ77" s="202"/>
      <c r="EA77" s="202"/>
      <c r="EB77" s="202"/>
      <c r="EC77" s="202"/>
      <c r="ED77" s="202"/>
      <c r="EE77" s="202"/>
      <c r="EF77" s="202"/>
      <c r="EG77" s="202"/>
      <c r="EH77" s="202"/>
      <c r="EI77" s="202"/>
      <c r="EJ77" s="202"/>
      <c r="EK77" s="202"/>
      <c r="EL77" s="202"/>
      <c r="EM77" s="202"/>
      <c r="EN77" s="202"/>
      <c r="EO77" s="202"/>
      <c r="EP77" s="202"/>
      <c r="EQ77" s="202"/>
      <c r="ER77" s="202"/>
      <c r="ES77" s="202"/>
      <c r="ET77" s="202"/>
      <c r="EU77" s="202"/>
      <c r="EV77" s="202"/>
      <c r="EW77" s="202"/>
      <c r="EX77" s="202"/>
      <c r="EY77" s="202"/>
      <c r="EZ77" s="202"/>
      <c r="FA77" s="202"/>
      <c r="FB77" s="202"/>
      <c r="FC77" s="202"/>
      <c r="FD77" s="202"/>
      <c r="FE77" s="202"/>
      <c r="FF77" s="202"/>
      <c r="FG77" s="202"/>
      <c r="FH77" s="202"/>
      <c r="FI77" s="202"/>
    </row>
    <row r="78" spans="1:165" s="228" customFormat="1" ht="18" customHeight="1" x14ac:dyDescent="0.25">
      <c r="A78" s="578">
        <f t="shared" si="2"/>
        <v>69</v>
      </c>
      <c r="B78" s="611">
        <v>0</v>
      </c>
      <c r="C78" s="612">
        <v>1</v>
      </c>
      <c r="D78" s="585" t="s">
        <v>969</v>
      </c>
      <c r="E78" s="589" t="s">
        <v>970</v>
      </c>
      <c r="F78" s="567" t="s">
        <v>1044</v>
      </c>
      <c r="G78" s="585" t="s">
        <v>971</v>
      </c>
      <c r="H78" s="603" t="s">
        <v>1211</v>
      </c>
      <c r="I78" s="582"/>
      <c r="J78" s="583"/>
      <c r="K78" s="616"/>
      <c r="L78" s="306"/>
      <c r="M78" s="307"/>
      <c r="N78" s="307"/>
      <c r="O78" s="307"/>
      <c r="P78" s="307"/>
      <c r="Q78" s="79"/>
      <c r="R78" s="76"/>
      <c r="S78" s="556"/>
      <c r="T78" s="585"/>
      <c r="U78" s="585"/>
      <c r="V78" s="585"/>
      <c r="W78" s="556"/>
      <c r="X78" s="556"/>
      <c r="Y78" s="556"/>
      <c r="Z78" s="556"/>
      <c r="AA78" s="585"/>
      <c r="AB78" s="585"/>
      <c r="AC78" s="556"/>
      <c r="AD78" s="556"/>
      <c r="AE78" s="556"/>
      <c r="AF78" s="556"/>
      <c r="AG78" s="556"/>
      <c r="AH78" s="556"/>
      <c r="AI78" s="556"/>
      <c r="AJ78" s="76"/>
      <c r="AK78" s="79"/>
      <c r="AL78" s="556"/>
      <c r="AM78" s="556"/>
      <c r="AN78" s="556"/>
      <c r="AO78" s="585"/>
      <c r="AP78" s="556"/>
      <c r="AQ78" s="585"/>
      <c r="AR78" s="585"/>
      <c r="AS78" s="79"/>
      <c r="AT78" s="79"/>
      <c r="AU78" s="585"/>
      <c r="AV78" s="585"/>
      <c r="AW78" s="585"/>
      <c r="AX78" s="585"/>
      <c r="AY78" s="585"/>
      <c r="AZ78" s="585"/>
      <c r="BA78" s="585"/>
      <c r="BB78" s="585"/>
      <c r="BC78" s="585"/>
      <c r="BD78" s="585"/>
      <c r="BE78" s="79"/>
      <c r="BF78" s="79"/>
      <c r="BG78" s="585"/>
      <c r="BH78" s="585"/>
      <c r="BI78" s="585"/>
      <c r="BJ78" s="585"/>
      <c r="BK78" s="585"/>
      <c r="BL78" s="585"/>
      <c r="BM78" s="585"/>
      <c r="BN78" s="585"/>
      <c r="BO78" s="585"/>
      <c r="BP78" s="585"/>
      <c r="BQ78" s="79"/>
      <c r="BR78" s="76"/>
      <c r="BS78" s="556"/>
      <c r="BT78" s="76"/>
      <c r="BU78" s="79"/>
      <c r="BV78" s="585"/>
      <c r="BW78" s="585"/>
      <c r="BX78" s="585"/>
      <c r="BY78" s="585"/>
      <c r="BZ78" s="79"/>
      <c r="CA78" s="76"/>
      <c r="CB78" s="585"/>
      <c r="CC78" s="585"/>
      <c r="CD78" s="585"/>
      <c r="CE78" s="79"/>
      <c r="CF78" s="79"/>
      <c r="CG78" s="585"/>
      <c r="CH78" s="585"/>
      <c r="CI78" s="585"/>
      <c r="CJ78" s="201"/>
      <c r="CK78" s="202"/>
      <c r="CL78" s="202"/>
      <c r="CM78" s="202"/>
      <c r="CN78" s="202"/>
      <c r="CO78" s="202"/>
      <c r="CP78" s="202"/>
      <c r="CQ78" s="202"/>
      <c r="CR78" s="202"/>
      <c r="CS78" s="202"/>
      <c r="CT78" s="202"/>
      <c r="CU78" s="202"/>
      <c r="CV78" s="202"/>
      <c r="CW78" s="202"/>
      <c r="CX78" s="202"/>
      <c r="CY78" s="202"/>
      <c r="CZ78" s="202"/>
      <c r="DA78" s="202"/>
      <c r="DB78" s="202"/>
      <c r="DC78" s="202"/>
      <c r="DD78" s="202"/>
      <c r="DE78" s="202"/>
      <c r="DF78" s="202"/>
      <c r="DG78" s="202"/>
      <c r="DH78" s="202"/>
      <c r="DI78" s="202"/>
      <c r="DJ78" s="202"/>
      <c r="DK78" s="202"/>
      <c r="DL78" s="202"/>
      <c r="DM78" s="202"/>
      <c r="DN78" s="202"/>
      <c r="DO78" s="202"/>
      <c r="DP78" s="202"/>
      <c r="DQ78" s="202"/>
      <c r="DR78" s="202"/>
      <c r="DS78" s="202"/>
      <c r="DT78" s="202"/>
      <c r="DU78" s="202"/>
      <c r="DV78" s="202"/>
      <c r="DW78" s="202"/>
      <c r="DX78" s="202"/>
      <c r="DY78" s="202"/>
      <c r="DZ78" s="202"/>
      <c r="EA78" s="202"/>
      <c r="EB78" s="202"/>
      <c r="EC78" s="202"/>
      <c r="ED78" s="202"/>
      <c r="EE78" s="202"/>
      <c r="EF78" s="202"/>
      <c r="EG78" s="202"/>
      <c r="EH78" s="202"/>
      <c r="EI78" s="202"/>
      <c r="EJ78" s="202"/>
      <c r="EK78" s="202"/>
      <c r="EL78" s="202"/>
      <c r="EM78" s="202"/>
      <c r="EN78" s="202"/>
      <c r="EO78" s="202"/>
      <c r="EP78" s="202"/>
      <c r="EQ78" s="202"/>
      <c r="ER78" s="202"/>
      <c r="ES78" s="202"/>
      <c r="ET78" s="202"/>
      <c r="EU78" s="202"/>
      <c r="EV78" s="202"/>
      <c r="EW78" s="202"/>
      <c r="EX78" s="202"/>
      <c r="EY78" s="202"/>
      <c r="EZ78" s="202"/>
      <c r="FA78" s="202"/>
      <c r="FB78" s="202"/>
      <c r="FC78" s="202"/>
      <c r="FD78" s="202"/>
      <c r="FE78" s="202"/>
      <c r="FF78" s="202"/>
      <c r="FG78" s="202"/>
      <c r="FH78" s="202"/>
      <c r="FI78" s="202"/>
    </row>
    <row r="79" spans="1:165" s="228" customFormat="1" ht="18" customHeight="1" x14ac:dyDescent="0.25">
      <c r="A79" s="578">
        <f t="shared" si="2"/>
        <v>70</v>
      </c>
      <c r="B79" s="611">
        <v>0</v>
      </c>
      <c r="C79" s="612">
        <v>1</v>
      </c>
      <c r="D79" s="585" t="s">
        <v>297</v>
      </c>
      <c r="E79" s="589" t="s">
        <v>702</v>
      </c>
      <c r="F79" s="567" t="s">
        <v>1044</v>
      </c>
      <c r="G79" s="585" t="s">
        <v>71</v>
      </c>
      <c r="H79" s="585" t="s">
        <v>703</v>
      </c>
      <c r="I79" s="582">
        <v>2</v>
      </c>
      <c r="J79" s="583"/>
      <c r="K79" s="616">
        <v>5</v>
      </c>
      <c r="L79" s="306"/>
      <c r="M79" s="307" t="s">
        <v>122</v>
      </c>
      <c r="N79" s="307"/>
      <c r="O79" s="307"/>
      <c r="P79" s="307"/>
      <c r="Q79" s="79"/>
      <c r="R79" s="76"/>
      <c r="S79" s="585"/>
      <c r="T79" s="585"/>
      <c r="U79" s="585"/>
      <c r="V79" s="585"/>
      <c r="W79" s="585"/>
      <c r="X79" s="556"/>
      <c r="Y79" s="585"/>
      <c r="Z79" s="556"/>
      <c r="AA79" s="585"/>
      <c r="AB79" s="585"/>
      <c r="AC79" s="556"/>
      <c r="AD79" s="556"/>
      <c r="AE79" s="585"/>
      <c r="AF79" s="585"/>
      <c r="AG79" s="585"/>
      <c r="AH79" s="585"/>
      <c r="AI79" s="585"/>
      <c r="AJ79" s="79"/>
      <c r="AK79" s="79"/>
      <c r="AL79" s="556"/>
      <c r="AM79" s="556"/>
      <c r="AN79" s="556"/>
      <c r="AO79" s="585"/>
      <c r="AP79" s="585"/>
      <c r="AQ79" s="585"/>
      <c r="AR79" s="585"/>
      <c r="AS79" s="79"/>
      <c r="AT79" s="79"/>
      <c r="AU79" s="585"/>
      <c r="AV79" s="585"/>
      <c r="AW79" s="585"/>
      <c r="AX79" s="585" t="s">
        <v>120</v>
      </c>
      <c r="AY79" s="585"/>
      <c r="AZ79" s="585"/>
      <c r="BA79" s="585"/>
      <c r="BB79" s="585"/>
      <c r="BC79" s="585"/>
      <c r="BD79" s="585" t="s">
        <v>121</v>
      </c>
      <c r="BE79" s="79"/>
      <c r="BF79" s="79"/>
      <c r="BG79" s="585"/>
      <c r="BH79" s="585"/>
      <c r="BI79" s="585"/>
      <c r="BJ79" s="585" t="s">
        <v>120</v>
      </c>
      <c r="BK79" s="585"/>
      <c r="BL79" s="585"/>
      <c r="BM79" s="585"/>
      <c r="BN79" s="585"/>
      <c r="BO79" s="585"/>
      <c r="BP79" s="585" t="s">
        <v>121</v>
      </c>
      <c r="BQ79" s="79"/>
      <c r="BR79" s="76"/>
      <c r="BS79" s="556"/>
      <c r="BT79" s="76"/>
      <c r="BU79" s="79"/>
      <c r="BV79" s="585"/>
      <c r="BW79" s="585"/>
      <c r="BX79" s="585"/>
      <c r="BY79" s="585"/>
      <c r="BZ79" s="79"/>
      <c r="CA79" s="76"/>
      <c r="CB79" s="585"/>
      <c r="CC79" s="585"/>
      <c r="CD79" s="585"/>
      <c r="CE79" s="79"/>
      <c r="CF79" s="79"/>
      <c r="CG79" s="585"/>
      <c r="CH79" s="585" t="s">
        <v>40</v>
      </c>
      <c r="CI79" s="585" t="s">
        <v>40</v>
      </c>
      <c r="CJ79" s="201"/>
      <c r="CK79" s="202"/>
      <c r="CL79" s="202"/>
      <c r="CM79" s="202"/>
      <c r="CN79" s="202"/>
      <c r="CO79" s="202"/>
      <c r="CP79" s="202"/>
      <c r="CQ79" s="202"/>
      <c r="CR79" s="202"/>
      <c r="CS79" s="202"/>
      <c r="CT79" s="202"/>
      <c r="CU79" s="202"/>
      <c r="CV79" s="202"/>
      <c r="CW79" s="202"/>
      <c r="CX79" s="202"/>
      <c r="CY79" s="202"/>
      <c r="CZ79" s="202"/>
      <c r="DA79" s="202"/>
      <c r="DB79" s="202"/>
      <c r="DC79" s="202"/>
      <c r="DD79" s="202"/>
      <c r="DE79" s="202"/>
      <c r="DF79" s="202"/>
      <c r="DG79" s="202"/>
      <c r="DH79" s="202"/>
      <c r="DI79" s="202"/>
      <c r="DJ79" s="202"/>
      <c r="DK79" s="202"/>
      <c r="DL79" s="202"/>
      <c r="DM79" s="202"/>
      <c r="DN79" s="202"/>
      <c r="DO79" s="202"/>
      <c r="DP79" s="202"/>
      <c r="DQ79" s="202"/>
      <c r="DR79" s="202"/>
      <c r="DS79" s="202"/>
      <c r="DT79" s="202"/>
      <c r="DU79" s="202"/>
      <c r="DV79" s="202"/>
      <c r="DW79" s="202"/>
      <c r="DX79" s="202"/>
      <c r="DY79" s="202"/>
      <c r="DZ79" s="202"/>
      <c r="EA79" s="202"/>
      <c r="EB79" s="202"/>
      <c r="EC79" s="202"/>
      <c r="ED79" s="202"/>
      <c r="EE79" s="202"/>
      <c r="EF79" s="202"/>
      <c r="EG79" s="202"/>
      <c r="EH79" s="202"/>
      <c r="EI79" s="202"/>
      <c r="EJ79" s="202"/>
      <c r="EK79" s="202"/>
      <c r="EL79" s="202"/>
      <c r="EM79" s="202"/>
      <c r="EN79" s="202"/>
      <c r="EO79" s="202"/>
      <c r="EP79" s="202"/>
      <c r="EQ79" s="202"/>
      <c r="ER79" s="202"/>
      <c r="ES79" s="202"/>
      <c r="ET79" s="202"/>
      <c r="EU79" s="202"/>
      <c r="EV79" s="202"/>
      <c r="EW79" s="202"/>
      <c r="EX79" s="202"/>
      <c r="EY79" s="202"/>
      <c r="EZ79" s="202"/>
      <c r="FA79" s="202"/>
      <c r="FB79" s="202"/>
      <c r="FC79" s="202"/>
      <c r="FD79" s="202"/>
      <c r="FE79" s="202"/>
      <c r="FF79" s="202"/>
      <c r="FG79" s="202"/>
      <c r="FH79" s="202"/>
      <c r="FI79" s="202"/>
    </row>
    <row r="80" spans="1:165" s="228" customFormat="1" ht="18" customHeight="1" x14ac:dyDescent="0.25">
      <c r="A80" s="578">
        <f t="shared" si="2"/>
        <v>71</v>
      </c>
      <c r="B80" s="611">
        <v>0</v>
      </c>
      <c r="C80" s="612">
        <v>1</v>
      </c>
      <c r="D80" s="585" t="s">
        <v>973</v>
      </c>
      <c r="E80" s="589" t="s">
        <v>974</v>
      </c>
      <c r="F80" s="567" t="s">
        <v>1044</v>
      </c>
      <c r="G80" s="585" t="s">
        <v>975</v>
      </c>
      <c r="H80" s="603" t="s">
        <v>1210</v>
      </c>
      <c r="I80" s="582"/>
      <c r="J80" s="583"/>
      <c r="K80" s="616"/>
      <c r="L80" s="306"/>
      <c r="M80" s="307"/>
      <c r="N80" s="307"/>
      <c r="O80" s="307"/>
      <c r="P80" s="307"/>
      <c r="Q80" s="79"/>
      <c r="R80" s="76"/>
      <c r="S80" s="556"/>
      <c r="T80" s="585"/>
      <c r="U80" s="585"/>
      <c r="V80" s="585"/>
      <c r="W80" s="556"/>
      <c r="X80" s="556"/>
      <c r="Y80" s="556"/>
      <c r="Z80" s="556"/>
      <c r="AA80" s="585"/>
      <c r="AB80" s="585"/>
      <c r="AC80" s="556"/>
      <c r="AD80" s="556"/>
      <c r="AE80" s="556"/>
      <c r="AF80" s="556"/>
      <c r="AG80" s="556"/>
      <c r="AH80" s="556"/>
      <c r="AI80" s="556"/>
      <c r="AJ80" s="76"/>
      <c r="AK80" s="79"/>
      <c r="AL80" s="556"/>
      <c r="AM80" s="556"/>
      <c r="AN80" s="556"/>
      <c r="AO80" s="585"/>
      <c r="AP80" s="585"/>
      <c r="AQ80" s="585"/>
      <c r="AR80" s="585"/>
      <c r="AS80" s="79"/>
      <c r="AT80" s="79"/>
      <c r="AU80" s="585"/>
      <c r="AV80" s="585"/>
      <c r="AW80" s="585"/>
      <c r="AX80" s="585"/>
      <c r="AY80" s="585"/>
      <c r="AZ80" s="585"/>
      <c r="BA80" s="585"/>
      <c r="BB80" s="585"/>
      <c r="BC80" s="585"/>
      <c r="BD80" s="585"/>
      <c r="BE80" s="79"/>
      <c r="BF80" s="79"/>
      <c r="BG80" s="585"/>
      <c r="BH80" s="585"/>
      <c r="BI80" s="585"/>
      <c r="BJ80" s="585"/>
      <c r="BK80" s="585"/>
      <c r="BL80" s="585"/>
      <c r="BM80" s="585"/>
      <c r="BN80" s="585"/>
      <c r="BO80" s="585"/>
      <c r="BP80" s="585"/>
      <c r="BQ80" s="79"/>
      <c r="BR80" s="76"/>
      <c r="BS80" s="556"/>
      <c r="BT80" s="76"/>
      <c r="BU80" s="79"/>
      <c r="BV80" s="585"/>
      <c r="BW80" s="585"/>
      <c r="BX80" s="585"/>
      <c r="BY80" s="585"/>
      <c r="BZ80" s="79"/>
      <c r="CA80" s="76"/>
      <c r="CB80" s="585"/>
      <c r="CC80" s="585"/>
      <c r="CD80" s="585"/>
      <c r="CE80" s="79"/>
      <c r="CF80" s="79"/>
      <c r="CG80" s="585"/>
      <c r="CH80" s="585"/>
      <c r="CI80" s="585"/>
      <c r="CJ80" s="201"/>
      <c r="CK80" s="202"/>
      <c r="CL80" s="202"/>
      <c r="CM80" s="202"/>
      <c r="CN80" s="202"/>
      <c r="CO80" s="202"/>
      <c r="CP80" s="202"/>
      <c r="CQ80" s="202"/>
      <c r="CR80" s="202"/>
      <c r="CS80" s="202"/>
      <c r="CT80" s="202"/>
      <c r="CU80" s="202"/>
      <c r="CV80" s="202"/>
      <c r="CW80" s="202"/>
      <c r="CX80" s="202"/>
      <c r="CY80" s="202"/>
      <c r="CZ80" s="202"/>
      <c r="DA80" s="202"/>
      <c r="DB80" s="202"/>
      <c r="DC80" s="202"/>
      <c r="DD80" s="202"/>
      <c r="DE80" s="202"/>
      <c r="DF80" s="202"/>
      <c r="DG80" s="202"/>
      <c r="DH80" s="202"/>
      <c r="DI80" s="202"/>
      <c r="DJ80" s="202"/>
      <c r="DK80" s="202"/>
      <c r="DL80" s="202"/>
      <c r="DM80" s="202"/>
      <c r="DN80" s="202"/>
      <c r="DO80" s="202"/>
      <c r="DP80" s="202"/>
      <c r="DQ80" s="202"/>
      <c r="DR80" s="202"/>
      <c r="DS80" s="202"/>
      <c r="DT80" s="202"/>
      <c r="DU80" s="202"/>
      <c r="DV80" s="202"/>
      <c r="DW80" s="202"/>
      <c r="DX80" s="202"/>
      <c r="DY80" s="202"/>
      <c r="DZ80" s="202"/>
      <c r="EA80" s="202"/>
      <c r="EB80" s="202"/>
      <c r="EC80" s="202"/>
      <c r="ED80" s="202"/>
      <c r="EE80" s="202"/>
      <c r="EF80" s="202"/>
      <c r="EG80" s="202"/>
      <c r="EH80" s="202"/>
      <c r="EI80" s="202"/>
      <c r="EJ80" s="202"/>
      <c r="EK80" s="202"/>
      <c r="EL80" s="202"/>
      <c r="EM80" s="202"/>
      <c r="EN80" s="202"/>
      <c r="EO80" s="202"/>
      <c r="EP80" s="202"/>
      <c r="EQ80" s="202"/>
      <c r="ER80" s="202"/>
      <c r="ES80" s="202"/>
      <c r="ET80" s="202"/>
      <c r="EU80" s="202"/>
      <c r="EV80" s="202"/>
      <c r="EW80" s="202"/>
      <c r="EX80" s="202"/>
      <c r="EY80" s="202"/>
      <c r="EZ80" s="202"/>
      <c r="FA80" s="202"/>
      <c r="FB80" s="202"/>
      <c r="FC80" s="202"/>
      <c r="FD80" s="202"/>
      <c r="FE80" s="202"/>
      <c r="FF80" s="202"/>
      <c r="FG80" s="202"/>
      <c r="FH80" s="202"/>
      <c r="FI80" s="202"/>
    </row>
    <row r="81" spans="1:166" s="228" customFormat="1" ht="18" customHeight="1" x14ac:dyDescent="0.25">
      <c r="A81" s="578">
        <f t="shared" si="2"/>
        <v>72</v>
      </c>
      <c r="B81" s="611">
        <v>0</v>
      </c>
      <c r="C81" s="612">
        <v>1</v>
      </c>
      <c r="D81" s="585" t="s">
        <v>298</v>
      </c>
      <c r="E81" s="589" t="s">
        <v>704</v>
      </c>
      <c r="F81" s="567" t="s">
        <v>1044</v>
      </c>
      <c r="G81" s="585" t="s">
        <v>72</v>
      </c>
      <c r="H81" s="585" t="s">
        <v>705</v>
      </c>
      <c r="I81" s="582">
        <v>2</v>
      </c>
      <c r="J81" s="583"/>
      <c r="K81" s="616">
        <v>5</v>
      </c>
      <c r="L81" s="306"/>
      <c r="M81" s="307" t="s">
        <v>122</v>
      </c>
      <c r="N81" s="307"/>
      <c r="O81" s="307"/>
      <c r="P81" s="307"/>
      <c r="Q81" s="79"/>
      <c r="R81" s="76"/>
      <c r="S81" s="585"/>
      <c r="T81" s="585"/>
      <c r="U81" s="585"/>
      <c r="V81" s="585"/>
      <c r="W81" s="585"/>
      <c r="X81" s="556"/>
      <c r="Y81" s="585"/>
      <c r="Z81" s="556"/>
      <c r="AA81" s="585"/>
      <c r="AB81" s="585"/>
      <c r="AC81" s="556"/>
      <c r="AD81" s="556"/>
      <c r="AE81" s="585"/>
      <c r="AF81" s="585"/>
      <c r="AG81" s="585"/>
      <c r="AH81" s="585"/>
      <c r="AI81" s="585"/>
      <c r="AJ81" s="79"/>
      <c r="AK81" s="79"/>
      <c r="AL81" s="556"/>
      <c r="AM81" s="556"/>
      <c r="AN81" s="556"/>
      <c r="AO81" s="585"/>
      <c r="AP81" s="585"/>
      <c r="AQ81" s="585"/>
      <c r="AR81" s="585"/>
      <c r="AS81" s="79"/>
      <c r="AT81" s="79"/>
      <c r="AU81" s="585"/>
      <c r="AV81" s="585"/>
      <c r="AW81" s="585"/>
      <c r="AX81" s="585" t="s">
        <v>120</v>
      </c>
      <c r="AY81" s="585"/>
      <c r="AZ81" s="585"/>
      <c r="BA81" s="585"/>
      <c r="BB81" s="585"/>
      <c r="BC81" s="585"/>
      <c r="BD81" s="585" t="s">
        <v>121</v>
      </c>
      <c r="BE81" s="79"/>
      <c r="BF81" s="79"/>
      <c r="BG81" s="585"/>
      <c r="BH81" s="585"/>
      <c r="BI81" s="585"/>
      <c r="BJ81" s="585" t="s">
        <v>120</v>
      </c>
      <c r="BK81" s="585"/>
      <c r="BL81" s="585"/>
      <c r="BM81" s="585"/>
      <c r="BN81" s="585"/>
      <c r="BO81" s="585"/>
      <c r="BP81" s="585" t="s">
        <v>121</v>
      </c>
      <c r="BQ81" s="79"/>
      <c r="BR81" s="76"/>
      <c r="BS81" s="556"/>
      <c r="BT81" s="76"/>
      <c r="BU81" s="79"/>
      <c r="BV81" s="585"/>
      <c r="BW81" s="585"/>
      <c r="BX81" s="585"/>
      <c r="BY81" s="585"/>
      <c r="BZ81" s="79"/>
      <c r="CA81" s="76"/>
      <c r="CB81" s="585"/>
      <c r="CC81" s="585"/>
      <c r="CD81" s="585"/>
      <c r="CE81" s="79"/>
      <c r="CF81" s="79"/>
      <c r="CG81" s="585"/>
      <c r="CH81" s="585" t="s">
        <v>40</v>
      </c>
      <c r="CI81" s="585" t="s">
        <v>40</v>
      </c>
      <c r="CJ81" s="201"/>
      <c r="CK81" s="202"/>
      <c r="CL81" s="202"/>
      <c r="CM81" s="202"/>
      <c r="CN81" s="202"/>
      <c r="CO81" s="202"/>
      <c r="CP81" s="202"/>
      <c r="CQ81" s="202"/>
      <c r="CR81" s="202"/>
      <c r="CS81" s="202"/>
      <c r="CT81" s="202"/>
      <c r="CU81" s="202"/>
      <c r="CV81" s="202"/>
      <c r="CW81" s="202"/>
      <c r="CX81" s="202"/>
      <c r="CY81" s="202"/>
      <c r="CZ81" s="202"/>
      <c r="DA81" s="202"/>
      <c r="DB81" s="202"/>
      <c r="DC81" s="202"/>
      <c r="DD81" s="202"/>
      <c r="DE81" s="202"/>
      <c r="DF81" s="202"/>
      <c r="DG81" s="202"/>
      <c r="DH81" s="202"/>
      <c r="DI81" s="202"/>
      <c r="DJ81" s="202"/>
      <c r="DK81" s="202"/>
      <c r="DL81" s="202"/>
      <c r="DM81" s="202"/>
      <c r="DN81" s="202"/>
      <c r="DO81" s="202"/>
      <c r="DP81" s="202"/>
      <c r="DQ81" s="202"/>
      <c r="DR81" s="202"/>
      <c r="DS81" s="202"/>
      <c r="DT81" s="202"/>
      <c r="DU81" s="202"/>
      <c r="DV81" s="202"/>
      <c r="DW81" s="202"/>
      <c r="DX81" s="202"/>
      <c r="DY81" s="202"/>
      <c r="DZ81" s="202"/>
      <c r="EA81" s="202"/>
      <c r="EB81" s="202"/>
      <c r="EC81" s="202"/>
      <c r="ED81" s="202"/>
      <c r="EE81" s="202"/>
      <c r="EF81" s="202"/>
      <c r="EG81" s="202"/>
      <c r="EH81" s="202"/>
      <c r="EI81" s="202"/>
      <c r="EJ81" s="202"/>
      <c r="EK81" s="202"/>
      <c r="EL81" s="202"/>
      <c r="EM81" s="202"/>
      <c r="EN81" s="202"/>
      <c r="EO81" s="202"/>
      <c r="EP81" s="202"/>
      <c r="EQ81" s="202"/>
      <c r="ER81" s="202"/>
      <c r="ES81" s="202"/>
      <c r="ET81" s="202"/>
      <c r="EU81" s="202"/>
      <c r="EV81" s="202"/>
      <c r="EW81" s="202"/>
      <c r="EX81" s="202"/>
      <c r="EY81" s="202"/>
      <c r="EZ81" s="202"/>
      <c r="FA81" s="202"/>
      <c r="FB81" s="202"/>
      <c r="FC81" s="202"/>
      <c r="FD81" s="202"/>
      <c r="FE81" s="202"/>
      <c r="FF81" s="202"/>
      <c r="FG81" s="202"/>
      <c r="FH81" s="202"/>
      <c r="FI81" s="202"/>
    </row>
    <row r="82" spans="1:166" s="228" customFormat="1" ht="18" customHeight="1" x14ac:dyDescent="0.2">
      <c r="A82" s="289">
        <f t="shared" ref="A82:A131" si="3">ROW()-9</f>
        <v>73</v>
      </c>
      <c r="B82" s="78"/>
      <c r="C82" s="79"/>
      <c r="D82" s="79"/>
      <c r="E82" s="77"/>
      <c r="F82" s="72"/>
      <c r="G82" s="79"/>
      <c r="H82" s="178"/>
      <c r="I82" s="142"/>
      <c r="J82" s="76"/>
      <c r="K82" s="141"/>
      <c r="L82" s="261"/>
      <c r="M82" s="79"/>
      <c r="N82" s="79"/>
      <c r="O82" s="79"/>
      <c r="P82" s="79"/>
      <c r="Q82" s="79"/>
      <c r="R82" s="76"/>
      <c r="S82" s="76"/>
      <c r="T82" s="79"/>
      <c r="U82" s="79"/>
      <c r="V82" s="79"/>
      <c r="W82" s="76"/>
      <c r="X82" s="76"/>
      <c r="Y82" s="76"/>
      <c r="Z82" s="76"/>
      <c r="AA82" s="79"/>
      <c r="AB82" s="79"/>
      <c r="AC82" s="76"/>
      <c r="AD82" s="76"/>
      <c r="AE82" s="76"/>
      <c r="AF82" s="76"/>
      <c r="AG82" s="76"/>
      <c r="AH82" s="76"/>
      <c r="AI82" s="76"/>
      <c r="AJ82" s="76"/>
      <c r="AK82" s="79"/>
      <c r="AL82" s="76"/>
      <c r="AM82" s="76"/>
      <c r="AN82" s="76"/>
      <c r="AO82" s="79"/>
      <c r="AP82" s="76"/>
      <c r="AQ82" s="79"/>
      <c r="AR82" s="79"/>
      <c r="AS82" s="79"/>
      <c r="AT82" s="79"/>
      <c r="AU82" s="79"/>
      <c r="AV82" s="79"/>
      <c r="AW82" s="79"/>
      <c r="AX82" s="79"/>
      <c r="AY82" s="79"/>
      <c r="AZ82" s="79"/>
      <c r="BA82" s="79"/>
      <c r="BB82" s="79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6"/>
      <c r="BS82" s="76"/>
      <c r="BT82" s="76"/>
      <c r="BU82" s="79"/>
      <c r="BV82" s="79"/>
      <c r="BW82" s="79"/>
      <c r="BX82" s="79"/>
      <c r="BY82" s="79"/>
      <c r="BZ82" s="79"/>
      <c r="CA82" s="76"/>
      <c r="CB82" s="79"/>
      <c r="CC82" s="79"/>
      <c r="CD82" s="79"/>
      <c r="CE82" s="79"/>
      <c r="CF82" s="79"/>
      <c r="CG82" s="79"/>
      <c r="CH82" s="79"/>
      <c r="CI82" s="79"/>
      <c r="CJ82" s="201"/>
      <c r="CK82" s="202"/>
      <c r="CL82" s="202"/>
      <c r="CM82" s="202"/>
      <c r="CN82" s="202"/>
      <c r="CO82" s="202"/>
      <c r="CP82" s="202"/>
      <c r="CQ82" s="202"/>
      <c r="CR82" s="202"/>
      <c r="CS82" s="202"/>
      <c r="CT82" s="202"/>
      <c r="CU82" s="202"/>
      <c r="CV82" s="202"/>
      <c r="CW82" s="202"/>
      <c r="CX82" s="202"/>
      <c r="CY82" s="202"/>
      <c r="CZ82" s="202"/>
      <c r="DA82" s="202"/>
      <c r="DB82" s="202"/>
      <c r="DC82" s="202"/>
      <c r="DD82" s="202"/>
      <c r="DE82" s="202"/>
      <c r="DF82" s="202"/>
      <c r="DG82" s="202"/>
      <c r="DH82" s="202"/>
      <c r="DI82" s="202"/>
      <c r="DJ82" s="202"/>
      <c r="DK82" s="202"/>
      <c r="DL82" s="202"/>
      <c r="DM82" s="202"/>
      <c r="DN82" s="202"/>
      <c r="DO82" s="202"/>
      <c r="DP82" s="202"/>
      <c r="DQ82" s="202"/>
      <c r="DR82" s="202"/>
      <c r="DS82" s="202"/>
      <c r="DT82" s="202"/>
      <c r="DU82" s="202"/>
      <c r="DV82" s="202"/>
      <c r="DW82" s="202"/>
      <c r="DX82" s="202"/>
      <c r="DY82" s="202"/>
      <c r="DZ82" s="202"/>
      <c r="EA82" s="202"/>
      <c r="EB82" s="202"/>
      <c r="EC82" s="202"/>
      <c r="ED82" s="202"/>
      <c r="EE82" s="202"/>
      <c r="EF82" s="202"/>
      <c r="EG82" s="202"/>
      <c r="EH82" s="202"/>
      <c r="EI82" s="202"/>
      <c r="EJ82" s="202"/>
      <c r="EK82" s="202"/>
      <c r="EL82" s="202"/>
      <c r="EM82" s="202"/>
      <c r="EN82" s="202"/>
      <c r="EO82" s="202"/>
      <c r="EP82" s="202"/>
      <c r="EQ82" s="202"/>
      <c r="ER82" s="202"/>
      <c r="ES82" s="202"/>
      <c r="ET82" s="202"/>
      <c r="EU82" s="202"/>
      <c r="EV82" s="202"/>
      <c r="EW82" s="202"/>
      <c r="EX82" s="202"/>
      <c r="EY82" s="202"/>
      <c r="EZ82" s="202"/>
      <c r="FA82" s="202"/>
      <c r="FB82" s="202"/>
      <c r="FC82" s="202"/>
      <c r="FD82" s="202"/>
      <c r="FE82" s="202"/>
      <c r="FF82" s="202"/>
      <c r="FG82" s="202"/>
      <c r="FH82" s="202"/>
      <c r="FI82" s="202"/>
    </row>
    <row r="83" spans="1:166" s="228" customFormat="1" ht="18" customHeight="1" x14ac:dyDescent="0.2">
      <c r="A83" s="289">
        <f t="shared" si="3"/>
        <v>74</v>
      </c>
      <c r="B83" s="78"/>
      <c r="C83" s="79"/>
      <c r="D83" s="79"/>
      <c r="E83" s="98" t="s">
        <v>629</v>
      </c>
      <c r="F83" s="79"/>
      <c r="G83" s="79"/>
      <c r="H83" s="175"/>
      <c r="I83" s="142"/>
      <c r="J83" s="76"/>
      <c r="K83" s="141"/>
      <c r="L83" s="261"/>
      <c r="M83" s="79"/>
      <c r="N83" s="79"/>
      <c r="O83" s="79"/>
      <c r="P83" s="79"/>
      <c r="Q83" s="79"/>
      <c r="R83" s="79"/>
      <c r="S83" s="79"/>
      <c r="T83" s="79"/>
      <c r="U83" s="79"/>
      <c r="V83" s="79"/>
      <c r="W83" s="79"/>
      <c r="X83" s="79"/>
      <c r="Y83" s="79"/>
      <c r="Z83" s="79"/>
      <c r="AA83" s="79"/>
      <c r="AB83" s="79"/>
      <c r="AC83" s="79"/>
      <c r="AD83" s="79"/>
      <c r="AE83" s="79"/>
      <c r="AF83" s="79"/>
      <c r="AG83" s="79"/>
      <c r="AH83" s="79"/>
      <c r="AI83" s="79"/>
      <c r="AJ83" s="79"/>
      <c r="AK83" s="79"/>
      <c r="AL83" s="79"/>
      <c r="AM83" s="79"/>
      <c r="AN83" s="79"/>
      <c r="AO83" s="79"/>
      <c r="AP83" s="79"/>
      <c r="AQ83" s="79"/>
      <c r="AR83" s="79"/>
      <c r="AS83" s="79"/>
      <c r="AT83" s="79"/>
      <c r="AU83" s="79"/>
      <c r="AV83" s="79"/>
      <c r="AW83" s="79"/>
      <c r="AX83" s="79"/>
      <c r="AY83" s="79"/>
      <c r="AZ83" s="79"/>
      <c r="BA83" s="79"/>
      <c r="BB83" s="79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79"/>
      <c r="CF83" s="79"/>
      <c r="CG83" s="79"/>
      <c r="CH83" s="79"/>
      <c r="CI83" s="79"/>
      <c r="CJ83" s="201"/>
      <c r="CK83" s="202"/>
      <c r="CL83" s="202"/>
      <c r="CM83" s="202"/>
      <c r="CN83" s="202"/>
      <c r="CO83" s="202"/>
      <c r="CP83" s="202"/>
      <c r="CQ83" s="202"/>
      <c r="CR83" s="202"/>
      <c r="CS83" s="202"/>
      <c r="CT83" s="202"/>
      <c r="CU83" s="202"/>
      <c r="CV83" s="202"/>
      <c r="CW83" s="202"/>
      <c r="CX83" s="202"/>
      <c r="CY83" s="202"/>
      <c r="CZ83" s="202"/>
      <c r="DA83" s="202"/>
      <c r="DB83" s="202"/>
      <c r="DC83" s="202"/>
      <c r="DD83" s="202"/>
      <c r="DE83" s="202"/>
      <c r="DF83" s="202"/>
      <c r="DG83" s="202"/>
      <c r="DH83" s="202"/>
      <c r="DI83" s="202"/>
      <c r="DJ83" s="202"/>
      <c r="DK83" s="202"/>
      <c r="DL83" s="202"/>
      <c r="DM83" s="202"/>
      <c r="DN83" s="202"/>
      <c r="DO83" s="202"/>
      <c r="DP83" s="202"/>
      <c r="DQ83" s="202"/>
      <c r="DR83" s="202"/>
      <c r="DS83" s="202"/>
      <c r="DT83" s="202"/>
      <c r="DU83" s="202"/>
      <c r="DV83" s="202"/>
      <c r="DW83" s="202"/>
      <c r="DX83" s="202"/>
      <c r="DY83" s="202"/>
      <c r="DZ83" s="202"/>
      <c r="EA83" s="202"/>
      <c r="EB83" s="202"/>
      <c r="EC83" s="202"/>
      <c r="ED83" s="202"/>
      <c r="EE83" s="202"/>
      <c r="EF83" s="202"/>
      <c r="EG83" s="202"/>
      <c r="EH83" s="202"/>
      <c r="EI83" s="202"/>
      <c r="EJ83" s="202"/>
      <c r="EK83" s="202"/>
      <c r="EL83" s="202"/>
      <c r="EM83" s="202"/>
      <c r="EN83" s="202"/>
      <c r="EO83" s="202"/>
      <c r="EP83" s="202"/>
      <c r="EQ83" s="202"/>
      <c r="ER83" s="202"/>
      <c r="ES83" s="202"/>
      <c r="ET83" s="202"/>
      <c r="EU83" s="202"/>
      <c r="EV83" s="202"/>
      <c r="EW83" s="202"/>
      <c r="EX83" s="202"/>
      <c r="EY83" s="202"/>
      <c r="EZ83" s="202"/>
      <c r="FA83" s="202"/>
      <c r="FB83" s="202"/>
      <c r="FC83" s="202"/>
      <c r="FD83" s="202"/>
      <c r="FE83" s="202"/>
      <c r="FF83" s="202"/>
      <c r="FG83" s="202"/>
      <c r="FH83" s="202"/>
      <c r="FI83" s="202"/>
    </row>
    <row r="84" spans="1:166" s="228" customFormat="1" ht="18" customHeight="1" x14ac:dyDescent="0.25">
      <c r="A84" s="576">
        <f t="shared" si="3"/>
        <v>75</v>
      </c>
      <c r="B84" s="588">
        <v>0</v>
      </c>
      <c r="C84" s="591">
        <v>2</v>
      </c>
      <c r="D84" s="591" t="s">
        <v>977</v>
      </c>
      <c r="E84" s="595" t="s">
        <v>978</v>
      </c>
      <c r="F84" s="590" t="s">
        <v>1044</v>
      </c>
      <c r="G84" s="591" t="s">
        <v>979</v>
      </c>
      <c r="H84" s="592" t="s">
        <v>1209</v>
      </c>
      <c r="I84" s="593"/>
      <c r="J84" s="556"/>
      <c r="K84" s="594"/>
      <c r="L84" s="306"/>
      <c r="M84" s="307"/>
      <c r="N84" s="307"/>
      <c r="O84" s="307"/>
      <c r="P84" s="307"/>
      <c r="Q84" s="79"/>
      <c r="R84" s="79"/>
      <c r="S84" s="585"/>
      <c r="T84" s="585"/>
      <c r="U84" s="585"/>
      <c r="V84" s="585"/>
      <c r="W84" s="585"/>
      <c r="X84" s="585"/>
      <c r="Y84" s="585"/>
      <c r="Z84" s="585"/>
      <c r="AA84" s="585"/>
      <c r="AB84" s="585"/>
      <c r="AC84" s="585"/>
      <c r="AD84" s="585"/>
      <c r="AE84" s="585"/>
      <c r="AF84" s="585"/>
      <c r="AG84" s="585"/>
      <c r="AH84" s="585"/>
      <c r="AI84" s="585"/>
      <c r="AJ84" s="79"/>
      <c r="AK84" s="79"/>
      <c r="AL84" s="585"/>
      <c r="AM84" s="585"/>
      <c r="AN84" s="585"/>
      <c r="AO84" s="585"/>
      <c r="AP84" s="585"/>
      <c r="AQ84" s="585"/>
      <c r="AR84" s="585"/>
      <c r="AS84" s="79"/>
      <c r="AT84" s="79"/>
      <c r="AU84" s="585"/>
      <c r="AV84" s="585"/>
      <c r="AW84" s="585"/>
      <c r="AX84" s="585"/>
      <c r="AY84" s="585"/>
      <c r="AZ84" s="585"/>
      <c r="BA84" s="585"/>
      <c r="BB84" s="585"/>
      <c r="BC84" s="585"/>
      <c r="BD84" s="585"/>
      <c r="BE84" s="79"/>
      <c r="BF84" s="79"/>
      <c r="BG84" s="585"/>
      <c r="BH84" s="585"/>
      <c r="BI84" s="585"/>
      <c r="BJ84" s="585"/>
      <c r="BK84" s="585"/>
      <c r="BL84" s="585"/>
      <c r="BM84" s="585"/>
      <c r="BN84" s="585"/>
      <c r="BO84" s="585"/>
      <c r="BP84" s="585"/>
      <c r="BQ84" s="79"/>
      <c r="BR84" s="79"/>
      <c r="BS84" s="585"/>
      <c r="BT84" s="79"/>
      <c r="BU84" s="79"/>
      <c r="BV84" s="585"/>
      <c r="BW84" s="585"/>
      <c r="BX84" s="585"/>
      <c r="BY84" s="585"/>
      <c r="BZ84" s="79"/>
      <c r="CA84" s="79"/>
      <c r="CB84" s="585"/>
      <c r="CC84" s="585"/>
      <c r="CD84" s="585"/>
      <c r="CE84" s="79"/>
      <c r="CF84" s="79"/>
      <c r="CG84" s="585"/>
      <c r="CH84" s="585"/>
      <c r="CI84" s="585"/>
      <c r="CJ84" s="202"/>
      <c r="CK84" s="201"/>
      <c r="CL84" s="202"/>
      <c r="CM84" s="202"/>
      <c r="CN84" s="202"/>
      <c r="CO84" s="202"/>
      <c r="CP84" s="202"/>
      <c r="CQ84" s="202"/>
      <c r="CR84" s="202"/>
      <c r="CS84" s="202"/>
      <c r="CT84" s="202"/>
      <c r="CU84" s="202"/>
      <c r="CV84" s="202"/>
      <c r="CW84" s="202"/>
      <c r="CX84" s="202"/>
      <c r="CY84" s="202"/>
      <c r="CZ84" s="202"/>
      <c r="DA84" s="202"/>
      <c r="DB84" s="202"/>
      <c r="DC84" s="202"/>
      <c r="DD84" s="202"/>
      <c r="DE84" s="202"/>
      <c r="DF84" s="202"/>
      <c r="DG84" s="202"/>
      <c r="DH84" s="202"/>
      <c r="DI84" s="202"/>
      <c r="DJ84" s="202"/>
      <c r="DK84" s="202"/>
      <c r="DL84" s="202"/>
      <c r="DM84" s="202"/>
      <c r="DN84" s="202"/>
      <c r="DO84" s="202"/>
      <c r="DP84" s="202"/>
      <c r="DQ84" s="202"/>
      <c r="DR84" s="202"/>
      <c r="DS84" s="202"/>
      <c r="DT84" s="202"/>
      <c r="DU84" s="202"/>
      <c r="DV84" s="202"/>
      <c r="DW84" s="202"/>
      <c r="DX84" s="202"/>
      <c r="DY84" s="202"/>
      <c r="DZ84" s="202"/>
      <c r="EA84" s="202"/>
      <c r="EB84" s="202"/>
      <c r="EC84" s="202"/>
      <c r="ED84" s="202"/>
      <c r="EE84" s="202"/>
      <c r="EF84" s="202"/>
      <c r="EG84" s="202"/>
      <c r="EH84" s="202"/>
      <c r="EI84" s="202"/>
      <c r="EJ84" s="202"/>
      <c r="EK84" s="202"/>
      <c r="EL84" s="202"/>
      <c r="EM84" s="202"/>
      <c r="EN84" s="202"/>
      <c r="EO84" s="202"/>
      <c r="EP84" s="202"/>
      <c r="EQ84" s="202"/>
      <c r="ER84" s="202"/>
      <c r="ES84" s="202"/>
      <c r="ET84" s="202"/>
      <c r="EU84" s="202"/>
      <c r="EV84" s="202"/>
      <c r="EW84" s="202"/>
      <c r="EX84" s="202"/>
      <c r="EY84" s="202"/>
      <c r="EZ84" s="202"/>
      <c r="FA84" s="202"/>
      <c r="FB84" s="202"/>
      <c r="FC84" s="202"/>
      <c r="FD84" s="202"/>
      <c r="FE84" s="202"/>
      <c r="FF84" s="202"/>
      <c r="FG84" s="202"/>
      <c r="FH84" s="202"/>
      <c r="FI84" s="202"/>
      <c r="FJ84" s="202"/>
    </row>
    <row r="85" spans="1:166" s="228" customFormat="1" ht="18" customHeight="1" x14ac:dyDescent="0.25">
      <c r="A85" s="576">
        <f t="shared" si="3"/>
        <v>76</v>
      </c>
      <c r="B85" s="588">
        <v>0</v>
      </c>
      <c r="C85" s="591">
        <v>2</v>
      </c>
      <c r="D85" s="591" t="s">
        <v>299</v>
      </c>
      <c r="E85" s="595" t="s">
        <v>706</v>
      </c>
      <c r="F85" s="590" t="s">
        <v>1044</v>
      </c>
      <c r="G85" s="591" t="s">
        <v>73</v>
      </c>
      <c r="H85" s="591" t="s">
        <v>707</v>
      </c>
      <c r="I85" s="593">
        <v>4</v>
      </c>
      <c r="J85" s="556"/>
      <c r="K85" s="594">
        <v>5</v>
      </c>
      <c r="L85" s="306"/>
      <c r="M85" s="307"/>
      <c r="N85" s="307"/>
      <c r="O85" s="307" t="s">
        <v>122</v>
      </c>
      <c r="P85" s="307"/>
      <c r="Q85" s="79"/>
      <c r="R85" s="79"/>
      <c r="S85" s="585"/>
      <c r="T85" s="585"/>
      <c r="U85" s="585"/>
      <c r="V85" s="585"/>
      <c r="W85" s="585"/>
      <c r="X85" s="585"/>
      <c r="Y85" s="585"/>
      <c r="Z85" s="585"/>
      <c r="AA85" s="585"/>
      <c r="AB85" s="585"/>
      <c r="AC85" s="585"/>
      <c r="AD85" s="585"/>
      <c r="AE85" s="585"/>
      <c r="AF85" s="585"/>
      <c r="AG85" s="585"/>
      <c r="AH85" s="585"/>
      <c r="AI85" s="585"/>
      <c r="AJ85" s="79"/>
      <c r="AK85" s="79"/>
      <c r="AL85" s="585"/>
      <c r="AM85" s="585"/>
      <c r="AN85" s="585"/>
      <c r="AO85" s="585"/>
      <c r="AP85" s="585"/>
      <c r="AQ85" s="585"/>
      <c r="AR85" s="585"/>
      <c r="AS85" s="79"/>
      <c r="AT85" s="79"/>
      <c r="AU85" s="585"/>
      <c r="AV85" s="585"/>
      <c r="AW85" s="585"/>
      <c r="AX85" s="585" t="s">
        <v>120</v>
      </c>
      <c r="AY85" s="585"/>
      <c r="AZ85" s="585"/>
      <c r="BA85" s="585"/>
      <c r="BB85" s="585"/>
      <c r="BC85" s="585"/>
      <c r="BD85" s="585" t="s">
        <v>121</v>
      </c>
      <c r="BE85" s="79"/>
      <c r="BF85" s="79"/>
      <c r="BG85" s="585"/>
      <c r="BH85" s="585"/>
      <c r="BI85" s="585"/>
      <c r="BJ85" s="585"/>
      <c r="BK85" s="585"/>
      <c r="BL85" s="585"/>
      <c r="BM85" s="585"/>
      <c r="BN85" s="585"/>
      <c r="BO85" s="585"/>
      <c r="BP85" s="585"/>
      <c r="BQ85" s="79"/>
      <c r="BR85" s="79"/>
      <c r="BS85" s="585"/>
      <c r="BT85" s="79"/>
      <c r="BU85" s="79"/>
      <c r="BV85" s="585"/>
      <c r="BW85" s="585"/>
      <c r="BX85" s="585"/>
      <c r="BY85" s="585"/>
      <c r="BZ85" s="79"/>
      <c r="CA85" s="79"/>
      <c r="CB85" s="585"/>
      <c r="CC85" s="585"/>
      <c r="CD85" s="585"/>
      <c r="CE85" s="79"/>
      <c r="CF85" s="79"/>
      <c r="CG85" s="585"/>
      <c r="CH85" s="585" t="s">
        <v>40</v>
      </c>
      <c r="CI85" s="585" t="s">
        <v>40</v>
      </c>
      <c r="CJ85" s="201"/>
      <c r="CK85" s="202"/>
      <c r="CL85" s="202"/>
      <c r="CM85" s="202"/>
      <c r="CN85" s="202"/>
      <c r="CO85" s="202"/>
      <c r="CP85" s="202"/>
      <c r="CQ85" s="202"/>
      <c r="CR85" s="202"/>
      <c r="CS85" s="202"/>
      <c r="CT85" s="202"/>
      <c r="CU85" s="202"/>
      <c r="CV85" s="202"/>
      <c r="CW85" s="202"/>
      <c r="CX85" s="202"/>
      <c r="CY85" s="202"/>
      <c r="CZ85" s="202"/>
      <c r="DA85" s="202"/>
      <c r="DB85" s="202"/>
      <c r="DC85" s="202"/>
      <c r="DD85" s="202"/>
      <c r="DE85" s="202"/>
      <c r="DF85" s="202"/>
      <c r="DG85" s="202"/>
      <c r="DH85" s="202"/>
      <c r="DI85" s="202"/>
      <c r="DJ85" s="202"/>
      <c r="DK85" s="202"/>
      <c r="DL85" s="202"/>
      <c r="DM85" s="202"/>
      <c r="DN85" s="202"/>
      <c r="DO85" s="202"/>
      <c r="DP85" s="202"/>
      <c r="DQ85" s="202"/>
      <c r="DR85" s="202"/>
      <c r="DS85" s="202"/>
      <c r="DT85" s="202"/>
      <c r="DU85" s="202"/>
      <c r="DV85" s="202"/>
      <c r="DW85" s="202"/>
      <c r="DX85" s="202"/>
      <c r="DY85" s="202"/>
      <c r="DZ85" s="202"/>
      <c r="EA85" s="202"/>
      <c r="EB85" s="202"/>
      <c r="EC85" s="202"/>
      <c r="ED85" s="202"/>
      <c r="EE85" s="202"/>
      <c r="EF85" s="202"/>
      <c r="EG85" s="202"/>
      <c r="EH85" s="202"/>
      <c r="EI85" s="202"/>
      <c r="EJ85" s="202"/>
      <c r="EK85" s="202"/>
      <c r="EL85" s="202"/>
      <c r="EM85" s="202"/>
      <c r="EN85" s="202"/>
      <c r="EO85" s="202"/>
      <c r="EP85" s="202"/>
      <c r="EQ85" s="202"/>
      <c r="ER85" s="202"/>
      <c r="ES85" s="202"/>
      <c r="ET85" s="202"/>
      <c r="EU85" s="202"/>
      <c r="EV85" s="202"/>
      <c r="EW85" s="202"/>
      <c r="EX85" s="202"/>
      <c r="EY85" s="202"/>
      <c r="EZ85" s="202"/>
      <c r="FA85" s="202"/>
      <c r="FB85" s="202"/>
      <c r="FC85" s="202"/>
      <c r="FD85" s="202"/>
      <c r="FE85" s="202"/>
      <c r="FF85" s="202"/>
      <c r="FG85" s="202"/>
      <c r="FH85" s="202"/>
      <c r="FI85" s="202"/>
    </row>
    <row r="86" spans="1:166" s="228" customFormat="1" ht="18" customHeight="1" x14ac:dyDescent="0.25">
      <c r="A86" s="576">
        <f t="shared" si="3"/>
        <v>77</v>
      </c>
      <c r="B86" s="588">
        <v>0</v>
      </c>
      <c r="C86" s="591">
        <v>2</v>
      </c>
      <c r="D86" s="591" t="s">
        <v>300</v>
      </c>
      <c r="E86" s="595" t="s">
        <v>708</v>
      </c>
      <c r="F86" s="590" t="s">
        <v>1044</v>
      </c>
      <c r="G86" s="591" t="s">
        <v>74</v>
      </c>
      <c r="H86" s="592" t="s">
        <v>1208</v>
      </c>
      <c r="I86" s="593"/>
      <c r="J86" s="556"/>
      <c r="K86" s="594"/>
      <c r="L86" s="306"/>
      <c r="M86" s="307"/>
      <c r="N86" s="307"/>
      <c r="O86" s="307"/>
      <c r="P86" s="307"/>
      <c r="Q86" s="79"/>
      <c r="R86" s="79"/>
      <c r="S86" s="585"/>
      <c r="T86" s="585"/>
      <c r="U86" s="585"/>
      <c r="V86" s="585"/>
      <c r="W86" s="585"/>
      <c r="X86" s="585"/>
      <c r="Y86" s="585"/>
      <c r="Z86" s="585"/>
      <c r="AA86" s="585"/>
      <c r="AB86" s="585"/>
      <c r="AC86" s="585"/>
      <c r="AD86" s="585"/>
      <c r="AE86" s="585"/>
      <c r="AF86" s="585"/>
      <c r="AG86" s="585"/>
      <c r="AH86" s="585"/>
      <c r="AI86" s="585"/>
      <c r="AJ86" s="79"/>
      <c r="AK86" s="79"/>
      <c r="AL86" s="585"/>
      <c r="AM86" s="585"/>
      <c r="AN86" s="585"/>
      <c r="AO86" s="585"/>
      <c r="AP86" s="585"/>
      <c r="AQ86" s="585"/>
      <c r="AR86" s="585"/>
      <c r="AS86" s="79"/>
      <c r="AT86" s="79"/>
      <c r="AU86" s="585"/>
      <c r="AV86" s="585"/>
      <c r="AW86" s="585"/>
      <c r="AX86" s="585"/>
      <c r="AY86" s="585"/>
      <c r="AZ86" s="585"/>
      <c r="BA86" s="585"/>
      <c r="BB86" s="585"/>
      <c r="BC86" s="585"/>
      <c r="BD86" s="585"/>
      <c r="BE86" s="79"/>
      <c r="BF86" s="79"/>
      <c r="BG86" s="585"/>
      <c r="BH86" s="585"/>
      <c r="BI86" s="585"/>
      <c r="BJ86" s="585"/>
      <c r="BK86" s="585"/>
      <c r="BL86" s="585"/>
      <c r="BM86" s="585"/>
      <c r="BN86" s="585"/>
      <c r="BO86" s="585"/>
      <c r="BP86" s="585"/>
      <c r="BQ86" s="79"/>
      <c r="BR86" s="79"/>
      <c r="BS86" s="585"/>
      <c r="BT86" s="79"/>
      <c r="BU86" s="79"/>
      <c r="BV86" s="585"/>
      <c r="BW86" s="585"/>
      <c r="BX86" s="585"/>
      <c r="BY86" s="585"/>
      <c r="BZ86" s="79"/>
      <c r="CA86" s="79"/>
      <c r="CB86" s="585"/>
      <c r="CC86" s="585"/>
      <c r="CD86" s="585"/>
      <c r="CE86" s="79"/>
      <c r="CF86" s="79"/>
      <c r="CG86" s="585"/>
      <c r="CH86" s="585"/>
      <c r="CI86" s="585"/>
      <c r="CJ86" s="201"/>
      <c r="CK86" s="202"/>
      <c r="CL86" s="202"/>
      <c r="CM86" s="202"/>
      <c r="CN86" s="202"/>
      <c r="CO86" s="202"/>
      <c r="CP86" s="202"/>
      <c r="CQ86" s="202"/>
      <c r="CR86" s="202"/>
      <c r="CS86" s="202"/>
      <c r="CT86" s="202"/>
      <c r="CU86" s="202"/>
      <c r="CV86" s="202"/>
      <c r="CW86" s="202"/>
      <c r="CX86" s="202"/>
      <c r="CY86" s="202"/>
      <c r="CZ86" s="202"/>
      <c r="DA86" s="202"/>
      <c r="DB86" s="202"/>
      <c r="DC86" s="202"/>
      <c r="DD86" s="202"/>
      <c r="DE86" s="202"/>
      <c r="DF86" s="202"/>
      <c r="DG86" s="202"/>
      <c r="DH86" s="202"/>
      <c r="DI86" s="202"/>
      <c r="DJ86" s="202"/>
      <c r="DK86" s="202"/>
      <c r="DL86" s="202"/>
      <c r="DM86" s="202"/>
      <c r="DN86" s="202"/>
      <c r="DO86" s="202"/>
      <c r="DP86" s="202"/>
      <c r="DQ86" s="202"/>
      <c r="DR86" s="202"/>
      <c r="DS86" s="202"/>
      <c r="DT86" s="202"/>
      <c r="DU86" s="202"/>
      <c r="DV86" s="202"/>
      <c r="DW86" s="202"/>
      <c r="DX86" s="202"/>
      <c r="DY86" s="202"/>
      <c r="DZ86" s="202"/>
      <c r="EA86" s="202"/>
      <c r="EB86" s="202"/>
      <c r="EC86" s="202"/>
      <c r="ED86" s="202"/>
      <c r="EE86" s="202"/>
      <c r="EF86" s="202"/>
      <c r="EG86" s="202"/>
      <c r="EH86" s="202"/>
      <c r="EI86" s="202"/>
      <c r="EJ86" s="202"/>
      <c r="EK86" s="202"/>
      <c r="EL86" s="202"/>
      <c r="EM86" s="202"/>
      <c r="EN86" s="202"/>
      <c r="EO86" s="202"/>
      <c r="EP86" s="202"/>
      <c r="EQ86" s="202"/>
      <c r="ER86" s="202"/>
      <c r="ES86" s="202"/>
      <c r="ET86" s="202"/>
      <c r="EU86" s="202"/>
      <c r="EV86" s="202"/>
      <c r="EW86" s="202"/>
      <c r="EX86" s="202"/>
      <c r="EY86" s="202"/>
      <c r="EZ86" s="202"/>
      <c r="FA86" s="202"/>
      <c r="FB86" s="202"/>
      <c r="FC86" s="202"/>
      <c r="FD86" s="202"/>
      <c r="FE86" s="202"/>
      <c r="FF86" s="202"/>
      <c r="FG86" s="202"/>
      <c r="FH86" s="202"/>
      <c r="FI86" s="202"/>
    </row>
    <row r="87" spans="1:166" s="228" customFormat="1" ht="18" customHeight="1" x14ac:dyDescent="0.25">
      <c r="A87" s="576">
        <f t="shared" si="3"/>
        <v>78</v>
      </c>
      <c r="B87" s="588">
        <v>0</v>
      </c>
      <c r="C87" s="591">
        <v>2</v>
      </c>
      <c r="D87" s="591" t="s">
        <v>301</v>
      </c>
      <c r="E87" s="595" t="s">
        <v>709</v>
      </c>
      <c r="F87" s="590" t="s">
        <v>1044</v>
      </c>
      <c r="G87" s="591" t="s">
        <v>75</v>
      </c>
      <c r="H87" s="591" t="s">
        <v>710</v>
      </c>
      <c r="I87" s="593">
        <v>4</v>
      </c>
      <c r="J87" s="556"/>
      <c r="K87" s="594">
        <v>5</v>
      </c>
      <c r="L87" s="306"/>
      <c r="M87" s="307"/>
      <c r="N87" s="307"/>
      <c r="O87" s="307" t="s">
        <v>122</v>
      </c>
      <c r="P87" s="307"/>
      <c r="Q87" s="79"/>
      <c r="R87" s="79"/>
      <c r="S87" s="585"/>
      <c r="T87" s="585"/>
      <c r="U87" s="585"/>
      <c r="V87" s="585"/>
      <c r="W87" s="585"/>
      <c r="X87" s="585"/>
      <c r="Y87" s="585"/>
      <c r="Z87" s="585"/>
      <c r="AA87" s="585"/>
      <c r="AB87" s="585"/>
      <c r="AC87" s="585"/>
      <c r="AD87" s="585"/>
      <c r="AE87" s="585"/>
      <c r="AF87" s="585"/>
      <c r="AG87" s="585"/>
      <c r="AH87" s="585"/>
      <c r="AI87" s="585"/>
      <c r="AJ87" s="79"/>
      <c r="AK87" s="79"/>
      <c r="AL87" s="585"/>
      <c r="AM87" s="585"/>
      <c r="AN87" s="585"/>
      <c r="AO87" s="585"/>
      <c r="AP87" s="585"/>
      <c r="AQ87" s="585"/>
      <c r="AR87" s="585"/>
      <c r="AS87" s="79"/>
      <c r="AT87" s="79"/>
      <c r="AU87" s="585"/>
      <c r="AV87" s="585"/>
      <c r="AW87" s="585"/>
      <c r="AX87" s="585" t="s">
        <v>120</v>
      </c>
      <c r="AY87" s="585"/>
      <c r="AZ87" s="585"/>
      <c r="BA87" s="585"/>
      <c r="BB87" s="585"/>
      <c r="BC87" s="585"/>
      <c r="BD87" s="585" t="s">
        <v>121</v>
      </c>
      <c r="BE87" s="79"/>
      <c r="BF87" s="79"/>
      <c r="BG87" s="585"/>
      <c r="BH87" s="585"/>
      <c r="BI87" s="585"/>
      <c r="BJ87" s="585"/>
      <c r="BK87" s="585"/>
      <c r="BL87" s="585"/>
      <c r="BM87" s="585"/>
      <c r="BN87" s="585"/>
      <c r="BO87" s="585"/>
      <c r="BP87" s="585"/>
      <c r="BQ87" s="79"/>
      <c r="BR87" s="79"/>
      <c r="BS87" s="585"/>
      <c r="BT87" s="79"/>
      <c r="BU87" s="79"/>
      <c r="BV87" s="585"/>
      <c r="BW87" s="585"/>
      <c r="BX87" s="585"/>
      <c r="BY87" s="585"/>
      <c r="BZ87" s="79"/>
      <c r="CA87" s="79"/>
      <c r="CB87" s="585"/>
      <c r="CC87" s="585"/>
      <c r="CD87" s="585"/>
      <c r="CE87" s="79"/>
      <c r="CF87" s="79"/>
      <c r="CG87" s="585"/>
      <c r="CH87" s="585" t="s">
        <v>40</v>
      </c>
      <c r="CI87" s="585" t="s">
        <v>40</v>
      </c>
      <c r="CJ87" s="201"/>
      <c r="CK87" s="202"/>
      <c r="CL87" s="202"/>
      <c r="CM87" s="202"/>
      <c r="CN87" s="202"/>
      <c r="CO87" s="202"/>
      <c r="CP87" s="202"/>
      <c r="CQ87" s="202"/>
      <c r="CR87" s="202"/>
      <c r="CS87" s="202"/>
      <c r="CT87" s="202"/>
      <c r="CU87" s="202"/>
      <c r="CV87" s="202"/>
      <c r="CW87" s="202"/>
      <c r="CX87" s="202"/>
      <c r="CY87" s="202"/>
      <c r="CZ87" s="202"/>
      <c r="DA87" s="202"/>
      <c r="DB87" s="202"/>
      <c r="DC87" s="202"/>
      <c r="DD87" s="202"/>
      <c r="DE87" s="202"/>
      <c r="DF87" s="202"/>
      <c r="DG87" s="202"/>
      <c r="DH87" s="202"/>
      <c r="DI87" s="202"/>
      <c r="DJ87" s="202"/>
      <c r="DK87" s="202"/>
      <c r="DL87" s="202"/>
      <c r="DM87" s="202"/>
      <c r="DN87" s="202"/>
      <c r="DO87" s="202"/>
      <c r="DP87" s="202"/>
      <c r="DQ87" s="202"/>
      <c r="DR87" s="202"/>
      <c r="DS87" s="202"/>
      <c r="DT87" s="202"/>
      <c r="DU87" s="202"/>
      <c r="DV87" s="202"/>
      <c r="DW87" s="202"/>
      <c r="DX87" s="202"/>
      <c r="DY87" s="202"/>
      <c r="DZ87" s="202"/>
      <c r="EA87" s="202"/>
      <c r="EB87" s="202"/>
      <c r="EC87" s="202"/>
      <c r="ED87" s="202"/>
      <c r="EE87" s="202"/>
      <c r="EF87" s="202"/>
      <c r="EG87" s="202"/>
      <c r="EH87" s="202"/>
      <c r="EI87" s="202"/>
      <c r="EJ87" s="202"/>
      <c r="EK87" s="202"/>
      <c r="EL87" s="202"/>
      <c r="EM87" s="202"/>
      <c r="EN87" s="202"/>
      <c r="EO87" s="202"/>
      <c r="EP87" s="202"/>
      <c r="EQ87" s="202"/>
      <c r="ER87" s="202"/>
      <c r="ES87" s="202"/>
      <c r="ET87" s="202"/>
      <c r="EU87" s="202"/>
      <c r="EV87" s="202"/>
      <c r="EW87" s="202"/>
      <c r="EX87" s="202"/>
      <c r="EY87" s="202"/>
      <c r="EZ87" s="202"/>
      <c r="FA87" s="202"/>
      <c r="FB87" s="202"/>
      <c r="FC87" s="202"/>
      <c r="FD87" s="202"/>
      <c r="FE87" s="202"/>
      <c r="FF87" s="202"/>
      <c r="FG87" s="202"/>
      <c r="FH87" s="202"/>
      <c r="FI87" s="202"/>
    </row>
    <row r="88" spans="1:166" s="228" customFormat="1" ht="18" customHeight="1" x14ac:dyDescent="0.25">
      <c r="A88" s="576">
        <f t="shared" si="3"/>
        <v>79</v>
      </c>
      <c r="B88" s="588">
        <v>0</v>
      </c>
      <c r="C88" s="585">
        <v>2</v>
      </c>
      <c r="D88" s="585" t="s">
        <v>302</v>
      </c>
      <c r="E88" s="595" t="s">
        <v>711</v>
      </c>
      <c r="F88" s="567" t="s">
        <v>1104</v>
      </c>
      <c r="G88" s="585" t="s">
        <v>76</v>
      </c>
      <c r="H88" s="603" t="s">
        <v>805</v>
      </c>
      <c r="I88" s="605">
        <v>9</v>
      </c>
      <c r="J88" s="556"/>
      <c r="K88" s="594"/>
      <c r="L88" s="306"/>
      <c r="M88" s="307"/>
      <c r="N88" s="307"/>
      <c r="O88" s="307"/>
      <c r="P88" s="307"/>
      <c r="Q88" s="79"/>
      <c r="R88" s="79"/>
      <c r="S88" s="585"/>
      <c r="T88" s="585"/>
      <c r="U88" s="585"/>
      <c r="V88" s="585"/>
      <c r="W88" s="585"/>
      <c r="X88" s="585"/>
      <c r="Y88" s="585"/>
      <c r="Z88" s="585"/>
      <c r="AA88" s="585"/>
      <c r="AB88" s="585"/>
      <c r="AC88" s="585"/>
      <c r="AD88" s="585"/>
      <c r="AE88" s="585"/>
      <c r="AF88" s="585"/>
      <c r="AG88" s="585"/>
      <c r="AH88" s="585"/>
      <c r="AI88" s="585"/>
      <c r="AJ88" s="79"/>
      <c r="AK88" s="79"/>
      <c r="AL88" s="585"/>
      <c r="AM88" s="585"/>
      <c r="AN88" s="585"/>
      <c r="AO88" s="585"/>
      <c r="AP88" s="585"/>
      <c r="AQ88" s="585"/>
      <c r="AR88" s="585"/>
      <c r="AS88" s="79"/>
      <c r="AT88" s="79"/>
      <c r="AU88" s="585"/>
      <c r="AV88" s="585"/>
      <c r="AW88" s="585"/>
      <c r="AX88" s="585"/>
      <c r="AY88" s="585"/>
      <c r="AZ88" s="585"/>
      <c r="BA88" s="585"/>
      <c r="BB88" s="585"/>
      <c r="BC88" s="585"/>
      <c r="BD88" s="585"/>
      <c r="BE88" s="79"/>
      <c r="BF88" s="79"/>
      <c r="BG88" s="585"/>
      <c r="BH88" s="585"/>
      <c r="BI88" s="585"/>
      <c r="BJ88" s="585"/>
      <c r="BK88" s="585"/>
      <c r="BL88" s="585"/>
      <c r="BM88" s="585"/>
      <c r="BN88" s="585"/>
      <c r="BO88" s="585"/>
      <c r="BP88" s="585"/>
      <c r="BQ88" s="79"/>
      <c r="BR88" s="79"/>
      <c r="BS88" s="585"/>
      <c r="BT88" s="79"/>
      <c r="BU88" s="79"/>
      <c r="BV88" s="585"/>
      <c r="BW88" s="585"/>
      <c r="BX88" s="585"/>
      <c r="BY88" s="585"/>
      <c r="BZ88" s="79"/>
      <c r="CA88" s="79"/>
      <c r="CB88" s="585"/>
      <c r="CC88" s="585"/>
      <c r="CD88" s="585"/>
      <c r="CE88" s="79"/>
      <c r="CF88" s="79"/>
      <c r="CG88" s="585"/>
      <c r="CH88" s="585" t="s">
        <v>40</v>
      </c>
      <c r="CI88" s="585" t="s">
        <v>40</v>
      </c>
      <c r="CJ88" s="201"/>
      <c r="CK88" s="202"/>
      <c r="CL88" s="202"/>
      <c r="CM88" s="202"/>
      <c r="CN88" s="202"/>
      <c r="CO88" s="202"/>
      <c r="CP88" s="202"/>
      <c r="CQ88" s="202"/>
      <c r="CR88" s="202"/>
      <c r="CS88" s="202"/>
      <c r="CT88" s="202"/>
      <c r="CU88" s="202"/>
      <c r="CV88" s="202"/>
      <c r="CW88" s="202"/>
      <c r="CX88" s="202"/>
      <c r="CY88" s="202"/>
      <c r="CZ88" s="202"/>
      <c r="DA88" s="202"/>
      <c r="DB88" s="202"/>
      <c r="DC88" s="202"/>
      <c r="DD88" s="202"/>
      <c r="DE88" s="202"/>
      <c r="DF88" s="202"/>
      <c r="DG88" s="202"/>
      <c r="DH88" s="202"/>
      <c r="DI88" s="202"/>
      <c r="DJ88" s="202"/>
      <c r="DK88" s="202"/>
      <c r="DL88" s="202"/>
      <c r="DM88" s="202"/>
      <c r="DN88" s="202"/>
      <c r="DO88" s="202"/>
      <c r="DP88" s="202"/>
      <c r="DQ88" s="202"/>
      <c r="DR88" s="202"/>
      <c r="DS88" s="202"/>
      <c r="DT88" s="202"/>
      <c r="DU88" s="202"/>
      <c r="DV88" s="202"/>
      <c r="DW88" s="202"/>
      <c r="DX88" s="202"/>
      <c r="DY88" s="202"/>
      <c r="DZ88" s="202"/>
      <c r="EA88" s="202"/>
      <c r="EB88" s="202"/>
      <c r="EC88" s="202"/>
      <c r="ED88" s="202"/>
      <c r="EE88" s="202"/>
      <c r="EF88" s="202"/>
      <c r="EG88" s="202"/>
      <c r="EH88" s="202"/>
      <c r="EI88" s="202"/>
      <c r="EJ88" s="202"/>
      <c r="EK88" s="202"/>
      <c r="EL88" s="202"/>
      <c r="EM88" s="202"/>
      <c r="EN88" s="202"/>
      <c r="EO88" s="202"/>
      <c r="EP88" s="202"/>
      <c r="EQ88" s="202"/>
      <c r="ER88" s="202"/>
      <c r="ES88" s="202"/>
      <c r="ET88" s="202"/>
      <c r="EU88" s="202"/>
      <c r="EV88" s="202"/>
      <c r="EW88" s="202"/>
      <c r="EX88" s="202"/>
      <c r="EY88" s="202"/>
      <c r="EZ88" s="202"/>
      <c r="FA88" s="202"/>
      <c r="FB88" s="202"/>
      <c r="FC88" s="202"/>
      <c r="FD88" s="202"/>
      <c r="FE88" s="202"/>
      <c r="FF88" s="202"/>
      <c r="FG88" s="202"/>
      <c r="FH88" s="202"/>
      <c r="FI88" s="202"/>
    </row>
    <row r="89" spans="1:166" s="228" customFormat="1" ht="18" customHeight="1" x14ac:dyDescent="0.25">
      <c r="A89" s="576">
        <f t="shared" si="3"/>
        <v>80</v>
      </c>
      <c r="B89" s="588">
        <v>0</v>
      </c>
      <c r="C89" s="585">
        <v>2</v>
      </c>
      <c r="D89" s="585" t="s">
        <v>302</v>
      </c>
      <c r="E89" s="595" t="s">
        <v>712</v>
      </c>
      <c r="F89" s="567" t="s">
        <v>1103</v>
      </c>
      <c r="G89" s="585" t="s">
        <v>76</v>
      </c>
      <c r="H89" s="603" t="s">
        <v>806</v>
      </c>
      <c r="I89" s="593">
        <v>4</v>
      </c>
      <c r="J89" s="556"/>
      <c r="K89" s="594"/>
      <c r="L89" s="306"/>
      <c r="M89" s="307"/>
      <c r="N89" s="307"/>
      <c r="O89" s="307" t="s">
        <v>122</v>
      </c>
      <c r="P89" s="307"/>
      <c r="Q89" s="79"/>
      <c r="R89" s="79"/>
      <c r="S89" s="585"/>
      <c r="T89" s="585"/>
      <c r="U89" s="585"/>
      <c r="V89" s="585"/>
      <c r="W89" s="585"/>
      <c r="X89" s="585"/>
      <c r="Y89" s="585"/>
      <c r="Z89" s="585"/>
      <c r="AA89" s="585"/>
      <c r="AB89" s="585"/>
      <c r="AC89" s="585"/>
      <c r="AD89" s="585"/>
      <c r="AE89" s="585"/>
      <c r="AF89" s="585"/>
      <c r="AG89" s="585"/>
      <c r="AH89" s="585"/>
      <c r="AI89" s="585"/>
      <c r="AJ89" s="79"/>
      <c r="AK89" s="79"/>
      <c r="AL89" s="585"/>
      <c r="AM89" s="585"/>
      <c r="AN89" s="585"/>
      <c r="AO89" s="585"/>
      <c r="AP89" s="585"/>
      <c r="AQ89" s="585"/>
      <c r="AR89" s="585"/>
      <c r="AS89" s="79"/>
      <c r="AT89" s="79"/>
      <c r="AU89" s="585"/>
      <c r="AV89" s="585"/>
      <c r="AW89" s="585"/>
      <c r="AX89" s="585" t="s">
        <v>120</v>
      </c>
      <c r="AY89" s="585"/>
      <c r="AZ89" s="585"/>
      <c r="BA89" s="585"/>
      <c r="BB89" s="585"/>
      <c r="BC89" s="585"/>
      <c r="BD89" s="585" t="s">
        <v>121</v>
      </c>
      <c r="BE89" s="79"/>
      <c r="BF89" s="79"/>
      <c r="BG89" s="585"/>
      <c r="BH89" s="585"/>
      <c r="BI89" s="585"/>
      <c r="BJ89" s="585"/>
      <c r="BK89" s="585"/>
      <c r="BL89" s="585"/>
      <c r="BM89" s="585"/>
      <c r="BN89" s="585"/>
      <c r="BO89" s="585"/>
      <c r="BP89" s="585"/>
      <c r="BQ89" s="79"/>
      <c r="BR89" s="79"/>
      <c r="BS89" s="585"/>
      <c r="BT89" s="79"/>
      <c r="BU89" s="79"/>
      <c r="BV89" s="585"/>
      <c r="BW89" s="585"/>
      <c r="BX89" s="585"/>
      <c r="BY89" s="585"/>
      <c r="BZ89" s="79"/>
      <c r="CA89" s="79"/>
      <c r="CB89" s="585"/>
      <c r="CC89" s="585"/>
      <c r="CD89" s="585"/>
      <c r="CE89" s="79"/>
      <c r="CF89" s="79"/>
      <c r="CG89" s="585"/>
      <c r="CH89" s="585" t="s">
        <v>40</v>
      </c>
      <c r="CI89" s="585" t="s">
        <v>40</v>
      </c>
      <c r="CJ89" s="201"/>
      <c r="CK89" s="202"/>
      <c r="CL89" s="202"/>
      <c r="CM89" s="202"/>
      <c r="CN89" s="202"/>
      <c r="CO89" s="202"/>
      <c r="CP89" s="202"/>
      <c r="CQ89" s="202"/>
      <c r="CR89" s="202"/>
      <c r="CS89" s="202"/>
      <c r="CT89" s="202"/>
      <c r="CU89" s="202"/>
      <c r="CV89" s="202"/>
      <c r="CW89" s="202"/>
      <c r="CX89" s="202"/>
      <c r="CY89" s="202"/>
      <c r="CZ89" s="202"/>
      <c r="DA89" s="202"/>
      <c r="DB89" s="202"/>
      <c r="DC89" s="202"/>
      <c r="DD89" s="202"/>
      <c r="DE89" s="202"/>
      <c r="DF89" s="202"/>
      <c r="DG89" s="202"/>
      <c r="DH89" s="202"/>
      <c r="DI89" s="202"/>
      <c r="DJ89" s="202"/>
      <c r="DK89" s="202"/>
      <c r="DL89" s="202"/>
      <c r="DM89" s="202"/>
      <c r="DN89" s="202"/>
      <c r="DO89" s="202"/>
      <c r="DP89" s="202"/>
      <c r="DQ89" s="202"/>
      <c r="DR89" s="202"/>
      <c r="DS89" s="202"/>
      <c r="DT89" s="202"/>
      <c r="DU89" s="202"/>
      <c r="DV89" s="202"/>
      <c r="DW89" s="202"/>
      <c r="DX89" s="202"/>
      <c r="DY89" s="202"/>
      <c r="DZ89" s="202"/>
      <c r="EA89" s="202"/>
      <c r="EB89" s="202"/>
      <c r="EC89" s="202"/>
      <c r="ED89" s="202"/>
      <c r="EE89" s="202"/>
      <c r="EF89" s="202"/>
      <c r="EG89" s="202"/>
      <c r="EH89" s="202"/>
      <c r="EI89" s="202"/>
      <c r="EJ89" s="202"/>
      <c r="EK89" s="202"/>
      <c r="EL89" s="202"/>
      <c r="EM89" s="202"/>
      <c r="EN89" s="202"/>
      <c r="EO89" s="202"/>
      <c r="EP89" s="202"/>
      <c r="EQ89" s="202"/>
      <c r="ER89" s="202"/>
      <c r="ES89" s="202"/>
      <c r="ET89" s="202"/>
      <c r="EU89" s="202"/>
      <c r="EV89" s="202"/>
      <c r="EW89" s="202"/>
      <c r="EX89" s="202"/>
      <c r="EY89" s="202"/>
      <c r="EZ89" s="202"/>
      <c r="FA89" s="202"/>
      <c r="FB89" s="202"/>
      <c r="FC89" s="202"/>
      <c r="FD89" s="202"/>
      <c r="FE89" s="202"/>
      <c r="FF89" s="202"/>
      <c r="FG89" s="202"/>
      <c r="FH89" s="202"/>
      <c r="FI89" s="202"/>
    </row>
    <row r="90" spans="1:166" s="228" customFormat="1" ht="18" customHeight="1" x14ac:dyDescent="0.25">
      <c r="A90" s="576">
        <f t="shared" si="3"/>
        <v>81</v>
      </c>
      <c r="B90" s="588">
        <v>0</v>
      </c>
      <c r="C90" s="585">
        <v>2</v>
      </c>
      <c r="D90" s="585" t="s">
        <v>303</v>
      </c>
      <c r="E90" s="595" t="s">
        <v>715</v>
      </c>
      <c r="F90" s="567" t="s">
        <v>716</v>
      </c>
      <c r="G90" s="585" t="s">
        <v>77</v>
      </c>
      <c r="H90" s="603" t="s">
        <v>807</v>
      </c>
      <c r="I90" s="593">
        <v>4</v>
      </c>
      <c r="J90" s="556"/>
      <c r="K90" s="594"/>
      <c r="L90" s="306"/>
      <c r="M90" s="307"/>
      <c r="N90" s="307"/>
      <c r="O90" s="307" t="s">
        <v>122</v>
      </c>
      <c r="P90" s="307"/>
      <c r="Q90" s="79"/>
      <c r="R90" s="79"/>
      <c r="S90" s="585"/>
      <c r="T90" s="585"/>
      <c r="U90" s="585"/>
      <c r="V90" s="585"/>
      <c r="W90" s="585"/>
      <c r="X90" s="585"/>
      <c r="Y90" s="585"/>
      <c r="Z90" s="585"/>
      <c r="AA90" s="585"/>
      <c r="AB90" s="585"/>
      <c r="AC90" s="585"/>
      <c r="AD90" s="585"/>
      <c r="AE90" s="585"/>
      <c r="AF90" s="585"/>
      <c r="AG90" s="585"/>
      <c r="AH90" s="585"/>
      <c r="AI90" s="585"/>
      <c r="AJ90" s="79"/>
      <c r="AK90" s="79"/>
      <c r="AL90" s="585"/>
      <c r="AM90" s="585"/>
      <c r="AN90" s="585"/>
      <c r="AO90" s="585"/>
      <c r="AP90" s="585"/>
      <c r="AQ90" s="585"/>
      <c r="AR90" s="585"/>
      <c r="AS90" s="79"/>
      <c r="AT90" s="79"/>
      <c r="AU90" s="585"/>
      <c r="AV90" s="585"/>
      <c r="AW90" s="585"/>
      <c r="AX90" s="585" t="s">
        <v>120</v>
      </c>
      <c r="AY90" s="585"/>
      <c r="AZ90" s="585"/>
      <c r="BA90" s="585"/>
      <c r="BB90" s="585"/>
      <c r="BC90" s="585"/>
      <c r="BD90" s="585" t="s">
        <v>121</v>
      </c>
      <c r="BE90" s="79"/>
      <c r="BF90" s="79"/>
      <c r="BG90" s="585"/>
      <c r="BH90" s="585"/>
      <c r="BI90" s="585"/>
      <c r="BJ90" s="585"/>
      <c r="BK90" s="585"/>
      <c r="BL90" s="585"/>
      <c r="BM90" s="585"/>
      <c r="BN90" s="585"/>
      <c r="BO90" s="585"/>
      <c r="BP90" s="585"/>
      <c r="BQ90" s="79"/>
      <c r="BR90" s="79"/>
      <c r="BS90" s="585"/>
      <c r="BT90" s="79"/>
      <c r="BU90" s="79"/>
      <c r="BV90" s="585"/>
      <c r="BW90" s="585"/>
      <c r="BX90" s="585"/>
      <c r="BY90" s="585"/>
      <c r="BZ90" s="79"/>
      <c r="CA90" s="79"/>
      <c r="CB90" s="585"/>
      <c r="CC90" s="585"/>
      <c r="CD90" s="585"/>
      <c r="CE90" s="79"/>
      <c r="CF90" s="79"/>
      <c r="CG90" s="585"/>
      <c r="CH90" s="585" t="s">
        <v>40</v>
      </c>
      <c r="CI90" s="585" t="s">
        <v>40</v>
      </c>
      <c r="CJ90" s="201"/>
      <c r="CK90" s="202"/>
      <c r="CL90" s="202"/>
      <c r="CM90" s="202"/>
      <c r="CN90" s="202"/>
      <c r="CO90" s="202"/>
      <c r="CP90" s="202"/>
      <c r="CQ90" s="202"/>
      <c r="CR90" s="202"/>
      <c r="CS90" s="202"/>
      <c r="CT90" s="202"/>
      <c r="CU90" s="202"/>
      <c r="CV90" s="202"/>
      <c r="CW90" s="202"/>
      <c r="CX90" s="202"/>
      <c r="CY90" s="202"/>
      <c r="CZ90" s="202"/>
      <c r="DA90" s="202"/>
      <c r="DB90" s="202"/>
      <c r="DC90" s="202"/>
      <c r="DD90" s="202"/>
      <c r="DE90" s="202"/>
      <c r="DF90" s="202"/>
      <c r="DG90" s="202"/>
      <c r="DH90" s="202"/>
      <c r="DI90" s="202"/>
      <c r="DJ90" s="202"/>
      <c r="DK90" s="202"/>
      <c r="DL90" s="202"/>
      <c r="DM90" s="202"/>
      <c r="DN90" s="202"/>
      <c r="DO90" s="202"/>
      <c r="DP90" s="202"/>
      <c r="DQ90" s="202"/>
      <c r="DR90" s="202"/>
      <c r="DS90" s="202"/>
      <c r="DT90" s="202"/>
      <c r="DU90" s="202"/>
      <c r="DV90" s="202"/>
      <c r="DW90" s="202"/>
      <c r="DX90" s="202"/>
      <c r="DY90" s="202"/>
      <c r="DZ90" s="202"/>
      <c r="EA90" s="202"/>
      <c r="EB90" s="202"/>
      <c r="EC90" s="202"/>
      <c r="ED90" s="202"/>
      <c r="EE90" s="202"/>
      <c r="EF90" s="202"/>
      <c r="EG90" s="202"/>
      <c r="EH90" s="202"/>
      <c r="EI90" s="202"/>
      <c r="EJ90" s="202"/>
      <c r="EK90" s="202"/>
      <c r="EL90" s="202"/>
      <c r="EM90" s="202"/>
      <c r="EN90" s="202"/>
      <c r="EO90" s="202"/>
      <c r="EP90" s="202"/>
      <c r="EQ90" s="202"/>
      <c r="ER90" s="202"/>
      <c r="ES90" s="202"/>
      <c r="ET90" s="202"/>
      <c r="EU90" s="202"/>
      <c r="EV90" s="202"/>
      <c r="EW90" s="202"/>
      <c r="EX90" s="202"/>
      <c r="EY90" s="202"/>
      <c r="EZ90" s="202"/>
      <c r="FA90" s="202"/>
      <c r="FB90" s="202"/>
      <c r="FC90" s="202"/>
      <c r="FD90" s="202"/>
      <c r="FE90" s="202"/>
      <c r="FF90" s="202"/>
      <c r="FG90" s="202"/>
      <c r="FH90" s="202"/>
      <c r="FI90" s="202"/>
    </row>
    <row r="91" spans="1:166" s="228" customFormat="1" ht="18" customHeight="1" x14ac:dyDescent="0.25">
      <c r="A91" s="576">
        <f t="shared" si="3"/>
        <v>82</v>
      </c>
      <c r="B91" s="588">
        <v>0</v>
      </c>
      <c r="C91" s="585">
        <v>2</v>
      </c>
      <c r="D91" s="585" t="s">
        <v>303</v>
      </c>
      <c r="E91" s="595" t="s">
        <v>717</v>
      </c>
      <c r="F91" s="567" t="s">
        <v>718</v>
      </c>
      <c r="G91" s="585" t="s">
        <v>77</v>
      </c>
      <c r="H91" s="603" t="s">
        <v>808</v>
      </c>
      <c r="I91" s="605">
        <v>9</v>
      </c>
      <c r="J91" s="556"/>
      <c r="K91" s="594"/>
      <c r="L91" s="306"/>
      <c r="M91" s="307"/>
      <c r="N91" s="307"/>
      <c r="O91" s="307"/>
      <c r="P91" s="307"/>
      <c r="Q91" s="79"/>
      <c r="R91" s="79"/>
      <c r="S91" s="585"/>
      <c r="T91" s="585"/>
      <c r="U91" s="585"/>
      <c r="V91" s="585"/>
      <c r="W91" s="585"/>
      <c r="X91" s="585"/>
      <c r="Y91" s="585"/>
      <c r="Z91" s="585"/>
      <c r="AA91" s="585"/>
      <c r="AB91" s="585"/>
      <c r="AC91" s="585"/>
      <c r="AD91" s="585"/>
      <c r="AE91" s="585"/>
      <c r="AF91" s="585"/>
      <c r="AG91" s="585"/>
      <c r="AH91" s="585"/>
      <c r="AI91" s="585"/>
      <c r="AJ91" s="79"/>
      <c r="AK91" s="79"/>
      <c r="AL91" s="585"/>
      <c r="AM91" s="585"/>
      <c r="AN91" s="585"/>
      <c r="AO91" s="585"/>
      <c r="AP91" s="585"/>
      <c r="AQ91" s="585"/>
      <c r="AR91" s="585"/>
      <c r="AS91" s="79"/>
      <c r="AT91" s="79"/>
      <c r="AU91" s="585"/>
      <c r="AV91" s="585"/>
      <c r="AW91" s="585"/>
      <c r="AX91" s="585"/>
      <c r="AY91" s="585"/>
      <c r="AZ91" s="585"/>
      <c r="BA91" s="585"/>
      <c r="BB91" s="585"/>
      <c r="BC91" s="585"/>
      <c r="BD91" s="585"/>
      <c r="BE91" s="79"/>
      <c r="BF91" s="79"/>
      <c r="BG91" s="585"/>
      <c r="BH91" s="585"/>
      <c r="BI91" s="585"/>
      <c r="BJ91" s="585"/>
      <c r="BK91" s="585"/>
      <c r="BL91" s="585"/>
      <c r="BM91" s="585"/>
      <c r="BN91" s="585"/>
      <c r="BO91" s="585"/>
      <c r="BP91" s="585"/>
      <c r="BQ91" s="79"/>
      <c r="BR91" s="79"/>
      <c r="BS91" s="585"/>
      <c r="BT91" s="79"/>
      <c r="BU91" s="79"/>
      <c r="BV91" s="585"/>
      <c r="BW91" s="585"/>
      <c r="BX91" s="585"/>
      <c r="BY91" s="585"/>
      <c r="BZ91" s="79"/>
      <c r="CA91" s="79"/>
      <c r="CB91" s="585"/>
      <c r="CC91" s="585"/>
      <c r="CD91" s="585"/>
      <c r="CE91" s="79"/>
      <c r="CF91" s="79"/>
      <c r="CG91" s="585"/>
      <c r="CH91" s="585" t="s">
        <v>40</v>
      </c>
      <c r="CI91" s="585" t="s">
        <v>40</v>
      </c>
      <c r="CJ91" s="201"/>
      <c r="CK91" s="202"/>
      <c r="CL91" s="202"/>
      <c r="CM91" s="202"/>
      <c r="CN91" s="202"/>
      <c r="CO91" s="202"/>
      <c r="CP91" s="202"/>
      <c r="CQ91" s="202"/>
      <c r="CR91" s="202"/>
      <c r="CS91" s="202"/>
      <c r="CT91" s="202"/>
      <c r="CU91" s="202"/>
      <c r="CV91" s="202"/>
      <c r="CW91" s="202"/>
      <c r="CX91" s="202"/>
      <c r="CY91" s="202"/>
      <c r="CZ91" s="202"/>
      <c r="DA91" s="202"/>
      <c r="DB91" s="202"/>
      <c r="DC91" s="202"/>
      <c r="DD91" s="202"/>
      <c r="DE91" s="202"/>
      <c r="DF91" s="202"/>
      <c r="DG91" s="202"/>
      <c r="DH91" s="202"/>
      <c r="DI91" s="202"/>
      <c r="DJ91" s="202"/>
      <c r="DK91" s="202"/>
      <c r="DL91" s="202"/>
      <c r="DM91" s="202"/>
      <c r="DN91" s="202"/>
      <c r="DO91" s="202"/>
      <c r="DP91" s="202"/>
      <c r="DQ91" s="202"/>
      <c r="DR91" s="202"/>
      <c r="DS91" s="202"/>
      <c r="DT91" s="202"/>
      <c r="DU91" s="202"/>
      <c r="DV91" s="202"/>
      <c r="DW91" s="202"/>
      <c r="DX91" s="202"/>
      <c r="DY91" s="202"/>
      <c r="DZ91" s="202"/>
      <c r="EA91" s="202"/>
      <c r="EB91" s="202"/>
      <c r="EC91" s="202"/>
      <c r="ED91" s="202"/>
      <c r="EE91" s="202"/>
      <c r="EF91" s="202"/>
      <c r="EG91" s="202"/>
      <c r="EH91" s="202"/>
      <c r="EI91" s="202"/>
      <c r="EJ91" s="202"/>
      <c r="EK91" s="202"/>
      <c r="EL91" s="202"/>
      <c r="EM91" s="202"/>
      <c r="EN91" s="202"/>
      <c r="EO91" s="202"/>
      <c r="EP91" s="202"/>
      <c r="EQ91" s="202"/>
      <c r="ER91" s="202"/>
      <c r="ES91" s="202"/>
      <c r="ET91" s="202"/>
      <c r="EU91" s="202"/>
      <c r="EV91" s="202"/>
      <c r="EW91" s="202"/>
      <c r="EX91" s="202"/>
      <c r="EY91" s="202"/>
      <c r="EZ91" s="202"/>
      <c r="FA91" s="202"/>
      <c r="FB91" s="202"/>
      <c r="FC91" s="202"/>
      <c r="FD91" s="202"/>
      <c r="FE91" s="202"/>
      <c r="FF91" s="202"/>
      <c r="FG91" s="202"/>
      <c r="FH91" s="202"/>
      <c r="FI91" s="202"/>
    </row>
    <row r="92" spans="1:166" s="228" customFormat="1" ht="18" customHeight="1" x14ac:dyDescent="0.25">
      <c r="A92" s="576">
        <f t="shared" si="3"/>
        <v>83</v>
      </c>
      <c r="B92" s="588">
        <v>0</v>
      </c>
      <c r="C92" s="585">
        <v>4</v>
      </c>
      <c r="D92" s="585" t="s">
        <v>304</v>
      </c>
      <c r="E92" s="589" t="s">
        <v>719</v>
      </c>
      <c r="F92" s="567" t="s">
        <v>1105</v>
      </c>
      <c r="G92" s="585" t="s">
        <v>78</v>
      </c>
      <c r="H92" s="603" t="s">
        <v>809</v>
      </c>
      <c r="I92" s="593">
        <v>4</v>
      </c>
      <c r="J92" s="556"/>
      <c r="K92" s="594"/>
      <c r="L92" s="306"/>
      <c r="M92" s="307"/>
      <c r="N92" s="307"/>
      <c r="O92" s="307" t="s">
        <v>122</v>
      </c>
      <c r="P92" s="307"/>
      <c r="Q92" s="79"/>
      <c r="R92" s="76"/>
      <c r="S92" s="585"/>
      <c r="T92" s="556"/>
      <c r="U92" s="556"/>
      <c r="V92" s="556"/>
      <c r="W92" s="585"/>
      <c r="X92" s="585"/>
      <c r="Y92" s="585"/>
      <c r="Z92" s="585"/>
      <c r="AA92" s="556"/>
      <c r="AB92" s="556"/>
      <c r="AC92" s="585"/>
      <c r="AD92" s="585"/>
      <c r="AE92" s="556"/>
      <c r="AF92" s="556"/>
      <c r="AG92" s="556"/>
      <c r="AH92" s="585"/>
      <c r="AI92" s="585"/>
      <c r="AJ92" s="76"/>
      <c r="AK92" s="76"/>
      <c r="AL92" s="556"/>
      <c r="AM92" s="556"/>
      <c r="AN92" s="556"/>
      <c r="AO92" s="556"/>
      <c r="AP92" s="556"/>
      <c r="AQ92" s="556"/>
      <c r="AR92" s="556"/>
      <c r="AS92" s="76"/>
      <c r="AT92" s="76"/>
      <c r="AU92" s="556"/>
      <c r="AV92" s="556"/>
      <c r="AW92" s="556"/>
      <c r="AX92" s="585" t="s">
        <v>120</v>
      </c>
      <c r="AY92" s="585"/>
      <c r="AZ92" s="585"/>
      <c r="BA92" s="585"/>
      <c r="BB92" s="585"/>
      <c r="BC92" s="556"/>
      <c r="BD92" s="585" t="s">
        <v>121</v>
      </c>
      <c r="BE92" s="76"/>
      <c r="BF92" s="76"/>
      <c r="BG92" s="556"/>
      <c r="BH92" s="556"/>
      <c r="BI92" s="556"/>
      <c r="BJ92" s="556"/>
      <c r="BK92" s="585"/>
      <c r="BL92" s="556"/>
      <c r="BM92" s="556"/>
      <c r="BN92" s="556"/>
      <c r="BO92" s="556"/>
      <c r="BP92" s="556"/>
      <c r="BQ92" s="76"/>
      <c r="BR92" s="76"/>
      <c r="BS92" s="556"/>
      <c r="BT92" s="76"/>
      <c r="BU92" s="76"/>
      <c r="BV92" s="556"/>
      <c r="BW92" s="556"/>
      <c r="BX92" s="556"/>
      <c r="BY92" s="556"/>
      <c r="BZ92" s="76"/>
      <c r="CA92" s="76"/>
      <c r="CB92" s="556"/>
      <c r="CC92" s="556"/>
      <c r="CD92" s="556"/>
      <c r="CE92" s="76"/>
      <c r="CF92" s="79"/>
      <c r="CG92" s="556"/>
      <c r="CH92" s="585" t="s">
        <v>40</v>
      </c>
      <c r="CI92" s="585" t="s">
        <v>40</v>
      </c>
      <c r="CJ92" s="201"/>
      <c r="CK92" s="202"/>
      <c r="CL92" s="202"/>
      <c r="CM92" s="202"/>
      <c r="CN92" s="202"/>
      <c r="CO92" s="202"/>
      <c r="CP92" s="202"/>
      <c r="CQ92" s="202"/>
      <c r="CR92" s="202"/>
      <c r="CS92" s="202"/>
      <c r="CT92" s="202"/>
      <c r="CU92" s="202"/>
      <c r="CV92" s="202"/>
      <c r="CW92" s="202"/>
      <c r="CX92" s="202"/>
      <c r="CY92" s="202"/>
      <c r="CZ92" s="202"/>
      <c r="DA92" s="202"/>
      <c r="DB92" s="202"/>
      <c r="DC92" s="202"/>
      <c r="DD92" s="202"/>
      <c r="DE92" s="202"/>
      <c r="DF92" s="202"/>
      <c r="DG92" s="202"/>
      <c r="DH92" s="202"/>
      <c r="DI92" s="202"/>
      <c r="DJ92" s="202"/>
      <c r="DK92" s="202"/>
      <c r="DL92" s="202"/>
      <c r="DM92" s="202"/>
      <c r="DN92" s="202"/>
      <c r="DO92" s="202"/>
      <c r="DP92" s="202"/>
      <c r="DQ92" s="202"/>
      <c r="DR92" s="202"/>
      <c r="DS92" s="202"/>
      <c r="DT92" s="202"/>
      <c r="DU92" s="202"/>
      <c r="DV92" s="202"/>
      <c r="DW92" s="202"/>
      <c r="DX92" s="202"/>
      <c r="DY92" s="202"/>
      <c r="DZ92" s="202"/>
      <c r="EA92" s="202"/>
      <c r="EB92" s="202"/>
      <c r="EC92" s="202"/>
      <c r="ED92" s="202"/>
      <c r="EE92" s="202"/>
      <c r="EF92" s="202"/>
      <c r="EG92" s="202"/>
      <c r="EH92" s="202"/>
      <c r="EI92" s="202"/>
      <c r="EJ92" s="202"/>
      <c r="EK92" s="202"/>
      <c r="EL92" s="202"/>
      <c r="EM92" s="202"/>
      <c r="EN92" s="202"/>
      <c r="EO92" s="202"/>
      <c r="EP92" s="202"/>
      <c r="EQ92" s="202"/>
      <c r="ER92" s="202"/>
      <c r="ES92" s="202"/>
      <c r="ET92" s="202"/>
      <c r="EU92" s="202"/>
      <c r="EV92" s="202"/>
      <c r="EW92" s="202"/>
      <c r="EX92" s="202"/>
      <c r="EY92" s="202"/>
      <c r="EZ92" s="202"/>
      <c r="FA92" s="202"/>
      <c r="FB92" s="202"/>
      <c r="FC92" s="202"/>
      <c r="FD92" s="202"/>
      <c r="FE92" s="202"/>
      <c r="FF92" s="202"/>
      <c r="FG92" s="202"/>
      <c r="FH92" s="202"/>
      <c r="FI92" s="202"/>
    </row>
    <row r="93" spans="1:166" s="228" customFormat="1" ht="18" customHeight="1" x14ac:dyDescent="0.25">
      <c r="A93" s="576">
        <f t="shared" si="3"/>
        <v>84</v>
      </c>
      <c r="B93" s="588">
        <v>0</v>
      </c>
      <c r="C93" s="585">
        <v>4</v>
      </c>
      <c r="D93" s="585" t="s">
        <v>304</v>
      </c>
      <c r="E93" s="589" t="s">
        <v>720</v>
      </c>
      <c r="F93" s="567" t="s">
        <v>1106</v>
      </c>
      <c r="G93" s="585" t="s">
        <v>78</v>
      </c>
      <c r="H93" s="603" t="s">
        <v>810</v>
      </c>
      <c r="I93" s="605">
        <v>9</v>
      </c>
      <c r="J93" s="556"/>
      <c r="K93" s="594"/>
      <c r="L93" s="306"/>
      <c r="M93" s="307"/>
      <c r="N93" s="307"/>
      <c r="O93" s="307"/>
      <c r="P93" s="307"/>
      <c r="Q93" s="79"/>
      <c r="R93" s="7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56"/>
      <c r="AE93" s="556"/>
      <c r="AF93" s="556"/>
      <c r="AG93" s="556"/>
      <c r="AH93" s="556"/>
      <c r="AI93" s="556"/>
      <c r="AJ93" s="76"/>
      <c r="AK93" s="76"/>
      <c r="AL93" s="556"/>
      <c r="AM93" s="556"/>
      <c r="AN93" s="556"/>
      <c r="AO93" s="556"/>
      <c r="AP93" s="556"/>
      <c r="AQ93" s="556"/>
      <c r="AR93" s="556"/>
      <c r="AS93" s="76"/>
      <c r="AT93" s="76"/>
      <c r="AU93" s="556"/>
      <c r="AV93" s="556"/>
      <c r="AW93" s="556"/>
      <c r="AX93" s="556"/>
      <c r="AY93" s="556"/>
      <c r="AZ93" s="556"/>
      <c r="BA93" s="556"/>
      <c r="BB93" s="556"/>
      <c r="BC93" s="556"/>
      <c r="BD93" s="556"/>
      <c r="BE93" s="76"/>
      <c r="BF93" s="76"/>
      <c r="BG93" s="556"/>
      <c r="BH93" s="556"/>
      <c r="BI93" s="556"/>
      <c r="BJ93" s="556"/>
      <c r="BK93" s="556"/>
      <c r="BL93" s="556"/>
      <c r="BM93" s="556"/>
      <c r="BN93" s="556"/>
      <c r="BO93" s="556"/>
      <c r="BP93" s="556"/>
      <c r="BQ93" s="76"/>
      <c r="BR93" s="76"/>
      <c r="BS93" s="556"/>
      <c r="BT93" s="76"/>
      <c r="BU93" s="76"/>
      <c r="BV93" s="556"/>
      <c r="BW93" s="556"/>
      <c r="BX93" s="556"/>
      <c r="BY93" s="556"/>
      <c r="BZ93" s="76"/>
      <c r="CA93" s="76"/>
      <c r="CB93" s="556"/>
      <c r="CC93" s="556"/>
      <c r="CD93" s="556"/>
      <c r="CE93" s="76"/>
      <c r="CF93" s="79"/>
      <c r="CG93" s="556"/>
      <c r="CH93" s="585" t="s">
        <v>40</v>
      </c>
      <c r="CI93" s="585" t="s">
        <v>40</v>
      </c>
      <c r="CJ93" s="201"/>
      <c r="CK93" s="202"/>
      <c r="CL93" s="202"/>
      <c r="CM93" s="202"/>
      <c r="CN93" s="202"/>
      <c r="CO93" s="202"/>
      <c r="CP93" s="202"/>
      <c r="CQ93" s="202"/>
      <c r="CR93" s="202"/>
      <c r="CS93" s="202"/>
      <c r="CT93" s="202"/>
      <c r="CU93" s="202"/>
      <c r="CV93" s="202"/>
      <c r="CW93" s="202"/>
      <c r="CX93" s="202"/>
      <c r="CY93" s="202"/>
      <c r="CZ93" s="202"/>
      <c r="DA93" s="202"/>
      <c r="DB93" s="202"/>
      <c r="DC93" s="202"/>
      <c r="DD93" s="202"/>
      <c r="DE93" s="202"/>
      <c r="DF93" s="202"/>
      <c r="DG93" s="202"/>
      <c r="DH93" s="202"/>
      <c r="DI93" s="202"/>
      <c r="DJ93" s="202"/>
      <c r="DK93" s="202"/>
      <c r="DL93" s="202"/>
      <c r="DM93" s="202"/>
      <c r="DN93" s="202"/>
      <c r="DO93" s="202"/>
      <c r="DP93" s="202"/>
      <c r="DQ93" s="202"/>
      <c r="DR93" s="202"/>
      <c r="DS93" s="202"/>
      <c r="DT93" s="202"/>
      <c r="DU93" s="202"/>
      <c r="DV93" s="202"/>
      <c r="DW93" s="202"/>
      <c r="DX93" s="202"/>
      <c r="DY93" s="202"/>
      <c r="DZ93" s="202"/>
      <c r="EA93" s="202"/>
      <c r="EB93" s="202"/>
      <c r="EC93" s="202"/>
      <c r="ED93" s="202"/>
      <c r="EE93" s="202"/>
      <c r="EF93" s="202"/>
      <c r="EG93" s="202"/>
      <c r="EH93" s="202"/>
      <c r="EI93" s="202"/>
      <c r="EJ93" s="202"/>
      <c r="EK93" s="202"/>
      <c r="EL93" s="202"/>
      <c r="EM93" s="202"/>
      <c r="EN93" s="202"/>
      <c r="EO93" s="202"/>
      <c r="EP93" s="202"/>
      <c r="EQ93" s="202"/>
      <c r="ER93" s="202"/>
      <c r="ES93" s="202"/>
      <c r="ET93" s="202"/>
      <c r="EU93" s="202"/>
      <c r="EV93" s="202"/>
      <c r="EW93" s="202"/>
      <c r="EX93" s="202"/>
      <c r="EY93" s="202"/>
      <c r="EZ93" s="202"/>
      <c r="FA93" s="202"/>
      <c r="FB93" s="202"/>
      <c r="FC93" s="202"/>
      <c r="FD93" s="202"/>
      <c r="FE93" s="202"/>
      <c r="FF93" s="202"/>
      <c r="FG93" s="202"/>
      <c r="FH93" s="202"/>
      <c r="FI93" s="202"/>
    </row>
    <row r="94" spans="1:166" s="228" customFormat="1" ht="18" customHeight="1" x14ac:dyDescent="0.25">
      <c r="A94" s="576">
        <f t="shared" si="3"/>
        <v>85</v>
      </c>
      <c r="B94" s="588">
        <v>0</v>
      </c>
      <c r="C94" s="585">
        <v>4</v>
      </c>
      <c r="D94" s="585" t="s">
        <v>305</v>
      </c>
      <c r="E94" s="589" t="s">
        <v>721</v>
      </c>
      <c r="F94" s="567" t="s">
        <v>1107</v>
      </c>
      <c r="G94" s="585" t="s">
        <v>79</v>
      </c>
      <c r="H94" s="603" t="s">
        <v>811</v>
      </c>
      <c r="I94" s="593">
        <v>4</v>
      </c>
      <c r="J94" s="556" t="s">
        <v>64</v>
      </c>
      <c r="K94" s="594">
        <v>16</v>
      </c>
      <c r="L94" s="306"/>
      <c r="M94" s="307"/>
      <c r="N94" s="307"/>
      <c r="O94" s="307" t="s">
        <v>122</v>
      </c>
      <c r="P94" s="307"/>
      <c r="Q94" s="79"/>
      <c r="R94" s="76"/>
      <c r="S94" s="556"/>
      <c r="T94" s="585"/>
      <c r="U94" s="585"/>
      <c r="V94" s="585"/>
      <c r="W94" s="556"/>
      <c r="X94" s="556"/>
      <c r="Y94" s="556"/>
      <c r="Z94" s="556"/>
      <c r="AA94" s="585"/>
      <c r="AB94" s="585"/>
      <c r="AC94" s="556"/>
      <c r="AD94" s="556"/>
      <c r="AE94" s="556"/>
      <c r="AF94" s="556"/>
      <c r="AG94" s="556"/>
      <c r="AH94" s="556"/>
      <c r="AI94" s="556"/>
      <c r="AJ94" s="76"/>
      <c r="AK94" s="76"/>
      <c r="AL94" s="556"/>
      <c r="AM94" s="556"/>
      <c r="AN94" s="556"/>
      <c r="AO94" s="556"/>
      <c r="AP94" s="556"/>
      <c r="AQ94" s="585"/>
      <c r="AR94" s="585"/>
      <c r="AS94" s="79"/>
      <c r="AT94" s="76"/>
      <c r="AU94" s="585"/>
      <c r="AV94" s="585"/>
      <c r="AW94" s="585"/>
      <c r="AX94" s="585" t="s">
        <v>120</v>
      </c>
      <c r="AY94" s="585"/>
      <c r="AZ94" s="585"/>
      <c r="BA94" s="585"/>
      <c r="BB94" s="585"/>
      <c r="BC94" s="585"/>
      <c r="BD94" s="585" t="s">
        <v>121</v>
      </c>
      <c r="BE94" s="79"/>
      <c r="BF94" s="76"/>
      <c r="BG94" s="585"/>
      <c r="BH94" s="585"/>
      <c r="BI94" s="585"/>
      <c r="BJ94" s="585"/>
      <c r="BK94" s="585"/>
      <c r="BL94" s="585"/>
      <c r="BM94" s="585"/>
      <c r="BN94" s="585"/>
      <c r="BO94" s="585"/>
      <c r="BP94" s="585"/>
      <c r="BQ94" s="79"/>
      <c r="BR94" s="76"/>
      <c r="BS94" s="556"/>
      <c r="BT94" s="76"/>
      <c r="BU94" s="76"/>
      <c r="BV94" s="585"/>
      <c r="BW94" s="556"/>
      <c r="BX94" s="585"/>
      <c r="BY94" s="585"/>
      <c r="BZ94" s="76"/>
      <c r="CA94" s="76"/>
      <c r="CB94" s="556"/>
      <c r="CC94" s="556"/>
      <c r="CD94" s="556"/>
      <c r="CE94" s="76"/>
      <c r="CF94" s="79"/>
      <c r="CG94" s="556"/>
      <c r="CH94" s="556" t="s">
        <v>40</v>
      </c>
      <c r="CI94" s="556" t="s">
        <v>40</v>
      </c>
      <c r="CJ94" s="201"/>
      <c r="CK94" s="202"/>
      <c r="CL94" s="202"/>
      <c r="CM94" s="202"/>
      <c r="CN94" s="202"/>
      <c r="CO94" s="202"/>
      <c r="CP94" s="202"/>
      <c r="CQ94" s="202"/>
      <c r="CR94" s="202"/>
      <c r="CS94" s="202"/>
      <c r="CT94" s="202"/>
      <c r="CU94" s="202"/>
      <c r="CV94" s="202"/>
      <c r="CW94" s="202"/>
      <c r="CX94" s="202"/>
      <c r="CY94" s="202"/>
      <c r="CZ94" s="202"/>
      <c r="DA94" s="202"/>
      <c r="DB94" s="202"/>
      <c r="DC94" s="202"/>
      <c r="DD94" s="202"/>
      <c r="DE94" s="202"/>
      <c r="DF94" s="202"/>
      <c r="DG94" s="202"/>
      <c r="DH94" s="202"/>
      <c r="DI94" s="202"/>
      <c r="DJ94" s="202"/>
      <c r="DK94" s="202"/>
      <c r="DL94" s="202"/>
      <c r="DM94" s="202"/>
      <c r="DN94" s="202"/>
      <c r="DO94" s="202"/>
      <c r="DP94" s="202"/>
      <c r="DQ94" s="202"/>
      <c r="DR94" s="202"/>
      <c r="DS94" s="202"/>
      <c r="DT94" s="202"/>
      <c r="DU94" s="202"/>
      <c r="DV94" s="202"/>
      <c r="DW94" s="202"/>
      <c r="DX94" s="202"/>
      <c r="DY94" s="202"/>
      <c r="DZ94" s="202"/>
      <c r="EA94" s="202"/>
      <c r="EB94" s="202"/>
      <c r="EC94" s="202"/>
      <c r="ED94" s="202"/>
      <c r="EE94" s="202"/>
      <c r="EF94" s="202"/>
      <c r="EG94" s="202"/>
      <c r="EH94" s="202"/>
      <c r="EI94" s="202"/>
      <c r="EJ94" s="202"/>
      <c r="EK94" s="202"/>
      <c r="EL94" s="202"/>
      <c r="EM94" s="202"/>
      <c r="EN94" s="202"/>
      <c r="EO94" s="202"/>
      <c r="EP94" s="202"/>
      <c r="EQ94" s="202"/>
      <c r="ER94" s="202"/>
      <c r="ES94" s="202"/>
      <c r="ET94" s="202"/>
      <c r="EU94" s="202"/>
      <c r="EV94" s="202"/>
      <c r="EW94" s="202"/>
      <c r="EX94" s="202"/>
      <c r="EY94" s="202"/>
      <c r="EZ94" s="202"/>
      <c r="FA94" s="202"/>
      <c r="FB94" s="202"/>
      <c r="FC94" s="202"/>
      <c r="FD94" s="202"/>
      <c r="FE94" s="202"/>
      <c r="FF94" s="202"/>
      <c r="FG94" s="202"/>
      <c r="FH94" s="202"/>
      <c r="FI94" s="202"/>
    </row>
    <row r="95" spans="1:166" s="228" customFormat="1" ht="18" customHeight="1" x14ac:dyDescent="0.25">
      <c r="A95" s="576">
        <f t="shared" si="3"/>
        <v>86</v>
      </c>
      <c r="B95" s="588">
        <v>0</v>
      </c>
      <c r="C95" s="585">
        <v>4</v>
      </c>
      <c r="D95" s="585" t="s">
        <v>305</v>
      </c>
      <c r="E95" s="589" t="s">
        <v>722</v>
      </c>
      <c r="F95" s="567" t="s">
        <v>1108</v>
      </c>
      <c r="G95" s="585" t="s">
        <v>79</v>
      </c>
      <c r="H95" s="603" t="s">
        <v>812</v>
      </c>
      <c r="I95" s="605">
        <v>9</v>
      </c>
      <c r="J95" s="556"/>
      <c r="K95" s="594"/>
      <c r="L95" s="306"/>
      <c r="M95" s="307"/>
      <c r="N95" s="307"/>
      <c r="O95" s="307"/>
      <c r="P95" s="307"/>
      <c r="Q95" s="79"/>
      <c r="R95" s="76"/>
      <c r="S95" s="556"/>
      <c r="T95" s="585"/>
      <c r="U95" s="585"/>
      <c r="V95" s="585"/>
      <c r="W95" s="556"/>
      <c r="X95" s="556"/>
      <c r="Y95" s="556"/>
      <c r="Z95" s="556"/>
      <c r="AA95" s="585"/>
      <c r="AB95" s="585"/>
      <c r="AC95" s="556"/>
      <c r="AD95" s="556"/>
      <c r="AE95" s="585"/>
      <c r="AF95" s="585"/>
      <c r="AG95" s="585"/>
      <c r="AH95" s="556"/>
      <c r="AI95" s="556"/>
      <c r="AJ95" s="79"/>
      <c r="AK95" s="76"/>
      <c r="AL95" s="556"/>
      <c r="AM95" s="556"/>
      <c r="AN95" s="556"/>
      <c r="AO95" s="556"/>
      <c r="AP95" s="556"/>
      <c r="AQ95" s="585"/>
      <c r="AR95" s="585"/>
      <c r="AS95" s="79"/>
      <c r="AT95" s="76"/>
      <c r="AU95" s="585"/>
      <c r="AV95" s="585"/>
      <c r="AW95" s="585"/>
      <c r="AX95" s="585"/>
      <c r="AY95" s="585"/>
      <c r="AZ95" s="585"/>
      <c r="BA95" s="585"/>
      <c r="BB95" s="585"/>
      <c r="BC95" s="585"/>
      <c r="BD95" s="585"/>
      <c r="BE95" s="79"/>
      <c r="BF95" s="76"/>
      <c r="BG95" s="585"/>
      <c r="BH95" s="585"/>
      <c r="BI95" s="585"/>
      <c r="BJ95" s="585"/>
      <c r="BK95" s="585"/>
      <c r="BL95" s="585"/>
      <c r="BM95" s="585"/>
      <c r="BN95" s="585"/>
      <c r="BO95" s="585"/>
      <c r="BP95" s="585"/>
      <c r="BQ95" s="79"/>
      <c r="BR95" s="76"/>
      <c r="BS95" s="556"/>
      <c r="BT95" s="76"/>
      <c r="BU95" s="76"/>
      <c r="BV95" s="585"/>
      <c r="BW95" s="556"/>
      <c r="BX95" s="585"/>
      <c r="BY95" s="585"/>
      <c r="BZ95" s="76"/>
      <c r="CA95" s="76"/>
      <c r="CB95" s="585"/>
      <c r="CC95" s="556"/>
      <c r="CD95" s="556"/>
      <c r="CE95" s="76"/>
      <c r="CF95" s="79"/>
      <c r="CG95" s="556"/>
      <c r="CH95" s="556" t="s">
        <v>40</v>
      </c>
      <c r="CI95" s="556" t="s">
        <v>40</v>
      </c>
      <c r="CJ95" s="201"/>
      <c r="CK95" s="202"/>
      <c r="CL95" s="202"/>
      <c r="CM95" s="202"/>
      <c r="CN95" s="202"/>
      <c r="CO95" s="202"/>
      <c r="CP95" s="202"/>
      <c r="CQ95" s="202"/>
      <c r="CR95" s="202"/>
      <c r="CS95" s="202"/>
      <c r="CT95" s="202"/>
      <c r="CU95" s="202"/>
      <c r="CV95" s="202"/>
      <c r="CW95" s="202"/>
      <c r="CX95" s="202"/>
      <c r="CY95" s="202"/>
      <c r="CZ95" s="202"/>
      <c r="DA95" s="202"/>
      <c r="DB95" s="202"/>
      <c r="DC95" s="202"/>
      <c r="DD95" s="202"/>
      <c r="DE95" s="202"/>
      <c r="DF95" s="202"/>
      <c r="DG95" s="202"/>
      <c r="DH95" s="202"/>
      <c r="DI95" s="202"/>
      <c r="DJ95" s="202"/>
      <c r="DK95" s="202"/>
      <c r="DL95" s="202"/>
      <c r="DM95" s="202"/>
      <c r="DN95" s="202"/>
      <c r="DO95" s="202"/>
      <c r="DP95" s="202"/>
      <c r="DQ95" s="202"/>
      <c r="DR95" s="202"/>
      <c r="DS95" s="202"/>
      <c r="DT95" s="202"/>
      <c r="DU95" s="202"/>
      <c r="DV95" s="202"/>
      <c r="DW95" s="202"/>
      <c r="DX95" s="202"/>
      <c r="DY95" s="202"/>
      <c r="DZ95" s="202"/>
      <c r="EA95" s="202"/>
      <c r="EB95" s="202"/>
      <c r="EC95" s="202"/>
      <c r="ED95" s="202"/>
      <c r="EE95" s="202"/>
      <c r="EF95" s="202"/>
      <c r="EG95" s="202"/>
      <c r="EH95" s="202"/>
      <c r="EI95" s="202"/>
      <c r="EJ95" s="202"/>
      <c r="EK95" s="202"/>
      <c r="EL95" s="202"/>
      <c r="EM95" s="202"/>
      <c r="EN95" s="202"/>
      <c r="EO95" s="202"/>
      <c r="EP95" s="202"/>
      <c r="EQ95" s="202"/>
      <c r="ER95" s="202"/>
      <c r="ES95" s="202"/>
      <c r="ET95" s="202"/>
      <c r="EU95" s="202"/>
      <c r="EV95" s="202"/>
      <c r="EW95" s="202"/>
      <c r="EX95" s="202"/>
      <c r="EY95" s="202"/>
      <c r="EZ95" s="202"/>
      <c r="FA95" s="202"/>
      <c r="FB95" s="202"/>
      <c r="FC95" s="202"/>
      <c r="FD95" s="202"/>
      <c r="FE95" s="202"/>
      <c r="FF95" s="202"/>
      <c r="FG95" s="202"/>
      <c r="FH95" s="202"/>
      <c r="FI95" s="202"/>
    </row>
    <row r="96" spans="1:166" s="228" customFormat="1" ht="18" customHeight="1" x14ac:dyDescent="0.25">
      <c r="A96" s="576">
        <f t="shared" si="3"/>
        <v>87</v>
      </c>
      <c r="B96" s="588">
        <v>0</v>
      </c>
      <c r="C96" s="585">
        <v>4</v>
      </c>
      <c r="D96" s="591" t="s">
        <v>306</v>
      </c>
      <c r="E96" s="595" t="s">
        <v>723</v>
      </c>
      <c r="F96" s="567" t="s">
        <v>1107</v>
      </c>
      <c r="G96" s="591" t="s">
        <v>80</v>
      </c>
      <c r="H96" s="603" t="s">
        <v>813</v>
      </c>
      <c r="I96" s="593">
        <v>4</v>
      </c>
      <c r="J96" s="556" t="s">
        <v>64</v>
      </c>
      <c r="K96" s="594">
        <v>16</v>
      </c>
      <c r="L96" s="306"/>
      <c r="M96" s="307"/>
      <c r="N96" s="307"/>
      <c r="O96" s="307" t="s">
        <v>122</v>
      </c>
      <c r="P96" s="307"/>
      <c r="Q96" s="79"/>
      <c r="R96" s="76"/>
      <c r="S96" s="556"/>
      <c r="T96" s="556"/>
      <c r="U96" s="556"/>
      <c r="V96" s="556"/>
      <c r="W96" s="556"/>
      <c r="X96" s="556"/>
      <c r="Y96" s="556"/>
      <c r="Z96" s="556"/>
      <c r="AA96" s="556"/>
      <c r="AB96" s="556"/>
      <c r="AC96" s="556"/>
      <c r="AD96" s="556"/>
      <c r="AE96" s="556"/>
      <c r="AF96" s="556"/>
      <c r="AG96" s="556"/>
      <c r="AH96" s="556"/>
      <c r="AI96" s="556"/>
      <c r="AJ96" s="76"/>
      <c r="AK96" s="76"/>
      <c r="AL96" s="556"/>
      <c r="AM96" s="556"/>
      <c r="AN96" s="556"/>
      <c r="AO96" s="556"/>
      <c r="AP96" s="556"/>
      <c r="AQ96" s="556"/>
      <c r="AR96" s="556"/>
      <c r="AS96" s="76"/>
      <c r="AT96" s="76"/>
      <c r="AU96" s="556"/>
      <c r="AV96" s="556"/>
      <c r="AW96" s="556"/>
      <c r="AX96" s="585" t="s">
        <v>120</v>
      </c>
      <c r="AY96" s="585"/>
      <c r="AZ96" s="585"/>
      <c r="BA96" s="585"/>
      <c r="BB96" s="585"/>
      <c r="BC96" s="556"/>
      <c r="BD96" s="585" t="s">
        <v>121</v>
      </c>
      <c r="BE96" s="76"/>
      <c r="BF96" s="76"/>
      <c r="BG96" s="556"/>
      <c r="BH96" s="556"/>
      <c r="BI96" s="556"/>
      <c r="BJ96" s="556"/>
      <c r="BK96" s="585"/>
      <c r="BL96" s="556"/>
      <c r="BM96" s="556"/>
      <c r="BN96" s="556"/>
      <c r="BO96" s="556"/>
      <c r="BP96" s="556"/>
      <c r="BQ96" s="76"/>
      <c r="BR96" s="76"/>
      <c r="BS96" s="556"/>
      <c r="BT96" s="76"/>
      <c r="BU96" s="76"/>
      <c r="BV96" s="556"/>
      <c r="BW96" s="556"/>
      <c r="BX96" s="556"/>
      <c r="BY96" s="556"/>
      <c r="BZ96" s="76"/>
      <c r="CA96" s="76"/>
      <c r="CB96" s="556"/>
      <c r="CC96" s="556"/>
      <c r="CD96" s="556"/>
      <c r="CE96" s="76"/>
      <c r="CF96" s="79"/>
      <c r="CG96" s="556"/>
      <c r="CH96" s="556" t="s">
        <v>40</v>
      </c>
      <c r="CI96" s="556" t="s">
        <v>40</v>
      </c>
      <c r="CJ96" s="201"/>
      <c r="CK96" s="202"/>
      <c r="CL96" s="202"/>
      <c r="CM96" s="202"/>
      <c r="CN96" s="202"/>
      <c r="CO96" s="202"/>
      <c r="CP96" s="202"/>
      <c r="CQ96" s="202"/>
      <c r="CR96" s="202"/>
      <c r="CS96" s="202"/>
      <c r="CT96" s="202"/>
      <c r="CU96" s="202"/>
      <c r="CV96" s="202"/>
      <c r="CW96" s="202"/>
      <c r="CX96" s="202"/>
      <c r="CY96" s="202"/>
      <c r="CZ96" s="202"/>
      <c r="DA96" s="202"/>
      <c r="DB96" s="202"/>
      <c r="DC96" s="202"/>
      <c r="DD96" s="202"/>
      <c r="DE96" s="202"/>
      <c r="DF96" s="202"/>
      <c r="DG96" s="202"/>
      <c r="DH96" s="202"/>
      <c r="DI96" s="202"/>
      <c r="DJ96" s="202"/>
      <c r="DK96" s="202"/>
      <c r="DL96" s="202"/>
      <c r="DM96" s="202"/>
      <c r="DN96" s="202"/>
      <c r="DO96" s="202"/>
      <c r="DP96" s="202"/>
      <c r="DQ96" s="202"/>
      <c r="DR96" s="202"/>
      <c r="DS96" s="202"/>
      <c r="DT96" s="202"/>
      <c r="DU96" s="202"/>
      <c r="DV96" s="202"/>
      <c r="DW96" s="202"/>
      <c r="DX96" s="202"/>
      <c r="DY96" s="202"/>
      <c r="DZ96" s="202"/>
      <c r="EA96" s="202"/>
      <c r="EB96" s="202"/>
      <c r="EC96" s="202"/>
      <c r="ED96" s="202"/>
      <c r="EE96" s="202"/>
      <c r="EF96" s="202"/>
      <c r="EG96" s="202"/>
      <c r="EH96" s="202"/>
      <c r="EI96" s="202"/>
      <c r="EJ96" s="202"/>
      <c r="EK96" s="202"/>
      <c r="EL96" s="202"/>
      <c r="EM96" s="202"/>
      <c r="EN96" s="202"/>
      <c r="EO96" s="202"/>
      <c r="EP96" s="202"/>
      <c r="EQ96" s="202"/>
      <c r="ER96" s="202"/>
      <c r="ES96" s="202"/>
      <c r="ET96" s="202"/>
      <c r="EU96" s="202"/>
      <c r="EV96" s="202"/>
      <c r="EW96" s="202"/>
      <c r="EX96" s="202"/>
      <c r="EY96" s="202"/>
      <c r="EZ96" s="202"/>
      <c r="FA96" s="202"/>
      <c r="FB96" s="202"/>
      <c r="FC96" s="202"/>
      <c r="FD96" s="202"/>
      <c r="FE96" s="202"/>
      <c r="FF96" s="202"/>
      <c r="FG96" s="202"/>
      <c r="FH96" s="202"/>
      <c r="FI96" s="202"/>
    </row>
    <row r="97" spans="1:165" s="228" customFormat="1" ht="18" customHeight="1" x14ac:dyDescent="0.25">
      <c r="A97" s="576">
        <f t="shared" si="3"/>
        <v>88</v>
      </c>
      <c r="B97" s="588">
        <v>0</v>
      </c>
      <c r="C97" s="585">
        <v>4</v>
      </c>
      <c r="D97" s="591" t="s">
        <v>306</v>
      </c>
      <c r="E97" s="595" t="s">
        <v>724</v>
      </c>
      <c r="F97" s="567" t="s">
        <v>1108</v>
      </c>
      <c r="G97" s="591" t="s">
        <v>80</v>
      </c>
      <c r="H97" s="603" t="s">
        <v>814</v>
      </c>
      <c r="I97" s="605">
        <v>9</v>
      </c>
      <c r="J97" s="556"/>
      <c r="K97" s="594"/>
      <c r="L97" s="306"/>
      <c r="M97" s="307"/>
      <c r="N97" s="307"/>
      <c r="O97" s="307"/>
      <c r="P97" s="307"/>
      <c r="Q97" s="79"/>
      <c r="R97" s="76"/>
      <c r="S97" s="556"/>
      <c r="T97" s="556"/>
      <c r="U97" s="556"/>
      <c r="V97" s="556"/>
      <c r="W97" s="556"/>
      <c r="X97" s="556"/>
      <c r="Y97" s="556"/>
      <c r="Z97" s="556"/>
      <c r="AA97" s="556"/>
      <c r="AB97" s="556"/>
      <c r="AC97" s="556"/>
      <c r="AD97" s="556"/>
      <c r="AE97" s="556"/>
      <c r="AF97" s="556"/>
      <c r="AG97" s="556"/>
      <c r="AH97" s="556"/>
      <c r="AI97" s="556"/>
      <c r="AJ97" s="76"/>
      <c r="AK97" s="76"/>
      <c r="AL97" s="556"/>
      <c r="AM97" s="556"/>
      <c r="AN97" s="556"/>
      <c r="AO97" s="556"/>
      <c r="AP97" s="556"/>
      <c r="AQ97" s="556"/>
      <c r="AR97" s="556"/>
      <c r="AS97" s="76"/>
      <c r="AT97" s="76"/>
      <c r="AU97" s="556"/>
      <c r="AV97" s="556"/>
      <c r="AW97" s="556"/>
      <c r="AX97" s="556"/>
      <c r="AY97" s="556"/>
      <c r="AZ97" s="556"/>
      <c r="BA97" s="556"/>
      <c r="BB97" s="556"/>
      <c r="BC97" s="556"/>
      <c r="BD97" s="556"/>
      <c r="BE97" s="76"/>
      <c r="BF97" s="76"/>
      <c r="BG97" s="556"/>
      <c r="BH97" s="556"/>
      <c r="BI97" s="556"/>
      <c r="BJ97" s="556"/>
      <c r="BK97" s="556"/>
      <c r="BL97" s="556"/>
      <c r="BM97" s="556"/>
      <c r="BN97" s="556"/>
      <c r="BO97" s="556"/>
      <c r="BP97" s="556"/>
      <c r="BQ97" s="76"/>
      <c r="BR97" s="76"/>
      <c r="BS97" s="556"/>
      <c r="BT97" s="76"/>
      <c r="BU97" s="76"/>
      <c r="BV97" s="556"/>
      <c r="BW97" s="556"/>
      <c r="BX97" s="556"/>
      <c r="BY97" s="556"/>
      <c r="BZ97" s="76"/>
      <c r="CA97" s="76"/>
      <c r="CB97" s="556"/>
      <c r="CC97" s="556"/>
      <c r="CD97" s="556"/>
      <c r="CE97" s="76"/>
      <c r="CF97" s="79"/>
      <c r="CG97" s="556"/>
      <c r="CH97" s="556" t="s">
        <v>40</v>
      </c>
      <c r="CI97" s="556" t="s">
        <v>40</v>
      </c>
      <c r="CJ97" s="201"/>
      <c r="CK97" s="202"/>
      <c r="CL97" s="202"/>
      <c r="CM97" s="202"/>
      <c r="CN97" s="202"/>
      <c r="CO97" s="202"/>
      <c r="CP97" s="202"/>
      <c r="CQ97" s="202"/>
      <c r="CR97" s="202"/>
      <c r="CS97" s="202"/>
      <c r="CT97" s="202"/>
      <c r="CU97" s="202"/>
      <c r="CV97" s="202"/>
      <c r="CW97" s="202"/>
      <c r="CX97" s="202"/>
      <c r="CY97" s="202"/>
      <c r="CZ97" s="202"/>
      <c r="DA97" s="202"/>
      <c r="DB97" s="202"/>
      <c r="DC97" s="202"/>
      <c r="DD97" s="202"/>
      <c r="DE97" s="202"/>
      <c r="DF97" s="202"/>
      <c r="DG97" s="202"/>
      <c r="DH97" s="202"/>
      <c r="DI97" s="202"/>
      <c r="DJ97" s="202"/>
      <c r="DK97" s="202"/>
      <c r="DL97" s="202"/>
      <c r="DM97" s="202"/>
      <c r="DN97" s="202"/>
      <c r="DO97" s="202"/>
      <c r="DP97" s="202"/>
      <c r="DQ97" s="202"/>
      <c r="DR97" s="202"/>
      <c r="DS97" s="202"/>
      <c r="DT97" s="202"/>
      <c r="DU97" s="202"/>
      <c r="DV97" s="202"/>
      <c r="DW97" s="202"/>
      <c r="DX97" s="202"/>
      <c r="DY97" s="202"/>
      <c r="DZ97" s="202"/>
      <c r="EA97" s="202"/>
      <c r="EB97" s="202"/>
      <c r="EC97" s="202"/>
      <c r="ED97" s="202"/>
      <c r="EE97" s="202"/>
      <c r="EF97" s="202"/>
      <c r="EG97" s="202"/>
      <c r="EH97" s="202"/>
      <c r="EI97" s="202"/>
      <c r="EJ97" s="202"/>
      <c r="EK97" s="202"/>
      <c r="EL97" s="202"/>
      <c r="EM97" s="202"/>
      <c r="EN97" s="202"/>
      <c r="EO97" s="202"/>
      <c r="EP97" s="202"/>
      <c r="EQ97" s="202"/>
      <c r="ER97" s="202"/>
      <c r="ES97" s="202"/>
      <c r="ET97" s="202"/>
      <c r="EU97" s="202"/>
      <c r="EV97" s="202"/>
      <c r="EW97" s="202"/>
      <c r="EX97" s="202"/>
      <c r="EY97" s="202"/>
      <c r="EZ97" s="202"/>
      <c r="FA97" s="202"/>
      <c r="FB97" s="202"/>
      <c r="FC97" s="202"/>
      <c r="FD97" s="202"/>
      <c r="FE97" s="202"/>
      <c r="FF97" s="202"/>
      <c r="FG97" s="202"/>
      <c r="FH97" s="202"/>
      <c r="FI97" s="202"/>
    </row>
    <row r="98" spans="1:165" s="228" customFormat="1" ht="18" customHeight="1" x14ac:dyDescent="0.25">
      <c r="A98" s="576">
        <f t="shared" si="3"/>
        <v>89</v>
      </c>
      <c r="B98" s="588">
        <v>0</v>
      </c>
      <c r="C98" s="585">
        <v>4</v>
      </c>
      <c r="D98" s="591" t="s">
        <v>307</v>
      </c>
      <c r="E98" s="595" t="s">
        <v>725</v>
      </c>
      <c r="F98" s="567" t="s">
        <v>1109</v>
      </c>
      <c r="G98" s="591" t="s">
        <v>81</v>
      </c>
      <c r="H98" s="603" t="s">
        <v>815</v>
      </c>
      <c r="I98" s="593">
        <v>4</v>
      </c>
      <c r="J98" s="556" t="s">
        <v>64</v>
      </c>
      <c r="K98" s="594">
        <v>16</v>
      </c>
      <c r="L98" s="306"/>
      <c r="M98" s="307"/>
      <c r="N98" s="307"/>
      <c r="O98" s="307" t="s">
        <v>122</v>
      </c>
      <c r="P98" s="307"/>
      <c r="Q98" s="79"/>
      <c r="R98" s="76"/>
      <c r="S98" s="556"/>
      <c r="T98" s="556"/>
      <c r="U98" s="556"/>
      <c r="V98" s="556"/>
      <c r="W98" s="556"/>
      <c r="X98" s="556"/>
      <c r="Y98" s="556"/>
      <c r="Z98" s="556"/>
      <c r="AA98" s="556"/>
      <c r="AB98" s="556"/>
      <c r="AC98" s="556"/>
      <c r="AD98" s="556"/>
      <c r="AE98" s="556"/>
      <c r="AF98" s="556"/>
      <c r="AG98" s="556"/>
      <c r="AH98" s="556"/>
      <c r="AI98" s="556"/>
      <c r="AJ98" s="76"/>
      <c r="AK98" s="76"/>
      <c r="AL98" s="556"/>
      <c r="AM98" s="556"/>
      <c r="AN98" s="556"/>
      <c r="AO98" s="556"/>
      <c r="AP98" s="556"/>
      <c r="AQ98" s="556"/>
      <c r="AR98" s="556"/>
      <c r="AS98" s="76"/>
      <c r="AT98" s="76"/>
      <c r="AU98" s="556"/>
      <c r="AV98" s="556"/>
      <c r="AW98" s="556"/>
      <c r="AX98" s="585" t="s">
        <v>120</v>
      </c>
      <c r="AY98" s="585"/>
      <c r="AZ98" s="585"/>
      <c r="BA98" s="585"/>
      <c r="BB98" s="585"/>
      <c r="BC98" s="556"/>
      <c r="BD98" s="585" t="s">
        <v>121</v>
      </c>
      <c r="BE98" s="76"/>
      <c r="BF98" s="76"/>
      <c r="BG98" s="556"/>
      <c r="BH98" s="556"/>
      <c r="BI98" s="556"/>
      <c r="BJ98" s="556"/>
      <c r="BK98" s="585"/>
      <c r="BL98" s="556"/>
      <c r="BM98" s="556"/>
      <c r="BN98" s="556"/>
      <c r="BO98" s="556"/>
      <c r="BP98" s="556"/>
      <c r="BQ98" s="76"/>
      <c r="BR98" s="76"/>
      <c r="BS98" s="556"/>
      <c r="BT98" s="76"/>
      <c r="BU98" s="76"/>
      <c r="BV98" s="556"/>
      <c r="BW98" s="556"/>
      <c r="BX98" s="556"/>
      <c r="BY98" s="556"/>
      <c r="BZ98" s="76"/>
      <c r="CA98" s="76"/>
      <c r="CB98" s="556"/>
      <c r="CC98" s="556"/>
      <c r="CD98" s="556"/>
      <c r="CE98" s="76"/>
      <c r="CF98" s="79"/>
      <c r="CG98" s="556"/>
      <c r="CH98" s="556" t="s">
        <v>40</v>
      </c>
      <c r="CI98" s="556" t="s">
        <v>40</v>
      </c>
      <c r="CJ98" s="201"/>
      <c r="CK98" s="202"/>
      <c r="CL98" s="202"/>
      <c r="CM98" s="202"/>
      <c r="CN98" s="202"/>
      <c r="CO98" s="202"/>
      <c r="CP98" s="202"/>
      <c r="CQ98" s="202"/>
      <c r="CR98" s="202"/>
      <c r="CS98" s="202"/>
      <c r="CT98" s="202"/>
      <c r="CU98" s="202"/>
      <c r="CV98" s="202"/>
      <c r="CW98" s="202"/>
      <c r="CX98" s="202"/>
      <c r="CY98" s="202"/>
      <c r="CZ98" s="202"/>
      <c r="DA98" s="202"/>
      <c r="DB98" s="202"/>
      <c r="DC98" s="202"/>
      <c r="DD98" s="202"/>
      <c r="DE98" s="202"/>
      <c r="DF98" s="202"/>
      <c r="DG98" s="202"/>
      <c r="DH98" s="202"/>
      <c r="DI98" s="202"/>
      <c r="DJ98" s="202"/>
      <c r="DK98" s="202"/>
      <c r="DL98" s="202"/>
      <c r="DM98" s="202"/>
      <c r="DN98" s="202"/>
      <c r="DO98" s="202"/>
      <c r="DP98" s="202"/>
      <c r="DQ98" s="202"/>
      <c r="DR98" s="202"/>
      <c r="DS98" s="202"/>
      <c r="DT98" s="202"/>
      <c r="DU98" s="202"/>
      <c r="DV98" s="202"/>
      <c r="DW98" s="202"/>
      <c r="DX98" s="202"/>
      <c r="DY98" s="202"/>
      <c r="DZ98" s="202"/>
      <c r="EA98" s="202"/>
      <c r="EB98" s="202"/>
      <c r="EC98" s="202"/>
      <c r="ED98" s="202"/>
      <c r="EE98" s="202"/>
      <c r="EF98" s="202"/>
      <c r="EG98" s="202"/>
      <c r="EH98" s="202"/>
      <c r="EI98" s="202"/>
      <c r="EJ98" s="202"/>
      <c r="EK98" s="202"/>
      <c r="EL98" s="202"/>
      <c r="EM98" s="202"/>
      <c r="EN98" s="202"/>
      <c r="EO98" s="202"/>
      <c r="EP98" s="202"/>
      <c r="EQ98" s="202"/>
      <c r="ER98" s="202"/>
      <c r="ES98" s="202"/>
      <c r="ET98" s="202"/>
      <c r="EU98" s="202"/>
      <c r="EV98" s="202"/>
      <c r="EW98" s="202"/>
      <c r="EX98" s="202"/>
      <c r="EY98" s="202"/>
      <c r="EZ98" s="202"/>
      <c r="FA98" s="202"/>
      <c r="FB98" s="202"/>
      <c r="FC98" s="202"/>
      <c r="FD98" s="202"/>
      <c r="FE98" s="202"/>
      <c r="FF98" s="202"/>
      <c r="FG98" s="202"/>
      <c r="FH98" s="202"/>
      <c r="FI98" s="202"/>
    </row>
    <row r="99" spans="1:165" s="228" customFormat="1" ht="18" customHeight="1" x14ac:dyDescent="0.25">
      <c r="A99" s="576">
        <f t="shared" si="3"/>
        <v>90</v>
      </c>
      <c r="B99" s="588">
        <v>0</v>
      </c>
      <c r="C99" s="585">
        <v>4</v>
      </c>
      <c r="D99" s="591" t="s">
        <v>307</v>
      </c>
      <c r="E99" s="595" t="s">
        <v>726</v>
      </c>
      <c r="F99" s="567" t="s">
        <v>1110</v>
      </c>
      <c r="G99" s="591" t="s">
        <v>81</v>
      </c>
      <c r="H99" s="603" t="s">
        <v>816</v>
      </c>
      <c r="I99" s="605">
        <v>9</v>
      </c>
      <c r="J99" s="556"/>
      <c r="K99" s="594"/>
      <c r="L99" s="306"/>
      <c r="M99" s="307"/>
      <c r="N99" s="307"/>
      <c r="O99" s="307"/>
      <c r="P99" s="307"/>
      <c r="Q99" s="79"/>
      <c r="R99" s="76"/>
      <c r="S99" s="556"/>
      <c r="T99" s="556"/>
      <c r="U99" s="556"/>
      <c r="V99" s="556"/>
      <c r="W99" s="556"/>
      <c r="X99" s="556"/>
      <c r="Y99" s="556"/>
      <c r="Z99" s="556"/>
      <c r="AA99" s="556"/>
      <c r="AB99" s="556"/>
      <c r="AC99" s="556"/>
      <c r="AD99" s="556"/>
      <c r="AE99" s="556"/>
      <c r="AF99" s="556"/>
      <c r="AG99" s="556"/>
      <c r="AH99" s="556"/>
      <c r="AI99" s="556"/>
      <c r="AJ99" s="76"/>
      <c r="AK99" s="76"/>
      <c r="AL99" s="556"/>
      <c r="AM99" s="556"/>
      <c r="AN99" s="556"/>
      <c r="AO99" s="556"/>
      <c r="AP99" s="556"/>
      <c r="AQ99" s="556"/>
      <c r="AR99" s="556"/>
      <c r="AS99" s="76"/>
      <c r="AT99" s="76"/>
      <c r="AU99" s="556"/>
      <c r="AV99" s="556"/>
      <c r="AW99" s="556"/>
      <c r="AX99" s="556"/>
      <c r="AY99" s="556"/>
      <c r="AZ99" s="556"/>
      <c r="BA99" s="556"/>
      <c r="BB99" s="556"/>
      <c r="BC99" s="556"/>
      <c r="BD99" s="556"/>
      <c r="BE99" s="76"/>
      <c r="BF99" s="76"/>
      <c r="BG99" s="556"/>
      <c r="BH99" s="556"/>
      <c r="BI99" s="556"/>
      <c r="BJ99" s="556"/>
      <c r="BK99" s="556"/>
      <c r="BL99" s="556"/>
      <c r="BM99" s="556"/>
      <c r="BN99" s="556"/>
      <c r="BO99" s="556"/>
      <c r="BP99" s="556"/>
      <c r="BQ99" s="76"/>
      <c r="BR99" s="76"/>
      <c r="BS99" s="556"/>
      <c r="BT99" s="76"/>
      <c r="BU99" s="76"/>
      <c r="BV99" s="556"/>
      <c r="BW99" s="556"/>
      <c r="BX99" s="556"/>
      <c r="BY99" s="556"/>
      <c r="BZ99" s="76"/>
      <c r="CA99" s="76"/>
      <c r="CB99" s="556"/>
      <c r="CC99" s="556"/>
      <c r="CD99" s="556"/>
      <c r="CE99" s="76"/>
      <c r="CF99" s="79"/>
      <c r="CG99" s="556"/>
      <c r="CH99" s="556" t="s">
        <v>40</v>
      </c>
      <c r="CI99" s="556" t="s">
        <v>40</v>
      </c>
      <c r="CJ99" s="201"/>
      <c r="CK99" s="202"/>
      <c r="CL99" s="202"/>
      <c r="CM99" s="202"/>
      <c r="CN99" s="202"/>
      <c r="CO99" s="202"/>
      <c r="CP99" s="202"/>
      <c r="CQ99" s="202"/>
      <c r="CR99" s="202"/>
      <c r="CS99" s="202"/>
      <c r="CT99" s="202"/>
      <c r="CU99" s="202"/>
      <c r="CV99" s="202"/>
      <c r="CW99" s="202"/>
      <c r="CX99" s="202"/>
      <c r="CY99" s="202"/>
      <c r="CZ99" s="202"/>
      <c r="DA99" s="202"/>
      <c r="DB99" s="202"/>
      <c r="DC99" s="202"/>
      <c r="DD99" s="202"/>
      <c r="DE99" s="202"/>
      <c r="DF99" s="202"/>
      <c r="DG99" s="202"/>
      <c r="DH99" s="202"/>
      <c r="DI99" s="202"/>
      <c r="DJ99" s="202"/>
      <c r="DK99" s="202"/>
      <c r="DL99" s="202"/>
      <c r="DM99" s="202"/>
      <c r="DN99" s="202"/>
      <c r="DO99" s="202"/>
      <c r="DP99" s="202"/>
      <c r="DQ99" s="202"/>
      <c r="DR99" s="202"/>
      <c r="DS99" s="202"/>
      <c r="DT99" s="202"/>
      <c r="DU99" s="202"/>
      <c r="DV99" s="202"/>
      <c r="DW99" s="202"/>
      <c r="DX99" s="202"/>
      <c r="DY99" s="202"/>
      <c r="DZ99" s="202"/>
      <c r="EA99" s="202"/>
      <c r="EB99" s="202"/>
      <c r="EC99" s="202"/>
      <c r="ED99" s="202"/>
      <c r="EE99" s="202"/>
      <c r="EF99" s="202"/>
      <c r="EG99" s="202"/>
      <c r="EH99" s="202"/>
      <c r="EI99" s="202"/>
      <c r="EJ99" s="202"/>
      <c r="EK99" s="202"/>
      <c r="EL99" s="202"/>
      <c r="EM99" s="202"/>
      <c r="EN99" s="202"/>
      <c r="EO99" s="202"/>
      <c r="EP99" s="202"/>
      <c r="EQ99" s="202"/>
      <c r="ER99" s="202"/>
      <c r="ES99" s="202"/>
      <c r="ET99" s="202"/>
      <c r="EU99" s="202"/>
      <c r="EV99" s="202"/>
      <c r="EW99" s="202"/>
      <c r="EX99" s="202"/>
      <c r="EY99" s="202"/>
      <c r="EZ99" s="202"/>
      <c r="FA99" s="202"/>
      <c r="FB99" s="202"/>
      <c r="FC99" s="202"/>
      <c r="FD99" s="202"/>
      <c r="FE99" s="202"/>
      <c r="FF99" s="202"/>
      <c r="FG99" s="202"/>
      <c r="FH99" s="202"/>
      <c r="FI99" s="202"/>
    </row>
    <row r="100" spans="1:165" s="228" customFormat="1" ht="18" customHeight="1" x14ac:dyDescent="0.25">
      <c r="A100" s="576">
        <f t="shared" si="3"/>
        <v>91</v>
      </c>
      <c r="B100" s="588">
        <v>0</v>
      </c>
      <c r="C100" s="585">
        <v>4</v>
      </c>
      <c r="D100" s="591" t="s">
        <v>308</v>
      </c>
      <c r="E100" s="589" t="s">
        <v>727</v>
      </c>
      <c r="F100" s="567" t="s">
        <v>1107</v>
      </c>
      <c r="G100" s="591" t="s">
        <v>82</v>
      </c>
      <c r="H100" s="603" t="s">
        <v>817</v>
      </c>
      <c r="I100" s="593">
        <v>4</v>
      </c>
      <c r="J100" s="556" t="s">
        <v>64</v>
      </c>
      <c r="K100" s="594">
        <v>16</v>
      </c>
      <c r="L100" s="306"/>
      <c r="M100" s="307"/>
      <c r="N100" s="307"/>
      <c r="O100" s="307" t="s">
        <v>122</v>
      </c>
      <c r="P100" s="307"/>
      <c r="Q100" s="79"/>
      <c r="R100" s="79"/>
      <c r="S100" s="585"/>
      <c r="T100" s="585"/>
      <c r="U100" s="585"/>
      <c r="V100" s="585"/>
      <c r="W100" s="585"/>
      <c r="X100" s="585"/>
      <c r="Y100" s="585"/>
      <c r="Z100" s="585"/>
      <c r="AA100" s="585"/>
      <c r="AB100" s="585"/>
      <c r="AC100" s="585"/>
      <c r="AD100" s="585"/>
      <c r="AE100" s="585"/>
      <c r="AF100" s="585"/>
      <c r="AG100" s="585"/>
      <c r="AH100" s="585"/>
      <c r="AI100" s="585"/>
      <c r="AJ100" s="79"/>
      <c r="AK100" s="79"/>
      <c r="AL100" s="585"/>
      <c r="AM100" s="585"/>
      <c r="AN100" s="585"/>
      <c r="AO100" s="585"/>
      <c r="AP100" s="585"/>
      <c r="AQ100" s="585"/>
      <c r="AR100" s="585"/>
      <c r="AS100" s="79"/>
      <c r="AT100" s="79"/>
      <c r="AU100" s="585"/>
      <c r="AV100" s="585"/>
      <c r="AW100" s="585"/>
      <c r="AX100" s="585" t="s">
        <v>120</v>
      </c>
      <c r="AY100" s="585"/>
      <c r="AZ100" s="585"/>
      <c r="BA100" s="585"/>
      <c r="BB100" s="585"/>
      <c r="BC100" s="585"/>
      <c r="BD100" s="585" t="s">
        <v>121</v>
      </c>
      <c r="BE100" s="79"/>
      <c r="BF100" s="79"/>
      <c r="BG100" s="585"/>
      <c r="BH100" s="585"/>
      <c r="BI100" s="585"/>
      <c r="BJ100" s="585"/>
      <c r="BK100" s="585"/>
      <c r="BL100" s="585"/>
      <c r="BM100" s="585"/>
      <c r="BN100" s="585"/>
      <c r="BO100" s="585"/>
      <c r="BP100" s="585"/>
      <c r="BQ100" s="79"/>
      <c r="BR100" s="79"/>
      <c r="BS100" s="585"/>
      <c r="BT100" s="79"/>
      <c r="BU100" s="79"/>
      <c r="BV100" s="585"/>
      <c r="BW100" s="585"/>
      <c r="BX100" s="585"/>
      <c r="BY100" s="585"/>
      <c r="BZ100" s="79"/>
      <c r="CA100" s="79"/>
      <c r="CB100" s="585"/>
      <c r="CC100" s="585"/>
      <c r="CD100" s="585"/>
      <c r="CE100" s="79"/>
      <c r="CF100" s="79"/>
      <c r="CG100" s="585"/>
      <c r="CH100" s="585" t="s">
        <v>40</v>
      </c>
      <c r="CI100" s="585" t="s">
        <v>40</v>
      </c>
      <c r="CJ100" s="201"/>
      <c r="CK100" s="202"/>
      <c r="CL100" s="202"/>
      <c r="CM100" s="202"/>
      <c r="CN100" s="202"/>
      <c r="CO100" s="202"/>
      <c r="CP100" s="202"/>
      <c r="CQ100" s="202"/>
      <c r="CR100" s="202"/>
      <c r="CS100" s="202"/>
      <c r="CT100" s="202"/>
      <c r="CU100" s="202"/>
      <c r="CV100" s="202"/>
      <c r="CW100" s="202"/>
      <c r="CX100" s="202"/>
      <c r="CY100" s="202"/>
      <c r="CZ100" s="202"/>
      <c r="DA100" s="202"/>
      <c r="DB100" s="202"/>
      <c r="DC100" s="202"/>
      <c r="DD100" s="202"/>
      <c r="DE100" s="202"/>
      <c r="DF100" s="202"/>
      <c r="DG100" s="202"/>
      <c r="DH100" s="202"/>
      <c r="DI100" s="202"/>
      <c r="DJ100" s="202"/>
      <c r="DK100" s="202"/>
      <c r="DL100" s="202"/>
      <c r="DM100" s="202"/>
      <c r="DN100" s="202"/>
      <c r="DO100" s="202"/>
      <c r="DP100" s="202"/>
      <c r="DQ100" s="202"/>
      <c r="DR100" s="202"/>
      <c r="DS100" s="202"/>
      <c r="DT100" s="202"/>
      <c r="DU100" s="202"/>
      <c r="DV100" s="202"/>
      <c r="DW100" s="202"/>
      <c r="DX100" s="202"/>
      <c r="DY100" s="202"/>
      <c r="DZ100" s="202"/>
      <c r="EA100" s="202"/>
      <c r="EB100" s="202"/>
      <c r="EC100" s="202"/>
      <c r="ED100" s="202"/>
      <c r="EE100" s="202"/>
      <c r="EF100" s="202"/>
      <c r="EG100" s="202"/>
      <c r="EH100" s="202"/>
      <c r="EI100" s="202"/>
      <c r="EJ100" s="202"/>
      <c r="EK100" s="202"/>
      <c r="EL100" s="202"/>
      <c r="EM100" s="202"/>
      <c r="EN100" s="202"/>
      <c r="EO100" s="202"/>
      <c r="EP100" s="202"/>
      <c r="EQ100" s="202"/>
      <c r="ER100" s="202"/>
      <c r="ES100" s="202"/>
      <c r="ET100" s="202"/>
      <c r="EU100" s="202"/>
      <c r="EV100" s="202"/>
      <c r="EW100" s="202"/>
      <c r="EX100" s="202"/>
      <c r="EY100" s="202"/>
      <c r="EZ100" s="202"/>
      <c r="FA100" s="202"/>
      <c r="FB100" s="202"/>
      <c r="FC100" s="202"/>
      <c r="FD100" s="202"/>
      <c r="FE100" s="202"/>
      <c r="FF100" s="202"/>
      <c r="FG100" s="202"/>
      <c r="FH100" s="202"/>
      <c r="FI100" s="202"/>
    </row>
    <row r="101" spans="1:165" s="228" customFormat="1" ht="18" customHeight="1" x14ac:dyDescent="0.25">
      <c r="A101" s="576">
        <f t="shared" si="3"/>
        <v>92</v>
      </c>
      <c r="B101" s="588">
        <v>0</v>
      </c>
      <c r="C101" s="585">
        <v>4</v>
      </c>
      <c r="D101" s="591" t="s">
        <v>308</v>
      </c>
      <c r="E101" s="589" t="s">
        <v>728</v>
      </c>
      <c r="F101" s="567" t="s">
        <v>1109</v>
      </c>
      <c r="G101" s="585" t="s">
        <v>82</v>
      </c>
      <c r="H101" s="603" t="s">
        <v>818</v>
      </c>
      <c r="I101" s="605">
        <v>9</v>
      </c>
      <c r="J101" s="556"/>
      <c r="K101" s="594"/>
      <c r="L101" s="306"/>
      <c r="M101" s="307"/>
      <c r="N101" s="307"/>
      <c r="O101" s="307"/>
      <c r="P101" s="307"/>
      <c r="Q101" s="79"/>
      <c r="R101" s="79"/>
      <c r="S101" s="585"/>
      <c r="T101" s="585"/>
      <c r="U101" s="585"/>
      <c r="V101" s="585"/>
      <c r="W101" s="585"/>
      <c r="X101" s="585"/>
      <c r="Y101" s="585"/>
      <c r="Z101" s="585"/>
      <c r="AA101" s="585"/>
      <c r="AB101" s="585"/>
      <c r="AC101" s="585"/>
      <c r="AD101" s="585"/>
      <c r="AE101" s="585"/>
      <c r="AF101" s="585"/>
      <c r="AG101" s="585"/>
      <c r="AH101" s="585"/>
      <c r="AI101" s="585"/>
      <c r="AJ101" s="79"/>
      <c r="AK101" s="79"/>
      <c r="AL101" s="585"/>
      <c r="AM101" s="585"/>
      <c r="AN101" s="585"/>
      <c r="AO101" s="585"/>
      <c r="AP101" s="585"/>
      <c r="AQ101" s="585"/>
      <c r="AR101" s="585"/>
      <c r="AS101" s="79"/>
      <c r="AT101" s="79"/>
      <c r="AU101" s="585"/>
      <c r="AV101" s="585"/>
      <c r="AW101" s="585"/>
      <c r="AX101" s="585"/>
      <c r="AY101" s="585"/>
      <c r="AZ101" s="585"/>
      <c r="BA101" s="585"/>
      <c r="BB101" s="585"/>
      <c r="BC101" s="585"/>
      <c r="BD101" s="585"/>
      <c r="BE101" s="79"/>
      <c r="BF101" s="79"/>
      <c r="BG101" s="585"/>
      <c r="BH101" s="585"/>
      <c r="BI101" s="585"/>
      <c r="BJ101" s="585"/>
      <c r="BK101" s="585"/>
      <c r="BL101" s="585"/>
      <c r="BM101" s="585"/>
      <c r="BN101" s="585"/>
      <c r="BO101" s="585"/>
      <c r="BP101" s="585"/>
      <c r="BQ101" s="79"/>
      <c r="BR101" s="79"/>
      <c r="BS101" s="585"/>
      <c r="BT101" s="79"/>
      <c r="BU101" s="79"/>
      <c r="BV101" s="585"/>
      <c r="BW101" s="585"/>
      <c r="BX101" s="585"/>
      <c r="BY101" s="585"/>
      <c r="BZ101" s="79"/>
      <c r="CA101" s="79"/>
      <c r="CB101" s="585"/>
      <c r="CC101" s="585"/>
      <c r="CD101" s="585"/>
      <c r="CE101" s="79"/>
      <c r="CF101" s="79"/>
      <c r="CG101" s="585"/>
      <c r="CH101" s="585" t="s">
        <v>40</v>
      </c>
      <c r="CI101" s="585" t="s">
        <v>40</v>
      </c>
      <c r="CJ101" s="201"/>
      <c r="CK101" s="202"/>
      <c r="CL101" s="202"/>
      <c r="CM101" s="202"/>
      <c r="CN101" s="202"/>
      <c r="CO101" s="202"/>
      <c r="CP101" s="202"/>
      <c r="CQ101" s="202"/>
      <c r="CR101" s="202"/>
      <c r="CS101" s="202"/>
      <c r="CT101" s="202"/>
      <c r="CU101" s="202"/>
      <c r="CV101" s="202"/>
      <c r="CW101" s="202"/>
      <c r="CX101" s="202"/>
      <c r="CY101" s="202"/>
      <c r="CZ101" s="202"/>
      <c r="DA101" s="202"/>
      <c r="DB101" s="202"/>
      <c r="DC101" s="202"/>
      <c r="DD101" s="202"/>
      <c r="DE101" s="202"/>
      <c r="DF101" s="202"/>
      <c r="DG101" s="202"/>
      <c r="DH101" s="202"/>
      <c r="DI101" s="202"/>
      <c r="DJ101" s="202"/>
      <c r="DK101" s="202"/>
      <c r="DL101" s="202"/>
      <c r="DM101" s="202"/>
      <c r="DN101" s="202"/>
      <c r="DO101" s="202"/>
      <c r="DP101" s="202"/>
      <c r="DQ101" s="202"/>
      <c r="DR101" s="202"/>
      <c r="DS101" s="202"/>
      <c r="DT101" s="202"/>
      <c r="DU101" s="202"/>
      <c r="DV101" s="202"/>
      <c r="DW101" s="202"/>
      <c r="DX101" s="202"/>
      <c r="DY101" s="202"/>
      <c r="DZ101" s="202"/>
      <c r="EA101" s="202"/>
      <c r="EB101" s="202"/>
      <c r="EC101" s="202"/>
      <c r="ED101" s="202"/>
      <c r="EE101" s="202"/>
      <c r="EF101" s="202"/>
      <c r="EG101" s="202"/>
      <c r="EH101" s="202"/>
      <c r="EI101" s="202"/>
      <c r="EJ101" s="202"/>
      <c r="EK101" s="202"/>
      <c r="EL101" s="202"/>
      <c r="EM101" s="202"/>
      <c r="EN101" s="202"/>
      <c r="EO101" s="202"/>
      <c r="EP101" s="202"/>
      <c r="EQ101" s="202"/>
      <c r="ER101" s="202"/>
      <c r="ES101" s="202"/>
      <c r="ET101" s="202"/>
      <c r="EU101" s="202"/>
      <c r="EV101" s="202"/>
      <c r="EW101" s="202"/>
      <c r="EX101" s="202"/>
      <c r="EY101" s="202"/>
      <c r="EZ101" s="202"/>
      <c r="FA101" s="202"/>
      <c r="FB101" s="202"/>
      <c r="FC101" s="202"/>
      <c r="FD101" s="202"/>
      <c r="FE101" s="202"/>
      <c r="FF101" s="202"/>
      <c r="FG101" s="202"/>
      <c r="FH101" s="202"/>
      <c r="FI101" s="202"/>
    </row>
    <row r="102" spans="1:165" s="228" customFormat="1" ht="18" customHeight="1" x14ac:dyDescent="0.25">
      <c r="A102" s="576">
        <f t="shared" si="3"/>
        <v>93</v>
      </c>
      <c r="B102" s="588">
        <v>0</v>
      </c>
      <c r="C102" s="585">
        <v>4</v>
      </c>
      <c r="D102" s="591" t="s">
        <v>309</v>
      </c>
      <c r="E102" s="595" t="s">
        <v>729</v>
      </c>
      <c r="F102" s="590" t="s">
        <v>1044</v>
      </c>
      <c r="G102" s="591" t="s">
        <v>83</v>
      </c>
      <c r="H102" s="592" t="s">
        <v>889</v>
      </c>
      <c r="I102" s="593">
        <v>4</v>
      </c>
      <c r="J102" s="556"/>
      <c r="K102" s="594"/>
      <c r="L102" s="306"/>
      <c r="M102" s="307"/>
      <c r="N102" s="307"/>
      <c r="O102" s="307" t="s">
        <v>122</v>
      </c>
      <c r="P102" s="307"/>
      <c r="Q102" s="79"/>
      <c r="R102" s="79"/>
      <c r="S102" s="585"/>
      <c r="T102" s="585"/>
      <c r="U102" s="585"/>
      <c r="V102" s="585"/>
      <c r="W102" s="585"/>
      <c r="X102" s="585"/>
      <c r="Y102" s="585"/>
      <c r="Z102" s="585"/>
      <c r="AA102" s="585"/>
      <c r="AB102" s="585"/>
      <c r="AC102" s="585"/>
      <c r="AD102" s="585"/>
      <c r="AE102" s="585"/>
      <c r="AF102" s="585"/>
      <c r="AG102" s="585"/>
      <c r="AH102" s="585"/>
      <c r="AI102" s="585"/>
      <c r="AJ102" s="79"/>
      <c r="AK102" s="79"/>
      <c r="AL102" s="585"/>
      <c r="AM102" s="585"/>
      <c r="AN102" s="585"/>
      <c r="AO102" s="585"/>
      <c r="AP102" s="585"/>
      <c r="AQ102" s="585"/>
      <c r="AR102" s="585"/>
      <c r="AS102" s="79"/>
      <c r="AT102" s="79"/>
      <c r="AU102" s="585"/>
      <c r="AV102" s="585"/>
      <c r="AW102" s="585"/>
      <c r="AX102" s="585" t="s">
        <v>120</v>
      </c>
      <c r="AY102" s="585"/>
      <c r="AZ102" s="585"/>
      <c r="BA102" s="585"/>
      <c r="BB102" s="586" t="s">
        <v>121</v>
      </c>
      <c r="BC102" s="585"/>
      <c r="BD102" s="585" t="s">
        <v>121</v>
      </c>
      <c r="BE102" s="79"/>
      <c r="BF102" s="79"/>
      <c r="BG102" s="585"/>
      <c r="BH102" s="585"/>
      <c r="BI102" s="585"/>
      <c r="BJ102" s="585"/>
      <c r="BK102" s="585"/>
      <c r="BL102" s="585"/>
      <c r="BM102" s="585"/>
      <c r="BN102" s="585"/>
      <c r="BO102" s="585"/>
      <c r="BP102" s="585"/>
      <c r="BQ102" s="79"/>
      <c r="BR102" s="79"/>
      <c r="BS102" s="585"/>
      <c r="BT102" s="79"/>
      <c r="BU102" s="79"/>
      <c r="BV102" s="585"/>
      <c r="BW102" s="585"/>
      <c r="BX102" s="585"/>
      <c r="BY102" s="585"/>
      <c r="BZ102" s="79"/>
      <c r="CA102" s="79"/>
      <c r="CB102" s="585"/>
      <c r="CC102" s="585"/>
      <c r="CD102" s="585"/>
      <c r="CE102" s="79"/>
      <c r="CF102" s="79"/>
      <c r="CG102" s="585"/>
      <c r="CH102" s="585" t="s">
        <v>40</v>
      </c>
      <c r="CI102" s="585" t="s">
        <v>40</v>
      </c>
      <c r="CJ102" s="201"/>
      <c r="CK102" s="202"/>
      <c r="CL102" s="202"/>
      <c r="CM102" s="202"/>
      <c r="CN102" s="202"/>
      <c r="CO102" s="202"/>
      <c r="CP102" s="202"/>
      <c r="CQ102" s="202"/>
      <c r="CR102" s="202"/>
      <c r="CS102" s="202"/>
      <c r="CT102" s="202"/>
      <c r="CU102" s="202"/>
      <c r="CV102" s="202"/>
      <c r="CW102" s="202"/>
      <c r="CX102" s="202"/>
      <c r="CY102" s="202"/>
      <c r="CZ102" s="202"/>
      <c r="DA102" s="202"/>
      <c r="DB102" s="202"/>
      <c r="DC102" s="202"/>
      <c r="DD102" s="202"/>
      <c r="DE102" s="202"/>
      <c r="DF102" s="202"/>
      <c r="DG102" s="202"/>
      <c r="DH102" s="202"/>
      <c r="DI102" s="202"/>
      <c r="DJ102" s="202"/>
      <c r="DK102" s="202"/>
      <c r="DL102" s="202"/>
      <c r="DM102" s="202"/>
      <c r="DN102" s="202"/>
      <c r="DO102" s="202"/>
      <c r="DP102" s="202"/>
      <c r="DQ102" s="202"/>
      <c r="DR102" s="202"/>
      <c r="DS102" s="202"/>
      <c r="DT102" s="202"/>
      <c r="DU102" s="202"/>
      <c r="DV102" s="202"/>
      <c r="DW102" s="202"/>
      <c r="DX102" s="202"/>
      <c r="DY102" s="202"/>
      <c r="DZ102" s="202"/>
      <c r="EA102" s="202"/>
      <c r="EB102" s="202"/>
      <c r="EC102" s="202"/>
      <c r="ED102" s="202"/>
      <c r="EE102" s="202"/>
      <c r="EF102" s="202"/>
      <c r="EG102" s="202"/>
      <c r="EH102" s="202"/>
      <c r="EI102" s="202"/>
      <c r="EJ102" s="202"/>
      <c r="EK102" s="202"/>
      <c r="EL102" s="202"/>
      <c r="EM102" s="202"/>
      <c r="EN102" s="202"/>
      <c r="EO102" s="202"/>
      <c r="EP102" s="202"/>
      <c r="EQ102" s="202"/>
      <c r="ER102" s="202"/>
      <c r="ES102" s="202"/>
      <c r="ET102" s="202"/>
      <c r="EU102" s="202"/>
      <c r="EV102" s="202"/>
      <c r="EW102" s="202"/>
      <c r="EX102" s="202"/>
      <c r="EY102" s="202"/>
      <c r="EZ102" s="202"/>
      <c r="FA102" s="202"/>
      <c r="FB102" s="202"/>
      <c r="FC102" s="202"/>
      <c r="FD102" s="202"/>
      <c r="FE102" s="202"/>
      <c r="FF102" s="202"/>
      <c r="FG102" s="202"/>
      <c r="FH102" s="202"/>
      <c r="FI102" s="202"/>
    </row>
    <row r="103" spans="1:165" s="228" customFormat="1" ht="18" customHeight="1" x14ac:dyDescent="0.25">
      <c r="A103" s="576">
        <f t="shared" si="3"/>
        <v>94</v>
      </c>
      <c r="B103" s="588">
        <v>0</v>
      </c>
      <c r="C103" s="585">
        <v>4</v>
      </c>
      <c r="D103" s="585" t="s">
        <v>313</v>
      </c>
      <c r="E103" s="589" t="s">
        <v>730</v>
      </c>
      <c r="F103" s="567" t="s">
        <v>1114</v>
      </c>
      <c r="G103" s="585" t="s">
        <v>314</v>
      </c>
      <c r="H103" s="585" t="s">
        <v>819</v>
      </c>
      <c r="I103" s="605">
        <v>9</v>
      </c>
      <c r="J103" s="556"/>
      <c r="K103" s="618">
        <v>11</v>
      </c>
      <c r="L103" s="306"/>
      <c r="M103" s="307"/>
      <c r="N103" s="307"/>
      <c r="O103" s="307"/>
      <c r="P103" s="307"/>
      <c r="Q103" s="79"/>
      <c r="R103" s="76"/>
      <c r="S103" s="585"/>
      <c r="T103" s="556"/>
      <c r="U103" s="556"/>
      <c r="V103" s="556"/>
      <c r="W103" s="585"/>
      <c r="X103" s="585"/>
      <c r="Y103" s="585"/>
      <c r="Z103" s="585"/>
      <c r="AA103" s="556"/>
      <c r="AB103" s="556"/>
      <c r="AC103" s="585"/>
      <c r="AD103" s="585"/>
      <c r="AE103" s="556"/>
      <c r="AF103" s="556"/>
      <c r="AG103" s="556"/>
      <c r="AH103" s="585"/>
      <c r="AI103" s="585"/>
      <c r="AJ103" s="76"/>
      <c r="AK103" s="76"/>
      <c r="AL103" s="556"/>
      <c r="AM103" s="556"/>
      <c r="AN103" s="556"/>
      <c r="AO103" s="556"/>
      <c r="AP103" s="556"/>
      <c r="AQ103" s="556"/>
      <c r="AR103" s="556"/>
      <c r="AS103" s="76"/>
      <c r="AT103" s="76"/>
      <c r="AU103" s="556"/>
      <c r="AV103" s="556"/>
      <c r="AW103" s="556"/>
      <c r="AX103" s="556"/>
      <c r="AY103" s="556"/>
      <c r="AZ103" s="556"/>
      <c r="BA103" s="556"/>
      <c r="BB103" s="556"/>
      <c r="BC103" s="556"/>
      <c r="BD103" s="556"/>
      <c r="BE103" s="76"/>
      <c r="BF103" s="76"/>
      <c r="BG103" s="556"/>
      <c r="BH103" s="556"/>
      <c r="BI103" s="556"/>
      <c r="BJ103" s="556"/>
      <c r="BK103" s="556"/>
      <c r="BL103" s="556"/>
      <c r="BM103" s="556"/>
      <c r="BN103" s="556"/>
      <c r="BO103" s="556"/>
      <c r="BP103" s="556"/>
      <c r="BQ103" s="76"/>
      <c r="BR103" s="76"/>
      <c r="BS103" s="556"/>
      <c r="BT103" s="76"/>
      <c r="BU103" s="76"/>
      <c r="BV103" s="556"/>
      <c r="BW103" s="556"/>
      <c r="BX103" s="556"/>
      <c r="BY103" s="556"/>
      <c r="BZ103" s="76"/>
      <c r="CA103" s="76"/>
      <c r="CB103" s="556"/>
      <c r="CC103" s="556"/>
      <c r="CD103" s="556"/>
      <c r="CE103" s="76"/>
      <c r="CF103" s="79"/>
      <c r="CG103" s="556"/>
      <c r="CH103" s="556" t="s">
        <v>40</v>
      </c>
      <c r="CI103" s="556" t="s">
        <v>40</v>
      </c>
      <c r="CJ103" s="201"/>
      <c r="CK103" s="202"/>
      <c r="CL103" s="202"/>
      <c r="CM103" s="202"/>
      <c r="CN103" s="202"/>
      <c r="CO103" s="202"/>
      <c r="CP103" s="202"/>
      <c r="CQ103" s="202"/>
      <c r="CR103" s="202"/>
      <c r="CS103" s="202"/>
      <c r="CT103" s="202"/>
      <c r="CU103" s="202"/>
      <c r="CV103" s="202"/>
      <c r="CW103" s="202"/>
      <c r="CX103" s="202"/>
      <c r="CY103" s="202"/>
      <c r="CZ103" s="202"/>
      <c r="DA103" s="202"/>
      <c r="DB103" s="202"/>
      <c r="DC103" s="202"/>
      <c r="DD103" s="202"/>
      <c r="DE103" s="202"/>
      <c r="DF103" s="202"/>
      <c r="DG103" s="202"/>
      <c r="DH103" s="202"/>
      <c r="DI103" s="202"/>
      <c r="DJ103" s="202"/>
      <c r="DK103" s="202"/>
      <c r="DL103" s="202"/>
      <c r="DM103" s="202"/>
      <c r="DN103" s="202"/>
      <c r="DO103" s="202"/>
      <c r="DP103" s="202"/>
      <c r="DQ103" s="202"/>
      <c r="DR103" s="202"/>
      <c r="DS103" s="202"/>
      <c r="DT103" s="202"/>
      <c r="DU103" s="202"/>
      <c r="DV103" s="202"/>
      <c r="DW103" s="202"/>
      <c r="DX103" s="202"/>
      <c r="DY103" s="202"/>
      <c r="DZ103" s="202"/>
      <c r="EA103" s="202"/>
      <c r="EB103" s="202"/>
      <c r="EC103" s="202"/>
      <c r="ED103" s="202"/>
      <c r="EE103" s="202"/>
      <c r="EF103" s="202"/>
      <c r="EG103" s="202"/>
      <c r="EH103" s="202"/>
      <c r="EI103" s="202"/>
      <c r="EJ103" s="202"/>
      <c r="EK103" s="202"/>
      <c r="EL103" s="202"/>
      <c r="EM103" s="202"/>
      <c r="EN103" s="202"/>
      <c r="EO103" s="202"/>
      <c r="EP103" s="202"/>
      <c r="EQ103" s="202"/>
      <c r="ER103" s="202"/>
      <c r="ES103" s="202"/>
      <c r="ET103" s="202"/>
      <c r="EU103" s="202"/>
      <c r="EV103" s="202"/>
      <c r="EW103" s="202"/>
      <c r="EX103" s="202"/>
      <c r="EY103" s="202"/>
      <c r="EZ103" s="202"/>
      <c r="FA103" s="202"/>
      <c r="FB103" s="202"/>
      <c r="FC103" s="202"/>
      <c r="FD103" s="202"/>
      <c r="FE103" s="202"/>
      <c r="FF103" s="202"/>
      <c r="FG103" s="202"/>
      <c r="FH103" s="202"/>
      <c r="FI103" s="202"/>
    </row>
    <row r="104" spans="1:165" s="228" customFormat="1" ht="18" customHeight="1" x14ac:dyDescent="0.25">
      <c r="A104" s="576">
        <f t="shared" si="3"/>
        <v>95</v>
      </c>
      <c r="B104" s="588">
        <v>0</v>
      </c>
      <c r="C104" s="585">
        <v>4</v>
      </c>
      <c r="D104" s="585" t="s">
        <v>315</v>
      </c>
      <c r="E104" s="589" t="s">
        <v>1091</v>
      </c>
      <c r="F104" s="586" t="s">
        <v>1111</v>
      </c>
      <c r="G104" s="585" t="s">
        <v>84</v>
      </c>
      <c r="H104" s="603" t="s">
        <v>1090</v>
      </c>
      <c r="I104" s="593">
        <v>4</v>
      </c>
      <c r="J104" s="556" t="s">
        <v>64</v>
      </c>
      <c r="K104" s="594">
        <v>16</v>
      </c>
      <c r="L104" s="306"/>
      <c r="M104" s="307"/>
      <c r="N104" s="307"/>
      <c r="O104" s="307" t="s">
        <v>122</v>
      </c>
      <c r="P104" s="307"/>
      <c r="Q104" s="79"/>
      <c r="R104" s="79"/>
      <c r="S104" s="585"/>
      <c r="T104" s="585"/>
      <c r="U104" s="585"/>
      <c r="V104" s="585"/>
      <c r="W104" s="585"/>
      <c r="X104" s="585"/>
      <c r="Y104" s="585"/>
      <c r="Z104" s="585"/>
      <c r="AA104" s="585"/>
      <c r="AB104" s="585"/>
      <c r="AC104" s="585"/>
      <c r="AD104" s="585"/>
      <c r="AE104" s="585"/>
      <c r="AF104" s="585"/>
      <c r="AG104" s="585"/>
      <c r="AH104" s="585"/>
      <c r="AI104" s="585"/>
      <c r="AJ104" s="79"/>
      <c r="AK104" s="79"/>
      <c r="AL104" s="585"/>
      <c r="AM104" s="585"/>
      <c r="AN104" s="585"/>
      <c r="AO104" s="585"/>
      <c r="AP104" s="585"/>
      <c r="AQ104" s="585"/>
      <c r="AR104" s="585"/>
      <c r="AS104" s="79"/>
      <c r="AT104" s="79"/>
      <c r="AU104" s="585"/>
      <c r="AV104" s="585"/>
      <c r="AW104" s="585"/>
      <c r="AX104" s="585" t="s">
        <v>120</v>
      </c>
      <c r="AY104" s="585"/>
      <c r="AZ104" s="585"/>
      <c r="BA104" s="585"/>
      <c r="BB104" s="585" t="s">
        <v>121</v>
      </c>
      <c r="BC104" s="585"/>
      <c r="BD104" s="585" t="s">
        <v>121</v>
      </c>
      <c r="BE104" s="79"/>
      <c r="BF104" s="79"/>
      <c r="BG104" s="585"/>
      <c r="BH104" s="585"/>
      <c r="BI104" s="585"/>
      <c r="BJ104" s="585"/>
      <c r="BK104" s="585"/>
      <c r="BL104" s="585"/>
      <c r="BM104" s="585"/>
      <c r="BN104" s="585"/>
      <c r="BO104" s="585"/>
      <c r="BP104" s="585"/>
      <c r="BQ104" s="79"/>
      <c r="BR104" s="79"/>
      <c r="BS104" s="585"/>
      <c r="BT104" s="79"/>
      <c r="BU104" s="79"/>
      <c r="BV104" s="585"/>
      <c r="BW104" s="585"/>
      <c r="BX104" s="585"/>
      <c r="BY104" s="585"/>
      <c r="BZ104" s="79"/>
      <c r="CA104" s="79"/>
      <c r="CB104" s="585"/>
      <c r="CC104" s="585"/>
      <c r="CD104" s="585"/>
      <c r="CE104" s="79"/>
      <c r="CF104" s="79"/>
      <c r="CG104" s="585"/>
      <c r="CH104" s="556" t="s">
        <v>40</v>
      </c>
      <c r="CI104" s="556" t="s">
        <v>40</v>
      </c>
      <c r="CJ104" s="201"/>
      <c r="CK104" s="202"/>
      <c r="CL104" s="202"/>
      <c r="CM104" s="202"/>
      <c r="CN104" s="202"/>
      <c r="CO104" s="202"/>
      <c r="CP104" s="202"/>
      <c r="CQ104" s="202"/>
      <c r="CR104" s="202"/>
      <c r="CS104" s="202"/>
      <c r="CT104" s="202"/>
      <c r="CU104" s="202"/>
      <c r="CV104" s="202"/>
      <c r="CW104" s="202"/>
      <c r="CX104" s="202"/>
      <c r="CY104" s="202"/>
      <c r="CZ104" s="202"/>
      <c r="DA104" s="202"/>
      <c r="DB104" s="202"/>
      <c r="DC104" s="202"/>
      <c r="DD104" s="202"/>
      <c r="DE104" s="202"/>
      <c r="DF104" s="202"/>
      <c r="DG104" s="202"/>
      <c r="DH104" s="202"/>
      <c r="DI104" s="202"/>
      <c r="DJ104" s="202"/>
      <c r="DK104" s="202"/>
      <c r="DL104" s="202"/>
      <c r="DM104" s="202"/>
      <c r="DN104" s="202"/>
      <c r="DO104" s="202"/>
      <c r="DP104" s="202"/>
      <c r="DQ104" s="202"/>
      <c r="DR104" s="202"/>
      <c r="DS104" s="202"/>
      <c r="DT104" s="202"/>
      <c r="DU104" s="202"/>
      <c r="DV104" s="202"/>
      <c r="DW104" s="202"/>
      <c r="DX104" s="202"/>
      <c r="DY104" s="202"/>
      <c r="DZ104" s="202"/>
      <c r="EA104" s="202"/>
      <c r="EB104" s="202"/>
      <c r="EC104" s="202"/>
      <c r="ED104" s="202"/>
      <c r="EE104" s="202"/>
      <c r="EF104" s="202"/>
      <c r="EG104" s="202"/>
      <c r="EH104" s="202"/>
      <c r="EI104" s="202"/>
      <c r="EJ104" s="202"/>
      <c r="EK104" s="202"/>
      <c r="EL104" s="202"/>
      <c r="EM104" s="202"/>
      <c r="EN104" s="202"/>
      <c r="EO104" s="202"/>
      <c r="EP104" s="202"/>
      <c r="EQ104" s="202"/>
      <c r="ER104" s="202"/>
      <c r="ES104" s="202"/>
      <c r="ET104" s="202"/>
      <c r="EU104" s="202"/>
      <c r="EV104" s="202"/>
      <c r="EW104" s="202"/>
      <c r="EX104" s="202"/>
      <c r="EY104" s="202"/>
      <c r="EZ104" s="202"/>
      <c r="FA104" s="202"/>
      <c r="FB104" s="202"/>
      <c r="FC104" s="202"/>
      <c r="FD104" s="202"/>
      <c r="FE104" s="202"/>
      <c r="FF104" s="202"/>
      <c r="FG104" s="202"/>
      <c r="FH104" s="202"/>
      <c r="FI104" s="202"/>
    </row>
    <row r="105" spans="1:165" s="228" customFormat="1" ht="18" customHeight="1" x14ac:dyDescent="0.25">
      <c r="A105" s="578">
        <f t="shared" si="3"/>
        <v>96</v>
      </c>
      <c r="B105" s="588">
        <v>0</v>
      </c>
      <c r="C105" s="585">
        <v>4</v>
      </c>
      <c r="D105" s="585" t="s">
        <v>316</v>
      </c>
      <c r="E105" s="597" t="s">
        <v>731</v>
      </c>
      <c r="F105" s="567" t="s">
        <v>1044</v>
      </c>
      <c r="G105" s="556" t="s">
        <v>85</v>
      </c>
      <c r="H105" s="599" t="s">
        <v>820</v>
      </c>
      <c r="I105" s="593">
        <v>4</v>
      </c>
      <c r="J105" s="556" t="s">
        <v>64</v>
      </c>
      <c r="K105" s="594">
        <v>16</v>
      </c>
      <c r="L105" s="306"/>
      <c r="M105" s="307"/>
      <c r="N105" s="307"/>
      <c r="O105" s="307" t="s">
        <v>122</v>
      </c>
      <c r="P105" s="307"/>
      <c r="Q105" s="79"/>
      <c r="R105" s="76"/>
      <c r="S105" s="585"/>
      <c r="T105" s="556"/>
      <c r="U105" s="556"/>
      <c r="V105" s="556"/>
      <c r="W105" s="585"/>
      <c r="X105" s="585"/>
      <c r="Y105" s="585"/>
      <c r="Z105" s="585"/>
      <c r="AA105" s="556"/>
      <c r="AB105" s="556"/>
      <c r="AC105" s="585"/>
      <c r="AD105" s="585"/>
      <c r="AE105" s="556"/>
      <c r="AF105" s="556"/>
      <c r="AG105" s="556"/>
      <c r="AH105" s="585"/>
      <c r="AI105" s="585"/>
      <c r="AJ105" s="76"/>
      <c r="AK105" s="76"/>
      <c r="AL105" s="556"/>
      <c r="AM105" s="556"/>
      <c r="AN105" s="556"/>
      <c r="AO105" s="556"/>
      <c r="AP105" s="556"/>
      <c r="AQ105" s="556"/>
      <c r="AR105" s="556"/>
      <c r="AS105" s="76"/>
      <c r="AT105" s="76"/>
      <c r="AU105" s="556"/>
      <c r="AV105" s="556"/>
      <c r="AW105" s="556"/>
      <c r="AX105" s="585" t="s">
        <v>120</v>
      </c>
      <c r="AY105" s="585"/>
      <c r="AZ105" s="585"/>
      <c r="BA105" s="585"/>
      <c r="BB105" s="585" t="s">
        <v>121</v>
      </c>
      <c r="BC105" s="556"/>
      <c r="BD105" s="585" t="s">
        <v>121</v>
      </c>
      <c r="BE105" s="76"/>
      <c r="BF105" s="76"/>
      <c r="BG105" s="556"/>
      <c r="BH105" s="556"/>
      <c r="BI105" s="556"/>
      <c r="BJ105" s="556"/>
      <c r="BK105" s="585"/>
      <c r="BL105" s="556"/>
      <c r="BM105" s="556"/>
      <c r="BN105" s="556"/>
      <c r="BO105" s="556"/>
      <c r="BP105" s="556"/>
      <c r="BQ105" s="76"/>
      <c r="BR105" s="76"/>
      <c r="BS105" s="556"/>
      <c r="BT105" s="76"/>
      <c r="BU105" s="76"/>
      <c r="BV105" s="556"/>
      <c r="BW105" s="556"/>
      <c r="BX105" s="556"/>
      <c r="BY105" s="556"/>
      <c r="BZ105" s="76"/>
      <c r="CA105" s="76"/>
      <c r="CB105" s="556"/>
      <c r="CC105" s="556"/>
      <c r="CD105" s="556"/>
      <c r="CE105" s="76"/>
      <c r="CF105" s="79"/>
      <c r="CG105" s="556"/>
      <c r="CH105" s="556" t="s">
        <v>40</v>
      </c>
      <c r="CI105" s="556" t="s">
        <v>40</v>
      </c>
      <c r="CJ105" s="201"/>
      <c r="CK105" s="202"/>
      <c r="CL105" s="202"/>
      <c r="CM105" s="202"/>
      <c r="CN105" s="202"/>
      <c r="CO105" s="202"/>
      <c r="CP105" s="202"/>
      <c r="CQ105" s="202"/>
      <c r="CR105" s="202"/>
      <c r="CS105" s="202"/>
      <c r="CT105" s="202"/>
      <c r="CU105" s="202"/>
      <c r="CV105" s="202"/>
      <c r="CW105" s="202"/>
      <c r="CX105" s="202"/>
      <c r="CY105" s="202"/>
      <c r="CZ105" s="202"/>
      <c r="DA105" s="202"/>
      <c r="DB105" s="202"/>
      <c r="DC105" s="202"/>
      <c r="DD105" s="202"/>
      <c r="DE105" s="202"/>
      <c r="DF105" s="202"/>
      <c r="DG105" s="202"/>
      <c r="DH105" s="202"/>
      <c r="DI105" s="202"/>
      <c r="DJ105" s="202"/>
      <c r="DK105" s="202"/>
      <c r="DL105" s="202"/>
      <c r="DM105" s="202"/>
      <c r="DN105" s="202"/>
      <c r="DO105" s="202"/>
      <c r="DP105" s="202"/>
      <c r="DQ105" s="202"/>
      <c r="DR105" s="202"/>
      <c r="DS105" s="202"/>
      <c r="DT105" s="202"/>
      <c r="DU105" s="202"/>
      <c r="DV105" s="202"/>
      <c r="DW105" s="202"/>
      <c r="DX105" s="202"/>
      <c r="DY105" s="202"/>
      <c r="DZ105" s="202"/>
      <c r="EA105" s="202"/>
      <c r="EB105" s="202"/>
      <c r="EC105" s="202"/>
      <c r="ED105" s="202"/>
      <c r="EE105" s="202"/>
      <c r="EF105" s="202"/>
      <c r="EG105" s="202"/>
      <c r="EH105" s="202"/>
      <c r="EI105" s="202"/>
      <c r="EJ105" s="202"/>
      <c r="EK105" s="202"/>
      <c r="EL105" s="202"/>
      <c r="EM105" s="202"/>
      <c r="EN105" s="202"/>
      <c r="EO105" s="202"/>
      <c r="EP105" s="202"/>
      <c r="EQ105" s="202"/>
      <c r="ER105" s="202"/>
      <c r="ES105" s="202"/>
      <c r="ET105" s="202"/>
      <c r="EU105" s="202"/>
      <c r="EV105" s="202"/>
      <c r="EW105" s="202"/>
      <c r="EX105" s="202"/>
      <c r="EY105" s="202"/>
      <c r="EZ105" s="202"/>
      <c r="FA105" s="202"/>
      <c r="FB105" s="202"/>
      <c r="FC105" s="202"/>
      <c r="FD105" s="202"/>
      <c r="FE105" s="202"/>
      <c r="FF105" s="202"/>
      <c r="FG105" s="202"/>
      <c r="FH105" s="202"/>
      <c r="FI105" s="202"/>
    </row>
    <row r="106" spans="1:165" s="228" customFormat="1" ht="18" customHeight="1" x14ac:dyDescent="0.25">
      <c r="A106" s="578">
        <f t="shared" si="3"/>
        <v>97</v>
      </c>
      <c r="B106" s="588">
        <v>0</v>
      </c>
      <c r="C106" s="585">
        <v>4</v>
      </c>
      <c r="D106" s="585" t="s">
        <v>317</v>
      </c>
      <c r="E106" s="597" t="s">
        <v>732</v>
      </c>
      <c r="F106" s="567" t="s">
        <v>1044</v>
      </c>
      <c r="G106" s="556" t="s">
        <v>318</v>
      </c>
      <c r="H106" s="599" t="s">
        <v>821</v>
      </c>
      <c r="I106" s="593">
        <v>4</v>
      </c>
      <c r="J106" s="556" t="s">
        <v>64</v>
      </c>
      <c r="K106" s="594">
        <v>16</v>
      </c>
      <c r="L106" s="306"/>
      <c r="M106" s="307"/>
      <c r="N106" s="307"/>
      <c r="O106" s="307" t="s">
        <v>122</v>
      </c>
      <c r="P106" s="307"/>
      <c r="Q106" s="79"/>
      <c r="R106" s="76"/>
      <c r="S106" s="585"/>
      <c r="T106" s="556"/>
      <c r="U106" s="556"/>
      <c r="V106" s="556"/>
      <c r="W106" s="585"/>
      <c r="X106" s="585"/>
      <c r="Y106" s="585"/>
      <c r="Z106" s="585"/>
      <c r="AA106" s="556"/>
      <c r="AB106" s="556"/>
      <c r="AC106" s="585"/>
      <c r="AD106" s="585"/>
      <c r="AE106" s="556"/>
      <c r="AF106" s="556"/>
      <c r="AG106" s="556"/>
      <c r="AH106" s="585"/>
      <c r="AI106" s="585"/>
      <c r="AJ106" s="76"/>
      <c r="AK106" s="76"/>
      <c r="AL106" s="556"/>
      <c r="AM106" s="556"/>
      <c r="AN106" s="556"/>
      <c r="AO106" s="556"/>
      <c r="AP106" s="556"/>
      <c r="AQ106" s="556"/>
      <c r="AR106" s="556"/>
      <c r="AS106" s="76"/>
      <c r="AT106" s="76"/>
      <c r="AU106" s="556"/>
      <c r="AV106" s="556"/>
      <c r="AW106" s="556"/>
      <c r="AX106" s="585" t="s">
        <v>120</v>
      </c>
      <c r="AY106" s="585"/>
      <c r="AZ106" s="585"/>
      <c r="BA106" s="585"/>
      <c r="BB106" s="585" t="s">
        <v>121</v>
      </c>
      <c r="BC106" s="556"/>
      <c r="BD106" s="585" t="s">
        <v>121</v>
      </c>
      <c r="BE106" s="76"/>
      <c r="BF106" s="76"/>
      <c r="BG106" s="556"/>
      <c r="BH106" s="556"/>
      <c r="BI106" s="556"/>
      <c r="BJ106" s="556"/>
      <c r="BK106" s="585"/>
      <c r="BL106" s="556"/>
      <c r="BM106" s="556"/>
      <c r="BN106" s="556"/>
      <c r="BO106" s="556"/>
      <c r="BP106" s="556"/>
      <c r="BQ106" s="76"/>
      <c r="BR106" s="76"/>
      <c r="BS106" s="556"/>
      <c r="BT106" s="76"/>
      <c r="BU106" s="76"/>
      <c r="BV106" s="556"/>
      <c r="BW106" s="556"/>
      <c r="BX106" s="556"/>
      <c r="BY106" s="556"/>
      <c r="BZ106" s="76"/>
      <c r="CA106" s="76"/>
      <c r="CB106" s="556"/>
      <c r="CC106" s="556"/>
      <c r="CD106" s="556"/>
      <c r="CE106" s="76"/>
      <c r="CF106" s="79"/>
      <c r="CG106" s="556"/>
      <c r="CH106" s="556" t="s">
        <v>40</v>
      </c>
      <c r="CI106" s="556" t="s">
        <v>40</v>
      </c>
      <c r="CJ106" s="201"/>
      <c r="CK106" s="202"/>
      <c r="CL106" s="202"/>
      <c r="CM106" s="202"/>
      <c r="CN106" s="202"/>
      <c r="CO106" s="202"/>
      <c r="CP106" s="202"/>
      <c r="CQ106" s="202"/>
      <c r="CR106" s="202"/>
      <c r="CS106" s="202"/>
      <c r="CT106" s="202"/>
      <c r="CU106" s="202"/>
      <c r="CV106" s="202"/>
      <c r="CW106" s="202"/>
      <c r="CX106" s="202"/>
      <c r="CY106" s="202"/>
      <c r="CZ106" s="202"/>
      <c r="DA106" s="202"/>
      <c r="DB106" s="202"/>
      <c r="DC106" s="202"/>
      <c r="DD106" s="202"/>
      <c r="DE106" s="202"/>
      <c r="DF106" s="202"/>
      <c r="DG106" s="202"/>
      <c r="DH106" s="202"/>
      <c r="DI106" s="202"/>
      <c r="DJ106" s="202"/>
      <c r="DK106" s="202"/>
      <c r="DL106" s="202"/>
      <c r="DM106" s="202"/>
      <c r="DN106" s="202"/>
      <c r="DO106" s="202"/>
      <c r="DP106" s="202"/>
      <c r="DQ106" s="202"/>
      <c r="DR106" s="202"/>
      <c r="DS106" s="202"/>
      <c r="DT106" s="202"/>
      <c r="DU106" s="202"/>
      <c r="DV106" s="202"/>
      <c r="DW106" s="202"/>
      <c r="DX106" s="202"/>
      <c r="DY106" s="202"/>
      <c r="DZ106" s="202"/>
      <c r="EA106" s="202"/>
      <c r="EB106" s="202"/>
      <c r="EC106" s="202"/>
      <c r="ED106" s="202"/>
      <c r="EE106" s="202"/>
      <c r="EF106" s="202"/>
      <c r="EG106" s="202"/>
      <c r="EH106" s="202"/>
      <c r="EI106" s="202"/>
      <c r="EJ106" s="202"/>
      <c r="EK106" s="202"/>
      <c r="EL106" s="202"/>
      <c r="EM106" s="202"/>
      <c r="EN106" s="202"/>
      <c r="EO106" s="202"/>
      <c r="EP106" s="202"/>
      <c r="EQ106" s="202"/>
      <c r="ER106" s="202"/>
      <c r="ES106" s="202"/>
      <c r="ET106" s="202"/>
      <c r="EU106" s="202"/>
      <c r="EV106" s="202"/>
      <c r="EW106" s="202"/>
      <c r="EX106" s="202"/>
      <c r="EY106" s="202"/>
      <c r="EZ106" s="202"/>
      <c r="FA106" s="202"/>
      <c r="FB106" s="202"/>
      <c r="FC106" s="202"/>
      <c r="FD106" s="202"/>
      <c r="FE106" s="202"/>
      <c r="FF106" s="202"/>
      <c r="FG106" s="202"/>
      <c r="FH106" s="202"/>
      <c r="FI106" s="202"/>
    </row>
    <row r="107" spans="1:165" s="228" customFormat="1" ht="18" customHeight="1" x14ac:dyDescent="0.25">
      <c r="A107" s="578">
        <f t="shared" si="3"/>
        <v>98</v>
      </c>
      <c r="B107" s="588">
        <v>0</v>
      </c>
      <c r="C107" s="585">
        <v>4</v>
      </c>
      <c r="D107" s="585" t="s">
        <v>319</v>
      </c>
      <c r="E107" s="589" t="s">
        <v>733</v>
      </c>
      <c r="F107" s="586" t="s">
        <v>1111</v>
      </c>
      <c r="G107" s="585" t="s">
        <v>86</v>
      </c>
      <c r="H107" s="603" t="s">
        <v>822</v>
      </c>
      <c r="I107" s="593">
        <v>4</v>
      </c>
      <c r="J107" s="556" t="s">
        <v>64</v>
      </c>
      <c r="K107" s="594">
        <v>16</v>
      </c>
      <c r="L107" s="306"/>
      <c r="M107" s="307"/>
      <c r="N107" s="307"/>
      <c r="O107" s="307" t="s">
        <v>122</v>
      </c>
      <c r="P107" s="307"/>
      <c r="Q107" s="79"/>
      <c r="R107" s="79"/>
      <c r="S107" s="585"/>
      <c r="T107" s="585"/>
      <c r="U107" s="585"/>
      <c r="V107" s="585"/>
      <c r="W107" s="585"/>
      <c r="X107" s="585"/>
      <c r="Y107" s="585"/>
      <c r="Z107" s="585"/>
      <c r="AA107" s="585"/>
      <c r="AB107" s="585"/>
      <c r="AC107" s="585"/>
      <c r="AD107" s="585"/>
      <c r="AE107" s="585"/>
      <c r="AF107" s="585"/>
      <c r="AG107" s="585"/>
      <c r="AH107" s="585"/>
      <c r="AI107" s="585"/>
      <c r="AJ107" s="79"/>
      <c r="AK107" s="79"/>
      <c r="AL107" s="585"/>
      <c r="AM107" s="585"/>
      <c r="AN107" s="585"/>
      <c r="AO107" s="585"/>
      <c r="AP107" s="585"/>
      <c r="AQ107" s="585"/>
      <c r="AR107" s="585"/>
      <c r="AS107" s="79"/>
      <c r="AT107" s="79"/>
      <c r="AU107" s="585"/>
      <c r="AV107" s="585"/>
      <c r="AW107" s="585"/>
      <c r="AX107" s="585" t="s">
        <v>120</v>
      </c>
      <c r="AY107" s="585"/>
      <c r="AZ107" s="585"/>
      <c r="BA107" s="585"/>
      <c r="BB107" s="585" t="s">
        <v>121</v>
      </c>
      <c r="BC107" s="585"/>
      <c r="BD107" s="585" t="s">
        <v>121</v>
      </c>
      <c r="BE107" s="79"/>
      <c r="BF107" s="79"/>
      <c r="BG107" s="585"/>
      <c r="BH107" s="585"/>
      <c r="BI107" s="585"/>
      <c r="BJ107" s="585"/>
      <c r="BK107" s="585"/>
      <c r="BL107" s="585"/>
      <c r="BM107" s="585"/>
      <c r="BN107" s="585"/>
      <c r="BO107" s="585"/>
      <c r="BP107" s="585"/>
      <c r="BQ107" s="79"/>
      <c r="BR107" s="79"/>
      <c r="BS107" s="585"/>
      <c r="BT107" s="79"/>
      <c r="BU107" s="79"/>
      <c r="BV107" s="585"/>
      <c r="BW107" s="585"/>
      <c r="BX107" s="585"/>
      <c r="BY107" s="585"/>
      <c r="BZ107" s="79"/>
      <c r="CA107" s="79"/>
      <c r="CB107" s="585"/>
      <c r="CC107" s="585"/>
      <c r="CD107" s="585"/>
      <c r="CE107" s="79"/>
      <c r="CF107" s="79"/>
      <c r="CG107" s="585"/>
      <c r="CH107" s="556" t="s">
        <v>40</v>
      </c>
      <c r="CI107" s="556" t="s">
        <v>40</v>
      </c>
      <c r="CJ107" s="201"/>
      <c r="CK107" s="202"/>
      <c r="CL107" s="202"/>
      <c r="CM107" s="202"/>
      <c r="CN107" s="202"/>
      <c r="CO107" s="202"/>
      <c r="CP107" s="202"/>
      <c r="CQ107" s="202"/>
      <c r="CR107" s="202"/>
      <c r="CS107" s="202"/>
      <c r="CT107" s="202"/>
      <c r="CU107" s="202"/>
      <c r="CV107" s="202"/>
      <c r="CW107" s="202"/>
      <c r="CX107" s="202"/>
      <c r="CY107" s="202"/>
      <c r="CZ107" s="202"/>
      <c r="DA107" s="202"/>
      <c r="DB107" s="202"/>
      <c r="DC107" s="202"/>
      <c r="DD107" s="202"/>
      <c r="DE107" s="202"/>
      <c r="DF107" s="202"/>
      <c r="DG107" s="202"/>
      <c r="DH107" s="202"/>
      <c r="DI107" s="202"/>
      <c r="DJ107" s="202"/>
      <c r="DK107" s="202"/>
      <c r="DL107" s="202"/>
      <c r="DM107" s="202"/>
      <c r="DN107" s="202"/>
      <c r="DO107" s="202"/>
      <c r="DP107" s="202"/>
      <c r="DQ107" s="202"/>
      <c r="DR107" s="202"/>
      <c r="DS107" s="202"/>
      <c r="DT107" s="202"/>
      <c r="DU107" s="202"/>
      <c r="DV107" s="202"/>
      <c r="DW107" s="202"/>
      <c r="DX107" s="202"/>
      <c r="DY107" s="202"/>
      <c r="DZ107" s="202"/>
      <c r="EA107" s="202"/>
      <c r="EB107" s="202"/>
      <c r="EC107" s="202"/>
      <c r="ED107" s="202"/>
      <c r="EE107" s="202"/>
      <c r="EF107" s="202"/>
      <c r="EG107" s="202"/>
      <c r="EH107" s="202"/>
      <c r="EI107" s="202"/>
      <c r="EJ107" s="202"/>
      <c r="EK107" s="202"/>
      <c r="EL107" s="202"/>
      <c r="EM107" s="202"/>
      <c r="EN107" s="202"/>
      <c r="EO107" s="202"/>
      <c r="EP107" s="202"/>
      <c r="EQ107" s="202"/>
      <c r="ER107" s="202"/>
      <c r="ES107" s="202"/>
      <c r="ET107" s="202"/>
      <c r="EU107" s="202"/>
      <c r="EV107" s="202"/>
      <c r="EW107" s="202"/>
      <c r="EX107" s="202"/>
      <c r="EY107" s="202"/>
      <c r="EZ107" s="202"/>
      <c r="FA107" s="202"/>
      <c r="FB107" s="202"/>
      <c r="FC107" s="202"/>
      <c r="FD107" s="202"/>
      <c r="FE107" s="202"/>
      <c r="FF107" s="202"/>
      <c r="FG107" s="202"/>
      <c r="FH107" s="202"/>
      <c r="FI107" s="202"/>
    </row>
    <row r="108" spans="1:165" s="228" customFormat="1" ht="18" customHeight="1" x14ac:dyDescent="0.25">
      <c r="A108" s="578">
        <f t="shared" si="3"/>
        <v>99</v>
      </c>
      <c r="B108" s="588">
        <v>0</v>
      </c>
      <c r="C108" s="585">
        <v>4</v>
      </c>
      <c r="D108" s="585" t="s">
        <v>320</v>
      </c>
      <c r="E108" s="597" t="s">
        <v>734</v>
      </c>
      <c r="F108" s="567" t="s">
        <v>1044</v>
      </c>
      <c r="G108" s="556" t="s">
        <v>87</v>
      </c>
      <c r="H108" s="599" t="s">
        <v>823</v>
      </c>
      <c r="I108" s="593">
        <v>4</v>
      </c>
      <c r="J108" s="556" t="s">
        <v>64</v>
      </c>
      <c r="K108" s="594">
        <v>16</v>
      </c>
      <c r="L108" s="306"/>
      <c r="M108" s="307"/>
      <c r="N108" s="307"/>
      <c r="O108" s="307" t="s">
        <v>122</v>
      </c>
      <c r="P108" s="307"/>
      <c r="Q108" s="79"/>
      <c r="R108" s="76"/>
      <c r="S108" s="585"/>
      <c r="T108" s="556"/>
      <c r="U108" s="556"/>
      <c r="V108" s="556"/>
      <c r="W108" s="585"/>
      <c r="X108" s="585"/>
      <c r="Y108" s="585"/>
      <c r="Z108" s="585"/>
      <c r="AA108" s="556"/>
      <c r="AB108" s="556"/>
      <c r="AC108" s="585"/>
      <c r="AD108" s="585"/>
      <c r="AE108" s="556"/>
      <c r="AF108" s="556"/>
      <c r="AG108" s="556"/>
      <c r="AH108" s="585"/>
      <c r="AI108" s="585"/>
      <c r="AJ108" s="76"/>
      <c r="AK108" s="76"/>
      <c r="AL108" s="556"/>
      <c r="AM108" s="556"/>
      <c r="AN108" s="556"/>
      <c r="AO108" s="556"/>
      <c r="AP108" s="556"/>
      <c r="AQ108" s="556"/>
      <c r="AR108" s="556"/>
      <c r="AS108" s="76"/>
      <c r="AT108" s="76"/>
      <c r="AU108" s="556"/>
      <c r="AV108" s="556"/>
      <c r="AW108" s="556"/>
      <c r="AX108" s="585" t="s">
        <v>120</v>
      </c>
      <c r="AY108" s="585"/>
      <c r="AZ108" s="585"/>
      <c r="BA108" s="585"/>
      <c r="BB108" s="585" t="s">
        <v>121</v>
      </c>
      <c r="BC108" s="556"/>
      <c r="BD108" s="585" t="s">
        <v>121</v>
      </c>
      <c r="BE108" s="76"/>
      <c r="BF108" s="76"/>
      <c r="BG108" s="556"/>
      <c r="BH108" s="556"/>
      <c r="BI108" s="556"/>
      <c r="BJ108" s="556"/>
      <c r="BK108" s="585"/>
      <c r="BL108" s="556"/>
      <c r="BM108" s="556"/>
      <c r="BN108" s="556"/>
      <c r="BO108" s="556"/>
      <c r="BP108" s="556"/>
      <c r="BQ108" s="76"/>
      <c r="BR108" s="76"/>
      <c r="BS108" s="556"/>
      <c r="BT108" s="76"/>
      <c r="BU108" s="76"/>
      <c r="BV108" s="556"/>
      <c r="BW108" s="556"/>
      <c r="BX108" s="556"/>
      <c r="BY108" s="556"/>
      <c r="BZ108" s="76"/>
      <c r="CA108" s="76"/>
      <c r="CB108" s="556"/>
      <c r="CC108" s="556"/>
      <c r="CD108" s="556"/>
      <c r="CE108" s="76"/>
      <c r="CF108" s="79"/>
      <c r="CG108" s="556"/>
      <c r="CH108" s="556" t="s">
        <v>40</v>
      </c>
      <c r="CI108" s="556" t="s">
        <v>40</v>
      </c>
      <c r="CJ108" s="201"/>
      <c r="CK108" s="202"/>
      <c r="CL108" s="202"/>
      <c r="CM108" s="202"/>
      <c r="CN108" s="202"/>
      <c r="CO108" s="202"/>
      <c r="CP108" s="202"/>
      <c r="CQ108" s="202"/>
      <c r="CR108" s="202"/>
      <c r="CS108" s="202"/>
      <c r="CT108" s="202"/>
      <c r="CU108" s="202"/>
      <c r="CV108" s="202"/>
      <c r="CW108" s="202"/>
      <c r="CX108" s="202"/>
      <c r="CY108" s="202"/>
      <c r="CZ108" s="202"/>
      <c r="DA108" s="202"/>
      <c r="DB108" s="202"/>
      <c r="DC108" s="202"/>
      <c r="DD108" s="202"/>
      <c r="DE108" s="202"/>
      <c r="DF108" s="202"/>
      <c r="DG108" s="202"/>
      <c r="DH108" s="202"/>
      <c r="DI108" s="202"/>
      <c r="DJ108" s="202"/>
      <c r="DK108" s="202"/>
      <c r="DL108" s="202"/>
      <c r="DM108" s="202"/>
      <c r="DN108" s="202"/>
      <c r="DO108" s="202"/>
      <c r="DP108" s="202"/>
      <c r="DQ108" s="202"/>
      <c r="DR108" s="202"/>
      <c r="DS108" s="202"/>
      <c r="DT108" s="202"/>
      <c r="DU108" s="202"/>
      <c r="DV108" s="202"/>
      <c r="DW108" s="202"/>
      <c r="DX108" s="202"/>
      <c r="DY108" s="202"/>
      <c r="DZ108" s="202"/>
      <c r="EA108" s="202"/>
      <c r="EB108" s="202"/>
      <c r="EC108" s="202"/>
      <c r="ED108" s="202"/>
      <c r="EE108" s="202"/>
      <c r="EF108" s="202"/>
      <c r="EG108" s="202"/>
      <c r="EH108" s="202"/>
      <c r="EI108" s="202"/>
      <c r="EJ108" s="202"/>
      <c r="EK108" s="202"/>
      <c r="EL108" s="202"/>
      <c r="EM108" s="202"/>
      <c r="EN108" s="202"/>
      <c r="EO108" s="202"/>
      <c r="EP108" s="202"/>
      <c r="EQ108" s="202"/>
      <c r="ER108" s="202"/>
      <c r="ES108" s="202"/>
      <c r="ET108" s="202"/>
      <c r="EU108" s="202"/>
      <c r="EV108" s="202"/>
      <c r="EW108" s="202"/>
      <c r="EX108" s="202"/>
      <c r="EY108" s="202"/>
      <c r="EZ108" s="202"/>
      <c r="FA108" s="202"/>
      <c r="FB108" s="202"/>
      <c r="FC108" s="202"/>
      <c r="FD108" s="202"/>
      <c r="FE108" s="202"/>
      <c r="FF108" s="202"/>
      <c r="FG108" s="202"/>
      <c r="FH108" s="202"/>
      <c r="FI108" s="202"/>
    </row>
    <row r="109" spans="1:165" s="228" customFormat="1" ht="18" customHeight="1" x14ac:dyDescent="0.25">
      <c r="A109" s="578">
        <f t="shared" si="3"/>
        <v>100</v>
      </c>
      <c r="B109" s="588">
        <v>0</v>
      </c>
      <c r="C109" s="585">
        <v>4</v>
      </c>
      <c r="D109" s="585" t="s">
        <v>321</v>
      </c>
      <c r="E109" s="597" t="s">
        <v>735</v>
      </c>
      <c r="F109" s="567" t="s">
        <v>1044</v>
      </c>
      <c r="G109" s="556" t="s">
        <v>88</v>
      </c>
      <c r="H109" s="599" t="s">
        <v>824</v>
      </c>
      <c r="I109" s="593">
        <v>4</v>
      </c>
      <c r="J109" s="556" t="s">
        <v>64</v>
      </c>
      <c r="K109" s="594">
        <v>16</v>
      </c>
      <c r="L109" s="306"/>
      <c r="M109" s="307"/>
      <c r="N109" s="307"/>
      <c r="O109" s="307" t="s">
        <v>122</v>
      </c>
      <c r="P109" s="307"/>
      <c r="Q109" s="79"/>
      <c r="R109" s="76"/>
      <c r="S109" s="585"/>
      <c r="T109" s="556"/>
      <c r="U109" s="556"/>
      <c r="V109" s="556"/>
      <c r="W109" s="585"/>
      <c r="X109" s="585"/>
      <c r="Y109" s="585"/>
      <c r="Z109" s="585"/>
      <c r="AA109" s="556"/>
      <c r="AB109" s="556"/>
      <c r="AC109" s="585"/>
      <c r="AD109" s="585"/>
      <c r="AE109" s="556"/>
      <c r="AF109" s="556"/>
      <c r="AG109" s="556"/>
      <c r="AH109" s="585"/>
      <c r="AI109" s="585"/>
      <c r="AJ109" s="76"/>
      <c r="AK109" s="76"/>
      <c r="AL109" s="556"/>
      <c r="AM109" s="556"/>
      <c r="AN109" s="556"/>
      <c r="AO109" s="556"/>
      <c r="AP109" s="556"/>
      <c r="AQ109" s="556"/>
      <c r="AR109" s="556"/>
      <c r="AS109" s="76"/>
      <c r="AT109" s="76"/>
      <c r="AU109" s="556"/>
      <c r="AV109" s="556"/>
      <c r="AW109" s="556"/>
      <c r="AX109" s="585" t="s">
        <v>120</v>
      </c>
      <c r="AY109" s="585"/>
      <c r="AZ109" s="585"/>
      <c r="BA109" s="585"/>
      <c r="BB109" s="585" t="s">
        <v>121</v>
      </c>
      <c r="BC109" s="556"/>
      <c r="BD109" s="585" t="s">
        <v>121</v>
      </c>
      <c r="BE109" s="76"/>
      <c r="BF109" s="76"/>
      <c r="BG109" s="556"/>
      <c r="BH109" s="556"/>
      <c r="BI109" s="556"/>
      <c r="BJ109" s="556"/>
      <c r="BK109" s="585"/>
      <c r="BL109" s="556"/>
      <c r="BM109" s="556"/>
      <c r="BN109" s="556"/>
      <c r="BO109" s="556"/>
      <c r="BP109" s="556"/>
      <c r="BQ109" s="76"/>
      <c r="BR109" s="76"/>
      <c r="BS109" s="556"/>
      <c r="BT109" s="76"/>
      <c r="BU109" s="76"/>
      <c r="BV109" s="556"/>
      <c r="BW109" s="556"/>
      <c r="BX109" s="556"/>
      <c r="BY109" s="556"/>
      <c r="BZ109" s="76"/>
      <c r="CA109" s="76"/>
      <c r="CB109" s="556"/>
      <c r="CC109" s="556"/>
      <c r="CD109" s="556"/>
      <c r="CE109" s="76"/>
      <c r="CF109" s="79"/>
      <c r="CG109" s="556"/>
      <c r="CH109" s="556" t="s">
        <v>40</v>
      </c>
      <c r="CI109" s="556" t="s">
        <v>40</v>
      </c>
      <c r="CJ109" s="201"/>
      <c r="CK109" s="202"/>
      <c r="CL109" s="202"/>
      <c r="CM109" s="202"/>
      <c r="CN109" s="202"/>
      <c r="CO109" s="202"/>
      <c r="CP109" s="202"/>
      <c r="CQ109" s="202"/>
      <c r="CR109" s="202"/>
      <c r="CS109" s="202"/>
      <c r="CT109" s="202"/>
      <c r="CU109" s="202"/>
      <c r="CV109" s="202"/>
      <c r="CW109" s="202"/>
      <c r="CX109" s="202"/>
      <c r="CY109" s="202"/>
      <c r="CZ109" s="202"/>
      <c r="DA109" s="202"/>
      <c r="DB109" s="202"/>
      <c r="DC109" s="202"/>
      <c r="DD109" s="202"/>
      <c r="DE109" s="202"/>
      <c r="DF109" s="202"/>
      <c r="DG109" s="202"/>
      <c r="DH109" s="202"/>
      <c r="DI109" s="202"/>
      <c r="DJ109" s="202"/>
      <c r="DK109" s="202"/>
      <c r="DL109" s="202"/>
      <c r="DM109" s="202"/>
      <c r="DN109" s="202"/>
      <c r="DO109" s="202"/>
      <c r="DP109" s="202"/>
      <c r="DQ109" s="202"/>
      <c r="DR109" s="202"/>
      <c r="DS109" s="202"/>
      <c r="DT109" s="202"/>
      <c r="DU109" s="202"/>
      <c r="DV109" s="202"/>
      <c r="DW109" s="202"/>
      <c r="DX109" s="202"/>
      <c r="DY109" s="202"/>
      <c r="DZ109" s="202"/>
      <c r="EA109" s="202"/>
      <c r="EB109" s="202"/>
      <c r="EC109" s="202"/>
      <c r="ED109" s="202"/>
      <c r="EE109" s="202"/>
      <c r="EF109" s="202"/>
      <c r="EG109" s="202"/>
      <c r="EH109" s="202"/>
      <c r="EI109" s="202"/>
      <c r="EJ109" s="202"/>
      <c r="EK109" s="202"/>
      <c r="EL109" s="202"/>
      <c r="EM109" s="202"/>
      <c r="EN109" s="202"/>
      <c r="EO109" s="202"/>
      <c r="EP109" s="202"/>
      <c r="EQ109" s="202"/>
      <c r="ER109" s="202"/>
      <c r="ES109" s="202"/>
      <c r="ET109" s="202"/>
      <c r="EU109" s="202"/>
      <c r="EV109" s="202"/>
      <c r="EW109" s="202"/>
      <c r="EX109" s="202"/>
      <c r="EY109" s="202"/>
      <c r="EZ109" s="202"/>
      <c r="FA109" s="202"/>
      <c r="FB109" s="202"/>
      <c r="FC109" s="202"/>
      <c r="FD109" s="202"/>
      <c r="FE109" s="202"/>
      <c r="FF109" s="202"/>
      <c r="FG109" s="202"/>
      <c r="FH109" s="202"/>
      <c r="FI109" s="202"/>
    </row>
    <row r="110" spans="1:165" s="228" customFormat="1" ht="18" customHeight="1" x14ac:dyDescent="0.2">
      <c r="A110" s="529">
        <f t="shared" si="3"/>
        <v>101</v>
      </c>
      <c r="B110" s="526">
        <v>0</v>
      </c>
      <c r="C110" s="307">
        <v>4</v>
      </c>
      <c r="D110" s="307" t="s">
        <v>1076</v>
      </c>
      <c r="E110" s="314" t="s">
        <v>1131</v>
      </c>
      <c r="F110" s="310" t="s">
        <v>1044</v>
      </c>
      <c r="G110" s="310" t="s">
        <v>240</v>
      </c>
      <c r="H110" s="532" t="s">
        <v>1079</v>
      </c>
      <c r="I110" s="413"/>
      <c r="J110" s="310"/>
      <c r="K110" s="411"/>
      <c r="L110" s="306"/>
      <c r="M110" s="307"/>
      <c r="N110" s="307"/>
      <c r="O110" s="307"/>
      <c r="P110" s="307"/>
      <c r="Q110" s="79"/>
      <c r="R110" s="76"/>
      <c r="S110" s="307"/>
      <c r="T110" s="310"/>
      <c r="U110" s="310"/>
      <c r="V110" s="310"/>
      <c r="W110" s="307"/>
      <c r="X110" s="307"/>
      <c r="Y110" s="307"/>
      <c r="Z110" s="307"/>
      <c r="AA110" s="310"/>
      <c r="AB110" s="310"/>
      <c r="AC110" s="307"/>
      <c r="AD110" s="307"/>
      <c r="AE110" s="310"/>
      <c r="AF110" s="310"/>
      <c r="AG110" s="310"/>
      <c r="AH110" s="307"/>
      <c r="AI110" s="307"/>
      <c r="AJ110" s="76"/>
      <c r="AK110" s="76"/>
      <c r="AL110" s="310"/>
      <c r="AM110" s="310"/>
      <c r="AN110" s="310"/>
      <c r="AO110" s="310"/>
      <c r="AP110" s="310"/>
      <c r="AQ110" s="310"/>
      <c r="AR110" s="310"/>
      <c r="AS110" s="76"/>
      <c r="AT110" s="76"/>
      <c r="AU110" s="310"/>
      <c r="AV110" s="310"/>
      <c r="AW110" s="310"/>
      <c r="AX110" s="307"/>
      <c r="AY110" s="307"/>
      <c r="AZ110" s="307"/>
      <c r="BA110" s="307"/>
      <c r="BB110" s="307"/>
      <c r="BC110" s="310"/>
      <c r="BD110" s="307"/>
      <c r="BE110" s="76"/>
      <c r="BF110" s="76"/>
      <c r="BG110" s="310"/>
      <c r="BH110" s="310"/>
      <c r="BI110" s="310"/>
      <c r="BJ110" s="310"/>
      <c r="BK110" s="307"/>
      <c r="BL110" s="310"/>
      <c r="BM110" s="310"/>
      <c r="BN110" s="310"/>
      <c r="BO110" s="310"/>
      <c r="BP110" s="310"/>
      <c r="BQ110" s="76"/>
      <c r="BR110" s="76"/>
      <c r="BS110" s="310"/>
      <c r="BT110" s="76"/>
      <c r="BU110" s="76"/>
      <c r="BV110" s="310"/>
      <c r="BW110" s="310"/>
      <c r="BX110" s="310"/>
      <c r="BY110" s="310"/>
      <c r="BZ110" s="76"/>
      <c r="CA110" s="76"/>
      <c r="CB110" s="310"/>
      <c r="CC110" s="310"/>
      <c r="CD110" s="310"/>
      <c r="CE110" s="76"/>
      <c r="CF110" s="79"/>
      <c r="CG110" s="310"/>
      <c r="CH110" s="310"/>
      <c r="CI110" s="310"/>
      <c r="CJ110" s="201"/>
      <c r="CK110" s="202"/>
      <c r="CL110" s="202"/>
      <c r="CM110" s="202"/>
      <c r="CN110" s="202"/>
      <c r="CO110" s="202"/>
      <c r="CP110" s="202"/>
      <c r="CQ110" s="202"/>
      <c r="CR110" s="202"/>
      <c r="CS110" s="202"/>
      <c r="CT110" s="202"/>
      <c r="CU110" s="202"/>
      <c r="CV110" s="202"/>
      <c r="CW110" s="202"/>
      <c r="CX110" s="202"/>
      <c r="CY110" s="202"/>
      <c r="CZ110" s="202"/>
      <c r="DA110" s="202"/>
      <c r="DB110" s="202"/>
      <c r="DC110" s="202"/>
      <c r="DD110" s="202"/>
      <c r="DE110" s="202"/>
      <c r="DF110" s="202"/>
      <c r="DG110" s="202"/>
      <c r="DH110" s="202"/>
      <c r="DI110" s="202"/>
      <c r="DJ110" s="202"/>
      <c r="DK110" s="202"/>
      <c r="DL110" s="202"/>
      <c r="DM110" s="202"/>
      <c r="DN110" s="202"/>
      <c r="DO110" s="202"/>
      <c r="DP110" s="202"/>
      <c r="DQ110" s="202"/>
      <c r="DR110" s="202"/>
      <c r="DS110" s="202"/>
      <c r="DT110" s="202"/>
      <c r="DU110" s="202"/>
      <c r="DV110" s="202"/>
      <c r="DW110" s="202"/>
      <c r="DX110" s="202"/>
      <c r="DY110" s="202"/>
      <c r="DZ110" s="202"/>
      <c r="EA110" s="202"/>
      <c r="EB110" s="202"/>
      <c r="EC110" s="202"/>
      <c r="ED110" s="202"/>
      <c r="EE110" s="202"/>
      <c r="EF110" s="202"/>
      <c r="EG110" s="202"/>
      <c r="EH110" s="202"/>
      <c r="EI110" s="202"/>
      <c r="EJ110" s="202"/>
      <c r="EK110" s="202"/>
      <c r="EL110" s="202"/>
      <c r="EM110" s="202"/>
      <c r="EN110" s="202"/>
      <c r="EO110" s="202"/>
      <c r="EP110" s="202"/>
      <c r="EQ110" s="202"/>
      <c r="ER110" s="202"/>
      <c r="ES110" s="202"/>
      <c r="ET110" s="202"/>
      <c r="EU110" s="202"/>
      <c r="EV110" s="202"/>
      <c r="EW110" s="202"/>
      <c r="EX110" s="202"/>
      <c r="EY110" s="202"/>
      <c r="EZ110" s="202"/>
      <c r="FA110" s="202"/>
      <c r="FB110" s="202"/>
      <c r="FC110" s="202"/>
      <c r="FD110" s="202"/>
      <c r="FE110" s="202"/>
      <c r="FF110" s="202"/>
      <c r="FG110" s="202"/>
      <c r="FH110" s="202"/>
      <c r="FI110" s="202"/>
    </row>
    <row r="111" spans="1:165" s="228" customFormat="1" ht="18" customHeight="1" x14ac:dyDescent="0.2">
      <c r="A111" s="529">
        <f t="shared" si="3"/>
        <v>102</v>
      </c>
      <c r="B111" s="526">
        <v>0</v>
      </c>
      <c r="C111" s="307">
        <v>4</v>
      </c>
      <c r="D111" s="307" t="s">
        <v>1077</v>
      </c>
      <c r="E111" s="314" t="s">
        <v>1132</v>
      </c>
      <c r="F111" s="307" t="s">
        <v>1044</v>
      </c>
      <c r="G111" s="307" t="s">
        <v>1080</v>
      </c>
      <c r="H111" s="307" t="s">
        <v>1081</v>
      </c>
      <c r="I111" s="413"/>
      <c r="J111" s="310"/>
      <c r="K111" s="411"/>
      <c r="L111" s="306"/>
      <c r="M111" s="307"/>
      <c r="N111" s="307"/>
      <c r="O111" s="307"/>
      <c r="P111" s="307"/>
      <c r="Q111" s="79"/>
      <c r="R111" s="76"/>
      <c r="S111" s="307"/>
      <c r="T111" s="310"/>
      <c r="U111" s="310"/>
      <c r="V111" s="310"/>
      <c r="W111" s="307"/>
      <c r="X111" s="307"/>
      <c r="Y111" s="307"/>
      <c r="Z111" s="307"/>
      <c r="AA111" s="310"/>
      <c r="AB111" s="310"/>
      <c r="AC111" s="307"/>
      <c r="AD111" s="307"/>
      <c r="AE111" s="310"/>
      <c r="AF111" s="310"/>
      <c r="AG111" s="310"/>
      <c r="AH111" s="307"/>
      <c r="AI111" s="307"/>
      <c r="AJ111" s="76"/>
      <c r="AK111" s="76"/>
      <c r="AL111" s="310"/>
      <c r="AM111" s="310"/>
      <c r="AN111" s="310"/>
      <c r="AO111" s="310"/>
      <c r="AP111" s="310"/>
      <c r="AQ111" s="310"/>
      <c r="AR111" s="310"/>
      <c r="AS111" s="76"/>
      <c r="AT111" s="76"/>
      <c r="AU111" s="310"/>
      <c r="AV111" s="310"/>
      <c r="AW111" s="310"/>
      <c r="AX111" s="310"/>
      <c r="AY111" s="310"/>
      <c r="AZ111" s="310"/>
      <c r="BA111" s="310"/>
      <c r="BB111" s="310"/>
      <c r="BC111" s="310"/>
      <c r="BD111" s="310"/>
      <c r="BE111" s="76"/>
      <c r="BF111" s="76"/>
      <c r="BG111" s="310"/>
      <c r="BH111" s="310"/>
      <c r="BI111" s="310"/>
      <c r="BJ111" s="310"/>
      <c r="BK111" s="310"/>
      <c r="BL111" s="310"/>
      <c r="BM111" s="310"/>
      <c r="BN111" s="310"/>
      <c r="BO111" s="310"/>
      <c r="BP111" s="310"/>
      <c r="BQ111" s="76"/>
      <c r="BR111" s="76"/>
      <c r="BS111" s="310"/>
      <c r="BT111" s="76"/>
      <c r="BU111" s="76"/>
      <c r="BV111" s="310"/>
      <c r="BW111" s="310"/>
      <c r="BX111" s="310"/>
      <c r="BY111" s="310"/>
      <c r="BZ111" s="76"/>
      <c r="CA111" s="76"/>
      <c r="CB111" s="310"/>
      <c r="CC111" s="310"/>
      <c r="CD111" s="310"/>
      <c r="CE111" s="76"/>
      <c r="CF111" s="79"/>
      <c r="CG111" s="310"/>
      <c r="CH111" s="310"/>
      <c r="CI111" s="310"/>
      <c r="CJ111" s="201"/>
      <c r="CK111" s="202"/>
      <c r="CL111" s="202"/>
      <c r="CM111" s="202"/>
      <c r="CN111" s="202"/>
      <c r="CO111" s="202"/>
      <c r="CP111" s="202"/>
      <c r="CQ111" s="202"/>
      <c r="CR111" s="202"/>
      <c r="CS111" s="202"/>
      <c r="CT111" s="202"/>
      <c r="CU111" s="202"/>
      <c r="CV111" s="202"/>
      <c r="CW111" s="202"/>
      <c r="CX111" s="202"/>
      <c r="CY111" s="202"/>
      <c r="CZ111" s="202"/>
      <c r="DA111" s="202"/>
      <c r="DB111" s="202"/>
      <c r="DC111" s="202"/>
      <c r="DD111" s="202"/>
      <c r="DE111" s="202"/>
      <c r="DF111" s="202"/>
      <c r="DG111" s="202"/>
      <c r="DH111" s="202"/>
      <c r="DI111" s="202"/>
      <c r="DJ111" s="202"/>
      <c r="DK111" s="202"/>
      <c r="DL111" s="202"/>
      <c r="DM111" s="202"/>
      <c r="DN111" s="202"/>
      <c r="DO111" s="202"/>
      <c r="DP111" s="202"/>
      <c r="DQ111" s="202"/>
      <c r="DR111" s="202"/>
      <c r="DS111" s="202"/>
      <c r="DT111" s="202"/>
      <c r="DU111" s="202"/>
      <c r="DV111" s="202"/>
      <c r="DW111" s="202"/>
      <c r="DX111" s="202"/>
      <c r="DY111" s="202"/>
      <c r="DZ111" s="202"/>
      <c r="EA111" s="202"/>
      <c r="EB111" s="202"/>
      <c r="EC111" s="202"/>
      <c r="ED111" s="202"/>
      <c r="EE111" s="202"/>
      <c r="EF111" s="202"/>
      <c r="EG111" s="202"/>
      <c r="EH111" s="202"/>
      <c r="EI111" s="202"/>
      <c r="EJ111" s="202"/>
      <c r="EK111" s="202"/>
      <c r="EL111" s="202"/>
      <c r="EM111" s="202"/>
      <c r="EN111" s="202"/>
      <c r="EO111" s="202"/>
      <c r="EP111" s="202"/>
      <c r="EQ111" s="202"/>
      <c r="ER111" s="202"/>
      <c r="ES111" s="202"/>
      <c r="ET111" s="202"/>
      <c r="EU111" s="202"/>
      <c r="EV111" s="202"/>
      <c r="EW111" s="202"/>
      <c r="EX111" s="202"/>
      <c r="EY111" s="202"/>
      <c r="EZ111" s="202"/>
      <c r="FA111" s="202"/>
      <c r="FB111" s="202"/>
      <c r="FC111" s="202"/>
      <c r="FD111" s="202"/>
      <c r="FE111" s="202"/>
      <c r="FF111" s="202"/>
      <c r="FG111" s="202"/>
      <c r="FH111" s="202"/>
      <c r="FI111" s="202"/>
    </row>
    <row r="112" spans="1:165" s="228" customFormat="1" ht="18" customHeight="1" x14ac:dyDescent="0.2">
      <c r="A112" s="289">
        <f t="shared" si="3"/>
        <v>103</v>
      </c>
      <c r="B112" s="78"/>
      <c r="C112" s="79"/>
      <c r="D112" s="79"/>
      <c r="E112" s="79"/>
      <c r="F112" s="79"/>
      <c r="G112" s="79"/>
      <c r="H112" s="134"/>
      <c r="I112" s="142"/>
      <c r="J112" s="76"/>
      <c r="K112" s="141"/>
      <c r="L112" s="261"/>
      <c r="M112" s="79"/>
      <c r="N112" s="79"/>
      <c r="O112" s="79"/>
      <c r="P112" s="79"/>
      <c r="Q112" s="79"/>
      <c r="R112" s="76"/>
      <c r="S112" s="79"/>
      <c r="T112" s="76"/>
      <c r="U112" s="76"/>
      <c r="V112" s="76"/>
      <c r="W112" s="79"/>
      <c r="X112" s="79"/>
      <c r="Y112" s="79"/>
      <c r="Z112" s="79"/>
      <c r="AA112" s="76"/>
      <c r="AB112" s="76"/>
      <c r="AC112" s="79"/>
      <c r="AD112" s="79"/>
      <c r="AE112" s="76"/>
      <c r="AF112" s="76"/>
      <c r="AG112" s="76"/>
      <c r="AH112" s="79"/>
      <c r="AI112" s="79"/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AT112" s="76"/>
      <c r="AU112" s="76"/>
      <c r="AV112" s="76"/>
      <c r="AW112" s="76"/>
      <c r="AX112" s="76"/>
      <c r="AY112" s="76"/>
      <c r="AZ112" s="76"/>
      <c r="BA112" s="76"/>
      <c r="BB112" s="76"/>
      <c r="BC112" s="76"/>
      <c r="BD112" s="76"/>
      <c r="BE112" s="76"/>
      <c r="BF112" s="76"/>
      <c r="BG112" s="76"/>
      <c r="BH112" s="76"/>
      <c r="BI112" s="76"/>
      <c r="BJ112" s="76"/>
      <c r="BK112" s="76"/>
      <c r="BL112" s="76"/>
      <c r="BM112" s="76"/>
      <c r="BN112" s="76"/>
      <c r="BO112" s="76"/>
      <c r="BP112" s="76"/>
      <c r="BQ112" s="76"/>
      <c r="BR112" s="76"/>
      <c r="BS112" s="76"/>
      <c r="BT112" s="76"/>
      <c r="BU112" s="76"/>
      <c r="BV112" s="76"/>
      <c r="BW112" s="76"/>
      <c r="BX112" s="76"/>
      <c r="BY112" s="76"/>
      <c r="BZ112" s="76"/>
      <c r="CA112" s="76"/>
      <c r="CB112" s="76"/>
      <c r="CC112" s="76"/>
      <c r="CD112" s="76"/>
      <c r="CE112" s="76"/>
      <c r="CF112" s="79"/>
      <c r="CG112" s="76"/>
      <c r="CH112" s="76"/>
      <c r="CI112" s="76"/>
      <c r="CJ112" s="201"/>
      <c r="CK112" s="202"/>
      <c r="CL112" s="202"/>
      <c r="CM112" s="202"/>
      <c r="CN112" s="202"/>
      <c r="CO112" s="202"/>
      <c r="CP112" s="202"/>
      <c r="CQ112" s="202"/>
      <c r="CR112" s="202"/>
      <c r="CS112" s="202"/>
      <c r="CT112" s="202"/>
      <c r="CU112" s="202"/>
      <c r="CV112" s="202"/>
      <c r="CW112" s="202"/>
      <c r="CX112" s="202"/>
      <c r="CY112" s="202"/>
      <c r="CZ112" s="202"/>
      <c r="DA112" s="202"/>
      <c r="DB112" s="202"/>
      <c r="DC112" s="202"/>
      <c r="DD112" s="202"/>
      <c r="DE112" s="202"/>
      <c r="DF112" s="202"/>
      <c r="DG112" s="202"/>
      <c r="DH112" s="202"/>
      <c r="DI112" s="202"/>
      <c r="DJ112" s="202"/>
      <c r="DK112" s="202"/>
      <c r="DL112" s="202"/>
      <c r="DM112" s="202"/>
      <c r="DN112" s="202"/>
      <c r="DO112" s="202"/>
      <c r="DP112" s="202"/>
      <c r="DQ112" s="202"/>
      <c r="DR112" s="202"/>
      <c r="DS112" s="202"/>
      <c r="DT112" s="202"/>
      <c r="DU112" s="202"/>
      <c r="DV112" s="202"/>
      <c r="DW112" s="202"/>
      <c r="DX112" s="202"/>
      <c r="DY112" s="202"/>
      <c r="DZ112" s="202"/>
      <c r="EA112" s="202"/>
      <c r="EB112" s="202"/>
      <c r="EC112" s="202"/>
      <c r="ED112" s="202"/>
      <c r="EE112" s="202"/>
      <c r="EF112" s="202"/>
      <c r="EG112" s="202"/>
      <c r="EH112" s="202"/>
      <c r="EI112" s="202"/>
      <c r="EJ112" s="202"/>
      <c r="EK112" s="202"/>
      <c r="EL112" s="202"/>
      <c r="EM112" s="202"/>
      <c r="EN112" s="202"/>
      <c r="EO112" s="202"/>
      <c r="EP112" s="202"/>
      <c r="EQ112" s="202"/>
      <c r="ER112" s="202"/>
      <c r="ES112" s="202"/>
      <c r="ET112" s="202"/>
      <c r="EU112" s="202"/>
      <c r="EV112" s="202"/>
      <c r="EW112" s="202"/>
      <c r="EX112" s="202"/>
      <c r="EY112" s="202"/>
      <c r="EZ112" s="202"/>
      <c r="FA112" s="202"/>
      <c r="FB112" s="202"/>
      <c r="FC112" s="202"/>
      <c r="FD112" s="202"/>
      <c r="FE112" s="202"/>
      <c r="FF112" s="202"/>
      <c r="FG112" s="202"/>
      <c r="FH112" s="202"/>
      <c r="FI112" s="202"/>
    </row>
    <row r="113" spans="1:166" s="228" customFormat="1" ht="18" customHeight="1" x14ac:dyDescent="0.2">
      <c r="A113" s="289">
        <f t="shared" si="3"/>
        <v>104</v>
      </c>
      <c r="B113" s="78"/>
      <c r="C113" s="79"/>
      <c r="D113" s="79"/>
      <c r="E113" s="98" t="s">
        <v>634</v>
      </c>
      <c r="F113" s="72"/>
      <c r="G113" s="79"/>
      <c r="H113" s="178"/>
      <c r="I113" s="142" t="s">
        <v>785</v>
      </c>
      <c r="J113" s="76"/>
      <c r="K113" s="141"/>
      <c r="L113" s="261"/>
      <c r="M113" s="79"/>
      <c r="N113" s="79"/>
      <c r="O113" s="79"/>
      <c r="P113" s="79"/>
      <c r="Q113" s="79"/>
      <c r="R113" s="79"/>
      <c r="S113" s="79"/>
      <c r="T113" s="79"/>
      <c r="U113" s="79"/>
      <c r="V113" s="79"/>
      <c r="W113" s="79"/>
      <c r="X113" s="79"/>
      <c r="Y113" s="79"/>
      <c r="Z113" s="79"/>
      <c r="AA113" s="79"/>
      <c r="AB113" s="79"/>
      <c r="AC113" s="79"/>
      <c r="AD113" s="79"/>
      <c r="AE113" s="79"/>
      <c r="AF113" s="79"/>
      <c r="AG113" s="79"/>
      <c r="AH113" s="79"/>
      <c r="AI113" s="79"/>
      <c r="AJ113" s="79"/>
      <c r="AK113" s="79"/>
      <c r="AL113" s="79"/>
      <c r="AM113" s="79"/>
      <c r="AN113" s="79"/>
      <c r="AO113" s="79"/>
      <c r="AP113" s="79"/>
      <c r="AQ113" s="79"/>
      <c r="AR113" s="79"/>
      <c r="AS113" s="79"/>
      <c r="AT113" s="79"/>
      <c r="AU113" s="79"/>
      <c r="AV113" s="79"/>
      <c r="AW113" s="79"/>
      <c r="AX113" s="79"/>
      <c r="AY113" s="79"/>
      <c r="AZ113" s="79"/>
      <c r="BA113" s="79"/>
      <c r="BB113" s="79"/>
      <c r="BC113" s="79"/>
      <c r="BD113" s="79"/>
      <c r="BE113" s="79"/>
      <c r="BF113" s="79"/>
      <c r="BG113" s="79"/>
      <c r="BH113" s="79"/>
      <c r="BI113" s="79"/>
      <c r="BJ113" s="79"/>
      <c r="BK113" s="79"/>
      <c r="BL113" s="79"/>
      <c r="BM113" s="79"/>
      <c r="BN113" s="79"/>
      <c r="BO113" s="79"/>
      <c r="BP113" s="79"/>
      <c r="BQ113" s="79"/>
      <c r="BR113" s="79"/>
      <c r="BS113" s="79"/>
      <c r="BT113" s="79"/>
      <c r="BU113" s="79"/>
      <c r="BV113" s="79"/>
      <c r="BW113" s="79"/>
      <c r="BX113" s="79"/>
      <c r="BY113" s="79"/>
      <c r="BZ113" s="79"/>
      <c r="CA113" s="79"/>
      <c r="CB113" s="79"/>
      <c r="CC113" s="79"/>
      <c r="CD113" s="79"/>
      <c r="CE113" s="79"/>
      <c r="CF113" s="79"/>
      <c r="CG113" s="79"/>
      <c r="CH113" s="79" t="s">
        <v>785</v>
      </c>
      <c r="CI113" s="79" t="s">
        <v>785</v>
      </c>
      <c r="CJ113" s="201"/>
      <c r="CK113" s="202"/>
      <c r="CL113" s="202"/>
      <c r="CM113" s="202"/>
      <c r="CN113" s="202"/>
      <c r="CO113" s="202"/>
      <c r="CP113" s="202"/>
      <c r="CQ113" s="202"/>
      <c r="CR113" s="202"/>
      <c r="CS113" s="202"/>
      <c r="CT113" s="202"/>
      <c r="CU113" s="202"/>
      <c r="CV113" s="202"/>
      <c r="CW113" s="202"/>
      <c r="CX113" s="202"/>
      <c r="CY113" s="202"/>
      <c r="CZ113" s="202"/>
      <c r="DA113" s="202"/>
      <c r="DB113" s="202"/>
      <c r="DC113" s="202"/>
      <c r="DD113" s="202"/>
      <c r="DE113" s="202"/>
      <c r="DF113" s="202"/>
      <c r="DG113" s="202"/>
      <c r="DH113" s="202"/>
      <c r="DI113" s="202"/>
      <c r="DJ113" s="202"/>
      <c r="DK113" s="202"/>
      <c r="DL113" s="202"/>
      <c r="DM113" s="202"/>
      <c r="DN113" s="202"/>
      <c r="DO113" s="202"/>
      <c r="DP113" s="202"/>
      <c r="DQ113" s="202"/>
      <c r="DR113" s="202"/>
      <c r="DS113" s="202"/>
      <c r="DT113" s="202"/>
      <c r="DU113" s="202"/>
      <c r="DV113" s="202"/>
      <c r="DW113" s="202"/>
      <c r="DX113" s="202"/>
      <c r="DY113" s="202"/>
      <c r="DZ113" s="202"/>
      <c r="EA113" s="202"/>
      <c r="EB113" s="202"/>
      <c r="EC113" s="202"/>
      <c r="ED113" s="202"/>
      <c r="EE113" s="202"/>
      <c r="EF113" s="202"/>
      <c r="EG113" s="202"/>
      <c r="EH113" s="202"/>
      <c r="EI113" s="202"/>
      <c r="EJ113" s="202"/>
      <c r="EK113" s="202"/>
      <c r="EL113" s="202"/>
      <c r="EM113" s="202"/>
      <c r="EN113" s="202"/>
      <c r="EO113" s="202"/>
      <c r="EP113" s="202"/>
      <c r="EQ113" s="202"/>
      <c r="ER113" s="202"/>
      <c r="ES113" s="202"/>
      <c r="ET113" s="202"/>
      <c r="EU113" s="202"/>
      <c r="EV113" s="202"/>
      <c r="EW113" s="202"/>
      <c r="EX113" s="202"/>
      <c r="EY113" s="202"/>
      <c r="EZ113" s="202"/>
      <c r="FA113" s="202"/>
      <c r="FB113" s="202"/>
      <c r="FC113" s="202"/>
      <c r="FD113" s="202"/>
      <c r="FE113" s="202"/>
      <c r="FF113" s="202"/>
      <c r="FG113" s="202"/>
      <c r="FH113" s="202"/>
      <c r="FI113" s="202"/>
    </row>
    <row r="114" spans="1:166" s="228" customFormat="1" ht="18" customHeight="1" x14ac:dyDescent="0.25">
      <c r="A114" s="578">
        <f t="shared" si="3"/>
        <v>105</v>
      </c>
      <c r="B114" s="588">
        <v>0</v>
      </c>
      <c r="C114" s="591">
        <v>2</v>
      </c>
      <c r="D114" s="591" t="s">
        <v>981</v>
      </c>
      <c r="E114" s="595" t="s">
        <v>982</v>
      </c>
      <c r="F114" s="590" t="s">
        <v>1044</v>
      </c>
      <c r="G114" s="591" t="s">
        <v>983</v>
      </c>
      <c r="H114" s="592" t="s">
        <v>1207</v>
      </c>
      <c r="I114" s="593"/>
      <c r="J114" s="556"/>
      <c r="K114" s="594"/>
      <c r="L114" s="306"/>
      <c r="M114" s="307"/>
      <c r="N114" s="307"/>
      <c r="O114" s="307"/>
      <c r="P114" s="307"/>
      <c r="Q114" s="79"/>
      <c r="R114" s="79"/>
      <c r="S114" s="585"/>
      <c r="T114" s="585"/>
      <c r="U114" s="585"/>
      <c r="V114" s="585"/>
      <c r="W114" s="585"/>
      <c r="X114" s="585"/>
      <c r="Y114" s="585"/>
      <c r="Z114" s="585"/>
      <c r="AA114" s="585"/>
      <c r="AB114" s="585"/>
      <c r="AC114" s="585"/>
      <c r="AD114" s="585"/>
      <c r="AE114" s="585"/>
      <c r="AF114" s="585"/>
      <c r="AG114" s="585"/>
      <c r="AH114" s="585"/>
      <c r="AI114" s="585"/>
      <c r="AJ114" s="79"/>
      <c r="AK114" s="79"/>
      <c r="AL114" s="585"/>
      <c r="AM114" s="585"/>
      <c r="AN114" s="585"/>
      <c r="AO114" s="585"/>
      <c r="AP114" s="585"/>
      <c r="AQ114" s="585"/>
      <c r="AR114" s="585"/>
      <c r="AS114" s="79"/>
      <c r="AT114" s="79"/>
      <c r="AU114" s="585"/>
      <c r="AV114" s="585"/>
      <c r="AW114" s="585"/>
      <c r="AX114" s="585"/>
      <c r="AY114" s="585"/>
      <c r="AZ114" s="585"/>
      <c r="BA114" s="585"/>
      <c r="BB114" s="585"/>
      <c r="BC114" s="585"/>
      <c r="BD114" s="585"/>
      <c r="BE114" s="79"/>
      <c r="BF114" s="79"/>
      <c r="BG114" s="585"/>
      <c r="BH114" s="585"/>
      <c r="BI114" s="585"/>
      <c r="BJ114" s="585"/>
      <c r="BK114" s="585"/>
      <c r="BL114" s="585"/>
      <c r="BM114" s="585"/>
      <c r="BN114" s="585"/>
      <c r="BO114" s="585"/>
      <c r="BP114" s="585"/>
      <c r="BQ114" s="79"/>
      <c r="BR114" s="79"/>
      <c r="BS114" s="585"/>
      <c r="BT114" s="79"/>
      <c r="BU114" s="79"/>
      <c r="BV114" s="585"/>
      <c r="BW114" s="585"/>
      <c r="BX114" s="585"/>
      <c r="BY114" s="585"/>
      <c r="BZ114" s="79"/>
      <c r="CA114" s="79"/>
      <c r="CB114" s="585"/>
      <c r="CC114" s="585"/>
      <c r="CD114" s="585"/>
      <c r="CE114" s="79"/>
      <c r="CF114" s="79"/>
      <c r="CG114" s="585"/>
      <c r="CH114" s="585"/>
      <c r="CI114" s="585"/>
      <c r="CJ114" s="202"/>
      <c r="CK114" s="201"/>
      <c r="CL114" s="202"/>
      <c r="CM114" s="202"/>
      <c r="CN114" s="202"/>
      <c r="CO114" s="202"/>
      <c r="CP114" s="202"/>
      <c r="CQ114" s="202"/>
      <c r="CR114" s="202"/>
      <c r="CS114" s="202"/>
      <c r="CT114" s="202"/>
      <c r="CU114" s="202"/>
      <c r="CV114" s="202"/>
      <c r="CW114" s="202"/>
      <c r="CX114" s="202"/>
      <c r="CY114" s="202"/>
      <c r="CZ114" s="202"/>
      <c r="DA114" s="202"/>
      <c r="DB114" s="202"/>
      <c r="DC114" s="202"/>
      <c r="DD114" s="202"/>
      <c r="DE114" s="202"/>
      <c r="DF114" s="202"/>
      <c r="DG114" s="202"/>
      <c r="DH114" s="202"/>
      <c r="DI114" s="202"/>
      <c r="DJ114" s="202"/>
      <c r="DK114" s="202"/>
      <c r="DL114" s="202"/>
      <c r="DM114" s="202"/>
      <c r="DN114" s="202"/>
      <c r="DO114" s="202"/>
      <c r="DP114" s="202"/>
      <c r="DQ114" s="202"/>
      <c r="DR114" s="202"/>
      <c r="DS114" s="202"/>
      <c r="DT114" s="202"/>
      <c r="DU114" s="202"/>
      <c r="DV114" s="202"/>
      <c r="DW114" s="202"/>
      <c r="DX114" s="202"/>
      <c r="DY114" s="202"/>
      <c r="DZ114" s="202"/>
      <c r="EA114" s="202"/>
      <c r="EB114" s="202"/>
      <c r="EC114" s="202"/>
      <c r="ED114" s="202"/>
      <c r="EE114" s="202"/>
      <c r="EF114" s="202"/>
      <c r="EG114" s="202"/>
      <c r="EH114" s="202"/>
      <c r="EI114" s="202"/>
      <c r="EJ114" s="202"/>
      <c r="EK114" s="202"/>
      <c r="EL114" s="202"/>
      <c r="EM114" s="202"/>
      <c r="EN114" s="202"/>
      <c r="EO114" s="202"/>
      <c r="EP114" s="202"/>
      <c r="EQ114" s="202"/>
      <c r="ER114" s="202"/>
      <c r="ES114" s="202"/>
      <c r="ET114" s="202"/>
      <c r="EU114" s="202"/>
      <c r="EV114" s="202"/>
      <c r="EW114" s="202"/>
      <c r="EX114" s="202"/>
      <c r="EY114" s="202"/>
      <c r="EZ114" s="202"/>
      <c r="FA114" s="202"/>
      <c r="FB114" s="202"/>
      <c r="FC114" s="202"/>
      <c r="FD114" s="202"/>
      <c r="FE114" s="202"/>
      <c r="FF114" s="202"/>
      <c r="FG114" s="202"/>
      <c r="FH114" s="202"/>
      <c r="FI114" s="202"/>
      <c r="FJ114" s="202"/>
    </row>
    <row r="115" spans="1:166" s="228" customFormat="1" ht="18" customHeight="1" x14ac:dyDescent="0.25">
      <c r="A115" s="578">
        <f t="shared" si="3"/>
        <v>106</v>
      </c>
      <c r="B115" s="588">
        <v>0</v>
      </c>
      <c r="C115" s="591">
        <v>2</v>
      </c>
      <c r="D115" s="591" t="s">
        <v>322</v>
      </c>
      <c r="E115" s="595" t="s">
        <v>736</v>
      </c>
      <c r="F115" s="567" t="s">
        <v>1044</v>
      </c>
      <c r="G115" s="591" t="s">
        <v>89</v>
      </c>
      <c r="H115" s="591" t="s">
        <v>737</v>
      </c>
      <c r="I115" s="593">
        <v>5</v>
      </c>
      <c r="J115" s="556"/>
      <c r="K115" s="594">
        <v>5</v>
      </c>
      <c r="L115" s="306"/>
      <c r="M115" s="307"/>
      <c r="N115" s="307"/>
      <c r="O115" s="307"/>
      <c r="P115" s="307" t="s">
        <v>122</v>
      </c>
      <c r="Q115" s="79"/>
      <c r="R115" s="79"/>
      <c r="S115" s="585"/>
      <c r="T115" s="585"/>
      <c r="U115" s="585"/>
      <c r="V115" s="585"/>
      <c r="W115" s="585"/>
      <c r="X115" s="585"/>
      <c r="Y115" s="585"/>
      <c r="Z115" s="585"/>
      <c r="AA115" s="585"/>
      <c r="AB115" s="585"/>
      <c r="AC115" s="585"/>
      <c r="AD115" s="585"/>
      <c r="AE115" s="585"/>
      <c r="AF115" s="585"/>
      <c r="AG115" s="585"/>
      <c r="AH115" s="585"/>
      <c r="AI115" s="585"/>
      <c r="AJ115" s="79"/>
      <c r="AK115" s="79"/>
      <c r="AL115" s="585"/>
      <c r="AM115" s="585"/>
      <c r="AN115" s="585"/>
      <c r="AO115" s="585"/>
      <c r="AP115" s="585"/>
      <c r="AQ115" s="585"/>
      <c r="AR115" s="585"/>
      <c r="AS115" s="79"/>
      <c r="AT115" s="79"/>
      <c r="AU115" s="585"/>
      <c r="AV115" s="585"/>
      <c r="AW115" s="585"/>
      <c r="AX115" s="585"/>
      <c r="AY115" s="585"/>
      <c r="AZ115" s="585"/>
      <c r="BA115" s="585"/>
      <c r="BB115" s="585"/>
      <c r="BC115" s="585"/>
      <c r="BD115" s="585"/>
      <c r="BE115" s="79"/>
      <c r="BF115" s="79"/>
      <c r="BG115" s="585"/>
      <c r="BH115" s="585"/>
      <c r="BI115" s="585"/>
      <c r="BJ115" s="585" t="s">
        <v>120</v>
      </c>
      <c r="BK115" s="585"/>
      <c r="BL115" s="585"/>
      <c r="BM115" s="585"/>
      <c r="BN115" s="585"/>
      <c r="BO115" s="585"/>
      <c r="BP115" s="585" t="s">
        <v>121</v>
      </c>
      <c r="BQ115" s="79"/>
      <c r="BR115" s="79"/>
      <c r="BS115" s="585"/>
      <c r="BT115" s="79"/>
      <c r="BU115" s="79"/>
      <c r="BV115" s="585"/>
      <c r="BW115" s="585"/>
      <c r="BX115" s="585"/>
      <c r="BY115" s="585"/>
      <c r="BZ115" s="79"/>
      <c r="CA115" s="79"/>
      <c r="CB115" s="585"/>
      <c r="CC115" s="585"/>
      <c r="CD115" s="585"/>
      <c r="CE115" s="79"/>
      <c r="CF115" s="79"/>
      <c r="CG115" s="585"/>
      <c r="CH115" s="585" t="s">
        <v>40</v>
      </c>
      <c r="CI115" s="585" t="s">
        <v>40</v>
      </c>
      <c r="CJ115" s="201"/>
      <c r="CK115" s="202"/>
      <c r="CL115" s="202"/>
      <c r="CM115" s="202"/>
      <c r="CN115" s="202"/>
      <c r="CO115" s="202"/>
      <c r="CP115" s="202"/>
      <c r="CQ115" s="202"/>
      <c r="CR115" s="202"/>
      <c r="CS115" s="202"/>
      <c r="CT115" s="202"/>
      <c r="CU115" s="202"/>
      <c r="CV115" s="202"/>
      <c r="CW115" s="202"/>
      <c r="CX115" s="202"/>
      <c r="CY115" s="202"/>
      <c r="CZ115" s="202"/>
      <c r="DA115" s="202"/>
      <c r="DB115" s="202"/>
      <c r="DC115" s="202"/>
      <c r="DD115" s="202"/>
      <c r="DE115" s="202"/>
      <c r="DF115" s="202"/>
      <c r="DG115" s="202"/>
      <c r="DH115" s="202"/>
      <c r="DI115" s="202"/>
      <c r="DJ115" s="202"/>
      <c r="DK115" s="202"/>
      <c r="DL115" s="202"/>
      <c r="DM115" s="202"/>
      <c r="DN115" s="202"/>
      <c r="DO115" s="202"/>
      <c r="DP115" s="202"/>
      <c r="DQ115" s="202"/>
      <c r="DR115" s="202"/>
      <c r="DS115" s="202"/>
      <c r="DT115" s="202"/>
      <c r="DU115" s="202"/>
      <c r="DV115" s="202"/>
      <c r="DW115" s="202"/>
      <c r="DX115" s="202"/>
      <c r="DY115" s="202"/>
      <c r="DZ115" s="202"/>
      <c r="EA115" s="202"/>
      <c r="EB115" s="202"/>
      <c r="EC115" s="202"/>
      <c r="ED115" s="202"/>
      <c r="EE115" s="202"/>
      <c r="EF115" s="202"/>
      <c r="EG115" s="202"/>
      <c r="EH115" s="202"/>
      <c r="EI115" s="202"/>
      <c r="EJ115" s="202"/>
      <c r="EK115" s="202"/>
      <c r="EL115" s="202"/>
      <c r="EM115" s="202"/>
      <c r="EN115" s="202"/>
      <c r="EO115" s="202"/>
      <c r="EP115" s="202"/>
      <c r="EQ115" s="202"/>
      <c r="ER115" s="202"/>
      <c r="ES115" s="202"/>
      <c r="ET115" s="202"/>
      <c r="EU115" s="202"/>
      <c r="EV115" s="202"/>
      <c r="EW115" s="202"/>
      <c r="EX115" s="202"/>
      <c r="EY115" s="202"/>
      <c r="EZ115" s="202"/>
      <c r="FA115" s="202"/>
      <c r="FB115" s="202"/>
      <c r="FC115" s="202"/>
      <c r="FD115" s="202"/>
      <c r="FE115" s="202"/>
      <c r="FF115" s="202"/>
      <c r="FG115" s="202"/>
      <c r="FH115" s="202"/>
      <c r="FI115" s="202"/>
    </row>
    <row r="116" spans="1:166" s="228" customFormat="1" ht="18" customHeight="1" x14ac:dyDescent="0.25">
      <c r="A116" s="578">
        <f t="shared" si="3"/>
        <v>107</v>
      </c>
      <c r="B116" s="588">
        <v>0</v>
      </c>
      <c r="C116" s="591">
        <v>2</v>
      </c>
      <c r="D116" s="591" t="s">
        <v>323</v>
      </c>
      <c r="E116" s="595" t="s">
        <v>738</v>
      </c>
      <c r="F116" s="567" t="s">
        <v>1044</v>
      </c>
      <c r="G116" s="591" t="s">
        <v>90</v>
      </c>
      <c r="H116" s="592" t="s">
        <v>1206</v>
      </c>
      <c r="I116" s="593"/>
      <c r="J116" s="556"/>
      <c r="K116" s="594"/>
      <c r="L116" s="306"/>
      <c r="M116" s="307"/>
      <c r="N116" s="307"/>
      <c r="O116" s="307"/>
      <c r="P116" s="307"/>
      <c r="Q116" s="79"/>
      <c r="R116" s="79"/>
      <c r="S116" s="585"/>
      <c r="T116" s="585"/>
      <c r="U116" s="585"/>
      <c r="V116" s="585"/>
      <c r="W116" s="585"/>
      <c r="X116" s="585"/>
      <c r="Y116" s="585"/>
      <c r="Z116" s="585"/>
      <c r="AA116" s="585"/>
      <c r="AB116" s="585"/>
      <c r="AC116" s="585"/>
      <c r="AD116" s="585"/>
      <c r="AE116" s="585"/>
      <c r="AF116" s="585"/>
      <c r="AG116" s="585"/>
      <c r="AH116" s="585"/>
      <c r="AI116" s="585"/>
      <c r="AJ116" s="79"/>
      <c r="AK116" s="79"/>
      <c r="AL116" s="585"/>
      <c r="AM116" s="585"/>
      <c r="AN116" s="585"/>
      <c r="AO116" s="585"/>
      <c r="AP116" s="585"/>
      <c r="AQ116" s="585"/>
      <c r="AR116" s="585"/>
      <c r="AS116" s="79"/>
      <c r="AT116" s="79"/>
      <c r="AU116" s="585"/>
      <c r="AV116" s="585"/>
      <c r="AW116" s="585"/>
      <c r="AX116" s="585"/>
      <c r="AY116" s="585"/>
      <c r="AZ116" s="585"/>
      <c r="BA116" s="585"/>
      <c r="BB116" s="585"/>
      <c r="BC116" s="585"/>
      <c r="BD116" s="585"/>
      <c r="BE116" s="79"/>
      <c r="BF116" s="79"/>
      <c r="BG116" s="585"/>
      <c r="BH116" s="585"/>
      <c r="BI116" s="585"/>
      <c r="BJ116" s="585"/>
      <c r="BK116" s="585"/>
      <c r="BL116" s="585"/>
      <c r="BM116" s="585"/>
      <c r="BN116" s="585"/>
      <c r="BO116" s="585"/>
      <c r="BP116" s="585"/>
      <c r="BQ116" s="79"/>
      <c r="BR116" s="79"/>
      <c r="BS116" s="585"/>
      <c r="BT116" s="79"/>
      <c r="BU116" s="79"/>
      <c r="BV116" s="585"/>
      <c r="BW116" s="585"/>
      <c r="BX116" s="585"/>
      <c r="BY116" s="585"/>
      <c r="BZ116" s="79"/>
      <c r="CA116" s="79"/>
      <c r="CB116" s="585"/>
      <c r="CC116" s="585"/>
      <c r="CD116" s="585"/>
      <c r="CE116" s="79"/>
      <c r="CF116" s="79"/>
      <c r="CG116" s="585"/>
      <c r="CH116" s="586"/>
      <c r="CI116" s="586"/>
      <c r="CJ116" s="201"/>
      <c r="CK116" s="202"/>
      <c r="CL116" s="202"/>
      <c r="CM116" s="202"/>
      <c r="CN116" s="202"/>
      <c r="CO116" s="202"/>
      <c r="CP116" s="202"/>
      <c r="CQ116" s="202"/>
      <c r="CR116" s="202"/>
      <c r="CS116" s="202"/>
      <c r="CT116" s="202"/>
      <c r="CU116" s="202"/>
      <c r="CV116" s="202"/>
      <c r="CW116" s="202"/>
      <c r="CX116" s="202"/>
      <c r="CY116" s="202"/>
      <c r="CZ116" s="202"/>
      <c r="DA116" s="202"/>
      <c r="DB116" s="202"/>
      <c r="DC116" s="202"/>
      <c r="DD116" s="202"/>
      <c r="DE116" s="202"/>
      <c r="DF116" s="202"/>
      <c r="DG116" s="202"/>
      <c r="DH116" s="202"/>
      <c r="DI116" s="202"/>
      <c r="DJ116" s="202"/>
      <c r="DK116" s="202"/>
      <c r="DL116" s="202"/>
      <c r="DM116" s="202"/>
      <c r="DN116" s="202"/>
      <c r="DO116" s="202"/>
      <c r="DP116" s="202"/>
      <c r="DQ116" s="202"/>
      <c r="DR116" s="202"/>
      <c r="DS116" s="202"/>
      <c r="DT116" s="202"/>
      <c r="DU116" s="202"/>
      <c r="DV116" s="202"/>
      <c r="DW116" s="202"/>
      <c r="DX116" s="202"/>
      <c r="DY116" s="202"/>
      <c r="DZ116" s="202"/>
      <c r="EA116" s="202"/>
      <c r="EB116" s="202"/>
      <c r="EC116" s="202"/>
      <c r="ED116" s="202"/>
      <c r="EE116" s="202"/>
      <c r="EF116" s="202"/>
      <c r="EG116" s="202"/>
      <c r="EH116" s="202"/>
      <c r="EI116" s="202"/>
      <c r="EJ116" s="202"/>
      <c r="EK116" s="202"/>
      <c r="EL116" s="202"/>
      <c r="EM116" s="202"/>
      <c r="EN116" s="202"/>
      <c r="EO116" s="202"/>
      <c r="EP116" s="202"/>
      <c r="EQ116" s="202"/>
      <c r="ER116" s="202"/>
      <c r="ES116" s="202"/>
      <c r="ET116" s="202"/>
      <c r="EU116" s="202"/>
      <c r="EV116" s="202"/>
      <c r="EW116" s="202"/>
      <c r="EX116" s="202"/>
      <c r="EY116" s="202"/>
      <c r="EZ116" s="202"/>
      <c r="FA116" s="202"/>
      <c r="FB116" s="202"/>
      <c r="FC116" s="202"/>
      <c r="FD116" s="202"/>
      <c r="FE116" s="202"/>
      <c r="FF116" s="202"/>
      <c r="FG116" s="202"/>
      <c r="FH116" s="202"/>
      <c r="FI116" s="202"/>
    </row>
    <row r="117" spans="1:166" s="228" customFormat="1" ht="18" customHeight="1" x14ac:dyDescent="0.25">
      <c r="A117" s="578">
        <f t="shared" si="3"/>
        <v>108</v>
      </c>
      <c r="B117" s="588">
        <v>0</v>
      </c>
      <c r="C117" s="591">
        <v>2</v>
      </c>
      <c r="D117" s="591" t="s">
        <v>324</v>
      </c>
      <c r="E117" s="595" t="s">
        <v>739</v>
      </c>
      <c r="F117" s="590" t="s">
        <v>1044</v>
      </c>
      <c r="G117" s="591" t="s">
        <v>740</v>
      </c>
      <c r="H117" s="591" t="s">
        <v>741</v>
      </c>
      <c r="I117" s="593">
        <v>5</v>
      </c>
      <c r="J117" s="556"/>
      <c r="K117" s="594">
        <v>5</v>
      </c>
      <c r="L117" s="306"/>
      <c r="M117" s="307"/>
      <c r="N117" s="307"/>
      <c r="O117" s="307"/>
      <c r="P117" s="307" t="s">
        <v>122</v>
      </c>
      <c r="Q117" s="79"/>
      <c r="R117" s="79"/>
      <c r="S117" s="585"/>
      <c r="T117" s="585"/>
      <c r="U117" s="585"/>
      <c r="V117" s="585"/>
      <c r="W117" s="585"/>
      <c r="X117" s="585"/>
      <c r="Y117" s="585"/>
      <c r="Z117" s="585"/>
      <c r="AA117" s="585"/>
      <c r="AB117" s="585"/>
      <c r="AC117" s="585"/>
      <c r="AD117" s="585"/>
      <c r="AE117" s="585"/>
      <c r="AF117" s="585"/>
      <c r="AG117" s="585"/>
      <c r="AH117" s="585"/>
      <c r="AI117" s="585"/>
      <c r="AJ117" s="79"/>
      <c r="AK117" s="79"/>
      <c r="AL117" s="585"/>
      <c r="AM117" s="585"/>
      <c r="AN117" s="585"/>
      <c r="AO117" s="585"/>
      <c r="AP117" s="585"/>
      <c r="AQ117" s="585"/>
      <c r="AR117" s="585"/>
      <c r="AS117" s="79"/>
      <c r="AT117" s="79"/>
      <c r="AU117" s="585"/>
      <c r="AV117" s="585"/>
      <c r="AW117" s="585"/>
      <c r="AX117" s="585"/>
      <c r="AY117" s="585"/>
      <c r="AZ117" s="585"/>
      <c r="BA117" s="585"/>
      <c r="BB117" s="585"/>
      <c r="BC117" s="585"/>
      <c r="BD117" s="585"/>
      <c r="BE117" s="79"/>
      <c r="BF117" s="79"/>
      <c r="BG117" s="585"/>
      <c r="BH117" s="585"/>
      <c r="BI117" s="585"/>
      <c r="BJ117" s="585" t="s">
        <v>120</v>
      </c>
      <c r="BK117" s="585"/>
      <c r="BL117" s="585"/>
      <c r="BM117" s="585"/>
      <c r="BN117" s="585"/>
      <c r="BO117" s="585"/>
      <c r="BP117" s="585" t="s">
        <v>121</v>
      </c>
      <c r="BQ117" s="79"/>
      <c r="BR117" s="79"/>
      <c r="BS117" s="585"/>
      <c r="BT117" s="79"/>
      <c r="BU117" s="79"/>
      <c r="BV117" s="585"/>
      <c r="BW117" s="585"/>
      <c r="BX117" s="585"/>
      <c r="BY117" s="585"/>
      <c r="BZ117" s="79"/>
      <c r="CA117" s="79"/>
      <c r="CB117" s="585"/>
      <c r="CC117" s="585"/>
      <c r="CD117" s="585"/>
      <c r="CE117" s="79"/>
      <c r="CF117" s="79"/>
      <c r="CG117" s="585"/>
      <c r="CH117" s="585" t="s">
        <v>40</v>
      </c>
      <c r="CI117" s="585" t="s">
        <v>40</v>
      </c>
      <c r="CJ117" s="201"/>
      <c r="CK117" s="202"/>
      <c r="CL117" s="202"/>
      <c r="CM117" s="202"/>
      <c r="CN117" s="202"/>
      <c r="CO117" s="202"/>
      <c r="CP117" s="202"/>
      <c r="CQ117" s="202"/>
      <c r="CR117" s="202"/>
      <c r="CS117" s="202"/>
      <c r="CT117" s="202"/>
      <c r="CU117" s="202"/>
      <c r="CV117" s="202"/>
      <c r="CW117" s="202"/>
      <c r="CX117" s="202"/>
      <c r="CY117" s="202"/>
      <c r="CZ117" s="202"/>
      <c r="DA117" s="202"/>
      <c r="DB117" s="202"/>
      <c r="DC117" s="202"/>
      <c r="DD117" s="202"/>
      <c r="DE117" s="202"/>
      <c r="DF117" s="202"/>
      <c r="DG117" s="202"/>
      <c r="DH117" s="202"/>
      <c r="DI117" s="202"/>
      <c r="DJ117" s="202"/>
      <c r="DK117" s="202"/>
      <c r="DL117" s="202"/>
      <c r="DM117" s="202"/>
      <c r="DN117" s="202"/>
      <c r="DO117" s="202"/>
      <c r="DP117" s="202"/>
      <c r="DQ117" s="202"/>
      <c r="DR117" s="202"/>
      <c r="DS117" s="202"/>
      <c r="DT117" s="202"/>
      <c r="DU117" s="202"/>
      <c r="DV117" s="202"/>
      <c r="DW117" s="202"/>
      <c r="DX117" s="202"/>
      <c r="DY117" s="202"/>
      <c r="DZ117" s="202"/>
      <c r="EA117" s="202"/>
      <c r="EB117" s="202"/>
      <c r="EC117" s="202"/>
      <c r="ED117" s="202"/>
      <c r="EE117" s="202"/>
      <c r="EF117" s="202"/>
      <c r="EG117" s="202"/>
      <c r="EH117" s="202"/>
      <c r="EI117" s="202"/>
      <c r="EJ117" s="202"/>
      <c r="EK117" s="202"/>
      <c r="EL117" s="202"/>
      <c r="EM117" s="202"/>
      <c r="EN117" s="202"/>
      <c r="EO117" s="202"/>
      <c r="EP117" s="202"/>
      <c r="EQ117" s="202"/>
      <c r="ER117" s="202"/>
      <c r="ES117" s="202"/>
      <c r="ET117" s="202"/>
      <c r="EU117" s="202"/>
      <c r="EV117" s="202"/>
      <c r="EW117" s="202"/>
      <c r="EX117" s="202"/>
      <c r="EY117" s="202"/>
      <c r="EZ117" s="202"/>
      <c r="FA117" s="202"/>
      <c r="FB117" s="202"/>
      <c r="FC117" s="202"/>
      <c r="FD117" s="202"/>
      <c r="FE117" s="202"/>
      <c r="FF117" s="202"/>
      <c r="FG117" s="202"/>
      <c r="FH117" s="202"/>
      <c r="FI117" s="202"/>
    </row>
    <row r="118" spans="1:166" s="228" customFormat="1" ht="18" customHeight="1" x14ac:dyDescent="0.25">
      <c r="A118" s="578">
        <f t="shared" si="3"/>
        <v>109</v>
      </c>
      <c r="B118" s="588">
        <v>0</v>
      </c>
      <c r="C118" s="585">
        <v>2</v>
      </c>
      <c r="D118" s="585" t="s">
        <v>325</v>
      </c>
      <c r="E118" s="589" t="s">
        <v>742</v>
      </c>
      <c r="F118" s="567" t="s">
        <v>1104</v>
      </c>
      <c r="G118" s="585" t="s">
        <v>91</v>
      </c>
      <c r="H118" s="603" t="s">
        <v>825</v>
      </c>
      <c r="I118" s="605">
        <v>9</v>
      </c>
      <c r="J118" s="556"/>
      <c r="K118" s="594"/>
      <c r="L118" s="306"/>
      <c r="M118" s="307"/>
      <c r="N118" s="307"/>
      <c r="O118" s="307"/>
      <c r="P118" s="307"/>
      <c r="Q118" s="79"/>
      <c r="R118" s="76"/>
      <c r="S118" s="585"/>
      <c r="T118" s="556"/>
      <c r="U118" s="556"/>
      <c r="V118" s="556"/>
      <c r="W118" s="585"/>
      <c r="X118" s="585"/>
      <c r="Y118" s="585"/>
      <c r="Z118" s="585"/>
      <c r="AA118" s="556"/>
      <c r="AB118" s="556"/>
      <c r="AC118" s="585"/>
      <c r="AD118" s="585"/>
      <c r="AE118" s="556"/>
      <c r="AF118" s="556"/>
      <c r="AG118" s="556"/>
      <c r="AH118" s="585"/>
      <c r="AI118" s="585"/>
      <c r="AJ118" s="76"/>
      <c r="AK118" s="76"/>
      <c r="AL118" s="556"/>
      <c r="AM118" s="556"/>
      <c r="AN118" s="556"/>
      <c r="AO118" s="556"/>
      <c r="AP118" s="556"/>
      <c r="AQ118" s="556"/>
      <c r="AR118" s="556"/>
      <c r="AS118" s="76"/>
      <c r="AT118" s="76"/>
      <c r="AU118" s="556"/>
      <c r="AV118" s="556"/>
      <c r="AW118" s="556"/>
      <c r="AX118" s="556"/>
      <c r="AY118" s="556"/>
      <c r="AZ118" s="556"/>
      <c r="BA118" s="556"/>
      <c r="BB118" s="556"/>
      <c r="BC118" s="556"/>
      <c r="BD118" s="556"/>
      <c r="BE118" s="76"/>
      <c r="BF118" s="76"/>
      <c r="BG118" s="556"/>
      <c r="BH118" s="556"/>
      <c r="BI118" s="556"/>
      <c r="BJ118" s="585"/>
      <c r="BK118" s="556"/>
      <c r="BL118" s="556"/>
      <c r="BM118" s="585"/>
      <c r="BN118" s="585"/>
      <c r="BO118" s="585"/>
      <c r="BP118" s="585"/>
      <c r="BQ118" s="76"/>
      <c r="BR118" s="76"/>
      <c r="BS118" s="556"/>
      <c r="BT118" s="76"/>
      <c r="BU118" s="76"/>
      <c r="BV118" s="556"/>
      <c r="BW118" s="556"/>
      <c r="BX118" s="556"/>
      <c r="BY118" s="556"/>
      <c r="BZ118" s="76"/>
      <c r="CA118" s="76"/>
      <c r="CB118" s="556"/>
      <c r="CC118" s="556"/>
      <c r="CD118" s="556"/>
      <c r="CE118" s="76"/>
      <c r="CF118" s="79"/>
      <c r="CG118" s="556"/>
      <c r="CH118" s="556" t="s">
        <v>40</v>
      </c>
      <c r="CI118" s="556" t="s">
        <v>40</v>
      </c>
      <c r="CJ118" s="201"/>
      <c r="CK118" s="202"/>
      <c r="CL118" s="202"/>
      <c r="CM118" s="202"/>
      <c r="CN118" s="202"/>
      <c r="CO118" s="202"/>
      <c r="CP118" s="202"/>
      <c r="CQ118" s="202"/>
      <c r="CR118" s="202"/>
      <c r="CS118" s="202"/>
      <c r="CT118" s="202"/>
      <c r="CU118" s="202"/>
      <c r="CV118" s="202"/>
      <c r="CW118" s="202"/>
      <c r="CX118" s="202"/>
      <c r="CY118" s="202"/>
      <c r="CZ118" s="202"/>
      <c r="DA118" s="202"/>
      <c r="DB118" s="202"/>
      <c r="DC118" s="202"/>
      <c r="DD118" s="202"/>
      <c r="DE118" s="202"/>
      <c r="DF118" s="202"/>
      <c r="DG118" s="202"/>
      <c r="DH118" s="202"/>
      <c r="DI118" s="202"/>
      <c r="DJ118" s="202"/>
      <c r="DK118" s="202"/>
      <c r="DL118" s="202"/>
      <c r="DM118" s="202"/>
      <c r="DN118" s="202"/>
      <c r="DO118" s="202"/>
      <c r="DP118" s="202"/>
      <c r="DQ118" s="202"/>
      <c r="DR118" s="202"/>
      <c r="DS118" s="202"/>
      <c r="DT118" s="202"/>
      <c r="DU118" s="202"/>
      <c r="DV118" s="202"/>
      <c r="DW118" s="202"/>
      <c r="DX118" s="202"/>
      <c r="DY118" s="202"/>
      <c r="DZ118" s="202"/>
      <c r="EA118" s="202"/>
      <c r="EB118" s="202"/>
      <c r="EC118" s="202"/>
      <c r="ED118" s="202"/>
      <c r="EE118" s="202"/>
      <c r="EF118" s="202"/>
      <c r="EG118" s="202"/>
      <c r="EH118" s="202"/>
      <c r="EI118" s="202"/>
      <c r="EJ118" s="202"/>
      <c r="EK118" s="202"/>
      <c r="EL118" s="202"/>
      <c r="EM118" s="202"/>
      <c r="EN118" s="202"/>
      <c r="EO118" s="202"/>
      <c r="EP118" s="202"/>
      <c r="EQ118" s="202"/>
      <c r="ER118" s="202"/>
      <c r="ES118" s="202"/>
      <c r="ET118" s="202"/>
      <c r="EU118" s="202"/>
      <c r="EV118" s="202"/>
      <c r="EW118" s="202"/>
      <c r="EX118" s="202"/>
      <c r="EY118" s="202"/>
      <c r="EZ118" s="202"/>
      <c r="FA118" s="202"/>
      <c r="FB118" s="202"/>
      <c r="FC118" s="202"/>
      <c r="FD118" s="202"/>
      <c r="FE118" s="202"/>
      <c r="FF118" s="202"/>
      <c r="FG118" s="202"/>
      <c r="FH118" s="202"/>
      <c r="FI118" s="202"/>
    </row>
    <row r="119" spans="1:166" s="228" customFormat="1" ht="18" customHeight="1" x14ac:dyDescent="0.25">
      <c r="A119" s="578">
        <f t="shared" si="3"/>
        <v>110</v>
      </c>
      <c r="B119" s="588">
        <v>0</v>
      </c>
      <c r="C119" s="585">
        <v>2</v>
      </c>
      <c r="D119" s="585" t="s">
        <v>325</v>
      </c>
      <c r="E119" s="589" t="s">
        <v>743</v>
      </c>
      <c r="F119" s="567" t="s">
        <v>1103</v>
      </c>
      <c r="G119" s="585" t="s">
        <v>91</v>
      </c>
      <c r="H119" s="603" t="s">
        <v>826</v>
      </c>
      <c r="I119" s="593">
        <v>5</v>
      </c>
      <c r="J119" s="556"/>
      <c r="K119" s="594"/>
      <c r="L119" s="306"/>
      <c r="M119" s="307"/>
      <c r="N119" s="307"/>
      <c r="O119" s="307"/>
      <c r="P119" s="307" t="s">
        <v>122</v>
      </c>
      <c r="Q119" s="79"/>
      <c r="R119" s="79"/>
      <c r="S119" s="585"/>
      <c r="T119" s="585"/>
      <c r="U119" s="585"/>
      <c r="V119" s="585"/>
      <c r="W119" s="585"/>
      <c r="X119" s="585"/>
      <c r="Y119" s="585"/>
      <c r="Z119" s="585"/>
      <c r="AA119" s="585"/>
      <c r="AB119" s="585"/>
      <c r="AC119" s="585"/>
      <c r="AD119" s="585"/>
      <c r="AE119" s="585"/>
      <c r="AF119" s="585"/>
      <c r="AG119" s="585"/>
      <c r="AH119" s="585"/>
      <c r="AI119" s="585"/>
      <c r="AJ119" s="79"/>
      <c r="AK119" s="79"/>
      <c r="AL119" s="585"/>
      <c r="AM119" s="585"/>
      <c r="AN119" s="585"/>
      <c r="AO119" s="585"/>
      <c r="AP119" s="585"/>
      <c r="AQ119" s="585"/>
      <c r="AR119" s="585"/>
      <c r="AS119" s="79"/>
      <c r="AT119" s="79"/>
      <c r="AU119" s="585"/>
      <c r="AV119" s="585"/>
      <c r="AW119" s="585"/>
      <c r="AX119" s="585"/>
      <c r="AY119" s="585"/>
      <c r="AZ119" s="585"/>
      <c r="BA119" s="585"/>
      <c r="BB119" s="585"/>
      <c r="BC119" s="585"/>
      <c r="BD119" s="585"/>
      <c r="BE119" s="79"/>
      <c r="BF119" s="79"/>
      <c r="BG119" s="585"/>
      <c r="BH119" s="585"/>
      <c r="BI119" s="585"/>
      <c r="BJ119" s="585" t="s">
        <v>120</v>
      </c>
      <c r="BK119" s="585"/>
      <c r="BL119" s="585"/>
      <c r="BM119" s="585"/>
      <c r="BN119" s="585"/>
      <c r="BO119" s="585"/>
      <c r="BP119" s="585" t="s">
        <v>121</v>
      </c>
      <c r="BQ119" s="79"/>
      <c r="BR119" s="79"/>
      <c r="BS119" s="585"/>
      <c r="BT119" s="79"/>
      <c r="BU119" s="79"/>
      <c r="BV119" s="585"/>
      <c r="BW119" s="585"/>
      <c r="BX119" s="585"/>
      <c r="BY119" s="585"/>
      <c r="BZ119" s="79"/>
      <c r="CA119" s="79"/>
      <c r="CB119" s="585"/>
      <c r="CC119" s="585"/>
      <c r="CD119" s="585"/>
      <c r="CE119" s="79"/>
      <c r="CF119" s="79"/>
      <c r="CG119" s="585"/>
      <c r="CH119" s="585" t="s">
        <v>40</v>
      </c>
      <c r="CI119" s="585" t="s">
        <v>40</v>
      </c>
      <c r="CJ119" s="201"/>
      <c r="CK119" s="202"/>
      <c r="CL119" s="202"/>
      <c r="CM119" s="202"/>
      <c r="CN119" s="202"/>
      <c r="CO119" s="202"/>
      <c r="CP119" s="202"/>
      <c r="CQ119" s="202"/>
      <c r="CR119" s="202"/>
      <c r="CS119" s="202"/>
      <c r="CT119" s="202"/>
      <c r="CU119" s="202"/>
      <c r="CV119" s="202"/>
      <c r="CW119" s="202"/>
      <c r="CX119" s="202"/>
      <c r="CY119" s="202"/>
      <c r="CZ119" s="202"/>
      <c r="DA119" s="202"/>
      <c r="DB119" s="202"/>
      <c r="DC119" s="202"/>
      <c r="DD119" s="202"/>
      <c r="DE119" s="202"/>
      <c r="DF119" s="202"/>
      <c r="DG119" s="202"/>
      <c r="DH119" s="202"/>
      <c r="DI119" s="202"/>
      <c r="DJ119" s="202"/>
      <c r="DK119" s="202"/>
      <c r="DL119" s="202"/>
      <c r="DM119" s="202"/>
      <c r="DN119" s="202"/>
      <c r="DO119" s="202"/>
      <c r="DP119" s="202"/>
      <c r="DQ119" s="202"/>
      <c r="DR119" s="202"/>
      <c r="DS119" s="202"/>
      <c r="DT119" s="202"/>
      <c r="DU119" s="202"/>
      <c r="DV119" s="202"/>
      <c r="DW119" s="202"/>
      <c r="DX119" s="202"/>
      <c r="DY119" s="202"/>
      <c r="DZ119" s="202"/>
      <c r="EA119" s="202"/>
      <c r="EB119" s="202"/>
      <c r="EC119" s="202"/>
      <c r="ED119" s="202"/>
      <c r="EE119" s="202"/>
      <c r="EF119" s="202"/>
      <c r="EG119" s="202"/>
      <c r="EH119" s="202"/>
      <c r="EI119" s="202"/>
      <c r="EJ119" s="202"/>
      <c r="EK119" s="202"/>
      <c r="EL119" s="202"/>
      <c r="EM119" s="202"/>
      <c r="EN119" s="202"/>
      <c r="EO119" s="202"/>
      <c r="EP119" s="202"/>
      <c r="EQ119" s="202"/>
      <c r="ER119" s="202"/>
      <c r="ES119" s="202"/>
      <c r="ET119" s="202"/>
      <c r="EU119" s="202"/>
      <c r="EV119" s="202"/>
      <c r="EW119" s="202"/>
      <c r="EX119" s="202"/>
      <c r="EY119" s="202"/>
      <c r="EZ119" s="202"/>
      <c r="FA119" s="202"/>
      <c r="FB119" s="202"/>
      <c r="FC119" s="202"/>
      <c r="FD119" s="202"/>
      <c r="FE119" s="202"/>
      <c r="FF119" s="202"/>
      <c r="FG119" s="202"/>
      <c r="FH119" s="202"/>
      <c r="FI119" s="202"/>
    </row>
    <row r="120" spans="1:166" s="228" customFormat="1" ht="18" customHeight="1" x14ac:dyDescent="0.25">
      <c r="A120" s="578">
        <f t="shared" si="3"/>
        <v>111</v>
      </c>
      <c r="B120" s="588">
        <v>0</v>
      </c>
      <c r="C120" s="585">
        <v>2</v>
      </c>
      <c r="D120" s="585" t="s">
        <v>326</v>
      </c>
      <c r="E120" s="589" t="s">
        <v>744</v>
      </c>
      <c r="F120" s="567" t="s">
        <v>716</v>
      </c>
      <c r="G120" s="585" t="s">
        <v>92</v>
      </c>
      <c r="H120" s="603" t="s">
        <v>827</v>
      </c>
      <c r="I120" s="593">
        <v>5</v>
      </c>
      <c r="J120" s="556"/>
      <c r="K120" s="594"/>
      <c r="L120" s="306"/>
      <c r="M120" s="307"/>
      <c r="N120" s="307"/>
      <c r="O120" s="307"/>
      <c r="P120" s="307" t="s">
        <v>122</v>
      </c>
      <c r="Q120" s="79"/>
      <c r="R120" s="76"/>
      <c r="S120" s="556"/>
      <c r="T120" s="585"/>
      <c r="U120" s="585"/>
      <c r="V120" s="585"/>
      <c r="W120" s="556"/>
      <c r="X120" s="556"/>
      <c r="Y120" s="556"/>
      <c r="Z120" s="556"/>
      <c r="AA120" s="585"/>
      <c r="AB120" s="585"/>
      <c r="AC120" s="556"/>
      <c r="AD120" s="556"/>
      <c r="AE120" s="556"/>
      <c r="AF120" s="556"/>
      <c r="AG120" s="556"/>
      <c r="AH120" s="556"/>
      <c r="AI120" s="556"/>
      <c r="AJ120" s="76"/>
      <c r="AK120" s="76"/>
      <c r="AL120" s="556"/>
      <c r="AM120" s="556"/>
      <c r="AN120" s="556"/>
      <c r="AO120" s="556"/>
      <c r="AP120" s="556"/>
      <c r="AQ120" s="585"/>
      <c r="AR120" s="585"/>
      <c r="AS120" s="79"/>
      <c r="AT120" s="76"/>
      <c r="AU120" s="585"/>
      <c r="AV120" s="585"/>
      <c r="AW120" s="585"/>
      <c r="AX120" s="585"/>
      <c r="AY120" s="585"/>
      <c r="AZ120" s="585"/>
      <c r="BA120" s="585"/>
      <c r="BB120" s="585"/>
      <c r="BC120" s="585"/>
      <c r="BD120" s="585"/>
      <c r="BE120" s="79"/>
      <c r="BF120" s="76"/>
      <c r="BG120" s="585"/>
      <c r="BH120" s="585"/>
      <c r="BI120" s="585"/>
      <c r="BJ120" s="585" t="s">
        <v>120</v>
      </c>
      <c r="BK120" s="585"/>
      <c r="BL120" s="585"/>
      <c r="BM120" s="585"/>
      <c r="BN120" s="585"/>
      <c r="BO120" s="585"/>
      <c r="BP120" s="585" t="s">
        <v>121</v>
      </c>
      <c r="BQ120" s="79"/>
      <c r="BR120" s="76"/>
      <c r="BS120" s="556"/>
      <c r="BT120" s="76"/>
      <c r="BU120" s="76"/>
      <c r="BV120" s="585"/>
      <c r="BW120" s="556"/>
      <c r="BX120" s="585"/>
      <c r="BY120" s="585"/>
      <c r="BZ120" s="76"/>
      <c r="CA120" s="76"/>
      <c r="CB120" s="556"/>
      <c r="CC120" s="556"/>
      <c r="CD120" s="556"/>
      <c r="CE120" s="76"/>
      <c r="CF120" s="79"/>
      <c r="CG120" s="585"/>
      <c r="CH120" s="585" t="s">
        <v>40</v>
      </c>
      <c r="CI120" s="585" t="s">
        <v>40</v>
      </c>
      <c r="CJ120" s="201"/>
      <c r="CK120" s="202"/>
      <c r="CL120" s="202"/>
      <c r="CM120" s="202"/>
      <c r="CN120" s="202"/>
      <c r="CO120" s="202"/>
      <c r="CP120" s="202"/>
      <c r="CQ120" s="202"/>
      <c r="CR120" s="202"/>
      <c r="CS120" s="202"/>
      <c r="CT120" s="202"/>
      <c r="CU120" s="202"/>
      <c r="CV120" s="202"/>
      <c r="CW120" s="202"/>
      <c r="CX120" s="202"/>
      <c r="CY120" s="202"/>
      <c r="CZ120" s="202"/>
      <c r="DA120" s="202"/>
      <c r="DB120" s="202"/>
      <c r="DC120" s="202"/>
      <c r="DD120" s="202"/>
      <c r="DE120" s="202"/>
      <c r="DF120" s="202"/>
      <c r="DG120" s="202"/>
      <c r="DH120" s="202"/>
      <c r="DI120" s="202"/>
      <c r="DJ120" s="202"/>
      <c r="DK120" s="202"/>
      <c r="DL120" s="202"/>
      <c r="DM120" s="202"/>
      <c r="DN120" s="202"/>
      <c r="DO120" s="202"/>
      <c r="DP120" s="202"/>
      <c r="DQ120" s="202"/>
      <c r="DR120" s="202"/>
      <c r="DS120" s="202"/>
      <c r="DT120" s="202"/>
      <c r="DU120" s="202"/>
      <c r="DV120" s="202"/>
      <c r="DW120" s="202"/>
      <c r="DX120" s="202"/>
      <c r="DY120" s="202"/>
      <c r="DZ120" s="202"/>
      <c r="EA120" s="202"/>
      <c r="EB120" s="202"/>
      <c r="EC120" s="202"/>
      <c r="ED120" s="202"/>
      <c r="EE120" s="202"/>
      <c r="EF120" s="202"/>
      <c r="EG120" s="202"/>
      <c r="EH120" s="202"/>
      <c r="EI120" s="202"/>
      <c r="EJ120" s="202"/>
      <c r="EK120" s="202"/>
      <c r="EL120" s="202"/>
      <c r="EM120" s="202"/>
      <c r="EN120" s="202"/>
      <c r="EO120" s="202"/>
      <c r="EP120" s="202"/>
      <c r="EQ120" s="202"/>
      <c r="ER120" s="202"/>
      <c r="ES120" s="202"/>
      <c r="ET120" s="202"/>
      <c r="EU120" s="202"/>
      <c r="EV120" s="202"/>
      <c r="EW120" s="202"/>
      <c r="EX120" s="202"/>
      <c r="EY120" s="202"/>
      <c r="EZ120" s="202"/>
      <c r="FA120" s="202"/>
      <c r="FB120" s="202"/>
      <c r="FC120" s="202"/>
      <c r="FD120" s="202"/>
      <c r="FE120" s="202"/>
      <c r="FF120" s="202"/>
      <c r="FG120" s="202"/>
      <c r="FH120" s="202"/>
      <c r="FI120" s="202"/>
    </row>
    <row r="121" spans="1:166" s="228" customFormat="1" ht="18" customHeight="1" x14ac:dyDescent="0.25">
      <c r="A121" s="578">
        <f t="shared" si="3"/>
        <v>112</v>
      </c>
      <c r="B121" s="588">
        <v>0</v>
      </c>
      <c r="C121" s="585">
        <v>2</v>
      </c>
      <c r="D121" s="585" t="s">
        <v>326</v>
      </c>
      <c r="E121" s="589" t="s">
        <v>745</v>
      </c>
      <c r="F121" s="567" t="s">
        <v>718</v>
      </c>
      <c r="G121" s="585" t="s">
        <v>92</v>
      </c>
      <c r="H121" s="603" t="s">
        <v>828</v>
      </c>
      <c r="I121" s="605">
        <v>9</v>
      </c>
      <c r="J121" s="556"/>
      <c r="K121" s="594"/>
      <c r="L121" s="306"/>
      <c r="M121" s="307"/>
      <c r="N121" s="307"/>
      <c r="O121" s="307"/>
      <c r="P121" s="307"/>
      <c r="Q121" s="79"/>
      <c r="R121" s="76"/>
      <c r="S121" s="556"/>
      <c r="T121" s="556"/>
      <c r="U121" s="556"/>
      <c r="V121" s="556"/>
      <c r="W121" s="556"/>
      <c r="X121" s="556"/>
      <c r="Y121" s="556"/>
      <c r="Z121" s="556"/>
      <c r="AA121" s="556"/>
      <c r="AB121" s="556"/>
      <c r="AC121" s="556"/>
      <c r="AD121" s="556"/>
      <c r="AE121" s="556"/>
      <c r="AF121" s="556"/>
      <c r="AG121" s="556"/>
      <c r="AH121" s="556"/>
      <c r="AI121" s="556"/>
      <c r="AJ121" s="76"/>
      <c r="AK121" s="76"/>
      <c r="AL121" s="556"/>
      <c r="AM121" s="556"/>
      <c r="AN121" s="556"/>
      <c r="AO121" s="556"/>
      <c r="AP121" s="556"/>
      <c r="AQ121" s="556"/>
      <c r="AR121" s="556"/>
      <c r="AS121" s="76"/>
      <c r="AT121" s="76"/>
      <c r="AU121" s="556"/>
      <c r="AV121" s="556"/>
      <c r="AW121" s="556"/>
      <c r="AX121" s="556"/>
      <c r="AY121" s="556"/>
      <c r="AZ121" s="556"/>
      <c r="BA121" s="556"/>
      <c r="BB121" s="556"/>
      <c r="BC121" s="556"/>
      <c r="BD121" s="556"/>
      <c r="BE121" s="76"/>
      <c r="BF121" s="76"/>
      <c r="BG121" s="556"/>
      <c r="BH121" s="556"/>
      <c r="BI121" s="556"/>
      <c r="BJ121" s="585"/>
      <c r="BK121" s="556"/>
      <c r="BL121" s="556"/>
      <c r="BM121" s="585"/>
      <c r="BN121" s="585"/>
      <c r="BO121" s="585"/>
      <c r="BP121" s="585"/>
      <c r="BQ121" s="76"/>
      <c r="BR121" s="76"/>
      <c r="BS121" s="556"/>
      <c r="BT121" s="76"/>
      <c r="BU121" s="76"/>
      <c r="BV121" s="556"/>
      <c r="BW121" s="556"/>
      <c r="BX121" s="556"/>
      <c r="BY121" s="556"/>
      <c r="BZ121" s="76"/>
      <c r="CA121" s="76"/>
      <c r="CB121" s="556"/>
      <c r="CC121" s="556"/>
      <c r="CD121" s="556"/>
      <c r="CE121" s="76"/>
      <c r="CF121" s="79"/>
      <c r="CG121" s="556"/>
      <c r="CH121" s="556" t="s">
        <v>40</v>
      </c>
      <c r="CI121" s="556" t="s">
        <v>40</v>
      </c>
      <c r="CJ121" s="201"/>
      <c r="CK121" s="202"/>
      <c r="CL121" s="202"/>
      <c r="CM121" s="202"/>
      <c r="CN121" s="202"/>
      <c r="CO121" s="202"/>
      <c r="CP121" s="202"/>
      <c r="CQ121" s="202"/>
      <c r="CR121" s="202"/>
      <c r="CS121" s="202"/>
      <c r="CT121" s="202"/>
      <c r="CU121" s="202"/>
      <c r="CV121" s="202"/>
      <c r="CW121" s="202"/>
      <c r="CX121" s="202"/>
      <c r="CY121" s="202"/>
      <c r="CZ121" s="202"/>
      <c r="DA121" s="202"/>
      <c r="DB121" s="202"/>
      <c r="DC121" s="202"/>
      <c r="DD121" s="202"/>
      <c r="DE121" s="202"/>
      <c r="DF121" s="202"/>
      <c r="DG121" s="202"/>
      <c r="DH121" s="202"/>
      <c r="DI121" s="202"/>
      <c r="DJ121" s="202"/>
      <c r="DK121" s="202"/>
      <c r="DL121" s="202"/>
      <c r="DM121" s="202"/>
      <c r="DN121" s="202"/>
      <c r="DO121" s="202"/>
      <c r="DP121" s="202"/>
      <c r="DQ121" s="202"/>
      <c r="DR121" s="202"/>
      <c r="DS121" s="202"/>
      <c r="DT121" s="202"/>
      <c r="DU121" s="202"/>
      <c r="DV121" s="202"/>
      <c r="DW121" s="202"/>
      <c r="DX121" s="202"/>
      <c r="DY121" s="202"/>
      <c r="DZ121" s="202"/>
      <c r="EA121" s="202"/>
      <c r="EB121" s="202"/>
      <c r="EC121" s="202"/>
      <c r="ED121" s="202"/>
      <c r="EE121" s="202"/>
      <c r="EF121" s="202"/>
      <c r="EG121" s="202"/>
      <c r="EH121" s="202"/>
      <c r="EI121" s="202"/>
      <c r="EJ121" s="202"/>
      <c r="EK121" s="202"/>
      <c r="EL121" s="202"/>
      <c r="EM121" s="202"/>
      <c r="EN121" s="202"/>
      <c r="EO121" s="202"/>
      <c r="EP121" s="202"/>
      <c r="EQ121" s="202"/>
      <c r="ER121" s="202"/>
      <c r="ES121" s="202"/>
      <c r="ET121" s="202"/>
      <c r="EU121" s="202"/>
      <c r="EV121" s="202"/>
      <c r="EW121" s="202"/>
      <c r="EX121" s="202"/>
      <c r="EY121" s="202"/>
      <c r="EZ121" s="202"/>
      <c r="FA121" s="202"/>
      <c r="FB121" s="202"/>
      <c r="FC121" s="202"/>
      <c r="FD121" s="202"/>
      <c r="FE121" s="202"/>
      <c r="FF121" s="202"/>
      <c r="FG121" s="202"/>
      <c r="FH121" s="202"/>
      <c r="FI121" s="202"/>
    </row>
    <row r="122" spans="1:166" s="228" customFormat="1" ht="18" customHeight="1" x14ac:dyDescent="0.25">
      <c r="A122" s="578">
        <f t="shared" si="3"/>
        <v>113</v>
      </c>
      <c r="B122" s="588">
        <v>0</v>
      </c>
      <c r="C122" s="585">
        <v>4</v>
      </c>
      <c r="D122" s="585" t="s">
        <v>327</v>
      </c>
      <c r="E122" s="589" t="s">
        <v>746</v>
      </c>
      <c r="F122" s="567" t="s">
        <v>1105</v>
      </c>
      <c r="G122" s="586" t="s">
        <v>1112</v>
      </c>
      <c r="H122" s="603" t="s">
        <v>829</v>
      </c>
      <c r="I122" s="593">
        <v>5</v>
      </c>
      <c r="J122" s="556"/>
      <c r="K122" s="594"/>
      <c r="L122" s="306"/>
      <c r="M122" s="307"/>
      <c r="N122" s="307"/>
      <c r="O122" s="307"/>
      <c r="P122" s="307" t="s">
        <v>122</v>
      </c>
      <c r="Q122" s="79"/>
      <c r="R122" s="79"/>
      <c r="S122" s="585"/>
      <c r="T122" s="585"/>
      <c r="U122" s="585"/>
      <c r="V122" s="585"/>
      <c r="W122" s="585"/>
      <c r="X122" s="585"/>
      <c r="Y122" s="585"/>
      <c r="Z122" s="585"/>
      <c r="AA122" s="585"/>
      <c r="AB122" s="585"/>
      <c r="AC122" s="585"/>
      <c r="AD122" s="585"/>
      <c r="AE122" s="585"/>
      <c r="AF122" s="585"/>
      <c r="AG122" s="585"/>
      <c r="AH122" s="585"/>
      <c r="AI122" s="585"/>
      <c r="AJ122" s="79"/>
      <c r="AK122" s="79"/>
      <c r="AL122" s="585"/>
      <c r="AM122" s="585"/>
      <c r="AN122" s="585"/>
      <c r="AO122" s="585"/>
      <c r="AP122" s="585"/>
      <c r="AQ122" s="585"/>
      <c r="AR122" s="585"/>
      <c r="AS122" s="79"/>
      <c r="AT122" s="79"/>
      <c r="AU122" s="585"/>
      <c r="AV122" s="585"/>
      <c r="AW122" s="585"/>
      <c r="AX122" s="585"/>
      <c r="AY122" s="585"/>
      <c r="AZ122" s="585"/>
      <c r="BA122" s="585"/>
      <c r="BB122" s="585"/>
      <c r="BC122" s="585"/>
      <c r="BD122" s="585"/>
      <c r="BE122" s="79"/>
      <c r="BF122" s="79"/>
      <c r="BG122" s="585"/>
      <c r="BH122" s="585"/>
      <c r="BI122" s="585"/>
      <c r="BJ122" s="585" t="s">
        <v>120</v>
      </c>
      <c r="BK122" s="585"/>
      <c r="BL122" s="585"/>
      <c r="BM122" s="585"/>
      <c r="BN122" s="585"/>
      <c r="BO122" s="556"/>
      <c r="BP122" s="585" t="s">
        <v>121</v>
      </c>
      <c r="BQ122" s="79"/>
      <c r="BR122" s="79"/>
      <c r="BS122" s="585"/>
      <c r="BT122" s="79"/>
      <c r="BU122" s="79"/>
      <c r="BV122" s="585"/>
      <c r="BW122" s="585"/>
      <c r="BX122" s="585"/>
      <c r="BY122" s="585"/>
      <c r="BZ122" s="79"/>
      <c r="CA122" s="79"/>
      <c r="CB122" s="585"/>
      <c r="CC122" s="585"/>
      <c r="CD122" s="585"/>
      <c r="CE122" s="79"/>
      <c r="CF122" s="79"/>
      <c r="CG122" s="585"/>
      <c r="CH122" s="585" t="s">
        <v>40</v>
      </c>
      <c r="CI122" s="585" t="s">
        <v>40</v>
      </c>
      <c r="CJ122" s="201"/>
      <c r="CK122" s="202"/>
      <c r="CL122" s="202"/>
      <c r="CM122" s="202"/>
      <c r="CN122" s="202"/>
      <c r="CO122" s="202"/>
      <c r="CP122" s="202"/>
      <c r="CQ122" s="202"/>
      <c r="CR122" s="202"/>
      <c r="CS122" s="202"/>
      <c r="CT122" s="202"/>
      <c r="CU122" s="202"/>
      <c r="CV122" s="202"/>
      <c r="CW122" s="202"/>
      <c r="CX122" s="202"/>
      <c r="CY122" s="202"/>
      <c r="CZ122" s="202"/>
      <c r="DA122" s="202"/>
      <c r="DB122" s="202"/>
      <c r="DC122" s="202"/>
      <c r="DD122" s="202"/>
      <c r="DE122" s="202"/>
      <c r="DF122" s="202"/>
      <c r="DG122" s="202"/>
      <c r="DH122" s="202"/>
      <c r="DI122" s="202"/>
      <c r="DJ122" s="202"/>
      <c r="DK122" s="202"/>
      <c r="DL122" s="202"/>
      <c r="DM122" s="202"/>
      <c r="DN122" s="202"/>
      <c r="DO122" s="202"/>
      <c r="DP122" s="202"/>
      <c r="DQ122" s="202"/>
      <c r="DR122" s="202"/>
      <c r="DS122" s="202"/>
      <c r="DT122" s="202"/>
      <c r="DU122" s="202"/>
      <c r="DV122" s="202"/>
      <c r="DW122" s="202"/>
      <c r="DX122" s="202"/>
      <c r="DY122" s="202"/>
      <c r="DZ122" s="202"/>
      <c r="EA122" s="202"/>
      <c r="EB122" s="202"/>
      <c r="EC122" s="202"/>
      <c r="ED122" s="202"/>
      <c r="EE122" s="202"/>
      <c r="EF122" s="202"/>
      <c r="EG122" s="202"/>
      <c r="EH122" s="202"/>
      <c r="EI122" s="202"/>
      <c r="EJ122" s="202"/>
      <c r="EK122" s="202"/>
      <c r="EL122" s="202"/>
      <c r="EM122" s="202"/>
      <c r="EN122" s="202"/>
      <c r="EO122" s="202"/>
      <c r="EP122" s="202"/>
      <c r="EQ122" s="202"/>
      <c r="ER122" s="202"/>
      <c r="ES122" s="202"/>
      <c r="ET122" s="202"/>
      <c r="EU122" s="202"/>
      <c r="EV122" s="202"/>
      <c r="EW122" s="202"/>
      <c r="EX122" s="202"/>
      <c r="EY122" s="202"/>
      <c r="EZ122" s="202"/>
      <c r="FA122" s="202"/>
      <c r="FB122" s="202"/>
      <c r="FC122" s="202"/>
      <c r="FD122" s="202"/>
      <c r="FE122" s="202"/>
      <c r="FF122" s="202"/>
      <c r="FG122" s="202"/>
      <c r="FH122" s="202"/>
      <c r="FI122" s="202"/>
    </row>
    <row r="123" spans="1:166" s="228" customFormat="1" ht="18" customHeight="1" x14ac:dyDescent="0.25">
      <c r="A123" s="578">
        <f t="shared" si="3"/>
        <v>114</v>
      </c>
      <c r="B123" s="588">
        <v>0</v>
      </c>
      <c r="C123" s="585">
        <v>4</v>
      </c>
      <c r="D123" s="585" t="s">
        <v>327</v>
      </c>
      <c r="E123" s="589" t="s">
        <v>747</v>
      </c>
      <c r="F123" s="567" t="s">
        <v>1106</v>
      </c>
      <c r="G123" s="586" t="s">
        <v>1112</v>
      </c>
      <c r="H123" s="603" t="s">
        <v>830</v>
      </c>
      <c r="I123" s="605">
        <v>9</v>
      </c>
      <c r="J123" s="556"/>
      <c r="K123" s="594"/>
      <c r="L123" s="306"/>
      <c r="M123" s="307"/>
      <c r="N123" s="307"/>
      <c r="O123" s="307"/>
      <c r="P123" s="307"/>
      <c r="Q123" s="79"/>
      <c r="R123" s="79"/>
      <c r="S123" s="585"/>
      <c r="T123" s="585"/>
      <c r="U123" s="585"/>
      <c r="V123" s="585"/>
      <c r="W123" s="585"/>
      <c r="X123" s="585"/>
      <c r="Y123" s="585"/>
      <c r="Z123" s="585"/>
      <c r="AA123" s="585"/>
      <c r="AB123" s="585"/>
      <c r="AC123" s="585"/>
      <c r="AD123" s="585"/>
      <c r="AE123" s="585"/>
      <c r="AF123" s="585"/>
      <c r="AG123" s="585"/>
      <c r="AH123" s="585"/>
      <c r="AI123" s="585"/>
      <c r="AJ123" s="79"/>
      <c r="AK123" s="79"/>
      <c r="AL123" s="585"/>
      <c r="AM123" s="585"/>
      <c r="AN123" s="585"/>
      <c r="AO123" s="585"/>
      <c r="AP123" s="585"/>
      <c r="AQ123" s="585"/>
      <c r="AR123" s="585"/>
      <c r="AS123" s="79"/>
      <c r="AT123" s="79"/>
      <c r="AU123" s="585"/>
      <c r="AV123" s="585"/>
      <c r="AW123" s="585"/>
      <c r="AX123" s="585"/>
      <c r="AY123" s="585"/>
      <c r="AZ123" s="585"/>
      <c r="BA123" s="585"/>
      <c r="BB123" s="585"/>
      <c r="BC123" s="585"/>
      <c r="BD123" s="585"/>
      <c r="BE123" s="79"/>
      <c r="BF123" s="79"/>
      <c r="BG123" s="585"/>
      <c r="BH123" s="585"/>
      <c r="BI123" s="585"/>
      <c r="BJ123" s="556"/>
      <c r="BK123" s="585"/>
      <c r="BL123" s="585"/>
      <c r="BM123" s="556"/>
      <c r="BN123" s="556"/>
      <c r="BO123" s="556"/>
      <c r="BP123" s="556"/>
      <c r="BQ123" s="79"/>
      <c r="BR123" s="79"/>
      <c r="BS123" s="585"/>
      <c r="BT123" s="79"/>
      <c r="BU123" s="79"/>
      <c r="BV123" s="585"/>
      <c r="BW123" s="585"/>
      <c r="BX123" s="585"/>
      <c r="BY123" s="585"/>
      <c r="BZ123" s="79"/>
      <c r="CA123" s="79"/>
      <c r="CB123" s="585"/>
      <c r="CC123" s="585"/>
      <c r="CD123" s="585"/>
      <c r="CE123" s="79"/>
      <c r="CF123" s="79"/>
      <c r="CG123" s="585"/>
      <c r="CH123" s="585" t="s">
        <v>40</v>
      </c>
      <c r="CI123" s="585" t="s">
        <v>40</v>
      </c>
      <c r="CJ123" s="201"/>
      <c r="CK123" s="202"/>
      <c r="CL123" s="202"/>
      <c r="CM123" s="202"/>
      <c r="CN123" s="202"/>
      <c r="CO123" s="202"/>
      <c r="CP123" s="202"/>
      <c r="CQ123" s="202"/>
      <c r="CR123" s="202"/>
      <c r="CS123" s="202"/>
      <c r="CT123" s="202"/>
      <c r="CU123" s="202"/>
      <c r="CV123" s="202"/>
      <c r="CW123" s="202"/>
      <c r="CX123" s="202"/>
      <c r="CY123" s="202"/>
      <c r="CZ123" s="202"/>
      <c r="DA123" s="202"/>
      <c r="DB123" s="202"/>
      <c r="DC123" s="202"/>
      <c r="DD123" s="202"/>
      <c r="DE123" s="202"/>
      <c r="DF123" s="202"/>
      <c r="DG123" s="202"/>
      <c r="DH123" s="202"/>
      <c r="DI123" s="202"/>
      <c r="DJ123" s="202"/>
      <c r="DK123" s="202"/>
      <c r="DL123" s="202"/>
      <c r="DM123" s="202"/>
      <c r="DN123" s="202"/>
      <c r="DO123" s="202"/>
      <c r="DP123" s="202"/>
      <c r="DQ123" s="202"/>
      <c r="DR123" s="202"/>
      <c r="DS123" s="202"/>
      <c r="DT123" s="202"/>
      <c r="DU123" s="202"/>
      <c r="DV123" s="202"/>
      <c r="DW123" s="202"/>
      <c r="DX123" s="202"/>
      <c r="DY123" s="202"/>
      <c r="DZ123" s="202"/>
      <c r="EA123" s="202"/>
      <c r="EB123" s="202"/>
      <c r="EC123" s="202"/>
      <c r="ED123" s="202"/>
      <c r="EE123" s="202"/>
      <c r="EF123" s="202"/>
      <c r="EG123" s="202"/>
      <c r="EH123" s="202"/>
      <c r="EI123" s="202"/>
      <c r="EJ123" s="202"/>
      <c r="EK123" s="202"/>
      <c r="EL123" s="202"/>
      <c r="EM123" s="202"/>
      <c r="EN123" s="202"/>
      <c r="EO123" s="202"/>
      <c r="EP123" s="202"/>
      <c r="EQ123" s="202"/>
      <c r="ER123" s="202"/>
      <c r="ES123" s="202"/>
      <c r="ET123" s="202"/>
      <c r="EU123" s="202"/>
      <c r="EV123" s="202"/>
      <c r="EW123" s="202"/>
      <c r="EX123" s="202"/>
      <c r="EY123" s="202"/>
      <c r="EZ123" s="202"/>
      <c r="FA123" s="202"/>
      <c r="FB123" s="202"/>
      <c r="FC123" s="202"/>
      <c r="FD123" s="202"/>
      <c r="FE123" s="202"/>
      <c r="FF123" s="202"/>
      <c r="FG123" s="202"/>
      <c r="FH123" s="202"/>
      <c r="FI123" s="202"/>
    </row>
    <row r="124" spans="1:166" s="228" customFormat="1" ht="18" customHeight="1" x14ac:dyDescent="0.25">
      <c r="A124" s="578">
        <f t="shared" si="3"/>
        <v>115</v>
      </c>
      <c r="B124" s="588">
        <v>0</v>
      </c>
      <c r="C124" s="585">
        <v>4</v>
      </c>
      <c r="D124" s="585" t="s">
        <v>328</v>
      </c>
      <c r="E124" s="589" t="s">
        <v>748</v>
      </c>
      <c r="F124" s="567" t="s">
        <v>1107</v>
      </c>
      <c r="G124" s="585" t="s">
        <v>93</v>
      </c>
      <c r="H124" s="603" t="s">
        <v>831</v>
      </c>
      <c r="I124" s="593">
        <v>5</v>
      </c>
      <c r="J124" s="556" t="s">
        <v>64</v>
      </c>
      <c r="K124" s="594">
        <v>17</v>
      </c>
      <c r="L124" s="306"/>
      <c r="M124" s="307"/>
      <c r="N124" s="307"/>
      <c r="O124" s="307"/>
      <c r="P124" s="307" t="s">
        <v>122</v>
      </c>
      <c r="Q124" s="79"/>
      <c r="R124" s="79"/>
      <c r="S124" s="585"/>
      <c r="T124" s="585"/>
      <c r="U124" s="585"/>
      <c r="V124" s="585"/>
      <c r="W124" s="585"/>
      <c r="X124" s="585"/>
      <c r="Y124" s="585"/>
      <c r="Z124" s="585"/>
      <c r="AA124" s="585"/>
      <c r="AB124" s="585"/>
      <c r="AC124" s="585"/>
      <c r="AD124" s="585"/>
      <c r="AE124" s="585"/>
      <c r="AF124" s="585"/>
      <c r="AG124" s="585"/>
      <c r="AH124" s="585"/>
      <c r="AI124" s="585"/>
      <c r="AJ124" s="79"/>
      <c r="AK124" s="79"/>
      <c r="AL124" s="585"/>
      <c r="AM124" s="585"/>
      <c r="AN124" s="585"/>
      <c r="AO124" s="585"/>
      <c r="AP124" s="585"/>
      <c r="AQ124" s="585"/>
      <c r="AR124" s="585"/>
      <c r="AS124" s="79"/>
      <c r="AT124" s="79"/>
      <c r="AU124" s="585"/>
      <c r="AV124" s="585"/>
      <c r="AW124" s="585"/>
      <c r="AX124" s="585"/>
      <c r="AY124" s="585"/>
      <c r="AZ124" s="585"/>
      <c r="BA124" s="585"/>
      <c r="BB124" s="585"/>
      <c r="BC124" s="585"/>
      <c r="BD124" s="585"/>
      <c r="BE124" s="79"/>
      <c r="BF124" s="79"/>
      <c r="BG124" s="585"/>
      <c r="BH124" s="585"/>
      <c r="BI124" s="585"/>
      <c r="BJ124" s="585" t="s">
        <v>120</v>
      </c>
      <c r="BK124" s="585"/>
      <c r="BL124" s="585"/>
      <c r="BM124" s="585"/>
      <c r="BN124" s="585"/>
      <c r="BO124" s="585"/>
      <c r="BP124" s="585" t="s">
        <v>121</v>
      </c>
      <c r="BQ124" s="79"/>
      <c r="BR124" s="79"/>
      <c r="BS124" s="585"/>
      <c r="BT124" s="79"/>
      <c r="BU124" s="79"/>
      <c r="BV124" s="585"/>
      <c r="BW124" s="585"/>
      <c r="BX124" s="585"/>
      <c r="BY124" s="585"/>
      <c r="BZ124" s="79"/>
      <c r="CA124" s="79"/>
      <c r="CB124" s="585"/>
      <c r="CC124" s="585"/>
      <c r="CD124" s="585"/>
      <c r="CE124" s="79"/>
      <c r="CF124" s="79"/>
      <c r="CG124" s="585"/>
      <c r="CH124" s="585" t="s">
        <v>40</v>
      </c>
      <c r="CI124" s="585" t="s">
        <v>40</v>
      </c>
      <c r="CJ124" s="201"/>
      <c r="CK124" s="202"/>
      <c r="CL124" s="202"/>
      <c r="CM124" s="202"/>
      <c r="CN124" s="202"/>
      <c r="CO124" s="202"/>
      <c r="CP124" s="202"/>
      <c r="CQ124" s="202"/>
      <c r="CR124" s="202"/>
      <c r="CS124" s="202"/>
      <c r="CT124" s="202"/>
      <c r="CU124" s="202"/>
      <c r="CV124" s="202"/>
      <c r="CW124" s="202"/>
      <c r="CX124" s="202"/>
      <c r="CY124" s="202"/>
      <c r="CZ124" s="202"/>
      <c r="DA124" s="202"/>
      <c r="DB124" s="202"/>
      <c r="DC124" s="202"/>
      <c r="DD124" s="202"/>
      <c r="DE124" s="202"/>
      <c r="DF124" s="202"/>
      <c r="DG124" s="202"/>
      <c r="DH124" s="202"/>
      <c r="DI124" s="202"/>
      <c r="DJ124" s="202"/>
      <c r="DK124" s="202"/>
      <c r="DL124" s="202"/>
      <c r="DM124" s="202"/>
      <c r="DN124" s="202"/>
      <c r="DO124" s="202"/>
      <c r="DP124" s="202"/>
      <c r="DQ124" s="202"/>
      <c r="DR124" s="202"/>
      <c r="DS124" s="202"/>
      <c r="DT124" s="202"/>
      <c r="DU124" s="202"/>
      <c r="DV124" s="202"/>
      <c r="DW124" s="202"/>
      <c r="DX124" s="202"/>
      <c r="DY124" s="202"/>
      <c r="DZ124" s="202"/>
      <c r="EA124" s="202"/>
      <c r="EB124" s="202"/>
      <c r="EC124" s="202"/>
      <c r="ED124" s="202"/>
      <c r="EE124" s="202"/>
      <c r="EF124" s="202"/>
      <c r="EG124" s="202"/>
      <c r="EH124" s="202"/>
      <c r="EI124" s="202"/>
      <c r="EJ124" s="202"/>
      <c r="EK124" s="202"/>
      <c r="EL124" s="202"/>
      <c r="EM124" s="202"/>
      <c r="EN124" s="202"/>
      <c r="EO124" s="202"/>
      <c r="EP124" s="202"/>
      <c r="EQ124" s="202"/>
      <c r="ER124" s="202"/>
      <c r="ES124" s="202"/>
      <c r="ET124" s="202"/>
      <c r="EU124" s="202"/>
      <c r="EV124" s="202"/>
      <c r="EW124" s="202"/>
      <c r="EX124" s="202"/>
      <c r="EY124" s="202"/>
      <c r="EZ124" s="202"/>
      <c r="FA124" s="202"/>
      <c r="FB124" s="202"/>
      <c r="FC124" s="202"/>
      <c r="FD124" s="202"/>
      <c r="FE124" s="202"/>
      <c r="FF124" s="202"/>
      <c r="FG124" s="202"/>
      <c r="FH124" s="202"/>
      <c r="FI124" s="202"/>
    </row>
    <row r="125" spans="1:166" s="228" customFormat="1" ht="18" customHeight="1" x14ac:dyDescent="0.25">
      <c r="A125" s="578">
        <f t="shared" si="3"/>
        <v>116</v>
      </c>
      <c r="B125" s="588">
        <v>0</v>
      </c>
      <c r="C125" s="585">
        <v>4</v>
      </c>
      <c r="D125" s="585" t="s">
        <v>328</v>
      </c>
      <c r="E125" s="589" t="s">
        <v>749</v>
      </c>
      <c r="F125" s="590" t="s">
        <v>1108</v>
      </c>
      <c r="G125" s="585" t="s">
        <v>93</v>
      </c>
      <c r="H125" s="603" t="s">
        <v>832</v>
      </c>
      <c r="I125" s="605">
        <v>9</v>
      </c>
      <c r="J125" s="556"/>
      <c r="K125" s="594"/>
      <c r="L125" s="306"/>
      <c r="M125" s="307"/>
      <c r="N125" s="307"/>
      <c r="O125" s="307"/>
      <c r="P125" s="307"/>
      <c r="Q125" s="79"/>
      <c r="R125" s="79"/>
      <c r="S125" s="585"/>
      <c r="T125" s="585"/>
      <c r="U125" s="585"/>
      <c r="V125" s="585"/>
      <c r="W125" s="585"/>
      <c r="X125" s="585"/>
      <c r="Y125" s="585"/>
      <c r="Z125" s="585"/>
      <c r="AA125" s="585"/>
      <c r="AB125" s="585"/>
      <c r="AC125" s="585"/>
      <c r="AD125" s="585"/>
      <c r="AE125" s="585"/>
      <c r="AF125" s="585"/>
      <c r="AG125" s="585"/>
      <c r="AH125" s="585"/>
      <c r="AI125" s="585"/>
      <c r="AJ125" s="79"/>
      <c r="AK125" s="79"/>
      <c r="AL125" s="585"/>
      <c r="AM125" s="585"/>
      <c r="AN125" s="585"/>
      <c r="AO125" s="585"/>
      <c r="AP125" s="585"/>
      <c r="AQ125" s="585"/>
      <c r="AR125" s="585"/>
      <c r="AS125" s="79"/>
      <c r="AT125" s="79"/>
      <c r="AU125" s="585"/>
      <c r="AV125" s="585"/>
      <c r="AW125" s="585"/>
      <c r="AX125" s="585"/>
      <c r="AY125" s="585"/>
      <c r="AZ125" s="585"/>
      <c r="BA125" s="585"/>
      <c r="BB125" s="585"/>
      <c r="BC125" s="585"/>
      <c r="BD125" s="585"/>
      <c r="BE125" s="79"/>
      <c r="BF125" s="79"/>
      <c r="BG125" s="585"/>
      <c r="BH125" s="585"/>
      <c r="BI125" s="585"/>
      <c r="BJ125" s="585"/>
      <c r="BK125" s="585"/>
      <c r="BL125" s="585"/>
      <c r="BM125" s="585"/>
      <c r="BN125" s="585"/>
      <c r="BO125" s="585"/>
      <c r="BP125" s="585"/>
      <c r="BQ125" s="79"/>
      <c r="BR125" s="79"/>
      <c r="BS125" s="585"/>
      <c r="BT125" s="79"/>
      <c r="BU125" s="79"/>
      <c r="BV125" s="585"/>
      <c r="BW125" s="585"/>
      <c r="BX125" s="585"/>
      <c r="BY125" s="585"/>
      <c r="BZ125" s="79"/>
      <c r="CA125" s="79"/>
      <c r="CB125" s="585"/>
      <c r="CC125" s="585"/>
      <c r="CD125" s="585"/>
      <c r="CE125" s="79"/>
      <c r="CF125" s="79"/>
      <c r="CG125" s="585"/>
      <c r="CH125" s="585" t="s">
        <v>40</v>
      </c>
      <c r="CI125" s="585" t="s">
        <v>40</v>
      </c>
      <c r="CJ125" s="201"/>
      <c r="CK125" s="202"/>
      <c r="CL125" s="202"/>
      <c r="CM125" s="202"/>
      <c r="CN125" s="202"/>
      <c r="CO125" s="202"/>
      <c r="CP125" s="202"/>
      <c r="CQ125" s="202"/>
      <c r="CR125" s="202"/>
      <c r="CS125" s="202"/>
      <c r="CT125" s="202"/>
      <c r="CU125" s="202"/>
      <c r="CV125" s="202"/>
      <c r="CW125" s="202"/>
      <c r="CX125" s="202"/>
      <c r="CY125" s="202"/>
      <c r="CZ125" s="202"/>
      <c r="DA125" s="202"/>
      <c r="DB125" s="202"/>
      <c r="DC125" s="202"/>
      <c r="DD125" s="202"/>
      <c r="DE125" s="202"/>
      <c r="DF125" s="202"/>
      <c r="DG125" s="202"/>
      <c r="DH125" s="202"/>
      <c r="DI125" s="202"/>
      <c r="DJ125" s="202"/>
      <c r="DK125" s="202"/>
      <c r="DL125" s="202"/>
      <c r="DM125" s="202"/>
      <c r="DN125" s="202"/>
      <c r="DO125" s="202"/>
      <c r="DP125" s="202"/>
      <c r="DQ125" s="202"/>
      <c r="DR125" s="202"/>
      <c r="DS125" s="202"/>
      <c r="DT125" s="202"/>
      <c r="DU125" s="202"/>
      <c r="DV125" s="202"/>
      <c r="DW125" s="202"/>
      <c r="DX125" s="202"/>
      <c r="DY125" s="202"/>
      <c r="DZ125" s="202"/>
      <c r="EA125" s="202"/>
      <c r="EB125" s="202"/>
      <c r="EC125" s="202"/>
      <c r="ED125" s="202"/>
      <c r="EE125" s="202"/>
      <c r="EF125" s="202"/>
      <c r="EG125" s="202"/>
      <c r="EH125" s="202"/>
      <c r="EI125" s="202"/>
      <c r="EJ125" s="202"/>
      <c r="EK125" s="202"/>
      <c r="EL125" s="202"/>
      <c r="EM125" s="202"/>
      <c r="EN125" s="202"/>
      <c r="EO125" s="202"/>
      <c r="EP125" s="202"/>
      <c r="EQ125" s="202"/>
      <c r="ER125" s="202"/>
      <c r="ES125" s="202"/>
      <c r="ET125" s="202"/>
      <c r="EU125" s="202"/>
      <c r="EV125" s="202"/>
      <c r="EW125" s="202"/>
      <c r="EX125" s="202"/>
      <c r="EY125" s="202"/>
      <c r="EZ125" s="202"/>
      <c r="FA125" s="202"/>
      <c r="FB125" s="202"/>
      <c r="FC125" s="202"/>
      <c r="FD125" s="202"/>
      <c r="FE125" s="202"/>
      <c r="FF125" s="202"/>
      <c r="FG125" s="202"/>
      <c r="FH125" s="202"/>
      <c r="FI125" s="202"/>
    </row>
    <row r="126" spans="1:166" s="228" customFormat="1" ht="18" customHeight="1" x14ac:dyDescent="0.25">
      <c r="A126" s="578">
        <f t="shared" si="3"/>
        <v>117</v>
      </c>
      <c r="B126" s="588">
        <v>0</v>
      </c>
      <c r="C126" s="585">
        <v>4</v>
      </c>
      <c r="D126" s="585" t="s">
        <v>329</v>
      </c>
      <c r="E126" s="589" t="s">
        <v>750</v>
      </c>
      <c r="F126" s="567" t="s">
        <v>1107</v>
      </c>
      <c r="G126" s="585" t="s">
        <v>94</v>
      </c>
      <c r="H126" s="603" t="s">
        <v>833</v>
      </c>
      <c r="I126" s="593">
        <v>5</v>
      </c>
      <c r="J126" s="556" t="s">
        <v>64</v>
      </c>
      <c r="K126" s="594">
        <v>17</v>
      </c>
      <c r="L126" s="306"/>
      <c r="M126" s="307"/>
      <c r="N126" s="307"/>
      <c r="O126" s="307"/>
      <c r="P126" s="307" t="s">
        <v>122</v>
      </c>
      <c r="Q126" s="79"/>
      <c r="R126" s="79"/>
      <c r="S126" s="585"/>
      <c r="T126" s="585"/>
      <c r="U126" s="585"/>
      <c r="V126" s="585"/>
      <c r="W126" s="585"/>
      <c r="X126" s="585"/>
      <c r="Y126" s="585"/>
      <c r="Z126" s="585"/>
      <c r="AA126" s="585"/>
      <c r="AB126" s="585"/>
      <c r="AC126" s="585"/>
      <c r="AD126" s="585"/>
      <c r="AE126" s="585"/>
      <c r="AF126" s="585"/>
      <c r="AG126" s="585"/>
      <c r="AH126" s="585"/>
      <c r="AI126" s="585"/>
      <c r="AJ126" s="79"/>
      <c r="AK126" s="79"/>
      <c r="AL126" s="585"/>
      <c r="AM126" s="585"/>
      <c r="AN126" s="585"/>
      <c r="AO126" s="585"/>
      <c r="AP126" s="585"/>
      <c r="AQ126" s="585"/>
      <c r="AR126" s="585"/>
      <c r="AS126" s="79"/>
      <c r="AT126" s="79"/>
      <c r="AU126" s="585"/>
      <c r="AV126" s="585"/>
      <c r="AW126" s="585"/>
      <c r="AX126" s="585"/>
      <c r="AY126" s="585"/>
      <c r="AZ126" s="585"/>
      <c r="BA126" s="585"/>
      <c r="BB126" s="585"/>
      <c r="BC126" s="585"/>
      <c r="BD126" s="585"/>
      <c r="BE126" s="79"/>
      <c r="BF126" s="79"/>
      <c r="BG126" s="585"/>
      <c r="BH126" s="585"/>
      <c r="BI126" s="585"/>
      <c r="BJ126" s="585" t="s">
        <v>120</v>
      </c>
      <c r="BK126" s="585"/>
      <c r="BL126" s="585"/>
      <c r="BM126" s="585"/>
      <c r="BN126" s="585"/>
      <c r="BO126" s="556"/>
      <c r="BP126" s="585" t="s">
        <v>121</v>
      </c>
      <c r="BQ126" s="79"/>
      <c r="BR126" s="79"/>
      <c r="BS126" s="585"/>
      <c r="BT126" s="79"/>
      <c r="BU126" s="79"/>
      <c r="BV126" s="585"/>
      <c r="BW126" s="585"/>
      <c r="BX126" s="585"/>
      <c r="BY126" s="585"/>
      <c r="BZ126" s="79"/>
      <c r="CA126" s="79"/>
      <c r="CB126" s="585"/>
      <c r="CC126" s="585"/>
      <c r="CD126" s="585"/>
      <c r="CE126" s="79"/>
      <c r="CF126" s="79"/>
      <c r="CG126" s="585"/>
      <c r="CH126" s="585" t="s">
        <v>40</v>
      </c>
      <c r="CI126" s="585" t="s">
        <v>40</v>
      </c>
      <c r="CJ126" s="201"/>
      <c r="CK126" s="202"/>
      <c r="CL126" s="202"/>
      <c r="CM126" s="202"/>
      <c r="CN126" s="202"/>
      <c r="CO126" s="202"/>
      <c r="CP126" s="202"/>
      <c r="CQ126" s="202"/>
      <c r="CR126" s="202"/>
      <c r="CS126" s="202"/>
      <c r="CT126" s="202"/>
      <c r="CU126" s="202"/>
      <c r="CV126" s="202"/>
      <c r="CW126" s="202"/>
      <c r="CX126" s="202"/>
      <c r="CY126" s="202"/>
      <c r="CZ126" s="202"/>
      <c r="DA126" s="202"/>
      <c r="DB126" s="202"/>
      <c r="DC126" s="202"/>
      <c r="DD126" s="202"/>
      <c r="DE126" s="202"/>
      <c r="DF126" s="202"/>
      <c r="DG126" s="202"/>
      <c r="DH126" s="202"/>
      <c r="DI126" s="202"/>
      <c r="DJ126" s="202"/>
      <c r="DK126" s="202"/>
      <c r="DL126" s="202"/>
      <c r="DM126" s="202"/>
      <c r="DN126" s="202"/>
      <c r="DO126" s="202"/>
      <c r="DP126" s="202"/>
      <c r="DQ126" s="202"/>
      <c r="DR126" s="202"/>
      <c r="DS126" s="202"/>
      <c r="DT126" s="202"/>
      <c r="DU126" s="202"/>
      <c r="DV126" s="202"/>
      <c r="DW126" s="202"/>
      <c r="DX126" s="202"/>
      <c r="DY126" s="202"/>
      <c r="DZ126" s="202"/>
      <c r="EA126" s="202"/>
      <c r="EB126" s="202"/>
      <c r="EC126" s="202"/>
      <c r="ED126" s="202"/>
      <c r="EE126" s="202"/>
      <c r="EF126" s="202"/>
      <c r="EG126" s="202"/>
      <c r="EH126" s="202"/>
      <c r="EI126" s="202"/>
      <c r="EJ126" s="202"/>
      <c r="EK126" s="202"/>
      <c r="EL126" s="202"/>
      <c r="EM126" s="202"/>
      <c r="EN126" s="202"/>
      <c r="EO126" s="202"/>
      <c r="EP126" s="202"/>
      <c r="EQ126" s="202"/>
      <c r="ER126" s="202"/>
      <c r="ES126" s="202"/>
      <c r="ET126" s="202"/>
      <c r="EU126" s="202"/>
      <c r="EV126" s="202"/>
      <c r="EW126" s="202"/>
      <c r="EX126" s="202"/>
      <c r="EY126" s="202"/>
      <c r="EZ126" s="202"/>
      <c r="FA126" s="202"/>
      <c r="FB126" s="202"/>
      <c r="FC126" s="202"/>
      <c r="FD126" s="202"/>
      <c r="FE126" s="202"/>
      <c r="FF126" s="202"/>
      <c r="FG126" s="202"/>
      <c r="FH126" s="202"/>
      <c r="FI126" s="202"/>
    </row>
    <row r="127" spans="1:166" s="228" customFormat="1" ht="18" customHeight="1" x14ac:dyDescent="0.25">
      <c r="A127" s="578">
        <f t="shared" si="3"/>
        <v>118</v>
      </c>
      <c r="B127" s="588">
        <v>0</v>
      </c>
      <c r="C127" s="585">
        <v>4</v>
      </c>
      <c r="D127" s="585" t="s">
        <v>329</v>
      </c>
      <c r="E127" s="589" t="s">
        <v>751</v>
      </c>
      <c r="F127" s="590" t="s">
        <v>1108</v>
      </c>
      <c r="G127" s="585" t="s">
        <v>94</v>
      </c>
      <c r="H127" s="603" t="s">
        <v>834</v>
      </c>
      <c r="I127" s="605">
        <v>9</v>
      </c>
      <c r="J127" s="556"/>
      <c r="K127" s="594"/>
      <c r="L127" s="306"/>
      <c r="M127" s="307"/>
      <c r="N127" s="307"/>
      <c r="O127" s="307"/>
      <c r="P127" s="307"/>
      <c r="Q127" s="79"/>
      <c r="R127" s="79"/>
      <c r="S127" s="585"/>
      <c r="T127" s="585"/>
      <c r="U127" s="585"/>
      <c r="V127" s="585"/>
      <c r="W127" s="585"/>
      <c r="X127" s="585"/>
      <c r="Y127" s="585"/>
      <c r="Z127" s="585"/>
      <c r="AA127" s="585"/>
      <c r="AB127" s="585"/>
      <c r="AC127" s="585"/>
      <c r="AD127" s="585"/>
      <c r="AE127" s="585"/>
      <c r="AF127" s="585"/>
      <c r="AG127" s="585"/>
      <c r="AH127" s="585"/>
      <c r="AI127" s="585"/>
      <c r="AJ127" s="79"/>
      <c r="AK127" s="79"/>
      <c r="AL127" s="585"/>
      <c r="AM127" s="585"/>
      <c r="AN127" s="585"/>
      <c r="AO127" s="585"/>
      <c r="AP127" s="585"/>
      <c r="AQ127" s="585"/>
      <c r="AR127" s="585"/>
      <c r="AS127" s="79"/>
      <c r="AT127" s="79"/>
      <c r="AU127" s="585"/>
      <c r="AV127" s="585"/>
      <c r="AW127" s="585"/>
      <c r="AX127" s="585"/>
      <c r="AY127" s="585"/>
      <c r="AZ127" s="585"/>
      <c r="BA127" s="585"/>
      <c r="BB127" s="585"/>
      <c r="BC127" s="585"/>
      <c r="BD127" s="585"/>
      <c r="BE127" s="79"/>
      <c r="BF127" s="79"/>
      <c r="BG127" s="585"/>
      <c r="BH127" s="585"/>
      <c r="BI127" s="585"/>
      <c r="BJ127" s="556"/>
      <c r="BK127" s="585"/>
      <c r="BL127" s="585"/>
      <c r="BM127" s="556"/>
      <c r="BN127" s="556"/>
      <c r="BO127" s="556"/>
      <c r="BP127" s="556"/>
      <c r="BQ127" s="79"/>
      <c r="BR127" s="79"/>
      <c r="BS127" s="585"/>
      <c r="BT127" s="79"/>
      <c r="BU127" s="79"/>
      <c r="BV127" s="585"/>
      <c r="BW127" s="585"/>
      <c r="BX127" s="585"/>
      <c r="BY127" s="585"/>
      <c r="BZ127" s="79"/>
      <c r="CA127" s="79"/>
      <c r="CB127" s="585"/>
      <c r="CC127" s="585"/>
      <c r="CD127" s="585"/>
      <c r="CE127" s="79"/>
      <c r="CF127" s="79"/>
      <c r="CG127" s="585"/>
      <c r="CH127" s="585" t="s">
        <v>40</v>
      </c>
      <c r="CI127" s="585" t="s">
        <v>40</v>
      </c>
      <c r="CJ127" s="201"/>
      <c r="CK127" s="202"/>
      <c r="CL127" s="202"/>
      <c r="CM127" s="202"/>
      <c r="CN127" s="202"/>
      <c r="CO127" s="202"/>
      <c r="CP127" s="202"/>
      <c r="CQ127" s="202"/>
      <c r="CR127" s="202"/>
      <c r="CS127" s="202"/>
      <c r="CT127" s="202"/>
      <c r="CU127" s="202"/>
      <c r="CV127" s="202"/>
      <c r="CW127" s="202"/>
      <c r="CX127" s="202"/>
      <c r="CY127" s="202"/>
      <c r="CZ127" s="202"/>
      <c r="DA127" s="202"/>
      <c r="DB127" s="202"/>
      <c r="DC127" s="202"/>
      <c r="DD127" s="202"/>
      <c r="DE127" s="202"/>
      <c r="DF127" s="202"/>
      <c r="DG127" s="202"/>
      <c r="DH127" s="202"/>
      <c r="DI127" s="202"/>
      <c r="DJ127" s="202"/>
      <c r="DK127" s="202"/>
      <c r="DL127" s="202"/>
      <c r="DM127" s="202"/>
      <c r="DN127" s="202"/>
      <c r="DO127" s="202"/>
      <c r="DP127" s="202"/>
      <c r="DQ127" s="202"/>
      <c r="DR127" s="202"/>
      <c r="DS127" s="202"/>
      <c r="DT127" s="202"/>
      <c r="DU127" s="202"/>
      <c r="DV127" s="202"/>
      <c r="DW127" s="202"/>
      <c r="DX127" s="202"/>
      <c r="DY127" s="202"/>
      <c r="DZ127" s="202"/>
      <c r="EA127" s="202"/>
      <c r="EB127" s="202"/>
      <c r="EC127" s="202"/>
      <c r="ED127" s="202"/>
      <c r="EE127" s="202"/>
      <c r="EF127" s="202"/>
      <c r="EG127" s="202"/>
      <c r="EH127" s="202"/>
      <c r="EI127" s="202"/>
      <c r="EJ127" s="202"/>
      <c r="EK127" s="202"/>
      <c r="EL127" s="202"/>
      <c r="EM127" s="202"/>
      <c r="EN127" s="202"/>
      <c r="EO127" s="202"/>
      <c r="EP127" s="202"/>
      <c r="EQ127" s="202"/>
      <c r="ER127" s="202"/>
      <c r="ES127" s="202"/>
      <c r="ET127" s="202"/>
      <c r="EU127" s="202"/>
      <c r="EV127" s="202"/>
      <c r="EW127" s="202"/>
      <c r="EX127" s="202"/>
      <c r="EY127" s="202"/>
      <c r="EZ127" s="202"/>
      <c r="FA127" s="202"/>
      <c r="FB127" s="202"/>
      <c r="FC127" s="202"/>
      <c r="FD127" s="202"/>
      <c r="FE127" s="202"/>
      <c r="FF127" s="202"/>
      <c r="FG127" s="202"/>
      <c r="FH127" s="202"/>
      <c r="FI127" s="202"/>
    </row>
    <row r="128" spans="1:166" s="228" customFormat="1" ht="18" customHeight="1" x14ac:dyDescent="0.25">
      <c r="A128" s="578">
        <f t="shared" si="3"/>
        <v>119</v>
      </c>
      <c r="B128" s="588">
        <v>0</v>
      </c>
      <c r="C128" s="585">
        <v>4</v>
      </c>
      <c r="D128" s="585" t="s">
        <v>330</v>
      </c>
      <c r="E128" s="589" t="s">
        <v>752</v>
      </c>
      <c r="F128" s="567" t="s">
        <v>1109</v>
      </c>
      <c r="G128" s="585" t="s">
        <v>95</v>
      </c>
      <c r="H128" s="603" t="s">
        <v>835</v>
      </c>
      <c r="I128" s="593">
        <v>5</v>
      </c>
      <c r="J128" s="556" t="s">
        <v>64</v>
      </c>
      <c r="K128" s="594">
        <v>17</v>
      </c>
      <c r="L128" s="306"/>
      <c r="M128" s="307"/>
      <c r="N128" s="307"/>
      <c r="O128" s="307"/>
      <c r="P128" s="307" t="s">
        <v>122</v>
      </c>
      <c r="Q128" s="79"/>
      <c r="R128" s="76"/>
      <c r="S128" s="556"/>
      <c r="T128" s="585"/>
      <c r="U128" s="585"/>
      <c r="V128" s="585"/>
      <c r="W128" s="556"/>
      <c r="X128" s="556"/>
      <c r="Y128" s="556"/>
      <c r="Z128" s="556"/>
      <c r="AA128" s="585"/>
      <c r="AB128" s="585"/>
      <c r="AC128" s="556"/>
      <c r="AD128" s="556"/>
      <c r="AE128" s="556"/>
      <c r="AF128" s="556"/>
      <c r="AG128" s="556"/>
      <c r="AH128" s="556"/>
      <c r="AI128" s="556"/>
      <c r="AJ128" s="76"/>
      <c r="AK128" s="79"/>
      <c r="AL128" s="556"/>
      <c r="AM128" s="556"/>
      <c r="AN128" s="556"/>
      <c r="AO128" s="585"/>
      <c r="AP128" s="556"/>
      <c r="AQ128" s="585"/>
      <c r="AR128" s="585"/>
      <c r="AS128" s="79"/>
      <c r="AT128" s="79"/>
      <c r="AU128" s="585"/>
      <c r="AV128" s="585"/>
      <c r="AW128" s="585"/>
      <c r="AX128" s="585"/>
      <c r="AY128" s="585"/>
      <c r="AZ128" s="585"/>
      <c r="BA128" s="585"/>
      <c r="BB128" s="585"/>
      <c r="BC128" s="585"/>
      <c r="BD128" s="585"/>
      <c r="BE128" s="79"/>
      <c r="BF128" s="79"/>
      <c r="BG128" s="585"/>
      <c r="BH128" s="585"/>
      <c r="BI128" s="585"/>
      <c r="BJ128" s="585" t="s">
        <v>120</v>
      </c>
      <c r="BK128" s="585"/>
      <c r="BL128" s="585"/>
      <c r="BM128" s="585"/>
      <c r="BN128" s="585"/>
      <c r="BO128" s="556"/>
      <c r="BP128" s="585" t="s">
        <v>121</v>
      </c>
      <c r="BQ128" s="79"/>
      <c r="BR128" s="76"/>
      <c r="BS128" s="556"/>
      <c r="BT128" s="76"/>
      <c r="BU128" s="79"/>
      <c r="BV128" s="585"/>
      <c r="BW128" s="585"/>
      <c r="BX128" s="585"/>
      <c r="BY128" s="585"/>
      <c r="BZ128" s="79"/>
      <c r="CA128" s="76"/>
      <c r="CB128" s="585"/>
      <c r="CC128" s="585"/>
      <c r="CD128" s="585"/>
      <c r="CE128" s="79"/>
      <c r="CF128" s="79"/>
      <c r="CG128" s="585"/>
      <c r="CH128" s="585" t="s">
        <v>40</v>
      </c>
      <c r="CI128" s="585" t="s">
        <v>40</v>
      </c>
      <c r="CJ128" s="201"/>
      <c r="CK128" s="202"/>
      <c r="CL128" s="202"/>
      <c r="CM128" s="202"/>
      <c r="CN128" s="202"/>
      <c r="CO128" s="202"/>
      <c r="CP128" s="202"/>
      <c r="CQ128" s="202"/>
      <c r="CR128" s="202"/>
      <c r="CS128" s="202"/>
      <c r="CT128" s="202"/>
      <c r="CU128" s="202"/>
      <c r="CV128" s="202"/>
      <c r="CW128" s="202"/>
      <c r="CX128" s="202"/>
      <c r="CY128" s="202"/>
      <c r="CZ128" s="202"/>
      <c r="DA128" s="202"/>
      <c r="DB128" s="202"/>
      <c r="DC128" s="202"/>
      <c r="DD128" s="202"/>
      <c r="DE128" s="202"/>
      <c r="DF128" s="202"/>
      <c r="DG128" s="202"/>
      <c r="DH128" s="202"/>
      <c r="DI128" s="202"/>
      <c r="DJ128" s="202"/>
      <c r="DK128" s="202"/>
      <c r="DL128" s="202"/>
      <c r="DM128" s="202"/>
      <c r="DN128" s="202"/>
      <c r="DO128" s="202"/>
      <c r="DP128" s="202"/>
      <c r="DQ128" s="202"/>
      <c r="DR128" s="202"/>
      <c r="DS128" s="202"/>
      <c r="DT128" s="202"/>
      <c r="DU128" s="202"/>
      <c r="DV128" s="202"/>
      <c r="DW128" s="202"/>
      <c r="DX128" s="202"/>
      <c r="DY128" s="202"/>
      <c r="DZ128" s="202"/>
      <c r="EA128" s="202"/>
      <c r="EB128" s="202"/>
      <c r="EC128" s="202"/>
      <c r="ED128" s="202"/>
      <c r="EE128" s="202"/>
      <c r="EF128" s="202"/>
      <c r="EG128" s="202"/>
      <c r="EH128" s="202"/>
      <c r="EI128" s="202"/>
      <c r="EJ128" s="202"/>
      <c r="EK128" s="202"/>
      <c r="EL128" s="202"/>
      <c r="EM128" s="202"/>
      <c r="EN128" s="202"/>
      <c r="EO128" s="202"/>
      <c r="EP128" s="202"/>
      <c r="EQ128" s="202"/>
      <c r="ER128" s="202"/>
      <c r="ES128" s="202"/>
      <c r="ET128" s="202"/>
      <c r="EU128" s="202"/>
      <c r="EV128" s="202"/>
      <c r="EW128" s="202"/>
      <c r="EX128" s="202"/>
      <c r="EY128" s="202"/>
      <c r="EZ128" s="202"/>
      <c r="FA128" s="202"/>
      <c r="FB128" s="202"/>
      <c r="FC128" s="202"/>
      <c r="FD128" s="202"/>
      <c r="FE128" s="202"/>
      <c r="FF128" s="202"/>
      <c r="FG128" s="202"/>
      <c r="FH128" s="202"/>
      <c r="FI128" s="202"/>
    </row>
    <row r="129" spans="1:165" s="228" customFormat="1" ht="18" customHeight="1" x14ac:dyDescent="0.25">
      <c r="A129" s="578">
        <f t="shared" si="3"/>
        <v>120</v>
      </c>
      <c r="B129" s="588">
        <v>0</v>
      </c>
      <c r="C129" s="585">
        <v>4</v>
      </c>
      <c r="D129" s="585" t="s">
        <v>330</v>
      </c>
      <c r="E129" s="589" t="s">
        <v>753</v>
      </c>
      <c r="F129" s="567" t="s">
        <v>1110</v>
      </c>
      <c r="G129" s="585" t="s">
        <v>95</v>
      </c>
      <c r="H129" s="603" t="s">
        <v>836</v>
      </c>
      <c r="I129" s="605">
        <v>9</v>
      </c>
      <c r="J129" s="556"/>
      <c r="K129" s="594"/>
      <c r="L129" s="306"/>
      <c r="M129" s="307"/>
      <c r="N129" s="307"/>
      <c r="O129" s="307"/>
      <c r="P129" s="307"/>
      <c r="Q129" s="79"/>
      <c r="R129" s="79"/>
      <c r="S129" s="585"/>
      <c r="T129" s="585"/>
      <c r="U129" s="585"/>
      <c r="V129" s="585"/>
      <c r="W129" s="585"/>
      <c r="X129" s="585"/>
      <c r="Y129" s="585"/>
      <c r="Z129" s="585"/>
      <c r="AA129" s="585"/>
      <c r="AB129" s="585"/>
      <c r="AC129" s="585"/>
      <c r="AD129" s="585"/>
      <c r="AE129" s="585"/>
      <c r="AF129" s="585"/>
      <c r="AG129" s="585"/>
      <c r="AH129" s="585"/>
      <c r="AI129" s="585"/>
      <c r="AJ129" s="79"/>
      <c r="AK129" s="79"/>
      <c r="AL129" s="585"/>
      <c r="AM129" s="585"/>
      <c r="AN129" s="585"/>
      <c r="AO129" s="585"/>
      <c r="AP129" s="585"/>
      <c r="AQ129" s="585"/>
      <c r="AR129" s="585"/>
      <c r="AS129" s="79"/>
      <c r="AT129" s="79"/>
      <c r="AU129" s="585"/>
      <c r="AV129" s="585"/>
      <c r="AW129" s="585"/>
      <c r="AX129" s="585"/>
      <c r="AY129" s="585"/>
      <c r="AZ129" s="585"/>
      <c r="BA129" s="585"/>
      <c r="BB129" s="585"/>
      <c r="BC129" s="585"/>
      <c r="BD129" s="585"/>
      <c r="BE129" s="79"/>
      <c r="BF129" s="79"/>
      <c r="BG129" s="585"/>
      <c r="BH129" s="585"/>
      <c r="BI129" s="585"/>
      <c r="BJ129" s="556"/>
      <c r="BK129" s="585"/>
      <c r="BL129" s="585"/>
      <c r="BM129" s="556"/>
      <c r="BN129" s="556"/>
      <c r="BO129" s="556"/>
      <c r="BP129" s="556"/>
      <c r="BQ129" s="79"/>
      <c r="BR129" s="79"/>
      <c r="BS129" s="585"/>
      <c r="BT129" s="79"/>
      <c r="BU129" s="79"/>
      <c r="BV129" s="585"/>
      <c r="BW129" s="585"/>
      <c r="BX129" s="585"/>
      <c r="BY129" s="585"/>
      <c r="BZ129" s="79"/>
      <c r="CA129" s="79"/>
      <c r="CB129" s="585"/>
      <c r="CC129" s="585"/>
      <c r="CD129" s="585"/>
      <c r="CE129" s="79"/>
      <c r="CF129" s="79"/>
      <c r="CG129" s="585"/>
      <c r="CH129" s="585" t="s">
        <v>40</v>
      </c>
      <c r="CI129" s="585" t="s">
        <v>40</v>
      </c>
      <c r="CJ129" s="201"/>
      <c r="CK129" s="202"/>
      <c r="CL129" s="202"/>
      <c r="CM129" s="202"/>
      <c r="CN129" s="202"/>
      <c r="CO129" s="202"/>
      <c r="CP129" s="202"/>
      <c r="CQ129" s="202"/>
      <c r="CR129" s="202"/>
      <c r="CS129" s="202"/>
      <c r="CT129" s="202"/>
      <c r="CU129" s="202"/>
      <c r="CV129" s="202"/>
      <c r="CW129" s="202"/>
      <c r="CX129" s="202"/>
      <c r="CY129" s="202"/>
      <c r="CZ129" s="202"/>
      <c r="DA129" s="202"/>
      <c r="DB129" s="202"/>
      <c r="DC129" s="202"/>
      <c r="DD129" s="202"/>
      <c r="DE129" s="202"/>
      <c r="DF129" s="202"/>
      <c r="DG129" s="202"/>
      <c r="DH129" s="202"/>
      <c r="DI129" s="202"/>
      <c r="DJ129" s="202"/>
      <c r="DK129" s="202"/>
      <c r="DL129" s="202"/>
      <c r="DM129" s="202"/>
      <c r="DN129" s="202"/>
      <c r="DO129" s="202"/>
      <c r="DP129" s="202"/>
      <c r="DQ129" s="202"/>
      <c r="DR129" s="202"/>
      <c r="DS129" s="202"/>
      <c r="DT129" s="202"/>
      <c r="DU129" s="202"/>
      <c r="DV129" s="202"/>
      <c r="DW129" s="202"/>
      <c r="DX129" s="202"/>
      <c r="DY129" s="202"/>
      <c r="DZ129" s="202"/>
      <c r="EA129" s="202"/>
      <c r="EB129" s="202"/>
      <c r="EC129" s="202"/>
      <c r="ED129" s="202"/>
      <c r="EE129" s="202"/>
      <c r="EF129" s="202"/>
      <c r="EG129" s="202"/>
      <c r="EH129" s="202"/>
      <c r="EI129" s="202"/>
      <c r="EJ129" s="202"/>
      <c r="EK129" s="202"/>
      <c r="EL129" s="202"/>
      <c r="EM129" s="202"/>
      <c r="EN129" s="202"/>
      <c r="EO129" s="202"/>
      <c r="EP129" s="202"/>
      <c r="EQ129" s="202"/>
      <c r="ER129" s="202"/>
      <c r="ES129" s="202"/>
      <c r="ET129" s="202"/>
      <c r="EU129" s="202"/>
      <c r="EV129" s="202"/>
      <c r="EW129" s="202"/>
      <c r="EX129" s="202"/>
      <c r="EY129" s="202"/>
      <c r="EZ129" s="202"/>
      <c r="FA129" s="202"/>
      <c r="FB129" s="202"/>
      <c r="FC129" s="202"/>
      <c r="FD129" s="202"/>
      <c r="FE129" s="202"/>
      <c r="FF129" s="202"/>
      <c r="FG129" s="202"/>
      <c r="FH129" s="202"/>
      <c r="FI129" s="202"/>
    </row>
    <row r="130" spans="1:165" s="228" customFormat="1" ht="18" customHeight="1" x14ac:dyDescent="0.25">
      <c r="A130" s="578">
        <f t="shared" si="3"/>
        <v>121</v>
      </c>
      <c r="B130" s="588">
        <v>0</v>
      </c>
      <c r="C130" s="585">
        <v>4</v>
      </c>
      <c r="D130" s="585" t="s">
        <v>331</v>
      </c>
      <c r="E130" s="589" t="s">
        <v>754</v>
      </c>
      <c r="F130" s="567" t="s">
        <v>1109</v>
      </c>
      <c r="G130" s="585" t="s">
        <v>96</v>
      </c>
      <c r="H130" s="603" t="s">
        <v>837</v>
      </c>
      <c r="I130" s="605">
        <v>9</v>
      </c>
      <c r="J130" s="567"/>
      <c r="K130" s="618"/>
      <c r="L130" s="306"/>
      <c r="M130" s="307"/>
      <c r="N130" s="307"/>
      <c r="O130" s="307"/>
      <c r="P130" s="307"/>
      <c r="Q130" s="79"/>
      <c r="R130" s="79"/>
      <c r="S130" s="585"/>
      <c r="T130" s="585"/>
      <c r="U130" s="585"/>
      <c r="V130" s="585"/>
      <c r="W130" s="585"/>
      <c r="X130" s="585"/>
      <c r="Y130" s="585"/>
      <c r="Z130" s="585"/>
      <c r="AA130" s="585"/>
      <c r="AB130" s="585"/>
      <c r="AC130" s="585"/>
      <c r="AD130" s="585"/>
      <c r="AE130" s="585"/>
      <c r="AF130" s="585"/>
      <c r="AG130" s="585"/>
      <c r="AH130" s="585"/>
      <c r="AI130" s="585"/>
      <c r="AJ130" s="79"/>
      <c r="AK130" s="79"/>
      <c r="AL130" s="585"/>
      <c r="AM130" s="585"/>
      <c r="AN130" s="585"/>
      <c r="AO130" s="585"/>
      <c r="AP130" s="585"/>
      <c r="AQ130" s="585"/>
      <c r="AR130" s="585"/>
      <c r="AS130" s="79"/>
      <c r="AT130" s="79"/>
      <c r="AU130" s="585"/>
      <c r="AV130" s="585"/>
      <c r="AW130" s="585"/>
      <c r="AX130" s="585"/>
      <c r="AY130" s="585"/>
      <c r="AZ130" s="585"/>
      <c r="BA130" s="585"/>
      <c r="BB130" s="585"/>
      <c r="BC130" s="585"/>
      <c r="BD130" s="585"/>
      <c r="BE130" s="79"/>
      <c r="BF130" s="79"/>
      <c r="BG130" s="585"/>
      <c r="BH130" s="585"/>
      <c r="BI130" s="585"/>
      <c r="BJ130" s="586"/>
      <c r="BK130" s="585"/>
      <c r="BL130" s="585"/>
      <c r="BM130" s="585"/>
      <c r="BN130" s="585"/>
      <c r="BO130" s="585"/>
      <c r="BP130" s="586"/>
      <c r="BQ130" s="79"/>
      <c r="BR130" s="79"/>
      <c r="BS130" s="585"/>
      <c r="BT130" s="79"/>
      <c r="BU130" s="79"/>
      <c r="BV130" s="585"/>
      <c r="BW130" s="585"/>
      <c r="BX130" s="585"/>
      <c r="BY130" s="585"/>
      <c r="BZ130" s="79"/>
      <c r="CA130" s="79"/>
      <c r="CB130" s="585"/>
      <c r="CC130" s="585"/>
      <c r="CD130" s="585"/>
      <c r="CE130" s="79"/>
      <c r="CF130" s="79"/>
      <c r="CG130" s="585"/>
      <c r="CH130" s="585" t="s">
        <v>40</v>
      </c>
      <c r="CI130" s="585" t="s">
        <v>40</v>
      </c>
      <c r="CJ130" s="201"/>
      <c r="CK130" s="202"/>
      <c r="CL130" s="202"/>
      <c r="CM130" s="202"/>
      <c r="CN130" s="202"/>
      <c r="CO130" s="202"/>
      <c r="CP130" s="202"/>
      <c r="CQ130" s="202"/>
      <c r="CR130" s="202"/>
      <c r="CS130" s="202"/>
      <c r="CT130" s="202"/>
      <c r="CU130" s="202"/>
      <c r="CV130" s="202"/>
      <c r="CW130" s="202"/>
      <c r="CX130" s="202"/>
      <c r="CY130" s="202"/>
      <c r="CZ130" s="202"/>
      <c r="DA130" s="202"/>
      <c r="DB130" s="202"/>
      <c r="DC130" s="202"/>
      <c r="DD130" s="202"/>
      <c r="DE130" s="202"/>
      <c r="DF130" s="202"/>
      <c r="DG130" s="202"/>
      <c r="DH130" s="202"/>
      <c r="DI130" s="202"/>
      <c r="DJ130" s="202"/>
      <c r="DK130" s="202"/>
      <c r="DL130" s="202"/>
      <c r="DM130" s="202"/>
      <c r="DN130" s="202"/>
      <c r="DO130" s="202"/>
      <c r="DP130" s="202"/>
      <c r="DQ130" s="202"/>
      <c r="DR130" s="202"/>
      <c r="DS130" s="202"/>
      <c r="DT130" s="202"/>
      <c r="DU130" s="202"/>
      <c r="DV130" s="202"/>
      <c r="DW130" s="202"/>
      <c r="DX130" s="202"/>
      <c r="DY130" s="202"/>
      <c r="DZ130" s="202"/>
      <c r="EA130" s="202"/>
      <c r="EB130" s="202"/>
      <c r="EC130" s="202"/>
      <c r="ED130" s="202"/>
      <c r="EE130" s="202"/>
      <c r="EF130" s="202"/>
      <c r="EG130" s="202"/>
      <c r="EH130" s="202"/>
      <c r="EI130" s="202"/>
      <c r="EJ130" s="202"/>
      <c r="EK130" s="202"/>
      <c r="EL130" s="202"/>
      <c r="EM130" s="202"/>
      <c r="EN130" s="202"/>
      <c r="EO130" s="202"/>
      <c r="EP130" s="202"/>
      <c r="EQ130" s="202"/>
      <c r="ER130" s="202"/>
      <c r="ES130" s="202"/>
      <c r="ET130" s="202"/>
      <c r="EU130" s="202"/>
      <c r="EV130" s="202"/>
      <c r="EW130" s="202"/>
      <c r="EX130" s="202"/>
      <c r="EY130" s="202"/>
      <c r="EZ130" s="202"/>
      <c r="FA130" s="202"/>
      <c r="FB130" s="202"/>
      <c r="FC130" s="202"/>
      <c r="FD130" s="202"/>
      <c r="FE130" s="202"/>
      <c r="FF130" s="202"/>
      <c r="FG130" s="202"/>
      <c r="FH130" s="202"/>
      <c r="FI130" s="202"/>
    </row>
    <row r="131" spans="1:165" s="228" customFormat="1" ht="18" customHeight="1" x14ac:dyDescent="0.25">
      <c r="A131" s="578">
        <f t="shared" si="3"/>
        <v>122</v>
      </c>
      <c r="B131" s="588">
        <v>0</v>
      </c>
      <c r="C131" s="585">
        <v>4</v>
      </c>
      <c r="D131" s="585" t="s">
        <v>331</v>
      </c>
      <c r="E131" s="589" t="s">
        <v>755</v>
      </c>
      <c r="F131" s="567" t="s">
        <v>1110</v>
      </c>
      <c r="G131" s="585" t="s">
        <v>96</v>
      </c>
      <c r="H131" s="603" t="s">
        <v>838</v>
      </c>
      <c r="I131" s="605">
        <v>5</v>
      </c>
      <c r="J131" s="567" t="s">
        <v>64</v>
      </c>
      <c r="K131" s="618">
        <v>17</v>
      </c>
      <c r="L131" s="306"/>
      <c r="M131" s="307"/>
      <c r="N131" s="307"/>
      <c r="O131" s="307"/>
      <c r="P131" s="307" t="s">
        <v>122</v>
      </c>
      <c r="Q131" s="79"/>
      <c r="R131" s="79"/>
      <c r="S131" s="585"/>
      <c r="T131" s="585"/>
      <c r="U131" s="585"/>
      <c r="V131" s="585"/>
      <c r="W131" s="585"/>
      <c r="X131" s="585"/>
      <c r="Y131" s="585"/>
      <c r="Z131" s="585"/>
      <c r="AA131" s="585"/>
      <c r="AB131" s="585"/>
      <c r="AC131" s="585"/>
      <c r="AD131" s="585"/>
      <c r="AE131" s="585"/>
      <c r="AF131" s="585"/>
      <c r="AG131" s="585"/>
      <c r="AH131" s="585"/>
      <c r="AI131" s="585"/>
      <c r="AJ131" s="79"/>
      <c r="AK131" s="79"/>
      <c r="AL131" s="585"/>
      <c r="AM131" s="585"/>
      <c r="AN131" s="585"/>
      <c r="AO131" s="585"/>
      <c r="AP131" s="585"/>
      <c r="AQ131" s="585"/>
      <c r="AR131" s="585"/>
      <c r="AS131" s="79"/>
      <c r="AT131" s="79"/>
      <c r="AU131" s="585"/>
      <c r="AV131" s="585"/>
      <c r="AW131" s="585"/>
      <c r="AX131" s="585"/>
      <c r="AY131" s="585"/>
      <c r="AZ131" s="585"/>
      <c r="BA131" s="585"/>
      <c r="BB131" s="585"/>
      <c r="BC131" s="585"/>
      <c r="BD131" s="585"/>
      <c r="BE131" s="79"/>
      <c r="BF131" s="79"/>
      <c r="BG131" s="585"/>
      <c r="BH131" s="585"/>
      <c r="BI131" s="585"/>
      <c r="BJ131" s="586" t="s">
        <v>120</v>
      </c>
      <c r="BK131" s="585"/>
      <c r="BL131" s="585"/>
      <c r="BM131" s="585"/>
      <c r="BN131" s="585"/>
      <c r="BO131" s="585"/>
      <c r="BP131" s="586" t="s">
        <v>121</v>
      </c>
      <c r="BQ131" s="79"/>
      <c r="BR131" s="79"/>
      <c r="BS131" s="585"/>
      <c r="BT131" s="79"/>
      <c r="BU131" s="79"/>
      <c r="BV131" s="585"/>
      <c r="BW131" s="585"/>
      <c r="BX131" s="585"/>
      <c r="BY131" s="585"/>
      <c r="BZ131" s="79"/>
      <c r="CA131" s="79"/>
      <c r="CB131" s="585"/>
      <c r="CC131" s="585"/>
      <c r="CD131" s="585"/>
      <c r="CE131" s="79"/>
      <c r="CF131" s="79"/>
      <c r="CG131" s="585"/>
      <c r="CH131" s="585" t="s">
        <v>40</v>
      </c>
      <c r="CI131" s="585" t="s">
        <v>40</v>
      </c>
      <c r="CJ131" s="201"/>
      <c r="CK131" s="202"/>
      <c r="CL131" s="202"/>
      <c r="CM131" s="202"/>
      <c r="CN131" s="202"/>
      <c r="CO131" s="202"/>
      <c r="CP131" s="202"/>
      <c r="CQ131" s="202"/>
      <c r="CR131" s="202"/>
      <c r="CS131" s="202"/>
      <c r="CT131" s="202"/>
      <c r="CU131" s="202"/>
      <c r="CV131" s="202"/>
      <c r="CW131" s="202"/>
      <c r="CX131" s="202"/>
      <c r="CY131" s="202"/>
      <c r="CZ131" s="202"/>
      <c r="DA131" s="202"/>
      <c r="DB131" s="202"/>
      <c r="DC131" s="202"/>
      <c r="DD131" s="202"/>
      <c r="DE131" s="202"/>
      <c r="DF131" s="202"/>
      <c r="DG131" s="202"/>
      <c r="DH131" s="202"/>
      <c r="DI131" s="202"/>
      <c r="DJ131" s="202"/>
      <c r="DK131" s="202"/>
      <c r="DL131" s="202"/>
      <c r="DM131" s="202"/>
      <c r="DN131" s="202"/>
      <c r="DO131" s="202"/>
      <c r="DP131" s="202"/>
      <c r="DQ131" s="202"/>
      <c r="DR131" s="202"/>
      <c r="DS131" s="202"/>
      <c r="DT131" s="202"/>
      <c r="DU131" s="202"/>
      <c r="DV131" s="202"/>
      <c r="DW131" s="202"/>
      <c r="DX131" s="202"/>
      <c r="DY131" s="202"/>
      <c r="DZ131" s="202"/>
      <c r="EA131" s="202"/>
      <c r="EB131" s="202"/>
      <c r="EC131" s="202"/>
      <c r="ED131" s="202"/>
      <c r="EE131" s="202"/>
      <c r="EF131" s="202"/>
      <c r="EG131" s="202"/>
      <c r="EH131" s="202"/>
      <c r="EI131" s="202"/>
      <c r="EJ131" s="202"/>
      <c r="EK131" s="202"/>
      <c r="EL131" s="202"/>
      <c r="EM131" s="202"/>
      <c r="EN131" s="202"/>
      <c r="EO131" s="202"/>
      <c r="EP131" s="202"/>
      <c r="EQ131" s="202"/>
      <c r="ER131" s="202"/>
      <c r="ES131" s="202"/>
      <c r="ET131" s="202"/>
      <c r="EU131" s="202"/>
      <c r="EV131" s="202"/>
      <c r="EW131" s="202"/>
      <c r="EX131" s="202"/>
      <c r="EY131" s="202"/>
      <c r="EZ131" s="202"/>
      <c r="FA131" s="202"/>
      <c r="FB131" s="202"/>
      <c r="FC131" s="202"/>
      <c r="FD131" s="202"/>
      <c r="FE131" s="202"/>
      <c r="FF131" s="202"/>
      <c r="FG131" s="202"/>
      <c r="FH131" s="202"/>
      <c r="FI131" s="202"/>
    </row>
    <row r="132" spans="1:165" s="228" customFormat="1" ht="18" customHeight="1" x14ac:dyDescent="0.25">
      <c r="A132" s="578">
        <f t="shared" ref="A132:A195" si="4">ROW()-9</f>
        <v>123</v>
      </c>
      <c r="B132" s="588">
        <v>0</v>
      </c>
      <c r="C132" s="585">
        <v>4</v>
      </c>
      <c r="D132" s="591" t="s">
        <v>332</v>
      </c>
      <c r="E132" s="595" t="s">
        <v>756</v>
      </c>
      <c r="F132" s="567" t="s">
        <v>1044</v>
      </c>
      <c r="G132" s="591" t="s">
        <v>97</v>
      </c>
      <c r="H132" s="592" t="s">
        <v>1205</v>
      </c>
      <c r="I132" s="593">
        <v>5</v>
      </c>
      <c r="J132" s="556"/>
      <c r="K132" s="594"/>
      <c r="L132" s="306"/>
      <c r="M132" s="307"/>
      <c r="N132" s="307"/>
      <c r="O132" s="307"/>
      <c r="P132" s="307" t="s">
        <v>122</v>
      </c>
      <c r="Q132" s="79"/>
      <c r="R132" s="79"/>
      <c r="S132" s="585"/>
      <c r="T132" s="585"/>
      <c r="U132" s="585"/>
      <c r="V132" s="585"/>
      <c r="W132" s="585"/>
      <c r="X132" s="585"/>
      <c r="Y132" s="585"/>
      <c r="Z132" s="585"/>
      <c r="AA132" s="585"/>
      <c r="AB132" s="585"/>
      <c r="AC132" s="585"/>
      <c r="AD132" s="585"/>
      <c r="AE132" s="585"/>
      <c r="AF132" s="585"/>
      <c r="AG132" s="585"/>
      <c r="AH132" s="585"/>
      <c r="AI132" s="585"/>
      <c r="AJ132" s="79"/>
      <c r="AK132" s="79"/>
      <c r="AL132" s="585"/>
      <c r="AM132" s="585"/>
      <c r="AN132" s="585"/>
      <c r="AO132" s="585"/>
      <c r="AP132" s="585"/>
      <c r="AQ132" s="585"/>
      <c r="AR132" s="585"/>
      <c r="AS132" s="79"/>
      <c r="AT132" s="79"/>
      <c r="AU132" s="585"/>
      <c r="AV132" s="585"/>
      <c r="AW132" s="585"/>
      <c r="AX132" s="585"/>
      <c r="AY132" s="585"/>
      <c r="AZ132" s="585"/>
      <c r="BA132" s="585"/>
      <c r="BB132" s="585"/>
      <c r="BC132" s="585"/>
      <c r="BD132" s="585"/>
      <c r="BE132" s="79"/>
      <c r="BF132" s="79"/>
      <c r="BG132" s="585"/>
      <c r="BH132" s="585"/>
      <c r="BI132" s="585"/>
      <c r="BJ132" s="585" t="s">
        <v>120</v>
      </c>
      <c r="BK132" s="585"/>
      <c r="BL132" s="585"/>
      <c r="BM132" s="585"/>
      <c r="BN132" s="586" t="s">
        <v>121</v>
      </c>
      <c r="BO132" s="585"/>
      <c r="BP132" s="585" t="s">
        <v>121</v>
      </c>
      <c r="BQ132" s="79"/>
      <c r="BR132" s="79"/>
      <c r="BS132" s="585"/>
      <c r="BT132" s="79"/>
      <c r="BU132" s="79"/>
      <c r="BV132" s="585"/>
      <c r="BW132" s="585"/>
      <c r="BX132" s="585"/>
      <c r="BY132" s="585"/>
      <c r="BZ132" s="79"/>
      <c r="CA132" s="79"/>
      <c r="CB132" s="585"/>
      <c r="CC132" s="585"/>
      <c r="CD132" s="585"/>
      <c r="CE132" s="79"/>
      <c r="CF132" s="79"/>
      <c r="CG132" s="585"/>
      <c r="CH132" s="585" t="s">
        <v>40</v>
      </c>
      <c r="CI132" s="585" t="s">
        <v>40</v>
      </c>
      <c r="CJ132" s="201"/>
      <c r="CK132" s="202"/>
      <c r="CL132" s="202"/>
      <c r="CM132" s="202"/>
      <c r="CN132" s="202"/>
      <c r="CO132" s="202"/>
      <c r="CP132" s="202"/>
      <c r="CQ132" s="202"/>
      <c r="CR132" s="202"/>
      <c r="CS132" s="202"/>
      <c r="CT132" s="202"/>
      <c r="CU132" s="202"/>
      <c r="CV132" s="202"/>
      <c r="CW132" s="202"/>
      <c r="CX132" s="202"/>
      <c r="CY132" s="202"/>
      <c r="CZ132" s="202"/>
      <c r="DA132" s="202"/>
      <c r="DB132" s="202"/>
      <c r="DC132" s="202"/>
      <c r="DD132" s="202"/>
      <c r="DE132" s="202"/>
      <c r="DF132" s="202"/>
      <c r="DG132" s="202"/>
      <c r="DH132" s="202"/>
      <c r="DI132" s="202"/>
      <c r="DJ132" s="202"/>
      <c r="DK132" s="202"/>
      <c r="DL132" s="202"/>
      <c r="DM132" s="202"/>
      <c r="DN132" s="202"/>
      <c r="DO132" s="202"/>
      <c r="DP132" s="202"/>
      <c r="DQ132" s="202"/>
      <c r="DR132" s="202"/>
      <c r="DS132" s="202"/>
      <c r="DT132" s="202"/>
      <c r="DU132" s="202"/>
      <c r="DV132" s="202"/>
      <c r="DW132" s="202"/>
      <c r="DX132" s="202"/>
      <c r="DY132" s="202"/>
      <c r="DZ132" s="202"/>
      <c r="EA132" s="202"/>
      <c r="EB132" s="202"/>
      <c r="EC132" s="202"/>
      <c r="ED132" s="202"/>
      <c r="EE132" s="202"/>
      <c r="EF132" s="202"/>
      <c r="EG132" s="202"/>
      <c r="EH132" s="202"/>
      <c r="EI132" s="202"/>
      <c r="EJ132" s="202"/>
      <c r="EK132" s="202"/>
      <c r="EL132" s="202"/>
      <c r="EM132" s="202"/>
      <c r="EN132" s="202"/>
      <c r="EO132" s="202"/>
      <c r="EP132" s="202"/>
      <c r="EQ132" s="202"/>
      <c r="ER132" s="202"/>
      <c r="ES132" s="202"/>
      <c r="ET132" s="202"/>
      <c r="EU132" s="202"/>
      <c r="EV132" s="202"/>
      <c r="EW132" s="202"/>
      <c r="EX132" s="202"/>
      <c r="EY132" s="202"/>
      <c r="EZ132" s="202"/>
      <c r="FA132" s="202"/>
      <c r="FB132" s="202"/>
      <c r="FC132" s="202"/>
      <c r="FD132" s="202"/>
      <c r="FE132" s="202"/>
      <c r="FF132" s="202"/>
      <c r="FG132" s="202"/>
      <c r="FH132" s="202"/>
      <c r="FI132" s="202"/>
    </row>
    <row r="133" spans="1:165" s="228" customFormat="1" ht="18" customHeight="1" x14ac:dyDescent="0.25">
      <c r="A133" s="578">
        <f t="shared" si="4"/>
        <v>124</v>
      </c>
      <c r="B133" s="588">
        <v>0</v>
      </c>
      <c r="C133" s="585">
        <v>4</v>
      </c>
      <c r="D133" s="585" t="s">
        <v>336</v>
      </c>
      <c r="E133" s="589" t="s">
        <v>757</v>
      </c>
      <c r="F133" s="567" t="s">
        <v>1114</v>
      </c>
      <c r="G133" s="585" t="s">
        <v>337</v>
      </c>
      <c r="H133" s="592" t="s">
        <v>839</v>
      </c>
      <c r="I133" s="605">
        <v>9</v>
      </c>
      <c r="J133" s="556"/>
      <c r="K133" s="618">
        <v>11</v>
      </c>
      <c r="L133" s="306"/>
      <c r="M133" s="307"/>
      <c r="N133" s="307"/>
      <c r="O133" s="307"/>
      <c r="P133" s="307"/>
      <c r="Q133" s="79"/>
      <c r="R133" s="79"/>
      <c r="S133" s="585"/>
      <c r="T133" s="585"/>
      <c r="U133" s="585"/>
      <c r="V133" s="585"/>
      <c r="W133" s="585"/>
      <c r="X133" s="585"/>
      <c r="Y133" s="585"/>
      <c r="Z133" s="585"/>
      <c r="AA133" s="585"/>
      <c r="AB133" s="585"/>
      <c r="AC133" s="585"/>
      <c r="AD133" s="585"/>
      <c r="AE133" s="585"/>
      <c r="AF133" s="585"/>
      <c r="AG133" s="585"/>
      <c r="AH133" s="585"/>
      <c r="AI133" s="585"/>
      <c r="AJ133" s="79"/>
      <c r="AK133" s="79"/>
      <c r="AL133" s="585"/>
      <c r="AM133" s="585"/>
      <c r="AN133" s="585"/>
      <c r="AO133" s="585"/>
      <c r="AP133" s="585"/>
      <c r="AQ133" s="585"/>
      <c r="AR133" s="585"/>
      <c r="AS133" s="79"/>
      <c r="AT133" s="79"/>
      <c r="AU133" s="585"/>
      <c r="AV133" s="585"/>
      <c r="AW133" s="585"/>
      <c r="AX133" s="585"/>
      <c r="AY133" s="585"/>
      <c r="AZ133" s="585"/>
      <c r="BA133" s="585"/>
      <c r="BB133" s="585"/>
      <c r="BC133" s="585"/>
      <c r="BD133" s="585"/>
      <c r="BE133" s="79"/>
      <c r="BF133" s="79"/>
      <c r="BG133" s="585"/>
      <c r="BH133" s="585"/>
      <c r="BI133" s="585"/>
      <c r="BJ133" s="556"/>
      <c r="BK133" s="585"/>
      <c r="BL133" s="585"/>
      <c r="BM133" s="556"/>
      <c r="BN133" s="556"/>
      <c r="BO133" s="556"/>
      <c r="BP133" s="556"/>
      <c r="BQ133" s="79"/>
      <c r="BR133" s="79"/>
      <c r="BS133" s="585"/>
      <c r="BT133" s="79"/>
      <c r="BU133" s="79"/>
      <c r="BV133" s="585"/>
      <c r="BW133" s="585"/>
      <c r="BX133" s="585"/>
      <c r="BY133" s="585"/>
      <c r="BZ133" s="79"/>
      <c r="CA133" s="79"/>
      <c r="CB133" s="585"/>
      <c r="CC133" s="585"/>
      <c r="CD133" s="585"/>
      <c r="CE133" s="79"/>
      <c r="CF133" s="79"/>
      <c r="CG133" s="585"/>
      <c r="CH133" s="585" t="s">
        <v>40</v>
      </c>
      <c r="CI133" s="585" t="s">
        <v>40</v>
      </c>
      <c r="CJ133" s="201"/>
      <c r="CK133" s="202"/>
      <c r="CL133" s="202"/>
      <c r="CM133" s="202"/>
      <c r="CN133" s="202"/>
      <c r="CO133" s="202"/>
      <c r="CP133" s="202"/>
      <c r="CQ133" s="202"/>
      <c r="CR133" s="202"/>
      <c r="CS133" s="202"/>
      <c r="CT133" s="202"/>
      <c r="CU133" s="202"/>
      <c r="CV133" s="202"/>
      <c r="CW133" s="202"/>
      <c r="CX133" s="202"/>
      <c r="CY133" s="202"/>
      <c r="CZ133" s="202"/>
      <c r="DA133" s="202"/>
      <c r="DB133" s="202"/>
      <c r="DC133" s="202"/>
      <c r="DD133" s="202"/>
      <c r="DE133" s="202"/>
      <c r="DF133" s="202"/>
      <c r="DG133" s="202"/>
      <c r="DH133" s="202"/>
      <c r="DI133" s="202"/>
      <c r="DJ133" s="202"/>
      <c r="DK133" s="202"/>
      <c r="DL133" s="202"/>
      <c r="DM133" s="202"/>
      <c r="DN133" s="202"/>
      <c r="DO133" s="202"/>
      <c r="DP133" s="202"/>
      <c r="DQ133" s="202"/>
      <c r="DR133" s="202"/>
      <c r="DS133" s="202"/>
      <c r="DT133" s="202"/>
      <c r="DU133" s="202"/>
      <c r="DV133" s="202"/>
      <c r="DW133" s="202"/>
      <c r="DX133" s="202"/>
      <c r="DY133" s="202"/>
      <c r="DZ133" s="202"/>
      <c r="EA133" s="202"/>
      <c r="EB133" s="202"/>
      <c r="EC133" s="202"/>
      <c r="ED133" s="202"/>
      <c r="EE133" s="202"/>
      <c r="EF133" s="202"/>
      <c r="EG133" s="202"/>
      <c r="EH133" s="202"/>
      <c r="EI133" s="202"/>
      <c r="EJ133" s="202"/>
      <c r="EK133" s="202"/>
      <c r="EL133" s="202"/>
      <c r="EM133" s="202"/>
      <c r="EN133" s="202"/>
      <c r="EO133" s="202"/>
      <c r="EP133" s="202"/>
      <c r="EQ133" s="202"/>
      <c r="ER133" s="202"/>
      <c r="ES133" s="202"/>
      <c r="ET133" s="202"/>
      <c r="EU133" s="202"/>
      <c r="EV133" s="202"/>
      <c r="EW133" s="202"/>
      <c r="EX133" s="202"/>
      <c r="EY133" s="202"/>
      <c r="EZ133" s="202"/>
      <c r="FA133" s="202"/>
      <c r="FB133" s="202"/>
      <c r="FC133" s="202"/>
      <c r="FD133" s="202"/>
      <c r="FE133" s="202"/>
      <c r="FF133" s="202"/>
      <c r="FG133" s="202"/>
      <c r="FH133" s="202"/>
      <c r="FI133" s="202"/>
    </row>
    <row r="134" spans="1:165" s="228" customFormat="1" ht="18" customHeight="1" x14ac:dyDescent="0.25">
      <c r="A134" s="578">
        <f t="shared" si="4"/>
        <v>125</v>
      </c>
      <c r="B134" s="588">
        <v>0</v>
      </c>
      <c r="C134" s="585">
        <v>4</v>
      </c>
      <c r="D134" s="585" t="s">
        <v>338</v>
      </c>
      <c r="E134" s="589" t="s">
        <v>1135</v>
      </c>
      <c r="F134" s="586" t="s">
        <v>1111</v>
      </c>
      <c r="G134" s="585" t="s">
        <v>98</v>
      </c>
      <c r="H134" s="585" t="s">
        <v>954</v>
      </c>
      <c r="I134" s="593">
        <v>5</v>
      </c>
      <c r="J134" s="556" t="s">
        <v>64</v>
      </c>
      <c r="K134" s="594">
        <v>17</v>
      </c>
      <c r="L134" s="306"/>
      <c r="M134" s="307"/>
      <c r="N134" s="307"/>
      <c r="O134" s="307"/>
      <c r="P134" s="307" t="s">
        <v>122</v>
      </c>
      <c r="Q134" s="79"/>
      <c r="R134" s="76"/>
      <c r="S134" s="585"/>
      <c r="T134" s="556"/>
      <c r="U134" s="556"/>
      <c r="V134" s="556"/>
      <c r="W134" s="585"/>
      <c r="X134" s="585"/>
      <c r="Y134" s="585"/>
      <c r="Z134" s="585"/>
      <c r="AA134" s="556"/>
      <c r="AB134" s="556"/>
      <c r="AC134" s="585"/>
      <c r="AD134" s="585"/>
      <c r="AE134" s="556"/>
      <c r="AF134" s="556"/>
      <c r="AG134" s="556"/>
      <c r="AH134" s="585"/>
      <c r="AI134" s="585"/>
      <c r="AJ134" s="76"/>
      <c r="AK134" s="76"/>
      <c r="AL134" s="556"/>
      <c r="AM134" s="556"/>
      <c r="AN134" s="556"/>
      <c r="AO134" s="556"/>
      <c r="AP134" s="556"/>
      <c r="AQ134" s="556"/>
      <c r="AR134" s="556"/>
      <c r="AS134" s="76"/>
      <c r="AT134" s="76"/>
      <c r="AU134" s="556"/>
      <c r="AV134" s="556"/>
      <c r="AW134" s="556"/>
      <c r="AX134" s="556"/>
      <c r="AY134" s="556"/>
      <c r="AZ134" s="556"/>
      <c r="BA134" s="556"/>
      <c r="BB134" s="556"/>
      <c r="BC134" s="556"/>
      <c r="BD134" s="556"/>
      <c r="BE134" s="76"/>
      <c r="BF134" s="76"/>
      <c r="BG134" s="556"/>
      <c r="BH134" s="556"/>
      <c r="BI134" s="556"/>
      <c r="BJ134" s="585" t="s">
        <v>120</v>
      </c>
      <c r="BK134" s="556"/>
      <c r="BL134" s="585"/>
      <c r="BM134" s="585"/>
      <c r="BN134" s="585" t="s">
        <v>121</v>
      </c>
      <c r="BO134" s="585"/>
      <c r="BP134" s="585" t="s">
        <v>121</v>
      </c>
      <c r="BQ134" s="76"/>
      <c r="BR134" s="76"/>
      <c r="BS134" s="556"/>
      <c r="BT134" s="76"/>
      <c r="BU134" s="76"/>
      <c r="BV134" s="556"/>
      <c r="BW134" s="556"/>
      <c r="BX134" s="556"/>
      <c r="BY134" s="556"/>
      <c r="BZ134" s="76"/>
      <c r="CA134" s="76"/>
      <c r="CB134" s="556"/>
      <c r="CC134" s="556"/>
      <c r="CD134" s="556"/>
      <c r="CE134" s="76"/>
      <c r="CF134" s="79"/>
      <c r="CG134" s="556"/>
      <c r="CH134" s="556" t="s">
        <v>40</v>
      </c>
      <c r="CI134" s="556" t="s">
        <v>40</v>
      </c>
      <c r="CJ134" s="201"/>
      <c r="CK134" s="202"/>
      <c r="CL134" s="202"/>
      <c r="CM134" s="202"/>
      <c r="CN134" s="202"/>
      <c r="CO134" s="202"/>
      <c r="CP134" s="202"/>
      <c r="CQ134" s="202"/>
      <c r="CR134" s="202"/>
      <c r="CS134" s="202"/>
      <c r="CT134" s="202"/>
      <c r="CU134" s="202"/>
      <c r="CV134" s="202"/>
      <c r="CW134" s="202"/>
      <c r="CX134" s="202"/>
      <c r="CY134" s="202"/>
      <c r="CZ134" s="202"/>
      <c r="DA134" s="202"/>
      <c r="DB134" s="202"/>
      <c r="DC134" s="202"/>
      <c r="DD134" s="202"/>
      <c r="DE134" s="202"/>
      <c r="DF134" s="202"/>
      <c r="DG134" s="202"/>
      <c r="DH134" s="202"/>
      <c r="DI134" s="202"/>
      <c r="DJ134" s="202"/>
      <c r="DK134" s="202"/>
      <c r="DL134" s="202"/>
      <c r="DM134" s="202"/>
      <c r="DN134" s="202"/>
      <c r="DO134" s="202"/>
      <c r="DP134" s="202"/>
      <c r="DQ134" s="202"/>
      <c r="DR134" s="202"/>
      <c r="DS134" s="202"/>
      <c r="DT134" s="202"/>
      <c r="DU134" s="202"/>
      <c r="DV134" s="202"/>
      <c r="DW134" s="202"/>
      <c r="DX134" s="202"/>
      <c r="DY134" s="202"/>
      <c r="DZ134" s="202"/>
      <c r="EA134" s="202"/>
      <c r="EB134" s="202"/>
      <c r="EC134" s="202"/>
      <c r="ED134" s="202"/>
      <c r="EE134" s="202"/>
      <c r="EF134" s="202"/>
      <c r="EG134" s="202"/>
      <c r="EH134" s="202"/>
      <c r="EI134" s="202"/>
      <c r="EJ134" s="202"/>
      <c r="EK134" s="202"/>
      <c r="EL134" s="202"/>
      <c r="EM134" s="202"/>
      <c r="EN134" s="202"/>
      <c r="EO134" s="202"/>
      <c r="EP134" s="202"/>
      <c r="EQ134" s="202"/>
      <c r="ER134" s="202"/>
      <c r="ES134" s="202"/>
      <c r="ET134" s="202"/>
      <c r="EU134" s="202"/>
      <c r="EV134" s="202"/>
      <c r="EW134" s="202"/>
      <c r="EX134" s="202"/>
      <c r="EY134" s="202"/>
      <c r="EZ134" s="202"/>
      <c r="FA134" s="202"/>
      <c r="FB134" s="202"/>
      <c r="FC134" s="202"/>
      <c r="FD134" s="202"/>
      <c r="FE134" s="202"/>
      <c r="FF134" s="202"/>
      <c r="FG134" s="202"/>
      <c r="FH134" s="202"/>
      <c r="FI134" s="202"/>
    </row>
    <row r="135" spans="1:165" s="228" customFormat="1" ht="18" customHeight="1" x14ac:dyDescent="0.25">
      <c r="A135" s="578">
        <f t="shared" si="4"/>
        <v>126</v>
      </c>
      <c r="B135" s="588">
        <v>0</v>
      </c>
      <c r="C135" s="585">
        <v>4</v>
      </c>
      <c r="D135" s="585" t="s">
        <v>339</v>
      </c>
      <c r="E135" s="597" t="s">
        <v>340</v>
      </c>
      <c r="F135" s="567" t="s">
        <v>1044</v>
      </c>
      <c r="G135" s="556" t="s">
        <v>99</v>
      </c>
      <c r="H135" s="599" t="s">
        <v>840</v>
      </c>
      <c r="I135" s="593">
        <v>5</v>
      </c>
      <c r="J135" s="556" t="s">
        <v>64</v>
      </c>
      <c r="K135" s="594">
        <v>17</v>
      </c>
      <c r="L135" s="306"/>
      <c r="M135" s="307"/>
      <c r="N135" s="307"/>
      <c r="O135" s="307"/>
      <c r="P135" s="307" t="s">
        <v>122</v>
      </c>
      <c r="Q135" s="79"/>
      <c r="R135" s="76"/>
      <c r="S135" s="585"/>
      <c r="T135" s="556"/>
      <c r="U135" s="556"/>
      <c r="V135" s="556"/>
      <c r="W135" s="585"/>
      <c r="X135" s="585"/>
      <c r="Y135" s="585"/>
      <c r="Z135" s="585"/>
      <c r="AA135" s="556"/>
      <c r="AB135" s="556"/>
      <c r="AC135" s="585"/>
      <c r="AD135" s="585"/>
      <c r="AE135" s="556"/>
      <c r="AF135" s="556"/>
      <c r="AG135" s="556"/>
      <c r="AH135" s="585"/>
      <c r="AI135" s="585"/>
      <c r="AJ135" s="76"/>
      <c r="AK135" s="76"/>
      <c r="AL135" s="556"/>
      <c r="AM135" s="556"/>
      <c r="AN135" s="556"/>
      <c r="AO135" s="556"/>
      <c r="AP135" s="556"/>
      <c r="AQ135" s="556"/>
      <c r="AR135" s="556"/>
      <c r="AS135" s="76"/>
      <c r="AT135" s="76"/>
      <c r="AU135" s="556"/>
      <c r="AV135" s="556"/>
      <c r="AW135" s="556"/>
      <c r="AX135" s="556"/>
      <c r="AY135" s="556"/>
      <c r="AZ135" s="556"/>
      <c r="BA135" s="556"/>
      <c r="BB135" s="556"/>
      <c r="BC135" s="556"/>
      <c r="BD135" s="556"/>
      <c r="BE135" s="76"/>
      <c r="BF135" s="76"/>
      <c r="BG135" s="556"/>
      <c r="BH135" s="556"/>
      <c r="BI135" s="556"/>
      <c r="BJ135" s="585" t="s">
        <v>120</v>
      </c>
      <c r="BK135" s="556"/>
      <c r="BL135" s="585"/>
      <c r="BM135" s="585"/>
      <c r="BN135" s="585" t="s">
        <v>121</v>
      </c>
      <c r="BO135" s="556"/>
      <c r="BP135" s="585" t="s">
        <v>121</v>
      </c>
      <c r="BQ135" s="76"/>
      <c r="BR135" s="76"/>
      <c r="BS135" s="556"/>
      <c r="BT135" s="76"/>
      <c r="BU135" s="76"/>
      <c r="BV135" s="556"/>
      <c r="BW135" s="556"/>
      <c r="BX135" s="556"/>
      <c r="BY135" s="556"/>
      <c r="BZ135" s="76"/>
      <c r="CA135" s="76"/>
      <c r="CB135" s="556"/>
      <c r="CC135" s="556"/>
      <c r="CD135" s="556"/>
      <c r="CE135" s="76"/>
      <c r="CF135" s="79"/>
      <c r="CG135" s="556"/>
      <c r="CH135" s="556" t="s">
        <v>40</v>
      </c>
      <c r="CI135" s="556" t="s">
        <v>40</v>
      </c>
      <c r="CJ135" s="201"/>
      <c r="CK135" s="202"/>
      <c r="CL135" s="202"/>
      <c r="CM135" s="202"/>
      <c r="CN135" s="202"/>
      <c r="CO135" s="202"/>
      <c r="CP135" s="202"/>
      <c r="CQ135" s="202"/>
      <c r="CR135" s="202"/>
      <c r="CS135" s="202"/>
      <c r="CT135" s="202"/>
      <c r="CU135" s="202"/>
      <c r="CV135" s="202"/>
      <c r="CW135" s="202"/>
      <c r="CX135" s="202"/>
      <c r="CY135" s="202"/>
      <c r="CZ135" s="202"/>
      <c r="DA135" s="202"/>
      <c r="DB135" s="202"/>
      <c r="DC135" s="202"/>
      <c r="DD135" s="202"/>
      <c r="DE135" s="202"/>
      <c r="DF135" s="202"/>
      <c r="DG135" s="202"/>
      <c r="DH135" s="202"/>
      <c r="DI135" s="202"/>
      <c r="DJ135" s="202"/>
      <c r="DK135" s="202"/>
      <c r="DL135" s="202"/>
      <c r="DM135" s="202"/>
      <c r="DN135" s="202"/>
      <c r="DO135" s="202"/>
      <c r="DP135" s="202"/>
      <c r="DQ135" s="202"/>
      <c r="DR135" s="202"/>
      <c r="DS135" s="202"/>
      <c r="DT135" s="202"/>
      <c r="DU135" s="202"/>
      <c r="DV135" s="202"/>
      <c r="DW135" s="202"/>
      <c r="DX135" s="202"/>
      <c r="DY135" s="202"/>
      <c r="DZ135" s="202"/>
      <c r="EA135" s="202"/>
      <c r="EB135" s="202"/>
      <c r="EC135" s="202"/>
      <c r="ED135" s="202"/>
      <c r="EE135" s="202"/>
      <c r="EF135" s="202"/>
      <c r="EG135" s="202"/>
      <c r="EH135" s="202"/>
      <c r="EI135" s="202"/>
      <c r="EJ135" s="202"/>
      <c r="EK135" s="202"/>
      <c r="EL135" s="202"/>
      <c r="EM135" s="202"/>
      <c r="EN135" s="202"/>
      <c r="EO135" s="202"/>
      <c r="EP135" s="202"/>
      <c r="EQ135" s="202"/>
      <c r="ER135" s="202"/>
      <c r="ES135" s="202"/>
      <c r="ET135" s="202"/>
      <c r="EU135" s="202"/>
      <c r="EV135" s="202"/>
      <c r="EW135" s="202"/>
      <c r="EX135" s="202"/>
      <c r="EY135" s="202"/>
      <c r="EZ135" s="202"/>
      <c r="FA135" s="202"/>
      <c r="FB135" s="202"/>
      <c r="FC135" s="202"/>
      <c r="FD135" s="202"/>
      <c r="FE135" s="202"/>
      <c r="FF135" s="202"/>
      <c r="FG135" s="202"/>
      <c r="FH135" s="202"/>
      <c r="FI135" s="202"/>
    </row>
    <row r="136" spans="1:165" s="228" customFormat="1" ht="18" customHeight="1" x14ac:dyDescent="0.25">
      <c r="A136" s="578">
        <f t="shared" si="4"/>
        <v>127</v>
      </c>
      <c r="B136" s="588">
        <v>0</v>
      </c>
      <c r="C136" s="585">
        <v>4</v>
      </c>
      <c r="D136" s="585" t="s">
        <v>341</v>
      </c>
      <c r="E136" s="597" t="s">
        <v>342</v>
      </c>
      <c r="F136" s="567" t="s">
        <v>1044</v>
      </c>
      <c r="G136" s="556" t="s">
        <v>343</v>
      </c>
      <c r="H136" s="599" t="s">
        <v>841</v>
      </c>
      <c r="I136" s="593">
        <v>5</v>
      </c>
      <c r="J136" s="556" t="s">
        <v>64</v>
      </c>
      <c r="K136" s="594">
        <v>17</v>
      </c>
      <c r="L136" s="306"/>
      <c r="M136" s="307"/>
      <c r="N136" s="307"/>
      <c r="O136" s="307"/>
      <c r="P136" s="307" t="s">
        <v>122</v>
      </c>
      <c r="Q136" s="79"/>
      <c r="R136" s="76"/>
      <c r="S136" s="585"/>
      <c r="T136" s="556"/>
      <c r="U136" s="556"/>
      <c r="V136" s="556"/>
      <c r="W136" s="585"/>
      <c r="X136" s="585"/>
      <c r="Y136" s="585"/>
      <c r="Z136" s="585"/>
      <c r="AA136" s="556"/>
      <c r="AB136" s="556"/>
      <c r="AC136" s="585"/>
      <c r="AD136" s="585"/>
      <c r="AE136" s="556"/>
      <c r="AF136" s="556"/>
      <c r="AG136" s="556"/>
      <c r="AH136" s="585"/>
      <c r="AI136" s="585"/>
      <c r="AJ136" s="76"/>
      <c r="AK136" s="76"/>
      <c r="AL136" s="556"/>
      <c r="AM136" s="556"/>
      <c r="AN136" s="556"/>
      <c r="AO136" s="556"/>
      <c r="AP136" s="556"/>
      <c r="AQ136" s="556"/>
      <c r="AR136" s="556"/>
      <c r="AS136" s="76"/>
      <c r="AT136" s="76"/>
      <c r="AU136" s="556"/>
      <c r="AV136" s="556"/>
      <c r="AW136" s="556"/>
      <c r="AX136" s="556"/>
      <c r="AY136" s="556"/>
      <c r="AZ136" s="556"/>
      <c r="BA136" s="556"/>
      <c r="BB136" s="556"/>
      <c r="BC136" s="556"/>
      <c r="BD136" s="556"/>
      <c r="BE136" s="76"/>
      <c r="BF136" s="76"/>
      <c r="BG136" s="556"/>
      <c r="BH136" s="556"/>
      <c r="BI136" s="556"/>
      <c r="BJ136" s="585" t="s">
        <v>120</v>
      </c>
      <c r="BK136" s="556"/>
      <c r="BL136" s="585"/>
      <c r="BM136" s="585"/>
      <c r="BN136" s="585" t="s">
        <v>121</v>
      </c>
      <c r="BO136" s="556"/>
      <c r="BP136" s="585" t="s">
        <v>121</v>
      </c>
      <c r="BQ136" s="76"/>
      <c r="BR136" s="76"/>
      <c r="BS136" s="556"/>
      <c r="BT136" s="76"/>
      <c r="BU136" s="76"/>
      <c r="BV136" s="556"/>
      <c r="BW136" s="556"/>
      <c r="BX136" s="556"/>
      <c r="BY136" s="556"/>
      <c r="BZ136" s="76"/>
      <c r="CA136" s="76"/>
      <c r="CB136" s="556"/>
      <c r="CC136" s="556"/>
      <c r="CD136" s="556"/>
      <c r="CE136" s="76"/>
      <c r="CF136" s="79"/>
      <c r="CG136" s="556"/>
      <c r="CH136" s="556" t="s">
        <v>40</v>
      </c>
      <c r="CI136" s="556" t="s">
        <v>40</v>
      </c>
      <c r="CJ136" s="201"/>
      <c r="CK136" s="202"/>
      <c r="CL136" s="202"/>
      <c r="CM136" s="202"/>
      <c r="CN136" s="202"/>
      <c r="CO136" s="202"/>
      <c r="CP136" s="202"/>
      <c r="CQ136" s="202"/>
      <c r="CR136" s="202"/>
      <c r="CS136" s="202"/>
      <c r="CT136" s="202"/>
      <c r="CU136" s="202"/>
      <c r="CV136" s="202"/>
      <c r="CW136" s="202"/>
      <c r="CX136" s="202"/>
      <c r="CY136" s="202"/>
      <c r="CZ136" s="202"/>
      <c r="DA136" s="202"/>
      <c r="DB136" s="202"/>
      <c r="DC136" s="202"/>
      <c r="DD136" s="202"/>
      <c r="DE136" s="202"/>
      <c r="DF136" s="202"/>
      <c r="DG136" s="202"/>
      <c r="DH136" s="202"/>
      <c r="DI136" s="202"/>
      <c r="DJ136" s="202"/>
      <c r="DK136" s="202"/>
      <c r="DL136" s="202"/>
      <c r="DM136" s="202"/>
      <c r="DN136" s="202"/>
      <c r="DO136" s="202"/>
      <c r="DP136" s="202"/>
      <c r="DQ136" s="202"/>
      <c r="DR136" s="202"/>
      <c r="DS136" s="202"/>
      <c r="DT136" s="202"/>
      <c r="DU136" s="202"/>
      <c r="DV136" s="202"/>
      <c r="DW136" s="202"/>
      <c r="DX136" s="202"/>
      <c r="DY136" s="202"/>
      <c r="DZ136" s="202"/>
      <c r="EA136" s="202"/>
      <c r="EB136" s="202"/>
      <c r="EC136" s="202"/>
      <c r="ED136" s="202"/>
      <c r="EE136" s="202"/>
      <c r="EF136" s="202"/>
      <c r="EG136" s="202"/>
      <c r="EH136" s="202"/>
      <c r="EI136" s="202"/>
      <c r="EJ136" s="202"/>
      <c r="EK136" s="202"/>
      <c r="EL136" s="202"/>
      <c r="EM136" s="202"/>
      <c r="EN136" s="202"/>
      <c r="EO136" s="202"/>
      <c r="EP136" s="202"/>
      <c r="EQ136" s="202"/>
      <c r="ER136" s="202"/>
      <c r="ES136" s="202"/>
      <c r="ET136" s="202"/>
      <c r="EU136" s="202"/>
      <c r="EV136" s="202"/>
      <c r="EW136" s="202"/>
      <c r="EX136" s="202"/>
      <c r="EY136" s="202"/>
      <c r="EZ136" s="202"/>
      <c r="FA136" s="202"/>
      <c r="FB136" s="202"/>
      <c r="FC136" s="202"/>
      <c r="FD136" s="202"/>
      <c r="FE136" s="202"/>
      <c r="FF136" s="202"/>
      <c r="FG136" s="202"/>
      <c r="FH136" s="202"/>
      <c r="FI136" s="202"/>
    </row>
    <row r="137" spans="1:165" s="228" customFormat="1" ht="18" customHeight="1" x14ac:dyDescent="0.25">
      <c r="A137" s="578">
        <f t="shared" si="4"/>
        <v>128</v>
      </c>
      <c r="B137" s="588">
        <v>0</v>
      </c>
      <c r="C137" s="585">
        <v>4</v>
      </c>
      <c r="D137" s="585" t="s">
        <v>344</v>
      </c>
      <c r="E137" s="589" t="s">
        <v>758</v>
      </c>
      <c r="F137" s="586" t="s">
        <v>1111</v>
      </c>
      <c r="G137" s="585" t="s">
        <v>100</v>
      </c>
      <c r="H137" s="585" t="s">
        <v>842</v>
      </c>
      <c r="I137" s="593">
        <v>5</v>
      </c>
      <c r="J137" s="556" t="s">
        <v>64</v>
      </c>
      <c r="K137" s="594">
        <v>17</v>
      </c>
      <c r="L137" s="306"/>
      <c r="M137" s="307"/>
      <c r="N137" s="307"/>
      <c r="O137" s="307"/>
      <c r="P137" s="307" t="s">
        <v>122</v>
      </c>
      <c r="Q137" s="79"/>
      <c r="R137" s="76"/>
      <c r="S137" s="585"/>
      <c r="T137" s="556"/>
      <c r="U137" s="556"/>
      <c r="V137" s="556"/>
      <c r="W137" s="585"/>
      <c r="X137" s="585"/>
      <c r="Y137" s="585"/>
      <c r="Z137" s="585"/>
      <c r="AA137" s="556"/>
      <c r="AB137" s="556"/>
      <c r="AC137" s="585"/>
      <c r="AD137" s="585"/>
      <c r="AE137" s="556"/>
      <c r="AF137" s="556"/>
      <c r="AG137" s="556"/>
      <c r="AH137" s="585"/>
      <c r="AI137" s="585"/>
      <c r="AJ137" s="76"/>
      <c r="AK137" s="76"/>
      <c r="AL137" s="556"/>
      <c r="AM137" s="556"/>
      <c r="AN137" s="556"/>
      <c r="AO137" s="556"/>
      <c r="AP137" s="556"/>
      <c r="AQ137" s="556"/>
      <c r="AR137" s="556"/>
      <c r="AS137" s="76"/>
      <c r="AT137" s="76"/>
      <c r="AU137" s="556"/>
      <c r="AV137" s="556"/>
      <c r="AW137" s="556"/>
      <c r="AX137" s="556"/>
      <c r="AY137" s="556"/>
      <c r="AZ137" s="556"/>
      <c r="BA137" s="556"/>
      <c r="BB137" s="556"/>
      <c r="BC137" s="556"/>
      <c r="BD137" s="556"/>
      <c r="BE137" s="76"/>
      <c r="BF137" s="76"/>
      <c r="BG137" s="556"/>
      <c r="BH137" s="556"/>
      <c r="BI137" s="556"/>
      <c r="BJ137" s="585" t="s">
        <v>120</v>
      </c>
      <c r="BK137" s="556"/>
      <c r="BL137" s="585"/>
      <c r="BM137" s="585"/>
      <c r="BN137" s="585" t="s">
        <v>121</v>
      </c>
      <c r="BO137" s="585"/>
      <c r="BP137" s="585" t="s">
        <v>121</v>
      </c>
      <c r="BQ137" s="76"/>
      <c r="BR137" s="76"/>
      <c r="BS137" s="556"/>
      <c r="BT137" s="76"/>
      <c r="BU137" s="76"/>
      <c r="BV137" s="556"/>
      <c r="BW137" s="556"/>
      <c r="BX137" s="556"/>
      <c r="BY137" s="556"/>
      <c r="BZ137" s="76"/>
      <c r="CA137" s="76"/>
      <c r="CB137" s="556"/>
      <c r="CC137" s="556"/>
      <c r="CD137" s="556"/>
      <c r="CE137" s="76"/>
      <c r="CF137" s="79"/>
      <c r="CG137" s="556"/>
      <c r="CH137" s="556" t="s">
        <v>40</v>
      </c>
      <c r="CI137" s="556" t="s">
        <v>40</v>
      </c>
      <c r="CJ137" s="201"/>
      <c r="CK137" s="202"/>
      <c r="CL137" s="202"/>
      <c r="CM137" s="202"/>
      <c r="CN137" s="202"/>
      <c r="CO137" s="202"/>
      <c r="CP137" s="202"/>
      <c r="CQ137" s="202"/>
      <c r="CR137" s="202"/>
      <c r="CS137" s="202"/>
      <c r="CT137" s="202"/>
      <c r="CU137" s="202"/>
      <c r="CV137" s="202"/>
      <c r="CW137" s="202"/>
      <c r="CX137" s="202"/>
      <c r="CY137" s="202"/>
      <c r="CZ137" s="202"/>
      <c r="DA137" s="202"/>
      <c r="DB137" s="202"/>
      <c r="DC137" s="202"/>
      <c r="DD137" s="202"/>
      <c r="DE137" s="202"/>
      <c r="DF137" s="202"/>
      <c r="DG137" s="202"/>
      <c r="DH137" s="202"/>
      <c r="DI137" s="202"/>
      <c r="DJ137" s="202"/>
      <c r="DK137" s="202"/>
      <c r="DL137" s="202"/>
      <c r="DM137" s="202"/>
      <c r="DN137" s="202"/>
      <c r="DO137" s="202"/>
      <c r="DP137" s="202"/>
      <c r="DQ137" s="202"/>
      <c r="DR137" s="202"/>
      <c r="DS137" s="202"/>
      <c r="DT137" s="202"/>
      <c r="DU137" s="202"/>
      <c r="DV137" s="202"/>
      <c r="DW137" s="202"/>
      <c r="DX137" s="202"/>
      <c r="DY137" s="202"/>
      <c r="DZ137" s="202"/>
      <c r="EA137" s="202"/>
      <c r="EB137" s="202"/>
      <c r="EC137" s="202"/>
      <c r="ED137" s="202"/>
      <c r="EE137" s="202"/>
      <c r="EF137" s="202"/>
      <c r="EG137" s="202"/>
      <c r="EH137" s="202"/>
      <c r="EI137" s="202"/>
      <c r="EJ137" s="202"/>
      <c r="EK137" s="202"/>
      <c r="EL137" s="202"/>
      <c r="EM137" s="202"/>
      <c r="EN137" s="202"/>
      <c r="EO137" s="202"/>
      <c r="EP137" s="202"/>
      <c r="EQ137" s="202"/>
      <c r="ER137" s="202"/>
      <c r="ES137" s="202"/>
      <c r="ET137" s="202"/>
      <c r="EU137" s="202"/>
      <c r="EV137" s="202"/>
      <c r="EW137" s="202"/>
      <c r="EX137" s="202"/>
      <c r="EY137" s="202"/>
      <c r="EZ137" s="202"/>
      <c r="FA137" s="202"/>
      <c r="FB137" s="202"/>
      <c r="FC137" s="202"/>
      <c r="FD137" s="202"/>
      <c r="FE137" s="202"/>
      <c r="FF137" s="202"/>
      <c r="FG137" s="202"/>
      <c r="FH137" s="202"/>
      <c r="FI137" s="202"/>
    </row>
    <row r="138" spans="1:165" s="228" customFormat="1" ht="18" customHeight="1" x14ac:dyDescent="0.25">
      <c r="A138" s="578">
        <f t="shared" si="4"/>
        <v>129</v>
      </c>
      <c r="B138" s="588">
        <v>0</v>
      </c>
      <c r="C138" s="585">
        <v>4</v>
      </c>
      <c r="D138" s="585" t="s">
        <v>345</v>
      </c>
      <c r="E138" s="597" t="s">
        <v>346</v>
      </c>
      <c r="F138" s="567" t="s">
        <v>1044</v>
      </c>
      <c r="G138" s="556" t="s">
        <v>101</v>
      </c>
      <c r="H138" s="599" t="s">
        <v>843</v>
      </c>
      <c r="I138" s="593">
        <v>5</v>
      </c>
      <c r="J138" s="556" t="s">
        <v>64</v>
      </c>
      <c r="K138" s="594">
        <v>17</v>
      </c>
      <c r="L138" s="306"/>
      <c r="M138" s="307"/>
      <c r="N138" s="307"/>
      <c r="O138" s="307"/>
      <c r="P138" s="307" t="s">
        <v>122</v>
      </c>
      <c r="Q138" s="79"/>
      <c r="R138" s="76"/>
      <c r="S138" s="585"/>
      <c r="T138" s="556"/>
      <c r="U138" s="556"/>
      <c r="V138" s="556"/>
      <c r="W138" s="585"/>
      <c r="X138" s="585"/>
      <c r="Y138" s="585"/>
      <c r="Z138" s="585"/>
      <c r="AA138" s="556"/>
      <c r="AB138" s="556"/>
      <c r="AC138" s="585"/>
      <c r="AD138" s="585"/>
      <c r="AE138" s="556"/>
      <c r="AF138" s="556"/>
      <c r="AG138" s="556"/>
      <c r="AH138" s="585"/>
      <c r="AI138" s="585"/>
      <c r="AJ138" s="76"/>
      <c r="AK138" s="76"/>
      <c r="AL138" s="556"/>
      <c r="AM138" s="556"/>
      <c r="AN138" s="556"/>
      <c r="AO138" s="556"/>
      <c r="AP138" s="556"/>
      <c r="AQ138" s="556"/>
      <c r="AR138" s="556"/>
      <c r="AS138" s="76"/>
      <c r="AT138" s="76"/>
      <c r="AU138" s="556"/>
      <c r="AV138" s="556"/>
      <c r="AW138" s="556"/>
      <c r="AX138" s="556"/>
      <c r="AY138" s="556"/>
      <c r="AZ138" s="556"/>
      <c r="BA138" s="556"/>
      <c r="BB138" s="556"/>
      <c r="BC138" s="556"/>
      <c r="BD138" s="556"/>
      <c r="BE138" s="76"/>
      <c r="BF138" s="76"/>
      <c r="BG138" s="556"/>
      <c r="BH138" s="556"/>
      <c r="BI138" s="556"/>
      <c r="BJ138" s="585" t="s">
        <v>120</v>
      </c>
      <c r="BK138" s="556"/>
      <c r="BL138" s="585"/>
      <c r="BM138" s="585"/>
      <c r="BN138" s="585" t="s">
        <v>121</v>
      </c>
      <c r="BO138" s="556"/>
      <c r="BP138" s="585" t="s">
        <v>121</v>
      </c>
      <c r="BQ138" s="76"/>
      <c r="BR138" s="76"/>
      <c r="BS138" s="556"/>
      <c r="BT138" s="76"/>
      <c r="BU138" s="76"/>
      <c r="BV138" s="556"/>
      <c r="BW138" s="556"/>
      <c r="BX138" s="556"/>
      <c r="BY138" s="556"/>
      <c r="BZ138" s="76"/>
      <c r="CA138" s="76"/>
      <c r="CB138" s="556"/>
      <c r="CC138" s="556"/>
      <c r="CD138" s="556"/>
      <c r="CE138" s="76"/>
      <c r="CF138" s="79"/>
      <c r="CG138" s="556"/>
      <c r="CH138" s="556" t="s">
        <v>40</v>
      </c>
      <c r="CI138" s="556" t="s">
        <v>40</v>
      </c>
      <c r="CJ138" s="201"/>
      <c r="CK138" s="202"/>
      <c r="CL138" s="202"/>
      <c r="CM138" s="202"/>
      <c r="CN138" s="202"/>
      <c r="CO138" s="202"/>
      <c r="CP138" s="202"/>
      <c r="CQ138" s="202"/>
      <c r="CR138" s="202"/>
      <c r="CS138" s="202"/>
      <c r="CT138" s="202"/>
      <c r="CU138" s="202"/>
      <c r="CV138" s="202"/>
      <c r="CW138" s="202"/>
      <c r="CX138" s="202"/>
      <c r="CY138" s="202"/>
      <c r="CZ138" s="202"/>
      <c r="DA138" s="202"/>
      <c r="DB138" s="202"/>
      <c r="DC138" s="202"/>
      <c r="DD138" s="202"/>
      <c r="DE138" s="202"/>
      <c r="DF138" s="202"/>
      <c r="DG138" s="202"/>
      <c r="DH138" s="202"/>
      <c r="DI138" s="202"/>
      <c r="DJ138" s="202"/>
      <c r="DK138" s="202"/>
      <c r="DL138" s="202"/>
      <c r="DM138" s="202"/>
      <c r="DN138" s="202"/>
      <c r="DO138" s="202"/>
      <c r="DP138" s="202"/>
      <c r="DQ138" s="202"/>
      <c r="DR138" s="202"/>
      <c r="DS138" s="202"/>
      <c r="DT138" s="202"/>
      <c r="DU138" s="202"/>
      <c r="DV138" s="202"/>
      <c r="DW138" s="202"/>
      <c r="DX138" s="202"/>
      <c r="DY138" s="202"/>
      <c r="DZ138" s="202"/>
      <c r="EA138" s="202"/>
      <c r="EB138" s="202"/>
      <c r="EC138" s="202"/>
      <c r="ED138" s="202"/>
      <c r="EE138" s="202"/>
      <c r="EF138" s="202"/>
      <c r="EG138" s="202"/>
      <c r="EH138" s="202"/>
      <c r="EI138" s="202"/>
      <c r="EJ138" s="202"/>
      <c r="EK138" s="202"/>
      <c r="EL138" s="202"/>
      <c r="EM138" s="202"/>
      <c r="EN138" s="202"/>
      <c r="EO138" s="202"/>
      <c r="EP138" s="202"/>
      <c r="EQ138" s="202"/>
      <c r="ER138" s="202"/>
      <c r="ES138" s="202"/>
      <c r="ET138" s="202"/>
      <c r="EU138" s="202"/>
      <c r="EV138" s="202"/>
      <c r="EW138" s="202"/>
      <c r="EX138" s="202"/>
      <c r="EY138" s="202"/>
      <c r="EZ138" s="202"/>
      <c r="FA138" s="202"/>
      <c r="FB138" s="202"/>
      <c r="FC138" s="202"/>
      <c r="FD138" s="202"/>
      <c r="FE138" s="202"/>
      <c r="FF138" s="202"/>
      <c r="FG138" s="202"/>
      <c r="FH138" s="202"/>
      <c r="FI138" s="202"/>
    </row>
    <row r="139" spans="1:165" s="228" customFormat="1" ht="18" customHeight="1" x14ac:dyDescent="0.25">
      <c r="A139" s="578">
        <f t="shared" si="4"/>
        <v>130</v>
      </c>
      <c r="B139" s="588">
        <v>0</v>
      </c>
      <c r="C139" s="585">
        <v>4</v>
      </c>
      <c r="D139" s="585" t="s">
        <v>347</v>
      </c>
      <c r="E139" s="597" t="s">
        <v>348</v>
      </c>
      <c r="F139" s="567" t="s">
        <v>1044</v>
      </c>
      <c r="G139" s="556" t="s">
        <v>102</v>
      </c>
      <c r="H139" s="599" t="s">
        <v>844</v>
      </c>
      <c r="I139" s="593">
        <v>5</v>
      </c>
      <c r="J139" s="556" t="s">
        <v>64</v>
      </c>
      <c r="K139" s="594">
        <v>17</v>
      </c>
      <c r="L139" s="306"/>
      <c r="M139" s="307"/>
      <c r="N139" s="307"/>
      <c r="O139" s="307"/>
      <c r="P139" s="307" t="s">
        <v>122</v>
      </c>
      <c r="Q139" s="79"/>
      <c r="R139" s="76"/>
      <c r="S139" s="585"/>
      <c r="T139" s="556"/>
      <c r="U139" s="556"/>
      <c r="V139" s="556"/>
      <c r="W139" s="585"/>
      <c r="X139" s="585"/>
      <c r="Y139" s="585"/>
      <c r="Z139" s="585"/>
      <c r="AA139" s="556"/>
      <c r="AB139" s="556"/>
      <c r="AC139" s="585"/>
      <c r="AD139" s="585"/>
      <c r="AE139" s="556"/>
      <c r="AF139" s="556"/>
      <c r="AG139" s="556"/>
      <c r="AH139" s="585"/>
      <c r="AI139" s="585"/>
      <c r="AJ139" s="76"/>
      <c r="AK139" s="76"/>
      <c r="AL139" s="556"/>
      <c r="AM139" s="556"/>
      <c r="AN139" s="556"/>
      <c r="AO139" s="556"/>
      <c r="AP139" s="556"/>
      <c r="AQ139" s="556"/>
      <c r="AR139" s="556"/>
      <c r="AS139" s="76"/>
      <c r="AT139" s="76"/>
      <c r="AU139" s="556"/>
      <c r="AV139" s="556"/>
      <c r="AW139" s="556"/>
      <c r="AX139" s="556"/>
      <c r="AY139" s="556"/>
      <c r="AZ139" s="556"/>
      <c r="BA139" s="556"/>
      <c r="BB139" s="556"/>
      <c r="BC139" s="556"/>
      <c r="BD139" s="556"/>
      <c r="BE139" s="76"/>
      <c r="BF139" s="76"/>
      <c r="BG139" s="556"/>
      <c r="BH139" s="556"/>
      <c r="BI139" s="556"/>
      <c r="BJ139" s="585" t="s">
        <v>120</v>
      </c>
      <c r="BK139" s="556"/>
      <c r="BL139" s="585"/>
      <c r="BM139" s="585"/>
      <c r="BN139" s="585" t="s">
        <v>121</v>
      </c>
      <c r="BO139" s="556"/>
      <c r="BP139" s="585" t="s">
        <v>121</v>
      </c>
      <c r="BQ139" s="76"/>
      <c r="BR139" s="76"/>
      <c r="BS139" s="556"/>
      <c r="BT139" s="76"/>
      <c r="BU139" s="76"/>
      <c r="BV139" s="556"/>
      <c r="BW139" s="556"/>
      <c r="BX139" s="556"/>
      <c r="BY139" s="556"/>
      <c r="BZ139" s="76"/>
      <c r="CA139" s="76"/>
      <c r="CB139" s="556"/>
      <c r="CC139" s="556"/>
      <c r="CD139" s="556"/>
      <c r="CE139" s="76"/>
      <c r="CF139" s="79"/>
      <c r="CG139" s="556"/>
      <c r="CH139" s="556" t="s">
        <v>40</v>
      </c>
      <c r="CI139" s="556" t="s">
        <v>40</v>
      </c>
      <c r="CJ139" s="201"/>
      <c r="CK139" s="202"/>
      <c r="CL139" s="202"/>
      <c r="CM139" s="202"/>
      <c r="CN139" s="202"/>
      <c r="CO139" s="202"/>
      <c r="CP139" s="202"/>
      <c r="CQ139" s="202"/>
      <c r="CR139" s="202"/>
      <c r="CS139" s="202"/>
      <c r="CT139" s="202"/>
      <c r="CU139" s="202"/>
      <c r="CV139" s="202"/>
      <c r="CW139" s="202"/>
      <c r="CX139" s="202"/>
      <c r="CY139" s="202"/>
      <c r="CZ139" s="202"/>
      <c r="DA139" s="202"/>
      <c r="DB139" s="202"/>
      <c r="DC139" s="202"/>
      <c r="DD139" s="202"/>
      <c r="DE139" s="202"/>
      <c r="DF139" s="202"/>
      <c r="DG139" s="202"/>
      <c r="DH139" s="202"/>
      <c r="DI139" s="202"/>
      <c r="DJ139" s="202"/>
      <c r="DK139" s="202"/>
      <c r="DL139" s="202"/>
      <c r="DM139" s="202"/>
      <c r="DN139" s="202"/>
      <c r="DO139" s="202"/>
      <c r="DP139" s="202"/>
      <c r="DQ139" s="202"/>
      <c r="DR139" s="202"/>
      <c r="DS139" s="202"/>
      <c r="DT139" s="202"/>
      <c r="DU139" s="202"/>
      <c r="DV139" s="202"/>
      <c r="DW139" s="202"/>
      <c r="DX139" s="202"/>
      <c r="DY139" s="202"/>
      <c r="DZ139" s="202"/>
      <c r="EA139" s="202"/>
      <c r="EB139" s="202"/>
      <c r="EC139" s="202"/>
      <c r="ED139" s="202"/>
      <c r="EE139" s="202"/>
      <c r="EF139" s="202"/>
      <c r="EG139" s="202"/>
      <c r="EH139" s="202"/>
      <c r="EI139" s="202"/>
      <c r="EJ139" s="202"/>
      <c r="EK139" s="202"/>
      <c r="EL139" s="202"/>
      <c r="EM139" s="202"/>
      <c r="EN139" s="202"/>
      <c r="EO139" s="202"/>
      <c r="EP139" s="202"/>
      <c r="EQ139" s="202"/>
      <c r="ER139" s="202"/>
      <c r="ES139" s="202"/>
      <c r="ET139" s="202"/>
      <c r="EU139" s="202"/>
      <c r="EV139" s="202"/>
      <c r="EW139" s="202"/>
      <c r="EX139" s="202"/>
      <c r="EY139" s="202"/>
      <c r="EZ139" s="202"/>
      <c r="FA139" s="202"/>
      <c r="FB139" s="202"/>
      <c r="FC139" s="202"/>
      <c r="FD139" s="202"/>
      <c r="FE139" s="202"/>
      <c r="FF139" s="202"/>
      <c r="FG139" s="202"/>
      <c r="FH139" s="202"/>
      <c r="FI139" s="202"/>
    </row>
    <row r="140" spans="1:165" s="228" customFormat="1" ht="18" customHeight="1" x14ac:dyDescent="0.2">
      <c r="A140" s="529">
        <f t="shared" si="4"/>
        <v>131</v>
      </c>
      <c r="B140" s="526">
        <v>0</v>
      </c>
      <c r="C140" s="307">
        <v>4</v>
      </c>
      <c r="D140" s="307" t="s">
        <v>1086</v>
      </c>
      <c r="E140" s="314" t="s">
        <v>1133</v>
      </c>
      <c r="F140" s="310" t="s">
        <v>1044</v>
      </c>
      <c r="G140" s="310" t="s">
        <v>246</v>
      </c>
      <c r="H140" s="532" t="s">
        <v>1083</v>
      </c>
      <c r="I140" s="413"/>
      <c r="J140" s="310"/>
      <c r="K140" s="411"/>
      <c r="L140" s="306"/>
      <c r="M140" s="307"/>
      <c r="N140" s="307"/>
      <c r="O140" s="307"/>
      <c r="P140" s="307"/>
      <c r="Q140" s="79"/>
      <c r="R140" s="76"/>
      <c r="S140" s="307"/>
      <c r="T140" s="310"/>
      <c r="U140" s="310"/>
      <c r="V140" s="310"/>
      <c r="W140" s="307"/>
      <c r="X140" s="307"/>
      <c r="Y140" s="307"/>
      <c r="Z140" s="307"/>
      <c r="AA140" s="310"/>
      <c r="AB140" s="310"/>
      <c r="AC140" s="307"/>
      <c r="AD140" s="307"/>
      <c r="AE140" s="310"/>
      <c r="AF140" s="310"/>
      <c r="AG140" s="310"/>
      <c r="AH140" s="307"/>
      <c r="AI140" s="307"/>
      <c r="AJ140" s="76"/>
      <c r="AK140" s="76"/>
      <c r="AL140" s="310"/>
      <c r="AM140" s="310"/>
      <c r="AN140" s="310"/>
      <c r="AO140" s="310"/>
      <c r="AP140" s="310"/>
      <c r="AQ140" s="310"/>
      <c r="AR140" s="310"/>
      <c r="AS140" s="76"/>
      <c r="AT140" s="76"/>
      <c r="AU140" s="310"/>
      <c r="AV140" s="310"/>
      <c r="AW140" s="310"/>
      <c r="AX140" s="307"/>
      <c r="AY140" s="307"/>
      <c r="AZ140" s="307"/>
      <c r="BA140" s="307"/>
      <c r="BB140" s="307"/>
      <c r="BC140" s="310"/>
      <c r="BD140" s="307"/>
      <c r="BE140" s="76"/>
      <c r="BF140" s="76"/>
      <c r="BG140" s="310"/>
      <c r="BH140" s="310"/>
      <c r="BI140" s="310"/>
      <c r="BJ140" s="310"/>
      <c r="BK140" s="307"/>
      <c r="BL140" s="310"/>
      <c r="BM140" s="310"/>
      <c r="BN140" s="310"/>
      <c r="BO140" s="310"/>
      <c r="BP140" s="310"/>
      <c r="BQ140" s="76"/>
      <c r="BR140" s="76"/>
      <c r="BS140" s="310"/>
      <c r="BT140" s="76"/>
      <c r="BU140" s="76"/>
      <c r="BV140" s="310"/>
      <c r="BW140" s="310"/>
      <c r="BX140" s="310"/>
      <c r="BY140" s="310"/>
      <c r="BZ140" s="76"/>
      <c r="CA140" s="76"/>
      <c r="CB140" s="310"/>
      <c r="CC140" s="310"/>
      <c r="CD140" s="310"/>
      <c r="CE140" s="76"/>
      <c r="CF140" s="79"/>
      <c r="CG140" s="310"/>
      <c r="CH140" s="310"/>
      <c r="CI140" s="310"/>
      <c r="CJ140" s="201"/>
      <c r="CK140" s="202"/>
      <c r="CL140" s="202"/>
      <c r="CM140" s="202"/>
      <c r="CN140" s="202"/>
      <c r="CO140" s="202"/>
      <c r="CP140" s="202"/>
      <c r="CQ140" s="202"/>
      <c r="CR140" s="202"/>
      <c r="CS140" s="202"/>
      <c r="CT140" s="202"/>
      <c r="CU140" s="202"/>
      <c r="CV140" s="202"/>
      <c r="CW140" s="202"/>
      <c r="CX140" s="202"/>
      <c r="CY140" s="202"/>
      <c r="CZ140" s="202"/>
      <c r="DA140" s="202"/>
      <c r="DB140" s="202"/>
      <c r="DC140" s="202"/>
      <c r="DD140" s="202"/>
      <c r="DE140" s="202"/>
      <c r="DF140" s="202"/>
      <c r="DG140" s="202"/>
      <c r="DH140" s="202"/>
      <c r="DI140" s="202"/>
      <c r="DJ140" s="202"/>
      <c r="DK140" s="202"/>
      <c r="DL140" s="202"/>
      <c r="DM140" s="202"/>
      <c r="DN140" s="202"/>
      <c r="DO140" s="202"/>
      <c r="DP140" s="202"/>
      <c r="DQ140" s="202"/>
      <c r="DR140" s="202"/>
      <c r="DS140" s="202"/>
      <c r="DT140" s="202"/>
      <c r="DU140" s="202"/>
      <c r="DV140" s="202"/>
      <c r="DW140" s="202"/>
      <c r="DX140" s="202"/>
      <c r="DY140" s="202"/>
      <c r="DZ140" s="202"/>
      <c r="EA140" s="202"/>
      <c r="EB140" s="202"/>
      <c r="EC140" s="202"/>
      <c r="ED140" s="202"/>
      <c r="EE140" s="202"/>
      <c r="EF140" s="202"/>
      <c r="EG140" s="202"/>
      <c r="EH140" s="202"/>
      <c r="EI140" s="202"/>
      <c r="EJ140" s="202"/>
      <c r="EK140" s="202"/>
      <c r="EL140" s="202"/>
      <c r="EM140" s="202"/>
      <c r="EN140" s="202"/>
      <c r="EO140" s="202"/>
      <c r="EP140" s="202"/>
      <c r="EQ140" s="202"/>
      <c r="ER140" s="202"/>
      <c r="ES140" s="202"/>
      <c r="ET140" s="202"/>
      <c r="EU140" s="202"/>
      <c r="EV140" s="202"/>
      <c r="EW140" s="202"/>
      <c r="EX140" s="202"/>
      <c r="EY140" s="202"/>
      <c r="EZ140" s="202"/>
      <c r="FA140" s="202"/>
      <c r="FB140" s="202"/>
      <c r="FC140" s="202"/>
      <c r="FD140" s="202"/>
      <c r="FE140" s="202"/>
      <c r="FF140" s="202"/>
      <c r="FG140" s="202"/>
      <c r="FH140" s="202"/>
      <c r="FI140" s="202"/>
    </row>
    <row r="141" spans="1:165" s="228" customFormat="1" ht="18" customHeight="1" x14ac:dyDescent="0.2">
      <c r="A141" s="529">
        <f t="shared" si="4"/>
        <v>132</v>
      </c>
      <c r="B141" s="526">
        <v>0</v>
      </c>
      <c r="C141" s="307">
        <v>4</v>
      </c>
      <c r="D141" s="307" t="s">
        <v>1087</v>
      </c>
      <c r="E141" s="314" t="s">
        <v>1134</v>
      </c>
      <c r="F141" s="307" t="s">
        <v>1044</v>
      </c>
      <c r="G141" s="307" t="s">
        <v>1084</v>
      </c>
      <c r="H141" s="307" t="s">
        <v>1085</v>
      </c>
      <c r="I141" s="413"/>
      <c r="J141" s="310"/>
      <c r="K141" s="411"/>
      <c r="L141" s="306"/>
      <c r="M141" s="307"/>
      <c r="N141" s="307"/>
      <c r="O141" s="307"/>
      <c r="P141" s="307"/>
      <c r="Q141" s="79"/>
      <c r="R141" s="76"/>
      <c r="S141" s="307"/>
      <c r="T141" s="310"/>
      <c r="U141" s="310"/>
      <c r="V141" s="310"/>
      <c r="W141" s="307"/>
      <c r="X141" s="307"/>
      <c r="Y141" s="307"/>
      <c r="Z141" s="307"/>
      <c r="AA141" s="310"/>
      <c r="AB141" s="310"/>
      <c r="AC141" s="307"/>
      <c r="AD141" s="307"/>
      <c r="AE141" s="310"/>
      <c r="AF141" s="310"/>
      <c r="AG141" s="310"/>
      <c r="AH141" s="307"/>
      <c r="AI141" s="307"/>
      <c r="AJ141" s="76"/>
      <c r="AK141" s="76"/>
      <c r="AL141" s="310"/>
      <c r="AM141" s="310"/>
      <c r="AN141" s="310"/>
      <c r="AO141" s="310"/>
      <c r="AP141" s="310"/>
      <c r="AQ141" s="310"/>
      <c r="AR141" s="310"/>
      <c r="AS141" s="76"/>
      <c r="AT141" s="76"/>
      <c r="AU141" s="310"/>
      <c r="AV141" s="310"/>
      <c r="AW141" s="310"/>
      <c r="AX141" s="310"/>
      <c r="AY141" s="310"/>
      <c r="AZ141" s="310"/>
      <c r="BA141" s="310"/>
      <c r="BB141" s="310"/>
      <c r="BC141" s="310"/>
      <c r="BD141" s="310"/>
      <c r="BE141" s="76"/>
      <c r="BF141" s="76"/>
      <c r="BG141" s="310"/>
      <c r="BH141" s="310"/>
      <c r="BI141" s="310"/>
      <c r="BJ141" s="310"/>
      <c r="BK141" s="310"/>
      <c r="BL141" s="310"/>
      <c r="BM141" s="310"/>
      <c r="BN141" s="310"/>
      <c r="BO141" s="310"/>
      <c r="BP141" s="310"/>
      <c r="BQ141" s="76"/>
      <c r="BR141" s="76"/>
      <c r="BS141" s="310"/>
      <c r="BT141" s="76"/>
      <c r="BU141" s="76"/>
      <c r="BV141" s="310"/>
      <c r="BW141" s="310"/>
      <c r="BX141" s="310"/>
      <c r="BY141" s="310"/>
      <c r="BZ141" s="76"/>
      <c r="CA141" s="76"/>
      <c r="CB141" s="310"/>
      <c r="CC141" s="310"/>
      <c r="CD141" s="310"/>
      <c r="CE141" s="76"/>
      <c r="CF141" s="79"/>
      <c r="CG141" s="310"/>
      <c r="CH141" s="310"/>
      <c r="CI141" s="310"/>
      <c r="CJ141" s="201"/>
      <c r="CK141" s="202"/>
      <c r="CL141" s="202"/>
      <c r="CM141" s="202"/>
      <c r="CN141" s="202"/>
      <c r="CO141" s="202"/>
      <c r="CP141" s="202"/>
      <c r="CQ141" s="202"/>
      <c r="CR141" s="202"/>
      <c r="CS141" s="202"/>
      <c r="CT141" s="202"/>
      <c r="CU141" s="202"/>
      <c r="CV141" s="202"/>
      <c r="CW141" s="202"/>
      <c r="CX141" s="202"/>
      <c r="CY141" s="202"/>
      <c r="CZ141" s="202"/>
      <c r="DA141" s="202"/>
      <c r="DB141" s="202"/>
      <c r="DC141" s="202"/>
      <c r="DD141" s="202"/>
      <c r="DE141" s="202"/>
      <c r="DF141" s="202"/>
      <c r="DG141" s="202"/>
      <c r="DH141" s="202"/>
      <c r="DI141" s="202"/>
      <c r="DJ141" s="202"/>
      <c r="DK141" s="202"/>
      <c r="DL141" s="202"/>
      <c r="DM141" s="202"/>
      <c r="DN141" s="202"/>
      <c r="DO141" s="202"/>
      <c r="DP141" s="202"/>
      <c r="DQ141" s="202"/>
      <c r="DR141" s="202"/>
      <c r="DS141" s="202"/>
      <c r="DT141" s="202"/>
      <c r="DU141" s="202"/>
      <c r="DV141" s="202"/>
      <c r="DW141" s="202"/>
      <c r="DX141" s="202"/>
      <c r="DY141" s="202"/>
      <c r="DZ141" s="202"/>
      <c r="EA141" s="202"/>
      <c r="EB141" s="202"/>
      <c r="EC141" s="202"/>
      <c r="ED141" s="202"/>
      <c r="EE141" s="202"/>
      <c r="EF141" s="202"/>
      <c r="EG141" s="202"/>
      <c r="EH141" s="202"/>
      <c r="EI141" s="202"/>
      <c r="EJ141" s="202"/>
      <c r="EK141" s="202"/>
      <c r="EL141" s="202"/>
      <c r="EM141" s="202"/>
      <c r="EN141" s="202"/>
      <c r="EO141" s="202"/>
      <c r="EP141" s="202"/>
      <c r="EQ141" s="202"/>
      <c r="ER141" s="202"/>
      <c r="ES141" s="202"/>
      <c r="ET141" s="202"/>
      <c r="EU141" s="202"/>
      <c r="EV141" s="202"/>
      <c r="EW141" s="202"/>
      <c r="EX141" s="202"/>
      <c r="EY141" s="202"/>
      <c r="EZ141" s="202"/>
      <c r="FA141" s="202"/>
      <c r="FB141" s="202"/>
      <c r="FC141" s="202"/>
      <c r="FD141" s="202"/>
      <c r="FE141" s="202"/>
      <c r="FF141" s="202"/>
      <c r="FG141" s="202"/>
      <c r="FH141" s="202"/>
      <c r="FI141" s="202"/>
    </row>
    <row r="142" spans="1:165" s="228" customFormat="1" ht="18" customHeight="1" x14ac:dyDescent="0.2">
      <c r="A142" s="289">
        <f t="shared" si="4"/>
        <v>133</v>
      </c>
      <c r="B142" s="78"/>
      <c r="C142" s="72"/>
      <c r="D142" s="72"/>
      <c r="E142" s="183"/>
      <c r="F142" s="79"/>
      <c r="G142" s="76"/>
      <c r="H142" s="178"/>
      <c r="I142" s="142"/>
      <c r="J142" s="76"/>
      <c r="K142" s="141"/>
      <c r="L142" s="261"/>
      <c r="M142" s="79"/>
      <c r="N142" s="79"/>
      <c r="O142" s="79"/>
      <c r="P142" s="79"/>
      <c r="Q142" s="79"/>
      <c r="R142" s="79"/>
      <c r="S142" s="79"/>
      <c r="T142" s="79"/>
      <c r="U142" s="79"/>
      <c r="V142" s="79"/>
      <c r="W142" s="79"/>
      <c r="X142" s="79"/>
      <c r="Y142" s="79"/>
      <c r="Z142" s="79"/>
      <c r="AA142" s="79"/>
      <c r="AB142" s="79"/>
      <c r="AC142" s="79"/>
      <c r="AD142" s="79"/>
      <c r="AE142" s="79"/>
      <c r="AF142" s="79"/>
      <c r="AG142" s="79"/>
      <c r="AH142" s="79"/>
      <c r="AI142" s="79"/>
      <c r="AJ142" s="79"/>
      <c r="AK142" s="79"/>
      <c r="AL142" s="79"/>
      <c r="AM142" s="79"/>
      <c r="AN142" s="79"/>
      <c r="AO142" s="79"/>
      <c r="AP142" s="79"/>
      <c r="AQ142" s="79"/>
      <c r="AR142" s="79"/>
      <c r="AS142" s="79"/>
      <c r="AT142" s="79"/>
      <c r="AU142" s="79"/>
      <c r="AV142" s="79"/>
      <c r="AW142" s="79"/>
      <c r="AX142" s="79"/>
      <c r="AY142" s="79"/>
      <c r="AZ142" s="79"/>
      <c r="BA142" s="79"/>
      <c r="BB142" s="79"/>
      <c r="BC142" s="79"/>
      <c r="BD142" s="79"/>
      <c r="BE142" s="79"/>
      <c r="BF142" s="79"/>
      <c r="BG142" s="79"/>
      <c r="BH142" s="79"/>
      <c r="BI142" s="79"/>
      <c r="BJ142" s="79"/>
      <c r="BK142" s="79"/>
      <c r="BL142" s="79"/>
      <c r="BM142" s="79"/>
      <c r="BN142" s="79"/>
      <c r="BO142" s="79"/>
      <c r="BP142" s="79"/>
      <c r="BQ142" s="79"/>
      <c r="BR142" s="79"/>
      <c r="BS142" s="79"/>
      <c r="BT142" s="79"/>
      <c r="BU142" s="79"/>
      <c r="BV142" s="79"/>
      <c r="BW142" s="79"/>
      <c r="BX142" s="79"/>
      <c r="BY142" s="79"/>
      <c r="BZ142" s="79"/>
      <c r="CA142" s="79"/>
      <c r="CB142" s="79"/>
      <c r="CC142" s="79"/>
      <c r="CD142" s="79"/>
      <c r="CE142" s="79"/>
      <c r="CF142" s="79"/>
      <c r="CG142" s="79"/>
      <c r="CH142" s="79"/>
      <c r="CI142" s="79"/>
      <c r="CJ142" s="201"/>
      <c r="CK142" s="202"/>
      <c r="CL142" s="202"/>
      <c r="CM142" s="202"/>
      <c r="CN142" s="202"/>
      <c r="CO142" s="202"/>
      <c r="CP142" s="202"/>
      <c r="CQ142" s="202"/>
      <c r="CR142" s="202"/>
      <c r="CS142" s="202"/>
      <c r="CT142" s="202"/>
      <c r="CU142" s="202"/>
      <c r="CV142" s="202"/>
      <c r="CW142" s="202"/>
      <c r="CX142" s="202"/>
      <c r="CY142" s="202"/>
      <c r="CZ142" s="202"/>
      <c r="DA142" s="202"/>
      <c r="DB142" s="202"/>
      <c r="DC142" s="202"/>
      <c r="DD142" s="202"/>
      <c r="DE142" s="202"/>
      <c r="DF142" s="202"/>
      <c r="DG142" s="202"/>
      <c r="DH142" s="202"/>
      <c r="DI142" s="202"/>
      <c r="DJ142" s="202"/>
      <c r="DK142" s="202"/>
      <c r="DL142" s="202"/>
      <c r="DM142" s="202"/>
      <c r="DN142" s="202"/>
      <c r="DO142" s="202"/>
      <c r="DP142" s="202"/>
      <c r="DQ142" s="202"/>
      <c r="DR142" s="202"/>
      <c r="DS142" s="202"/>
      <c r="DT142" s="202"/>
      <c r="DU142" s="202"/>
      <c r="DV142" s="202"/>
      <c r="DW142" s="202"/>
      <c r="DX142" s="202"/>
      <c r="DY142" s="202"/>
      <c r="DZ142" s="202"/>
      <c r="EA142" s="202"/>
      <c r="EB142" s="202"/>
      <c r="EC142" s="202"/>
      <c r="ED142" s="202"/>
      <c r="EE142" s="202"/>
      <c r="EF142" s="202"/>
      <c r="EG142" s="202"/>
      <c r="EH142" s="202"/>
      <c r="EI142" s="202"/>
      <c r="EJ142" s="202"/>
      <c r="EK142" s="202"/>
      <c r="EL142" s="202"/>
      <c r="EM142" s="202"/>
      <c r="EN142" s="202"/>
      <c r="EO142" s="202"/>
      <c r="EP142" s="202"/>
      <c r="EQ142" s="202"/>
      <c r="ER142" s="202"/>
      <c r="ES142" s="202"/>
      <c r="ET142" s="202"/>
      <c r="EU142" s="202"/>
      <c r="EV142" s="202"/>
      <c r="EW142" s="202"/>
      <c r="EX142" s="202"/>
      <c r="EY142" s="202"/>
      <c r="EZ142" s="202"/>
      <c r="FA142" s="202"/>
      <c r="FB142" s="202"/>
      <c r="FC142" s="202"/>
      <c r="FD142" s="202"/>
      <c r="FE142" s="202"/>
      <c r="FF142" s="202"/>
      <c r="FG142" s="202"/>
      <c r="FH142" s="202"/>
      <c r="FI142" s="202"/>
    </row>
    <row r="143" spans="1:165" s="228" customFormat="1" ht="18" customHeight="1" x14ac:dyDescent="0.2">
      <c r="A143" s="289">
        <f t="shared" si="4"/>
        <v>134</v>
      </c>
      <c r="B143" s="78"/>
      <c r="C143" s="72"/>
      <c r="D143" s="72"/>
      <c r="E143" s="98" t="s">
        <v>44</v>
      </c>
      <c r="F143" s="79"/>
      <c r="G143" s="76"/>
      <c r="H143" s="178"/>
      <c r="I143" s="142"/>
      <c r="J143" s="76"/>
      <c r="K143" s="141"/>
      <c r="L143" s="261"/>
      <c r="M143" s="79"/>
      <c r="N143" s="79"/>
      <c r="O143" s="79"/>
      <c r="P143" s="79"/>
      <c r="Q143" s="79"/>
      <c r="R143" s="79"/>
      <c r="S143" s="79"/>
      <c r="T143" s="79"/>
      <c r="U143" s="79"/>
      <c r="V143" s="79"/>
      <c r="W143" s="79"/>
      <c r="X143" s="79"/>
      <c r="Y143" s="79"/>
      <c r="Z143" s="79"/>
      <c r="AA143" s="79"/>
      <c r="AB143" s="79"/>
      <c r="AC143" s="79"/>
      <c r="AD143" s="79"/>
      <c r="AE143" s="79"/>
      <c r="AF143" s="79"/>
      <c r="AG143" s="79"/>
      <c r="AH143" s="79"/>
      <c r="AI143" s="79"/>
      <c r="AJ143" s="79"/>
      <c r="AK143" s="79"/>
      <c r="AL143" s="79"/>
      <c r="AM143" s="79"/>
      <c r="AN143" s="79"/>
      <c r="AO143" s="79"/>
      <c r="AP143" s="79"/>
      <c r="AQ143" s="79"/>
      <c r="AR143" s="79"/>
      <c r="AS143" s="79"/>
      <c r="AT143" s="79"/>
      <c r="AU143" s="79"/>
      <c r="AV143" s="79"/>
      <c r="AW143" s="79"/>
      <c r="AX143" s="79"/>
      <c r="AY143" s="79"/>
      <c r="AZ143" s="79"/>
      <c r="BA143" s="79"/>
      <c r="BB143" s="79"/>
      <c r="BC143" s="79"/>
      <c r="BD143" s="79"/>
      <c r="BE143" s="79"/>
      <c r="BF143" s="79"/>
      <c r="BG143" s="79"/>
      <c r="BH143" s="79"/>
      <c r="BI143" s="79"/>
      <c r="BJ143" s="79"/>
      <c r="BK143" s="79"/>
      <c r="BL143" s="79"/>
      <c r="BM143" s="79"/>
      <c r="BN143" s="79"/>
      <c r="BO143" s="79"/>
      <c r="BP143" s="79"/>
      <c r="BQ143" s="79"/>
      <c r="BR143" s="79"/>
      <c r="BS143" s="79"/>
      <c r="BT143" s="79"/>
      <c r="BU143" s="79"/>
      <c r="BV143" s="79"/>
      <c r="BW143" s="79"/>
      <c r="BX143" s="79"/>
      <c r="BY143" s="79"/>
      <c r="BZ143" s="79"/>
      <c r="CA143" s="79"/>
      <c r="CB143" s="79"/>
      <c r="CC143" s="79"/>
      <c r="CD143" s="79"/>
      <c r="CE143" s="79"/>
      <c r="CF143" s="79"/>
      <c r="CG143" s="79"/>
      <c r="CH143" s="79"/>
      <c r="CI143" s="79"/>
      <c r="CJ143" s="201"/>
      <c r="CK143" s="202"/>
      <c r="CL143" s="202"/>
      <c r="CM143" s="202"/>
      <c r="CN143" s="202"/>
      <c r="CO143" s="202"/>
      <c r="CP143" s="202"/>
      <c r="CQ143" s="202"/>
      <c r="CR143" s="202"/>
      <c r="CS143" s="202"/>
      <c r="CT143" s="202"/>
      <c r="CU143" s="202"/>
      <c r="CV143" s="202"/>
      <c r="CW143" s="202"/>
      <c r="CX143" s="202"/>
      <c r="CY143" s="202"/>
      <c r="CZ143" s="202"/>
      <c r="DA143" s="202"/>
      <c r="DB143" s="202"/>
      <c r="DC143" s="202"/>
      <c r="DD143" s="202"/>
      <c r="DE143" s="202"/>
      <c r="DF143" s="202"/>
      <c r="DG143" s="202"/>
      <c r="DH143" s="202"/>
      <c r="DI143" s="202"/>
      <c r="DJ143" s="202"/>
      <c r="DK143" s="202"/>
      <c r="DL143" s="202"/>
      <c r="DM143" s="202"/>
      <c r="DN143" s="202"/>
      <c r="DO143" s="202"/>
      <c r="DP143" s="202"/>
      <c r="DQ143" s="202"/>
      <c r="DR143" s="202"/>
      <c r="DS143" s="202"/>
      <c r="DT143" s="202"/>
      <c r="DU143" s="202"/>
      <c r="DV143" s="202"/>
      <c r="DW143" s="202"/>
      <c r="DX143" s="202"/>
      <c r="DY143" s="202"/>
      <c r="DZ143" s="202"/>
      <c r="EA143" s="202"/>
      <c r="EB143" s="202"/>
      <c r="EC143" s="202"/>
      <c r="ED143" s="202"/>
      <c r="EE143" s="202"/>
      <c r="EF143" s="202"/>
      <c r="EG143" s="202"/>
      <c r="EH143" s="202"/>
      <c r="EI143" s="202"/>
      <c r="EJ143" s="202"/>
      <c r="EK143" s="202"/>
      <c r="EL143" s="202"/>
      <c r="EM143" s="202"/>
      <c r="EN143" s="202"/>
      <c r="EO143" s="202"/>
      <c r="EP143" s="202"/>
      <c r="EQ143" s="202"/>
      <c r="ER143" s="202"/>
      <c r="ES143" s="202"/>
      <c r="ET143" s="202"/>
      <c r="EU143" s="202"/>
      <c r="EV143" s="202"/>
      <c r="EW143" s="202"/>
      <c r="EX143" s="202"/>
      <c r="EY143" s="202"/>
      <c r="EZ143" s="202"/>
      <c r="FA143" s="202"/>
      <c r="FB143" s="202"/>
      <c r="FC143" s="202"/>
      <c r="FD143" s="202"/>
      <c r="FE143" s="202"/>
      <c r="FF143" s="202"/>
      <c r="FG143" s="202"/>
      <c r="FH143" s="202"/>
      <c r="FI143" s="202"/>
    </row>
    <row r="144" spans="1:165" s="228" customFormat="1" ht="18" customHeight="1" x14ac:dyDescent="0.25">
      <c r="A144" s="578">
        <f t="shared" si="4"/>
        <v>135</v>
      </c>
      <c r="B144" s="588">
        <v>0</v>
      </c>
      <c r="C144" s="585">
        <v>2</v>
      </c>
      <c r="D144" s="585" t="s">
        <v>349</v>
      </c>
      <c r="E144" s="595" t="s">
        <v>350</v>
      </c>
      <c r="F144" s="590" t="s">
        <v>1044</v>
      </c>
      <c r="G144" s="591" t="s">
        <v>103</v>
      </c>
      <c r="H144" s="599" t="s">
        <v>845</v>
      </c>
      <c r="I144" s="605">
        <v>9</v>
      </c>
      <c r="J144" s="556"/>
      <c r="K144" s="594"/>
      <c r="L144" s="306"/>
      <c r="M144" s="307"/>
      <c r="N144" s="307"/>
      <c r="O144" s="307"/>
      <c r="P144" s="307"/>
      <c r="Q144" s="79"/>
      <c r="R144" s="76"/>
      <c r="S144" s="556"/>
      <c r="T144" s="556"/>
      <c r="U144" s="556"/>
      <c r="V144" s="556"/>
      <c r="W144" s="556"/>
      <c r="X144" s="556"/>
      <c r="Y144" s="556"/>
      <c r="Z144" s="556"/>
      <c r="AA144" s="556"/>
      <c r="AB144" s="556"/>
      <c r="AC144" s="556"/>
      <c r="AD144" s="556"/>
      <c r="AE144" s="556"/>
      <c r="AF144" s="556"/>
      <c r="AG144" s="556"/>
      <c r="AH144" s="556"/>
      <c r="AI144" s="556"/>
      <c r="AJ144" s="76"/>
      <c r="AK144" s="76"/>
      <c r="AL144" s="556"/>
      <c r="AM144" s="556"/>
      <c r="AN144" s="556"/>
      <c r="AO144" s="556"/>
      <c r="AP144" s="556"/>
      <c r="AQ144" s="556"/>
      <c r="AR144" s="556"/>
      <c r="AS144" s="76"/>
      <c r="AT144" s="76"/>
      <c r="AU144" s="556"/>
      <c r="AV144" s="556"/>
      <c r="AW144" s="556"/>
      <c r="AX144" s="556"/>
      <c r="AY144" s="556"/>
      <c r="AZ144" s="556"/>
      <c r="BA144" s="556"/>
      <c r="BB144" s="556"/>
      <c r="BC144" s="556"/>
      <c r="BD144" s="556"/>
      <c r="BE144" s="76"/>
      <c r="BF144" s="76"/>
      <c r="BG144" s="556"/>
      <c r="BH144" s="556"/>
      <c r="BI144" s="556"/>
      <c r="BJ144" s="556"/>
      <c r="BK144" s="556"/>
      <c r="BL144" s="556"/>
      <c r="BM144" s="556"/>
      <c r="BN144" s="556"/>
      <c r="BO144" s="556"/>
      <c r="BP144" s="556"/>
      <c r="BQ144" s="76"/>
      <c r="BR144" s="76"/>
      <c r="BS144" s="556"/>
      <c r="BT144" s="76"/>
      <c r="BU144" s="76"/>
      <c r="BV144" s="556"/>
      <c r="BW144" s="556"/>
      <c r="BX144" s="556"/>
      <c r="BY144" s="556"/>
      <c r="BZ144" s="76"/>
      <c r="CA144" s="76"/>
      <c r="CB144" s="556"/>
      <c r="CC144" s="556"/>
      <c r="CD144" s="556"/>
      <c r="CE144" s="76"/>
      <c r="CF144" s="79"/>
      <c r="CG144" s="556"/>
      <c r="CH144" s="556" t="s">
        <v>40</v>
      </c>
      <c r="CI144" s="556" t="s">
        <v>40</v>
      </c>
      <c r="CJ144" s="201"/>
      <c r="CK144" s="202"/>
      <c r="CL144" s="202"/>
      <c r="CM144" s="202"/>
      <c r="CN144" s="202"/>
      <c r="CO144" s="202"/>
      <c r="CP144" s="202"/>
      <c r="CQ144" s="202"/>
      <c r="CR144" s="202"/>
      <c r="CS144" s="202"/>
      <c r="CT144" s="202"/>
      <c r="CU144" s="202"/>
      <c r="CV144" s="202"/>
      <c r="CW144" s="202"/>
      <c r="CX144" s="202"/>
      <c r="CY144" s="202"/>
      <c r="CZ144" s="202"/>
      <c r="DA144" s="202"/>
      <c r="DB144" s="202"/>
      <c r="DC144" s="202"/>
      <c r="DD144" s="202"/>
      <c r="DE144" s="202"/>
      <c r="DF144" s="202"/>
      <c r="DG144" s="202"/>
      <c r="DH144" s="202"/>
      <c r="DI144" s="202"/>
      <c r="DJ144" s="202"/>
      <c r="DK144" s="202"/>
      <c r="DL144" s="202"/>
      <c r="DM144" s="202"/>
      <c r="DN144" s="202"/>
      <c r="DO144" s="202"/>
      <c r="DP144" s="202"/>
      <c r="DQ144" s="202"/>
      <c r="DR144" s="202"/>
      <c r="DS144" s="202"/>
      <c r="DT144" s="202"/>
      <c r="DU144" s="202"/>
      <c r="DV144" s="202"/>
      <c r="DW144" s="202"/>
      <c r="DX144" s="202"/>
      <c r="DY144" s="202"/>
      <c r="DZ144" s="202"/>
      <c r="EA144" s="202"/>
      <c r="EB144" s="202"/>
      <c r="EC144" s="202"/>
      <c r="ED144" s="202"/>
      <c r="EE144" s="202"/>
      <c r="EF144" s="202"/>
      <c r="EG144" s="202"/>
      <c r="EH144" s="202"/>
      <c r="EI144" s="202"/>
      <c r="EJ144" s="202"/>
      <c r="EK144" s="202"/>
      <c r="EL144" s="202"/>
      <c r="EM144" s="202"/>
      <c r="EN144" s="202"/>
      <c r="EO144" s="202"/>
      <c r="EP144" s="202"/>
      <c r="EQ144" s="202"/>
      <c r="ER144" s="202"/>
      <c r="ES144" s="202"/>
      <c r="ET144" s="202"/>
      <c r="EU144" s="202"/>
      <c r="EV144" s="202"/>
      <c r="EW144" s="202"/>
      <c r="EX144" s="202"/>
      <c r="EY144" s="202"/>
      <c r="EZ144" s="202"/>
      <c r="FA144" s="202"/>
      <c r="FB144" s="202"/>
      <c r="FC144" s="202"/>
      <c r="FD144" s="202"/>
      <c r="FE144" s="202"/>
      <c r="FF144" s="202"/>
      <c r="FG144" s="202"/>
      <c r="FH144" s="202"/>
      <c r="FI144" s="202"/>
    </row>
    <row r="145" spans="1:165" s="228" customFormat="1" ht="18" customHeight="1" x14ac:dyDescent="0.25">
      <c r="A145" s="578">
        <f t="shared" si="4"/>
        <v>136</v>
      </c>
      <c r="B145" s="588">
        <v>0</v>
      </c>
      <c r="C145" s="591">
        <v>3</v>
      </c>
      <c r="D145" s="585" t="s">
        <v>759</v>
      </c>
      <c r="E145" s="589" t="s">
        <v>760</v>
      </c>
      <c r="F145" s="567" t="s">
        <v>1044</v>
      </c>
      <c r="G145" s="585" t="s">
        <v>761</v>
      </c>
      <c r="H145" s="603" t="s">
        <v>1204</v>
      </c>
      <c r="I145" s="605">
        <v>9</v>
      </c>
      <c r="J145" s="556"/>
      <c r="K145" s="594"/>
      <c r="L145" s="306"/>
      <c r="M145" s="307"/>
      <c r="N145" s="307"/>
      <c r="O145" s="307"/>
      <c r="P145" s="307"/>
      <c r="Q145" s="79"/>
      <c r="R145" s="79"/>
      <c r="S145" s="585"/>
      <c r="T145" s="585"/>
      <c r="U145" s="585"/>
      <c r="V145" s="585"/>
      <c r="W145" s="585"/>
      <c r="X145" s="585"/>
      <c r="Y145" s="585"/>
      <c r="Z145" s="585"/>
      <c r="AA145" s="585"/>
      <c r="AB145" s="585"/>
      <c r="AC145" s="585"/>
      <c r="AD145" s="585"/>
      <c r="AE145" s="585"/>
      <c r="AF145" s="585"/>
      <c r="AG145" s="585"/>
      <c r="AH145" s="585"/>
      <c r="AI145" s="585"/>
      <c r="AJ145" s="79"/>
      <c r="AK145" s="79"/>
      <c r="AL145" s="585"/>
      <c r="AM145" s="585"/>
      <c r="AN145" s="585"/>
      <c r="AO145" s="585"/>
      <c r="AP145" s="585"/>
      <c r="AQ145" s="585"/>
      <c r="AR145" s="585"/>
      <c r="AS145" s="79"/>
      <c r="AT145" s="79"/>
      <c r="AU145" s="585"/>
      <c r="AV145" s="585"/>
      <c r="AW145" s="585"/>
      <c r="AX145" s="585"/>
      <c r="AY145" s="585"/>
      <c r="AZ145" s="585"/>
      <c r="BA145" s="585"/>
      <c r="BB145" s="585"/>
      <c r="BC145" s="585"/>
      <c r="BD145" s="585"/>
      <c r="BE145" s="79"/>
      <c r="BF145" s="79"/>
      <c r="BG145" s="585"/>
      <c r="BH145" s="585"/>
      <c r="BI145" s="585"/>
      <c r="BJ145" s="585"/>
      <c r="BK145" s="585"/>
      <c r="BL145" s="585"/>
      <c r="BM145" s="585"/>
      <c r="BN145" s="585"/>
      <c r="BO145" s="585"/>
      <c r="BP145" s="585"/>
      <c r="BQ145" s="79"/>
      <c r="BR145" s="79"/>
      <c r="BS145" s="585"/>
      <c r="BT145" s="79"/>
      <c r="BU145" s="79"/>
      <c r="BV145" s="585"/>
      <c r="BW145" s="585"/>
      <c r="BX145" s="585"/>
      <c r="BY145" s="585"/>
      <c r="BZ145" s="79"/>
      <c r="CA145" s="79"/>
      <c r="CB145" s="585"/>
      <c r="CC145" s="585"/>
      <c r="CD145" s="585"/>
      <c r="CE145" s="79"/>
      <c r="CF145" s="79"/>
      <c r="CG145" s="585"/>
      <c r="CH145" s="585" t="s">
        <v>40</v>
      </c>
      <c r="CI145" s="585" t="s">
        <v>40</v>
      </c>
      <c r="CJ145" s="201"/>
      <c r="CK145" s="202"/>
      <c r="CL145" s="202"/>
      <c r="CM145" s="202"/>
      <c r="CN145" s="202"/>
      <c r="CO145" s="202"/>
      <c r="CP145" s="202"/>
      <c r="CQ145" s="202"/>
      <c r="CR145" s="202"/>
      <c r="CS145" s="202"/>
      <c r="CT145" s="202"/>
      <c r="CU145" s="202"/>
      <c r="CV145" s="202"/>
      <c r="CW145" s="202"/>
      <c r="CX145" s="202"/>
      <c r="CY145" s="202"/>
      <c r="CZ145" s="202"/>
      <c r="DA145" s="202"/>
      <c r="DB145" s="202"/>
      <c r="DC145" s="202"/>
      <c r="DD145" s="202"/>
      <c r="DE145" s="202"/>
      <c r="DF145" s="202"/>
      <c r="DG145" s="202"/>
      <c r="DH145" s="202"/>
      <c r="DI145" s="202"/>
      <c r="DJ145" s="202"/>
      <c r="DK145" s="202"/>
      <c r="DL145" s="202"/>
      <c r="DM145" s="202"/>
      <c r="DN145" s="202"/>
      <c r="DO145" s="202"/>
      <c r="DP145" s="202"/>
      <c r="DQ145" s="202"/>
      <c r="DR145" s="202"/>
      <c r="DS145" s="202"/>
      <c r="DT145" s="202"/>
      <c r="DU145" s="202"/>
      <c r="DV145" s="202"/>
      <c r="DW145" s="202"/>
      <c r="DX145" s="202"/>
      <c r="DY145" s="202"/>
      <c r="DZ145" s="202"/>
      <c r="EA145" s="202"/>
      <c r="EB145" s="202"/>
      <c r="EC145" s="202"/>
      <c r="ED145" s="202"/>
      <c r="EE145" s="202"/>
      <c r="EF145" s="202"/>
      <c r="EG145" s="202"/>
      <c r="EH145" s="202"/>
      <c r="EI145" s="202"/>
      <c r="EJ145" s="202"/>
      <c r="EK145" s="202"/>
      <c r="EL145" s="202"/>
      <c r="EM145" s="202"/>
      <c r="EN145" s="202"/>
      <c r="EO145" s="202"/>
      <c r="EP145" s="202"/>
      <c r="EQ145" s="202"/>
      <c r="ER145" s="202"/>
      <c r="ES145" s="202"/>
      <c r="ET145" s="202"/>
      <c r="EU145" s="202"/>
      <c r="EV145" s="202"/>
      <c r="EW145" s="202"/>
      <c r="EX145" s="202"/>
      <c r="EY145" s="202"/>
      <c r="EZ145" s="202"/>
      <c r="FA145" s="202"/>
      <c r="FB145" s="202"/>
      <c r="FC145" s="202"/>
      <c r="FD145" s="202"/>
      <c r="FE145" s="202"/>
      <c r="FF145" s="202"/>
      <c r="FG145" s="202"/>
      <c r="FH145" s="202"/>
      <c r="FI145" s="202"/>
    </row>
    <row r="146" spans="1:165" s="228" customFormat="1" ht="18" customHeight="1" x14ac:dyDescent="0.25">
      <c r="A146" s="578">
        <f t="shared" si="4"/>
        <v>137</v>
      </c>
      <c r="B146" s="588">
        <v>0</v>
      </c>
      <c r="C146" s="591">
        <v>3</v>
      </c>
      <c r="D146" s="585" t="s">
        <v>351</v>
      </c>
      <c r="E146" s="589" t="s">
        <v>352</v>
      </c>
      <c r="F146" s="556" t="s">
        <v>763</v>
      </c>
      <c r="G146" s="585" t="s">
        <v>104</v>
      </c>
      <c r="H146" s="585" t="s">
        <v>846</v>
      </c>
      <c r="I146" s="593">
        <v>2</v>
      </c>
      <c r="J146" s="556"/>
      <c r="K146" s="594"/>
      <c r="L146" s="306"/>
      <c r="M146" s="307" t="s">
        <v>122</v>
      </c>
      <c r="N146" s="307"/>
      <c r="O146" s="307"/>
      <c r="P146" s="307"/>
      <c r="Q146" s="79"/>
      <c r="R146" s="79"/>
      <c r="S146" s="585"/>
      <c r="T146" s="585"/>
      <c r="U146" s="585"/>
      <c r="V146" s="585"/>
      <c r="W146" s="585"/>
      <c r="X146" s="585"/>
      <c r="Y146" s="585"/>
      <c r="Z146" s="585"/>
      <c r="AA146" s="585"/>
      <c r="AB146" s="585"/>
      <c r="AC146" s="585"/>
      <c r="AD146" s="585"/>
      <c r="AE146" s="585"/>
      <c r="AF146" s="585"/>
      <c r="AG146" s="585"/>
      <c r="AH146" s="585"/>
      <c r="AI146" s="585"/>
      <c r="AJ146" s="79"/>
      <c r="AK146" s="79"/>
      <c r="AL146" s="585"/>
      <c r="AM146" s="585"/>
      <c r="AN146" s="585"/>
      <c r="AO146" s="585" t="s">
        <v>121</v>
      </c>
      <c r="AP146" s="585"/>
      <c r="AQ146" s="585" t="s">
        <v>121</v>
      </c>
      <c r="AR146" s="585"/>
      <c r="AS146" s="79"/>
      <c r="AT146" s="79"/>
      <c r="AU146" s="585"/>
      <c r="AV146" s="585"/>
      <c r="AW146" s="585"/>
      <c r="AX146" s="585" t="s">
        <v>120</v>
      </c>
      <c r="AY146" s="585"/>
      <c r="AZ146" s="585"/>
      <c r="BA146" s="585"/>
      <c r="BB146" s="585"/>
      <c r="BC146" s="585"/>
      <c r="BD146" s="585" t="s">
        <v>121</v>
      </c>
      <c r="BE146" s="79"/>
      <c r="BF146" s="79"/>
      <c r="BG146" s="585"/>
      <c r="BH146" s="585"/>
      <c r="BI146" s="585"/>
      <c r="BJ146" s="585" t="s">
        <v>120</v>
      </c>
      <c r="BK146" s="585"/>
      <c r="BL146" s="585"/>
      <c r="BM146" s="585"/>
      <c r="BN146" s="585"/>
      <c r="BO146" s="585"/>
      <c r="BP146" s="585" t="s">
        <v>121</v>
      </c>
      <c r="BQ146" s="79"/>
      <c r="BR146" s="79"/>
      <c r="BS146" s="585"/>
      <c r="BT146" s="79"/>
      <c r="BU146" s="79"/>
      <c r="BV146" s="585"/>
      <c r="BW146" s="585"/>
      <c r="BX146" s="585"/>
      <c r="BY146" s="585"/>
      <c r="BZ146" s="79"/>
      <c r="CA146" s="79"/>
      <c r="CB146" s="585"/>
      <c r="CC146" s="585"/>
      <c r="CD146" s="585"/>
      <c r="CE146" s="79"/>
      <c r="CF146" s="79"/>
      <c r="CG146" s="585"/>
      <c r="CH146" s="585" t="s">
        <v>40</v>
      </c>
      <c r="CI146" s="585" t="s">
        <v>40</v>
      </c>
      <c r="CJ146" s="201"/>
      <c r="CK146" s="202"/>
      <c r="CL146" s="202"/>
      <c r="CM146" s="202"/>
      <c r="CN146" s="202"/>
      <c r="CO146" s="202"/>
      <c r="CP146" s="202"/>
      <c r="CQ146" s="202"/>
      <c r="CR146" s="202"/>
      <c r="CS146" s="202"/>
      <c r="CT146" s="202"/>
      <c r="CU146" s="202"/>
      <c r="CV146" s="202"/>
      <c r="CW146" s="202"/>
      <c r="CX146" s="202"/>
      <c r="CY146" s="202"/>
      <c r="CZ146" s="202"/>
      <c r="DA146" s="202"/>
      <c r="DB146" s="202"/>
      <c r="DC146" s="202"/>
      <c r="DD146" s="202"/>
      <c r="DE146" s="202"/>
      <c r="DF146" s="202"/>
      <c r="DG146" s="202"/>
      <c r="DH146" s="202"/>
      <c r="DI146" s="202"/>
      <c r="DJ146" s="202"/>
      <c r="DK146" s="202"/>
      <c r="DL146" s="202"/>
      <c r="DM146" s="202"/>
      <c r="DN146" s="202"/>
      <c r="DO146" s="202"/>
      <c r="DP146" s="202"/>
      <c r="DQ146" s="202"/>
      <c r="DR146" s="202"/>
      <c r="DS146" s="202"/>
      <c r="DT146" s="202"/>
      <c r="DU146" s="202"/>
      <c r="DV146" s="202"/>
      <c r="DW146" s="202"/>
      <c r="DX146" s="202"/>
      <c r="DY146" s="202"/>
      <c r="DZ146" s="202"/>
      <c r="EA146" s="202"/>
      <c r="EB146" s="202"/>
      <c r="EC146" s="202"/>
      <c r="ED146" s="202"/>
      <c r="EE146" s="202"/>
      <c r="EF146" s="202"/>
      <c r="EG146" s="202"/>
      <c r="EH146" s="202"/>
      <c r="EI146" s="202"/>
      <c r="EJ146" s="202"/>
      <c r="EK146" s="202"/>
      <c r="EL146" s="202"/>
      <c r="EM146" s="202"/>
      <c r="EN146" s="202"/>
      <c r="EO146" s="202"/>
      <c r="EP146" s="202"/>
      <c r="EQ146" s="202"/>
      <c r="ER146" s="202"/>
      <c r="ES146" s="202"/>
      <c r="ET146" s="202"/>
      <c r="EU146" s="202"/>
      <c r="EV146" s="202"/>
      <c r="EW146" s="202"/>
      <c r="EX146" s="202"/>
      <c r="EY146" s="202"/>
      <c r="EZ146" s="202"/>
      <c r="FA146" s="202"/>
      <c r="FB146" s="202"/>
      <c r="FC146" s="202"/>
      <c r="FD146" s="202"/>
      <c r="FE146" s="202"/>
      <c r="FF146" s="202"/>
      <c r="FG146" s="202"/>
      <c r="FH146" s="202"/>
      <c r="FI146" s="202"/>
    </row>
    <row r="147" spans="1:165" s="228" customFormat="1" ht="18" customHeight="1" x14ac:dyDescent="0.25">
      <c r="A147" s="578">
        <f t="shared" si="4"/>
        <v>138</v>
      </c>
      <c r="B147" s="588">
        <v>0</v>
      </c>
      <c r="C147" s="591">
        <v>3</v>
      </c>
      <c r="D147" s="585" t="s">
        <v>351</v>
      </c>
      <c r="E147" s="589" t="s">
        <v>353</v>
      </c>
      <c r="F147" s="556" t="s">
        <v>764</v>
      </c>
      <c r="G147" s="585" t="s">
        <v>104</v>
      </c>
      <c r="H147" s="585" t="s">
        <v>847</v>
      </c>
      <c r="I147" s="605">
        <v>9</v>
      </c>
      <c r="J147" s="556"/>
      <c r="K147" s="594"/>
      <c r="L147" s="306"/>
      <c r="M147" s="307"/>
      <c r="N147" s="307"/>
      <c r="O147" s="307"/>
      <c r="P147" s="307"/>
      <c r="Q147" s="79"/>
      <c r="R147" s="79"/>
      <c r="S147" s="585"/>
      <c r="T147" s="585"/>
      <c r="U147" s="585"/>
      <c r="V147" s="585"/>
      <c r="W147" s="585"/>
      <c r="X147" s="585"/>
      <c r="Y147" s="585"/>
      <c r="Z147" s="585"/>
      <c r="AA147" s="585"/>
      <c r="AB147" s="585"/>
      <c r="AC147" s="585"/>
      <c r="AD147" s="585"/>
      <c r="AE147" s="585"/>
      <c r="AF147" s="585"/>
      <c r="AG147" s="585"/>
      <c r="AH147" s="585"/>
      <c r="AI147" s="585"/>
      <c r="AJ147" s="79"/>
      <c r="AK147" s="79"/>
      <c r="AL147" s="585"/>
      <c r="AM147" s="585"/>
      <c r="AN147" s="585"/>
      <c r="AO147" s="585"/>
      <c r="AP147" s="585"/>
      <c r="AQ147" s="585"/>
      <c r="AR147" s="585"/>
      <c r="AS147" s="79"/>
      <c r="AT147" s="79"/>
      <c r="AU147" s="585"/>
      <c r="AV147" s="585"/>
      <c r="AW147" s="585"/>
      <c r="AX147" s="585"/>
      <c r="AY147" s="585"/>
      <c r="AZ147" s="585"/>
      <c r="BA147" s="585"/>
      <c r="BB147" s="585"/>
      <c r="BC147" s="585"/>
      <c r="BD147" s="585"/>
      <c r="BE147" s="79"/>
      <c r="BF147" s="79"/>
      <c r="BG147" s="585"/>
      <c r="BH147" s="585"/>
      <c r="BI147" s="585"/>
      <c r="BJ147" s="585"/>
      <c r="BK147" s="585"/>
      <c r="BL147" s="585"/>
      <c r="BM147" s="585"/>
      <c r="BN147" s="585"/>
      <c r="BO147" s="585"/>
      <c r="BP147" s="585"/>
      <c r="BQ147" s="79"/>
      <c r="BR147" s="79"/>
      <c r="BS147" s="586" t="s">
        <v>123</v>
      </c>
      <c r="BT147" s="79"/>
      <c r="BU147" s="79"/>
      <c r="BV147" s="585"/>
      <c r="BW147" s="585"/>
      <c r="BX147" s="585"/>
      <c r="BY147" s="585"/>
      <c r="BZ147" s="79"/>
      <c r="CA147" s="79"/>
      <c r="CB147" s="585"/>
      <c r="CC147" s="585"/>
      <c r="CD147" s="585"/>
      <c r="CE147" s="79"/>
      <c r="CF147" s="79"/>
      <c r="CG147" s="585"/>
      <c r="CH147" s="585" t="s">
        <v>40</v>
      </c>
      <c r="CI147" s="585" t="s">
        <v>40</v>
      </c>
      <c r="CJ147" s="201"/>
      <c r="CK147" s="202"/>
      <c r="CL147" s="202"/>
      <c r="CM147" s="202"/>
      <c r="CN147" s="202"/>
      <c r="CO147" s="202"/>
      <c r="CP147" s="202"/>
      <c r="CQ147" s="202"/>
      <c r="CR147" s="202"/>
      <c r="CS147" s="202"/>
      <c r="CT147" s="202"/>
      <c r="CU147" s="202"/>
      <c r="CV147" s="202"/>
      <c r="CW147" s="202"/>
      <c r="CX147" s="202"/>
      <c r="CY147" s="202"/>
      <c r="CZ147" s="202"/>
      <c r="DA147" s="202"/>
      <c r="DB147" s="202"/>
      <c r="DC147" s="202"/>
      <c r="DD147" s="202"/>
      <c r="DE147" s="202"/>
      <c r="DF147" s="202"/>
      <c r="DG147" s="202"/>
      <c r="DH147" s="202"/>
      <c r="DI147" s="202"/>
      <c r="DJ147" s="202"/>
      <c r="DK147" s="202"/>
      <c r="DL147" s="202"/>
      <c r="DM147" s="202"/>
      <c r="DN147" s="202"/>
      <c r="DO147" s="202"/>
      <c r="DP147" s="202"/>
      <c r="DQ147" s="202"/>
      <c r="DR147" s="202"/>
      <c r="DS147" s="202"/>
      <c r="DT147" s="202"/>
      <c r="DU147" s="202"/>
      <c r="DV147" s="202"/>
      <c r="DW147" s="202"/>
      <c r="DX147" s="202"/>
      <c r="DY147" s="202"/>
      <c r="DZ147" s="202"/>
      <c r="EA147" s="202"/>
      <c r="EB147" s="202"/>
      <c r="EC147" s="202"/>
      <c r="ED147" s="202"/>
      <c r="EE147" s="202"/>
      <c r="EF147" s="202"/>
      <c r="EG147" s="202"/>
      <c r="EH147" s="202"/>
      <c r="EI147" s="202"/>
      <c r="EJ147" s="202"/>
      <c r="EK147" s="202"/>
      <c r="EL147" s="202"/>
      <c r="EM147" s="202"/>
      <c r="EN147" s="202"/>
      <c r="EO147" s="202"/>
      <c r="EP147" s="202"/>
      <c r="EQ147" s="202"/>
      <c r="ER147" s="202"/>
      <c r="ES147" s="202"/>
      <c r="ET147" s="202"/>
      <c r="EU147" s="202"/>
      <c r="EV147" s="202"/>
      <c r="EW147" s="202"/>
      <c r="EX147" s="202"/>
      <c r="EY147" s="202"/>
      <c r="EZ147" s="202"/>
      <c r="FA147" s="202"/>
      <c r="FB147" s="202"/>
      <c r="FC147" s="202"/>
      <c r="FD147" s="202"/>
      <c r="FE147" s="202"/>
      <c r="FF147" s="202"/>
      <c r="FG147" s="202"/>
      <c r="FH147" s="202"/>
      <c r="FI147" s="202"/>
    </row>
    <row r="148" spans="1:165" s="228" customFormat="1" ht="18" customHeight="1" x14ac:dyDescent="0.25">
      <c r="A148" s="578">
        <f t="shared" si="4"/>
        <v>139</v>
      </c>
      <c r="B148" s="588">
        <v>0</v>
      </c>
      <c r="C148" s="591">
        <v>3</v>
      </c>
      <c r="D148" s="585" t="s">
        <v>351</v>
      </c>
      <c r="E148" s="589" t="s">
        <v>354</v>
      </c>
      <c r="F148" s="556" t="s">
        <v>765</v>
      </c>
      <c r="G148" s="585" t="s">
        <v>104</v>
      </c>
      <c r="H148" s="585" t="s">
        <v>848</v>
      </c>
      <c r="I148" s="605">
        <v>9</v>
      </c>
      <c r="J148" s="556"/>
      <c r="K148" s="594"/>
      <c r="L148" s="306"/>
      <c r="M148" s="307"/>
      <c r="N148" s="307"/>
      <c r="O148" s="307"/>
      <c r="P148" s="307"/>
      <c r="Q148" s="79"/>
      <c r="R148" s="79"/>
      <c r="S148" s="585"/>
      <c r="T148" s="585"/>
      <c r="U148" s="585"/>
      <c r="V148" s="585"/>
      <c r="W148" s="585"/>
      <c r="X148" s="585"/>
      <c r="Y148" s="585"/>
      <c r="Z148" s="585"/>
      <c r="AA148" s="585"/>
      <c r="AB148" s="585"/>
      <c r="AC148" s="585"/>
      <c r="AD148" s="585"/>
      <c r="AE148" s="585"/>
      <c r="AF148" s="585"/>
      <c r="AG148" s="585"/>
      <c r="AH148" s="585"/>
      <c r="AI148" s="585"/>
      <c r="AJ148" s="79"/>
      <c r="AK148" s="79"/>
      <c r="AL148" s="585"/>
      <c r="AM148" s="585"/>
      <c r="AN148" s="585"/>
      <c r="AO148" s="585"/>
      <c r="AP148" s="585"/>
      <c r="AQ148" s="585"/>
      <c r="AR148" s="585"/>
      <c r="AS148" s="79"/>
      <c r="AT148" s="79"/>
      <c r="AU148" s="585"/>
      <c r="AV148" s="585"/>
      <c r="AW148" s="585"/>
      <c r="AX148" s="585"/>
      <c r="AY148" s="585"/>
      <c r="AZ148" s="585"/>
      <c r="BA148" s="585"/>
      <c r="BB148" s="585"/>
      <c r="BC148" s="585"/>
      <c r="BD148" s="585"/>
      <c r="BE148" s="79"/>
      <c r="BF148" s="79"/>
      <c r="BG148" s="585"/>
      <c r="BH148" s="585"/>
      <c r="BI148" s="585"/>
      <c r="BJ148" s="585"/>
      <c r="BK148" s="585"/>
      <c r="BL148" s="585"/>
      <c r="BM148" s="585"/>
      <c r="BN148" s="585"/>
      <c r="BO148" s="585"/>
      <c r="BP148" s="585"/>
      <c r="BQ148" s="79"/>
      <c r="BR148" s="79"/>
      <c r="BS148" s="585" t="s">
        <v>124</v>
      </c>
      <c r="BT148" s="79"/>
      <c r="BU148" s="79"/>
      <c r="BV148" s="585"/>
      <c r="BW148" s="585"/>
      <c r="BX148" s="585"/>
      <c r="BY148" s="585"/>
      <c r="BZ148" s="79"/>
      <c r="CA148" s="79"/>
      <c r="CB148" s="585"/>
      <c r="CC148" s="585"/>
      <c r="CD148" s="585"/>
      <c r="CE148" s="79"/>
      <c r="CF148" s="79"/>
      <c r="CG148" s="585"/>
      <c r="CH148" s="585" t="s">
        <v>40</v>
      </c>
      <c r="CI148" s="585" t="s">
        <v>40</v>
      </c>
      <c r="CJ148" s="201"/>
      <c r="CK148" s="202"/>
      <c r="CL148" s="202"/>
      <c r="CM148" s="202"/>
      <c r="CN148" s="202"/>
      <c r="CO148" s="202"/>
      <c r="CP148" s="202"/>
      <c r="CQ148" s="202"/>
      <c r="CR148" s="202"/>
      <c r="CS148" s="202"/>
      <c r="CT148" s="202"/>
      <c r="CU148" s="202"/>
      <c r="CV148" s="202"/>
      <c r="CW148" s="202"/>
      <c r="CX148" s="202"/>
      <c r="CY148" s="202"/>
      <c r="CZ148" s="202"/>
      <c r="DA148" s="202"/>
      <c r="DB148" s="202"/>
      <c r="DC148" s="202"/>
      <c r="DD148" s="202"/>
      <c r="DE148" s="202"/>
      <c r="DF148" s="202"/>
      <c r="DG148" s="202"/>
      <c r="DH148" s="202"/>
      <c r="DI148" s="202"/>
      <c r="DJ148" s="202"/>
      <c r="DK148" s="202"/>
      <c r="DL148" s="202"/>
      <c r="DM148" s="202"/>
      <c r="DN148" s="202"/>
      <c r="DO148" s="202"/>
      <c r="DP148" s="202"/>
      <c r="DQ148" s="202"/>
      <c r="DR148" s="202"/>
      <c r="DS148" s="202"/>
      <c r="DT148" s="202"/>
      <c r="DU148" s="202"/>
      <c r="DV148" s="202"/>
      <c r="DW148" s="202"/>
      <c r="DX148" s="202"/>
      <c r="DY148" s="202"/>
      <c r="DZ148" s="202"/>
      <c r="EA148" s="202"/>
      <c r="EB148" s="202"/>
      <c r="EC148" s="202"/>
      <c r="ED148" s="202"/>
      <c r="EE148" s="202"/>
      <c r="EF148" s="202"/>
      <c r="EG148" s="202"/>
      <c r="EH148" s="202"/>
      <c r="EI148" s="202"/>
      <c r="EJ148" s="202"/>
      <c r="EK148" s="202"/>
      <c r="EL148" s="202"/>
      <c r="EM148" s="202"/>
      <c r="EN148" s="202"/>
      <c r="EO148" s="202"/>
      <c r="EP148" s="202"/>
      <c r="EQ148" s="202"/>
      <c r="ER148" s="202"/>
      <c r="ES148" s="202"/>
      <c r="ET148" s="202"/>
      <c r="EU148" s="202"/>
      <c r="EV148" s="202"/>
      <c r="EW148" s="202"/>
      <c r="EX148" s="202"/>
      <c r="EY148" s="202"/>
      <c r="EZ148" s="202"/>
      <c r="FA148" s="202"/>
      <c r="FB148" s="202"/>
      <c r="FC148" s="202"/>
      <c r="FD148" s="202"/>
      <c r="FE148" s="202"/>
      <c r="FF148" s="202"/>
      <c r="FG148" s="202"/>
      <c r="FH148" s="202"/>
      <c r="FI148" s="202"/>
    </row>
    <row r="149" spans="1:165" s="228" customFormat="1" ht="18" customHeight="1" x14ac:dyDescent="0.25">
      <c r="A149" s="578">
        <f t="shared" si="4"/>
        <v>140</v>
      </c>
      <c r="B149" s="588">
        <v>0</v>
      </c>
      <c r="C149" s="591">
        <v>3</v>
      </c>
      <c r="D149" s="585" t="s">
        <v>355</v>
      </c>
      <c r="E149" s="589" t="s">
        <v>352</v>
      </c>
      <c r="F149" s="556" t="s">
        <v>763</v>
      </c>
      <c r="G149" s="585" t="s">
        <v>106</v>
      </c>
      <c r="H149" s="585" t="s">
        <v>849</v>
      </c>
      <c r="I149" s="593">
        <v>2</v>
      </c>
      <c r="J149" s="556"/>
      <c r="K149" s="594"/>
      <c r="L149" s="306"/>
      <c r="M149" s="307" t="s">
        <v>122</v>
      </c>
      <c r="N149" s="307"/>
      <c r="O149" s="307"/>
      <c r="P149" s="307"/>
      <c r="Q149" s="79"/>
      <c r="R149" s="79"/>
      <c r="S149" s="585"/>
      <c r="T149" s="585"/>
      <c r="U149" s="585"/>
      <c r="V149" s="585"/>
      <c r="W149" s="585"/>
      <c r="X149" s="585"/>
      <c r="Y149" s="585"/>
      <c r="Z149" s="585"/>
      <c r="AA149" s="585"/>
      <c r="AB149" s="585"/>
      <c r="AC149" s="585"/>
      <c r="AD149" s="585"/>
      <c r="AE149" s="585"/>
      <c r="AF149" s="585"/>
      <c r="AG149" s="585"/>
      <c r="AH149" s="585"/>
      <c r="AI149" s="585"/>
      <c r="AJ149" s="79"/>
      <c r="AK149" s="79"/>
      <c r="AL149" s="585"/>
      <c r="AM149" s="585"/>
      <c r="AN149" s="585"/>
      <c r="AO149" s="585" t="s">
        <v>121</v>
      </c>
      <c r="AP149" s="585"/>
      <c r="AQ149" s="585" t="s">
        <v>121</v>
      </c>
      <c r="AR149" s="585"/>
      <c r="AS149" s="79"/>
      <c r="AT149" s="79"/>
      <c r="AU149" s="585"/>
      <c r="AV149" s="585"/>
      <c r="AW149" s="585"/>
      <c r="AX149" s="585" t="s">
        <v>120</v>
      </c>
      <c r="AY149" s="585"/>
      <c r="AZ149" s="585"/>
      <c r="BA149" s="585"/>
      <c r="BB149" s="585"/>
      <c r="BC149" s="585"/>
      <c r="BD149" s="585" t="s">
        <v>121</v>
      </c>
      <c r="BE149" s="79"/>
      <c r="BF149" s="79"/>
      <c r="BG149" s="585"/>
      <c r="BH149" s="585"/>
      <c r="BI149" s="585"/>
      <c r="BJ149" s="585" t="s">
        <v>120</v>
      </c>
      <c r="BK149" s="585"/>
      <c r="BL149" s="585"/>
      <c r="BM149" s="585"/>
      <c r="BN149" s="585"/>
      <c r="BO149" s="585"/>
      <c r="BP149" s="585" t="s">
        <v>121</v>
      </c>
      <c r="BQ149" s="79"/>
      <c r="BR149" s="79"/>
      <c r="BS149" s="585"/>
      <c r="BT149" s="79"/>
      <c r="BU149" s="79"/>
      <c r="BV149" s="585"/>
      <c r="BW149" s="585"/>
      <c r="BX149" s="585"/>
      <c r="BY149" s="585"/>
      <c r="BZ149" s="79"/>
      <c r="CA149" s="79"/>
      <c r="CB149" s="585"/>
      <c r="CC149" s="585"/>
      <c r="CD149" s="585"/>
      <c r="CE149" s="79"/>
      <c r="CF149" s="79"/>
      <c r="CG149" s="585"/>
      <c r="CH149" s="585" t="s">
        <v>40</v>
      </c>
      <c r="CI149" s="585" t="s">
        <v>40</v>
      </c>
      <c r="CJ149" s="201"/>
      <c r="CK149" s="202"/>
      <c r="CL149" s="202"/>
      <c r="CM149" s="202"/>
      <c r="CN149" s="202"/>
      <c r="CO149" s="202"/>
      <c r="CP149" s="202"/>
      <c r="CQ149" s="202"/>
      <c r="CR149" s="202"/>
      <c r="CS149" s="202"/>
      <c r="CT149" s="202"/>
      <c r="CU149" s="202"/>
      <c r="CV149" s="202"/>
      <c r="CW149" s="202"/>
      <c r="CX149" s="202"/>
      <c r="CY149" s="202"/>
      <c r="CZ149" s="202"/>
      <c r="DA149" s="202"/>
      <c r="DB149" s="202"/>
      <c r="DC149" s="202"/>
      <c r="DD149" s="202"/>
      <c r="DE149" s="202"/>
      <c r="DF149" s="202"/>
      <c r="DG149" s="202"/>
      <c r="DH149" s="202"/>
      <c r="DI149" s="202"/>
      <c r="DJ149" s="202"/>
      <c r="DK149" s="202"/>
      <c r="DL149" s="202"/>
      <c r="DM149" s="202"/>
      <c r="DN149" s="202"/>
      <c r="DO149" s="202"/>
      <c r="DP149" s="202"/>
      <c r="DQ149" s="202"/>
      <c r="DR149" s="202"/>
      <c r="DS149" s="202"/>
      <c r="DT149" s="202"/>
      <c r="DU149" s="202"/>
      <c r="DV149" s="202"/>
      <c r="DW149" s="202"/>
      <c r="DX149" s="202"/>
      <c r="DY149" s="202"/>
      <c r="DZ149" s="202"/>
      <c r="EA149" s="202"/>
      <c r="EB149" s="202"/>
      <c r="EC149" s="202"/>
      <c r="ED149" s="202"/>
      <c r="EE149" s="202"/>
      <c r="EF149" s="202"/>
      <c r="EG149" s="202"/>
      <c r="EH149" s="202"/>
      <c r="EI149" s="202"/>
      <c r="EJ149" s="202"/>
      <c r="EK149" s="202"/>
      <c r="EL149" s="202"/>
      <c r="EM149" s="202"/>
      <c r="EN149" s="202"/>
      <c r="EO149" s="202"/>
      <c r="EP149" s="202"/>
      <c r="EQ149" s="202"/>
      <c r="ER149" s="202"/>
      <c r="ES149" s="202"/>
      <c r="ET149" s="202"/>
      <c r="EU149" s="202"/>
      <c r="EV149" s="202"/>
      <c r="EW149" s="202"/>
      <c r="EX149" s="202"/>
      <c r="EY149" s="202"/>
      <c r="EZ149" s="202"/>
      <c r="FA149" s="202"/>
      <c r="FB149" s="202"/>
      <c r="FC149" s="202"/>
      <c r="FD149" s="202"/>
      <c r="FE149" s="202"/>
      <c r="FF149" s="202"/>
      <c r="FG149" s="202"/>
      <c r="FH149" s="202"/>
      <c r="FI149" s="202"/>
    </row>
    <row r="150" spans="1:165" s="228" customFormat="1" ht="18" customHeight="1" x14ac:dyDescent="0.25">
      <c r="A150" s="578">
        <f t="shared" si="4"/>
        <v>141</v>
      </c>
      <c r="B150" s="588">
        <v>0</v>
      </c>
      <c r="C150" s="591">
        <v>3</v>
      </c>
      <c r="D150" s="585" t="s">
        <v>355</v>
      </c>
      <c r="E150" s="589" t="s">
        <v>353</v>
      </c>
      <c r="F150" s="556" t="s">
        <v>764</v>
      </c>
      <c r="G150" s="585" t="s">
        <v>106</v>
      </c>
      <c r="H150" s="585" t="s">
        <v>850</v>
      </c>
      <c r="I150" s="605">
        <v>9</v>
      </c>
      <c r="J150" s="556"/>
      <c r="K150" s="594"/>
      <c r="L150" s="306"/>
      <c r="M150" s="307"/>
      <c r="N150" s="307"/>
      <c r="O150" s="307"/>
      <c r="P150" s="307"/>
      <c r="Q150" s="79"/>
      <c r="R150" s="79"/>
      <c r="S150" s="585"/>
      <c r="T150" s="585"/>
      <c r="U150" s="585"/>
      <c r="V150" s="585"/>
      <c r="W150" s="585"/>
      <c r="X150" s="585"/>
      <c r="Y150" s="585"/>
      <c r="Z150" s="585"/>
      <c r="AA150" s="585"/>
      <c r="AB150" s="585"/>
      <c r="AC150" s="585"/>
      <c r="AD150" s="585"/>
      <c r="AE150" s="585"/>
      <c r="AF150" s="585"/>
      <c r="AG150" s="585"/>
      <c r="AH150" s="585"/>
      <c r="AI150" s="585"/>
      <c r="AJ150" s="79"/>
      <c r="AK150" s="79"/>
      <c r="AL150" s="585"/>
      <c r="AM150" s="585"/>
      <c r="AN150" s="585"/>
      <c r="AO150" s="585"/>
      <c r="AP150" s="585"/>
      <c r="AQ150" s="585"/>
      <c r="AR150" s="585"/>
      <c r="AS150" s="79"/>
      <c r="AT150" s="79"/>
      <c r="AU150" s="585"/>
      <c r="AV150" s="585"/>
      <c r="AW150" s="585"/>
      <c r="AX150" s="585"/>
      <c r="AY150" s="585"/>
      <c r="AZ150" s="585"/>
      <c r="BA150" s="585"/>
      <c r="BB150" s="585"/>
      <c r="BC150" s="585"/>
      <c r="BD150" s="585"/>
      <c r="BE150" s="79"/>
      <c r="BF150" s="79"/>
      <c r="BG150" s="585"/>
      <c r="BH150" s="585"/>
      <c r="BI150" s="585"/>
      <c r="BJ150" s="585"/>
      <c r="BK150" s="585"/>
      <c r="BL150" s="585"/>
      <c r="BM150" s="585"/>
      <c r="BN150" s="585"/>
      <c r="BO150" s="585"/>
      <c r="BP150" s="585"/>
      <c r="BQ150" s="79"/>
      <c r="BR150" s="79"/>
      <c r="BS150" s="585"/>
      <c r="BT150" s="79"/>
      <c r="BU150" s="79"/>
      <c r="BV150" s="585"/>
      <c r="BW150" s="585"/>
      <c r="BX150" s="585"/>
      <c r="BY150" s="585"/>
      <c r="BZ150" s="79"/>
      <c r="CA150" s="79"/>
      <c r="CB150" s="585"/>
      <c r="CC150" s="585"/>
      <c r="CD150" s="585"/>
      <c r="CE150" s="79"/>
      <c r="CF150" s="79"/>
      <c r="CG150" s="585"/>
      <c r="CH150" s="585" t="s">
        <v>40</v>
      </c>
      <c r="CI150" s="585" t="s">
        <v>40</v>
      </c>
      <c r="CJ150" s="201"/>
      <c r="CK150" s="202"/>
      <c r="CL150" s="202"/>
      <c r="CM150" s="202"/>
      <c r="CN150" s="202"/>
      <c r="CO150" s="202"/>
      <c r="CP150" s="202"/>
      <c r="CQ150" s="202"/>
      <c r="CR150" s="202"/>
      <c r="CS150" s="202"/>
      <c r="CT150" s="202"/>
      <c r="CU150" s="202"/>
      <c r="CV150" s="202"/>
      <c r="CW150" s="202"/>
      <c r="CX150" s="202"/>
      <c r="CY150" s="202"/>
      <c r="CZ150" s="202"/>
      <c r="DA150" s="202"/>
      <c r="DB150" s="202"/>
      <c r="DC150" s="202"/>
      <c r="DD150" s="202"/>
      <c r="DE150" s="202"/>
      <c r="DF150" s="202"/>
      <c r="DG150" s="202"/>
      <c r="DH150" s="202"/>
      <c r="DI150" s="202"/>
      <c r="DJ150" s="202"/>
      <c r="DK150" s="202"/>
      <c r="DL150" s="202"/>
      <c r="DM150" s="202"/>
      <c r="DN150" s="202"/>
      <c r="DO150" s="202"/>
      <c r="DP150" s="202"/>
      <c r="DQ150" s="202"/>
      <c r="DR150" s="202"/>
      <c r="DS150" s="202"/>
      <c r="DT150" s="202"/>
      <c r="DU150" s="202"/>
      <c r="DV150" s="202"/>
      <c r="DW150" s="202"/>
      <c r="DX150" s="202"/>
      <c r="DY150" s="202"/>
      <c r="DZ150" s="202"/>
      <c r="EA150" s="202"/>
      <c r="EB150" s="202"/>
      <c r="EC150" s="202"/>
      <c r="ED150" s="202"/>
      <c r="EE150" s="202"/>
      <c r="EF150" s="202"/>
      <c r="EG150" s="202"/>
      <c r="EH150" s="202"/>
      <c r="EI150" s="202"/>
      <c r="EJ150" s="202"/>
      <c r="EK150" s="202"/>
      <c r="EL150" s="202"/>
      <c r="EM150" s="202"/>
      <c r="EN150" s="202"/>
      <c r="EO150" s="202"/>
      <c r="EP150" s="202"/>
      <c r="EQ150" s="202"/>
      <c r="ER150" s="202"/>
      <c r="ES150" s="202"/>
      <c r="ET150" s="202"/>
      <c r="EU150" s="202"/>
      <c r="EV150" s="202"/>
      <c r="EW150" s="202"/>
      <c r="EX150" s="202"/>
      <c r="EY150" s="202"/>
      <c r="EZ150" s="202"/>
      <c r="FA150" s="202"/>
      <c r="FB150" s="202"/>
      <c r="FC150" s="202"/>
      <c r="FD150" s="202"/>
      <c r="FE150" s="202"/>
      <c r="FF150" s="202"/>
      <c r="FG150" s="202"/>
      <c r="FH150" s="202"/>
      <c r="FI150" s="202"/>
    </row>
    <row r="151" spans="1:165" s="228" customFormat="1" ht="18" customHeight="1" x14ac:dyDescent="0.25">
      <c r="A151" s="578">
        <f t="shared" si="4"/>
        <v>142</v>
      </c>
      <c r="B151" s="588">
        <v>0</v>
      </c>
      <c r="C151" s="591">
        <v>3</v>
      </c>
      <c r="D151" s="585" t="s">
        <v>355</v>
      </c>
      <c r="E151" s="589" t="s">
        <v>354</v>
      </c>
      <c r="F151" s="556" t="s">
        <v>765</v>
      </c>
      <c r="G151" s="585" t="s">
        <v>106</v>
      </c>
      <c r="H151" s="585" t="s">
        <v>851</v>
      </c>
      <c r="I151" s="605">
        <v>9</v>
      </c>
      <c r="J151" s="556"/>
      <c r="K151" s="594"/>
      <c r="L151" s="306"/>
      <c r="M151" s="307"/>
      <c r="N151" s="307"/>
      <c r="O151" s="307"/>
      <c r="P151" s="307"/>
      <c r="Q151" s="79"/>
      <c r="R151" s="79"/>
      <c r="S151" s="585"/>
      <c r="T151" s="585"/>
      <c r="U151" s="585"/>
      <c r="V151" s="585"/>
      <c r="W151" s="585"/>
      <c r="X151" s="585"/>
      <c r="Y151" s="585"/>
      <c r="Z151" s="585"/>
      <c r="AA151" s="585"/>
      <c r="AB151" s="585"/>
      <c r="AC151" s="585"/>
      <c r="AD151" s="585"/>
      <c r="AE151" s="585"/>
      <c r="AF151" s="585"/>
      <c r="AG151" s="585"/>
      <c r="AH151" s="585"/>
      <c r="AI151" s="585"/>
      <c r="AJ151" s="79"/>
      <c r="AK151" s="79"/>
      <c r="AL151" s="585"/>
      <c r="AM151" s="585"/>
      <c r="AN151" s="585"/>
      <c r="AO151" s="585"/>
      <c r="AP151" s="585"/>
      <c r="AQ151" s="585"/>
      <c r="AR151" s="585"/>
      <c r="AS151" s="79"/>
      <c r="AT151" s="79"/>
      <c r="AU151" s="585"/>
      <c r="AV151" s="585"/>
      <c r="AW151" s="585"/>
      <c r="AX151" s="585"/>
      <c r="AY151" s="585"/>
      <c r="AZ151" s="585"/>
      <c r="BA151" s="585"/>
      <c r="BB151" s="585"/>
      <c r="BC151" s="585"/>
      <c r="BD151" s="585"/>
      <c r="BE151" s="79"/>
      <c r="BF151" s="79"/>
      <c r="BG151" s="585"/>
      <c r="BH151" s="585"/>
      <c r="BI151" s="585"/>
      <c r="BJ151" s="585"/>
      <c r="BK151" s="585"/>
      <c r="BL151" s="585"/>
      <c r="BM151" s="585"/>
      <c r="BN151" s="585"/>
      <c r="BO151" s="585"/>
      <c r="BP151" s="585"/>
      <c r="BQ151" s="79"/>
      <c r="BR151" s="79"/>
      <c r="BS151" s="585"/>
      <c r="BT151" s="79"/>
      <c r="BU151" s="79"/>
      <c r="BV151" s="585"/>
      <c r="BW151" s="585"/>
      <c r="BX151" s="585"/>
      <c r="BY151" s="585"/>
      <c r="BZ151" s="79"/>
      <c r="CA151" s="79"/>
      <c r="CB151" s="585"/>
      <c r="CC151" s="585"/>
      <c r="CD151" s="585"/>
      <c r="CE151" s="79"/>
      <c r="CF151" s="79"/>
      <c r="CG151" s="585"/>
      <c r="CH151" s="585" t="s">
        <v>40</v>
      </c>
      <c r="CI151" s="585" t="s">
        <v>40</v>
      </c>
      <c r="CJ151" s="201"/>
      <c r="CK151" s="202"/>
      <c r="CL151" s="202"/>
      <c r="CM151" s="202"/>
      <c r="CN151" s="202"/>
      <c r="CO151" s="202"/>
      <c r="CP151" s="202"/>
      <c r="CQ151" s="202"/>
      <c r="CR151" s="202"/>
      <c r="CS151" s="202"/>
      <c r="CT151" s="202"/>
      <c r="CU151" s="202"/>
      <c r="CV151" s="202"/>
      <c r="CW151" s="202"/>
      <c r="CX151" s="202"/>
      <c r="CY151" s="202"/>
      <c r="CZ151" s="202"/>
      <c r="DA151" s="202"/>
      <c r="DB151" s="202"/>
      <c r="DC151" s="202"/>
      <c r="DD151" s="202"/>
      <c r="DE151" s="202"/>
      <c r="DF151" s="202"/>
      <c r="DG151" s="202"/>
      <c r="DH151" s="202"/>
      <c r="DI151" s="202"/>
      <c r="DJ151" s="202"/>
      <c r="DK151" s="202"/>
      <c r="DL151" s="202"/>
      <c r="DM151" s="202"/>
      <c r="DN151" s="202"/>
      <c r="DO151" s="202"/>
      <c r="DP151" s="202"/>
      <c r="DQ151" s="202"/>
      <c r="DR151" s="202"/>
      <c r="DS151" s="202"/>
      <c r="DT151" s="202"/>
      <c r="DU151" s="202"/>
      <c r="DV151" s="202"/>
      <c r="DW151" s="202"/>
      <c r="DX151" s="202"/>
      <c r="DY151" s="202"/>
      <c r="DZ151" s="202"/>
      <c r="EA151" s="202"/>
      <c r="EB151" s="202"/>
      <c r="EC151" s="202"/>
      <c r="ED151" s="202"/>
      <c r="EE151" s="202"/>
      <c r="EF151" s="202"/>
      <c r="EG151" s="202"/>
      <c r="EH151" s="202"/>
      <c r="EI151" s="202"/>
      <c r="EJ151" s="202"/>
      <c r="EK151" s="202"/>
      <c r="EL151" s="202"/>
      <c r="EM151" s="202"/>
      <c r="EN151" s="202"/>
      <c r="EO151" s="202"/>
      <c r="EP151" s="202"/>
      <c r="EQ151" s="202"/>
      <c r="ER151" s="202"/>
      <c r="ES151" s="202"/>
      <c r="ET151" s="202"/>
      <c r="EU151" s="202"/>
      <c r="EV151" s="202"/>
      <c r="EW151" s="202"/>
      <c r="EX151" s="202"/>
      <c r="EY151" s="202"/>
      <c r="EZ151" s="202"/>
      <c r="FA151" s="202"/>
      <c r="FB151" s="202"/>
      <c r="FC151" s="202"/>
      <c r="FD151" s="202"/>
      <c r="FE151" s="202"/>
      <c r="FF151" s="202"/>
      <c r="FG151" s="202"/>
      <c r="FH151" s="202"/>
      <c r="FI151" s="202"/>
    </row>
    <row r="152" spans="1:165" s="228" customFormat="1" ht="18" customHeight="1" x14ac:dyDescent="0.25">
      <c r="A152" s="578">
        <f t="shared" si="4"/>
        <v>143</v>
      </c>
      <c r="B152" s="588">
        <v>0</v>
      </c>
      <c r="C152" s="591">
        <v>3</v>
      </c>
      <c r="D152" s="585" t="s">
        <v>356</v>
      </c>
      <c r="E152" s="589" t="s">
        <v>357</v>
      </c>
      <c r="F152" s="556" t="s">
        <v>583</v>
      </c>
      <c r="G152" s="585" t="s">
        <v>107</v>
      </c>
      <c r="H152" s="585" t="s">
        <v>852</v>
      </c>
      <c r="I152" s="605">
        <v>9</v>
      </c>
      <c r="J152" s="556"/>
      <c r="K152" s="594"/>
      <c r="L152" s="306"/>
      <c r="M152" s="307"/>
      <c r="N152" s="307"/>
      <c r="O152" s="307"/>
      <c r="P152" s="307"/>
      <c r="Q152" s="79"/>
      <c r="R152" s="79"/>
      <c r="S152" s="585"/>
      <c r="T152" s="585"/>
      <c r="U152" s="585"/>
      <c r="V152" s="585"/>
      <c r="W152" s="585"/>
      <c r="X152" s="585"/>
      <c r="Y152" s="585"/>
      <c r="Z152" s="585"/>
      <c r="AA152" s="585"/>
      <c r="AB152" s="585"/>
      <c r="AC152" s="585"/>
      <c r="AD152" s="585"/>
      <c r="AE152" s="585"/>
      <c r="AF152" s="585"/>
      <c r="AG152" s="585"/>
      <c r="AH152" s="585"/>
      <c r="AI152" s="585"/>
      <c r="AJ152" s="79"/>
      <c r="AK152" s="79"/>
      <c r="AL152" s="585"/>
      <c r="AM152" s="585"/>
      <c r="AN152" s="585"/>
      <c r="AO152" s="585"/>
      <c r="AP152" s="585"/>
      <c r="AQ152" s="585"/>
      <c r="AR152" s="585"/>
      <c r="AS152" s="79"/>
      <c r="AT152" s="79"/>
      <c r="AU152" s="585"/>
      <c r="AV152" s="585"/>
      <c r="AW152" s="585"/>
      <c r="AX152" s="585"/>
      <c r="AY152" s="585"/>
      <c r="AZ152" s="585"/>
      <c r="BA152" s="585"/>
      <c r="BB152" s="585"/>
      <c r="BC152" s="585"/>
      <c r="BD152" s="585"/>
      <c r="BE152" s="79"/>
      <c r="BF152" s="79"/>
      <c r="BG152" s="585"/>
      <c r="BH152" s="585"/>
      <c r="BI152" s="585"/>
      <c r="BJ152" s="585"/>
      <c r="BK152" s="585"/>
      <c r="BL152" s="585"/>
      <c r="BM152" s="585"/>
      <c r="BN152" s="585"/>
      <c r="BO152" s="585"/>
      <c r="BP152" s="585"/>
      <c r="BQ152" s="79"/>
      <c r="BR152" s="79"/>
      <c r="BS152" s="585"/>
      <c r="BT152" s="79"/>
      <c r="BU152" s="79"/>
      <c r="BV152" s="585"/>
      <c r="BW152" s="585"/>
      <c r="BX152" s="585"/>
      <c r="BY152" s="585"/>
      <c r="BZ152" s="79"/>
      <c r="CA152" s="79"/>
      <c r="CB152" s="585"/>
      <c r="CC152" s="585"/>
      <c r="CD152" s="585"/>
      <c r="CE152" s="79"/>
      <c r="CF152" s="79"/>
      <c r="CG152" s="585"/>
      <c r="CH152" s="585" t="s">
        <v>40</v>
      </c>
      <c r="CI152" s="585" t="s">
        <v>40</v>
      </c>
      <c r="CJ152" s="201"/>
      <c r="CK152" s="202"/>
      <c r="CL152" s="202"/>
      <c r="CM152" s="202"/>
      <c r="CN152" s="202"/>
      <c r="CO152" s="202"/>
      <c r="CP152" s="202"/>
      <c r="CQ152" s="202"/>
      <c r="CR152" s="202"/>
      <c r="CS152" s="202"/>
      <c r="CT152" s="202"/>
      <c r="CU152" s="202"/>
      <c r="CV152" s="202"/>
      <c r="CW152" s="202"/>
      <c r="CX152" s="202"/>
      <c r="CY152" s="202"/>
      <c r="CZ152" s="202"/>
      <c r="DA152" s="202"/>
      <c r="DB152" s="202"/>
      <c r="DC152" s="202"/>
      <c r="DD152" s="202"/>
      <c r="DE152" s="202"/>
      <c r="DF152" s="202"/>
      <c r="DG152" s="202"/>
      <c r="DH152" s="202"/>
      <c r="DI152" s="202"/>
      <c r="DJ152" s="202"/>
      <c r="DK152" s="202"/>
      <c r="DL152" s="202"/>
      <c r="DM152" s="202"/>
      <c r="DN152" s="202"/>
      <c r="DO152" s="202"/>
      <c r="DP152" s="202"/>
      <c r="DQ152" s="202"/>
      <c r="DR152" s="202"/>
      <c r="DS152" s="202"/>
      <c r="DT152" s="202"/>
      <c r="DU152" s="202"/>
      <c r="DV152" s="202"/>
      <c r="DW152" s="202"/>
      <c r="DX152" s="202"/>
      <c r="DY152" s="202"/>
      <c r="DZ152" s="202"/>
      <c r="EA152" s="202"/>
      <c r="EB152" s="202"/>
      <c r="EC152" s="202"/>
      <c r="ED152" s="202"/>
      <c r="EE152" s="202"/>
      <c r="EF152" s="202"/>
      <c r="EG152" s="202"/>
      <c r="EH152" s="202"/>
      <c r="EI152" s="202"/>
      <c r="EJ152" s="202"/>
      <c r="EK152" s="202"/>
      <c r="EL152" s="202"/>
      <c r="EM152" s="202"/>
      <c r="EN152" s="202"/>
      <c r="EO152" s="202"/>
      <c r="EP152" s="202"/>
      <c r="EQ152" s="202"/>
      <c r="ER152" s="202"/>
      <c r="ES152" s="202"/>
      <c r="ET152" s="202"/>
      <c r="EU152" s="202"/>
      <c r="EV152" s="202"/>
      <c r="EW152" s="202"/>
      <c r="EX152" s="202"/>
      <c r="EY152" s="202"/>
      <c r="EZ152" s="202"/>
      <c r="FA152" s="202"/>
      <c r="FB152" s="202"/>
      <c r="FC152" s="202"/>
      <c r="FD152" s="202"/>
      <c r="FE152" s="202"/>
      <c r="FF152" s="202"/>
      <c r="FG152" s="202"/>
      <c r="FH152" s="202"/>
      <c r="FI152" s="202"/>
    </row>
    <row r="153" spans="1:165" s="228" customFormat="1" ht="18" customHeight="1" x14ac:dyDescent="0.2">
      <c r="A153" s="529">
        <f t="shared" si="4"/>
        <v>144</v>
      </c>
      <c r="B153" s="526">
        <v>0</v>
      </c>
      <c r="C153" s="528">
        <v>3</v>
      </c>
      <c r="D153" s="307" t="s">
        <v>766</v>
      </c>
      <c r="E153" s="517" t="s">
        <v>1057</v>
      </c>
      <c r="F153" s="310" t="s">
        <v>1042</v>
      </c>
      <c r="G153" s="307" t="s">
        <v>767</v>
      </c>
      <c r="H153" s="307" t="s">
        <v>1139</v>
      </c>
      <c r="I153" s="425">
        <v>9</v>
      </c>
      <c r="J153" s="422"/>
      <c r="K153" s="423"/>
      <c r="L153" s="306"/>
      <c r="M153" s="307"/>
      <c r="N153" s="307"/>
      <c r="O153" s="307"/>
      <c r="P153" s="307"/>
      <c r="Q153" s="79"/>
      <c r="R153" s="79"/>
      <c r="S153" s="307"/>
      <c r="T153" s="307"/>
      <c r="U153" s="307"/>
      <c r="V153" s="307"/>
      <c r="W153" s="307"/>
      <c r="X153" s="307"/>
      <c r="Y153" s="307"/>
      <c r="Z153" s="307"/>
      <c r="AA153" s="307"/>
      <c r="AB153" s="307"/>
      <c r="AC153" s="307"/>
      <c r="AD153" s="307"/>
      <c r="AE153" s="307"/>
      <c r="AF153" s="307"/>
      <c r="AG153" s="307"/>
      <c r="AH153" s="307"/>
      <c r="AI153" s="307"/>
      <c r="AJ153" s="79"/>
      <c r="AK153" s="79"/>
      <c r="AL153" s="307"/>
      <c r="AM153" s="307"/>
      <c r="AN153" s="307"/>
      <c r="AO153" s="307"/>
      <c r="AP153" s="307"/>
      <c r="AQ153" s="307"/>
      <c r="AR153" s="307"/>
      <c r="AS153" s="79"/>
      <c r="AT153" s="79"/>
      <c r="AU153" s="307"/>
      <c r="AV153" s="307"/>
      <c r="AW153" s="307"/>
      <c r="AX153" s="307"/>
      <c r="AY153" s="307"/>
      <c r="AZ153" s="307"/>
      <c r="BA153" s="307"/>
      <c r="BB153" s="307"/>
      <c r="BC153" s="307"/>
      <c r="BD153" s="307"/>
      <c r="BE153" s="79"/>
      <c r="BF153" s="79"/>
      <c r="BG153" s="307"/>
      <c r="BH153" s="307"/>
      <c r="BI153" s="307"/>
      <c r="BJ153" s="307"/>
      <c r="BK153" s="307"/>
      <c r="BL153" s="307"/>
      <c r="BM153" s="307"/>
      <c r="BN153" s="307"/>
      <c r="BO153" s="307"/>
      <c r="BP153" s="307"/>
      <c r="BQ153" s="79"/>
      <c r="BR153" s="79"/>
      <c r="BS153" s="307"/>
      <c r="BT153" s="79"/>
      <c r="BU153" s="79"/>
      <c r="BV153" s="307"/>
      <c r="BW153" s="307"/>
      <c r="BX153" s="307"/>
      <c r="BY153" s="307"/>
      <c r="BZ153" s="79"/>
      <c r="CA153" s="79"/>
      <c r="CB153" s="307"/>
      <c r="CC153" s="307"/>
      <c r="CD153" s="307"/>
      <c r="CE153" s="79"/>
      <c r="CF153" s="79"/>
      <c r="CG153" s="307"/>
      <c r="CH153" s="307" t="s">
        <v>40</v>
      </c>
      <c r="CI153" s="307" t="s">
        <v>40</v>
      </c>
      <c r="CJ153" s="201"/>
      <c r="CK153" s="202"/>
      <c r="CL153" s="202"/>
      <c r="CM153" s="202"/>
      <c r="CN153" s="202"/>
      <c r="CO153" s="202"/>
      <c r="CP153" s="202"/>
      <c r="CQ153" s="202"/>
      <c r="CR153" s="202"/>
      <c r="CS153" s="202"/>
      <c r="CT153" s="202"/>
      <c r="CU153" s="202"/>
      <c r="CV153" s="202"/>
      <c r="CW153" s="202"/>
      <c r="CX153" s="202"/>
      <c r="CY153" s="202"/>
      <c r="CZ153" s="202"/>
      <c r="DA153" s="202"/>
      <c r="DB153" s="202"/>
      <c r="DC153" s="202"/>
      <c r="DD153" s="202"/>
      <c r="DE153" s="202"/>
      <c r="DF153" s="202"/>
      <c r="DG153" s="202"/>
      <c r="DH153" s="202"/>
      <c r="DI153" s="202"/>
      <c r="DJ153" s="202"/>
      <c r="DK153" s="202"/>
      <c r="DL153" s="202"/>
      <c r="DM153" s="202"/>
      <c r="DN153" s="202"/>
      <c r="DO153" s="202"/>
      <c r="DP153" s="202"/>
      <c r="DQ153" s="202"/>
      <c r="DR153" s="202"/>
      <c r="DS153" s="202"/>
      <c r="DT153" s="202"/>
      <c r="DU153" s="202"/>
      <c r="DV153" s="202"/>
      <c r="DW153" s="202"/>
      <c r="DX153" s="202"/>
      <c r="DY153" s="202"/>
      <c r="DZ153" s="202"/>
      <c r="EA153" s="202"/>
      <c r="EB153" s="202"/>
      <c r="EC153" s="202"/>
      <c r="ED153" s="202"/>
      <c r="EE153" s="202"/>
      <c r="EF153" s="202"/>
      <c r="EG153" s="202"/>
      <c r="EH153" s="202"/>
      <c r="EI153" s="202"/>
      <c r="EJ153" s="202"/>
      <c r="EK153" s="202"/>
      <c r="EL153" s="202"/>
      <c r="EM153" s="202"/>
      <c r="EN153" s="202"/>
      <c r="EO153" s="202"/>
      <c r="EP153" s="202"/>
      <c r="EQ153" s="202"/>
      <c r="ER153" s="202"/>
      <c r="ES153" s="202"/>
      <c r="ET153" s="202"/>
      <c r="EU153" s="202"/>
      <c r="EV153" s="202"/>
      <c r="EW153" s="202"/>
      <c r="EX153" s="202"/>
      <c r="EY153" s="202"/>
      <c r="EZ153" s="202"/>
      <c r="FA153" s="202"/>
      <c r="FB153" s="202"/>
      <c r="FC153" s="202"/>
      <c r="FD153" s="202"/>
      <c r="FE153" s="202"/>
      <c r="FF153" s="202"/>
      <c r="FG153" s="202"/>
      <c r="FH153" s="202"/>
      <c r="FI153" s="202"/>
    </row>
    <row r="154" spans="1:165" s="228" customFormat="1" ht="18" customHeight="1" x14ac:dyDescent="0.2">
      <c r="A154" s="289">
        <f t="shared" si="4"/>
        <v>145</v>
      </c>
      <c r="B154" s="84"/>
      <c r="C154" s="79"/>
      <c r="D154" s="79"/>
      <c r="E154" s="77"/>
      <c r="F154" s="72"/>
      <c r="G154" s="79"/>
      <c r="H154" s="178"/>
      <c r="I154" s="257"/>
      <c r="J154" s="99"/>
      <c r="K154" s="264"/>
      <c r="L154" s="261"/>
      <c r="M154" s="79"/>
      <c r="N154" s="79"/>
      <c r="O154" s="79"/>
      <c r="P154" s="79"/>
      <c r="Q154" s="79"/>
      <c r="R154" s="76"/>
      <c r="S154" s="76"/>
      <c r="T154" s="79"/>
      <c r="U154" s="79"/>
      <c r="V154" s="79"/>
      <c r="W154" s="76"/>
      <c r="X154" s="76"/>
      <c r="Y154" s="76"/>
      <c r="Z154" s="76"/>
      <c r="AA154" s="79"/>
      <c r="AB154" s="79"/>
      <c r="AC154" s="76"/>
      <c r="AD154" s="76"/>
      <c r="AE154" s="76"/>
      <c r="AF154" s="76"/>
      <c r="AG154" s="76"/>
      <c r="AH154" s="76"/>
      <c r="AI154" s="76"/>
      <c r="AJ154" s="76"/>
      <c r="AK154" s="79"/>
      <c r="AL154" s="76"/>
      <c r="AM154" s="76"/>
      <c r="AN154" s="76"/>
      <c r="AO154" s="79"/>
      <c r="AP154" s="76"/>
      <c r="AQ154" s="79"/>
      <c r="AR154" s="79"/>
      <c r="AS154" s="79"/>
      <c r="AT154" s="79"/>
      <c r="AU154" s="79"/>
      <c r="AV154" s="79"/>
      <c r="AW154" s="79"/>
      <c r="AX154" s="79"/>
      <c r="AY154" s="79"/>
      <c r="AZ154" s="79"/>
      <c r="BA154" s="79"/>
      <c r="BB154" s="79"/>
      <c r="BC154" s="79"/>
      <c r="BD154" s="79"/>
      <c r="BE154" s="79"/>
      <c r="BF154" s="79"/>
      <c r="BG154" s="79"/>
      <c r="BH154" s="79"/>
      <c r="BI154" s="79"/>
      <c r="BJ154" s="79"/>
      <c r="BK154" s="79"/>
      <c r="BL154" s="79"/>
      <c r="BM154" s="79"/>
      <c r="BN154" s="79"/>
      <c r="BO154" s="79"/>
      <c r="BP154" s="79"/>
      <c r="BQ154" s="79"/>
      <c r="BR154" s="76"/>
      <c r="BS154" s="76"/>
      <c r="BT154" s="76"/>
      <c r="BU154" s="79"/>
      <c r="BV154" s="79"/>
      <c r="BW154" s="79"/>
      <c r="BX154" s="79"/>
      <c r="BY154" s="79"/>
      <c r="BZ154" s="79"/>
      <c r="CA154" s="76"/>
      <c r="CB154" s="79"/>
      <c r="CC154" s="79"/>
      <c r="CD154" s="79"/>
      <c r="CE154" s="79"/>
      <c r="CF154" s="79"/>
      <c r="CG154" s="79"/>
      <c r="CH154" s="79"/>
      <c r="CI154" s="79"/>
      <c r="CJ154" s="201"/>
      <c r="CK154" s="202"/>
      <c r="CL154" s="202"/>
      <c r="CM154" s="202"/>
      <c r="CN154" s="202"/>
      <c r="CO154" s="202"/>
      <c r="CP154" s="202"/>
      <c r="CQ154" s="202"/>
      <c r="CR154" s="202"/>
      <c r="CS154" s="202"/>
      <c r="CT154" s="202"/>
      <c r="CU154" s="202"/>
      <c r="CV154" s="202"/>
      <c r="CW154" s="202"/>
      <c r="CX154" s="202"/>
      <c r="CY154" s="202"/>
      <c r="CZ154" s="202"/>
      <c r="DA154" s="202"/>
      <c r="DB154" s="202"/>
      <c r="DC154" s="202"/>
      <c r="DD154" s="202"/>
      <c r="DE154" s="202"/>
      <c r="DF154" s="202"/>
      <c r="DG154" s="202"/>
      <c r="DH154" s="202"/>
      <c r="DI154" s="202"/>
      <c r="DJ154" s="202"/>
      <c r="DK154" s="202"/>
      <c r="DL154" s="202"/>
      <c r="DM154" s="202"/>
      <c r="DN154" s="202"/>
      <c r="DO154" s="202"/>
      <c r="DP154" s="202"/>
      <c r="DQ154" s="202"/>
      <c r="DR154" s="202"/>
      <c r="DS154" s="202"/>
      <c r="DT154" s="202"/>
      <c r="DU154" s="202"/>
      <c r="DV154" s="202"/>
      <c r="DW154" s="202"/>
      <c r="DX154" s="202"/>
      <c r="DY154" s="202"/>
      <c r="DZ154" s="202"/>
      <c r="EA154" s="202"/>
      <c r="EB154" s="202"/>
      <c r="EC154" s="202"/>
      <c r="ED154" s="202"/>
      <c r="EE154" s="202"/>
      <c r="EF154" s="202"/>
      <c r="EG154" s="202"/>
      <c r="EH154" s="202"/>
      <c r="EI154" s="202"/>
      <c r="EJ154" s="202"/>
      <c r="EK154" s="202"/>
      <c r="EL154" s="202"/>
      <c r="EM154" s="202"/>
      <c r="EN154" s="202"/>
      <c r="EO154" s="202"/>
      <c r="EP154" s="202"/>
      <c r="EQ154" s="202"/>
      <c r="ER154" s="202"/>
      <c r="ES154" s="202"/>
      <c r="ET154" s="202"/>
      <c r="EU154" s="202"/>
      <c r="EV154" s="202"/>
      <c r="EW154" s="202"/>
      <c r="EX154" s="202"/>
      <c r="EY154" s="202"/>
      <c r="EZ154" s="202"/>
      <c r="FA154" s="202"/>
      <c r="FB154" s="202"/>
      <c r="FC154" s="202"/>
      <c r="FD154" s="202"/>
      <c r="FE154" s="202"/>
      <c r="FF154" s="202"/>
      <c r="FG154" s="202"/>
      <c r="FH154" s="202"/>
      <c r="FI154" s="202"/>
    </row>
    <row r="155" spans="1:165" s="228" customFormat="1" ht="18" customHeight="1" x14ac:dyDescent="0.2">
      <c r="A155" s="289">
        <f t="shared" si="4"/>
        <v>146</v>
      </c>
      <c r="B155" s="78"/>
      <c r="C155" s="79"/>
      <c r="D155" s="79"/>
      <c r="E155" s="98" t="s">
        <v>768</v>
      </c>
      <c r="F155" s="72"/>
      <c r="G155" s="79"/>
      <c r="H155" s="178"/>
      <c r="I155" s="142"/>
      <c r="J155" s="76"/>
      <c r="K155" s="141"/>
      <c r="L155" s="261"/>
      <c r="M155" s="79"/>
      <c r="N155" s="79"/>
      <c r="O155" s="79"/>
      <c r="P155" s="79"/>
      <c r="Q155" s="79"/>
      <c r="R155" s="76"/>
      <c r="S155" s="76"/>
      <c r="T155" s="79"/>
      <c r="U155" s="79"/>
      <c r="V155" s="79"/>
      <c r="W155" s="76"/>
      <c r="X155" s="76"/>
      <c r="Y155" s="76"/>
      <c r="Z155" s="76"/>
      <c r="AA155" s="79"/>
      <c r="AB155" s="79"/>
      <c r="AC155" s="76"/>
      <c r="AD155" s="76"/>
      <c r="AE155" s="76"/>
      <c r="AF155" s="76"/>
      <c r="AG155" s="76"/>
      <c r="AH155" s="76"/>
      <c r="AI155" s="76"/>
      <c r="AJ155" s="76"/>
      <c r="AK155" s="79"/>
      <c r="AL155" s="76"/>
      <c r="AM155" s="76"/>
      <c r="AN155" s="76"/>
      <c r="AO155" s="79"/>
      <c r="AP155" s="76"/>
      <c r="AQ155" s="79"/>
      <c r="AR155" s="79"/>
      <c r="AS155" s="79"/>
      <c r="AT155" s="79"/>
      <c r="AU155" s="79"/>
      <c r="AV155" s="79"/>
      <c r="AW155" s="79"/>
      <c r="AX155" s="79"/>
      <c r="AY155" s="79"/>
      <c r="AZ155" s="79"/>
      <c r="BA155" s="79"/>
      <c r="BB155" s="79"/>
      <c r="BC155" s="79"/>
      <c r="BD155" s="79"/>
      <c r="BE155" s="79"/>
      <c r="BF155" s="79"/>
      <c r="BG155" s="79"/>
      <c r="BH155" s="79"/>
      <c r="BI155" s="79"/>
      <c r="BJ155" s="79"/>
      <c r="BK155" s="79"/>
      <c r="BL155" s="79"/>
      <c r="BM155" s="79"/>
      <c r="BN155" s="79"/>
      <c r="BO155" s="79"/>
      <c r="BP155" s="79"/>
      <c r="BQ155" s="79"/>
      <c r="BR155" s="76"/>
      <c r="BS155" s="76"/>
      <c r="BT155" s="76"/>
      <c r="BU155" s="79"/>
      <c r="BV155" s="79"/>
      <c r="BW155" s="79"/>
      <c r="BX155" s="79"/>
      <c r="BY155" s="79"/>
      <c r="BZ155" s="79"/>
      <c r="CA155" s="76"/>
      <c r="CB155" s="79"/>
      <c r="CC155" s="79"/>
      <c r="CD155" s="79"/>
      <c r="CE155" s="79"/>
      <c r="CF155" s="79"/>
      <c r="CG155" s="79"/>
      <c r="CH155" s="79"/>
      <c r="CI155" s="79"/>
      <c r="CJ155" s="201"/>
      <c r="CK155" s="202"/>
      <c r="CL155" s="202"/>
      <c r="CM155" s="202"/>
      <c r="CN155" s="202"/>
      <c r="CO155" s="202"/>
      <c r="CP155" s="202"/>
      <c r="CQ155" s="202"/>
      <c r="CR155" s="202"/>
      <c r="CS155" s="202"/>
      <c r="CT155" s="202"/>
      <c r="CU155" s="202"/>
      <c r="CV155" s="202"/>
      <c r="CW155" s="202"/>
      <c r="CX155" s="202"/>
      <c r="CY155" s="202"/>
      <c r="CZ155" s="202"/>
      <c r="DA155" s="202"/>
      <c r="DB155" s="202"/>
      <c r="DC155" s="202"/>
      <c r="DD155" s="202"/>
      <c r="DE155" s="202"/>
      <c r="DF155" s="202"/>
      <c r="DG155" s="202"/>
      <c r="DH155" s="202"/>
      <c r="DI155" s="202"/>
      <c r="DJ155" s="202"/>
      <c r="DK155" s="202"/>
      <c r="DL155" s="202"/>
      <c r="DM155" s="202"/>
      <c r="DN155" s="202"/>
      <c r="DO155" s="202"/>
      <c r="DP155" s="202"/>
      <c r="DQ155" s="202"/>
      <c r="DR155" s="202"/>
      <c r="DS155" s="202"/>
      <c r="DT155" s="202"/>
      <c r="DU155" s="202"/>
      <c r="DV155" s="202"/>
      <c r="DW155" s="202"/>
      <c r="DX155" s="202"/>
      <c r="DY155" s="202"/>
      <c r="DZ155" s="202"/>
      <c r="EA155" s="202"/>
      <c r="EB155" s="202"/>
      <c r="EC155" s="202"/>
      <c r="ED155" s="202"/>
      <c r="EE155" s="202"/>
      <c r="EF155" s="202"/>
      <c r="EG155" s="202"/>
      <c r="EH155" s="202"/>
      <c r="EI155" s="202"/>
      <c r="EJ155" s="202"/>
      <c r="EK155" s="202"/>
      <c r="EL155" s="202"/>
      <c r="EM155" s="202"/>
      <c r="EN155" s="202"/>
      <c r="EO155" s="202"/>
      <c r="EP155" s="202"/>
      <c r="EQ155" s="202"/>
      <c r="ER155" s="202"/>
      <c r="ES155" s="202"/>
      <c r="ET155" s="202"/>
      <c r="EU155" s="202"/>
      <c r="EV155" s="202"/>
      <c r="EW155" s="202"/>
      <c r="EX155" s="202"/>
      <c r="EY155" s="202"/>
      <c r="EZ155" s="202"/>
      <c r="FA155" s="202"/>
      <c r="FB155" s="202"/>
      <c r="FC155" s="202"/>
      <c r="FD155" s="202"/>
      <c r="FE155" s="202"/>
      <c r="FF155" s="202"/>
      <c r="FG155" s="202"/>
      <c r="FH155" s="202"/>
      <c r="FI155" s="202"/>
    </row>
    <row r="156" spans="1:165" s="228" customFormat="1" ht="18" customHeight="1" x14ac:dyDescent="0.25">
      <c r="A156" s="578">
        <f t="shared" si="4"/>
        <v>147</v>
      </c>
      <c r="B156" s="588">
        <v>0</v>
      </c>
      <c r="C156" s="612">
        <v>1</v>
      </c>
      <c r="D156" s="585" t="s">
        <v>358</v>
      </c>
      <c r="E156" s="589" t="s">
        <v>769</v>
      </c>
      <c r="F156" s="567" t="s">
        <v>1044</v>
      </c>
      <c r="G156" s="585" t="s">
        <v>108</v>
      </c>
      <c r="H156" s="603" t="s">
        <v>1203</v>
      </c>
      <c r="I156" s="605">
        <v>9</v>
      </c>
      <c r="J156" s="556" t="s">
        <v>64</v>
      </c>
      <c r="K156" s="594"/>
      <c r="L156" s="306"/>
      <c r="M156" s="307"/>
      <c r="N156" s="307"/>
      <c r="O156" s="307"/>
      <c r="P156" s="307"/>
      <c r="Q156" s="79"/>
      <c r="R156" s="79"/>
      <c r="S156" s="585"/>
      <c r="T156" s="585"/>
      <c r="U156" s="585"/>
      <c r="V156" s="585"/>
      <c r="W156" s="585"/>
      <c r="X156" s="585"/>
      <c r="Y156" s="585"/>
      <c r="Z156" s="585"/>
      <c r="AA156" s="585"/>
      <c r="AB156" s="585"/>
      <c r="AC156" s="585"/>
      <c r="AD156" s="585"/>
      <c r="AE156" s="585"/>
      <c r="AF156" s="585"/>
      <c r="AG156" s="585"/>
      <c r="AH156" s="585"/>
      <c r="AI156" s="585"/>
      <c r="AJ156" s="79"/>
      <c r="AK156" s="79"/>
      <c r="AL156" s="585"/>
      <c r="AM156" s="585"/>
      <c r="AN156" s="585"/>
      <c r="AO156" s="585"/>
      <c r="AP156" s="585"/>
      <c r="AQ156" s="585"/>
      <c r="AR156" s="585"/>
      <c r="AS156" s="79"/>
      <c r="AT156" s="79"/>
      <c r="AU156" s="585"/>
      <c r="AV156" s="585"/>
      <c r="AW156" s="585"/>
      <c r="AX156" s="585"/>
      <c r="AY156" s="585"/>
      <c r="AZ156" s="585"/>
      <c r="BA156" s="585"/>
      <c r="BB156" s="585"/>
      <c r="BC156" s="585"/>
      <c r="BD156" s="585"/>
      <c r="BE156" s="79"/>
      <c r="BF156" s="79"/>
      <c r="BG156" s="585"/>
      <c r="BH156" s="585"/>
      <c r="BI156" s="585"/>
      <c r="BJ156" s="585"/>
      <c r="BK156" s="585"/>
      <c r="BL156" s="585"/>
      <c r="BM156" s="585"/>
      <c r="BN156" s="585"/>
      <c r="BO156" s="585"/>
      <c r="BP156" s="585"/>
      <c r="BQ156" s="79"/>
      <c r="BR156" s="79"/>
      <c r="BS156" s="585"/>
      <c r="BT156" s="79"/>
      <c r="BU156" s="79"/>
      <c r="BV156" s="585"/>
      <c r="BW156" s="585"/>
      <c r="BX156" s="585"/>
      <c r="BY156" s="585"/>
      <c r="BZ156" s="79"/>
      <c r="CA156" s="79"/>
      <c r="CB156" s="585"/>
      <c r="CC156" s="585"/>
      <c r="CD156" s="585"/>
      <c r="CE156" s="79"/>
      <c r="CF156" s="79"/>
      <c r="CG156" s="585"/>
      <c r="CH156" s="585" t="s">
        <v>40</v>
      </c>
      <c r="CI156" s="585" t="s">
        <v>40</v>
      </c>
      <c r="CJ156" s="201"/>
      <c r="CK156" s="202"/>
      <c r="CL156" s="202"/>
      <c r="CM156" s="202"/>
      <c r="CN156" s="202"/>
      <c r="CO156" s="202"/>
      <c r="CP156" s="202"/>
      <c r="CQ156" s="202"/>
      <c r="CR156" s="202"/>
      <c r="CS156" s="202"/>
      <c r="CT156" s="202"/>
      <c r="CU156" s="202"/>
      <c r="CV156" s="202"/>
      <c r="CW156" s="202"/>
      <c r="CX156" s="202"/>
      <c r="CY156" s="202"/>
      <c r="CZ156" s="202"/>
      <c r="DA156" s="202"/>
      <c r="DB156" s="202"/>
      <c r="DC156" s="202"/>
      <c r="DD156" s="202"/>
      <c r="DE156" s="202"/>
      <c r="DF156" s="202"/>
      <c r="DG156" s="202"/>
      <c r="DH156" s="202"/>
      <c r="DI156" s="202"/>
      <c r="DJ156" s="202"/>
      <c r="DK156" s="202"/>
      <c r="DL156" s="202"/>
      <c r="DM156" s="202"/>
      <c r="DN156" s="202"/>
      <c r="DO156" s="202"/>
      <c r="DP156" s="202"/>
      <c r="DQ156" s="202"/>
      <c r="DR156" s="202"/>
      <c r="DS156" s="202"/>
      <c r="DT156" s="202"/>
      <c r="DU156" s="202"/>
      <c r="DV156" s="202"/>
      <c r="DW156" s="202"/>
      <c r="DX156" s="202"/>
      <c r="DY156" s="202"/>
      <c r="DZ156" s="202"/>
      <c r="EA156" s="202"/>
      <c r="EB156" s="202"/>
      <c r="EC156" s="202"/>
      <c r="ED156" s="202"/>
      <c r="EE156" s="202"/>
      <c r="EF156" s="202"/>
      <c r="EG156" s="202"/>
      <c r="EH156" s="202"/>
      <c r="EI156" s="202"/>
      <c r="EJ156" s="202"/>
      <c r="EK156" s="202"/>
      <c r="EL156" s="202"/>
      <c r="EM156" s="202"/>
      <c r="EN156" s="202"/>
      <c r="EO156" s="202"/>
      <c r="EP156" s="202"/>
      <c r="EQ156" s="202"/>
      <c r="ER156" s="202"/>
      <c r="ES156" s="202"/>
      <c r="ET156" s="202"/>
      <c r="EU156" s="202"/>
      <c r="EV156" s="202"/>
      <c r="EW156" s="202"/>
      <c r="EX156" s="202"/>
      <c r="EY156" s="202"/>
      <c r="EZ156" s="202"/>
      <c r="FA156" s="202"/>
      <c r="FB156" s="202"/>
      <c r="FC156" s="202"/>
      <c r="FD156" s="202"/>
      <c r="FE156" s="202"/>
      <c r="FF156" s="202"/>
      <c r="FG156" s="202"/>
      <c r="FH156" s="202"/>
      <c r="FI156" s="202"/>
    </row>
    <row r="157" spans="1:165" s="228" customFormat="1" ht="18" customHeight="1" x14ac:dyDescent="0.25">
      <c r="A157" s="578">
        <f t="shared" si="4"/>
        <v>148</v>
      </c>
      <c r="B157" s="588">
        <v>0</v>
      </c>
      <c r="C157" s="612">
        <v>1</v>
      </c>
      <c r="D157" s="585" t="s">
        <v>359</v>
      </c>
      <c r="E157" s="589" t="s">
        <v>770</v>
      </c>
      <c r="F157" s="567" t="s">
        <v>1044</v>
      </c>
      <c r="G157" s="585" t="s">
        <v>109</v>
      </c>
      <c r="H157" s="603" t="s">
        <v>1202</v>
      </c>
      <c r="I157" s="605">
        <v>9</v>
      </c>
      <c r="J157" s="556" t="s">
        <v>64</v>
      </c>
      <c r="K157" s="594"/>
      <c r="L157" s="306"/>
      <c r="M157" s="307"/>
      <c r="N157" s="307"/>
      <c r="O157" s="307"/>
      <c r="P157" s="307"/>
      <c r="Q157" s="79"/>
      <c r="R157" s="76"/>
      <c r="S157" s="585"/>
      <c r="T157" s="556"/>
      <c r="U157" s="556"/>
      <c r="V157" s="556"/>
      <c r="W157" s="585"/>
      <c r="X157" s="585"/>
      <c r="Y157" s="585"/>
      <c r="Z157" s="585"/>
      <c r="AA157" s="556"/>
      <c r="AB157" s="556"/>
      <c r="AC157" s="585"/>
      <c r="AD157" s="585"/>
      <c r="AE157" s="556"/>
      <c r="AF157" s="556"/>
      <c r="AG157" s="556"/>
      <c r="AH157" s="585"/>
      <c r="AI157" s="585"/>
      <c r="AJ157" s="76"/>
      <c r="AK157" s="76"/>
      <c r="AL157" s="556"/>
      <c r="AM157" s="556"/>
      <c r="AN157" s="556"/>
      <c r="AO157" s="556"/>
      <c r="AP157" s="556"/>
      <c r="AQ157" s="556"/>
      <c r="AR157" s="556"/>
      <c r="AS157" s="76"/>
      <c r="AT157" s="76"/>
      <c r="AU157" s="556"/>
      <c r="AV157" s="556"/>
      <c r="AW157" s="556"/>
      <c r="AX157" s="556"/>
      <c r="AY157" s="556"/>
      <c r="AZ157" s="556"/>
      <c r="BA157" s="556"/>
      <c r="BB157" s="556"/>
      <c r="BC157" s="556"/>
      <c r="BD157" s="556"/>
      <c r="BE157" s="76"/>
      <c r="BF157" s="76"/>
      <c r="BG157" s="556"/>
      <c r="BH157" s="556"/>
      <c r="BI157" s="556"/>
      <c r="BJ157" s="556"/>
      <c r="BK157" s="556"/>
      <c r="BL157" s="556"/>
      <c r="BM157" s="556"/>
      <c r="BN157" s="556"/>
      <c r="BO157" s="556"/>
      <c r="BP157" s="556"/>
      <c r="BQ157" s="76"/>
      <c r="BR157" s="76"/>
      <c r="BS157" s="556"/>
      <c r="BT157" s="76"/>
      <c r="BU157" s="76"/>
      <c r="BV157" s="556"/>
      <c r="BW157" s="556"/>
      <c r="BX157" s="556"/>
      <c r="BY157" s="556"/>
      <c r="BZ157" s="76"/>
      <c r="CA157" s="76"/>
      <c r="CB157" s="556"/>
      <c r="CC157" s="556"/>
      <c r="CD157" s="556"/>
      <c r="CE157" s="76"/>
      <c r="CF157" s="79"/>
      <c r="CG157" s="556"/>
      <c r="CH157" s="556" t="s">
        <v>40</v>
      </c>
      <c r="CI157" s="556" t="s">
        <v>40</v>
      </c>
      <c r="CJ157" s="201"/>
      <c r="CK157" s="202"/>
      <c r="CL157" s="202"/>
      <c r="CM157" s="202"/>
      <c r="CN157" s="202"/>
      <c r="CO157" s="202"/>
      <c r="CP157" s="202"/>
      <c r="CQ157" s="202"/>
      <c r="CR157" s="202"/>
      <c r="CS157" s="202"/>
      <c r="CT157" s="202"/>
      <c r="CU157" s="202"/>
      <c r="CV157" s="202"/>
      <c r="CW157" s="202"/>
      <c r="CX157" s="202"/>
      <c r="CY157" s="202"/>
      <c r="CZ157" s="202"/>
      <c r="DA157" s="202"/>
      <c r="DB157" s="202"/>
      <c r="DC157" s="202"/>
      <c r="DD157" s="202"/>
      <c r="DE157" s="202"/>
      <c r="DF157" s="202"/>
      <c r="DG157" s="202"/>
      <c r="DH157" s="202"/>
      <c r="DI157" s="202"/>
      <c r="DJ157" s="202"/>
      <c r="DK157" s="202"/>
      <c r="DL157" s="202"/>
      <c r="DM157" s="202"/>
      <c r="DN157" s="202"/>
      <c r="DO157" s="202"/>
      <c r="DP157" s="202"/>
      <c r="DQ157" s="202"/>
      <c r="DR157" s="202"/>
      <c r="DS157" s="202"/>
      <c r="DT157" s="202"/>
      <c r="DU157" s="202"/>
      <c r="DV157" s="202"/>
      <c r="DW157" s="202"/>
      <c r="DX157" s="202"/>
      <c r="DY157" s="202"/>
      <c r="DZ157" s="202"/>
      <c r="EA157" s="202"/>
      <c r="EB157" s="202"/>
      <c r="EC157" s="202"/>
      <c r="ED157" s="202"/>
      <c r="EE157" s="202"/>
      <c r="EF157" s="202"/>
      <c r="EG157" s="202"/>
      <c r="EH157" s="202"/>
      <c r="EI157" s="202"/>
      <c r="EJ157" s="202"/>
      <c r="EK157" s="202"/>
      <c r="EL157" s="202"/>
      <c r="EM157" s="202"/>
      <c r="EN157" s="202"/>
      <c r="EO157" s="202"/>
      <c r="EP157" s="202"/>
      <c r="EQ157" s="202"/>
      <c r="ER157" s="202"/>
      <c r="ES157" s="202"/>
      <c r="ET157" s="202"/>
      <c r="EU157" s="202"/>
      <c r="EV157" s="202"/>
      <c r="EW157" s="202"/>
      <c r="EX157" s="202"/>
      <c r="EY157" s="202"/>
      <c r="EZ157" s="202"/>
      <c r="FA157" s="202"/>
      <c r="FB157" s="202"/>
      <c r="FC157" s="202"/>
      <c r="FD157" s="202"/>
      <c r="FE157" s="202"/>
      <c r="FF157" s="202"/>
      <c r="FG157" s="202"/>
      <c r="FH157" s="202"/>
      <c r="FI157" s="202"/>
    </row>
    <row r="158" spans="1:165" s="228" customFormat="1" ht="18" customHeight="1" x14ac:dyDescent="0.2">
      <c r="A158" s="289">
        <f t="shared" si="4"/>
        <v>149</v>
      </c>
      <c r="B158" s="78"/>
      <c r="C158" s="72"/>
      <c r="D158" s="79"/>
      <c r="E158" s="77"/>
      <c r="F158" s="297"/>
      <c r="G158" s="79"/>
      <c r="H158" s="79"/>
      <c r="I158" s="142"/>
      <c r="J158" s="76"/>
      <c r="K158" s="141"/>
      <c r="L158" s="261"/>
      <c r="M158" s="79"/>
      <c r="N158" s="79"/>
      <c r="O158" s="79"/>
      <c r="P158" s="79"/>
      <c r="Q158" s="79"/>
      <c r="R158" s="79"/>
      <c r="S158" s="79"/>
      <c r="T158" s="79"/>
      <c r="U158" s="79"/>
      <c r="V158" s="79"/>
      <c r="W158" s="79"/>
      <c r="X158" s="79"/>
      <c r="Y158" s="79"/>
      <c r="Z158" s="79"/>
      <c r="AA158" s="79"/>
      <c r="AB158" s="79"/>
      <c r="AC158" s="79"/>
      <c r="AD158" s="79"/>
      <c r="AE158" s="79"/>
      <c r="AF158" s="79"/>
      <c r="AG158" s="79"/>
      <c r="AH158" s="79"/>
      <c r="AI158" s="79"/>
      <c r="AJ158" s="79"/>
      <c r="AK158" s="79"/>
      <c r="AL158" s="79"/>
      <c r="AM158" s="79"/>
      <c r="AN158" s="79"/>
      <c r="AO158" s="79"/>
      <c r="AP158" s="79"/>
      <c r="AQ158" s="79"/>
      <c r="AR158" s="79"/>
      <c r="AS158" s="79"/>
      <c r="AT158" s="79"/>
      <c r="AU158" s="79"/>
      <c r="AV158" s="79"/>
      <c r="AW158" s="79"/>
      <c r="AX158" s="79"/>
      <c r="AY158" s="79"/>
      <c r="AZ158" s="79"/>
      <c r="BA158" s="79"/>
      <c r="BB158" s="79"/>
      <c r="BC158" s="79"/>
      <c r="BD158" s="79"/>
      <c r="BE158" s="79"/>
      <c r="BF158" s="79"/>
      <c r="BG158" s="79"/>
      <c r="BH158" s="79"/>
      <c r="BI158" s="79"/>
      <c r="BJ158" s="79"/>
      <c r="BK158" s="79"/>
      <c r="BL158" s="79"/>
      <c r="BM158" s="79"/>
      <c r="BN158" s="79"/>
      <c r="BO158" s="79"/>
      <c r="BP158" s="79"/>
      <c r="BQ158" s="79"/>
      <c r="BR158" s="79"/>
      <c r="BS158" s="79"/>
      <c r="BT158" s="79"/>
      <c r="BU158" s="79"/>
      <c r="BV158" s="79"/>
      <c r="BW158" s="79"/>
      <c r="BX158" s="79"/>
      <c r="BY158" s="79"/>
      <c r="BZ158" s="79"/>
      <c r="CA158" s="79"/>
      <c r="CB158" s="79"/>
      <c r="CC158" s="79"/>
      <c r="CD158" s="79"/>
      <c r="CE158" s="79"/>
      <c r="CF158" s="79"/>
      <c r="CG158" s="79"/>
      <c r="CH158" s="79"/>
      <c r="CI158" s="79"/>
      <c r="CJ158" s="201"/>
      <c r="CK158" s="202"/>
      <c r="CL158" s="202"/>
      <c r="CM158" s="202"/>
      <c r="CN158" s="202"/>
      <c r="CO158" s="202"/>
      <c r="CP158" s="202"/>
      <c r="CQ158" s="202"/>
      <c r="CR158" s="202"/>
      <c r="CS158" s="202"/>
      <c r="CT158" s="202"/>
      <c r="CU158" s="202"/>
      <c r="CV158" s="202"/>
      <c r="CW158" s="202"/>
      <c r="CX158" s="202"/>
      <c r="CY158" s="202"/>
      <c r="CZ158" s="202"/>
      <c r="DA158" s="202"/>
      <c r="DB158" s="202"/>
      <c r="DC158" s="202"/>
      <c r="DD158" s="202"/>
      <c r="DE158" s="202"/>
      <c r="DF158" s="202"/>
      <c r="DG158" s="202"/>
      <c r="DH158" s="202"/>
      <c r="DI158" s="202"/>
      <c r="DJ158" s="202"/>
      <c r="DK158" s="202"/>
      <c r="DL158" s="202"/>
      <c r="DM158" s="202"/>
      <c r="DN158" s="202"/>
      <c r="DO158" s="202"/>
      <c r="DP158" s="202"/>
      <c r="DQ158" s="202"/>
      <c r="DR158" s="202"/>
      <c r="DS158" s="202"/>
      <c r="DT158" s="202"/>
      <c r="DU158" s="202"/>
      <c r="DV158" s="202"/>
      <c r="DW158" s="202"/>
      <c r="DX158" s="202"/>
      <c r="DY158" s="202"/>
      <c r="DZ158" s="202"/>
      <c r="EA158" s="202"/>
      <c r="EB158" s="202"/>
      <c r="EC158" s="202"/>
      <c r="ED158" s="202"/>
      <c r="EE158" s="202"/>
      <c r="EF158" s="202"/>
      <c r="EG158" s="202"/>
      <c r="EH158" s="202"/>
      <c r="EI158" s="202"/>
      <c r="EJ158" s="202"/>
      <c r="EK158" s="202"/>
      <c r="EL158" s="202"/>
      <c r="EM158" s="202"/>
      <c r="EN158" s="202"/>
      <c r="EO158" s="202"/>
      <c r="EP158" s="202"/>
      <c r="EQ158" s="202"/>
      <c r="ER158" s="202"/>
      <c r="ES158" s="202"/>
      <c r="ET158" s="202"/>
      <c r="EU158" s="202"/>
      <c r="EV158" s="202"/>
      <c r="EW158" s="202"/>
      <c r="EX158" s="202"/>
      <c r="EY158" s="202"/>
      <c r="EZ158" s="202"/>
      <c r="FA158" s="202"/>
      <c r="FB158" s="202"/>
      <c r="FC158" s="202"/>
      <c r="FD158" s="202"/>
      <c r="FE158" s="202"/>
      <c r="FF158" s="202"/>
      <c r="FG158" s="202"/>
      <c r="FH158" s="202"/>
      <c r="FI158" s="202"/>
    </row>
    <row r="159" spans="1:165" s="228" customFormat="1" ht="18" customHeight="1" x14ac:dyDescent="0.2">
      <c r="A159" s="289">
        <f t="shared" si="4"/>
        <v>150</v>
      </c>
      <c r="B159" s="78"/>
      <c r="C159" s="72"/>
      <c r="D159" s="79"/>
      <c r="E159" s="98" t="s">
        <v>360</v>
      </c>
      <c r="F159" s="297"/>
      <c r="G159" s="79"/>
      <c r="H159" s="79"/>
      <c r="I159" s="142"/>
      <c r="J159" s="76"/>
      <c r="K159" s="141"/>
      <c r="L159" s="261"/>
      <c r="M159" s="79"/>
      <c r="N159" s="79"/>
      <c r="O159" s="79"/>
      <c r="P159" s="79"/>
      <c r="Q159" s="79"/>
      <c r="R159" s="79"/>
      <c r="S159" s="79"/>
      <c r="T159" s="79"/>
      <c r="U159" s="79"/>
      <c r="V159" s="79"/>
      <c r="W159" s="79"/>
      <c r="X159" s="79"/>
      <c r="Y159" s="79"/>
      <c r="Z159" s="79"/>
      <c r="AA159" s="79"/>
      <c r="AB159" s="79"/>
      <c r="AC159" s="79"/>
      <c r="AD159" s="79"/>
      <c r="AE159" s="79"/>
      <c r="AF159" s="79"/>
      <c r="AG159" s="79"/>
      <c r="AH159" s="79"/>
      <c r="AI159" s="79"/>
      <c r="AJ159" s="79"/>
      <c r="AK159" s="79"/>
      <c r="AL159" s="79"/>
      <c r="AM159" s="79"/>
      <c r="AN159" s="79"/>
      <c r="AO159" s="79"/>
      <c r="AP159" s="79"/>
      <c r="AQ159" s="79"/>
      <c r="AR159" s="79"/>
      <c r="AS159" s="79"/>
      <c r="AT159" s="79"/>
      <c r="AU159" s="79"/>
      <c r="AV159" s="79"/>
      <c r="AW159" s="79"/>
      <c r="AX159" s="79"/>
      <c r="AY159" s="79"/>
      <c r="AZ159" s="79"/>
      <c r="BA159" s="79"/>
      <c r="BB159" s="79"/>
      <c r="BC159" s="79"/>
      <c r="BD159" s="79"/>
      <c r="BE159" s="79"/>
      <c r="BF159" s="79"/>
      <c r="BG159" s="79"/>
      <c r="BH159" s="79"/>
      <c r="BI159" s="79"/>
      <c r="BJ159" s="79"/>
      <c r="BK159" s="79"/>
      <c r="BL159" s="79"/>
      <c r="BM159" s="79"/>
      <c r="BN159" s="79"/>
      <c r="BO159" s="79"/>
      <c r="BP159" s="79"/>
      <c r="BQ159" s="79"/>
      <c r="BR159" s="79"/>
      <c r="BS159" s="79"/>
      <c r="BT159" s="79"/>
      <c r="BU159" s="79"/>
      <c r="BV159" s="79"/>
      <c r="BW159" s="79"/>
      <c r="BX159" s="79"/>
      <c r="BY159" s="79"/>
      <c r="BZ159" s="79"/>
      <c r="CA159" s="79"/>
      <c r="CB159" s="79"/>
      <c r="CC159" s="79"/>
      <c r="CD159" s="79"/>
      <c r="CE159" s="79"/>
      <c r="CF159" s="79"/>
      <c r="CG159" s="79"/>
      <c r="CH159" s="79"/>
      <c r="CI159" s="79"/>
      <c r="CJ159" s="201"/>
      <c r="CK159" s="202"/>
      <c r="CL159" s="202"/>
      <c r="CM159" s="202"/>
      <c r="CN159" s="202"/>
      <c r="CO159" s="202"/>
      <c r="CP159" s="202"/>
      <c r="CQ159" s="202"/>
      <c r="CR159" s="202"/>
      <c r="CS159" s="202"/>
      <c r="CT159" s="202"/>
      <c r="CU159" s="202"/>
      <c r="CV159" s="202"/>
      <c r="CW159" s="202"/>
      <c r="CX159" s="202"/>
      <c r="CY159" s="202"/>
      <c r="CZ159" s="202"/>
      <c r="DA159" s="202"/>
      <c r="DB159" s="202"/>
      <c r="DC159" s="202"/>
      <c r="DD159" s="202"/>
      <c r="DE159" s="202"/>
      <c r="DF159" s="202"/>
      <c r="DG159" s="202"/>
      <c r="DH159" s="202"/>
      <c r="DI159" s="202"/>
      <c r="DJ159" s="202"/>
      <c r="DK159" s="202"/>
      <c r="DL159" s="202"/>
      <c r="DM159" s="202"/>
      <c r="DN159" s="202"/>
      <c r="DO159" s="202"/>
      <c r="DP159" s="202"/>
      <c r="DQ159" s="202"/>
      <c r="DR159" s="202"/>
      <c r="DS159" s="202"/>
      <c r="DT159" s="202"/>
      <c r="DU159" s="202"/>
      <c r="DV159" s="202"/>
      <c r="DW159" s="202"/>
      <c r="DX159" s="202"/>
      <c r="DY159" s="202"/>
      <c r="DZ159" s="202"/>
      <c r="EA159" s="202"/>
      <c r="EB159" s="202"/>
      <c r="EC159" s="202"/>
      <c r="ED159" s="202"/>
      <c r="EE159" s="202"/>
      <c r="EF159" s="202"/>
      <c r="EG159" s="202"/>
      <c r="EH159" s="202"/>
      <c r="EI159" s="202"/>
      <c r="EJ159" s="202"/>
      <c r="EK159" s="202"/>
      <c r="EL159" s="202"/>
      <c r="EM159" s="202"/>
      <c r="EN159" s="202"/>
      <c r="EO159" s="202"/>
      <c r="EP159" s="202"/>
      <c r="EQ159" s="202"/>
      <c r="ER159" s="202"/>
      <c r="ES159" s="202"/>
      <c r="ET159" s="202"/>
      <c r="EU159" s="202"/>
      <c r="EV159" s="202"/>
      <c r="EW159" s="202"/>
      <c r="EX159" s="202"/>
      <c r="EY159" s="202"/>
      <c r="EZ159" s="202"/>
      <c r="FA159" s="202"/>
      <c r="FB159" s="202"/>
      <c r="FC159" s="202"/>
      <c r="FD159" s="202"/>
      <c r="FE159" s="202"/>
      <c r="FF159" s="202"/>
      <c r="FG159" s="202"/>
      <c r="FH159" s="202"/>
      <c r="FI159" s="202"/>
    </row>
    <row r="160" spans="1:165" s="228" customFormat="1" ht="18" customHeight="1" x14ac:dyDescent="0.25">
      <c r="A160" s="578">
        <f t="shared" si="4"/>
        <v>151</v>
      </c>
      <c r="B160" s="588">
        <v>0</v>
      </c>
      <c r="C160" s="591">
        <v>5</v>
      </c>
      <c r="D160" s="585" t="s">
        <v>361</v>
      </c>
      <c r="E160" s="589" t="s">
        <v>362</v>
      </c>
      <c r="F160" s="556"/>
      <c r="G160" s="585" t="s">
        <v>363</v>
      </c>
      <c r="H160" s="585" t="s">
        <v>853</v>
      </c>
      <c r="I160" s="605">
        <v>9</v>
      </c>
      <c r="J160" s="556"/>
      <c r="K160" s="618">
        <v>11</v>
      </c>
      <c r="L160" s="306"/>
      <c r="M160" s="307"/>
      <c r="N160" s="307"/>
      <c r="O160" s="307"/>
      <c r="P160" s="307"/>
      <c r="Q160" s="79"/>
      <c r="R160" s="79"/>
      <c r="S160" s="585"/>
      <c r="T160" s="585"/>
      <c r="U160" s="585"/>
      <c r="V160" s="585"/>
      <c r="W160" s="585"/>
      <c r="X160" s="585"/>
      <c r="Y160" s="585"/>
      <c r="Z160" s="585"/>
      <c r="AA160" s="585"/>
      <c r="AB160" s="585"/>
      <c r="AC160" s="585"/>
      <c r="AD160" s="585"/>
      <c r="AE160" s="585"/>
      <c r="AF160" s="585"/>
      <c r="AG160" s="585"/>
      <c r="AH160" s="585"/>
      <c r="AI160" s="585"/>
      <c r="AJ160" s="79"/>
      <c r="AK160" s="79"/>
      <c r="AL160" s="585"/>
      <c r="AM160" s="585"/>
      <c r="AN160" s="585"/>
      <c r="AO160" s="585"/>
      <c r="AP160" s="585"/>
      <c r="AQ160" s="585"/>
      <c r="AR160" s="585"/>
      <c r="AS160" s="79"/>
      <c r="AT160" s="79"/>
      <c r="AU160" s="585"/>
      <c r="AV160" s="585"/>
      <c r="AW160" s="585"/>
      <c r="AX160" s="585"/>
      <c r="AY160" s="585"/>
      <c r="AZ160" s="585"/>
      <c r="BA160" s="585"/>
      <c r="BB160" s="585"/>
      <c r="BC160" s="585"/>
      <c r="BD160" s="585"/>
      <c r="BE160" s="79"/>
      <c r="BF160" s="79"/>
      <c r="BG160" s="585"/>
      <c r="BH160" s="585"/>
      <c r="BI160" s="585"/>
      <c r="BJ160" s="585"/>
      <c r="BK160" s="585"/>
      <c r="BL160" s="585"/>
      <c r="BM160" s="585"/>
      <c r="BN160" s="585"/>
      <c r="BO160" s="585"/>
      <c r="BP160" s="585"/>
      <c r="BQ160" s="79"/>
      <c r="BR160" s="79"/>
      <c r="BS160" s="585"/>
      <c r="BT160" s="79"/>
      <c r="BU160" s="79"/>
      <c r="BV160" s="585"/>
      <c r="BW160" s="585"/>
      <c r="BX160" s="585"/>
      <c r="BY160" s="585"/>
      <c r="BZ160" s="79"/>
      <c r="CA160" s="79"/>
      <c r="CB160" s="585"/>
      <c r="CC160" s="585"/>
      <c r="CD160" s="585"/>
      <c r="CE160" s="79"/>
      <c r="CF160" s="79"/>
      <c r="CG160" s="585"/>
      <c r="CH160" s="585" t="s">
        <v>40</v>
      </c>
      <c r="CI160" s="585" t="s">
        <v>40</v>
      </c>
      <c r="CJ160" s="201"/>
      <c r="CK160" s="202"/>
      <c r="CL160" s="202"/>
      <c r="CM160" s="202"/>
      <c r="CN160" s="202"/>
      <c r="CO160" s="202"/>
      <c r="CP160" s="202"/>
      <c r="CQ160" s="202"/>
      <c r="CR160" s="202"/>
      <c r="CS160" s="202"/>
      <c r="CT160" s="202"/>
      <c r="CU160" s="202"/>
      <c r="CV160" s="202"/>
      <c r="CW160" s="202"/>
      <c r="CX160" s="202"/>
      <c r="CY160" s="202"/>
      <c r="CZ160" s="202"/>
      <c r="DA160" s="202"/>
      <c r="DB160" s="202"/>
      <c r="DC160" s="202"/>
      <c r="DD160" s="202"/>
      <c r="DE160" s="202"/>
      <c r="DF160" s="202"/>
      <c r="DG160" s="202"/>
      <c r="DH160" s="202"/>
      <c r="DI160" s="202"/>
      <c r="DJ160" s="202"/>
      <c r="DK160" s="202"/>
      <c r="DL160" s="202"/>
      <c r="DM160" s="202"/>
      <c r="DN160" s="202"/>
      <c r="DO160" s="202"/>
      <c r="DP160" s="202"/>
      <c r="DQ160" s="202"/>
      <c r="DR160" s="202"/>
      <c r="DS160" s="202"/>
      <c r="DT160" s="202"/>
      <c r="DU160" s="202"/>
      <c r="DV160" s="202"/>
      <c r="DW160" s="202"/>
      <c r="DX160" s="202"/>
      <c r="DY160" s="202"/>
      <c r="DZ160" s="202"/>
      <c r="EA160" s="202"/>
      <c r="EB160" s="202"/>
      <c r="EC160" s="202"/>
      <c r="ED160" s="202"/>
      <c r="EE160" s="202"/>
      <c r="EF160" s="202"/>
      <c r="EG160" s="202"/>
      <c r="EH160" s="202"/>
      <c r="EI160" s="202"/>
      <c r="EJ160" s="202"/>
      <c r="EK160" s="202"/>
      <c r="EL160" s="202"/>
      <c r="EM160" s="202"/>
      <c r="EN160" s="202"/>
      <c r="EO160" s="202"/>
      <c r="EP160" s="202"/>
      <c r="EQ160" s="202"/>
      <c r="ER160" s="202"/>
      <c r="ES160" s="202"/>
      <c r="ET160" s="202"/>
      <c r="EU160" s="202"/>
      <c r="EV160" s="202"/>
      <c r="EW160" s="202"/>
      <c r="EX160" s="202"/>
      <c r="EY160" s="202"/>
      <c r="EZ160" s="202"/>
      <c r="FA160" s="202"/>
      <c r="FB160" s="202"/>
      <c r="FC160" s="202"/>
      <c r="FD160" s="202"/>
      <c r="FE160" s="202"/>
      <c r="FF160" s="202"/>
      <c r="FG160" s="202"/>
      <c r="FH160" s="202"/>
      <c r="FI160" s="202"/>
    </row>
    <row r="161" spans="1:165" s="228" customFormat="1" ht="18" customHeight="1" x14ac:dyDescent="0.25">
      <c r="A161" s="578">
        <f t="shared" si="4"/>
        <v>152</v>
      </c>
      <c r="B161" s="588">
        <v>0</v>
      </c>
      <c r="C161" s="591">
        <v>5</v>
      </c>
      <c r="D161" s="585" t="s">
        <v>361</v>
      </c>
      <c r="E161" s="589" t="s">
        <v>364</v>
      </c>
      <c r="F161" s="567" t="s">
        <v>1113</v>
      </c>
      <c r="G161" s="585" t="s">
        <v>363</v>
      </c>
      <c r="H161" s="585" t="s">
        <v>854</v>
      </c>
      <c r="I161" s="605">
        <v>9</v>
      </c>
      <c r="J161" s="556"/>
      <c r="K161" s="618">
        <v>11</v>
      </c>
      <c r="L161" s="306"/>
      <c r="M161" s="307"/>
      <c r="N161" s="307"/>
      <c r="O161" s="307"/>
      <c r="P161" s="307"/>
      <c r="Q161" s="79"/>
      <c r="R161" s="79"/>
      <c r="S161" s="585"/>
      <c r="T161" s="585"/>
      <c r="U161" s="585"/>
      <c r="V161" s="585"/>
      <c r="W161" s="585"/>
      <c r="X161" s="585"/>
      <c r="Y161" s="585"/>
      <c r="Z161" s="585"/>
      <c r="AA161" s="585"/>
      <c r="AB161" s="585"/>
      <c r="AC161" s="585"/>
      <c r="AD161" s="585"/>
      <c r="AE161" s="585"/>
      <c r="AF161" s="585"/>
      <c r="AG161" s="585"/>
      <c r="AH161" s="585"/>
      <c r="AI161" s="585"/>
      <c r="AJ161" s="79"/>
      <c r="AK161" s="79"/>
      <c r="AL161" s="585"/>
      <c r="AM161" s="585"/>
      <c r="AN161" s="585"/>
      <c r="AO161" s="585"/>
      <c r="AP161" s="585"/>
      <c r="AQ161" s="585"/>
      <c r="AR161" s="585"/>
      <c r="AS161" s="79"/>
      <c r="AT161" s="79"/>
      <c r="AU161" s="585"/>
      <c r="AV161" s="585"/>
      <c r="AW161" s="585"/>
      <c r="AX161" s="585"/>
      <c r="AY161" s="585"/>
      <c r="AZ161" s="585"/>
      <c r="BA161" s="585"/>
      <c r="BB161" s="585"/>
      <c r="BC161" s="585"/>
      <c r="BD161" s="585"/>
      <c r="BE161" s="79"/>
      <c r="BF161" s="79"/>
      <c r="BG161" s="585"/>
      <c r="BH161" s="585"/>
      <c r="BI161" s="585"/>
      <c r="BJ161" s="585"/>
      <c r="BK161" s="585"/>
      <c r="BL161" s="585"/>
      <c r="BM161" s="585"/>
      <c r="BN161" s="585"/>
      <c r="BO161" s="585"/>
      <c r="BP161" s="585"/>
      <c r="BQ161" s="79"/>
      <c r="BR161" s="79"/>
      <c r="BS161" s="585"/>
      <c r="BT161" s="79"/>
      <c r="BU161" s="79"/>
      <c r="BV161" s="585"/>
      <c r="BW161" s="585"/>
      <c r="BX161" s="585"/>
      <c r="BY161" s="585"/>
      <c r="BZ161" s="79"/>
      <c r="CA161" s="79"/>
      <c r="CB161" s="585"/>
      <c r="CC161" s="585"/>
      <c r="CD161" s="585"/>
      <c r="CE161" s="79"/>
      <c r="CF161" s="79"/>
      <c r="CG161" s="585"/>
      <c r="CH161" s="585" t="s">
        <v>40</v>
      </c>
      <c r="CI161" s="585" t="s">
        <v>40</v>
      </c>
      <c r="CJ161" s="201"/>
      <c r="CK161" s="202"/>
      <c r="CL161" s="202"/>
      <c r="CM161" s="202"/>
      <c r="CN161" s="202"/>
      <c r="CO161" s="202"/>
      <c r="CP161" s="202"/>
      <c r="CQ161" s="202"/>
      <c r="CR161" s="202"/>
      <c r="CS161" s="202"/>
      <c r="CT161" s="202"/>
      <c r="CU161" s="202"/>
      <c r="CV161" s="202"/>
      <c r="CW161" s="202"/>
      <c r="CX161" s="202"/>
      <c r="CY161" s="202"/>
      <c r="CZ161" s="202"/>
      <c r="DA161" s="202"/>
      <c r="DB161" s="202"/>
      <c r="DC161" s="202"/>
      <c r="DD161" s="202"/>
      <c r="DE161" s="202"/>
      <c r="DF161" s="202"/>
      <c r="DG161" s="202"/>
      <c r="DH161" s="202"/>
      <c r="DI161" s="202"/>
      <c r="DJ161" s="202"/>
      <c r="DK161" s="202"/>
      <c r="DL161" s="202"/>
      <c r="DM161" s="202"/>
      <c r="DN161" s="202"/>
      <c r="DO161" s="202"/>
      <c r="DP161" s="202"/>
      <c r="DQ161" s="202"/>
      <c r="DR161" s="202"/>
      <c r="DS161" s="202"/>
      <c r="DT161" s="202"/>
      <c r="DU161" s="202"/>
      <c r="DV161" s="202"/>
      <c r="DW161" s="202"/>
      <c r="DX161" s="202"/>
      <c r="DY161" s="202"/>
      <c r="DZ161" s="202"/>
      <c r="EA161" s="202"/>
      <c r="EB161" s="202"/>
      <c r="EC161" s="202"/>
      <c r="ED161" s="202"/>
      <c r="EE161" s="202"/>
      <c r="EF161" s="202"/>
      <c r="EG161" s="202"/>
      <c r="EH161" s="202"/>
      <c r="EI161" s="202"/>
      <c r="EJ161" s="202"/>
      <c r="EK161" s="202"/>
      <c r="EL161" s="202"/>
      <c r="EM161" s="202"/>
      <c r="EN161" s="202"/>
      <c r="EO161" s="202"/>
      <c r="EP161" s="202"/>
      <c r="EQ161" s="202"/>
      <c r="ER161" s="202"/>
      <c r="ES161" s="202"/>
      <c r="ET161" s="202"/>
      <c r="EU161" s="202"/>
      <c r="EV161" s="202"/>
      <c r="EW161" s="202"/>
      <c r="EX161" s="202"/>
      <c r="EY161" s="202"/>
      <c r="EZ161" s="202"/>
      <c r="FA161" s="202"/>
      <c r="FB161" s="202"/>
      <c r="FC161" s="202"/>
      <c r="FD161" s="202"/>
      <c r="FE161" s="202"/>
      <c r="FF161" s="202"/>
      <c r="FG161" s="202"/>
      <c r="FH161" s="202"/>
      <c r="FI161" s="202"/>
    </row>
    <row r="162" spans="1:165" s="228" customFormat="1" ht="18" customHeight="1" x14ac:dyDescent="0.25">
      <c r="A162" s="578">
        <f t="shared" si="4"/>
        <v>153</v>
      </c>
      <c r="B162" s="588">
        <v>0</v>
      </c>
      <c r="C162" s="591">
        <v>5</v>
      </c>
      <c r="D162" s="585" t="s">
        <v>361</v>
      </c>
      <c r="E162" s="589" t="s">
        <v>365</v>
      </c>
      <c r="F162" s="556" t="s">
        <v>366</v>
      </c>
      <c r="G162" s="585" t="s">
        <v>363</v>
      </c>
      <c r="H162" s="585" t="s">
        <v>855</v>
      </c>
      <c r="I162" s="605">
        <v>9</v>
      </c>
      <c r="J162" s="556"/>
      <c r="K162" s="618">
        <v>11</v>
      </c>
      <c r="L162" s="306"/>
      <c r="M162" s="307"/>
      <c r="N162" s="307"/>
      <c r="O162" s="307"/>
      <c r="P162" s="307"/>
      <c r="Q162" s="79"/>
      <c r="R162" s="79"/>
      <c r="S162" s="585"/>
      <c r="T162" s="585"/>
      <c r="U162" s="585"/>
      <c r="V162" s="585"/>
      <c r="W162" s="585"/>
      <c r="X162" s="585"/>
      <c r="Y162" s="585"/>
      <c r="Z162" s="585"/>
      <c r="AA162" s="585"/>
      <c r="AB162" s="585"/>
      <c r="AC162" s="585"/>
      <c r="AD162" s="585"/>
      <c r="AE162" s="585"/>
      <c r="AF162" s="585"/>
      <c r="AG162" s="585"/>
      <c r="AH162" s="585"/>
      <c r="AI162" s="585"/>
      <c r="AJ162" s="79"/>
      <c r="AK162" s="79"/>
      <c r="AL162" s="585"/>
      <c r="AM162" s="585"/>
      <c r="AN162" s="585"/>
      <c r="AO162" s="585"/>
      <c r="AP162" s="585"/>
      <c r="AQ162" s="585"/>
      <c r="AR162" s="585"/>
      <c r="AS162" s="79"/>
      <c r="AT162" s="79"/>
      <c r="AU162" s="585"/>
      <c r="AV162" s="585"/>
      <c r="AW162" s="585"/>
      <c r="AX162" s="585"/>
      <c r="AY162" s="585"/>
      <c r="AZ162" s="585"/>
      <c r="BA162" s="585"/>
      <c r="BB162" s="585"/>
      <c r="BC162" s="585"/>
      <c r="BD162" s="585"/>
      <c r="BE162" s="79"/>
      <c r="BF162" s="79"/>
      <c r="BG162" s="585"/>
      <c r="BH162" s="585"/>
      <c r="BI162" s="585"/>
      <c r="BJ162" s="585"/>
      <c r="BK162" s="585"/>
      <c r="BL162" s="585"/>
      <c r="BM162" s="585"/>
      <c r="BN162" s="585"/>
      <c r="BO162" s="585"/>
      <c r="BP162" s="585"/>
      <c r="BQ162" s="79"/>
      <c r="BR162" s="79"/>
      <c r="BS162" s="585"/>
      <c r="BT162" s="79"/>
      <c r="BU162" s="79"/>
      <c r="BV162" s="585"/>
      <c r="BW162" s="585"/>
      <c r="BX162" s="585"/>
      <c r="BY162" s="585"/>
      <c r="BZ162" s="79"/>
      <c r="CA162" s="79"/>
      <c r="CB162" s="585"/>
      <c r="CC162" s="585"/>
      <c r="CD162" s="585"/>
      <c r="CE162" s="79"/>
      <c r="CF162" s="79"/>
      <c r="CG162" s="585"/>
      <c r="CH162" s="585" t="s">
        <v>40</v>
      </c>
      <c r="CI162" s="585" t="s">
        <v>40</v>
      </c>
      <c r="CJ162" s="201"/>
      <c r="CK162" s="202"/>
      <c r="CL162" s="202"/>
      <c r="CM162" s="202"/>
      <c r="CN162" s="202"/>
      <c r="CO162" s="202"/>
      <c r="CP162" s="202"/>
      <c r="CQ162" s="202"/>
      <c r="CR162" s="202"/>
      <c r="CS162" s="202"/>
      <c r="CT162" s="202"/>
      <c r="CU162" s="202"/>
      <c r="CV162" s="202"/>
      <c r="CW162" s="202"/>
      <c r="CX162" s="202"/>
      <c r="CY162" s="202"/>
      <c r="CZ162" s="202"/>
      <c r="DA162" s="202"/>
      <c r="DB162" s="202"/>
      <c r="DC162" s="202"/>
      <c r="DD162" s="202"/>
      <c r="DE162" s="202"/>
      <c r="DF162" s="202"/>
      <c r="DG162" s="202"/>
      <c r="DH162" s="202"/>
      <c r="DI162" s="202"/>
      <c r="DJ162" s="202"/>
      <c r="DK162" s="202"/>
      <c r="DL162" s="202"/>
      <c r="DM162" s="202"/>
      <c r="DN162" s="202"/>
      <c r="DO162" s="202"/>
      <c r="DP162" s="202"/>
      <c r="DQ162" s="202"/>
      <c r="DR162" s="202"/>
      <c r="DS162" s="202"/>
      <c r="DT162" s="202"/>
      <c r="DU162" s="202"/>
      <c r="DV162" s="202"/>
      <c r="DW162" s="202"/>
      <c r="DX162" s="202"/>
      <c r="DY162" s="202"/>
      <c r="DZ162" s="202"/>
      <c r="EA162" s="202"/>
      <c r="EB162" s="202"/>
      <c r="EC162" s="202"/>
      <c r="ED162" s="202"/>
      <c r="EE162" s="202"/>
      <c r="EF162" s="202"/>
      <c r="EG162" s="202"/>
      <c r="EH162" s="202"/>
      <c r="EI162" s="202"/>
      <c r="EJ162" s="202"/>
      <c r="EK162" s="202"/>
      <c r="EL162" s="202"/>
      <c r="EM162" s="202"/>
      <c r="EN162" s="202"/>
      <c r="EO162" s="202"/>
      <c r="EP162" s="202"/>
      <c r="EQ162" s="202"/>
      <c r="ER162" s="202"/>
      <c r="ES162" s="202"/>
      <c r="ET162" s="202"/>
      <c r="EU162" s="202"/>
      <c r="EV162" s="202"/>
      <c r="EW162" s="202"/>
      <c r="EX162" s="202"/>
      <c r="EY162" s="202"/>
      <c r="EZ162" s="202"/>
      <c r="FA162" s="202"/>
      <c r="FB162" s="202"/>
      <c r="FC162" s="202"/>
      <c r="FD162" s="202"/>
      <c r="FE162" s="202"/>
      <c r="FF162" s="202"/>
      <c r="FG162" s="202"/>
      <c r="FH162" s="202"/>
      <c r="FI162" s="202"/>
    </row>
    <row r="163" spans="1:165" s="228" customFormat="1" ht="18" customHeight="1" x14ac:dyDescent="0.25">
      <c r="A163" s="578">
        <f t="shared" si="4"/>
        <v>154</v>
      </c>
      <c r="B163" s="588">
        <v>0</v>
      </c>
      <c r="C163" s="591">
        <v>5</v>
      </c>
      <c r="D163" s="585" t="s">
        <v>361</v>
      </c>
      <c r="E163" s="589" t="s">
        <v>367</v>
      </c>
      <c r="F163" s="556" t="s">
        <v>368</v>
      </c>
      <c r="G163" s="585" t="s">
        <v>363</v>
      </c>
      <c r="H163" s="585" t="s">
        <v>856</v>
      </c>
      <c r="I163" s="593">
        <v>2</v>
      </c>
      <c r="J163" s="556"/>
      <c r="K163" s="618">
        <v>11</v>
      </c>
      <c r="L163" s="306"/>
      <c r="M163" s="307" t="s">
        <v>122</v>
      </c>
      <c r="N163" s="307"/>
      <c r="O163" s="307"/>
      <c r="P163" s="307"/>
      <c r="Q163" s="79"/>
      <c r="R163" s="79"/>
      <c r="S163" s="585"/>
      <c r="T163" s="585"/>
      <c r="U163" s="585"/>
      <c r="V163" s="585"/>
      <c r="W163" s="585"/>
      <c r="X163" s="585"/>
      <c r="Y163" s="585"/>
      <c r="Z163" s="585"/>
      <c r="AA163" s="585"/>
      <c r="AB163" s="585"/>
      <c r="AC163" s="585"/>
      <c r="AD163" s="585"/>
      <c r="AE163" s="585"/>
      <c r="AF163" s="585"/>
      <c r="AG163" s="585"/>
      <c r="AH163" s="585"/>
      <c r="AI163" s="585"/>
      <c r="AJ163" s="79"/>
      <c r="AK163" s="79"/>
      <c r="AL163" s="585"/>
      <c r="AM163" s="585"/>
      <c r="AN163" s="585"/>
      <c r="AO163" s="585" t="s">
        <v>121</v>
      </c>
      <c r="AP163" s="585"/>
      <c r="AQ163" s="585" t="s">
        <v>121</v>
      </c>
      <c r="AR163" s="585"/>
      <c r="AS163" s="79"/>
      <c r="AT163" s="79"/>
      <c r="AU163" s="585"/>
      <c r="AV163" s="585"/>
      <c r="AW163" s="585"/>
      <c r="AX163" s="585" t="s">
        <v>120</v>
      </c>
      <c r="AY163" s="585"/>
      <c r="AZ163" s="585"/>
      <c r="BA163" s="585"/>
      <c r="BB163" s="585"/>
      <c r="BC163" s="585"/>
      <c r="BD163" s="585" t="s">
        <v>121</v>
      </c>
      <c r="BE163" s="79"/>
      <c r="BF163" s="79"/>
      <c r="BG163" s="585"/>
      <c r="BH163" s="585"/>
      <c r="BI163" s="585"/>
      <c r="BJ163" s="585" t="s">
        <v>120</v>
      </c>
      <c r="BK163" s="585"/>
      <c r="BL163" s="585"/>
      <c r="BM163" s="585"/>
      <c r="BN163" s="585"/>
      <c r="BO163" s="585"/>
      <c r="BP163" s="585" t="s">
        <v>121</v>
      </c>
      <c r="BQ163" s="79"/>
      <c r="BR163" s="79"/>
      <c r="BS163" s="585"/>
      <c r="BT163" s="79"/>
      <c r="BU163" s="79"/>
      <c r="BV163" s="585"/>
      <c r="BW163" s="585"/>
      <c r="BX163" s="585"/>
      <c r="BY163" s="585"/>
      <c r="BZ163" s="79"/>
      <c r="CA163" s="79"/>
      <c r="CB163" s="585"/>
      <c r="CC163" s="585"/>
      <c r="CD163" s="585"/>
      <c r="CE163" s="79"/>
      <c r="CF163" s="79"/>
      <c r="CG163" s="585"/>
      <c r="CH163" s="585" t="s">
        <v>40</v>
      </c>
      <c r="CI163" s="585" t="s">
        <v>40</v>
      </c>
      <c r="CJ163" s="201"/>
      <c r="CK163" s="202"/>
      <c r="CL163" s="202"/>
      <c r="CM163" s="202"/>
      <c r="CN163" s="202"/>
      <c r="CO163" s="202"/>
      <c r="CP163" s="202"/>
      <c r="CQ163" s="202"/>
      <c r="CR163" s="202"/>
      <c r="CS163" s="202"/>
      <c r="CT163" s="202"/>
      <c r="CU163" s="202"/>
      <c r="CV163" s="202"/>
      <c r="CW163" s="202"/>
      <c r="CX163" s="202"/>
      <c r="CY163" s="202"/>
      <c r="CZ163" s="202"/>
      <c r="DA163" s="202"/>
      <c r="DB163" s="202"/>
      <c r="DC163" s="202"/>
      <c r="DD163" s="202"/>
      <c r="DE163" s="202"/>
      <c r="DF163" s="202"/>
      <c r="DG163" s="202"/>
      <c r="DH163" s="202"/>
      <c r="DI163" s="202"/>
      <c r="DJ163" s="202"/>
      <c r="DK163" s="202"/>
      <c r="DL163" s="202"/>
      <c r="DM163" s="202"/>
      <c r="DN163" s="202"/>
      <c r="DO163" s="202"/>
      <c r="DP163" s="202"/>
      <c r="DQ163" s="202"/>
      <c r="DR163" s="202"/>
      <c r="DS163" s="202"/>
      <c r="DT163" s="202"/>
      <c r="DU163" s="202"/>
      <c r="DV163" s="202"/>
      <c r="DW163" s="202"/>
      <c r="DX163" s="202"/>
      <c r="DY163" s="202"/>
      <c r="DZ163" s="202"/>
      <c r="EA163" s="202"/>
      <c r="EB163" s="202"/>
      <c r="EC163" s="202"/>
      <c r="ED163" s="202"/>
      <c r="EE163" s="202"/>
      <c r="EF163" s="202"/>
      <c r="EG163" s="202"/>
      <c r="EH163" s="202"/>
      <c r="EI163" s="202"/>
      <c r="EJ163" s="202"/>
      <c r="EK163" s="202"/>
      <c r="EL163" s="202"/>
      <c r="EM163" s="202"/>
      <c r="EN163" s="202"/>
      <c r="EO163" s="202"/>
      <c r="EP163" s="202"/>
      <c r="EQ163" s="202"/>
      <c r="ER163" s="202"/>
      <c r="ES163" s="202"/>
      <c r="ET163" s="202"/>
      <c r="EU163" s="202"/>
      <c r="EV163" s="202"/>
      <c r="EW163" s="202"/>
      <c r="EX163" s="202"/>
      <c r="EY163" s="202"/>
      <c r="EZ163" s="202"/>
      <c r="FA163" s="202"/>
      <c r="FB163" s="202"/>
      <c r="FC163" s="202"/>
      <c r="FD163" s="202"/>
      <c r="FE163" s="202"/>
      <c r="FF163" s="202"/>
      <c r="FG163" s="202"/>
      <c r="FH163" s="202"/>
      <c r="FI163" s="202"/>
    </row>
    <row r="164" spans="1:165" s="228" customFormat="1" ht="18" customHeight="1" x14ac:dyDescent="0.25">
      <c r="A164" s="578">
        <f t="shared" si="4"/>
        <v>155</v>
      </c>
      <c r="B164" s="588">
        <v>0</v>
      </c>
      <c r="C164" s="591">
        <v>5</v>
      </c>
      <c r="D164" s="585" t="s">
        <v>369</v>
      </c>
      <c r="E164" s="589" t="s">
        <v>370</v>
      </c>
      <c r="F164" s="556" t="s">
        <v>371</v>
      </c>
      <c r="G164" s="585" t="s">
        <v>372</v>
      </c>
      <c r="H164" s="585" t="s">
        <v>857</v>
      </c>
      <c r="I164" s="605">
        <v>9</v>
      </c>
      <c r="J164" s="556"/>
      <c r="K164" s="618">
        <v>11</v>
      </c>
      <c r="L164" s="306"/>
      <c r="M164" s="307"/>
      <c r="N164" s="307"/>
      <c r="O164" s="307"/>
      <c r="P164" s="307"/>
      <c r="Q164" s="79"/>
      <c r="R164" s="79"/>
      <c r="S164" s="585"/>
      <c r="T164" s="585"/>
      <c r="U164" s="585"/>
      <c r="V164" s="585"/>
      <c r="W164" s="585"/>
      <c r="X164" s="585"/>
      <c r="Y164" s="585"/>
      <c r="Z164" s="585"/>
      <c r="AA164" s="585"/>
      <c r="AB164" s="585"/>
      <c r="AC164" s="585"/>
      <c r="AD164" s="585"/>
      <c r="AE164" s="585"/>
      <c r="AF164" s="585"/>
      <c r="AG164" s="585"/>
      <c r="AH164" s="585"/>
      <c r="AI164" s="585"/>
      <c r="AJ164" s="79"/>
      <c r="AK164" s="79"/>
      <c r="AL164" s="585"/>
      <c r="AM164" s="585"/>
      <c r="AN164" s="585"/>
      <c r="AO164" s="585"/>
      <c r="AP164" s="585"/>
      <c r="AQ164" s="585"/>
      <c r="AR164" s="585"/>
      <c r="AS164" s="79"/>
      <c r="AT164" s="79"/>
      <c r="AU164" s="585"/>
      <c r="AV164" s="585"/>
      <c r="AW164" s="585"/>
      <c r="AX164" s="585"/>
      <c r="AY164" s="585"/>
      <c r="AZ164" s="585"/>
      <c r="BA164" s="585"/>
      <c r="BB164" s="585"/>
      <c r="BC164" s="585"/>
      <c r="BD164" s="585"/>
      <c r="BE164" s="79"/>
      <c r="BF164" s="79"/>
      <c r="BG164" s="585"/>
      <c r="BH164" s="585"/>
      <c r="BI164" s="585"/>
      <c r="BJ164" s="585"/>
      <c r="BK164" s="585"/>
      <c r="BL164" s="585"/>
      <c r="BM164" s="585"/>
      <c r="BN164" s="585"/>
      <c r="BO164" s="585"/>
      <c r="BP164" s="585"/>
      <c r="BQ164" s="79"/>
      <c r="BR164" s="79"/>
      <c r="BS164" s="585"/>
      <c r="BT164" s="79"/>
      <c r="BU164" s="79"/>
      <c r="BV164" s="585"/>
      <c r="BW164" s="585"/>
      <c r="BX164" s="585"/>
      <c r="BY164" s="585"/>
      <c r="BZ164" s="79"/>
      <c r="CA164" s="79"/>
      <c r="CB164" s="585"/>
      <c r="CC164" s="585"/>
      <c r="CD164" s="585"/>
      <c r="CE164" s="79"/>
      <c r="CF164" s="79"/>
      <c r="CG164" s="585"/>
      <c r="CH164" s="585" t="s">
        <v>40</v>
      </c>
      <c r="CI164" s="585" t="s">
        <v>40</v>
      </c>
      <c r="CJ164" s="201"/>
      <c r="CK164" s="202"/>
      <c r="CL164" s="202"/>
      <c r="CM164" s="202"/>
      <c r="CN164" s="202"/>
      <c r="CO164" s="202"/>
      <c r="CP164" s="202"/>
      <c r="CQ164" s="202"/>
      <c r="CR164" s="202"/>
      <c r="CS164" s="202"/>
      <c r="CT164" s="202"/>
      <c r="CU164" s="202"/>
      <c r="CV164" s="202"/>
      <c r="CW164" s="202"/>
      <c r="CX164" s="202"/>
      <c r="CY164" s="202"/>
      <c r="CZ164" s="202"/>
      <c r="DA164" s="202"/>
      <c r="DB164" s="202"/>
      <c r="DC164" s="202"/>
      <c r="DD164" s="202"/>
      <c r="DE164" s="202"/>
      <c r="DF164" s="202"/>
      <c r="DG164" s="202"/>
      <c r="DH164" s="202"/>
      <c r="DI164" s="202"/>
      <c r="DJ164" s="202"/>
      <c r="DK164" s="202"/>
      <c r="DL164" s="202"/>
      <c r="DM164" s="202"/>
      <c r="DN164" s="202"/>
      <c r="DO164" s="202"/>
      <c r="DP164" s="202"/>
      <c r="DQ164" s="202"/>
      <c r="DR164" s="202"/>
      <c r="DS164" s="202"/>
      <c r="DT164" s="202"/>
      <c r="DU164" s="202"/>
      <c r="DV164" s="202"/>
      <c r="DW164" s="202"/>
      <c r="DX164" s="202"/>
      <c r="DY164" s="202"/>
      <c r="DZ164" s="202"/>
      <c r="EA164" s="202"/>
      <c r="EB164" s="202"/>
      <c r="EC164" s="202"/>
      <c r="ED164" s="202"/>
      <c r="EE164" s="202"/>
      <c r="EF164" s="202"/>
      <c r="EG164" s="202"/>
      <c r="EH164" s="202"/>
      <c r="EI164" s="202"/>
      <c r="EJ164" s="202"/>
      <c r="EK164" s="202"/>
      <c r="EL164" s="202"/>
      <c r="EM164" s="202"/>
      <c r="EN164" s="202"/>
      <c r="EO164" s="202"/>
      <c r="EP164" s="202"/>
      <c r="EQ164" s="202"/>
      <c r="ER164" s="202"/>
      <c r="ES164" s="202"/>
      <c r="ET164" s="202"/>
      <c r="EU164" s="202"/>
      <c r="EV164" s="202"/>
      <c r="EW164" s="202"/>
      <c r="EX164" s="202"/>
      <c r="EY164" s="202"/>
      <c r="EZ164" s="202"/>
      <c r="FA164" s="202"/>
      <c r="FB164" s="202"/>
      <c r="FC164" s="202"/>
      <c r="FD164" s="202"/>
      <c r="FE164" s="202"/>
      <c r="FF164" s="202"/>
      <c r="FG164" s="202"/>
      <c r="FH164" s="202"/>
      <c r="FI164" s="202"/>
    </row>
    <row r="165" spans="1:165" s="228" customFormat="1" ht="18" customHeight="1" x14ac:dyDescent="0.25">
      <c r="A165" s="578">
        <f t="shared" si="4"/>
        <v>156</v>
      </c>
      <c r="B165" s="588">
        <v>0</v>
      </c>
      <c r="C165" s="591">
        <v>5</v>
      </c>
      <c r="D165" s="585" t="s">
        <v>369</v>
      </c>
      <c r="E165" s="589" t="s">
        <v>373</v>
      </c>
      <c r="F165" s="556"/>
      <c r="G165" s="585" t="s">
        <v>372</v>
      </c>
      <c r="H165" s="585" t="s">
        <v>858</v>
      </c>
      <c r="I165" s="605">
        <v>9</v>
      </c>
      <c r="J165" s="556"/>
      <c r="K165" s="618">
        <v>11</v>
      </c>
      <c r="L165" s="306"/>
      <c r="M165" s="307"/>
      <c r="N165" s="307"/>
      <c r="O165" s="307"/>
      <c r="P165" s="307"/>
      <c r="Q165" s="79"/>
      <c r="R165" s="79"/>
      <c r="S165" s="585"/>
      <c r="T165" s="585"/>
      <c r="U165" s="585"/>
      <c r="V165" s="585"/>
      <c r="W165" s="585"/>
      <c r="X165" s="585"/>
      <c r="Y165" s="585"/>
      <c r="Z165" s="585"/>
      <c r="AA165" s="585"/>
      <c r="AB165" s="585"/>
      <c r="AC165" s="585"/>
      <c r="AD165" s="585"/>
      <c r="AE165" s="585"/>
      <c r="AF165" s="585"/>
      <c r="AG165" s="585"/>
      <c r="AH165" s="585"/>
      <c r="AI165" s="585"/>
      <c r="AJ165" s="79"/>
      <c r="AK165" s="79"/>
      <c r="AL165" s="585"/>
      <c r="AM165" s="585"/>
      <c r="AN165" s="585"/>
      <c r="AO165" s="585"/>
      <c r="AP165" s="585"/>
      <c r="AQ165" s="585"/>
      <c r="AR165" s="585"/>
      <c r="AS165" s="79"/>
      <c r="AT165" s="79"/>
      <c r="AU165" s="585"/>
      <c r="AV165" s="585"/>
      <c r="AW165" s="585"/>
      <c r="AX165" s="585"/>
      <c r="AY165" s="585"/>
      <c r="AZ165" s="585"/>
      <c r="BA165" s="585"/>
      <c r="BB165" s="585"/>
      <c r="BC165" s="585"/>
      <c r="BD165" s="585"/>
      <c r="BE165" s="79"/>
      <c r="BF165" s="79"/>
      <c r="BG165" s="585"/>
      <c r="BH165" s="585"/>
      <c r="BI165" s="585"/>
      <c r="BJ165" s="585"/>
      <c r="BK165" s="585"/>
      <c r="BL165" s="585"/>
      <c r="BM165" s="585"/>
      <c r="BN165" s="585"/>
      <c r="BO165" s="585"/>
      <c r="BP165" s="585"/>
      <c r="BQ165" s="79"/>
      <c r="BR165" s="79"/>
      <c r="BS165" s="585"/>
      <c r="BT165" s="79"/>
      <c r="BU165" s="79"/>
      <c r="BV165" s="585"/>
      <c r="BW165" s="585"/>
      <c r="BX165" s="585"/>
      <c r="BY165" s="585"/>
      <c r="BZ165" s="79"/>
      <c r="CA165" s="79"/>
      <c r="CB165" s="585"/>
      <c r="CC165" s="585"/>
      <c r="CD165" s="585"/>
      <c r="CE165" s="79"/>
      <c r="CF165" s="79"/>
      <c r="CG165" s="585"/>
      <c r="CH165" s="585" t="s">
        <v>40</v>
      </c>
      <c r="CI165" s="585" t="s">
        <v>40</v>
      </c>
      <c r="CJ165" s="201"/>
      <c r="CK165" s="202"/>
      <c r="CL165" s="202"/>
      <c r="CM165" s="202"/>
      <c r="CN165" s="202"/>
      <c r="CO165" s="202"/>
      <c r="CP165" s="202"/>
      <c r="CQ165" s="202"/>
      <c r="CR165" s="202"/>
      <c r="CS165" s="202"/>
      <c r="CT165" s="202"/>
      <c r="CU165" s="202"/>
      <c r="CV165" s="202"/>
      <c r="CW165" s="202"/>
      <c r="CX165" s="202"/>
      <c r="CY165" s="202"/>
      <c r="CZ165" s="202"/>
      <c r="DA165" s="202"/>
      <c r="DB165" s="202"/>
      <c r="DC165" s="202"/>
      <c r="DD165" s="202"/>
      <c r="DE165" s="202"/>
      <c r="DF165" s="202"/>
      <c r="DG165" s="202"/>
      <c r="DH165" s="202"/>
      <c r="DI165" s="202"/>
      <c r="DJ165" s="202"/>
      <c r="DK165" s="202"/>
      <c r="DL165" s="202"/>
      <c r="DM165" s="202"/>
      <c r="DN165" s="202"/>
      <c r="DO165" s="202"/>
      <c r="DP165" s="202"/>
      <c r="DQ165" s="202"/>
      <c r="DR165" s="202"/>
      <c r="DS165" s="202"/>
      <c r="DT165" s="202"/>
      <c r="DU165" s="202"/>
      <c r="DV165" s="202"/>
      <c r="DW165" s="202"/>
      <c r="DX165" s="202"/>
      <c r="DY165" s="202"/>
      <c r="DZ165" s="202"/>
      <c r="EA165" s="202"/>
      <c r="EB165" s="202"/>
      <c r="EC165" s="202"/>
      <c r="ED165" s="202"/>
      <c r="EE165" s="202"/>
      <c r="EF165" s="202"/>
      <c r="EG165" s="202"/>
      <c r="EH165" s="202"/>
      <c r="EI165" s="202"/>
      <c r="EJ165" s="202"/>
      <c r="EK165" s="202"/>
      <c r="EL165" s="202"/>
      <c r="EM165" s="202"/>
      <c r="EN165" s="202"/>
      <c r="EO165" s="202"/>
      <c r="EP165" s="202"/>
      <c r="EQ165" s="202"/>
      <c r="ER165" s="202"/>
      <c r="ES165" s="202"/>
      <c r="ET165" s="202"/>
      <c r="EU165" s="202"/>
      <c r="EV165" s="202"/>
      <c r="EW165" s="202"/>
      <c r="EX165" s="202"/>
      <c r="EY165" s="202"/>
      <c r="EZ165" s="202"/>
      <c r="FA165" s="202"/>
      <c r="FB165" s="202"/>
      <c r="FC165" s="202"/>
      <c r="FD165" s="202"/>
      <c r="FE165" s="202"/>
      <c r="FF165" s="202"/>
      <c r="FG165" s="202"/>
      <c r="FH165" s="202"/>
      <c r="FI165" s="202"/>
    </row>
    <row r="166" spans="1:165" s="228" customFormat="1" ht="18" customHeight="1" x14ac:dyDescent="0.25">
      <c r="A166" s="578">
        <f t="shared" si="4"/>
        <v>157</v>
      </c>
      <c r="B166" s="588">
        <v>0</v>
      </c>
      <c r="C166" s="591">
        <v>5</v>
      </c>
      <c r="D166" s="585" t="s">
        <v>369</v>
      </c>
      <c r="E166" s="589" t="s">
        <v>374</v>
      </c>
      <c r="F166" s="556"/>
      <c r="G166" s="585" t="s">
        <v>372</v>
      </c>
      <c r="H166" s="585" t="s">
        <v>859</v>
      </c>
      <c r="I166" s="605">
        <v>9</v>
      </c>
      <c r="J166" s="556"/>
      <c r="K166" s="618">
        <v>11</v>
      </c>
      <c r="L166" s="306"/>
      <c r="M166" s="307"/>
      <c r="N166" s="307"/>
      <c r="O166" s="307"/>
      <c r="P166" s="307"/>
      <c r="Q166" s="79"/>
      <c r="R166" s="79"/>
      <c r="S166" s="585"/>
      <c r="T166" s="585"/>
      <c r="U166" s="585"/>
      <c r="V166" s="585"/>
      <c r="W166" s="585"/>
      <c r="X166" s="585"/>
      <c r="Y166" s="585"/>
      <c r="Z166" s="585"/>
      <c r="AA166" s="585"/>
      <c r="AB166" s="585"/>
      <c r="AC166" s="585"/>
      <c r="AD166" s="585"/>
      <c r="AE166" s="585"/>
      <c r="AF166" s="585"/>
      <c r="AG166" s="585"/>
      <c r="AH166" s="585"/>
      <c r="AI166" s="585"/>
      <c r="AJ166" s="79"/>
      <c r="AK166" s="79"/>
      <c r="AL166" s="585"/>
      <c r="AM166" s="585"/>
      <c r="AN166" s="585"/>
      <c r="AO166" s="585"/>
      <c r="AP166" s="585"/>
      <c r="AQ166" s="585"/>
      <c r="AR166" s="585"/>
      <c r="AS166" s="79"/>
      <c r="AT166" s="79"/>
      <c r="AU166" s="585"/>
      <c r="AV166" s="585"/>
      <c r="AW166" s="585"/>
      <c r="AX166" s="585"/>
      <c r="AY166" s="585"/>
      <c r="AZ166" s="585"/>
      <c r="BA166" s="585"/>
      <c r="BB166" s="585"/>
      <c r="BC166" s="585"/>
      <c r="BD166" s="585"/>
      <c r="BE166" s="79"/>
      <c r="BF166" s="79"/>
      <c r="BG166" s="585"/>
      <c r="BH166" s="585"/>
      <c r="BI166" s="585"/>
      <c r="BJ166" s="585"/>
      <c r="BK166" s="585"/>
      <c r="BL166" s="585"/>
      <c r="BM166" s="585"/>
      <c r="BN166" s="585"/>
      <c r="BO166" s="585"/>
      <c r="BP166" s="585"/>
      <c r="BQ166" s="79"/>
      <c r="BR166" s="79"/>
      <c r="BS166" s="585"/>
      <c r="BT166" s="79"/>
      <c r="BU166" s="79"/>
      <c r="BV166" s="585"/>
      <c r="BW166" s="585"/>
      <c r="BX166" s="585"/>
      <c r="BY166" s="585"/>
      <c r="BZ166" s="79"/>
      <c r="CA166" s="79"/>
      <c r="CB166" s="585"/>
      <c r="CC166" s="585"/>
      <c r="CD166" s="585"/>
      <c r="CE166" s="79"/>
      <c r="CF166" s="79"/>
      <c r="CG166" s="585"/>
      <c r="CH166" s="585" t="s">
        <v>40</v>
      </c>
      <c r="CI166" s="585" t="s">
        <v>40</v>
      </c>
      <c r="CJ166" s="201"/>
      <c r="CK166" s="202"/>
      <c r="CL166" s="202"/>
      <c r="CM166" s="202"/>
      <c r="CN166" s="202"/>
      <c r="CO166" s="202"/>
      <c r="CP166" s="202"/>
      <c r="CQ166" s="202"/>
      <c r="CR166" s="202"/>
      <c r="CS166" s="202"/>
      <c r="CT166" s="202"/>
      <c r="CU166" s="202"/>
      <c r="CV166" s="202"/>
      <c r="CW166" s="202"/>
      <c r="CX166" s="202"/>
      <c r="CY166" s="202"/>
      <c r="CZ166" s="202"/>
      <c r="DA166" s="202"/>
      <c r="DB166" s="202"/>
      <c r="DC166" s="202"/>
      <c r="DD166" s="202"/>
      <c r="DE166" s="202"/>
      <c r="DF166" s="202"/>
      <c r="DG166" s="202"/>
      <c r="DH166" s="202"/>
      <c r="DI166" s="202"/>
      <c r="DJ166" s="202"/>
      <c r="DK166" s="202"/>
      <c r="DL166" s="202"/>
      <c r="DM166" s="202"/>
      <c r="DN166" s="202"/>
      <c r="DO166" s="202"/>
      <c r="DP166" s="202"/>
      <c r="DQ166" s="202"/>
      <c r="DR166" s="202"/>
      <c r="DS166" s="202"/>
      <c r="DT166" s="202"/>
      <c r="DU166" s="202"/>
      <c r="DV166" s="202"/>
      <c r="DW166" s="202"/>
      <c r="DX166" s="202"/>
      <c r="DY166" s="202"/>
      <c r="DZ166" s="202"/>
      <c r="EA166" s="202"/>
      <c r="EB166" s="202"/>
      <c r="EC166" s="202"/>
      <c r="ED166" s="202"/>
      <c r="EE166" s="202"/>
      <c r="EF166" s="202"/>
      <c r="EG166" s="202"/>
      <c r="EH166" s="202"/>
      <c r="EI166" s="202"/>
      <c r="EJ166" s="202"/>
      <c r="EK166" s="202"/>
      <c r="EL166" s="202"/>
      <c r="EM166" s="202"/>
      <c r="EN166" s="202"/>
      <c r="EO166" s="202"/>
      <c r="EP166" s="202"/>
      <c r="EQ166" s="202"/>
      <c r="ER166" s="202"/>
      <c r="ES166" s="202"/>
      <c r="ET166" s="202"/>
      <c r="EU166" s="202"/>
      <c r="EV166" s="202"/>
      <c r="EW166" s="202"/>
      <c r="EX166" s="202"/>
      <c r="EY166" s="202"/>
      <c r="EZ166" s="202"/>
      <c r="FA166" s="202"/>
      <c r="FB166" s="202"/>
      <c r="FC166" s="202"/>
      <c r="FD166" s="202"/>
      <c r="FE166" s="202"/>
      <c r="FF166" s="202"/>
      <c r="FG166" s="202"/>
      <c r="FH166" s="202"/>
      <c r="FI166" s="202"/>
    </row>
    <row r="167" spans="1:165" s="228" customFormat="1" ht="18" customHeight="1" x14ac:dyDescent="0.25">
      <c r="A167" s="578">
        <f t="shared" si="4"/>
        <v>158</v>
      </c>
      <c r="B167" s="588">
        <v>0</v>
      </c>
      <c r="C167" s="591">
        <v>5</v>
      </c>
      <c r="D167" s="585" t="s">
        <v>369</v>
      </c>
      <c r="E167" s="589" t="s">
        <v>375</v>
      </c>
      <c r="F167" s="556"/>
      <c r="G167" s="585" t="s">
        <v>372</v>
      </c>
      <c r="H167" s="585" t="s">
        <v>860</v>
      </c>
      <c r="I167" s="605">
        <v>9</v>
      </c>
      <c r="J167" s="556"/>
      <c r="K167" s="618">
        <v>11</v>
      </c>
      <c r="L167" s="306"/>
      <c r="M167" s="307"/>
      <c r="N167" s="307"/>
      <c r="O167" s="307"/>
      <c r="P167" s="307"/>
      <c r="Q167" s="79"/>
      <c r="R167" s="79"/>
      <c r="S167" s="585"/>
      <c r="T167" s="585"/>
      <c r="U167" s="585"/>
      <c r="V167" s="585"/>
      <c r="W167" s="585"/>
      <c r="X167" s="585"/>
      <c r="Y167" s="585"/>
      <c r="Z167" s="585"/>
      <c r="AA167" s="585"/>
      <c r="AB167" s="585"/>
      <c r="AC167" s="585"/>
      <c r="AD167" s="585"/>
      <c r="AE167" s="585"/>
      <c r="AF167" s="585"/>
      <c r="AG167" s="585"/>
      <c r="AH167" s="585"/>
      <c r="AI167" s="585"/>
      <c r="AJ167" s="79"/>
      <c r="AK167" s="79"/>
      <c r="AL167" s="585"/>
      <c r="AM167" s="585"/>
      <c r="AN167" s="585"/>
      <c r="AO167" s="585"/>
      <c r="AP167" s="585"/>
      <c r="AQ167" s="585"/>
      <c r="AR167" s="585"/>
      <c r="AS167" s="79"/>
      <c r="AT167" s="79"/>
      <c r="AU167" s="585"/>
      <c r="AV167" s="585"/>
      <c r="AW167" s="585"/>
      <c r="AX167" s="585"/>
      <c r="AY167" s="585"/>
      <c r="AZ167" s="585"/>
      <c r="BA167" s="585"/>
      <c r="BB167" s="585"/>
      <c r="BC167" s="585"/>
      <c r="BD167" s="585"/>
      <c r="BE167" s="79"/>
      <c r="BF167" s="79"/>
      <c r="BG167" s="585"/>
      <c r="BH167" s="585"/>
      <c r="BI167" s="585"/>
      <c r="BJ167" s="585"/>
      <c r="BK167" s="585"/>
      <c r="BL167" s="585"/>
      <c r="BM167" s="585"/>
      <c r="BN167" s="585"/>
      <c r="BO167" s="585"/>
      <c r="BP167" s="585"/>
      <c r="BQ167" s="79"/>
      <c r="BR167" s="79"/>
      <c r="BS167" s="585"/>
      <c r="BT167" s="79"/>
      <c r="BU167" s="79"/>
      <c r="BV167" s="585"/>
      <c r="BW167" s="585"/>
      <c r="BX167" s="585"/>
      <c r="BY167" s="585"/>
      <c r="BZ167" s="79"/>
      <c r="CA167" s="79"/>
      <c r="CB167" s="585"/>
      <c r="CC167" s="585"/>
      <c r="CD167" s="585"/>
      <c r="CE167" s="79"/>
      <c r="CF167" s="79"/>
      <c r="CG167" s="585"/>
      <c r="CH167" s="585" t="s">
        <v>40</v>
      </c>
      <c r="CI167" s="585" t="s">
        <v>40</v>
      </c>
      <c r="CJ167" s="201"/>
      <c r="CK167" s="202"/>
      <c r="CL167" s="202"/>
      <c r="CM167" s="202"/>
      <c r="CN167" s="202"/>
      <c r="CO167" s="202"/>
      <c r="CP167" s="202"/>
      <c r="CQ167" s="202"/>
      <c r="CR167" s="202"/>
      <c r="CS167" s="202"/>
      <c r="CT167" s="202"/>
      <c r="CU167" s="202"/>
      <c r="CV167" s="202"/>
      <c r="CW167" s="202"/>
      <c r="CX167" s="202"/>
      <c r="CY167" s="202"/>
      <c r="CZ167" s="202"/>
      <c r="DA167" s="202"/>
      <c r="DB167" s="202"/>
      <c r="DC167" s="202"/>
      <c r="DD167" s="202"/>
      <c r="DE167" s="202"/>
      <c r="DF167" s="202"/>
      <c r="DG167" s="202"/>
      <c r="DH167" s="202"/>
      <c r="DI167" s="202"/>
      <c r="DJ167" s="202"/>
      <c r="DK167" s="202"/>
      <c r="DL167" s="202"/>
      <c r="DM167" s="202"/>
      <c r="DN167" s="202"/>
      <c r="DO167" s="202"/>
      <c r="DP167" s="202"/>
      <c r="DQ167" s="202"/>
      <c r="DR167" s="202"/>
      <c r="DS167" s="202"/>
      <c r="DT167" s="202"/>
      <c r="DU167" s="202"/>
      <c r="DV167" s="202"/>
      <c r="DW167" s="202"/>
      <c r="DX167" s="202"/>
      <c r="DY167" s="202"/>
      <c r="DZ167" s="202"/>
      <c r="EA167" s="202"/>
      <c r="EB167" s="202"/>
      <c r="EC167" s="202"/>
      <c r="ED167" s="202"/>
      <c r="EE167" s="202"/>
      <c r="EF167" s="202"/>
      <c r="EG167" s="202"/>
      <c r="EH167" s="202"/>
      <c r="EI167" s="202"/>
      <c r="EJ167" s="202"/>
      <c r="EK167" s="202"/>
      <c r="EL167" s="202"/>
      <c r="EM167" s="202"/>
      <c r="EN167" s="202"/>
      <c r="EO167" s="202"/>
      <c r="EP167" s="202"/>
      <c r="EQ167" s="202"/>
      <c r="ER167" s="202"/>
      <c r="ES167" s="202"/>
      <c r="ET167" s="202"/>
      <c r="EU167" s="202"/>
      <c r="EV167" s="202"/>
      <c r="EW167" s="202"/>
      <c r="EX167" s="202"/>
      <c r="EY167" s="202"/>
      <c r="EZ167" s="202"/>
      <c r="FA167" s="202"/>
      <c r="FB167" s="202"/>
      <c r="FC167" s="202"/>
      <c r="FD167" s="202"/>
      <c r="FE167" s="202"/>
      <c r="FF167" s="202"/>
      <c r="FG167" s="202"/>
      <c r="FH167" s="202"/>
      <c r="FI167" s="202"/>
    </row>
    <row r="168" spans="1:165" s="228" customFormat="1" ht="18" customHeight="1" x14ac:dyDescent="0.25">
      <c r="A168" s="578">
        <f t="shared" si="4"/>
        <v>159</v>
      </c>
      <c r="B168" s="588">
        <v>0</v>
      </c>
      <c r="C168" s="591">
        <v>5</v>
      </c>
      <c r="D168" s="585" t="s">
        <v>376</v>
      </c>
      <c r="E168" s="589" t="s">
        <v>377</v>
      </c>
      <c r="F168" s="591"/>
      <c r="G168" s="585" t="s">
        <v>378</v>
      </c>
      <c r="H168" s="585" t="s">
        <v>861</v>
      </c>
      <c r="I168" s="605">
        <v>9</v>
      </c>
      <c r="J168" s="556"/>
      <c r="K168" s="618">
        <v>11</v>
      </c>
      <c r="L168" s="306"/>
      <c r="M168" s="307"/>
      <c r="N168" s="307"/>
      <c r="O168" s="307"/>
      <c r="P168" s="307"/>
      <c r="Q168" s="79"/>
      <c r="R168" s="76"/>
      <c r="S168" s="556"/>
      <c r="T168" s="585"/>
      <c r="U168" s="585"/>
      <c r="V168" s="585"/>
      <c r="W168" s="556"/>
      <c r="X168" s="556"/>
      <c r="Y168" s="556"/>
      <c r="Z168" s="556"/>
      <c r="AA168" s="585"/>
      <c r="AB168" s="585"/>
      <c r="AC168" s="556"/>
      <c r="AD168" s="556"/>
      <c r="AE168" s="556"/>
      <c r="AF168" s="556"/>
      <c r="AG168" s="556"/>
      <c r="AH168" s="556"/>
      <c r="AI168" s="556"/>
      <c r="AJ168" s="76"/>
      <c r="AK168" s="79"/>
      <c r="AL168" s="556"/>
      <c r="AM168" s="556"/>
      <c r="AN168" s="556"/>
      <c r="AO168" s="585"/>
      <c r="AP168" s="556"/>
      <c r="AQ168" s="585"/>
      <c r="AR168" s="585"/>
      <c r="AS168" s="79"/>
      <c r="AT168" s="79"/>
      <c r="AU168" s="585"/>
      <c r="AV168" s="585"/>
      <c r="AW168" s="585"/>
      <c r="AX168" s="585"/>
      <c r="AY168" s="585"/>
      <c r="AZ168" s="585"/>
      <c r="BA168" s="585"/>
      <c r="BB168" s="585"/>
      <c r="BC168" s="585"/>
      <c r="BD168" s="585"/>
      <c r="BE168" s="79"/>
      <c r="BF168" s="79"/>
      <c r="BG168" s="585"/>
      <c r="BH168" s="585"/>
      <c r="BI168" s="585"/>
      <c r="BJ168" s="585"/>
      <c r="BK168" s="585"/>
      <c r="BL168" s="585"/>
      <c r="BM168" s="585"/>
      <c r="BN168" s="585"/>
      <c r="BO168" s="585"/>
      <c r="BP168" s="585"/>
      <c r="BQ168" s="79"/>
      <c r="BR168" s="76"/>
      <c r="BS168" s="556"/>
      <c r="BT168" s="76"/>
      <c r="BU168" s="79"/>
      <c r="BV168" s="585"/>
      <c r="BW168" s="585"/>
      <c r="BX168" s="585"/>
      <c r="BY168" s="585"/>
      <c r="BZ168" s="79"/>
      <c r="CA168" s="76"/>
      <c r="CB168" s="585"/>
      <c r="CC168" s="585"/>
      <c r="CD168" s="585"/>
      <c r="CE168" s="79"/>
      <c r="CF168" s="79"/>
      <c r="CG168" s="585"/>
      <c r="CH168" s="585" t="s">
        <v>40</v>
      </c>
      <c r="CI168" s="585" t="s">
        <v>40</v>
      </c>
      <c r="CJ168" s="201"/>
      <c r="CK168" s="202"/>
      <c r="CL168" s="202"/>
      <c r="CM168" s="202"/>
      <c r="CN168" s="202"/>
      <c r="CO168" s="202"/>
      <c r="CP168" s="202"/>
      <c r="CQ168" s="202"/>
      <c r="CR168" s="202"/>
      <c r="CS168" s="202"/>
      <c r="CT168" s="202"/>
      <c r="CU168" s="202"/>
      <c r="CV168" s="202"/>
      <c r="CW168" s="202"/>
      <c r="CX168" s="202"/>
      <c r="CY168" s="202"/>
      <c r="CZ168" s="202"/>
      <c r="DA168" s="202"/>
      <c r="DB168" s="202"/>
      <c r="DC168" s="202"/>
      <c r="DD168" s="202"/>
      <c r="DE168" s="202"/>
      <c r="DF168" s="202"/>
      <c r="DG168" s="202"/>
      <c r="DH168" s="202"/>
      <c r="DI168" s="202"/>
      <c r="DJ168" s="202"/>
      <c r="DK168" s="202"/>
      <c r="DL168" s="202"/>
      <c r="DM168" s="202"/>
      <c r="DN168" s="202"/>
      <c r="DO168" s="202"/>
      <c r="DP168" s="202"/>
      <c r="DQ168" s="202"/>
      <c r="DR168" s="202"/>
      <c r="DS168" s="202"/>
      <c r="DT168" s="202"/>
      <c r="DU168" s="202"/>
      <c r="DV168" s="202"/>
      <c r="DW168" s="202"/>
      <c r="DX168" s="202"/>
      <c r="DY168" s="202"/>
      <c r="DZ168" s="202"/>
      <c r="EA168" s="202"/>
      <c r="EB168" s="202"/>
      <c r="EC168" s="202"/>
      <c r="ED168" s="202"/>
      <c r="EE168" s="202"/>
      <c r="EF168" s="202"/>
      <c r="EG168" s="202"/>
      <c r="EH168" s="202"/>
      <c r="EI168" s="202"/>
      <c r="EJ168" s="202"/>
      <c r="EK168" s="202"/>
      <c r="EL168" s="202"/>
      <c r="EM168" s="202"/>
      <c r="EN168" s="202"/>
      <c r="EO168" s="202"/>
      <c r="EP168" s="202"/>
      <c r="EQ168" s="202"/>
      <c r="ER168" s="202"/>
      <c r="ES168" s="202"/>
      <c r="ET168" s="202"/>
      <c r="EU168" s="202"/>
      <c r="EV168" s="202"/>
      <c r="EW168" s="202"/>
      <c r="EX168" s="202"/>
      <c r="EY168" s="202"/>
      <c r="EZ168" s="202"/>
      <c r="FA168" s="202"/>
      <c r="FB168" s="202"/>
      <c r="FC168" s="202"/>
      <c r="FD168" s="202"/>
      <c r="FE168" s="202"/>
      <c r="FF168" s="202"/>
      <c r="FG168" s="202"/>
      <c r="FH168" s="202"/>
      <c r="FI168" s="202"/>
    </row>
    <row r="169" spans="1:165" s="228" customFormat="1" ht="18" customHeight="1" x14ac:dyDescent="0.25">
      <c r="A169" s="578">
        <f t="shared" si="4"/>
        <v>160</v>
      </c>
      <c r="B169" s="588">
        <v>0</v>
      </c>
      <c r="C169" s="591">
        <v>5</v>
      </c>
      <c r="D169" s="585" t="s">
        <v>376</v>
      </c>
      <c r="E169" s="589" t="s">
        <v>381</v>
      </c>
      <c r="F169" s="591"/>
      <c r="G169" s="585" t="s">
        <v>378</v>
      </c>
      <c r="H169" s="585" t="s">
        <v>862</v>
      </c>
      <c r="I169" s="605">
        <v>9</v>
      </c>
      <c r="J169" s="556"/>
      <c r="K169" s="618">
        <v>11</v>
      </c>
      <c r="L169" s="306"/>
      <c r="M169" s="307"/>
      <c r="N169" s="307"/>
      <c r="O169" s="307"/>
      <c r="P169" s="307"/>
      <c r="Q169" s="79"/>
      <c r="R169" s="76"/>
      <c r="S169" s="556"/>
      <c r="T169" s="585"/>
      <c r="U169" s="585"/>
      <c r="V169" s="585"/>
      <c r="W169" s="556"/>
      <c r="X169" s="556"/>
      <c r="Y169" s="556"/>
      <c r="Z169" s="556"/>
      <c r="AA169" s="585"/>
      <c r="AB169" s="585"/>
      <c r="AC169" s="556"/>
      <c r="AD169" s="556"/>
      <c r="AE169" s="556"/>
      <c r="AF169" s="556"/>
      <c r="AG169" s="556"/>
      <c r="AH169" s="556"/>
      <c r="AI169" s="556"/>
      <c r="AJ169" s="76"/>
      <c r="AK169" s="79"/>
      <c r="AL169" s="556"/>
      <c r="AM169" s="556"/>
      <c r="AN169" s="556"/>
      <c r="AO169" s="585"/>
      <c r="AP169" s="556"/>
      <c r="AQ169" s="585"/>
      <c r="AR169" s="585"/>
      <c r="AS169" s="79"/>
      <c r="AT169" s="79"/>
      <c r="AU169" s="585"/>
      <c r="AV169" s="585"/>
      <c r="AW169" s="585"/>
      <c r="AX169" s="585"/>
      <c r="AY169" s="585"/>
      <c r="AZ169" s="585"/>
      <c r="BA169" s="585"/>
      <c r="BB169" s="585"/>
      <c r="BC169" s="585"/>
      <c r="BD169" s="585"/>
      <c r="BE169" s="79"/>
      <c r="BF169" s="79"/>
      <c r="BG169" s="585"/>
      <c r="BH169" s="585"/>
      <c r="BI169" s="585"/>
      <c r="BJ169" s="585"/>
      <c r="BK169" s="585"/>
      <c r="BL169" s="585"/>
      <c r="BM169" s="585"/>
      <c r="BN169" s="585"/>
      <c r="BO169" s="585"/>
      <c r="BP169" s="585"/>
      <c r="BQ169" s="79"/>
      <c r="BR169" s="76"/>
      <c r="BS169" s="556"/>
      <c r="BT169" s="76"/>
      <c r="BU169" s="79"/>
      <c r="BV169" s="585"/>
      <c r="BW169" s="585"/>
      <c r="BX169" s="585"/>
      <c r="BY169" s="585"/>
      <c r="BZ169" s="79"/>
      <c r="CA169" s="76"/>
      <c r="CB169" s="585"/>
      <c r="CC169" s="585"/>
      <c r="CD169" s="585"/>
      <c r="CE169" s="79"/>
      <c r="CF169" s="79"/>
      <c r="CG169" s="585"/>
      <c r="CH169" s="585" t="s">
        <v>40</v>
      </c>
      <c r="CI169" s="585" t="s">
        <v>40</v>
      </c>
      <c r="CJ169" s="201"/>
      <c r="CK169" s="202"/>
      <c r="CL169" s="202"/>
      <c r="CM169" s="202"/>
      <c r="CN169" s="202"/>
      <c r="CO169" s="202"/>
      <c r="CP169" s="202"/>
      <c r="CQ169" s="202"/>
      <c r="CR169" s="202"/>
      <c r="CS169" s="202"/>
      <c r="CT169" s="202"/>
      <c r="CU169" s="202"/>
      <c r="CV169" s="202"/>
      <c r="CW169" s="202"/>
      <c r="CX169" s="202"/>
      <c r="CY169" s="202"/>
      <c r="CZ169" s="202"/>
      <c r="DA169" s="202"/>
      <c r="DB169" s="202"/>
      <c r="DC169" s="202"/>
      <c r="DD169" s="202"/>
      <c r="DE169" s="202"/>
      <c r="DF169" s="202"/>
      <c r="DG169" s="202"/>
      <c r="DH169" s="202"/>
      <c r="DI169" s="202"/>
      <c r="DJ169" s="202"/>
      <c r="DK169" s="202"/>
      <c r="DL169" s="202"/>
      <c r="DM169" s="202"/>
      <c r="DN169" s="202"/>
      <c r="DO169" s="202"/>
      <c r="DP169" s="202"/>
      <c r="DQ169" s="202"/>
      <c r="DR169" s="202"/>
      <c r="DS169" s="202"/>
      <c r="DT169" s="202"/>
      <c r="DU169" s="202"/>
      <c r="DV169" s="202"/>
      <c r="DW169" s="202"/>
      <c r="DX169" s="202"/>
      <c r="DY169" s="202"/>
      <c r="DZ169" s="202"/>
      <c r="EA169" s="202"/>
      <c r="EB169" s="202"/>
      <c r="EC169" s="202"/>
      <c r="ED169" s="202"/>
      <c r="EE169" s="202"/>
      <c r="EF169" s="202"/>
      <c r="EG169" s="202"/>
      <c r="EH169" s="202"/>
      <c r="EI169" s="202"/>
      <c r="EJ169" s="202"/>
      <c r="EK169" s="202"/>
      <c r="EL169" s="202"/>
      <c r="EM169" s="202"/>
      <c r="EN169" s="202"/>
      <c r="EO169" s="202"/>
      <c r="EP169" s="202"/>
      <c r="EQ169" s="202"/>
      <c r="ER169" s="202"/>
      <c r="ES169" s="202"/>
      <c r="ET169" s="202"/>
      <c r="EU169" s="202"/>
      <c r="EV169" s="202"/>
      <c r="EW169" s="202"/>
      <c r="EX169" s="202"/>
      <c r="EY169" s="202"/>
      <c r="EZ169" s="202"/>
      <c r="FA169" s="202"/>
      <c r="FB169" s="202"/>
      <c r="FC169" s="202"/>
      <c r="FD169" s="202"/>
      <c r="FE169" s="202"/>
      <c r="FF169" s="202"/>
      <c r="FG169" s="202"/>
      <c r="FH169" s="202"/>
      <c r="FI169" s="202"/>
    </row>
    <row r="170" spans="1:165" s="228" customFormat="1" ht="18" customHeight="1" x14ac:dyDescent="0.25">
      <c r="A170" s="578">
        <f t="shared" si="4"/>
        <v>161</v>
      </c>
      <c r="B170" s="588">
        <v>0</v>
      </c>
      <c r="C170" s="591">
        <v>5</v>
      </c>
      <c r="D170" s="585" t="s">
        <v>376</v>
      </c>
      <c r="E170" s="589" t="s">
        <v>379</v>
      </c>
      <c r="F170" s="591"/>
      <c r="G170" s="585" t="s">
        <v>378</v>
      </c>
      <c r="H170" s="585" t="s">
        <v>863</v>
      </c>
      <c r="I170" s="605">
        <v>9</v>
      </c>
      <c r="J170" s="556"/>
      <c r="K170" s="618">
        <v>11</v>
      </c>
      <c r="L170" s="306"/>
      <c r="M170" s="307"/>
      <c r="N170" s="307"/>
      <c r="O170" s="307"/>
      <c r="P170" s="307"/>
      <c r="Q170" s="79"/>
      <c r="R170" s="76"/>
      <c r="S170" s="556"/>
      <c r="T170" s="585"/>
      <c r="U170" s="585"/>
      <c r="V170" s="585"/>
      <c r="W170" s="556"/>
      <c r="X170" s="556"/>
      <c r="Y170" s="556"/>
      <c r="Z170" s="556"/>
      <c r="AA170" s="585"/>
      <c r="AB170" s="585"/>
      <c r="AC170" s="556"/>
      <c r="AD170" s="556"/>
      <c r="AE170" s="556"/>
      <c r="AF170" s="556"/>
      <c r="AG170" s="556"/>
      <c r="AH170" s="556"/>
      <c r="AI170" s="556"/>
      <c r="AJ170" s="76"/>
      <c r="AK170" s="79"/>
      <c r="AL170" s="556"/>
      <c r="AM170" s="556"/>
      <c r="AN170" s="556"/>
      <c r="AO170" s="585"/>
      <c r="AP170" s="556"/>
      <c r="AQ170" s="585"/>
      <c r="AR170" s="585"/>
      <c r="AS170" s="79"/>
      <c r="AT170" s="79"/>
      <c r="AU170" s="585"/>
      <c r="AV170" s="585"/>
      <c r="AW170" s="585"/>
      <c r="AX170" s="585"/>
      <c r="AY170" s="585"/>
      <c r="AZ170" s="585"/>
      <c r="BA170" s="585"/>
      <c r="BB170" s="585"/>
      <c r="BC170" s="585"/>
      <c r="BD170" s="585"/>
      <c r="BE170" s="79"/>
      <c r="BF170" s="79"/>
      <c r="BG170" s="585"/>
      <c r="BH170" s="585"/>
      <c r="BI170" s="585"/>
      <c r="BJ170" s="585"/>
      <c r="BK170" s="585"/>
      <c r="BL170" s="585"/>
      <c r="BM170" s="585"/>
      <c r="BN170" s="585"/>
      <c r="BO170" s="585"/>
      <c r="BP170" s="585"/>
      <c r="BQ170" s="79"/>
      <c r="BR170" s="76"/>
      <c r="BS170" s="556"/>
      <c r="BT170" s="76"/>
      <c r="BU170" s="79"/>
      <c r="BV170" s="585"/>
      <c r="BW170" s="585"/>
      <c r="BX170" s="585"/>
      <c r="BY170" s="585"/>
      <c r="BZ170" s="79"/>
      <c r="CA170" s="76"/>
      <c r="CB170" s="585"/>
      <c r="CC170" s="585"/>
      <c r="CD170" s="585"/>
      <c r="CE170" s="79"/>
      <c r="CF170" s="79"/>
      <c r="CG170" s="585"/>
      <c r="CH170" s="585" t="s">
        <v>40</v>
      </c>
      <c r="CI170" s="585" t="s">
        <v>40</v>
      </c>
      <c r="CJ170" s="201"/>
      <c r="CK170" s="202"/>
      <c r="CL170" s="202"/>
      <c r="CM170" s="202"/>
      <c r="CN170" s="202"/>
      <c r="CO170" s="202"/>
      <c r="CP170" s="202"/>
      <c r="CQ170" s="202"/>
      <c r="CR170" s="202"/>
      <c r="CS170" s="202"/>
      <c r="CT170" s="202"/>
      <c r="CU170" s="202"/>
      <c r="CV170" s="202"/>
      <c r="CW170" s="202"/>
      <c r="CX170" s="202"/>
      <c r="CY170" s="202"/>
      <c r="CZ170" s="202"/>
      <c r="DA170" s="202"/>
      <c r="DB170" s="202"/>
      <c r="DC170" s="202"/>
      <c r="DD170" s="202"/>
      <c r="DE170" s="202"/>
      <c r="DF170" s="202"/>
      <c r="DG170" s="202"/>
      <c r="DH170" s="202"/>
      <c r="DI170" s="202"/>
      <c r="DJ170" s="202"/>
      <c r="DK170" s="202"/>
      <c r="DL170" s="202"/>
      <c r="DM170" s="202"/>
      <c r="DN170" s="202"/>
      <c r="DO170" s="202"/>
      <c r="DP170" s="202"/>
      <c r="DQ170" s="202"/>
      <c r="DR170" s="202"/>
      <c r="DS170" s="202"/>
      <c r="DT170" s="202"/>
      <c r="DU170" s="202"/>
      <c r="DV170" s="202"/>
      <c r="DW170" s="202"/>
      <c r="DX170" s="202"/>
      <c r="DY170" s="202"/>
      <c r="DZ170" s="202"/>
      <c r="EA170" s="202"/>
      <c r="EB170" s="202"/>
      <c r="EC170" s="202"/>
      <c r="ED170" s="202"/>
      <c r="EE170" s="202"/>
      <c r="EF170" s="202"/>
      <c r="EG170" s="202"/>
      <c r="EH170" s="202"/>
      <c r="EI170" s="202"/>
      <c r="EJ170" s="202"/>
      <c r="EK170" s="202"/>
      <c r="EL170" s="202"/>
      <c r="EM170" s="202"/>
      <c r="EN170" s="202"/>
      <c r="EO170" s="202"/>
      <c r="EP170" s="202"/>
      <c r="EQ170" s="202"/>
      <c r="ER170" s="202"/>
      <c r="ES170" s="202"/>
      <c r="ET170" s="202"/>
      <c r="EU170" s="202"/>
      <c r="EV170" s="202"/>
      <c r="EW170" s="202"/>
      <c r="EX170" s="202"/>
      <c r="EY170" s="202"/>
      <c r="EZ170" s="202"/>
      <c r="FA170" s="202"/>
      <c r="FB170" s="202"/>
      <c r="FC170" s="202"/>
      <c r="FD170" s="202"/>
      <c r="FE170" s="202"/>
      <c r="FF170" s="202"/>
      <c r="FG170" s="202"/>
      <c r="FH170" s="202"/>
      <c r="FI170" s="202"/>
    </row>
    <row r="171" spans="1:165" s="228" customFormat="1" ht="18" customHeight="1" x14ac:dyDescent="0.25">
      <c r="A171" s="578">
        <f t="shared" si="4"/>
        <v>162</v>
      </c>
      <c r="B171" s="588">
        <v>0</v>
      </c>
      <c r="C171" s="591">
        <v>5</v>
      </c>
      <c r="D171" s="585" t="s">
        <v>376</v>
      </c>
      <c r="E171" s="589" t="s">
        <v>380</v>
      </c>
      <c r="F171" s="591"/>
      <c r="G171" s="585" t="s">
        <v>378</v>
      </c>
      <c r="H171" s="585" t="s">
        <v>864</v>
      </c>
      <c r="I171" s="605">
        <v>9</v>
      </c>
      <c r="J171" s="556"/>
      <c r="K171" s="618">
        <v>11</v>
      </c>
      <c r="L171" s="306"/>
      <c r="M171" s="307"/>
      <c r="N171" s="307"/>
      <c r="O171" s="307"/>
      <c r="P171" s="307"/>
      <c r="Q171" s="79"/>
      <c r="R171" s="76"/>
      <c r="S171" s="556"/>
      <c r="T171" s="585"/>
      <c r="U171" s="585"/>
      <c r="V171" s="585"/>
      <c r="W171" s="556"/>
      <c r="X171" s="556"/>
      <c r="Y171" s="556"/>
      <c r="Z171" s="556"/>
      <c r="AA171" s="585"/>
      <c r="AB171" s="585"/>
      <c r="AC171" s="556"/>
      <c r="AD171" s="556"/>
      <c r="AE171" s="556"/>
      <c r="AF171" s="556"/>
      <c r="AG171" s="556"/>
      <c r="AH171" s="556"/>
      <c r="AI171" s="556"/>
      <c r="AJ171" s="76"/>
      <c r="AK171" s="79"/>
      <c r="AL171" s="556"/>
      <c r="AM171" s="556"/>
      <c r="AN171" s="556"/>
      <c r="AO171" s="585"/>
      <c r="AP171" s="556"/>
      <c r="AQ171" s="585"/>
      <c r="AR171" s="585"/>
      <c r="AS171" s="79"/>
      <c r="AT171" s="79"/>
      <c r="AU171" s="585"/>
      <c r="AV171" s="585"/>
      <c r="AW171" s="585"/>
      <c r="AX171" s="585"/>
      <c r="AY171" s="585"/>
      <c r="AZ171" s="585"/>
      <c r="BA171" s="585"/>
      <c r="BB171" s="585"/>
      <c r="BC171" s="585"/>
      <c r="BD171" s="585"/>
      <c r="BE171" s="79"/>
      <c r="BF171" s="79"/>
      <c r="BG171" s="585"/>
      <c r="BH171" s="585"/>
      <c r="BI171" s="585"/>
      <c r="BJ171" s="585"/>
      <c r="BK171" s="585"/>
      <c r="BL171" s="585"/>
      <c r="BM171" s="585"/>
      <c r="BN171" s="585"/>
      <c r="BO171" s="585"/>
      <c r="BP171" s="585"/>
      <c r="BQ171" s="79"/>
      <c r="BR171" s="76"/>
      <c r="BS171" s="556"/>
      <c r="BT171" s="76"/>
      <c r="BU171" s="79"/>
      <c r="BV171" s="585"/>
      <c r="BW171" s="585"/>
      <c r="BX171" s="585"/>
      <c r="BY171" s="585"/>
      <c r="BZ171" s="79"/>
      <c r="CA171" s="76"/>
      <c r="CB171" s="585"/>
      <c r="CC171" s="585"/>
      <c r="CD171" s="585"/>
      <c r="CE171" s="79"/>
      <c r="CF171" s="79"/>
      <c r="CG171" s="585"/>
      <c r="CH171" s="585" t="s">
        <v>40</v>
      </c>
      <c r="CI171" s="585" t="s">
        <v>40</v>
      </c>
      <c r="CJ171" s="201"/>
      <c r="CK171" s="202"/>
      <c r="CL171" s="202"/>
      <c r="CM171" s="202"/>
      <c r="CN171" s="202"/>
      <c r="CO171" s="202"/>
      <c r="CP171" s="202"/>
      <c r="CQ171" s="202"/>
      <c r="CR171" s="202"/>
      <c r="CS171" s="202"/>
      <c r="CT171" s="202"/>
      <c r="CU171" s="202"/>
      <c r="CV171" s="202"/>
      <c r="CW171" s="202"/>
      <c r="CX171" s="202"/>
      <c r="CY171" s="202"/>
      <c r="CZ171" s="202"/>
      <c r="DA171" s="202"/>
      <c r="DB171" s="202"/>
      <c r="DC171" s="202"/>
      <c r="DD171" s="202"/>
      <c r="DE171" s="202"/>
      <c r="DF171" s="202"/>
      <c r="DG171" s="202"/>
      <c r="DH171" s="202"/>
      <c r="DI171" s="202"/>
      <c r="DJ171" s="202"/>
      <c r="DK171" s="202"/>
      <c r="DL171" s="202"/>
      <c r="DM171" s="202"/>
      <c r="DN171" s="202"/>
      <c r="DO171" s="202"/>
      <c r="DP171" s="202"/>
      <c r="DQ171" s="202"/>
      <c r="DR171" s="202"/>
      <c r="DS171" s="202"/>
      <c r="DT171" s="202"/>
      <c r="DU171" s="202"/>
      <c r="DV171" s="202"/>
      <c r="DW171" s="202"/>
      <c r="DX171" s="202"/>
      <c r="DY171" s="202"/>
      <c r="DZ171" s="202"/>
      <c r="EA171" s="202"/>
      <c r="EB171" s="202"/>
      <c r="EC171" s="202"/>
      <c r="ED171" s="202"/>
      <c r="EE171" s="202"/>
      <c r="EF171" s="202"/>
      <c r="EG171" s="202"/>
      <c r="EH171" s="202"/>
      <c r="EI171" s="202"/>
      <c r="EJ171" s="202"/>
      <c r="EK171" s="202"/>
      <c r="EL171" s="202"/>
      <c r="EM171" s="202"/>
      <c r="EN171" s="202"/>
      <c r="EO171" s="202"/>
      <c r="EP171" s="202"/>
      <c r="EQ171" s="202"/>
      <c r="ER171" s="202"/>
      <c r="ES171" s="202"/>
      <c r="ET171" s="202"/>
      <c r="EU171" s="202"/>
      <c r="EV171" s="202"/>
      <c r="EW171" s="202"/>
      <c r="EX171" s="202"/>
      <c r="EY171" s="202"/>
      <c r="EZ171" s="202"/>
      <c r="FA171" s="202"/>
      <c r="FB171" s="202"/>
      <c r="FC171" s="202"/>
      <c r="FD171" s="202"/>
      <c r="FE171" s="202"/>
      <c r="FF171" s="202"/>
      <c r="FG171" s="202"/>
      <c r="FH171" s="202"/>
      <c r="FI171" s="202"/>
    </row>
    <row r="172" spans="1:165" s="228" customFormat="1" ht="18" customHeight="1" x14ac:dyDescent="0.25">
      <c r="A172" s="578">
        <f t="shared" si="4"/>
        <v>163</v>
      </c>
      <c r="B172" s="588">
        <v>0</v>
      </c>
      <c r="C172" s="591">
        <v>5</v>
      </c>
      <c r="D172" s="585" t="s">
        <v>382</v>
      </c>
      <c r="E172" s="589" t="s">
        <v>383</v>
      </c>
      <c r="F172" s="591"/>
      <c r="G172" s="585" t="s">
        <v>384</v>
      </c>
      <c r="H172" s="585" t="s">
        <v>865</v>
      </c>
      <c r="I172" s="605">
        <v>9</v>
      </c>
      <c r="J172" s="556"/>
      <c r="K172" s="618">
        <v>11</v>
      </c>
      <c r="L172" s="306"/>
      <c r="M172" s="307"/>
      <c r="N172" s="307"/>
      <c r="O172" s="307"/>
      <c r="P172" s="307"/>
      <c r="Q172" s="79"/>
      <c r="R172" s="76"/>
      <c r="S172" s="556"/>
      <c r="T172" s="585"/>
      <c r="U172" s="585"/>
      <c r="V172" s="585"/>
      <c r="W172" s="556"/>
      <c r="X172" s="556"/>
      <c r="Y172" s="556"/>
      <c r="Z172" s="556"/>
      <c r="AA172" s="585"/>
      <c r="AB172" s="585"/>
      <c r="AC172" s="556"/>
      <c r="AD172" s="556"/>
      <c r="AE172" s="556"/>
      <c r="AF172" s="556"/>
      <c r="AG172" s="556"/>
      <c r="AH172" s="556"/>
      <c r="AI172" s="556"/>
      <c r="AJ172" s="76"/>
      <c r="AK172" s="79"/>
      <c r="AL172" s="556"/>
      <c r="AM172" s="556"/>
      <c r="AN172" s="556"/>
      <c r="AO172" s="585"/>
      <c r="AP172" s="556"/>
      <c r="AQ172" s="585"/>
      <c r="AR172" s="585"/>
      <c r="AS172" s="79"/>
      <c r="AT172" s="79"/>
      <c r="AU172" s="585"/>
      <c r="AV172" s="585"/>
      <c r="AW172" s="585"/>
      <c r="AX172" s="585"/>
      <c r="AY172" s="585"/>
      <c r="AZ172" s="585"/>
      <c r="BA172" s="585"/>
      <c r="BB172" s="585"/>
      <c r="BC172" s="585"/>
      <c r="BD172" s="585"/>
      <c r="BE172" s="79"/>
      <c r="BF172" s="79"/>
      <c r="BG172" s="585"/>
      <c r="BH172" s="585"/>
      <c r="BI172" s="585"/>
      <c r="BJ172" s="585"/>
      <c r="BK172" s="585"/>
      <c r="BL172" s="585"/>
      <c r="BM172" s="585"/>
      <c r="BN172" s="585"/>
      <c r="BO172" s="585"/>
      <c r="BP172" s="585"/>
      <c r="BQ172" s="79"/>
      <c r="BR172" s="76"/>
      <c r="BS172" s="556"/>
      <c r="BT172" s="76"/>
      <c r="BU172" s="79"/>
      <c r="BV172" s="585"/>
      <c r="BW172" s="585"/>
      <c r="BX172" s="597"/>
      <c r="BY172" s="585"/>
      <c r="BZ172" s="79"/>
      <c r="CA172" s="76"/>
      <c r="CB172" s="585"/>
      <c r="CC172" s="585"/>
      <c r="CD172" s="585"/>
      <c r="CE172" s="79"/>
      <c r="CF172" s="79"/>
      <c r="CG172" s="585"/>
      <c r="CH172" s="585" t="s">
        <v>40</v>
      </c>
      <c r="CI172" s="585" t="s">
        <v>40</v>
      </c>
      <c r="CJ172" s="201"/>
      <c r="CK172" s="202"/>
      <c r="CL172" s="202"/>
      <c r="CM172" s="202"/>
      <c r="CN172" s="202"/>
      <c r="CO172" s="202"/>
      <c r="CP172" s="202"/>
      <c r="CQ172" s="202"/>
      <c r="CR172" s="202"/>
      <c r="CS172" s="202"/>
      <c r="CT172" s="202"/>
      <c r="CU172" s="202"/>
      <c r="CV172" s="202"/>
      <c r="CW172" s="202"/>
      <c r="CX172" s="202"/>
      <c r="CY172" s="202"/>
      <c r="CZ172" s="202"/>
      <c r="DA172" s="202"/>
      <c r="DB172" s="202"/>
      <c r="DC172" s="202"/>
      <c r="DD172" s="202"/>
      <c r="DE172" s="202"/>
      <c r="DF172" s="202"/>
      <c r="DG172" s="202"/>
      <c r="DH172" s="202"/>
      <c r="DI172" s="202"/>
      <c r="DJ172" s="202"/>
      <c r="DK172" s="202"/>
      <c r="DL172" s="202"/>
      <c r="DM172" s="202"/>
      <c r="DN172" s="202"/>
      <c r="DO172" s="202"/>
      <c r="DP172" s="202"/>
      <c r="DQ172" s="202"/>
      <c r="DR172" s="202"/>
      <c r="DS172" s="202"/>
      <c r="DT172" s="202"/>
      <c r="DU172" s="202"/>
      <c r="DV172" s="202"/>
      <c r="DW172" s="202"/>
      <c r="DX172" s="202"/>
      <c r="DY172" s="202"/>
      <c r="DZ172" s="202"/>
      <c r="EA172" s="202"/>
      <c r="EB172" s="202"/>
      <c r="EC172" s="202"/>
      <c r="ED172" s="202"/>
      <c r="EE172" s="202"/>
      <c r="EF172" s="202"/>
      <c r="EG172" s="202"/>
      <c r="EH172" s="202"/>
      <c r="EI172" s="202"/>
      <c r="EJ172" s="202"/>
      <c r="EK172" s="202"/>
      <c r="EL172" s="202"/>
      <c r="EM172" s="202"/>
      <c r="EN172" s="202"/>
      <c r="EO172" s="202"/>
      <c r="EP172" s="202"/>
      <c r="EQ172" s="202"/>
      <c r="ER172" s="202"/>
      <c r="ES172" s="202"/>
      <c r="ET172" s="202"/>
      <c r="EU172" s="202"/>
      <c r="EV172" s="202"/>
      <c r="EW172" s="202"/>
      <c r="EX172" s="202"/>
      <c r="EY172" s="202"/>
      <c r="EZ172" s="202"/>
      <c r="FA172" s="202"/>
      <c r="FB172" s="202"/>
      <c r="FC172" s="202"/>
      <c r="FD172" s="202"/>
      <c r="FE172" s="202"/>
      <c r="FF172" s="202"/>
      <c r="FG172" s="202"/>
      <c r="FH172" s="202"/>
      <c r="FI172" s="202"/>
    </row>
    <row r="173" spans="1:165" s="228" customFormat="1" ht="18" customHeight="1" x14ac:dyDescent="0.25">
      <c r="A173" s="578">
        <f t="shared" si="4"/>
        <v>164</v>
      </c>
      <c r="B173" s="588">
        <v>0</v>
      </c>
      <c r="C173" s="591">
        <v>5</v>
      </c>
      <c r="D173" s="585" t="s">
        <v>382</v>
      </c>
      <c r="E173" s="589" t="s">
        <v>387</v>
      </c>
      <c r="F173" s="591"/>
      <c r="G173" s="585" t="s">
        <v>384</v>
      </c>
      <c r="H173" s="585" t="s">
        <v>866</v>
      </c>
      <c r="I173" s="605">
        <v>9</v>
      </c>
      <c r="J173" s="556"/>
      <c r="K173" s="618">
        <v>11</v>
      </c>
      <c r="L173" s="306"/>
      <c r="M173" s="307"/>
      <c r="N173" s="307"/>
      <c r="O173" s="307"/>
      <c r="P173" s="307"/>
      <c r="Q173" s="79"/>
      <c r="R173" s="76"/>
      <c r="S173" s="556"/>
      <c r="T173" s="585"/>
      <c r="U173" s="585"/>
      <c r="V173" s="585"/>
      <c r="W173" s="556"/>
      <c r="X173" s="556"/>
      <c r="Y173" s="556"/>
      <c r="Z173" s="556"/>
      <c r="AA173" s="585"/>
      <c r="AB173" s="585"/>
      <c r="AC173" s="556"/>
      <c r="AD173" s="556"/>
      <c r="AE173" s="556"/>
      <c r="AF173" s="556"/>
      <c r="AG173" s="556"/>
      <c r="AH173" s="556"/>
      <c r="AI173" s="556"/>
      <c r="AJ173" s="76"/>
      <c r="AK173" s="79"/>
      <c r="AL173" s="556"/>
      <c r="AM173" s="556"/>
      <c r="AN173" s="556"/>
      <c r="AO173" s="585"/>
      <c r="AP173" s="556"/>
      <c r="AQ173" s="585"/>
      <c r="AR173" s="585"/>
      <c r="AS173" s="79"/>
      <c r="AT173" s="79"/>
      <c r="AU173" s="585"/>
      <c r="AV173" s="585"/>
      <c r="AW173" s="585"/>
      <c r="AX173" s="585"/>
      <c r="AY173" s="585"/>
      <c r="AZ173" s="585"/>
      <c r="BA173" s="585"/>
      <c r="BB173" s="585"/>
      <c r="BC173" s="585"/>
      <c r="BD173" s="585"/>
      <c r="BE173" s="79"/>
      <c r="BF173" s="79"/>
      <c r="BG173" s="585"/>
      <c r="BH173" s="585"/>
      <c r="BI173" s="585"/>
      <c r="BJ173" s="585"/>
      <c r="BK173" s="585"/>
      <c r="BL173" s="585"/>
      <c r="BM173" s="585"/>
      <c r="BN173" s="585"/>
      <c r="BO173" s="585"/>
      <c r="BP173" s="585"/>
      <c r="BQ173" s="79"/>
      <c r="BR173" s="76"/>
      <c r="BS173" s="556"/>
      <c r="BT173" s="76"/>
      <c r="BU173" s="79"/>
      <c r="BV173" s="585"/>
      <c r="BW173" s="585"/>
      <c r="BX173" s="585"/>
      <c r="BY173" s="585"/>
      <c r="BZ173" s="79"/>
      <c r="CA173" s="76"/>
      <c r="CB173" s="585"/>
      <c r="CC173" s="585"/>
      <c r="CD173" s="585"/>
      <c r="CE173" s="79"/>
      <c r="CF173" s="79"/>
      <c r="CG173" s="585"/>
      <c r="CH173" s="585" t="s">
        <v>40</v>
      </c>
      <c r="CI173" s="585" t="s">
        <v>40</v>
      </c>
      <c r="CJ173" s="201"/>
      <c r="CK173" s="202"/>
      <c r="CL173" s="202"/>
      <c r="CM173" s="202"/>
      <c r="CN173" s="202"/>
      <c r="CO173" s="202"/>
      <c r="CP173" s="202"/>
      <c r="CQ173" s="202"/>
      <c r="CR173" s="202"/>
      <c r="CS173" s="202"/>
      <c r="CT173" s="202"/>
      <c r="CU173" s="202"/>
      <c r="CV173" s="202"/>
      <c r="CW173" s="202"/>
      <c r="CX173" s="202"/>
      <c r="CY173" s="202"/>
      <c r="CZ173" s="202"/>
      <c r="DA173" s="202"/>
      <c r="DB173" s="202"/>
      <c r="DC173" s="202"/>
      <c r="DD173" s="202"/>
      <c r="DE173" s="202"/>
      <c r="DF173" s="202"/>
      <c r="DG173" s="202"/>
      <c r="DH173" s="202"/>
      <c r="DI173" s="202"/>
      <c r="DJ173" s="202"/>
      <c r="DK173" s="202"/>
      <c r="DL173" s="202"/>
      <c r="DM173" s="202"/>
      <c r="DN173" s="202"/>
      <c r="DO173" s="202"/>
      <c r="DP173" s="202"/>
      <c r="DQ173" s="202"/>
      <c r="DR173" s="202"/>
      <c r="DS173" s="202"/>
      <c r="DT173" s="202"/>
      <c r="DU173" s="202"/>
      <c r="DV173" s="202"/>
      <c r="DW173" s="202"/>
      <c r="DX173" s="202"/>
      <c r="DY173" s="202"/>
      <c r="DZ173" s="202"/>
      <c r="EA173" s="202"/>
      <c r="EB173" s="202"/>
      <c r="EC173" s="202"/>
      <c r="ED173" s="202"/>
      <c r="EE173" s="202"/>
      <c r="EF173" s="202"/>
      <c r="EG173" s="202"/>
      <c r="EH173" s="202"/>
      <c r="EI173" s="202"/>
      <c r="EJ173" s="202"/>
      <c r="EK173" s="202"/>
      <c r="EL173" s="202"/>
      <c r="EM173" s="202"/>
      <c r="EN173" s="202"/>
      <c r="EO173" s="202"/>
      <c r="EP173" s="202"/>
      <c r="EQ173" s="202"/>
      <c r="ER173" s="202"/>
      <c r="ES173" s="202"/>
      <c r="ET173" s="202"/>
      <c r="EU173" s="202"/>
      <c r="EV173" s="202"/>
      <c r="EW173" s="202"/>
      <c r="EX173" s="202"/>
      <c r="EY173" s="202"/>
      <c r="EZ173" s="202"/>
      <c r="FA173" s="202"/>
      <c r="FB173" s="202"/>
      <c r="FC173" s="202"/>
      <c r="FD173" s="202"/>
      <c r="FE173" s="202"/>
      <c r="FF173" s="202"/>
      <c r="FG173" s="202"/>
      <c r="FH173" s="202"/>
      <c r="FI173" s="202"/>
    </row>
    <row r="174" spans="1:165" s="228" customFormat="1" ht="18" customHeight="1" x14ac:dyDescent="0.25">
      <c r="A174" s="578">
        <f t="shared" si="4"/>
        <v>165</v>
      </c>
      <c r="B174" s="588">
        <v>0</v>
      </c>
      <c r="C174" s="591">
        <v>5</v>
      </c>
      <c r="D174" s="585" t="s">
        <v>382</v>
      </c>
      <c r="E174" s="589" t="s">
        <v>385</v>
      </c>
      <c r="F174" s="591"/>
      <c r="G174" s="585" t="s">
        <v>384</v>
      </c>
      <c r="H174" s="585" t="s">
        <v>867</v>
      </c>
      <c r="I174" s="605">
        <v>9</v>
      </c>
      <c r="J174" s="556"/>
      <c r="K174" s="618">
        <v>11</v>
      </c>
      <c r="L174" s="306"/>
      <c r="M174" s="307"/>
      <c r="N174" s="307"/>
      <c r="O174" s="307"/>
      <c r="P174" s="307"/>
      <c r="Q174" s="79"/>
      <c r="R174" s="76"/>
      <c r="S174" s="556"/>
      <c r="T174" s="585"/>
      <c r="U174" s="585"/>
      <c r="V174" s="585"/>
      <c r="W174" s="556"/>
      <c r="X174" s="556"/>
      <c r="Y174" s="556"/>
      <c r="Z174" s="556"/>
      <c r="AA174" s="585"/>
      <c r="AB174" s="585"/>
      <c r="AC174" s="556"/>
      <c r="AD174" s="556"/>
      <c r="AE174" s="556"/>
      <c r="AF174" s="556"/>
      <c r="AG174" s="556"/>
      <c r="AH174" s="556"/>
      <c r="AI174" s="556"/>
      <c r="AJ174" s="76"/>
      <c r="AK174" s="79"/>
      <c r="AL174" s="556"/>
      <c r="AM174" s="556"/>
      <c r="AN174" s="556"/>
      <c r="AO174" s="585"/>
      <c r="AP174" s="556"/>
      <c r="AQ174" s="585"/>
      <c r="AR174" s="585"/>
      <c r="AS174" s="79"/>
      <c r="AT174" s="79"/>
      <c r="AU174" s="585"/>
      <c r="AV174" s="585"/>
      <c r="AW174" s="585"/>
      <c r="AX174" s="585"/>
      <c r="AY174" s="585"/>
      <c r="AZ174" s="585"/>
      <c r="BA174" s="585"/>
      <c r="BB174" s="585"/>
      <c r="BC174" s="585"/>
      <c r="BD174" s="585"/>
      <c r="BE174" s="79"/>
      <c r="BF174" s="79"/>
      <c r="BG174" s="585"/>
      <c r="BH174" s="585"/>
      <c r="BI174" s="585"/>
      <c r="BJ174" s="585"/>
      <c r="BK174" s="585"/>
      <c r="BL174" s="585"/>
      <c r="BM174" s="585"/>
      <c r="BN174" s="585"/>
      <c r="BO174" s="585"/>
      <c r="BP174" s="585"/>
      <c r="BQ174" s="79"/>
      <c r="BR174" s="76"/>
      <c r="BS174" s="556"/>
      <c r="BT174" s="76"/>
      <c r="BU174" s="79"/>
      <c r="BV174" s="585"/>
      <c r="BW174" s="585"/>
      <c r="BX174" s="585"/>
      <c r="BY174" s="585"/>
      <c r="BZ174" s="79"/>
      <c r="CA174" s="76"/>
      <c r="CB174" s="585"/>
      <c r="CC174" s="585"/>
      <c r="CD174" s="585"/>
      <c r="CE174" s="79"/>
      <c r="CF174" s="79"/>
      <c r="CG174" s="585"/>
      <c r="CH174" s="585" t="s">
        <v>40</v>
      </c>
      <c r="CI174" s="585" t="s">
        <v>40</v>
      </c>
      <c r="CJ174" s="201"/>
      <c r="CK174" s="202"/>
      <c r="CL174" s="202"/>
      <c r="CM174" s="202"/>
      <c r="CN174" s="202"/>
      <c r="CO174" s="202"/>
      <c r="CP174" s="202"/>
      <c r="CQ174" s="202"/>
      <c r="CR174" s="202"/>
      <c r="CS174" s="202"/>
      <c r="CT174" s="202"/>
      <c r="CU174" s="202"/>
      <c r="CV174" s="202"/>
      <c r="CW174" s="202"/>
      <c r="CX174" s="202"/>
      <c r="CY174" s="202"/>
      <c r="CZ174" s="202"/>
      <c r="DA174" s="202"/>
      <c r="DB174" s="202"/>
      <c r="DC174" s="202"/>
      <c r="DD174" s="202"/>
      <c r="DE174" s="202"/>
      <c r="DF174" s="202"/>
      <c r="DG174" s="202"/>
      <c r="DH174" s="202"/>
      <c r="DI174" s="202"/>
      <c r="DJ174" s="202"/>
      <c r="DK174" s="202"/>
      <c r="DL174" s="202"/>
      <c r="DM174" s="202"/>
      <c r="DN174" s="202"/>
      <c r="DO174" s="202"/>
      <c r="DP174" s="202"/>
      <c r="DQ174" s="202"/>
      <c r="DR174" s="202"/>
      <c r="DS174" s="202"/>
      <c r="DT174" s="202"/>
      <c r="DU174" s="202"/>
      <c r="DV174" s="202"/>
      <c r="DW174" s="202"/>
      <c r="DX174" s="202"/>
      <c r="DY174" s="202"/>
      <c r="DZ174" s="202"/>
      <c r="EA174" s="202"/>
      <c r="EB174" s="202"/>
      <c r="EC174" s="202"/>
      <c r="ED174" s="202"/>
      <c r="EE174" s="202"/>
      <c r="EF174" s="202"/>
      <c r="EG174" s="202"/>
      <c r="EH174" s="202"/>
      <c r="EI174" s="202"/>
      <c r="EJ174" s="202"/>
      <c r="EK174" s="202"/>
      <c r="EL174" s="202"/>
      <c r="EM174" s="202"/>
      <c r="EN174" s="202"/>
      <c r="EO174" s="202"/>
      <c r="EP174" s="202"/>
      <c r="EQ174" s="202"/>
      <c r="ER174" s="202"/>
      <c r="ES174" s="202"/>
      <c r="ET174" s="202"/>
      <c r="EU174" s="202"/>
      <c r="EV174" s="202"/>
      <c r="EW174" s="202"/>
      <c r="EX174" s="202"/>
      <c r="EY174" s="202"/>
      <c r="EZ174" s="202"/>
      <c r="FA174" s="202"/>
      <c r="FB174" s="202"/>
      <c r="FC174" s="202"/>
      <c r="FD174" s="202"/>
      <c r="FE174" s="202"/>
      <c r="FF174" s="202"/>
      <c r="FG174" s="202"/>
      <c r="FH174" s="202"/>
      <c r="FI174" s="202"/>
    </row>
    <row r="175" spans="1:165" s="228" customFormat="1" ht="18" customHeight="1" x14ac:dyDescent="0.25">
      <c r="A175" s="578">
        <f t="shared" si="4"/>
        <v>166</v>
      </c>
      <c r="B175" s="588">
        <v>0</v>
      </c>
      <c r="C175" s="591">
        <v>5</v>
      </c>
      <c r="D175" s="585" t="s">
        <v>382</v>
      </c>
      <c r="E175" s="589" t="s">
        <v>386</v>
      </c>
      <c r="F175" s="591"/>
      <c r="G175" s="585" t="s">
        <v>384</v>
      </c>
      <c r="H175" s="585" t="s">
        <v>868</v>
      </c>
      <c r="I175" s="605">
        <v>9</v>
      </c>
      <c r="J175" s="556"/>
      <c r="K175" s="618">
        <v>11</v>
      </c>
      <c r="L175" s="306"/>
      <c r="M175" s="307"/>
      <c r="N175" s="307"/>
      <c r="O175" s="307"/>
      <c r="P175" s="307"/>
      <c r="Q175" s="79"/>
      <c r="R175" s="76"/>
      <c r="S175" s="556"/>
      <c r="T175" s="585"/>
      <c r="U175" s="585"/>
      <c r="V175" s="585"/>
      <c r="W175" s="556"/>
      <c r="X175" s="556"/>
      <c r="Y175" s="556"/>
      <c r="Z175" s="556"/>
      <c r="AA175" s="585"/>
      <c r="AB175" s="585"/>
      <c r="AC175" s="556"/>
      <c r="AD175" s="556"/>
      <c r="AE175" s="556"/>
      <c r="AF175" s="556"/>
      <c r="AG175" s="556"/>
      <c r="AH175" s="556"/>
      <c r="AI175" s="556"/>
      <c r="AJ175" s="76"/>
      <c r="AK175" s="79"/>
      <c r="AL175" s="556"/>
      <c r="AM175" s="556"/>
      <c r="AN175" s="556"/>
      <c r="AO175" s="585"/>
      <c r="AP175" s="556"/>
      <c r="AQ175" s="585"/>
      <c r="AR175" s="585"/>
      <c r="AS175" s="79"/>
      <c r="AT175" s="79"/>
      <c r="AU175" s="585"/>
      <c r="AV175" s="585"/>
      <c r="AW175" s="585"/>
      <c r="AX175" s="585"/>
      <c r="AY175" s="585"/>
      <c r="AZ175" s="585"/>
      <c r="BA175" s="585"/>
      <c r="BB175" s="585"/>
      <c r="BC175" s="585"/>
      <c r="BD175" s="585"/>
      <c r="BE175" s="79"/>
      <c r="BF175" s="79"/>
      <c r="BG175" s="585"/>
      <c r="BH175" s="585"/>
      <c r="BI175" s="585"/>
      <c r="BJ175" s="585"/>
      <c r="BK175" s="585"/>
      <c r="BL175" s="585"/>
      <c r="BM175" s="585"/>
      <c r="BN175" s="585"/>
      <c r="BO175" s="585"/>
      <c r="BP175" s="585"/>
      <c r="BQ175" s="79"/>
      <c r="BR175" s="76"/>
      <c r="BS175" s="556"/>
      <c r="BT175" s="76"/>
      <c r="BU175" s="79"/>
      <c r="BV175" s="585"/>
      <c r="BW175" s="585"/>
      <c r="BX175" s="585"/>
      <c r="BY175" s="585"/>
      <c r="BZ175" s="79"/>
      <c r="CA175" s="76"/>
      <c r="CB175" s="585"/>
      <c r="CC175" s="585"/>
      <c r="CD175" s="585"/>
      <c r="CE175" s="79"/>
      <c r="CF175" s="79"/>
      <c r="CG175" s="585"/>
      <c r="CH175" s="585" t="s">
        <v>40</v>
      </c>
      <c r="CI175" s="585" t="s">
        <v>40</v>
      </c>
      <c r="CJ175" s="201"/>
      <c r="CK175" s="202"/>
      <c r="CL175" s="202"/>
      <c r="CM175" s="202"/>
      <c r="CN175" s="202"/>
      <c r="CO175" s="202"/>
      <c r="CP175" s="202"/>
      <c r="CQ175" s="202"/>
      <c r="CR175" s="202"/>
      <c r="CS175" s="202"/>
      <c r="CT175" s="202"/>
      <c r="CU175" s="202"/>
      <c r="CV175" s="202"/>
      <c r="CW175" s="202"/>
      <c r="CX175" s="202"/>
      <c r="CY175" s="202"/>
      <c r="CZ175" s="202"/>
      <c r="DA175" s="202"/>
      <c r="DB175" s="202"/>
      <c r="DC175" s="202"/>
      <c r="DD175" s="202"/>
      <c r="DE175" s="202"/>
      <c r="DF175" s="202"/>
      <c r="DG175" s="202"/>
      <c r="DH175" s="202"/>
      <c r="DI175" s="202"/>
      <c r="DJ175" s="202"/>
      <c r="DK175" s="202"/>
      <c r="DL175" s="202"/>
      <c r="DM175" s="202"/>
      <c r="DN175" s="202"/>
      <c r="DO175" s="202"/>
      <c r="DP175" s="202"/>
      <c r="DQ175" s="202"/>
      <c r="DR175" s="202"/>
      <c r="DS175" s="202"/>
      <c r="DT175" s="202"/>
      <c r="DU175" s="202"/>
      <c r="DV175" s="202"/>
      <c r="DW175" s="202"/>
      <c r="DX175" s="202"/>
      <c r="DY175" s="202"/>
      <c r="DZ175" s="202"/>
      <c r="EA175" s="202"/>
      <c r="EB175" s="202"/>
      <c r="EC175" s="202"/>
      <c r="ED175" s="202"/>
      <c r="EE175" s="202"/>
      <c r="EF175" s="202"/>
      <c r="EG175" s="202"/>
      <c r="EH175" s="202"/>
      <c r="EI175" s="202"/>
      <c r="EJ175" s="202"/>
      <c r="EK175" s="202"/>
      <c r="EL175" s="202"/>
      <c r="EM175" s="202"/>
      <c r="EN175" s="202"/>
      <c r="EO175" s="202"/>
      <c r="EP175" s="202"/>
      <c r="EQ175" s="202"/>
      <c r="ER175" s="202"/>
      <c r="ES175" s="202"/>
      <c r="ET175" s="202"/>
      <c r="EU175" s="202"/>
      <c r="EV175" s="202"/>
      <c r="EW175" s="202"/>
      <c r="EX175" s="202"/>
      <c r="EY175" s="202"/>
      <c r="EZ175" s="202"/>
      <c r="FA175" s="202"/>
      <c r="FB175" s="202"/>
      <c r="FC175" s="202"/>
      <c r="FD175" s="202"/>
      <c r="FE175" s="202"/>
      <c r="FF175" s="202"/>
      <c r="FG175" s="202"/>
      <c r="FH175" s="202"/>
      <c r="FI175" s="202"/>
    </row>
    <row r="176" spans="1:165" s="228" customFormat="1" ht="18" customHeight="1" x14ac:dyDescent="0.2">
      <c r="A176" s="289">
        <f t="shared" si="4"/>
        <v>167</v>
      </c>
      <c r="B176" s="78"/>
      <c r="C176" s="72"/>
      <c r="D176" s="79"/>
      <c r="E176" s="77"/>
      <c r="F176" s="72"/>
      <c r="G176" s="79"/>
      <c r="H176" s="178"/>
      <c r="I176" s="142"/>
      <c r="J176" s="76"/>
      <c r="K176" s="141"/>
      <c r="L176" s="261"/>
      <c r="M176" s="79"/>
      <c r="N176" s="79"/>
      <c r="O176" s="79"/>
      <c r="P176" s="79"/>
      <c r="Q176" s="79"/>
      <c r="R176" s="76"/>
      <c r="S176" s="76"/>
      <c r="T176" s="79"/>
      <c r="U176" s="79"/>
      <c r="V176" s="79"/>
      <c r="W176" s="76"/>
      <c r="X176" s="76"/>
      <c r="Y176" s="76"/>
      <c r="Z176" s="76"/>
      <c r="AA176" s="79"/>
      <c r="AB176" s="79"/>
      <c r="AC176" s="76"/>
      <c r="AD176" s="76"/>
      <c r="AE176" s="76"/>
      <c r="AF176" s="76"/>
      <c r="AG176" s="76"/>
      <c r="AH176" s="76"/>
      <c r="AI176" s="76"/>
      <c r="AJ176" s="76"/>
      <c r="AK176" s="79"/>
      <c r="AL176" s="76"/>
      <c r="AM176" s="76"/>
      <c r="AN176" s="76"/>
      <c r="AO176" s="79"/>
      <c r="AP176" s="76"/>
      <c r="AQ176" s="79"/>
      <c r="AR176" s="79"/>
      <c r="AS176" s="79"/>
      <c r="AT176" s="79"/>
      <c r="AU176" s="79"/>
      <c r="AV176" s="79"/>
      <c r="AW176" s="79"/>
      <c r="AX176" s="79"/>
      <c r="AY176" s="79"/>
      <c r="AZ176" s="79"/>
      <c r="BA176" s="79"/>
      <c r="BB176" s="79"/>
      <c r="BC176" s="79"/>
      <c r="BD176" s="79"/>
      <c r="BE176" s="79"/>
      <c r="BF176" s="79"/>
      <c r="BG176" s="79"/>
      <c r="BH176" s="79"/>
      <c r="BI176" s="79"/>
      <c r="BJ176" s="79"/>
      <c r="BK176" s="79"/>
      <c r="BL176" s="79"/>
      <c r="BM176" s="79"/>
      <c r="BN176" s="79"/>
      <c r="BO176" s="79"/>
      <c r="BP176" s="79"/>
      <c r="BQ176" s="79"/>
      <c r="BR176" s="76"/>
      <c r="BS176" s="76"/>
      <c r="BT176" s="76"/>
      <c r="BU176" s="79"/>
      <c r="BV176" s="79"/>
      <c r="BW176" s="79"/>
      <c r="BX176" s="79"/>
      <c r="BY176" s="79"/>
      <c r="BZ176" s="79"/>
      <c r="CA176" s="76"/>
      <c r="CB176" s="79"/>
      <c r="CC176" s="79"/>
      <c r="CD176" s="79"/>
      <c r="CE176" s="79"/>
      <c r="CF176" s="79"/>
      <c r="CG176" s="79"/>
      <c r="CH176" s="79"/>
      <c r="CI176" s="79"/>
      <c r="CJ176" s="201"/>
      <c r="CK176" s="202"/>
      <c r="CL176" s="202"/>
      <c r="CM176" s="202"/>
      <c r="CN176" s="202"/>
      <c r="CO176" s="202"/>
      <c r="CP176" s="202"/>
      <c r="CQ176" s="202"/>
      <c r="CR176" s="202"/>
      <c r="CS176" s="202"/>
      <c r="CT176" s="202"/>
      <c r="CU176" s="202"/>
      <c r="CV176" s="202"/>
      <c r="CW176" s="202"/>
      <c r="CX176" s="202"/>
      <c r="CY176" s="202"/>
      <c r="CZ176" s="202"/>
      <c r="DA176" s="202"/>
      <c r="DB176" s="202"/>
      <c r="DC176" s="202"/>
      <c r="DD176" s="202"/>
      <c r="DE176" s="202"/>
      <c r="DF176" s="202"/>
      <c r="DG176" s="202"/>
      <c r="DH176" s="202"/>
      <c r="DI176" s="202"/>
      <c r="DJ176" s="202"/>
      <c r="DK176" s="202"/>
      <c r="DL176" s="202"/>
      <c r="DM176" s="202"/>
      <c r="DN176" s="202"/>
      <c r="DO176" s="202"/>
      <c r="DP176" s="202"/>
      <c r="DQ176" s="202"/>
      <c r="DR176" s="202"/>
      <c r="DS176" s="202"/>
      <c r="DT176" s="202"/>
      <c r="DU176" s="202"/>
      <c r="DV176" s="202"/>
      <c r="DW176" s="202"/>
      <c r="DX176" s="202"/>
      <c r="DY176" s="202"/>
      <c r="DZ176" s="202"/>
      <c r="EA176" s="202"/>
      <c r="EB176" s="202"/>
      <c r="EC176" s="202"/>
      <c r="ED176" s="202"/>
      <c r="EE176" s="202"/>
      <c r="EF176" s="202"/>
      <c r="EG176" s="202"/>
      <c r="EH176" s="202"/>
      <c r="EI176" s="202"/>
      <c r="EJ176" s="202"/>
      <c r="EK176" s="202"/>
      <c r="EL176" s="202"/>
      <c r="EM176" s="202"/>
      <c r="EN176" s="202"/>
      <c r="EO176" s="202"/>
      <c r="EP176" s="202"/>
      <c r="EQ176" s="202"/>
      <c r="ER176" s="202"/>
      <c r="ES176" s="202"/>
      <c r="ET176" s="202"/>
      <c r="EU176" s="202"/>
      <c r="EV176" s="202"/>
      <c r="EW176" s="202"/>
      <c r="EX176" s="202"/>
      <c r="EY176" s="202"/>
      <c r="EZ176" s="202"/>
      <c r="FA176" s="202"/>
      <c r="FB176" s="202"/>
      <c r="FC176" s="202"/>
      <c r="FD176" s="202"/>
      <c r="FE176" s="202"/>
      <c r="FF176" s="202"/>
      <c r="FG176" s="202"/>
      <c r="FH176" s="202"/>
      <c r="FI176" s="202"/>
    </row>
    <row r="177" spans="1:165" s="228" customFormat="1" ht="18" customHeight="1" x14ac:dyDescent="0.2">
      <c r="A177" s="289">
        <f t="shared" si="4"/>
        <v>168</v>
      </c>
      <c r="B177" s="94"/>
      <c r="C177" s="79"/>
      <c r="D177" s="79"/>
      <c r="E177" s="98" t="s">
        <v>640</v>
      </c>
      <c r="F177" s="79"/>
      <c r="G177" s="79"/>
      <c r="H177" s="178"/>
      <c r="I177" s="259"/>
      <c r="J177" s="130"/>
      <c r="K177" s="260"/>
      <c r="L177" s="261"/>
      <c r="M177" s="79"/>
      <c r="N177" s="79"/>
      <c r="O177" s="79"/>
      <c r="P177" s="79"/>
      <c r="Q177" s="79"/>
      <c r="R177" s="76"/>
      <c r="S177" s="79"/>
      <c r="T177" s="76"/>
      <c r="U177" s="76"/>
      <c r="V177" s="76"/>
      <c r="W177" s="79"/>
      <c r="X177" s="79"/>
      <c r="Y177" s="79"/>
      <c r="Z177" s="79"/>
      <c r="AA177" s="76"/>
      <c r="AB177" s="76"/>
      <c r="AC177" s="79"/>
      <c r="AD177" s="79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6"/>
      <c r="AW177" s="76"/>
      <c r="AX177" s="76"/>
      <c r="AY177" s="76"/>
      <c r="AZ177" s="76"/>
      <c r="BA177" s="76"/>
      <c r="BB177" s="76"/>
      <c r="BC177" s="76"/>
      <c r="BD177" s="76"/>
      <c r="BE177" s="76"/>
      <c r="BF177" s="76"/>
      <c r="BG177" s="76"/>
      <c r="BH177" s="76"/>
      <c r="BI177" s="76"/>
      <c r="BJ177" s="76"/>
      <c r="BK177" s="76"/>
      <c r="BL177" s="76"/>
      <c r="BM177" s="76"/>
      <c r="BN177" s="76"/>
      <c r="BO177" s="76"/>
      <c r="BP177" s="76"/>
      <c r="BQ177" s="76"/>
      <c r="BR177" s="76"/>
      <c r="BS177" s="76"/>
      <c r="BT177" s="76"/>
      <c r="BU177" s="76"/>
      <c r="BV177" s="76"/>
      <c r="BW177" s="76"/>
      <c r="BX177" s="76"/>
      <c r="BY177" s="76"/>
      <c r="BZ177" s="76"/>
      <c r="CA177" s="76"/>
      <c r="CB177" s="76"/>
      <c r="CC177" s="76"/>
      <c r="CD177" s="76"/>
      <c r="CE177" s="76"/>
      <c r="CF177" s="79"/>
      <c r="CG177" s="76"/>
      <c r="CH177" s="76"/>
      <c r="CI177" s="76"/>
      <c r="CJ177" s="201"/>
      <c r="CK177" s="202"/>
      <c r="CL177" s="202"/>
      <c r="CM177" s="202"/>
      <c r="CN177" s="202"/>
      <c r="CO177" s="202"/>
      <c r="CP177" s="202"/>
      <c r="CQ177" s="202"/>
      <c r="CR177" s="202"/>
      <c r="CS177" s="202"/>
      <c r="CT177" s="202"/>
      <c r="CU177" s="202"/>
      <c r="CV177" s="202"/>
      <c r="CW177" s="202"/>
      <c r="CX177" s="202"/>
      <c r="CY177" s="202"/>
      <c r="CZ177" s="202"/>
      <c r="DA177" s="202"/>
      <c r="DB177" s="202"/>
      <c r="DC177" s="202"/>
      <c r="DD177" s="202"/>
      <c r="DE177" s="202"/>
      <c r="DF177" s="202"/>
      <c r="DG177" s="202"/>
      <c r="DH177" s="202"/>
      <c r="DI177" s="202"/>
      <c r="DJ177" s="202"/>
      <c r="DK177" s="202"/>
      <c r="DL177" s="202"/>
      <c r="DM177" s="202"/>
      <c r="DN177" s="202"/>
      <c r="DO177" s="202"/>
      <c r="DP177" s="202"/>
      <c r="DQ177" s="202"/>
      <c r="DR177" s="202"/>
      <c r="DS177" s="202"/>
      <c r="DT177" s="202"/>
      <c r="DU177" s="202"/>
      <c r="DV177" s="202"/>
      <c r="DW177" s="202"/>
      <c r="DX177" s="202"/>
      <c r="DY177" s="202"/>
      <c r="DZ177" s="202"/>
      <c r="EA177" s="202"/>
      <c r="EB177" s="202"/>
      <c r="EC177" s="202"/>
      <c r="ED177" s="202"/>
      <c r="EE177" s="202"/>
      <c r="EF177" s="202"/>
      <c r="EG177" s="202"/>
      <c r="EH177" s="202"/>
      <c r="EI177" s="202"/>
      <c r="EJ177" s="202"/>
      <c r="EK177" s="202"/>
      <c r="EL177" s="202"/>
      <c r="EM177" s="202"/>
      <c r="EN177" s="202"/>
      <c r="EO177" s="202"/>
      <c r="EP177" s="202"/>
      <c r="EQ177" s="202"/>
      <c r="ER177" s="202"/>
      <c r="ES177" s="202"/>
      <c r="ET177" s="202"/>
      <c r="EU177" s="202"/>
      <c r="EV177" s="202"/>
      <c r="EW177" s="202"/>
      <c r="EX177" s="202"/>
      <c r="EY177" s="202"/>
      <c r="EZ177" s="202"/>
      <c r="FA177" s="202"/>
      <c r="FB177" s="202"/>
      <c r="FC177" s="202"/>
      <c r="FD177" s="202"/>
      <c r="FE177" s="202"/>
      <c r="FF177" s="202"/>
      <c r="FG177" s="202"/>
      <c r="FH177" s="202"/>
      <c r="FI177" s="202"/>
    </row>
    <row r="178" spans="1:165" s="228" customFormat="1" ht="18" customHeight="1" x14ac:dyDescent="0.25">
      <c r="A178" s="578">
        <f t="shared" si="4"/>
        <v>169</v>
      </c>
      <c r="B178" s="588">
        <v>0</v>
      </c>
      <c r="C178" s="585" t="s">
        <v>135</v>
      </c>
      <c r="D178" s="585" t="s">
        <v>388</v>
      </c>
      <c r="E178" s="589" t="s">
        <v>389</v>
      </c>
      <c r="F178" s="586" t="s">
        <v>1044</v>
      </c>
      <c r="G178" s="585" t="s">
        <v>390</v>
      </c>
      <c r="H178" s="603" t="s">
        <v>1201</v>
      </c>
      <c r="I178" s="605">
        <v>9</v>
      </c>
      <c r="J178" s="556"/>
      <c r="K178" s="594"/>
      <c r="L178" s="306"/>
      <c r="M178" s="307"/>
      <c r="N178" s="307"/>
      <c r="O178" s="307"/>
      <c r="P178" s="307"/>
      <c r="Q178" s="79"/>
      <c r="R178" s="79"/>
      <c r="S178" s="585"/>
      <c r="T178" s="585"/>
      <c r="U178" s="585"/>
      <c r="V178" s="585"/>
      <c r="W178" s="585"/>
      <c r="X178" s="585"/>
      <c r="Y178" s="585"/>
      <c r="Z178" s="585"/>
      <c r="AA178" s="585"/>
      <c r="AB178" s="585"/>
      <c r="AC178" s="585"/>
      <c r="AD178" s="585"/>
      <c r="AE178" s="585"/>
      <c r="AF178" s="585"/>
      <c r="AG178" s="585"/>
      <c r="AH178" s="585"/>
      <c r="AI178" s="585"/>
      <c r="AJ178" s="79"/>
      <c r="AK178" s="79"/>
      <c r="AL178" s="585"/>
      <c r="AM178" s="585"/>
      <c r="AN178" s="585"/>
      <c r="AO178" s="585"/>
      <c r="AP178" s="585"/>
      <c r="AQ178" s="585"/>
      <c r="AR178" s="585"/>
      <c r="AS178" s="79"/>
      <c r="AT178" s="79"/>
      <c r="AU178" s="585"/>
      <c r="AV178" s="585"/>
      <c r="AW178" s="585"/>
      <c r="AX178" s="585"/>
      <c r="AY178" s="585"/>
      <c r="AZ178" s="585"/>
      <c r="BA178" s="585"/>
      <c r="BB178" s="585"/>
      <c r="BC178" s="585"/>
      <c r="BD178" s="585"/>
      <c r="BE178" s="79"/>
      <c r="BF178" s="79"/>
      <c r="BG178" s="585"/>
      <c r="BH178" s="585"/>
      <c r="BI178" s="585"/>
      <c r="BJ178" s="585"/>
      <c r="BK178" s="585"/>
      <c r="BL178" s="585"/>
      <c r="BM178" s="585"/>
      <c r="BN178" s="585"/>
      <c r="BO178" s="585"/>
      <c r="BP178" s="585"/>
      <c r="BQ178" s="79"/>
      <c r="BR178" s="79"/>
      <c r="BS178" s="585"/>
      <c r="BT178" s="79"/>
      <c r="BU178" s="79"/>
      <c r="BV178" s="585"/>
      <c r="BW178" s="585"/>
      <c r="BX178" s="585"/>
      <c r="BY178" s="585"/>
      <c r="BZ178" s="79"/>
      <c r="CA178" s="79"/>
      <c r="CB178" s="585"/>
      <c r="CC178" s="585"/>
      <c r="CD178" s="585"/>
      <c r="CE178" s="79"/>
      <c r="CF178" s="79"/>
      <c r="CG178" s="585"/>
      <c r="CH178" s="585" t="s">
        <v>40</v>
      </c>
      <c r="CI178" s="585" t="s">
        <v>40</v>
      </c>
      <c r="CJ178" s="201"/>
      <c r="CK178" s="202"/>
      <c r="CL178" s="202"/>
      <c r="CM178" s="202"/>
      <c r="CN178" s="202"/>
      <c r="CO178" s="202"/>
      <c r="CP178" s="202"/>
      <c r="CQ178" s="202"/>
      <c r="CR178" s="202"/>
      <c r="CS178" s="202"/>
      <c r="CT178" s="202"/>
      <c r="CU178" s="202"/>
      <c r="CV178" s="202"/>
      <c r="CW178" s="202"/>
      <c r="CX178" s="202"/>
      <c r="CY178" s="202"/>
      <c r="CZ178" s="202"/>
      <c r="DA178" s="202"/>
      <c r="DB178" s="202"/>
      <c r="DC178" s="202"/>
      <c r="DD178" s="202"/>
      <c r="DE178" s="202"/>
      <c r="DF178" s="202"/>
      <c r="DG178" s="202"/>
      <c r="DH178" s="202"/>
      <c r="DI178" s="202"/>
      <c r="DJ178" s="202"/>
      <c r="DK178" s="202"/>
      <c r="DL178" s="202"/>
      <c r="DM178" s="202"/>
      <c r="DN178" s="202"/>
      <c r="DO178" s="202"/>
      <c r="DP178" s="202"/>
      <c r="DQ178" s="202"/>
      <c r="DR178" s="202"/>
      <c r="DS178" s="202"/>
      <c r="DT178" s="202"/>
      <c r="DU178" s="202"/>
      <c r="DV178" s="202"/>
      <c r="DW178" s="202"/>
      <c r="DX178" s="202"/>
      <c r="DY178" s="202"/>
      <c r="DZ178" s="202"/>
      <c r="EA178" s="202"/>
      <c r="EB178" s="202"/>
      <c r="EC178" s="202"/>
      <c r="ED178" s="202"/>
      <c r="EE178" s="202"/>
      <c r="EF178" s="202"/>
      <c r="EG178" s="202"/>
      <c r="EH178" s="202"/>
      <c r="EI178" s="202"/>
      <c r="EJ178" s="202"/>
      <c r="EK178" s="202"/>
      <c r="EL178" s="202"/>
      <c r="EM178" s="202"/>
      <c r="EN178" s="202"/>
      <c r="EO178" s="202"/>
      <c r="EP178" s="202"/>
      <c r="EQ178" s="202"/>
      <c r="ER178" s="202"/>
      <c r="ES178" s="202"/>
      <c r="ET178" s="202"/>
      <c r="EU178" s="202"/>
      <c r="EV178" s="202"/>
      <c r="EW178" s="202"/>
      <c r="EX178" s="202"/>
      <c r="EY178" s="202"/>
      <c r="EZ178" s="202"/>
      <c r="FA178" s="202"/>
      <c r="FB178" s="202"/>
      <c r="FC178" s="202"/>
      <c r="FD178" s="202"/>
      <c r="FE178" s="202"/>
      <c r="FF178" s="202"/>
      <c r="FG178" s="202"/>
      <c r="FH178" s="202"/>
      <c r="FI178" s="202"/>
    </row>
    <row r="179" spans="1:165" s="228" customFormat="1" ht="18" customHeight="1" x14ac:dyDescent="0.25">
      <c r="A179" s="578">
        <f t="shared" si="4"/>
        <v>170</v>
      </c>
      <c r="B179" s="588">
        <v>0</v>
      </c>
      <c r="C179" s="591" t="s">
        <v>135</v>
      </c>
      <c r="D179" s="591" t="s">
        <v>391</v>
      </c>
      <c r="E179" s="589" t="s">
        <v>392</v>
      </c>
      <c r="F179" s="567" t="s">
        <v>1044</v>
      </c>
      <c r="G179" s="585" t="s">
        <v>393</v>
      </c>
      <c r="H179" s="603" t="s">
        <v>1200</v>
      </c>
      <c r="I179" s="605">
        <v>9</v>
      </c>
      <c r="J179" s="556"/>
      <c r="K179" s="594"/>
      <c r="L179" s="306"/>
      <c r="M179" s="307"/>
      <c r="N179" s="307"/>
      <c r="O179" s="307"/>
      <c r="P179" s="307"/>
      <c r="Q179" s="79"/>
      <c r="R179" s="79"/>
      <c r="S179" s="585"/>
      <c r="T179" s="585"/>
      <c r="U179" s="585"/>
      <c r="V179" s="585"/>
      <c r="W179" s="585"/>
      <c r="X179" s="585"/>
      <c r="Y179" s="585"/>
      <c r="Z179" s="585"/>
      <c r="AA179" s="585"/>
      <c r="AB179" s="585"/>
      <c r="AC179" s="585"/>
      <c r="AD179" s="585"/>
      <c r="AE179" s="585"/>
      <c r="AF179" s="585"/>
      <c r="AG179" s="585"/>
      <c r="AH179" s="585"/>
      <c r="AI179" s="585"/>
      <c r="AJ179" s="79"/>
      <c r="AK179" s="79"/>
      <c r="AL179" s="585"/>
      <c r="AM179" s="585"/>
      <c r="AN179" s="585"/>
      <c r="AO179" s="585"/>
      <c r="AP179" s="585"/>
      <c r="AQ179" s="585"/>
      <c r="AR179" s="585"/>
      <c r="AS179" s="79"/>
      <c r="AT179" s="79"/>
      <c r="AU179" s="585"/>
      <c r="AV179" s="585"/>
      <c r="AW179" s="585"/>
      <c r="AX179" s="585"/>
      <c r="AY179" s="585"/>
      <c r="AZ179" s="585"/>
      <c r="BA179" s="585"/>
      <c r="BB179" s="585"/>
      <c r="BC179" s="585"/>
      <c r="BD179" s="585"/>
      <c r="BE179" s="79"/>
      <c r="BF179" s="79"/>
      <c r="BG179" s="585"/>
      <c r="BH179" s="585"/>
      <c r="BI179" s="585"/>
      <c r="BJ179" s="585"/>
      <c r="BK179" s="585"/>
      <c r="BL179" s="585"/>
      <c r="BM179" s="585"/>
      <c r="BN179" s="585"/>
      <c r="BO179" s="585"/>
      <c r="BP179" s="585"/>
      <c r="BQ179" s="79"/>
      <c r="BR179" s="79"/>
      <c r="BS179" s="585"/>
      <c r="BT179" s="79"/>
      <c r="BU179" s="79"/>
      <c r="BV179" s="585"/>
      <c r="BW179" s="585"/>
      <c r="BX179" s="585"/>
      <c r="BY179" s="585"/>
      <c r="BZ179" s="79"/>
      <c r="CA179" s="79"/>
      <c r="CB179" s="585"/>
      <c r="CC179" s="585"/>
      <c r="CD179" s="585"/>
      <c r="CE179" s="79"/>
      <c r="CF179" s="79"/>
      <c r="CG179" s="585"/>
      <c r="CH179" s="585" t="s">
        <v>40</v>
      </c>
      <c r="CI179" s="585" t="s">
        <v>40</v>
      </c>
      <c r="CJ179" s="201"/>
      <c r="CK179" s="202"/>
      <c r="CL179" s="202"/>
      <c r="CM179" s="202"/>
      <c r="CN179" s="202"/>
      <c r="CO179" s="202"/>
      <c r="CP179" s="202"/>
      <c r="CQ179" s="202"/>
      <c r="CR179" s="202"/>
      <c r="CS179" s="202"/>
      <c r="CT179" s="202"/>
      <c r="CU179" s="202"/>
      <c r="CV179" s="202"/>
      <c r="CW179" s="202"/>
      <c r="CX179" s="202"/>
      <c r="CY179" s="202"/>
      <c r="CZ179" s="202"/>
      <c r="DA179" s="202"/>
      <c r="DB179" s="202"/>
      <c r="DC179" s="202"/>
      <c r="DD179" s="202"/>
      <c r="DE179" s="202"/>
      <c r="DF179" s="202"/>
      <c r="DG179" s="202"/>
      <c r="DH179" s="202"/>
      <c r="DI179" s="202"/>
      <c r="DJ179" s="202"/>
      <c r="DK179" s="202"/>
      <c r="DL179" s="202"/>
      <c r="DM179" s="202"/>
      <c r="DN179" s="202"/>
      <c r="DO179" s="202"/>
      <c r="DP179" s="202"/>
      <c r="DQ179" s="202"/>
      <c r="DR179" s="202"/>
      <c r="DS179" s="202"/>
      <c r="DT179" s="202"/>
      <c r="DU179" s="202"/>
      <c r="DV179" s="202"/>
      <c r="DW179" s="202"/>
      <c r="DX179" s="202"/>
      <c r="DY179" s="202"/>
      <c r="DZ179" s="202"/>
      <c r="EA179" s="202"/>
      <c r="EB179" s="202"/>
      <c r="EC179" s="202"/>
      <c r="ED179" s="202"/>
      <c r="EE179" s="202"/>
      <c r="EF179" s="202"/>
      <c r="EG179" s="202"/>
      <c r="EH179" s="202"/>
      <c r="EI179" s="202"/>
      <c r="EJ179" s="202"/>
      <c r="EK179" s="202"/>
      <c r="EL179" s="202"/>
      <c r="EM179" s="202"/>
      <c r="EN179" s="202"/>
      <c r="EO179" s="202"/>
      <c r="EP179" s="202"/>
      <c r="EQ179" s="202"/>
      <c r="ER179" s="202"/>
      <c r="ES179" s="202"/>
      <c r="ET179" s="202"/>
      <c r="EU179" s="202"/>
      <c r="EV179" s="202"/>
      <c r="EW179" s="202"/>
      <c r="EX179" s="202"/>
      <c r="EY179" s="202"/>
      <c r="EZ179" s="202"/>
      <c r="FA179" s="202"/>
      <c r="FB179" s="202"/>
      <c r="FC179" s="202"/>
      <c r="FD179" s="202"/>
      <c r="FE179" s="202"/>
      <c r="FF179" s="202"/>
      <c r="FG179" s="202"/>
      <c r="FH179" s="202"/>
      <c r="FI179" s="202"/>
    </row>
    <row r="180" spans="1:165" s="228" customFormat="1" ht="18" customHeight="1" x14ac:dyDescent="0.25">
      <c r="A180" s="578">
        <f t="shared" si="4"/>
        <v>171</v>
      </c>
      <c r="B180" s="588">
        <v>0</v>
      </c>
      <c r="C180" s="585" t="s">
        <v>135</v>
      </c>
      <c r="D180" s="585" t="s">
        <v>394</v>
      </c>
      <c r="E180" s="589" t="s">
        <v>395</v>
      </c>
      <c r="F180" s="586" t="s">
        <v>1044</v>
      </c>
      <c r="G180" s="585" t="s">
        <v>396</v>
      </c>
      <c r="H180" s="603" t="s">
        <v>869</v>
      </c>
      <c r="I180" s="593">
        <v>3</v>
      </c>
      <c r="J180" s="556" t="s">
        <v>64</v>
      </c>
      <c r="K180" s="594" t="s">
        <v>397</v>
      </c>
      <c r="L180" s="306"/>
      <c r="M180" s="307"/>
      <c r="N180" s="307" t="s">
        <v>122</v>
      </c>
      <c r="O180" s="307"/>
      <c r="P180" s="307"/>
      <c r="Q180" s="79"/>
      <c r="R180" s="79"/>
      <c r="S180" s="585"/>
      <c r="T180" s="585" t="s">
        <v>120</v>
      </c>
      <c r="U180" s="585"/>
      <c r="V180" s="585"/>
      <c r="W180" s="585" t="s">
        <v>120</v>
      </c>
      <c r="X180" s="586" t="s">
        <v>120</v>
      </c>
      <c r="Y180" s="585"/>
      <c r="Z180" s="585"/>
      <c r="AA180" s="585"/>
      <c r="AB180" s="585"/>
      <c r="AC180" s="585"/>
      <c r="AD180" s="585"/>
      <c r="AE180" s="585" t="s">
        <v>120</v>
      </c>
      <c r="AF180" s="585" t="s">
        <v>120</v>
      </c>
      <c r="AG180" s="585" t="s">
        <v>120</v>
      </c>
      <c r="AH180" s="585" t="s">
        <v>120</v>
      </c>
      <c r="AI180" s="585"/>
      <c r="AJ180" s="79"/>
      <c r="AK180" s="79"/>
      <c r="AL180" s="585"/>
      <c r="AM180" s="585"/>
      <c r="AN180" s="585"/>
      <c r="AO180" s="585"/>
      <c r="AP180" s="585"/>
      <c r="AQ180" s="585"/>
      <c r="AR180" s="585"/>
      <c r="AS180" s="79"/>
      <c r="AT180" s="79"/>
      <c r="AU180" s="585"/>
      <c r="AV180" s="585"/>
      <c r="AW180" s="585"/>
      <c r="AX180" s="585"/>
      <c r="AY180" s="585"/>
      <c r="AZ180" s="585"/>
      <c r="BA180" s="585"/>
      <c r="BB180" s="585"/>
      <c r="BC180" s="585"/>
      <c r="BD180" s="585"/>
      <c r="BE180" s="79"/>
      <c r="BF180" s="79"/>
      <c r="BG180" s="585"/>
      <c r="BH180" s="585"/>
      <c r="BI180" s="585"/>
      <c r="BJ180" s="585"/>
      <c r="BK180" s="585"/>
      <c r="BL180" s="585"/>
      <c r="BM180" s="585"/>
      <c r="BN180" s="585"/>
      <c r="BO180" s="585"/>
      <c r="BP180" s="585"/>
      <c r="BQ180" s="79"/>
      <c r="BR180" s="79"/>
      <c r="BS180" s="585" t="s">
        <v>120</v>
      </c>
      <c r="BT180" s="79"/>
      <c r="BU180" s="79"/>
      <c r="BV180" s="585"/>
      <c r="BW180" s="585"/>
      <c r="BX180" s="585"/>
      <c r="BY180" s="585"/>
      <c r="BZ180" s="79"/>
      <c r="CA180" s="79"/>
      <c r="CB180" s="585"/>
      <c r="CC180" s="585"/>
      <c r="CD180" s="585"/>
      <c r="CE180" s="79"/>
      <c r="CF180" s="79"/>
      <c r="CG180" s="585"/>
      <c r="CH180" s="585" t="s">
        <v>40</v>
      </c>
      <c r="CI180" s="585" t="s">
        <v>40</v>
      </c>
      <c r="CJ180" s="201"/>
      <c r="CK180" s="202"/>
      <c r="CL180" s="202"/>
      <c r="CM180" s="202"/>
      <c r="CN180" s="202"/>
      <c r="CO180" s="202"/>
      <c r="CP180" s="202"/>
      <c r="CQ180" s="202"/>
      <c r="CR180" s="202"/>
      <c r="CS180" s="202"/>
      <c r="CT180" s="202"/>
      <c r="CU180" s="202"/>
      <c r="CV180" s="202"/>
      <c r="CW180" s="202"/>
      <c r="CX180" s="202"/>
      <c r="CY180" s="202"/>
      <c r="CZ180" s="202"/>
      <c r="DA180" s="202"/>
      <c r="DB180" s="202"/>
      <c r="DC180" s="202"/>
      <c r="DD180" s="202"/>
      <c r="DE180" s="202"/>
      <c r="DF180" s="202"/>
      <c r="DG180" s="202"/>
      <c r="DH180" s="202"/>
      <c r="DI180" s="202"/>
      <c r="DJ180" s="202"/>
      <c r="DK180" s="202"/>
      <c r="DL180" s="202"/>
      <c r="DM180" s="202"/>
      <c r="DN180" s="202"/>
      <c r="DO180" s="202"/>
      <c r="DP180" s="202"/>
      <c r="DQ180" s="202"/>
      <c r="DR180" s="202"/>
      <c r="DS180" s="202"/>
      <c r="DT180" s="202"/>
      <c r="DU180" s="202"/>
      <c r="DV180" s="202"/>
      <c r="DW180" s="202"/>
      <c r="DX180" s="202"/>
      <c r="DY180" s="202"/>
      <c r="DZ180" s="202"/>
      <c r="EA180" s="202"/>
      <c r="EB180" s="202"/>
      <c r="EC180" s="202"/>
      <c r="ED180" s="202"/>
      <c r="EE180" s="202"/>
      <c r="EF180" s="202"/>
      <c r="EG180" s="202"/>
      <c r="EH180" s="202"/>
      <c r="EI180" s="202"/>
      <c r="EJ180" s="202"/>
      <c r="EK180" s="202"/>
      <c r="EL180" s="202"/>
      <c r="EM180" s="202"/>
      <c r="EN180" s="202"/>
      <c r="EO180" s="202"/>
      <c r="EP180" s="202"/>
      <c r="EQ180" s="202"/>
      <c r="ER180" s="202"/>
      <c r="ES180" s="202"/>
      <c r="ET180" s="202"/>
      <c r="EU180" s="202"/>
      <c r="EV180" s="202"/>
      <c r="EW180" s="202"/>
      <c r="EX180" s="202"/>
      <c r="EY180" s="202"/>
      <c r="EZ180" s="202"/>
      <c r="FA180" s="202"/>
      <c r="FB180" s="202"/>
      <c r="FC180" s="202"/>
      <c r="FD180" s="202"/>
      <c r="FE180" s="202"/>
      <c r="FF180" s="202"/>
      <c r="FG180" s="202"/>
      <c r="FH180" s="202"/>
      <c r="FI180" s="202"/>
    </row>
    <row r="181" spans="1:165" s="228" customFormat="1" ht="18" customHeight="1" x14ac:dyDescent="0.25">
      <c r="A181" s="578">
        <f t="shared" si="4"/>
        <v>172</v>
      </c>
      <c r="B181" s="588">
        <v>0</v>
      </c>
      <c r="C181" s="591" t="s">
        <v>135</v>
      </c>
      <c r="D181" s="591" t="s">
        <v>398</v>
      </c>
      <c r="E181" s="589" t="s">
        <v>399</v>
      </c>
      <c r="F181" s="567" t="s">
        <v>1044</v>
      </c>
      <c r="G181" s="585" t="s">
        <v>400</v>
      </c>
      <c r="H181" s="603" t="s">
        <v>870</v>
      </c>
      <c r="I181" s="593" t="s">
        <v>105</v>
      </c>
      <c r="J181" s="556" t="s">
        <v>64</v>
      </c>
      <c r="K181" s="594">
        <v>9</v>
      </c>
      <c r="L181" s="306"/>
      <c r="M181" s="307" t="s">
        <v>122</v>
      </c>
      <c r="N181" s="307" t="s">
        <v>122</v>
      </c>
      <c r="O181" s="307"/>
      <c r="P181" s="307"/>
      <c r="Q181" s="79"/>
      <c r="R181" s="79"/>
      <c r="S181" s="585"/>
      <c r="T181" s="585" t="s">
        <v>120</v>
      </c>
      <c r="U181" s="585"/>
      <c r="V181" s="585"/>
      <c r="W181" s="585" t="s">
        <v>120</v>
      </c>
      <c r="X181" s="586" t="s">
        <v>120</v>
      </c>
      <c r="Y181" s="585"/>
      <c r="Z181" s="585"/>
      <c r="AA181" s="585"/>
      <c r="AB181" s="585"/>
      <c r="AC181" s="585"/>
      <c r="AD181" s="585"/>
      <c r="AE181" s="585" t="s">
        <v>120</v>
      </c>
      <c r="AF181" s="585" t="s">
        <v>120</v>
      </c>
      <c r="AG181" s="585" t="s">
        <v>120</v>
      </c>
      <c r="AH181" s="585" t="s">
        <v>120</v>
      </c>
      <c r="AI181" s="585"/>
      <c r="AJ181" s="79"/>
      <c r="AK181" s="79"/>
      <c r="AL181" s="585"/>
      <c r="AM181" s="585"/>
      <c r="AN181" s="585"/>
      <c r="AO181" s="585"/>
      <c r="AP181" s="585"/>
      <c r="AQ181" s="585"/>
      <c r="AR181" s="585"/>
      <c r="AS181" s="79"/>
      <c r="AT181" s="79"/>
      <c r="AU181" s="585"/>
      <c r="AV181" s="585"/>
      <c r="AW181" s="585"/>
      <c r="AX181" s="585" t="s">
        <v>120</v>
      </c>
      <c r="AY181" s="585"/>
      <c r="AZ181" s="585"/>
      <c r="BA181" s="585"/>
      <c r="BB181" s="585"/>
      <c r="BC181" s="585"/>
      <c r="BD181" s="585" t="s">
        <v>121</v>
      </c>
      <c r="BE181" s="79"/>
      <c r="BF181" s="79"/>
      <c r="BG181" s="585"/>
      <c r="BH181" s="585"/>
      <c r="BI181" s="585"/>
      <c r="BJ181" s="585" t="s">
        <v>120</v>
      </c>
      <c r="BK181" s="585"/>
      <c r="BL181" s="585"/>
      <c r="BM181" s="585"/>
      <c r="BN181" s="585"/>
      <c r="BO181" s="585"/>
      <c r="BP181" s="585" t="s">
        <v>121</v>
      </c>
      <c r="BQ181" s="79"/>
      <c r="BR181" s="79"/>
      <c r="BS181" s="585" t="s">
        <v>120</v>
      </c>
      <c r="BT181" s="79"/>
      <c r="BU181" s="79"/>
      <c r="BV181" s="585"/>
      <c r="BW181" s="585"/>
      <c r="BX181" s="585"/>
      <c r="BY181" s="585"/>
      <c r="BZ181" s="79"/>
      <c r="CA181" s="79"/>
      <c r="CB181" s="585"/>
      <c r="CC181" s="585"/>
      <c r="CD181" s="585"/>
      <c r="CE181" s="79"/>
      <c r="CF181" s="79"/>
      <c r="CG181" s="585"/>
      <c r="CH181" s="585" t="s">
        <v>40</v>
      </c>
      <c r="CI181" s="585" t="s">
        <v>40</v>
      </c>
      <c r="CJ181" s="201"/>
      <c r="CK181" s="202"/>
      <c r="CL181" s="202"/>
      <c r="CM181" s="202"/>
      <c r="CN181" s="202"/>
      <c r="CO181" s="202"/>
      <c r="CP181" s="202"/>
      <c r="CQ181" s="202"/>
      <c r="CR181" s="202"/>
      <c r="CS181" s="202"/>
      <c r="CT181" s="202"/>
      <c r="CU181" s="202"/>
      <c r="CV181" s="202"/>
      <c r="CW181" s="202"/>
      <c r="CX181" s="202"/>
      <c r="CY181" s="202"/>
      <c r="CZ181" s="202"/>
      <c r="DA181" s="202"/>
      <c r="DB181" s="202"/>
      <c r="DC181" s="202"/>
      <c r="DD181" s="202"/>
      <c r="DE181" s="202"/>
      <c r="DF181" s="202"/>
      <c r="DG181" s="202"/>
      <c r="DH181" s="202"/>
      <c r="DI181" s="202"/>
      <c r="DJ181" s="202"/>
      <c r="DK181" s="202"/>
      <c r="DL181" s="202"/>
      <c r="DM181" s="202"/>
      <c r="DN181" s="202"/>
      <c r="DO181" s="202"/>
      <c r="DP181" s="202"/>
      <c r="DQ181" s="202"/>
      <c r="DR181" s="202"/>
      <c r="DS181" s="202"/>
      <c r="DT181" s="202"/>
      <c r="DU181" s="202"/>
      <c r="DV181" s="202"/>
      <c r="DW181" s="202"/>
      <c r="DX181" s="202"/>
      <c r="DY181" s="202"/>
      <c r="DZ181" s="202"/>
      <c r="EA181" s="202"/>
      <c r="EB181" s="202"/>
      <c r="EC181" s="202"/>
      <c r="ED181" s="202"/>
      <c r="EE181" s="202"/>
      <c r="EF181" s="202"/>
      <c r="EG181" s="202"/>
      <c r="EH181" s="202"/>
      <c r="EI181" s="202"/>
      <c r="EJ181" s="202"/>
      <c r="EK181" s="202"/>
      <c r="EL181" s="202"/>
      <c r="EM181" s="202"/>
      <c r="EN181" s="202"/>
      <c r="EO181" s="202"/>
      <c r="EP181" s="202"/>
      <c r="EQ181" s="202"/>
      <c r="ER181" s="202"/>
      <c r="ES181" s="202"/>
      <c r="ET181" s="202"/>
      <c r="EU181" s="202"/>
      <c r="EV181" s="202"/>
      <c r="EW181" s="202"/>
      <c r="EX181" s="202"/>
      <c r="EY181" s="202"/>
      <c r="EZ181" s="202"/>
      <c r="FA181" s="202"/>
      <c r="FB181" s="202"/>
      <c r="FC181" s="202"/>
      <c r="FD181" s="202"/>
      <c r="FE181" s="202"/>
      <c r="FF181" s="202"/>
      <c r="FG181" s="202"/>
      <c r="FH181" s="202"/>
      <c r="FI181" s="202"/>
    </row>
    <row r="182" spans="1:165" s="228" customFormat="1" ht="18" customHeight="1" x14ac:dyDescent="0.25">
      <c r="A182" s="578">
        <f t="shared" si="4"/>
        <v>173</v>
      </c>
      <c r="B182" s="588">
        <v>0</v>
      </c>
      <c r="C182" s="591" t="s">
        <v>135</v>
      </c>
      <c r="D182" s="591" t="s">
        <v>401</v>
      </c>
      <c r="E182" s="589" t="s">
        <v>402</v>
      </c>
      <c r="F182" s="567" t="s">
        <v>1044</v>
      </c>
      <c r="G182" s="585" t="s">
        <v>403</v>
      </c>
      <c r="H182" s="603" t="s">
        <v>871</v>
      </c>
      <c r="I182" s="593" t="s">
        <v>105</v>
      </c>
      <c r="J182" s="556" t="s">
        <v>64</v>
      </c>
      <c r="K182" s="594">
        <v>9</v>
      </c>
      <c r="L182" s="306"/>
      <c r="M182" s="307" t="s">
        <v>122</v>
      </c>
      <c r="N182" s="307" t="s">
        <v>122</v>
      </c>
      <c r="O182" s="307"/>
      <c r="P182" s="307"/>
      <c r="Q182" s="79"/>
      <c r="R182" s="79"/>
      <c r="S182" s="585"/>
      <c r="T182" s="585" t="s">
        <v>120</v>
      </c>
      <c r="U182" s="585"/>
      <c r="V182" s="585"/>
      <c r="W182" s="585" t="s">
        <v>120</v>
      </c>
      <c r="X182" s="586" t="s">
        <v>120</v>
      </c>
      <c r="Y182" s="585"/>
      <c r="Z182" s="585"/>
      <c r="AA182" s="585"/>
      <c r="AB182" s="585"/>
      <c r="AC182" s="585"/>
      <c r="AD182" s="585"/>
      <c r="AE182" s="585" t="s">
        <v>120</v>
      </c>
      <c r="AF182" s="585" t="s">
        <v>120</v>
      </c>
      <c r="AG182" s="585" t="s">
        <v>120</v>
      </c>
      <c r="AH182" s="585" t="s">
        <v>120</v>
      </c>
      <c r="AI182" s="585"/>
      <c r="AJ182" s="79"/>
      <c r="AK182" s="79"/>
      <c r="AL182" s="585"/>
      <c r="AM182" s="585"/>
      <c r="AN182" s="585"/>
      <c r="AO182" s="585"/>
      <c r="AP182" s="585"/>
      <c r="AQ182" s="585"/>
      <c r="AR182" s="585"/>
      <c r="AS182" s="79"/>
      <c r="AT182" s="79"/>
      <c r="AU182" s="585"/>
      <c r="AV182" s="585"/>
      <c r="AW182" s="585"/>
      <c r="AX182" s="585" t="s">
        <v>120</v>
      </c>
      <c r="AY182" s="585"/>
      <c r="AZ182" s="585"/>
      <c r="BA182" s="585"/>
      <c r="BB182" s="585"/>
      <c r="BC182" s="585"/>
      <c r="BD182" s="585" t="s">
        <v>121</v>
      </c>
      <c r="BE182" s="79"/>
      <c r="BF182" s="79"/>
      <c r="BG182" s="585"/>
      <c r="BH182" s="585"/>
      <c r="BI182" s="585"/>
      <c r="BJ182" s="585" t="s">
        <v>120</v>
      </c>
      <c r="BK182" s="585"/>
      <c r="BL182" s="585"/>
      <c r="BM182" s="585"/>
      <c r="BN182" s="585"/>
      <c r="BO182" s="585"/>
      <c r="BP182" s="585" t="s">
        <v>121</v>
      </c>
      <c r="BQ182" s="79"/>
      <c r="BR182" s="79"/>
      <c r="BS182" s="585" t="s">
        <v>120</v>
      </c>
      <c r="BT182" s="79"/>
      <c r="BU182" s="79"/>
      <c r="BV182" s="585"/>
      <c r="BW182" s="585"/>
      <c r="BX182" s="585"/>
      <c r="BY182" s="585"/>
      <c r="BZ182" s="79"/>
      <c r="CA182" s="79"/>
      <c r="CB182" s="585"/>
      <c r="CC182" s="585"/>
      <c r="CD182" s="585"/>
      <c r="CE182" s="79"/>
      <c r="CF182" s="79"/>
      <c r="CG182" s="585"/>
      <c r="CH182" s="585" t="s">
        <v>40</v>
      </c>
      <c r="CI182" s="585" t="s">
        <v>40</v>
      </c>
      <c r="CJ182" s="201"/>
      <c r="CK182" s="202"/>
      <c r="CL182" s="202"/>
      <c r="CM182" s="202"/>
      <c r="CN182" s="202"/>
      <c r="CO182" s="202"/>
      <c r="CP182" s="202"/>
      <c r="CQ182" s="202"/>
      <c r="CR182" s="202"/>
      <c r="CS182" s="202"/>
      <c r="CT182" s="202"/>
      <c r="CU182" s="202"/>
      <c r="CV182" s="202"/>
      <c r="CW182" s="202"/>
      <c r="CX182" s="202"/>
      <c r="CY182" s="202"/>
      <c r="CZ182" s="202"/>
      <c r="DA182" s="202"/>
      <c r="DB182" s="202"/>
      <c r="DC182" s="202"/>
      <c r="DD182" s="202"/>
      <c r="DE182" s="202"/>
      <c r="DF182" s="202"/>
      <c r="DG182" s="202"/>
      <c r="DH182" s="202"/>
      <c r="DI182" s="202"/>
      <c r="DJ182" s="202"/>
      <c r="DK182" s="202"/>
      <c r="DL182" s="202"/>
      <c r="DM182" s="202"/>
      <c r="DN182" s="202"/>
      <c r="DO182" s="202"/>
      <c r="DP182" s="202"/>
      <c r="DQ182" s="202"/>
      <c r="DR182" s="202"/>
      <c r="DS182" s="202"/>
      <c r="DT182" s="202"/>
      <c r="DU182" s="202"/>
      <c r="DV182" s="202"/>
      <c r="DW182" s="202"/>
      <c r="DX182" s="202"/>
      <c r="DY182" s="202"/>
      <c r="DZ182" s="202"/>
      <c r="EA182" s="202"/>
      <c r="EB182" s="202"/>
      <c r="EC182" s="202"/>
      <c r="ED182" s="202"/>
      <c r="EE182" s="202"/>
      <c r="EF182" s="202"/>
      <c r="EG182" s="202"/>
      <c r="EH182" s="202"/>
      <c r="EI182" s="202"/>
      <c r="EJ182" s="202"/>
      <c r="EK182" s="202"/>
      <c r="EL182" s="202"/>
      <c r="EM182" s="202"/>
      <c r="EN182" s="202"/>
      <c r="EO182" s="202"/>
      <c r="EP182" s="202"/>
      <c r="EQ182" s="202"/>
      <c r="ER182" s="202"/>
      <c r="ES182" s="202"/>
      <c r="ET182" s="202"/>
      <c r="EU182" s="202"/>
      <c r="EV182" s="202"/>
      <c r="EW182" s="202"/>
      <c r="EX182" s="202"/>
      <c r="EY182" s="202"/>
      <c r="EZ182" s="202"/>
      <c r="FA182" s="202"/>
      <c r="FB182" s="202"/>
      <c r="FC182" s="202"/>
      <c r="FD182" s="202"/>
      <c r="FE182" s="202"/>
      <c r="FF182" s="202"/>
      <c r="FG182" s="202"/>
      <c r="FH182" s="202"/>
      <c r="FI182" s="202"/>
    </row>
    <row r="183" spans="1:165" s="228" customFormat="1" ht="18" customHeight="1" x14ac:dyDescent="0.25">
      <c r="A183" s="578">
        <f t="shared" si="4"/>
        <v>174</v>
      </c>
      <c r="B183" s="588">
        <v>0</v>
      </c>
      <c r="C183" s="585" t="s">
        <v>135</v>
      </c>
      <c r="D183" s="585" t="s">
        <v>404</v>
      </c>
      <c r="E183" s="589" t="s">
        <v>771</v>
      </c>
      <c r="F183" s="590" t="s">
        <v>1044</v>
      </c>
      <c r="G183" s="585" t="s">
        <v>405</v>
      </c>
      <c r="H183" s="603" t="s">
        <v>1199</v>
      </c>
      <c r="I183" s="605">
        <v>9</v>
      </c>
      <c r="J183" s="556"/>
      <c r="K183" s="594"/>
      <c r="L183" s="306"/>
      <c r="M183" s="307"/>
      <c r="N183" s="307"/>
      <c r="O183" s="307"/>
      <c r="P183" s="307"/>
      <c r="Q183" s="79"/>
      <c r="R183" s="79"/>
      <c r="S183" s="585"/>
      <c r="T183" s="585"/>
      <c r="U183" s="585"/>
      <c r="V183" s="585"/>
      <c r="W183" s="585"/>
      <c r="X183" s="585"/>
      <c r="Y183" s="585"/>
      <c r="Z183" s="585"/>
      <c r="AA183" s="585"/>
      <c r="AB183" s="585"/>
      <c r="AC183" s="585"/>
      <c r="AD183" s="585"/>
      <c r="AE183" s="585"/>
      <c r="AF183" s="585"/>
      <c r="AG183" s="585"/>
      <c r="AH183" s="585"/>
      <c r="AI183" s="585"/>
      <c r="AJ183" s="79"/>
      <c r="AK183" s="79"/>
      <c r="AL183" s="585"/>
      <c r="AM183" s="585"/>
      <c r="AN183" s="585"/>
      <c r="AO183" s="585"/>
      <c r="AP183" s="585"/>
      <c r="AQ183" s="585"/>
      <c r="AR183" s="585"/>
      <c r="AS183" s="79"/>
      <c r="AT183" s="79"/>
      <c r="AU183" s="585"/>
      <c r="AV183" s="585"/>
      <c r="AW183" s="585"/>
      <c r="AX183" s="585"/>
      <c r="AY183" s="585"/>
      <c r="AZ183" s="585"/>
      <c r="BA183" s="585"/>
      <c r="BB183" s="585"/>
      <c r="BC183" s="585"/>
      <c r="BD183" s="585"/>
      <c r="BE183" s="79"/>
      <c r="BF183" s="79"/>
      <c r="BG183" s="585"/>
      <c r="BH183" s="585"/>
      <c r="BI183" s="585"/>
      <c r="BJ183" s="585"/>
      <c r="BK183" s="585"/>
      <c r="BL183" s="585"/>
      <c r="BM183" s="585"/>
      <c r="BN183" s="585"/>
      <c r="BO183" s="585"/>
      <c r="BP183" s="585"/>
      <c r="BQ183" s="79"/>
      <c r="BR183" s="79"/>
      <c r="BS183" s="585"/>
      <c r="BT183" s="79"/>
      <c r="BU183" s="79"/>
      <c r="BV183" s="585"/>
      <c r="BW183" s="585"/>
      <c r="BX183" s="585"/>
      <c r="BY183" s="585"/>
      <c r="BZ183" s="79"/>
      <c r="CA183" s="79"/>
      <c r="CB183" s="585"/>
      <c r="CC183" s="585"/>
      <c r="CD183" s="585"/>
      <c r="CE183" s="79"/>
      <c r="CF183" s="79"/>
      <c r="CG183" s="585"/>
      <c r="CH183" s="585" t="s">
        <v>40</v>
      </c>
      <c r="CI183" s="585" t="s">
        <v>40</v>
      </c>
      <c r="CJ183" s="201"/>
      <c r="CK183" s="202"/>
      <c r="CL183" s="202"/>
      <c r="CM183" s="202"/>
      <c r="CN183" s="202"/>
      <c r="CO183" s="202"/>
      <c r="CP183" s="202"/>
      <c r="CQ183" s="202"/>
      <c r="CR183" s="202"/>
      <c r="CS183" s="202"/>
      <c r="CT183" s="202"/>
      <c r="CU183" s="202"/>
      <c r="CV183" s="202"/>
      <c r="CW183" s="202"/>
      <c r="CX183" s="202"/>
      <c r="CY183" s="202"/>
      <c r="CZ183" s="202"/>
      <c r="DA183" s="202"/>
      <c r="DB183" s="202"/>
      <c r="DC183" s="202"/>
      <c r="DD183" s="202"/>
      <c r="DE183" s="202"/>
      <c r="DF183" s="202"/>
      <c r="DG183" s="202"/>
      <c r="DH183" s="202"/>
      <c r="DI183" s="202"/>
      <c r="DJ183" s="202"/>
      <c r="DK183" s="202"/>
      <c r="DL183" s="202"/>
      <c r="DM183" s="202"/>
      <c r="DN183" s="202"/>
      <c r="DO183" s="202"/>
      <c r="DP183" s="202"/>
      <c r="DQ183" s="202"/>
      <c r="DR183" s="202"/>
      <c r="DS183" s="202"/>
      <c r="DT183" s="202"/>
      <c r="DU183" s="202"/>
      <c r="DV183" s="202"/>
      <c r="DW183" s="202"/>
      <c r="DX183" s="202"/>
      <c r="DY183" s="202"/>
      <c r="DZ183" s="202"/>
      <c r="EA183" s="202"/>
      <c r="EB183" s="202"/>
      <c r="EC183" s="202"/>
      <c r="ED183" s="202"/>
      <c r="EE183" s="202"/>
      <c r="EF183" s="202"/>
      <c r="EG183" s="202"/>
      <c r="EH183" s="202"/>
      <c r="EI183" s="202"/>
      <c r="EJ183" s="202"/>
      <c r="EK183" s="202"/>
      <c r="EL183" s="202"/>
      <c r="EM183" s="202"/>
      <c r="EN183" s="202"/>
      <c r="EO183" s="202"/>
      <c r="EP183" s="202"/>
      <c r="EQ183" s="202"/>
      <c r="ER183" s="202"/>
      <c r="ES183" s="202"/>
      <c r="ET183" s="202"/>
      <c r="EU183" s="202"/>
      <c r="EV183" s="202"/>
      <c r="EW183" s="202"/>
      <c r="EX183" s="202"/>
      <c r="EY183" s="202"/>
      <c r="EZ183" s="202"/>
      <c r="FA183" s="202"/>
      <c r="FB183" s="202"/>
      <c r="FC183" s="202"/>
      <c r="FD183" s="202"/>
      <c r="FE183" s="202"/>
      <c r="FF183" s="202"/>
      <c r="FG183" s="202"/>
      <c r="FH183" s="202"/>
      <c r="FI183" s="202"/>
    </row>
    <row r="184" spans="1:165" s="228" customFormat="1" ht="18" customHeight="1" x14ac:dyDescent="0.25">
      <c r="A184" s="578">
        <f t="shared" si="4"/>
        <v>175</v>
      </c>
      <c r="B184" s="588">
        <v>0</v>
      </c>
      <c r="C184" s="585" t="s">
        <v>135</v>
      </c>
      <c r="D184" s="585" t="s">
        <v>406</v>
      </c>
      <c r="E184" s="589" t="s">
        <v>407</v>
      </c>
      <c r="F184" s="586" t="s">
        <v>1044</v>
      </c>
      <c r="G184" s="585" t="s">
        <v>408</v>
      </c>
      <c r="H184" s="592" t="s">
        <v>1198</v>
      </c>
      <c r="I184" s="593" t="s">
        <v>105</v>
      </c>
      <c r="J184" s="556" t="s">
        <v>64</v>
      </c>
      <c r="K184" s="594"/>
      <c r="L184" s="306"/>
      <c r="M184" s="307" t="s">
        <v>122</v>
      </c>
      <c r="N184" s="307" t="s">
        <v>122</v>
      </c>
      <c r="O184" s="307"/>
      <c r="P184" s="307"/>
      <c r="Q184" s="79"/>
      <c r="R184" s="79"/>
      <c r="S184" s="585"/>
      <c r="T184" s="585" t="s">
        <v>120</v>
      </c>
      <c r="U184" s="585"/>
      <c r="V184" s="585"/>
      <c r="W184" s="585" t="s">
        <v>120</v>
      </c>
      <c r="X184" s="586" t="s">
        <v>120</v>
      </c>
      <c r="Y184" s="585"/>
      <c r="Z184" s="585"/>
      <c r="AA184" s="585"/>
      <c r="AB184" s="585"/>
      <c r="AC184" s="585"/>
      <c r="AD184" s="585"/>
      <c r="AE184" s="585" t="s">
        <v>120</v>
      </c>
      <c r="AF184" s="585" t="s">
        <v>120</v>
      </c>
      <c r="AG184" s="585" t="s">
        <v>120</v>
      </c>
      <c r="AH184" s="585" t="s">
        <v>120</v>
      </c>
      <c r="AI184" s="585"/>
      <c r="AJ184" s="79"/>
      <c r="AK184" s="79"/>
      <c r="AL184" s="585"/>
      <c r="AM184" s="585"/>
      <c r="AN184" s="585"/>
      <c r="AO184" s="585" t="s">
        <v>121</v>
      </c>
      <c r="AP184" s="585"/>
      <c r="AQ184" s="585" t="s">
        <v>121</v>
      </c>
      <c r="AR184" s="585"/>
      <c r="AS184" s="79"/>
      <c r="AT184" s="79"/>
      <c r="AU184" s="585"/>
      <c r="AV184" s="585"/>
      <c r="AW184" s="585"/>
      <c r="AX184" s="585" t="s">
        <v>120</v>
      </c>
      <c r="AY184" s="585"/>
      <c r="AZ184" s="585"/>
      <c r="BA184" s="585"/>
      <c r="BB184" s="585"/>
      <c r="BC184" s="585"/>
      <c r="BD184" s="585" t="s">
        <v>121</v>
      </c>
      <c r="BE184" s="79"/>
      <c r="BF184" s="79"/>
      <c r="BG184" s="585"/>
      <c r="BH184" s="585"/>
      <c r="BI184" s="585"/>
      <c r="BJ184" s="585" t="s">
        <v>120</v>
      </c>
      <c r="BK184" s="585"/>
      <c r="BL184" s="585"/>
      <c r="BM184" s="585"/>
      <c r="BN184" s="585"/>
      <c r="BO184" s="585"/>
      <c r="BP184" s="585" t="s">
        <v>121</v>
      </c>
      <c r="BQ184" s="79"/>
      <c r="BR184" s="79"/>
      <c r="BS184" s="585" t="s">
        <v>120</v>
      </c>
      <c r="BT184" s="79"/>
      <c r="BU184" s="79"/>
      <c r="BV184" s="585"/>
      <c r="BW184" s="585"/>
      <c r="BX184" s="585"/>
      <c r="BY184" s="585"/>
      <c r="BZ184" s="79"/>
      <c r="CA184" s="79"/>
      <c r="CB184" s="585"/>
      <c r="CC184" s="585"/>
      <c r="CD184" s="585"/>
      <c r="CE184" s="79"/>
      <c r="CF184" s="79"/>
      <c r="CG184" s="585"/>
      <c r="CH184" s="585" t="s">
        <v>40</v>
      </c>
      <c r="CI184" s="585" t="s">
        <v>40</v>
      </c>
      <c r="CJ184" s="201"/>
      <c r="CK184" s="202"/>
      <c r="CL184" s="202"/>
      <c r="CM184" s="202"/>
      <c r="CN184" s="202"/>
      <c r="CO184" s="202"/>
      <c r="CP184" s="202"/>
      <c r="CQ184" s="202"/>
      <c r="CR184" s="202"/>
      <c r="CS184" s="202"/>
      <c r="CT184" s="202"/>
      <c r="CU184" s="202"/>
      <c r="CV184" s="202"/>
      <c r="CW184" s="202"/>
      <c r="CX184" s="202"/>
      <c r="CY184" s="202"/>
      <c r="CZ184" s="202"/>
      <c r="DA184" s="202"/>
      <c r="DB184" s="202"/>
      <c r="DC184" s="202"/>
      <c r="DD184" s="202"/>
      <c r="DE184" s="202"/>
      <c r="DF184" s="202"/>
      <c r="DG184" s="202"/>
      <c r="DH184" s="202"/>
      <c r="DI184" s="202"/>
      <c r="DJ184" s="202"/>
      <c r="DK184" s="202"/>
      <c r="DL184" s="202"/>
      <c r="DM184" s="202"/>
      <c r="DN184" s="202"/>
      <c r="DO184" s="202"/>
      <c r="DP184" s="202"/>
      <c r="DQ184" s="202"/>
      <c r="DR184" s="202"/>
      <c r="DS184" s="202"/>
      <c r="DT184" s="202"/>
      <c r="DU184" s="202"/>
      <c r="DV184" s="202"/>
      <c r="DW184" s="202"/>
      <c r="DX184" s="202"/>
      <c r="DY184" s="202"/>
      <c r="DZ184" s="202"/>
      <c r="EA184" s="202"/>
      <c r="EB184" s="202"/>
      <c r="EC184" s="202"/>
      <c r="ED184" s="202"/>
      <c r="EE184" s="202"/>
      <c r="EF184" s="202"/>
      <c r="EG184" s="202"/>
      <c r="EH184" s="202"/>
      <c r="EI184" s="202"/>
      <c r="EJ184" s="202"/>
      <c r="EK184" s="202"/>
      <c r="EL184" s="202"/>
      <c r="EM184" s="202"/>
      <c r="EN184" s="202"/>
      <c r="EO184" s="202"/>
      <c r="EP184" s="202"/>
      <c r="EQ184" s="202"/>
      <c r="ER184" s="202"/>
      <c r="ES184" s="202"/>
      <c r="ET184" s="202"/>
      <c r="EU184" s="202"/>
      <c r="EV184" s="202"/>
      <c r="EW184" s="202"/>
      <c r="EX184" s="202"/>
      <c r="EY184" s="202"/>
      <c r="EZ184" s="202"/>
      <c r="FA184" s="202"/>
      <c r="FB184" s="202"/>
      <c r="FC184" s="202"/>
      <c r="FD184" s="202"/>
      <c r="FE184" s="202"/>
      <c r="FF184" s="202"/>
      <c r="FG184" s="202"/>
      <c r="FH184" s="202"/>
      <c r="FI184" s="202"/>
    </row>
    <row r="185" spans="1:165" s="228" customFormat="1" ht="18" customHeight="1" x14ac:dyDescent="0.25">
      <c r="A185" s="578">
        <f t="shared" si="4"/>
        <v>176</v>
      </c>
      <c r="B185" s="588">
        <v>0</v>
      </c>
      <c r="C185" s="585" t="s">
        <v>135</v>
      </c>
      <c r="D185" s="585" t="s">
        <v>1035</v>
      </c>
      <c r="E185" s="589" t="s">
        <v>1036</v>
      </c>
      <c r="F185" s="586" t="s">
        <v>1044</v>
      </c>
      <c r="G185" s="585" t="s">
        <v>1037</v>
      </c>
      <c r="H185" s="603" t="s">
        <v>1197</v>
      </c>
      <c r="I185" s="605">
        <v>9</v>
      </c>
      <c r="J185" s="556"/>
      <c r="K185" s="594"/>
      <c r="L185" s="306"/>
      <c r="M185" s="307"/>
      <c r="N185" s="307"/>
      <c r="O185" s="307"/>
      <c r="P185" s="307"/>
      <c r="Q185" s="79"/>
      <c r="R185" s="76"/>
      <c r="S185" s="585"/>
      <c r="T185" s="556"/>
      <c r="U185" s="556"/>
      <c r="V185" s="556"/>
      <c r="W185" s="585"/>
      <c r="X185" s="585"/>
      <c r="Y185" s="585"/>
      <c r="Z185" s="585"/>
      <c r="AA185" s="556"/>
      <c r="AB185" s="556"/>
      <c r="AC185" s="585"/>
      <c r="AD185" s="585"/>
      <c r="AE185" s="556"/>
      <c r="AF185" s="556"/>
      <c r="AG185" s="556"/>
      <c r="AH185" s="556"/>
      <c r="AI185" s="556"/>
      <c r="AJ185" s="76"/>
      <c r="AK185" s="76"/>
      <c r="AL185" s="556"/>
      <c r="AM185" s="556"/>
      <c r="AN185" s="556"/>
      <c r="AO185" s="556"/>
      <c r="AP185" s="556"/>
      <c r="AQ185" s="556"/>
      <c r="AR185" s="556"/>
      <c r="AS185" s="76"/>
      <c r="AT185" s="76"/>
      <c r="AU185" s="556"/>
      <c r="AV185" s="556"/>
      <c r="AW185" s="556"/>
      <c r="AX185" s="556"/>
      <c r="AY185" s="556"/>
      <c r="AZ185" s="556"/>
      <c r="BA185" s="556"/>
      <c r="BB185" s="556"/>
      <c r="BC185" s="556"/>
      <c r="BD185" s="556"/>
      <c r="BE185" s="76"/>
      <c r="BF185" s="76"/>
      <c r="BG185" s="556"/>
      <c r="BH185" s="556"/>
      <c r="BI185" s="556"/>
      <c r="BJ185" s="556"/>
      <c r="BK185" s="556"/>
      <c r="BL185" s="556"/>
      <c r="BM185" s="556"/>
      <c r="BN185" s="556"/>
      <c r="BO185" s="556"/>
      <c r="BP185" s="556"/>
      <c r="BQ185" s="76"/>
      <c r="BR185" s="76"/>
      <c r="BS185" s="556"/>
      <c r="BT185" s="76"/>
      <c r="BU185" s="76"/>
      <c r="BV185" s="556"/>
      <c r="BW185" s="556"/>
      <c r="BX185" s="556"/>
      <c r="BY185" s="556"/>
      <c r="BZ185" s="76"/>
      <c r="CA185" s="76"/>
      <c r="CB185" s="556"/>
      <c r="CC185" s="556"/>
      <c r="CD185" s="556"/>
      <c r="CE185" s="76"/>
      <c r="CF185" s="79"/>
      <c r="CG185" s="556"/>
      <c r="CH185" s="556" t="s">
        <v>40</v>
      </c>
      <c r="CI185" s="556" t="s">
        <v>40</v>
      </c>
      <c r="CJ185" s="201"/>
      <c r="CK185" s="202"/>
      <c r="CL185" s="202"/>
      <c r="CM185" s="202"/>
      <c r="CN185" s="202"/>
      <c r="CO185" s="202"/>
      <c r="CP185" s="202"/>
      <c r="CQ185" s="202"/>
      <c r="CR185" s="202"/>
      <c r="CS185" s="202"/>
      <c r="CT185" s="202"/>
      <c r="CU185" s="202"/>
      <c r="CV185" s="202"/>
      <c r="CW185" s="202"/>
      <c r="CX185" s="202"/>
      <c r="CY185" s="202"/>
      <c r="CZ185" s="202"/>
      <c r="DA185" s="202"/>
      <c r="DB185" s="202"/>
      <c r="DC185" s="202"/>
      <c r="DD185" s="202"/>
      <c r="DE185" s="202"/>
      <c r="DF185" s="202"/>
      <c r="DG185" s="202"/>
      <c r="DH185" s="202"/>
      <c r="DI185" s="202"/>
      <c r="DJ185" s="202"/>
      <c r="DK185" s="202"/>
      <c r="DL185" s="202"/>
      <c r="DM185" s="202"/>
      <c r="DN185" s="202"/>
      <c r="DO185" s="202"/>
      <c r="DP185" s="202"/>
      <c r="DQ185" s="202"/>
      <c r="DR185" s="202"/>
      <c r="DS185" s="202"/>
      <c r="DT185" s="202"/>
      <c r="DU185" s="202"/>
      <c r="DV185" s="202"/>
      <c r="DW185" s="202"/>
      <c r="DX185" s="202"/>
      <c r="DY185" s="202"/>
      <c r="DZ185" s="202"/>
      <c r="EA185" s="202"/>
      <c r="EB185" s="202"/>
      <c r="EC185" s="202"/>
      <c r="ED185" s="202"/>
      <c r="EE185" s="202"/>
      <c r="EF185" s="202"/>
      <c r="EG185" s="202"/>
      <c r="EH185" s="202"/>
      <c r="EI185" s="202"/>
      <c r="EJ185" s="202"/>
      <c r="EK185" s="202"/>
      <c r="EL185" s="202"/>
      <c r="EM185" s="202"/>
      <c r="EN185" s="202"/>
      <c r="EO185" s="202"/>
      <c r="EP185" s="202"/>
      <c r="EQ185" s="202"/>
      <c r="ER185" s="202"/>
      <c r="ES185" s="202"/>
      <c r="ET185" s="202"/>
      <c r="EU185" s="202"/>
      <c r="EV185" s="202"/>
      <c r="EW185" s="202"/>
      <c r="EX185" s="202"/>
      <c r="EY185" s="202"/>
      <c r="EZ185" s="202"/>
      <c r="FA185" s="202"/>
      <c r="FB185" s="202"/>
      <c r="FC185" s="202"/>
      <c r="FD185" s="202"/>
      <c r="FE185" s="202"/>
      <c r="FF185" s="202"/>
      <c r="FG185" s="202"/>
      <c r="FH185" s="202"/>
      <c r="FI185" s="202"/>
    </row>
    <row r="186" spans="1:165" s="228" customFormat="1" ht="18" customHeight="1" x14ac:dyDescent="0.2">
      <c r="A186" s="529">
        <f t="shared" si="4"/>
        <v>177</v>
      </c>
      <c r="B186" s="526">
        <v>0</v>
      </c>
      <c r="C186" s="307" t="s">
        <v>135</v>
      </c>
      <c r="D186" s="307" t="s">
        <v>1053</v>
      </c>
      <c r="E186" s="527" t="s">
        <v>1054</v>
      </c>
      <c r="F186" s="307" t="s">
        <v>1044</v>
      </c>
      <c r="G186" s="307" t="s">
        <v>1140</v>
      </c>
      <c r="H186" s="369" t="s">
        <v>1056</v>
      </c>
      <c r="I186" s="413"/>
      <c r="J186" s="310"/>
      <c r="K186" s="411"/>
      <c r="L186" s="306"/>
      <c r="M186" s="307"/>
      <c r="N186" s="307"/>
      <c r="O186" s="307"/>
      <c r="P186" s="307"/>
      <c r="Q186" s="79"/>
      <c r="R186" s="76"/>
      <c r="S186" s="307"/>
      <c r="T186" s="310"/>
      <c r="U186" s="310"/>
      <c r="V186" s="310"/>
      <c r="W186" s="307"/>
      <c r="X186" s="307"/>
      <c r="Y186" s="307"/>
      <c r="Z186" s="307"/>
      <c r="AA186" s="310"/>
      <c r="AB186" s="310"/>
      <c r="AC186" s="307"/>
      <c r="AD186" s="307"/>
      <c r="AE186" s="310"/>
      <c r="AF186" s="310"/>
      <c r="AG186" s="310"/>
      <c r="AH186" s="310"/>
      <c r="AI186" s="310"/>
      <c r="AJ186" s="76"/>
      <c r="AK186" s="76"/>
      <c r="AL186" s="310"/>
      <c r="AM186" s="310"/>
      <c r="AN186" s="310"/>
      <c r="AO186" s="310"/>
      <c r="AP186" s="310"/>
      <c r="AQ186" s="310"/>
      <c r="AR186" s="310"/>
      <c r="AS186" s="76"/>
      <c r="AT186" s="76"/>
      <c r="AU186" s="310"/>
      <c r="AV186" s="310"/>
      <c r="AW186" s="310"/>
      <c r="AX186" s="310"/>
      <c r="AY186" s="310"/>
      <c r="AZ186" s="310"/>
      <c r="BA186" s="310"/>
      <c r="BB186" s="310"/>
      <c r="BC186" s="310"/>
      <c r="BD186" s="310"/>
      <c r="BE186" s="76"/>
      <c r="BF186" s="76"/>
      <c r="BG186" s="310"/>
      <c r="BH186" s="310"/>
      <c r="BI186" s="310"/>
      <c r="BJ186" s="310"/>
      <c r="BK186" s="310"/>
      <c r="BL186" s="310"/>
      <c r="BM186" s="310"/>
      <c r="BN186" s="310"/>
      <c r="BO186" s="310"/>
      <c r="BP186" s="310"/>
      <c r="BQ186" s="76"/>
      <c r="BR186" s="76"/>
      <c r="BS186" s="310"/>
      <c r="BT186" s="76"/>
      <c r="BU186" s="76"/>
      <c r="BV186" s="310"/>
      <c r="BW186" s="310"/>
      <c r="BX186" s="310"/>
      <c r="BY186" s="310"/>
      <c r="BZ186" s="76"/>
      <c r="CA186" s="76"/>
      <c r="CB186" s="310"/>
      <c r="CC186" s="310"/>
      <c r="CD186" s="310"/>
      <c r="CE186" s="76"/>
      <c r="CF186" s="79"/>
      <c r="CG186" s="310"/>
      <c r="CH186" s="310"/>
      <c r="CI186" s="310"/>
      <c r="CJ186" s="201"/>
      <c r="CK186" s="201"/>
      <c r="CL186" s="202"/>
      <c r="CM186" s="202"/>
      <c r="CN186" s="202"/>
      <c r="CO186" s="202"/>
      <c r="CP186" s="202"/>
      <c r="CQ186" s="202"/>
      <c r="CR186" s="202"/>
      <c r="CS186" s="202"/>
      <c r="CT186" s="202"/>
      <c r="CU186" s="202"/>
      <c r="CV186" s="202"/>
      <c r="CW186" s="202"/>
      <c r="CX186" s="202"/>
      <c r="CY186" s="202"/>
      <c r="CZ186" s="202"/>
      <c r="DA186" s="202"/>
      <c r="DB186" s="202"/>
      <c r="DC186" s="202"/>
      <c r="DD186" s="202"/>
      <c r="DE186" s="202"/>
      <c r="DF186" s="202"/>
      <c r="DG186" s="202"/>
      <c r="DH186" s="202"/>
      <c r="DI186" s="202"/>
      <c r="DJ186" s="202"/>
      <c r="DK186" s="202"/>
      <c r="DL186" s="202"/>
      <c r="DM186" s="202"/>
      <c r="DN186" s="202"/>
      <c r="DO186" s="202"/>
      <c r="DP186" s="202"/>
      <c r="DQ186" s="202"/>
      <c r="DR186" s="202"/>
      <c r="DS186" s="202"/>
      <c r="DT186" s="202"/>
      <c r="DU186" s="202"/>
      <c r="DV186" s="202"/>
      <c r="DW186" s="202"/>
      <c r="DX186" s="202"/>
      <c r="DY186" s="202"/>
      <c r="DZ186" s="202"/>
      <c r="EA186" s="202"/>
      <c r="EB186" s="202"/>
      <c r="EC186" s="202"/>
      <c r="ED186" s="202"/>
      <c r="EE186" s="202"/>
      <c r="EF186" s="202"/>
      <c r="EG186" s="202"/>
      <c r="EH186" s="202"/>
      <c r="EI186" s="202"/>
      <c r="EJ186" s="202"/>
      <c r="EK186" s="202"/>
      <c r="EL186" s="202"/>
      <c r="EM186" s="202"/>
      <c r="EN186" s="202"/>
      <c r="EO186" s="202"/>
      <c r="EP186" s="202"/>
      <c r="EQ186" s="202"/>
      <c r="ER186" s="202"/>
      <c r="ES186" s="202"/>
      <c r="ET186" s="202"/>
      <c r="EU186" s="202"/>
      <c r="EV186" s="202"/>
      <c r="EW186" s="202"/>
      <c r="EX186" s="202"/>
      <c r="EY186" s="202"/>
      <c r="EZ186" s="202"/>
      <c r="FA186" s="202"/>
      <c r="FB186" s="202"/>
      <c r="FC186" s="202"/>
      <c r="FD186" s="202"/>
      <c r="FE186" s="202"/>
      <c r="FF186" s="202"/>
      <c r="FG186" s="202"/>
      <c r="FH186" s="202"/>
      <c r="FI186" s="202"/>
    </row>
    <row r="187" spans="1:165" s="228" customFormat="1" ht="18" customHeight="1" x14ac:dyDescent="0.25">
      <c r="A187" s="578">
        <f t="shared" si="4"/>
        <v>178</v>
      </c>
      <c r="B187" s="588">
        <v>0</v>
      </c>
      <c r="C187" s="591" t="s">
        <v>135</v>
      </c>
      <c r="D187" s="591" t="s">
        <v>409</v>
      </c>
      <c r="E187" s="619" t="s">
        <v>772</v>
      </c>
      <c r="F187" s="590" t="s">
        <v>1044</v>
      </c>
      <c r="G187" s="591" t="s">
        <v>410</v>
      </c>
      <c r="H187" s="594" t="s">
        <v>1196</v>
      </c>
      <c r="I187" s="605">
        <v>9</v>
      </c>
      <c r="J187" s="556"/>
      <c r="K187" s="594"/>
      <c r="L187" s="306"/>
      <c r="M187" s="307"/>
      <c r="N187" s="307"/>
      <c r="O187" s="307"/>
      <c r="P187" s="307"/>
      <c r="Q187" s="79"/>
      <c r="R187" s="79"/>
      <c r="S187" s="585"/>
      <c r="T187" s="585"/>
      <c r="U187" s="585"/>
      <c r="V187" s="585"/>
      <c r="W187" s="585"/>
      <c r="X187" s="585"/>
      <c r="Y187" s="585"/>
      <c r="Z187" s="585"/>
      <c r="AA187" s="585"/>
      <c r="AB187" s="585"/>
      <c r="AC187" s="585"/>
      <c r="AD187" s="585"/>
      <c r="AE187" s="585"/>
      <c r="AF187" s="585"/>
      <c r="AG187" s="585"/>
      <c r="AH187" s="585"/>
      <c r="AI187" s="585"/>
      <c r="AJ187" s="79"/>
      <c r="AK187" s="79"/>
      <c r="AL187" s="585"/>
      <c r="AM187" s="585"/>
      <c r="AN187" s="585"/>
      <c r="AO187" s="585"/>
      <c r="AP187" s="585"/>
      <c r="AQ187" s="585"/>
      <c r="AR187" s="585"/>
      <c r="AS187" s="79"/>
      <c r="AT187" s="79"/>
      <c r="AU187" s="585"/>
      <c r="AV187" s="585"/>
      <c r="AW187" s="585"/>
      <c r="AX187" s="585"/>
      <c r="AY187" s="585"/>
      <c r="AZ187" s="585"/>
      <c r="BA187" s="585"/>
      <c r="BB187" s="585"/>
      <c r="BC187" s="585"/>
      <c r="BD187" s="585"/>
      <c r="BE187" s="79"/>
      <c r="BF187" s="79"/>
      <c r="BG187" s="585"/>
      <c r="BH187" s="585"/>
      <c r="BI187" s="585"/>
      <c r="BJ187" s="585"/>
      <c r="BK187" s="585"/>
      <c r="BL187" s="585"/>
      <c r="BM187" s="585"/>
      <c r="BN187" s="585"/>
      <c r="BO187" s="585"/>
      <c r="BP187" s="585"/>
      <c r="BQ187" s="79"/>
      <c r="BR187" s="79"/>
      <c r="BS187" s="585"/>
      <c r="BT187" s="79"/>
      <c r="BU187" s="79"/>
      <c r="BV187" s="585"/>
      <c r="BW187" s="585"/>
      <c r="BX187" s="585"/>
      <c r="BY187" s="585"/>
      <c r="BZ187" s="79"/>
      <c r="CA187" s="79"/>
      <c r="CB187" s="585"/>
      <c r="CC187" s="585"/>
      <c r="CD187" s="556"/>
      <c r="CE187" s="76"/>
      <c r="CF187" s="79"/>
      <c r="CG187" s="585"/>
      <c r="CH187" s="585" t="s">
        <v>40</v>
      </c>
      <c r="CI187" s="585" t="s">
        <v>40</v>
      </c>
      <c r="CJ187" s="201"/>
      <c r="CK187" s="202"/>
      <c r="CL187" s="202"/>
      <c r="CM187" s="202"/>
      <c r="CN187" s="202"/>
      <c r="CO187" s="202"/>
      <c r="CP187" s="202"/>
      <c r="CQ187" s="202"/>
      <c r="CR187" s="202"/>
      <c r="CS187" s="202"/>
      <c r="CT187" s="202"/>
      <c r="CU187" s="202"/>
      <c r="CV187" s="202"/>
      <c r="CW187" s="202"/>
      <c r="CX187" s="202"/>
      <c r="CY187" s="202"/>
      <c r="CZ187" s="202"/>
      <c r="DA187" s="202"/>
      <c r="DB187" s="202"/>
      <c r="DC187" s="202"/>
      <c r="DD187" s="202"/>
      <c r="DE187" s="202"/>
      <c r="DF187" s="202"/>
      <c r="DG187" s="202"/>
      <c r="DH187" s="202"/>
      <c r="DI187" s="202"/>
      <c r="DJ187" s="202"/>
      <c r="DK187" s="202"/>
      <c r="DL187" s="202"/>
      <c r="DM187" s="202"/>
      <c r="DN187" s="202"/>
      <c r="DO187" s="202"/>
      <c r="DP187" s="202"/>
      <c r="DQ187" s="202"/>
      <c r="DR187" s="202"/>
      <c r="DS187" s="202"/>
      <c r="DT187" s="202"/>
      <c r="DU187" s="202"/>
      <c r="DV187" s="202"/>
      <c r="DW187" s="202"/>
      <c r="DX187" s="202"/>
      <c r="DY187" s="202"/>
      <c r="DZ187" s="202"/>
      <c r="EA187" s="202"/>
      <c r="EB187" s="202"/>
      <c r="EC187" s="202"/>
      <c r="ED187" s="202"/>
      <c r="EE187" s="202"/>
      <c r="EF187" s="202"/>
      <c r="EG187" s="202"/>
      <c r="EH187" s="202"/>
      <c r="EI187" s="202"/>
      <c r="EJ187" s="202"/>
      <c r="EK187" s="202"/>
      <c r="EL187" s="202"/>
      <c r="EM187" s="202"/>
      <c r="EN187" s="202"/>
      <c r="EO187" s="202"/>
      <c r="EP187" s="202"/>
      <c r="EQ187" s="202"/>
      <c r="ER187" s="202"/>
      <c r="ES187" s="202"/>
      <c r="ET187" s="202"/>
      <c r="EU187" s="202"/>
      <c r="EV187" s="202"/>
      <c r="EW187" s="202"/>
      <c r="EX187" s="202"/>
      <c r="EY187" s="202"/>
      <c r="EZ187" s="202"/>
      <c r="FA187" s="202"/>
      <c r="FB187" s="202"/>
      <c r="FC187" s="202"/>
      <c r="FD187" s="202"/>
      <c r="FE187" s="202"/>
      <c r="FF187" s="202"/>
      <c r="FG187" s="202"/>
      <c r="FH187" s="202"/>
      <c r="FI187" s="202"/>
    </row>
    <row r="188" spans="1:165" s="228" customFormat="1" ht="18" customHeight="1" x14ac:dyDescent="0.25">
      <c r="A188" s="578">
        <f t="shared" si="4"/>
        <v>179</v>
      </c>
      <c r="B188" s="588">
        <v>0</v>
      </c>
      <c r="C188" s="585" t="s">
        <v>135</v>
      </c>
      <c r="D188" s="585" t="s">
        <v>411</v>
      </c>
      <c r="E188" s="589" t="s">
        <v>412</v>
      </c>
      <c r="F188" s="590" t="s">
        <v>1044</v>
      </c>
      <c r="G188" s="601" t="s">
        <v>413</v>
      </c>
      <c r="H188" s="602" t="s">
        <v>1195</v>
      </c>
      <c r="I188" s="593" t="s">
        <v>105</v>
      </c>
      <c r="J188" s="556" t="s">
        <v>64</v>
      </c>
      <c r="K188" s="594"/>
      <c r="L188" s="306"/>
      <c r="M188" s="307" t="s">
        <v>122</v>
      </c>
      <c r="N188" s="307" t="s">
        <v>122</v>
      </c>
      <c r="O188" s="307"/>
      <c r="P188" s="307"/>
      <c r="Q188" s="79"/>
      <c r="R188" s="79"/>
      <c r="S188" s="585"/>
      <c r="T188" s="585" t="s">
        <v>120</v>
      </c>
      <c r="U188" s="585"/>
      <c r="V188" s="585"/>
      <c r="W188" s="585" t="s">
        <v>120</v>
      </c>
      <c r="X188" s="586" t="s">
        <v>120</v>
      </c>
      <c r="Y188" s="585"/>
      <c r="Z188" s="585"/>
      <c r="AA188" s="585"/>
      <c r="AB188" s="585"/>
      <c r="AC188" s="585"/>
      <c r="AD188" s="585"/>
      <c r="AE188" s="585" t="s">
        <v>120</v>
      </c>
      <c r="AF188" s="585" t="s">
        <v>120</v>
      </c>
      <c r="AG188" s="585" t="s">
        <v>120</v>
      </c>
      <c r="AH188" s="585" t="s">
        <v>120</v>
      </c>
      <c r="AI188" s="585"/>
      <c r="AJ188" s="79"/>
      <c r="AK188" s="79"/>
      <c r="AL188" s="585"/>
      <c r="AM188" s="585"/>
      <c r="AN188" s="585"/>
      <c r="AO188" s="585" t="s">
        <v>121</v>
      </c>
      <c r="AP188" s="585"/>
      <c r="AQ188" s="585" t="s">
        <v>121</v>
      </c>
      <c r="AR188" s="585"/>
      <c r="AS188" s="79"/>
      <c r="AT188" s="79"/>
      <c r="AU188" s="585"/>
      <c r="AV188" s="585"/>
      <c r="AW188" s="585"/>
      <c r="AX188" s="585" t="s">
        <v>120</v>
      </c>
      <c r="AY188" s="585"/>
      <c r="AZ188" s="585"/>
      <c r="BA188" s="585"/>
      <c r="BB188" s="585"/>
      <c r="BC188" s="585"/>
      <c r="BD188" s="585" t="s">
        <v>121</v>
      </c>
      <c r="BE188" s="79"/>
      <c r="BF188" s="79"/>
      <c r="BG188" s="585"/>
      <c r="BH188" s="585"/>
      <c r="BI188" s="585"/>
      <c r="BJ188" s="585" t="s">
        <v>120</v>
      </c>
      <c r="BK188" s="585"/>
      <c r="BL188" s="585"/>
      <c r="BM188" s="585"/>
      <c r="BN188" s="585"/>
      <c r="BO188" s="585"/>
      <c r="BP188" s="585" t="s">
        <v>121</v>
      </c>
      <c r="BQ188" s="79"/>
      <c r="BR188" s="79"/>
      <c r="BS188" s="585" t="s">
        <v>120</v>
      </c>
      <c r="BT188" s="79"/>
      <c r="BU188" s="79"/>
      <c r="BV188" s="585"/>
      <c r="BW188" s="585"/>
      <c r="BX188" s="585"/>
      <c r="BY188" s="585"/>
      <c r="BZ188" s="79"/>
      <c r="CA188" s="79"/>
      <c r="CB188" s="585"/>
      <c r="CC188" s="585"/>
      <c r="CD188" s="585"/>
      <c r="CE188" s="79"/>
      <c r="CF188" s="79"/>
      <c r="CG188" s="585"/>
      <c r="CH188" s="585" t="s">
        <v>40</v>
      </c>
      <c r="CI188" s="585" t="s">
        <v>40</v>
      </c>
      <c r="CJ188" s="201"/>
      <c r="CK188" s="202"/>
      <c r="CL188" s="202"/>
      <c r="CM188" s="202"/>
      <c r="CN188" s="202"/>
      <c r="CO188" s="202"/>
      <c r="CP188" s="202"/>
      <c r="CQ188" s="202"/>
      <c r="CR188" s="202"/>
      <c r="CS188" s="202"/>
      <c r="CT188" s="202"/>
      <c r="CU188" s="202"/>
      <c r="CV188" s="202"/>
      <c r="CW188" s="202"/>
      <c r="CX188" s="202"/>
      <c r="CY188" s="202"/>
      <c r="CZ188" s="202"/>
      <c r="DA188" s="202"/>
      <c r="DB188" s="202"/>
      <c r="DC188" s="202"/>
      <c r="DD188" s="202"/>
      <c r="DE188" s="202"/>
      <c r="DF188" s="202"/>
      <c r="DG188" s="202"/>
      <c r="DH188" s="202"/>
      <c r="DI188" s="202"/>
      <c r="DJ188" s="202"/>
      <c r="DK188" s="202"/>
      <c r="DL188" s="202"/>
      <c r="DM188" s="202"/>
      <c r="DN188" s="202"/>
      <c r="DO188" s="202"/>
      <c r="DP188" s="202"/>
      <c r="DQ188" s="202"/>
      <c r="DR188" s="202"/>
      <c r="DS188" s="202"/>
      <c r="DT188" s="202"/>
      <c r="DU188" s="202"/>
      <c r="DV188" s="202"/>
      <c r="DW188" s="202"/>
      <c r="DX188" s="202"/>
      <c r="DY188" s="202"/>
      <c r="DZ188" s="202"/>
      <c r="EA188" s="202"/>
      <c r="EB188" s="202"/>
      <c r="EC188" s="202"/>
      <c r="ED188" s="202"/>
      <c r="EE188" s="202"/>
      <c r="EF188" s="202"/>
      <c r="EG188" s="202"/>
      <c r="EH188" s="202"/>
      <c r="EI188" s="202"/>
      <c r="EJ188" s="202"/>
      <c r="EK188" s="202"/>
      <c r="EL188" s="202"/>
      <c r="EM188" s="202"/>
      <c r="EN188" s="202"/>
      <c r="EO188" s="202"/>
      <c r="EP188" s="202"/>
      <c r="EQ188" s="202"/>
      <c r="ER188" s="202"/>
      <c r="ES188" s="202"/>
      <c r="ET188" s="202"/>
      <c r="EU188" s="202"/>
      <c r="EV188" s="202"/>
      <c r="EW188" s="202"/>
      <c r="EX188" s="202"/>
      <c r="EY188" s="202"/>
      <c r="EZ188" s="202"/>
      <c r="FA188" s="202"/>
      <c r="FB188" s="202"/>
      <c r="FC188" s="202"/>
      <c r="FD188" s="202"/>
      <c r="FE188" s="202"/>
      <c r="FF188" s="202"/>
      <c r="FG188" s="202"/>
      <c r="FH188" s="202"/>
      <c r="FI188" s="202"/>
    </row>
    <row r="189" spans="1:165" s="228" customFormat="1" ht="18" customHeight="1" x14ac:dyDescent="0.25">
      <c r="A189" s="578">
        <f t="shared" si="4"/>
        <v>180</v>
      </c>
      <c r="B189" s="588">
        <v>0</v>
      </c>
      <c r="C189" s="585" t="s">
        <v>135</v>
      </c>
      <c r="D189" s="585" t="s">
        <v>414</v>
      </c>
      <c r="E189" s="589" t="s">
        <v>415</v>
      </c>
      <c r="F189" s="586" t="s">
        <v>1044</v>
      </c>
      <c r="G189" s="585" t="s">
        <v>416</v>
      </c>
      <c r="H189" s="603" t="s">
        <v>1194</v>
      </c>
      <c r="I189" s="605">
        <v>9</v>
      </c>
      <c r="J189" s="556"/>
      <c r="K189" s="594"/>
      <c r="L189" s="306"/>
      <c r="M189" s="307"/>
      <c r="N189" s="307"/>
      <c r="O189" s="307"/>
      <c r="P189" s="307"/>
      <c r="Q189" s="79"/>
      <c r="R189" s="76"/>
      <c r="S189" s="585"/>
      <c r="T189" s="556"/>
      <c r="U189" s="556"/>
      <c r="V189" s="556"/>
      <c r="W189" s="585"/>
      <c r="X189" s="585"/>
      <c r="Y189" s="585"/>
      <c r="Z189" s="585"/>
      <c r="AA189" s="556"/>
      <c r="AB189" s="556"/>
      <c r="AC189" s="585"/>
      <c r="AD189" s="585"/>
      <c r="AE189" s="556"/>
      <c r="AF189" s="556"/>
      <c r="AG189" s="556"/>
      <c r="AH189" s="556"/>
      <c r="AI189" s="556"/>
      <c r="AJ189" s="76"/>
      <c r="AK189" s="76"/>
      <c r="AL189" s="556"/>
      <c r="AM189" s="556"/>
      <c r="AN189" s="556"/>
      <c r="AO189" s="556"/>
      <c r="AP189" s="556"/>
      <c r="AQ189" s="556"/>
      <c r="AR189" s="556"/>
      <c r="AS189" s="76"/>
      <c r="AT189" s="76"/>
      <c r="AU189" s="556"/>
      <c r="AV189" s="556"/>
      <c r="AW189" s="556"/>
      <c r="AX189" s="556"/>
      <c r="AY189" s="556"/>
      <c r="AZ189" s="556"/>
      <c r="BA189" s="556"/>
      <c r="BB189" s="556"/>
      <c r="BC189" s="556"/>
      <c r="BD189" s="556"/>
      <c r="BE189" s="76"/>
      <c r="BF189" s="76"/>
      <c r="BG189" s="556"/>
      <c r="BH189" s="556"/>
      <c r="BI189" s="556"/>
      <c r="BJ189" s="556"/>
      <c r="BK189" s="556"/>
      <c r="BL189" s="556"/>
      <c r="BM189" s="556"/>
      <c r="BN189" s="556"/>
      <c r="BO189" s="556"/>
      <c r="BP189" s="556"/>
      <c r="BQ189" s="76"/>
      <c r="BR189" s="76"/>
      <c r="BS189" s="556"/>
      <c r="BT189" s="76"/>
      <c r="BU189" s="76"/>
      <c r="BV189" s="556"/>
      <c r="BW189" s="556"/>
      <c r="BX189" s="556"/>
      <c r="BY189" s="556"/>
      <c r="BZ189" s="76"/>
      <c r="CA189" s="76"/>
      <c r="CB189" s="556"/>
      <c r="CC189" s="556"/>
      <c r="CD189" s="556"/>
      <c r="CE189" s="76"/>
      <c r="CF189" s="79"/>
      <c r="CG189" s="556"/>
      <c r="CH189" s="556" t="s">
        <v>40</v>
      </c>
      <c r="CI189" s="556" t="s">
        <v>40</v>
      </c>
      <c r="CJ189" s="201"/>
      <c r="CK189" s="202"/>
      <c r="CL189" s="202"/>
      <c r="CM189" s="202"/>
      <c r="CN189" s="202"/>
      <c r="CO189" s="202"/>
      <c r="CP189" s="202"/>
      <c r="CQ189" s="202"/>
      <c r="CR189" s="202"/>
      <c r="CS189" s="202"/>
      <c r="CT189" s="202"/>
      <c r="CU189" s="202"/>
      <c r="CV189" s="202"/>
      <c r="CW189" s="202"/>
      <c r="CX189" s="202"/>
      <c r="CY189" s="202"/>
      <c r="CZ189" s="202"/>
      <c r="DA189" s="202"/>
      <c r="DB189" s="202"/>
      <c r="DC189" s="202"/>
      <c r="DD189" s="202"/>
      <c r="DE189" s="202"/>
      <c r="DF189" s="202"/>
      <c r="DG189" s="202"/>
      <c r="DH189" s="202"/>
      <c r="DI189" s="202"/>
      <c r="DJ189" s="202"/>
      <c r="DK189" s="202"/>
      <c r="DL189" s="202"/>
      <c r="DM189" s="202"/>
      <c r="DN189" s="202"/>
      <c r="DO189" s="202"/>
      <c r="DP189" s="202"/>
      <c r="DQ189" s="202"/>
      <c r="DR189" s="202"/>
      <c r="DS189" s="202"/>
      <c r="DT189" s="202"/>
      <c r="DU189" s="202"/>
      <c r="DV189" s="202"/>
      <c r="DW189" s="202"/>
      <c r="DX189" s="202"/>
      <c r="DY189" s="202"/>
      <c r="DZ189" s="202"/>
      <c r="EA189" s="202"/>
      <c r="EB189" s="202"/>
      <c r="EC189" s="202"/>
      <c r="ED189" s="202"/>
      <c r="EE189" s="202"/>
      <c r="EF189" s="202"/>
      <c r="EG189" s="202"/>
      <c r="EH189" s="202"/>
      <c r="EI189" s="202"/>
      <c r="EJ189" s="202"/>
      <c r="EK189" s="202"/>
      <c r="EL189" s="202"/>
      <c r="EM189" s="202"/>
      <c r="EN189" s="202"/>
      <c r="EO189" s="202"/>
      <c r="EP189" s="202"/>
      <c r="EQ189" s="202"/>
      <c r="ER189" s="202"/>
      <c r="ES189" s="202"/>
      <c r="ET189" s="202"/>
      <c r="EU189" s="202"/>
      <c r="EV189" s="202"/>
      <c r="EW189" s="202"/>
      <c r="EX189" s="202"/>
      <c r="EY189" s="202"/>
      <c r="EZ189" s="202"/>
      <c r="FA189" s="202"/>
      <c r="FB189" s="202"/>
      <c r="FC189" s="202"/>
      <c r="FD189" s="202"/>
      <c r="FE189" s="202"/>
      <c r="FF189" s="202"/>
      <c r="FG189" s="202"/>
      <c r="FH189" s="202"/>
      <c r="FI189" s="202"/>
    </row>
    <row r="190" spans="1:165" s="228" customFormat="1" ht="18" customHeight="1" x14ac:dyDescent="0.25">
      <c r="A190" s="578">
        <f t="shared" si="4"/>
        <v>181</v>
      </c>
      <c r="B190" s="588">
        <v>0</v>
      </c>
      <c r="C190" s="585" t="s">
        <v>135</v>
      </c>
      <c r="D190" s="585" t="s">
        <v>417</v>
      </c>
      <c r="E190" s="589" t="s">
        <v>418</v>
      </c>
      <c r="F190" s="586" t="s">
        <v>1044</v>
      </c>
      <c r="G190" s="585" t="s">
        <v>419</v>
      </c>
      <c r="H190" s="603" t="s">
        <v>1193</v>
      </c>
      <c r="I190" s="605">
        <v>9</v>
      </c>
      <c r="J190" s="556"/>
      <c r="K190" s="594"/>
      <c r="L190" s="306"/>
      <c r="M190" s="307"/>
      <c r="N190" s="307"/>
      <c r="O190" s="307"/>
      <c r="P190" s="307"/>
      <c r="Q190" s="79"/>
      <c r="R190" s="76"/>
      <c r="S190" s="585"/>
      <c r="T190" s="556"/>
      <c r="U190" s="556"/>
      <c r="V190" s="556"/>
      <c r="W190" s="585"/>
      <c r="X190" s="585"/>
      <c r="Y190" s="585"/>
      <c r="Z190" s="585"/>
      <c r="AA190" s="556"/>
      <c r="AB190" s="556"/>
      <c r="AC190" s="585"/>
      <c r="AD190" s="585"/>
      <c r="AE190" s="556"/>
      <c r="AF190" s="556"/>
      <c r="AG190" s="556"/>
      <c r="AH190" s="556"/>
      <c r="AI190" s="556"/>
      <c r="AJ190" s="76"/>
      <c r="AK190" s="76"/>
      <c r="AL190" s="556"/>
      <c r="AM190" s="556"/>
      <c r="AN190" s="556"/>
      <c r="AO190" s="556"/>
      <c r="AP190" s="556"/>
      <c r="AQ190" s="556"/>
      <c r="AR190" s="556"/>
      <c r="AS190" s="76"/>
      <c r="AT190" s="76"/>
      <c r="AU190" s="556"/>
      <c r="AV190" s="556"/>
      <c r="AW190" s="556"/>
      <c r="AX190" s="556"/>
      <c r="AY190" s="556"/>
      <c r="AZ190" s="556"/>
      <c r="BA190" s="556"/>
      <c r="BB190" s="556"/>
      <c r="BC190" s="556"/>
      <c r="BD190" s="556"/>
      <c r="BE190" s="76"/>
      <c r="BF190" s="76"/>
      <c r="BG190" s="556"/>
      <c r="BH190" s="556"/>
      <c r="BI190" s="556"/>
      <c r="BJ190" s="556"/>
      <c r="BK190" s="556"/>
      <c r="BL190" s="556"/>
      <c r="BM190" s="556"/>
      <c r="BN190" s="556"/>
      <c r="BO190" s="556"/>
      <c r="BP190" s="556"/>
      <c r="BQ190" s="76"/>
      <c r="BR190" s="76"/>
      <c r="BS190" s="556"/>
      <c r="BT190" s="76"/>
      <c r="BU190" s="76"/>
      <c r="BV190" s="556"/>
      <c r="BW190" s="556"/>
      <c r="BX190" s="556"/>
      <c r="BY190" s="556"/>
      <c r="BZ190" s="76"/>
      <c r="CA190" s="76"/>
      <c r="CB190" s="556"/>
      <c r="CC190" s="556"/>
      <c r="CD190" s="556"/>
      <c r="CE190" s="76"/>
      <c r="CF190" s="79"/>
      <c r="CG190" s="556"/>
      <c r="CH190" s="556" t="s">
        <v>40</v>
      </c>
      <c r="CI190" s="556" t="s">
        <v>40</v>
      </c>
      <c r="CJ190" s="201"/>
      <c r="CK190" s="202"/>
      <c r="CL190" s="202"/>
      <c r="CM190" s="202"/>
      <c r="CN190" s="202"/>
      <c r="CO190" s="202"/>
      <c r="CP190" s="202"/>
      <c r="CQ190" s="202"/>
      <c r="CR190" s="202"/>
      <c r="CS190" s="202"/>
      <c r="CT190" s="202"/>
      <c r="CU190" s="202"/>
      <c r="CV190" s="202"/>
      <c r="CW190" s="202"/>
      <c r="CX190" s="202"/>
      <c r="CY190" s="202"/>
      <c r="CZ190" s="202"/>
      <c r="DA190" s="202"/>
      <c r="DB190" s="202"/>
      <c r="DC190" s="202"/>
      <c r="DD190" s="202"/>
      <c r="DE190" s="202"/>
      <c r="DF190" s="202"/>
      <c r="DG190" s="202"/>
      <c r="DH190" s="202"/>
      <c r="DI190" s="202"/>
      <c r="DJ190" s="202"/>
      <c r="DK190" s="202"/>
      <c r="DL190" s="202"/>
      <c r="DM190" s="202"/>
      <c r="DN190" s="202"/>
      <c r="DO190" s="202"/>
      <c r="DP190" s="202"/>
      <c r="DQ190" s="202"/>
      <c r="DR190" s="202"/>
      <c r="DS190" s="202"/>
      <c r="DT190" s="202"/>
      <c r="DU190" s="202"/>
      <c r="DV190" s="202"/>
      <c r="DW190" s="202"/>
      <c r="DX190" s="202"/>
      <c r="DY190" s="202"/>
      <c r="DZ190" s="202"/>
      <c r="EA190" s="202"/>
      <c r="EB190" s="202"/>
      <c r="EC190" s="202"/>
      <c r="ED190" s="202"/>
      <c r="EE190" s="202"/>
      <c r="EF190" s="202"/>
      <c r="EG190" s="202"/>
      <c r="EH190" s="202"/>
      <c r="EI190" s="202"/>
      <c r="EJ190" s="202"/>
      <c r="EK190" s="202"/>
      <c r="EL190" s="202"/>
      <c r="EM190" s="202"/>
      <c r="EN190" s="202"/>
      <c r="EO190" s="202"/>
      <c r="EP190" s="202"/>
      <c r="EQ190" s="202"/>
      <c r="ER190" s="202"/>
      <c r="ES190" s="202"/>
      <c r="ET190" s="202"/>
      <c r="EU190" s="202"/>
      <c r="EV190" s="202"/>
      <c r="EW190" s="202"/>
      <c r="EX190" s="202"/>
      <c r="EY190" s="202"/>
      <c r="EZ190" s="202"/>
      <c r="FA190" s="202"/>
      <c r="FB190" s="202"/>
      <c r="FC190" s="202"/>
      <c r="FD190" s="202"/>
      <c r="FE190" s="202"/>
      <c r="FF190" s="202"/>
      <c r="FG190" s="202"/>
      <c r="FH190" s="202"/>
      <c r="FI190" s="202"/>
    </row>
    <row r="191" spans="1:165" s="228" customFormat="1" ht="18" customHeight="1" x14ac:dyDescent="0.25">
      <c r="A191" s="578">
        <f t="shared" si="4"/>
        <v>182</v>
      </c>
      <c r="B191" s="588">
        <v>0</v>
      </c>
      <c r="C191" s="585" t="s">
        <v>135</v>
      </c>
      <c r="D191" s="585" t="s">
        <v>420</v>
      </c>
      <c r="E191" s="589" t="s">
        <v>421</v>
      </c>
      <c r="F191" s="586" t="s">
        <v>1044</v>
      </c>
      <c r="G191" s="585" t="s">
        <v>422</v>
      </c>
      <c r="H191" s="603" t="s">
        <v>1192</v>
      </c>
      <c r="I191" s="605">
        <v>9</v>
      </c>
      <c r="J191" s="556"/>
      <c r="K191" s="594"/>
      <c r="L191" s="306"/>
      <c r="M191" s="307"/>
      <c r="N191" s="307"/>
      <c r="O191" s="307"/>
      <c r="P191" s="307"/>
      <c r="Q191" s="79"/>
      <c r="R191" s="76"/>
      <c r="S191" s="585"/>
      <c r="T191" s="556"/>
      <c r="U191" s="556"/>
      <c r="V191" s="556"/>
      <c r="W191" s="585"/>
      <c r="X191" s="585"/>
      <c r="Y191" s="585"/>
      <c r="Z191" s="585"/>
      <c r="AA191" s="556"/>
      <c r="AB191" s="556"/>
      <c r="AC191" s="585"/>
      <c r="AD191" s="585"/>
      <c r="AE191" s="556"/>
      <c r="AF191" s="556"/>
      <c r="AG191" s="556"/>
      <c r="AH191" s="556"/>
      <c r="AI191" s="556"/>
      <c r="AJ191" s="76"/>
      <c r="AK191" s="76"/>
      <c r="AL191" s="556"/>
      <c r="AM191" s="556"/>
      <c r="AN191" s="556"/>
      <c r="AO191" s="556"/>
      <c r="AP191" s="556"/>
      <c r="AQ191" s="556"/>
      <c r="AR191" s="556"/>
      <c r="AS191" s="76"/>
      <c r="AT191" s="76"/>
      <c r="AU191" s="556"/>
      <c r="AV191" s="556"/>
      <c r="AW191" s="556"/>
      <c r="AX191" s="556"/>
      <c r="AY191" s="556"/>
      <c r="AZ191" s="556"/>
      <c r="BA191" s="556"/>
      <c r="BB191" s="556"/>
      <c r="BC191" s="556"/>
      <c r="BD191" s="556"/>
      <c r="BE191" s="76"/>
      <c r="BF191" s="76"/>
      <c r="BG191" s="556"/>
      <c r="BH191" s="556"/>
      <c r="BI191" s="556"/>
      <c r="BJ191" s="556"/>
      <c r="BK191" s="556"/>
      <c r="BL191" s="556"/>
      <c r="BM191" s="556"/>
      <c r="BN191" s="556"/>
      <c r="BO191" s="556"/>
      <c r="BP191" s="556"/>
      <c r="BQ191" s="76"/>
      <c r="BR191" s="76"/>
      <c r="BS191" s="556"/>
      <c r="BT191" s="76"/>
      <c r="BU191" s="76"/>
      <c r="BV191" s="556"/>
      <c r="BW191" s="556"/>
      <c r="BX191" s="556"/>
      <c r="BY191" s="556"/>
      <c r="BZ191" s="76"/>
      <c r="CA191" s="76"/>
      <c r="CB191" s="556"/>
      <c r="CC191" s="556"/>
      <c r="CD191" s="556"/>
      <c r="CE191" s="76"/>
      <c r="CF191" s="79"/>
      <c r="CG191" s="556"/>
      <c r="CH191" s="556" t="s">
        <v>40</v>
      </c>
      <c r="CI191" s="556" t="s">
        <v>40</v>
      </c>
      <c r="CJ191" s="201"/>
      <c r="CK191" s="202"/>
      <c r="CL191" s="202"/>
      <c r="CM191" s="202"/>
      <c r="CN191" s="202"/>
      <c r="CO191" s="202"/>
      <c r="CP191" s="202"/>
      <c r="CQ191" s="202"/>
      <c r="CR191" s="202"/>
      <c r="CS191" s="202"/>
      <c r="CT191" s="202"/>
      <c r="CU191" s="202"/>
      <c r="CV191" s="202"/>
      <c r="CW191" s="202"/>
      <c r="CX191" s="202"/>
      <c r="CY191" s="202"/>
      <c r="CZ191" s="202"/>
      <c r="DA191" s="202"/>
      <c r="DB191" s="202"/>
      <c r="DC191" s="202"/>
      <c r="DD191" s="202"/>
      <c r="DE191" s="202"/>
      <c r="DF191" s="202"/>
      <c r="DG191" s="202"/>
      <c r="DH191" s="202"/>
      <c r="DI191" s="202"/>
      <c r="DJ191" s="202"/>
      <c r="DK191" s="202"/>
      <c r="DL191" s="202"/>
      <c r="DM191" s="202"/>
      <c r="DN191" s="202"/>
      <c r="DO191" s="202"/>
      <c r="DP191" s="202"/>
      <c r="DQ191" s="202"/>
      <c r="DR191" s="202"/>
      <c r="DS191" s="202"/>
      <c r="DT191" s="202"/>
      <c r="DU191" s="202"/>
      <c r="DV191" s="202"/>
      <c r="DW191" s="202"/>
      <c r="DX191" s="202"/>
      <c r="DY191" s="202"/>
      <c r="DZ191" s="202"/>
      <c r="EA191" s="202"/>
      <c r="EB191" s="202"/>
      <c r="EC191" s="202"/>
      <c r="ED191" s="202"/>
      <c r="EE191" s="202"/>
      <c r="EF191" s="202"/>
      <c r="EG191" s="202"/>
      <c r="EH191" s="202"/>
      <c r="EI191" s="202"/>
      <c r="EJ191" s="202"/>
      <c r="EK191" s="202"/>
      <c r="EL191" s="202"/>
      <c r="EM191" s="202"/>
      <c r="EN191" s="202"/>
      <c r="EO191" s="202"/>
      <c r="EP191" s="202"/>
      <c r="EQ191" s="202"/>
      <c r="ER191" s="202"/>
      <c r="ES191" s="202"/>
      <c r="ET191" s="202"/>
      <c r="EU191" s="202"/>
      <c r="EV191" s="202"/>
      <c r="EW191" s="202"/>
      <c r="EX191" s="202"/>
      <c r="EY191" s="202"/>
      <c r="EZ191" s="202"/>
      <c r="FA191" s="202"/>
      <c r="FB191" s="202"/>
      <c r="FC191" s="202"/>
      <c r="FD191" s="202"/>
      <c r="FE191" s="202"/>
      <c r="FF191" s="202"/>
      <c r="FG191" s="202"/>
      <c r="FH191" s="202"/>
      <c r="FI191" s="202"/>
    </row>
    <row r="192" spans="1:165" s="228" customFormat="1" ht="18" customHeight="1" x14ac:dyDescent="0.25">
      <c r="A192" s="578">
        <f t="shared" si="4"/>
        <v>183</v>
      </c>
      <c r="B192" s="588">
        <v>0</v>
      </c>
      <c r="C192" s="585" t="s">
        <v>135</v>
      </c>
      <c r="D192" s="585" t="s">
        <v>423</v>
      </c>
      <c r="E192" s="589" t="s">
        <v>424</v>
      </c>
      <c r="F192" s="586" t="s">
        <v>1044</v>
      </c>
      <c r="G192" s="585" t="s">
        <v>425</v>
      </c>
      <c r="H192" s="603" t="s">
        <v>1191</v>
      </c>
      <c r="I192" s="605">
        <v>9</v>
      </c>
      <c r="J192" s="556"/>
      <c r="K192" s="594"/>
      <c r="L192" s="306"/>
      <c r="M192" s="307"/>
      <c r="N192" s="307"/>
      <c r="O192" s="307"/>
      <c r="P192" s="307"/>
      <c r="Q192" s="79"/>
      <c r="R192" s="76"/>
      <c r="S192" s="585"/>
      <c r="T192" s="556"/>
      <c r="U192" s="556"/>
      <c r="V192" s="556"/>
      <c r="W192" s="585"/>
      <c r="X192" s="585"/>
      <c r="Y192" s="585"/>
      <c r="Z192" s="585"/>
      <c r="AA192" s="556"/>
      <c r="AB192" s="556"/>
      <c r="AC192" s="585"/>
      <c r="AD192" s="585"/>
      <c r="AE192" s="556"/>
      <c r="AF192" s="556"/>
      <c r="AG192" s="556"/>
      <c r="AH192" s="556"/>
      <c r="AI192" s="556"/>
      <c r="AJ192" s="76"/>
      <c r="AK192" s="76"/>
      <c r="AL192" s="556"/>
      <c r="AM192" s="556"/>
      <c r="AN192" s="556"/>
      <c r="AO192" s="556"/>
      <c r="AP192" s="556"/>
      <c r="AQ192" s="556"/>
      <c r="AR192" s="556"/>
      <c r="AS192" s="76"/>
      <c r="AT192" s="76"/>
      <c r="AU192" s="556"/>
      <c r="AV192" s="556"/>
      <c r="AW192" s="556"/>
      <c r="AX192" s="556"/>
      <c r="AY192" s="556"/>
      <c r="AZ192" s="556"/>
      <c r="BA192" s="556"/>
      <c r="BB192" s="556"/>
      <c r="BC192" s="556"/>
      <c r="BD192" s="556"/>
      <c r="BE192" s="76"/>
      <c r="BF192" s="76"/>
      <c r="BG192" s="556"/>
      <c r="BH192" s="556"/>
      <c r="BI192" s="556"/>
      <c r="BJ192" s="556"/>
      <c r="BK192" s="556"/>
      <c r="BL192" s="556"/>
      <c r="BM192" s="556"/>
      <c r="BN192" s="556"/>
      <c r="BO192" s="556"/>
      <c r="BP192" s="556"/>
      <c r="BQ192" s="76"/>
      <c r="BR192" s="76"/>
      <c r="BS192" s="556"/>
      <c r="BT192" s="76"/>
      <c r="BU192" s="76"/>
      <c r="BV192" s="556"/>
      <c r="BW192" s="556"/>
      <c r="BX192" s="556"/>
      <c r="BY192" s="556"/>
      <c r="BZ192" s="76"/>
      <c r="CA192" s="76"/>
      <c r="CB192" s="556"/>
      <c r="CC192" s="556"/>
      <c r="CD192" s="556"/>
      <c r="CE192" s="76"/>
      <c r="CF192" s="79"/>
      <c r="CG192" s="556"/>
      <c r="CH192" s="556" t="s">
        <v>40</v>
      </c>
      <c r="CI192" s="556" t="s">
        <v>40</v>
      </c>
      <c r="CJ192" s="201"/>
      <c r="CK192" s="202"/>
      <c r="CL192" s="202"/>
      <c r="CM192" s="202"/>
      <c r="CN192" s="202"/>
      <c r="CO192" s="202"/>
      <c r="CP192" s="202"/>
      <c r="CQ192" s="202"/>
      <c r="CR192" s="202"/>
      <c r="CS192" s="202"/>
      <c r="CT192" s="202"/>
      <c r="CU192" s="202"/>
      <c r="CV192" s="202"/>
      <c r="CW192" s="202"/>
      <c r="CX192" s="202"/>
      <c r="CY192" s="202"/>
      <c r="CZ192" s="202"/>
      <c r="DA192" s="202"/>
      <c r="DB192" s="202"/>
      <c r="DC192" s="202"/>
      <c r="DD192" s="202"/>
      <c r="DE192" s="202"/>
      <c r="DF192" s="202"/>
      <c r="DG192" s="202"/>
      <c r="DH192" s="202"/>
      <c r="DI192" s="202"/>
      <c r="DJ192" s="202"/>
      <c r="DK192" s="202"/>
      <c r="DL192" s="202"/>
      <c r="DM192" s="202"/>
      <c r="DN192" s="202"/>
      <c r="DO192" s="202"/>
      <c r="DP192" s="202"/>
      <c r="DQ192" s="202"/>
      <c r="DR192" s="202"/>
      <c r="DS192" s="202"/>
      <c r="DT192" s="202"/>
      <c r="DU192" s="202"/>
      <c r="DV192" s="202"/>
      <c r="DW192" s="202"/>
      <c r="DX192" s="202"/>
      <c r="DY192" s="202"/>
      <c r="DZ192" s="202"/>
      <c r="EA192" s="202"/>
      <c r="EB192" s="202"/>
      <c r="EC192" s="202"/>
      <c r="ED192" s="202"/>
      <c r="EE192" s="202"/>
      <c r="EF192" s="202"/>
      <c r="EG192" s="202"/>
      <c r="EH192" s="202"/>
      <c r="EI192" s="202"/>
      <c r="EJ192" s="202"/>
      <c r="EK192" s="202"/>
      <c r="EL192" s="202"/>
      <c r="EM192" s="202"/>
      <c r="EN192" s="202"/>
      <c r="EO192" s="202"/>
      <c r="EP192" s="202"/>
      <c r="EQ192" s="202"/>
      <c r="ER192" s="202"/>
      <c r="ES192" s="202"/>
      <c r="ET192" s="202"/>
      <c r="EU192" s="202"/>
      <c r="EV192" s="202"/>
      <c r="EW192" s="202"/>
      <c r="EX192" s="202"/>
      <c r="EY192" s="202"/>
      <c r="EZ192" s="202"/>
      <c r="FA192" s="202"/>
      <c r="FB192" s="202"/>
      <c r="FC192" s="202"/>
      <c r="FD192" s="202"/>
      <c r="FE192" s="202"/>
      <c r="FF192" s="202"/>
      <c r="FG192" s="202"/>
      <c r="FH192" s="202"/>
      <c r="FI192" s="202"/>
    </row>
    <row r="193" spans="1:165" s="228" customFormat="1" ht="18" customHeight="1" x14ac:dyDescent="0.25">
      <c r="A193" s="578">
        <f t="shared" si="4"/>
        <v>184</v>
      </c>
      <c r="B193" s="588">
        <v>0</v>
      </c>
      <c r="C193" s="585" t="s">
        <v>135</v>
      </c>
      <c r="D193" s="585" t="s">
        <v>426</v>
      </c>
      <c r="E193" s="589" t="s">
        <v>427</v>
      </c>
      <c r="F193" s="586" t="s">
        <v>1044</v>
      </c>
      <c r="G193" s="585" t="s">
        <v>773</v>
      </c>
      <c r="H193" s="603" t="s">
        <v>1190</v>
      </c>
      <c r="I193" s="605">
        <v>9</v>
      </c>
      <c r="J193" s="556"/>
      <c r="K193" s="594"/>
      <c r="L193" s="306"/>
      <c r="M193" s="307"/>
      <c r="N193" s="307"/>
      <c r="O193" s="307"/>
      <c r="P193" s="307"/>
      <c r="Q193" s="79"/>
      <c r="R193" s="76"/>
      <c r="S193" s="585"/>
      <c r="T193" s="556"/>
      <c r="U193" s="556"/>
      <c r="V193" s="556"/>
      <c r="W193" s="585"/>
      <c r="X193" s="585"/>
      <c r="Y193" s="585"/>
      <c r="Z193" s="585"/>
      <c r="AA193" s="556"/>
      <c r="AB193" s="556"/>
      <c r="AC193" s="585"/>
      <c r="AD193" s="585"/>
      <c r="AE193" s="556"/>
      <c r="AF193" s="556"/>
      <c r="AG193" s="556"/>
      <c r="AH193" s="556"/>
      <c r="AI193" s="556"/>
      <c r="AJ193" s="76"/>
      <c r="AK193" s="76"/>
      <c r="AL193" s="556"/>
      <c r="AM193" s="556"/>
      <c r="AN193" s="556"/>
      <c r="AO193" s="556"/>
      <c r="AP193" s="556"/>
      <c r="AQ193" s="556"/>
      <c r="AR193" s="556"/>
      <c r="AS193" s="76"/>
      <c r="AT193" s="76"/>
      <c r="AU193" s="556"/>
      <c r="AV193" s="556"/>
      <c r="AW193" s="556"/>
      <c r="AX193" s="556"/>
      <c r="AY193" s="556"/>
      <c r="AZ193" s="556"/>
      <c r="BA193" s="556"/>
      <c r="BB193" s="556"/>
      <c r="BC193" s="556"/>
      <c r="BD193" s="556"/>
      <c r="BE193" s="76"/>
      <c r="BF193" s="76"/>
      <c r="BG193" s="556"/>
      <c r="BH193" s="556"/>
      <c r="BI193" s="556"/>
      <c r="BJ193" s="556"/>
      <c r="BK193" s="556"/>
      <c r="BL193" s="556"/>
      <c r="BM193" s="556"/>
      <c r="BN193" s="556"/>
      <c r="BO193" s="556"/>
      <c r="BP193" s="556"/>
      <c r="BQ193" s="76"/>
      <c r="BR193" s="76"/>
      <c r="BS193" s="556"/>
      <c r="BT193" s="76"/>
      <c r="BU193" s="76"/>
      <c r="BV193" s="556"/>
      <c r="BW193" s="556"/>
      <c r="BX193" s="556"/>
      <c r="BY193" s="556"/>
      <c r="BZ193" s="76"/>
      <c r="CA193" s="76"/>
      <c r="CB193" s="556"/>
      <c r="CC193" s="556"/>
      <c r="CD193" s="556"/>
      <c r="CE193" s="76"/>
      <c r="CF193" s="79"/>
      <c r="CG193" s="556"/>
      <c r="CH193" s="556" t="s">
        <v>40</v>
      </c>
      <c r="CI193" s="556" t="s">
        <v>40</v>
      </c>
      <c r="CJ193" s="201"/>
      <c r="CK193" s="202"/>
      <c r="CL193" s="202"/>
      <c r="CM193" s="202"/>
      <c r="CN193" s="202"/>
      <c r="CO193" s="202"/>
      <c r="CP193" s="202"/>
      <c r="CQ193" s="202"/>
      <c r="CR193" s="202"/>
      <c r="CS193" s="202"/>
      <c r="CT193" s="202"/>
      <c r="CU193" s="202"/>
      <c r="CV193" s="202"/>
      <c r="CW193" s="202"/>
      <c r="CX193" s="202"/>
      <c r="CY193" s="202"/>
      <c r="CZ193" s="202"/>
      <c r="DA193" s="202"/>
      <c r="DB193" s="202"/>
      <c r="DC193" s="202"/>
      <c r="DD193" s="202"/>
      <c r="DE193" s="202"/>
      <c r="DF193" s="202"/>
      <c r="DG193" s="202"/>
      <c r="DH193" s="202"/>
      <c r="DI193" s="202"/>
      <c r="DJ193" s="202"/>
      <c r="DK193" s="202"/>
      <c r="DL193" s="202"/>
      <c r="DM193" s="202"/>
      <c r="DN193" s="202"/>
      <c r="DO193" s="202"/>
      <c r="DP193" s="202"/>
      <c r="DQ193" s="202"/>
      <c r="DR193" s="202"/>
      <c r="DS193" s="202"/>
      <c r="DT193" s="202"/>
      <c r="DU193" s="202"/>
      <c r="DV193" s="202"/>
      <c r="DW193" s="202"/>
      <c r="DX193" s="202"/>
      <c r="DY193" s="202"/>
      <c r="DZ193" s="202"/>
      <c r="EA193" s="202"/>
      <c r="EB193" s="202"/>
      <c r="EC193" s="202"/>
      <c r="ED193" s="202"/>
      <c r="EE193" s="202"/>
      <c r="EF193" s="202"/>
      <c r="EG193" s="202"/>
      <c r="EH193" s="202"/>
      <c r="EI193" s="202"/>
      <c r="EJ193" s="202"/>
      <c r="EK193" s="202"/>
      <c r="EL193" s="202"/>
      <c r="EM193" s="202"/>
      <c r="EN193" s="202"/>
      <c r="EO193" s="202"/>
      <c r="EP193" s="202"/>
      <c r="EQ193" s="202"/>
      <c r="ER193" s="202"/>
      <c r="ES193" s="202"/>
      <c r="ET193" s="202"/>
      <c r="EU193" s="202"/>
      <c r="EV193" s="202"/>
      <c r="EW193" s="202"/>
      <c r="EX193" s="202"/>
      <c r="EY193" s="202"/>
      <c r="EZ193" s="202"/>
      <c r="FA193" s="202"/>
      <c r="FB193" s="202"/>
      <c r="FC193" s="202"/>
      <c r="FD193" s="202"/>
      <c r="FE193" s="202"/>
      <c r="FF193" s="202"/>
      <c r="FG193" s="202"/>
      <c r="FH193" s="202"/>
      <c r="FI193" s="202"/>
    </row>
    <row r="194" spans="1:165" s="228" customFormat="1" ht="18" customHeight="1" x14ac:dyDescent="0.25">
      <c r="A194" s="578">
        <f t="shared" si="4"/>
        <v>185</v>
      </c>
      <c r="B194" s="588">
        <v>0</v>
      </c>
      <c r="C194" s="585" t="s">
        <v>135</v>
      </c>
      <c r="D194" s="585" t="s">
        <v>428</v>
      </c>
      <c r="E194" s="589" t="s">
        <v>429</v>
      </c>
      <c r="F194" s="586" t="s">
        <v>1044</v>
      </c>
      <c r="G194" s="585" t="s">
        <v>430</v>
      </c>
      <c r="H194" s="603" t="s">
        <v>1189</v>
      </c>
      <c r="I194" s="605">
        <v>9</v>
      </c>
      <c r="J194" s="556"/>
      <c r="K194" s="594"/>
      <c r="L194" s="306"/>
      <c r="M194" s="307"/>
      <c r="N194" s="307"/>
      <c r="O194" s="307"/>
      <c r="P194" s="307"/>
      <c r="Q194" s="79"/>
      <c r="R194" s="76"/>
      <c r="S194" s="585"/>
      <c r="T194" s="556"/>
      <c r="U194" s="556"/>
      <c r="V194" s="556"/>
      <c r="W194" s="585"/>
      <c r="X194" s="585"/>
      <c r="Y194" s="585"/>
      <c r="Z194" s="585"/>
      <c r="AA194" s="556"/>
      <c r="AB194" s="556"/>
      <c r="AC194" s="585"/>
      <c r="AD194" s="585"/>
      <c r="AE194" s="556"/>
      <c r="AF194" s="556"/>
      <c r="AG194" s="556"/>
      <c r="AH194" s="556"/>
      <c r="AI194" s="556"/>
      <c r="AJ194" s="76"/>
      <c r="AK194" s="76"/>
      <c r="AL194" s="556"/>
      <c r="AM194" s="556"/>
      <c r="AN194" s="556"/>
      <c r="AO194" s="556"/>
      <c r="AP194" s="556"/>
      <c r="AQ194" s="556"/>
      <c r="AR194" s="556"/>
      <c r="AS194" s="76"/>
      <c r="AT194" s="76"/>
      <c r="AU194" s="556"/>
      <c r="AV194" s="556"/>
      <c r="AW194" s="556"/>
      <c r="AX194" s="556"/>
      <c r="AY194" s="556"/>
      <c r="AZ194" s="556"/>
      <c r="BA194" s="556"/>
      <c r="BB194" s="556"/>
      <c r="BC194" s="556"/>
      <c r="BD194" s="556"/>
      <c r="BE194" s="76"/>
      <c r="BF194" s="76"/>
      <c r="BG194" s="556"/>
      <c r="BH194" s="556"/>
      <c r="BI194" s="556"/>
      <c r="BJ194" s="556"/>
      <c r="BK194" s="556"/>
      <c r="BL194" s="556"/>
      <c r="BM194" s="556"/>
      <c r="BN194" s="556"/>
      <c r="BO194" s="556"/>
      <c r="BP194" s="556"/>
      <c r="BQ194" s="76"/>
      <c r="BR194" s="76"/>
      <c r="BS194" s="556"/>
      <c r="BT194" s="76"/>
      <c r="BU194" s="76"/>
      <c r="BV194" s="556"/>
      <c r="BW194" s="556"/>
      <c r="BX194" s="556"/>
      <c r="BY194" s="556"/>
      <c r="BZ194" s="76"/>
      <c r="CA194" s="76"/>
      <c r="CB194" s="556"/>
      <c r="CC194" s="556"/>
      <c r="CD194" s="556"/>
      <c r="CE194" s="76"/>
      <c r="CF194" s="79"/>
      <c r="CG194" s="556"/>
      <c r="CH194" s="556" t="s">
        <v>40</v>
      </c>
      <c r="CI194" s="556" t="s">
        <v>40</v>
      </c>
      <c r="CJ194" s="201"/>
      <c r="CK194" s="202"/>
      <c r="CL194" s="202"/>
      <c r="CM194" s="202"/>
      <c r="CN194" s="202"/>
      <c r="CO194" s="202"/>
      <c r="CP194" s="202"/>
      <c r="CQ194" s="202"/>
      <c r="CR194" s="202"/>
      <c r="CS194" s="202"/>
      <c r="CT194" s="202"/>
      <c r="CU194" s="202"/>
      <c r="CV194" s="202"/>
      <c r="CW194" s="202"/>
      <c r="CX194" s="202"/>
      <c r="CY194" s="202"/>
      <c r="CZ194" s="202"/>
      <c r="DA194" s="202"/>
      <c r="DB194" s="202"/>
      <c r="DC194" s="202"/>
      <c r="DD194" s="202"/>
      <c r="DE194" s="202"/>
      <c r="DF194" s="202"/>
      <c r="DG194" s="202"/>
      <c r="DH194" s="202"/>
      <c r="DI194" s="202"/>
      <c r="DJ194" s="202"/>
      <c r="DK194" s="202"/>
      <c r="DL194" s="202"/>
      <c r="DM194" s="202"/>
      <c r="DN194" s="202"/>
      <c r="DO194" s="202"/>
      <c r="DP194" s="202"/>
      <c r="DQ194" s="202"/>
      <c r="DR194" s="202"/>
      <c r="DS194" s="202"/>
      <c r="DT194" s="202"/>
      <c r="DU194" s="202"/>
      <c r="DV194" s="202"/>
      <c r="DW194" s="202"/>
      <c r="DX194" s="202"/>
      <c r="DY194" s="202"/>
      <c r="DZ194" s="202"/>
      <c r="EA194" s="202"/>
      <c r="EB194" s="202"/>
      <c r="EC194" s="202"/>
      <c r="ED194" s="202"/>
      <c r="EE194" s="202"/>
      <c r="EF194" s="202"/>
      <c r="EG194" s="202"/>
      <c r="EH194" s="202"/>
      <c r="EI194" s="202"/>
      <c r="EJ194" s="202"/>
      <c r="EK194" s="202"/>
      <c r="EL194" s="202"/>
      <c r="EM194" s="202"/>
      <c r="EN194" s="202"/>
      <c r="EO194" s="202"/>
      <c r="EP194" s="202"/>
      <c r="EQ194" s="202"/>
      <c r="ER194" s="202"/>
      <c r="ES194" s="202"/>
      <c r="ET194" s="202"/>
      <c r="EU194" s="202"/>
      <c r="EV194" s="202"/>
      <c r="EW194" s="202"/>
      <c r="EX194" s="202"/>
      <c r="EY194" s="202"/>
      <c r="EZ194" s="202"/>
      <c r="FA194" s="202"/>
      <c r="FB194" s="202"/>
      <c r="FC194" s="202"/>
      <c r="FD194" s="202"/>
      <c r="FE194" s="202"/>
      <c r="FF194" s="202"/>
      <c r="FG194" s="202"/>
      <c r="FH194" s="202"/>
      <c r="FI194" s="202"/>
    </row>
    <row r="195" spans="1:165" s="228" customFormat="1" ht="18" customHeight="1" x14ac:dyDescent="0.2">
      <c r="A195" s="289">
        <f t="shared" si="4"/>
        <v>186</v>
      </c>
      <c r="B195" s="78"/>
      <c r="C195" s="79"/>
      <c r="D195" s="79"/>
      <c r="E195" s="77"/>
      <c r="F195" s="79"/>
      <c r="G195" s="79"/>
      <c r="H195" s="178"/>
      <c r="I195" s="142"/>
      <c r="J195" s="76"/>
      <c r="K195" s="141"/>
      <c r="L195" s="261"/>
      <c r="M195" s="79"/>
      <c r="N195" s="79"/>
      <c r="O195" s="79"/>
      <c r="P195" s="79"/>
      <c r="Q195" s="79"/>
      <c r="R195" s="76"/>
      <c r="S195" s="79"/>
      <c r="T195" s="76"/>
      <c r="U195" s="76"/>
      <c r="V195" s="76"/>
      <c r="W195" s="79"/>
      <c r="X195" s="79"/>
      <c r="Y195" s="79"/>
      <c r="Z195" s="79"/>
      <c r="AA195" s="76"/>
      <c r="AB195" s="76"/>
      <c r="AC195" s="79"/>
      <c r="AD195" s="79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6"/>
      <c r="AW195" s="76"/>
      <c r="AX195" s="76"/>
      <c r="AY195" s="76"/>
      <c r="AZ195" s="76"/>
      <c r="BA195" s="76"/>
      <c r="BB195" s="76"/>
      <c r="BC195" s="76"/>
      <c r="BD195" s="76"/>
      <c r="BE195" s="76"/>
      <c r="BF195" s="76"/>
      <c r="BG195" s="76"/>
      <c r="BH195" s="76"/>
      <c r="BI195" s="76"/>
      <c r="BJ195" s="76"/>
      <c r="BK195" s="76"/>
      <c r="BL195" s="76"/>
      <c r="BM195" s="76"/>
      <c r="BN195" s="76"/>
      <c r="BO195" s="76"/>
      <c r="BP195" s="76"/>
      <c r="BQ195" s="76"/>
      <c r="BR195" s="76"/>
      <c r="BS195" s="76"/>
      <c r="BT195" s="76"/>
      <c r="BU195" s="76"/>
      <c r="BV195" s="76"/>
      <c r="BW195" s="76"/>
      <c r="BX195" s="76"/>
      <c r="BY195" s="76"/>
      <c r="BZ195" s="76"/>
      <c r="CA195" s="76"/>
      <c r="CB195" s="76"/>
      <c r="CC195" s="76"/>
      <c r="CD195" s="76"/>
      <c r="CE195" s="76"/>
      <c r="CF195" s="79"/>
      <c r="CG195" s="76"/>
      <c r="CH195" s="76"/>
      <c r="CI195" s="76"/>
      <c r="CJ195" s="201"/>
      <c r="CK195" s="201"/>
      <c r="CL195" s="202"/>
      <c r="CM195" s="202"/>
      <c r="CN195" s="202"/>
      <c r="CO195" s="202"/>
      <c r="CP195" s="202"/>
      <c r="CQ195" s="202"/>
      <c r="CR195" s="202"/>
      <c r="CS195" s="202"/>
      <c r="CT195" s="202"/>
      <c r="CU195" s="202"/>
      <c r="CV195" s="202"/>
      <c r="CW195" s="202"/>
      <c r="CX195" s="202"/>
      <c r="CY195" s="202"/>
      <c r="CZ195" s="202"/>
      <c r="DA195" s="202"/>
      <c r="DB195" s="202"/>
      <c r="DC195" s="202"/>
      <c r="DD195" s="202"/>
      <c r="DE195" s="202"/>
      <c r="DF195" s="202"/>
      <c r="DG195" s="202"/>
      <c r="DH195" s="202"/>
      <c r="DI195" s="202"/>
      <c r="DJ195" s="202"/>
      <c r="DK195" s="202"/>
      <c r="DL195" s="202"/>
      <c r="DM195" s="202"/>
      <c r="DN195" s="202"/>
      <c r="DO195" s="202"/>
      <c r="DP195" s="202"/>
      <c r="DQ195" s="202"/>
      <c r="DR195" s="202"/>
      <c r="DS195" s="202"/>
      <c r="DT195" s="202"/>
      <c r="DU195" s="202"/>
      <c r="DV195" s="202"/>
      <c r="DW195" s="202"/>
      <c r="DX195" s="202"/>
      <c r="DY195" s="202"/>
      <c r="DZ195" s="202"/>
      <c r="EA195" s="202"/>
      <c r="EB195" s="202"/>
      <c r="EC195" s="202"/>
      <c r="ED195" s="202"/>
      <c r="EE195" s="202"/>
      <c r="EF195" s="202"/>
      <c r="EG195" s="202"/>
      <c r="EH195" s="202"/>
      <c r="EI195" s="202"/>
      <c r="EJ195" s="202"/>
      <c r="EK195" s="202"/>
      <c r="EL195" s="202"/>
      <c r="EM195" s="202"/>
      <c r="EN195" s="202"/>
      <c r="EO195" s="202"/>
      <c r="EP195" s="202"/>
      <c r="EQ195" s="202"/>
      <c r="ER195" s="202"/>
      <c r="ES195" s="202"/>
      <c r="ET195" s="202"/>
      <c r="EU195" s="202"/>
      <c r="EV195" s="202"/>
      <c r="EW195" s="202"/>
      <c r="EX195" s="202"/>
      <c r="EY195" s="202"/>
      <c r="EZ195" s="202"/>
      <c r="FA195" s="202"/>
      <c r="FB195" s="202"/>
      <c r="FC195" s="202"/>
      <c r="FD195" s="202"/>
      <c r="FE195" s="202"/>
      <c r="FF195" s="202"/>
      <c r="FG195" s="202"/>
      <c r="FH195" s="202"/>
      <c r="FI195" s="202"/>
    </row>
    <row r="196" spans="1:165" s="228" customFormat="1" ht="18" customHeight="1" x14ac:dyDescent="0.25">
      <c r="A196" s="578">
        <f t="shared" ref="A196:A259" si="5">ROW()-9</f>
        <v>187</v>
      </c>
      <c r="B196" s="588">
        <v>0</v>
      </c>
      <c r="C196" s="612" t="s">
        <v>135</v>
      </c>
      <c r="D196" s="585" t="s">
        <v>984</v>
      </c>
      <c r="E196" s="597" t="s">
        <v>985</v>
      </c>
      <c r="F196" s="567" t="s">
        <v>1044</v>
      </c>
      <c r="G196" s="556" t="s">
        <v>986</v>
      </c>
      <c r="H196" s="599" t="s">
        <v>987</v>
      </c>
      <c r="I196" s="593"/>
      <c r="J196" s="556"/>
      <c r="K196" s="594"/>
      <c r="L196" s="306"/>
      <c r="M196" s="307"/>
      <c r="N196" s="307"/>
      <c r="O196" s="307"/>
      <c r="P196" s="307"/>
      <c r="Q196" s="79"/>
      <c r="R196" s="76"/>
      <c r="S196" s="556"/>
      <c r="T196" s="556"/>
      <c r="U196" s="556"/>
      <c r="V196" s="556"/>
      <c r="W196" s="556"/>
      <c r="X196" s="556"/>
      <c r="Y196" s="556"/>
      <c r="Z196" s="556"/>
      <c r="AA196" s="556"/>
      <c r="AB196" s="556"/>
      <c r="AC196" s="556"/>
      <c r="AD196" s="556"/>
      <c r="AE196" s="556"/>
      <c r="AF196" s="556"/>
      <c r="AG196" s="556"/>
      <c r="AH196" s="556"/>
      <c r="AI196" s="556"/>
      <c r="AJ196" s="76"/>
      <c r="AK196" s="76"/>
      <c r="AL196" s="556"/>
      <c r="AM196" s="556"/>
      <c r="AN196" s="556"/>
      <c r="AO196" s="556"/>
      <c r="AP196" s="556"/>
      <c r="AQ196" s="556"/>
      <c r="AR196" s="556"/>
      <c r="AS196" s="76"/>
      <c r="AT196" s="76"/>
      <c r="AU196" s="556"/>
      <c r="AV196" s="556"/>
      <c r="AW196" s="556"/>
      <c r="AX196" s="556"/>
      <c r="AY196" s="556"/>
      <c r="AZ196" s="556"/>
      <c r="BA196" s="556"/>
      <c r="BB196" s="556"/>
      <c r="BC196" s="556"/>
      <c r="BD196" s="556"/>
      <c r="BE196" s="76"/>
      <c r="BF196" s="76"/>
      <c r="BG196" s="556"/>
      <c r="BH196" s="556"/>
      <c r="BI196" s="556"/>
      <c r="BJ196" s="556"/>
      <c r="BK196" s="556"/>
      <c r="BL196" s="556"/>
      <c r="BM196" s="556"/>
      <c r="BN196" s="556"/>
      <c r="BO196" s="556"/>
      <c r="BP196" s="556"/>
      <c r="BQ196" s="76"/>
      <c r="BR196" s="76"/>
      <c r="BS196" s="556"/>
      <c r="BT196" s="76"/>
      <c r="BU196" s="76"/>
      <c r="BV196" s="556"/>
      <c r="BW196" s="556"/>
      <c r="BX196" s="556"/>
      <c r="BY196" s="556"/>
      <c r="BZ196" s="76"/>
      <c r="CA196" s="76"/>
      <c r="CB196" s="556"/>
      <c r="CC196" s="556"/>
      <c r="CD196" s="556"/>
      <c r="CE196" s="76"/>
      <c r="CF196" s="79"/>
      <c r="CG196" s="556"/>
      <c r="CH196" s="556"/>
      <c r="CI196" s="556"/>
      <c r="CJ196" s="201"/>
      <c r="CK196" s="202"/>
      <c r="CL196" s="202"/>
      <c r="CM196" s="202"/>
      <c r="CN196" s="202"/>
      <c r="CO196" s="202"/>
      <c r="CP196" s="202"/>
      <c r="CQ196" s="202"/>
      <c r="CR196" s="202"/>
      <c r="CS196" s="202"/>
      <c r="CT196" s="202"/>
      <c r="CU196" s="202"/>
      <c r="CV196" s="202"/>
      <c r="CW196" s="202"/>
      <c r="CX196" s="202"/>
      <c r="CY196" s="202"/>
      <c r="CZ196" s="202"/>
      <c r="DA196" s="202"/>
      <c r="DB196" s="202"/>
      <c r="DC196" s="202"/>
      <c r="DD196" s="202"/>
      <c r="DE196" s="202"/>
      <c r="DF196" s="202"/>
      <c r="DG196" s="202"/>
      <c r="DH196" s="202"/>
      <c r="DI196" s="202"/>
      <c r="DJ196" s="202"/>
      <c r="DK196" s="202"/>
      <c r="DL196" s="202"/>
      <c r="DM196" s="202"/>
      <c r="DN196" s="202"/>
      <c r="DO196" s="202"/>
      <c r="DP196" s="202"/>
      <c r="DQ196" s="202"/>
      <c r="DR196" s="202"/>
      <c r="DS196" s="202"/>
      <c r="DT196" s="202"/>
      <c r="DU196" s="202"/>
      <c r="DV196" s="202"/>
      <c r="DW196" s="202"/>
      <c r="DX196" s="202"/>
      <c r="DY196" s="202"/>
      <c r="DZ196" s="202"/>
      <c r="EA196" s="202"/>
      <c r="EB196" s="202"/>
      <c r="EC196" s="202"/>
      <c r="ED196" s="202"/>
      <c r="EE196" s="202"/>
      <c r="EF196" s="202"/>
      <c r="EG196" s="202"/>
      <c r="EH196" s="202"/>
      <c r="EI196" s="202"/>
      <c r="EJ196" s="202"/>
      <c r="EK196" s="202"/>
      <c r="EL196" s="202"/>
      <c r="EM196" s="202"/>
      <c r="EN196" s="202"/>
      <c r="EO196" s="202"/>
      <c r="EP196" s="202"/>
      <c r="EQ196" s="202"/>
      <c r="ER196" s="202"/>
      <c r="ES196" s="202"/>
      <c r="ET196" s="202"/>
      <c r="EU196" s="202"/>
      <c r="EV196" s="202"/>
      <c r="EW196" s="202"/>
      <c r="EX196" s="202"/>
      <c r="EY196" s="202"/>
      <c r="EZ196" s="202"/>
      <c r="FA196" s="202"/>
      <c r="FB196" s="202"/>
      <c r="FC196" s="202"/>
      <c r="FD196" s="202"/>
      <c r="FE196" s="202"/>
      <c r="FF196" s="202"/>
      <c r="FG196" s="202"/>
      <c r="FH196" s="202"/>
      <c r="FI196" s="202"/>
    </row>
    <row r="197" spans="1:165" s="228" customFormat="1" ht="18" customHeight="1" x14ac:dyDescent="0.25">
      <c r="A197" s="578">
        <f t="shared" si="5"/>
        <v>188</v>
      </c>
      <c r="B197" s="588">
        <v>0</v>
      </c>
      <c r="C197" s="612" t="s">
        <v>135</v>
      </c>
      <c r="D197" s="585" t="s">
        <v>431</v>
      </c>
      <c r="E197" s="597" t="s">
        <v>432</v>
      </c>
      <c r="F197" s="567" t="s">
        <v>1044</v>
      </c>
      <c r="G197" s="556" t="s">
        <v>433</v>
      </c>
      <c r="H197" s="599" t="s">
        <v>1188</v>
      </c>
      <c r="I197" s="605">
        <v>9</v>
      </c>
      <c r="J197" s="556" t="s">
        <v>64</v>
      </c>
      <c r="K197" s="594"/>
      <c r="L197" s="306"/>
      <c r="M197" s="307"/>
      <c r="N197" s="307"/>
      <c r="O197" s="307"/>
      <c r="P197" s="307"/>
      <c r="Q197" s="79"/>
      <c r="R197" s="76"/>
      <c r="S197" s="556"/>
      <c r="T197" s="556"/>
      <c r="U197" s="556"/>
      <c r="V197" s="556"/>
      <c r="W197" s="556"/>
      <c r="X197" s="556"/>
      <c r="Y197" s="556"/>
      <c r="Z197" s="556"/>
      <c r="AA197" s="556"/>
      <c r="AB197" s="556"/>
      <c r="AC197" s="556"/>
      <c r="AD197" s="556"/>
      <c r="AE197" s="556"/>
      <c r="AF197" s="556"/>
      <c r="AG197" s="556"/>
      <c r="AH197" s="556"/>
      <c r="AI197" s="556"/>
      <c r="AJ197" s="76"/>
      <c r="AK197" s="76"/>
      <c r="AL197" s="556"/>
      <c r="AM197" s="556"/>
      <c r="AN197" s="556"/>
      <c r="AO197" s="556"/>
      <c r="AP197" s="556"/>
      <c r="AQ197" s="556"/>
      <c r="AR197" s="556"/>
      <c r="AS197" s="76"/>
      <c r="AT197" s="76"/>
      <c r="AU197" s="556"/>
      <c r="AV197" s="556"/>
      <c r="AW197" s="556"/>
      <c r="AX197" s="556"/>
      <c r="AY197" s="556"/>
      <c r="AZ197" s="556"/>
      <c r="BA197" s="556"/>
      <c r="BB197" s="556"/>
      <c r="BC197" s="556"/>
      <c r="BD197" s="556"/>
      <c r="BE197" s="76"/>
      <c r="BF197" s="76"/>
      <c r="BG197" s="556"/>
      <c r="BH197" s="556"/>
      <c r="BI197" s="556"/>
      <c r="BJ197" s="556"/>
      <c r="BK197" s="556"/>
      <c r="BL197" s="556"/>
      <c r="BM197" s="556"/>
      <c r="BN197" s="556"/>
      <c r="BO197" s="556"/>
      <c r="BP197" s="556"/>
      <c r="BQ197" s="76"/>
      <c r="BR197" s="76"/>
      <c r="BS197" s="556"/>
      <c r="BT197" s="76"/>
      <c r="BU197" s="76"/>
      <c r="BV197" s="556"/>
      <c r="BW197" s="556"/>
      <c r="BX197" s="556"/>
      <c r="BY197" s="556"/>
      <c r="BZ197" s="76"/>
      <c r="CA197" s="76"/>
      <c r="CB197" s="556"/>
      <c r="CC197" s="556"/>
      <c r="CD197" s="556"/>
      <c r="CE197" s="76"/>
      <c r="CF197" s="79"/>
      <c r="CG197" s="556"/>
      <c r="CH197" s="556" t="s">
        <v>40</v>
      </c>
      <c r="CI197" s="556" t="s">
        <v>40</v>
      </c>
      <c r="CJ197" s="201"/>
      <c r="CK197" s="202"/>
      <c r="CL197" s="202"/>
      <c r="CM197" s="202"/>
      <c r="CN197" s="202"/>
      <c r="CO197" s="202"/>
      <c r="CP197" s="202"/>
      <c r="CQ197" s="202"/>
      <c r="CR197" s="202"/>
      <c r="CS197" s="202"/>
      <c r="CT197" s="202"/>
      <c r="CU197" s="202"/>
      <c r="CV197" s="202"/>
      <c r="CW197" s="202"/>
      <c r="CX197" s="202"/>
      <c r="CY197" s="202"/>
      <c r="CZ197" s="202"/>
      <c r="DA197" s="202"/>
      <c r="DB197" s="202"/>
      <c r="DC197" s="202"/>
      <c r="DD197" s="202"/>
      <c r="DE197" s="202"/>
      <c r="DF197" s="202"/>
      <c r="DG197" s="202"/>
      <c r="DH197" s="202"/>
      <c r="DI197" s="202"/>
      <c r="DJ197" s="202"/>
      <c r="DK197" s="202"/>
      <c r="DL197" s="202"/>
      <c r="DM197" s="202"/>
      <c r="DN197" s="202"/>
      <c r="DO197" s="202"/>
      <c r="DP197" s="202"/>
      <c r="DQ197" s="202"/>
      <c r="DR197" s="202"/>
      <c r="DS197" s="202"/>
      <c r="DT197" s="202"/>
      <c r="DU197" s="202"/>
      <c r="DV197" s="202"/>
      <c r="DW197" s="202"/>
      <c r="DX197" s="202"/>
      <c r="DY197" s="202"/>
      <c r="DZ197" s="202"/>
      <c r="EA197" s="202"/>
      <c r="EB197" s="202"/>
      <c r="EC197" s="202"/>
      <c r="ED197" s="202"/>
      <c r="EE197" s="202"/>
      <c r="EF197" s="202"/>
      <c r="EG197" s="202"/>
      <c r="EH197" s="202"/>
      <c r="EI197" s="202"/>
      <c r="EJ197" s="202"/>
      <c r="EK197" s="202"/>
      <c r="EL197" s="202"/>
      <c r="EM197" s="202"/>
      <c r="EN197" s="202"/>
      <c r="EO197" s="202"/>
      <c r="EP197" s="202"/>
      <c r="EQ197" s="202"/>
      <c r="ER197" s="202"/>
      <c r="ES197" s="202"/>
      <c r="ET197" s="202"/>
      <c r="EU197" s="202"/>
      <c r="EV197" s="202"/>
      <c r="EW197" s="202"/>
      <c r="EX197" s="202"/>
      <c r="EY197" s="202"/>
      <c r="EZ197" s="202"/>
      <c r="FA197" s="202"/>
      <c r="FB197" s="202"/>
      <c r="FC197" s="202"/>
      <c r="FD197" s="202"/>
      <c r="FE197" s="202"/>
      <c r="FF197" s="202"/>
      <c r="FG197" s="202"/>
      <c r="FH197" s="202"/>
      <c r="FI197" s="202"/>
    </row>
    <row r="198" spans="1:165" s="228" customFormat="1" ht="18" customHeight="1" x14ac:dyDescent="0.25">
      <c r="A198" s="578">
        <f t="shared" si="5"/>
        <v>189</v>
      </c>
      <c r="B198" s="588">
        <v>0</v>
      </c>
      <c r="C198" s="612" t="s">
        <v>135</v>
      </c>
      <c r="D198" s="585" t="s">
        <v>988</v>
      </c>
      <c r="E198" s="597" t="s">
        <v>989</v>
      </c>
      <c r="F198" s="567" t="s">
        <v>1044</v>
      </c>
      <c r="G198" s="556" t="s">
        <v>990</v>
      </c>
      <c r="H198" s="599" t="s">
        <v>1187</v>
      </c>
      <c r="I198" s="593"/>
      <c r="J198" s="556"/>
      <c r="K198" s="594"/>
      <c r="L198" s="306"/>
      <c r="M198" s="307"/>
      <c r="N198" s="307"/>
      <c r="O198" s="307"/>
      <c r="P198" s="307"/>
      <c r="Q198" s="79"/>
      <c r="R198" s="76"/>
      <c r="S198" s="556"/>
      <c r="T198" s="556"/>
      <c r="U198" s="556"/>
      <c r="V198" s="556"/>
      <c r="W198" s="556"/>
      <c r="X198" s="556"/>
      <c r="Y198" s="556"/>
      <c r="Z198" s="556"/>
      <c r="AA198" s="556"/>
      <c r="AB198" s="556"/>
      <c r="AC198" s="556"/>
      <c r="AD198" s="556"/>
      <c r="AE198" s="556"/>
      <c r="AF198" s="556"/>
      <c r="AG198" s="556"/>
      <c r="AH198" s="556"/>
      <c r="AI198" s="556"/>
      <c r="AJ198" s="76"/>
      <c r="AK198" s="76"/>
      <c r="AL198" s="556"/>
      <c r="AM198" s="556"/>
      <c r="AN198" s="556"/>
      <c r="AO198" s="556"/>
      <c r="AP198" s="556"/>
      <c r="AQ198" s="556"/>
      <c r="AR198" s="556"/>
      <c r="AS198" s="76"/>
      <c r="AT198" s="76"/>
      <c r="AU198" s="556"/>
      <c r="AV198" s="556"/>
      <c r="AW198" s="556"/>
      <c r="AX198" s="556"/>
      <c r="AY198" s="556"/>
      <c r="AZ198" s="556"/>
      <c r="BA198" s="556"/>
      <c r="BB198" s="556"/>
      <c r="BC198" s="556"/>
      <c r="BD198" s="556"/>
      <c r="BE198" s="76"/>
      <c r="BF198" s="76"/>
      <c r="BG198" s="556"/>
      <c r="BH198" s="556"/>
      <c r="BI198" s="556"/>
      <c r="BJ198" s="556"/>
      <c r="BK198" s="556"/>
      <c r="BL198" s="556"/>
      <c r="BM198" s="556"/>
      <c r="BN198" s="556"/>
      <c r="BO198" s="556"/>
      <c r="BP198" s="556"/>
      <c r="BQ198" s="76"/>
      <c r="BR198" s="76"/>
      <c r="BS198" s="556"/>
      <c r="BT198" s="76"/>
      <c r="BU198" s="76"/>
      <c r="BV198" s="556"/>
      <c r="BW198" s="556"/>
      <c r="BX198" s="556"/>
      <c r="BY198" s="556"/>
      <c r="BZ198" s="76"/>
      <c r="CA198" s="76"/>
      <c r="CB198" s="556"/>
      <c r="CC198" s="556"/>
      <c r="CD198" s="556"/>
      <c r="CE198" s="76"/>
      <c r="CF198" s="79"/>
      <c r="CG198" s="556"/>
      <c r="CH198" s="556"/>
      <c r="CI198" s="556"/>
      <c r="CJ198" s="201"/>
      <c r="CK198" s="202"/>
      <c r="CL198" s="202"/>
      <c r="CM198" s="202"/>
      <c r="CN198" s="202"/>
      <c r="CO198" s="202"/>
      <c r="CP198" s="202"/>
      <c r="CQ198" s="202"/>
      <c r="CR198" s="202"/>
      <c r="CS198" s="202"/>
      <c r="CT198" s="202"/>
      <c r="CU198" s="202"/>
      <c r="CV198" s="202"/>
      <c r="CW198" s="202"/>
      <c r="CX198" s="202"/>
      <c r="CY198" s="202"/>
      <c r="CZ198" s="202"/>
      <c r="DA198" s="202"/>
      <c r="DB198" s="202"/>
      <c r="DC198" s="202"/>
      <c r="DD198" s="202"/>
      <c r="DE198" s="202"/>
      <c r="DF198" s="202"/>
      <c r="DG198" s="202"/>
      <c r="DH198" s="202"/>
      <c r="DI198" s="202"/>
      <c r="DJ198" s="202"/>
      <c r="DK198" s="202"/>
      <c r="DL198" s="202"/>
      <c r="DM198" s="202"/>
      <c r="DN198" s="202"/>
      <c r="DO198" s="202"/>
      <c r="DP198" s="202"/>
      <c r="DQ198" s="202"/>
      <c r="DR198" s="202"/>
      <c r="DS198" s="202"/>
      <c r="DT198" s="202"/>
      <c r="DU198" s="202"/>
      <c r="DV198" s="202"/>
      <c r="DW198" s="202"/>
      <c r="DX198" s="202"/>
      <c r="DY198" s="202"/>
      <c r="DZ198" s="202"/>
      <c r="EA198" s="202"/>
      <c r="EB198" s="202"/>
      <c r="EC198" s="202"/>
      <c r="ED198" s="202"/>
      <c r="EE198" s="202"/>
      <c r="EF198" s="202"/>
      <c r="EG198" s="202"/>
      <c r="EH198" s="202"/>
      <c r="EI198" s="202"/>
      <c r="EJ198" s="202"/>
      <c r="EK198" s="202"/>
      <c r="EL198" s="202"/>
      <c r="EM198" s="202"/>
      <c r="EN198" s="202"/>
      <c r="EO198" s="202"/>
      <c r="EP198" s="202"/>
      <c r="EQ198" s="202"/>
      <c r="ER198" s="202"/>
      <c r="ES198" s="202"/>
      <c r="ET198" s="202"/>
      <c r="EU198" s="202"/>
      <c r="EV198" s="202"/>
      <c r="EW198" s="202"/>
      <c r="EX198" s="202"/>
      <c r="EY198" s="202"/>
      <c r="EZ198" s="202"/>
      <c r="FA198" s="202"/>
      <c r="FB198" s="202"/>
      <c r="FC198" s="202"/>
      <c r="FD198" s="202"/>
      <c r="FE198" s="202"/>
      <c r="FF198" s="202"/>
      <c r="FG198" s="202"/>
      <c r="FH198" s="202"/>
      <c r="FI198" s="202"/>
    </row>
    <row r="199" spans="1:165" s="228" customFormat="1" ht="18" customHeight="1" x14ac:dyDescent="0.25">
      <c r="A199" s="578">
        <f t="shared" si="5"/>
        <v>190</v>
      </c>
      <c r="B199" s="588">
        <v>0</v>
      </c>
      <c r="C199" s="612" t="s">
        <v>135</v>
      </c>
      <c r="D199" s="585" t="s">
        <v>992</v>
      </c>
      <c r="E199" s="597" t="s">
        <v>993</v>
      </c>
      <c r="F199" s="567" t="s">
        <v>1044</v>
      </c>
      <c r="G199" s="556" t="s">
        <v>994</v>
      </c>
      <c r="H199" s="599" t="s">
        <v>994</v>
      </c>
      <c r="I199" s="593"/>
      <c r="J199" s="556"/>
      <c r="K199" s="594"/>
      <c r="L199" s="306"/>
      <c r="M199" s="307"/>
      <c r="N199" s="307"/>
      <c r="O199" s="307"/>
      <c r="P199" s="307"/>
      <c r="Q199" s="79"/>
      <c r="R199" s="76"/>
      <c r="S199" s="556"/>
      <c r="T199" s="556"/>
      <c r="U199" s="556"/>
      <c r="V199" s="556"/>
      <c r="W199" s="556"/>
      <c r="X199" s="556"/>
      <c r="Y199" s="556"/>
      <c r="Z199" s="556"/>
      <c r="AA199" s="556"/>
      <c r="AB199" s="556"/>
      <c r="AC199" s="556"/>
      <c r="AD199" s="556"/>
      <c r="AE199" s="556"/>
      <c r="AF199" s="556"/>
      <c r="AG199" s="556"/>
      <c r="AH199" s="556"/>
      <c r="AI199" s="556"/>
      <c r="AJ199" s="76"/>
      <c r="AK199" s="76"/>
      <c r="AL199" s="556"/>
      <c r="AM199" s="556"/>
      <c r="AN199" s="556"/>
      <c r="AO199" s="556"/>
      <c r="AP199" s="556"/>
      <c r="AQ199" s="556"/>
      <c r="AR199" s="556"/>
      <c r="AS199" s="76"/>
      <c r="AT199" s="76"/>
      <c r="AU199" s="556"/>
      <c r="AV199" s="556"/>
      <c r="AW199" s="556"/>
      <c r="AX199" s="556"/>
      <c r="AY199" s="556"/>
      <c r="AZ199" s="556"/>
      <c r="BA199" s="556"/>
      <c r="BB199" s="556"/>
      <c r="BC199" s="556"/>
      <c r="BD199" s="556"/>
      <c r="BE199" s="76"/>
      <c r="BF199" s="76"/>
      <c r="BG199" s="556"/>
      <c r="BH199" s="556"/>
      <c r="BI199" s="556"/>
      <c r="BJ199" s="556"/>
      <c r="BK199" s="556"/>
      <c r="BL199" s="556"/>
      <c r="BM199" s="556"/>
      <c r="BN199" s="556"/>
      <c r="BO199" s="556"/>
      <c r="BP199" s="556"/>
      <c r="BQ199" s="76"/>
      <c r="BR199" s="76"/>
      <c r="BS199" s="556"/>
      <c r="BT199" s="76"/>
      <c r="BU199" s="76"/>
      <c r="BV199" s="556"/>
      <c r="BW199" s="556"/>
      <c r="BX199" s="556"/>
      <c r="BY199" s="556"/>
      <c r="BZ199" s="76"/>
      <c r="CA199" s="76"/>
      <c r="CB199" s="556"/>
      <c r="CC199" s="556"/>
      <c r="CD199" s="556"/>
      <c r="CE199" s="76"/>
      <c r="CF199" s="79"/>
      <c r="CG199" s="556"/>
      <c r="CH199" s="556"/>
      <c r="CI199" s="556"/>
      <c r="CJ199" s="201"/>
      <c r="CK199" s="202"/>
      <c r="CL199" s="202"/>
      <c r="CM199" s="202"/>
      <c r="CN199" s="202"/>
      <c r="CO199" s="202"/>
      <c r="CP199" s="202"/>
      <c r="CQ199" s="202"/>
      <c r="CR199" s="202"/>
      <c r="CS199" s="202"/>
      <c r="CT199" s="202"/>
      <c r="CU199" s="202"/>
      <c r="CV199" s="202"/>
      <c r="CW199" s="202"/>
      <c r="CX199" s="202"/>
      <c r="CY199" s="202"/>
      <c r="CZ199" s="202"/>
      <c r="DA199" s="202"/>
      <c r="DB199" s="202"/>
      <c r="DC199" s="202"/>
      <c r="DD199" s="202"/>
      <c r="DE199" s="202"/>
      <c r="DF199" s="202"/>
      <c r="DG199" s="202"/>
      <c r="DH199" s="202"/>
      <c r="DI199" s="202"/>
      <c r="DJ199" s="202"/>
      <c r="DK199" s="202"/>
      <c r="DL199" s="202"/>
      <c r="DM199" s="202"/>
      <c r="DN199" s="202"/>
      <c r="DO199" s="202"/>
      <c r="DP199" s="202"/>
      <c r="DQ199" s="202"/>
      <c r="DR199" s="202"/>
      <c r="DS199" s="202"/>
      <c r="DT199" s="202"/>
      <c r="DU199" s="202"/>
      <c r="DV199" s="202"/>
      <c r="DW199" s="202"/>
      <c r="DX199" s="202"/>
      <c r="DY199" s="202"/>
      <c r="DZ199" s="202"/>
      <c r="EA199" s="202"/>
      <c r="EB199" s="202"/>
      <c r="EC199" s="202"/>
      <c r="ED199" s="202"/>
      <c r="EE199" s="202"/>
      <c r="EF199" s="202"/>
      <c r="EG199" s="202"/>
      <c r="EH199" s="202"/>
      <c r="EI199" s="202"/>
      <c r="EJ199" s="202"/>
      <c r="EK199" s="202"/>
      <c r="EL199" s="202"/>
      <c r="EM199" s="202"/>
      <c r="EN199" s="202"/>
      <c r="EO199" s="202"/>
      <c r="EP199" s="202"/>
      <c r="EQ199" s="202"/>
      <c r="ER199" s="202"/>
      <c r="ES199" s="202"/>
      <c r="ET199" s="202"/>
      <c r="EU199" s="202"/>
      <c r="EV199" s="202"/>
      <c r="EW199" s="202"/>
      <c r="EX199" s="202"/>
      <c r="EY199" s="202"/>
      <c r="EZ199" s="202"/>
      <c r="FA199" s="202"/>
      <c r="FB199" s="202"/>
      <c r="FC199" s="202"/>
      <c r="FD199" s="202"/>
      <c r="FE199" s="202"/>
      <c r="FF199" s="202"/>
      <c r="FG199" s="202"/>
      <c r="FH199" s="202"/>
      <c r="FI199" s="202"/>
    </row>
    <row r="200" spans="1:165" s="228" customFormat="1" ht="18" customHeight="1" x14ac:dyDescent="0.25">
      <c r="A200" s="578">
        <f t="shared" si="5"/>
        <v>191</v>
      </c>
      <c r="B200" s="588">
        <v>0</v>
      </c>
      <c r="C200" s="612" t="s">
        <v>135</v>
      </c>
      <c r="D200" s="585" t="s">
        <v>434</v>
      </c>
      <c r="E200" s="597" t="s">
        <v>774</v>
      </c>
      <c r="F200" s="567" t="s">
        <v>1044</v>
      </c>
      <c r="G200" s="556" t="s">
        <v>435</v>
      </c>
      <c r="H200" s="599" t="s">
        <v>1186</v>
      </c>
      <c r="I200" s="605">
        <v>9</v>
      </c>
      <c r="J200" s="556"/>
      <c r="K200" s="594"/>
      <c r="L200" s="306"/>
      <c r="M200" s="307"/>
      <c r="N200" s="307"/>
      <c r="O200" s="307"/>
      <c r="P200" s="307"/>
      <c r="Q200" s="79"/>
      <c r="R200" s="76"/>
      <c r="S200" s="556"/>
      <c r="T200" s="556"/>
      <c r="U200" s="556"/>
      <c r="V200" s="556"/>
      <c r="W200" s="556"/>
      <c r="X200" s="556"/>
      <c r="Y200" s="556"/>
      <c r="Z200" s="556"/>
      <c r="AA200" s="556"/>
      <c r="AB200" s="556"/>
      <c r="AC200" s="556"/>
      <c r="AD200" s="556"/>
      <c r="AE200" s="556"/>
      <c r="AF200" s="556"/>
      <c r="AG200" s="556"/>
      <c r="AH200" s="556"/>
      <c r="AI200" s="556"/>
      <c r="AJ200" s="76"/>
      <c r="AK200" s="76"/>
      <c r="AL200" s="556"/>
      <c r="AM200" s="556"/>
      <c r="AN200" s="556"/>
      <c r="AO200" s="556"/>
      <c r="AP200" s="556"/>
      <c r="AQ200" s="556"/>
      <c r="AR200" s="556"/>
      <c r="AS200" s="76"/>
      <c r="AT200" s="76"/>
      <c r="AU200" s="556"/>
      <c r="AV200" s="556"/>
      <c r="AW200" s="556"/>
      <c r="AX200" s="556"/>
      <c r="AY200" s="556"/>
      <c r="AZ200" s="556"/>
      <c r="BA200" s="556"/>
      <c r="BB200" s="556"/>
      <c r="BC200" s="556"/>
      <c r="BD200" s="556"/>
      <c r="BE200" s="76"/>
      <c r="BF200" s="76"/>
      <c r="BG200" s="556"/>
      <c r="BH200" s="556"/>
      <c r="BI200" s="556"/>
      <c r="BJ200" s="556"/>
      <c r="BK200" s="556"/>
      <c r="BL200" s="556"/>
      <c r="BM200" s="556"/>
      <c r="BN200" s="556"/>
      <c r="BO200" s="556"/>
      <c r="BP200" s="556"/>
      <c r="BQ200" s="76"/>
      <c r="BR200" s="76"/>
      <c r="BS200" s="556"/>
      <c r="BT200" s="76"/>
      <c r="BU200" s="76"/>
      <c r="BV200" s="556"/>
      <c r="BW200" s="556"/>
      <c r="BX200" s="556"/>
      <c r="BY200" s="556"/>
      <c r="BZ200" s="76"/>
      <c r="CA200" s="76"/>
      <c r="CB200" s="556"/>
      <c r="CC200" s="556"/>
      <c r="CD200" s="556"/>
      <c r="CE200" s="76"/>
      <c r="CF200" s="79"/>
      <c r="CG200" s="556"/>
      <c r="CH200" s="556" t="s">
        <v>40</v>
      </c>
      <c r="CI200" s="556" t="s">
        <v>40</v>
      </c>
      <c r="CJ200" s="201"/>
      <c r="CK200" s="202"/>
      <c r="CL200" s="202"/>
      <c r="CM200" s="202"/>
      <c r="CN200" s="202"/>
      <c r="CO200" s="202"/>
      <c r="CP200" s="202"/>
      <c r="CQ200" s="202"/>
      <c r="CR200" s="202"/>
      <c r="CS200" s="202"/>
      <c r="CT200" s="202"/>
      <c r="CU200" s="202"/>
      <c r="CV200" s="202"/>
      <c r="CW200" s="202"/>
      <c r="CX200" s="202"/>
      <c r="CY200" s="202"/>
      <c r="CZ200" s="202"/>
      <c r="DA200" s="202"/>
      <c r="DB200" s="202"/>
      <c r="DC200" s="202"/>
      <c r="DD200" s="202"/>
      <c r="DE200" s="202"/>
      <c r="DF200" s="202"/>
      <c r="DG200" s="202"/>
      <c r="DH200" s="202"/>
      <c r="DI200" s="202"/>
      <c r="DJ200" s="202"/>
      <c r="DK200" s="202"/>
      <c r="DL200" s="202"/>
      <c r="DM200" s="202"/>
      <c r="DN200" s="202"/>
      <c r="DO200" s="202"/>
      <c r="DP200" s="202"/>
      <c r="DQ200" s="202"/>
      <c r="DR200" s="202"/>
      <c r="DS200" s="202"/>
      <c r="DT200" s="202"/>
      <c r="DU200" s="202"/>
      <c r="DV200" s="202"/>
      <c r="DW200" s="202"/>
      <c r="DX200" s="202"/>
      <c r="DY200" s="202"/>
      <c r="DZ200" s="202"/>
      <c r="EA200" s="202"/>
      <c r="EB200" s="202"/>
      <c r="EC200" s="202"/>
      <c r="ED200" s="202"/>
      <c r="EE200" s="202"/>
      <c r="EF200" s="202"/>
      <c r="EG200" s="202"/>
      <c r="EH200" s="202"/>
      <c r="EI200" s="202"/>
      <c r="EJ200" s="202"/>
      <c r="EK200" s="202"/>
      <c r="EL200" s="202"/>
      <c r="EM200" s="202"/>
      <c r="EN200" s="202"/>
      <c r="EO200" s="202"/>
      <c r="EP200" s="202"/>
      <c r="EQ200" s="202"/>
      <c r="ER200" s="202"/>
      <c r="ES200" s="202"/>
      <c r="ET200" s="202"/>
      <c r="EU200" s="202"/>
      <c r="EV200" s="202"/>
      <c r="EW200" s="202"/>
      <c r="EX200" s="202"/>
      <c r="EY200" s="202"/>
      <c r="EZ200" s="202"/>
      <c r="FA200" s="202"/>
      <c r="FB200" s="202"/>
      <c r="FC200" s="202"/>
      <c r="FD200" s="202"/>
      <c r="FE200" s="202"/>
      <c r="FF200" s="202"/>
      <c r="FG200" s="202"/>
      <c r="FH200" s="202"/>
      <c r="FI200" s="202"/>
    </row>
    <row r="201" spans="1:165" s="228" customFormat="1" ht="18" customHeight="1" x14ac:dyDescent="0.25">
      <c r="A201" s="578">
        <f t="shared" si="5"/>
        <v>192</v>
      </c>
      <c r="B201" s="588">
        <v>0</v>
      </c>
      <c r="C201" s="612" t="s">
        <v>135</v>
      </c>
      <c r="D201" s="585" t="s">
        <v>436</v>
      </c>
      <c r="E201" s="597" t="s">
        <v>775</v>
      </c>
      <c r="F201" s="567" t="s">
        <v>1044</v>
      </c>
      <c r="G201" s="556" t="s">
        <v>437</v>
      </c>
      <c r="H201" s="599" t="s">
        <v>1185</v>
      </c>
      <c r="I201" s="593" t="s">
        <v>105</v>
      </c>
      <c r="J201" s="556"/>
      <c r="K201" s="594"/>
      <c r="L201" s="306"/>
      <c r="M201" s="307" t="s">
        <v>122</v>
      </c>
      <c r="N201" s="307" t="s">
        <v>122</v>
      </c>
      <c r="O201" s="307"/>
      <c r="P201" s="307"/>
      <c r="Q201" s="79"/>
      <c r="R201" s="76"/>
      <c r="S201" s="556"/>
      <c r="T201" s="585" t="s">
        <v>120</v>
      </c>
      <c r="U201" s="585"/>
      <c r="V201" s="585"/>
      <c r="W201" s="585" t="s">
        <v>120</v>
      </c>
      <c r="X201" s="567" t="s">
        <v>120</v>
      </c>
      <c r="Y201" s="585"/>
      <c r="Z201" s="556"/>
      <c r="AA201" s="585"/>
      <c r="AB201" s="585"/>
      <c r="AC201" s="556"/>
      <c r="AD201" s="556"/>
      <c r="AE201" s="585" t="s">
        <v>120</v>
      </c>
      <c r="AF201" s="585" t="s">
        <v>120</v>
      </c>
      <c r="AG201" s="585" t="s">
        <v>120</v>
      </c>
      <c r="AH201" s="585" t="s">
        <v>120</v>
      </c>
      <c r="AI201" s="585"/>
      <c r="AJ201" s="76"/>
      <c r="AK201" s="76"/>
      <c r="AL201" s="556"/>
      <c r="AM201" s="556"/>
      <c r="AN201" s="556"/>
      <c r="AO201" s="556"/>
      <c r="AP201" s="556"/>
      <c r="AQ201" s="556"/>
      <c r="AR201" s="556"/>
      <c r="AS201" s="76"/>
      <c r="AT201" s="76"/>
      <c r="AU201" s="556"/>
      <c r="AV201" s="556"/>
      <c r="AW201" s="556"/>
      <c r="AX201" s="585" t="s">
        <v>120</v>
      </c>
      <c r="AY201" s="585"/>
      <c r="AZ201" s="585"/>
      <c r="BA201" s="585"/>
      <c r="BB201" s="585"/>
      <c r="BC201" s="585"/>
      <c r="BD201" s="585" t="s">
        <v>121</v>
      </c>
      <c r="BE201" s="79"/>
      <c r="BF201" s="76"/>
      <c r="BG201" s="585"/>
      <c r="BH201" s="585"/>
      <c r="BI201" s="585"/>
      <c r="BJ201" s="585" t="s">
        <v>120</v>
      </c>
      <c r="BK201" s="585"/>
      <c r="BL201" s="585"/>
      <c r="BM201" s="585"/>
      <c r="BN201" s="585"/>
      <c r="BO201" s="556"/>
      <c r="BP201" s="556" t="s">
        <v>121</v>
      </c>
      <c r="BQ201" s="76"/>
      <c r="BR201" s="76"/>
      <c r="BS201" s="556" t="s">
        <v>120</v>
      </c>
      <c r="BT201" s="76"/>
      <c r="BU201" s="76"/>
      <c r="BV201" s="556"/>
      <c r="BW201" s="556"/>
      <c r="BX201" s="556"/>
      <c r="BY201" s="556"/>
      <c r="BZ201" s="76"/>
      <c r="CA201" s="76"/>
      <c r="CB201" s="556"/>
      <c r="CC201" s="556"/>
      <c r="CD201" s="556"/>
      <c r="CE201" s="76"/>
      <c r="CF201" s="79"/>
      <c r="CG201" s="556"/>
      <c r="CH201" s="556" t="s">
        <v>40</v>
      </c>
      <c r="CI201" s="556" t="s">
        <v>40</v>
      </c>
      <c r="CJ201" s="201"/>
      <c r="CK201" s="202"/>
      <c r="CL201" s="202"/>
      <c r="CM201" s="202"/>
      <c r="CN201" s="202"/>
      <c r="CO201" s="202"/>
      <c r="CP201" s="202"/>
      <c r="CQ201" s="202"/>
      <c r="CR201" s="202"/>
      <c r="CS201" s="202"/>
      <c r="CT201" s="202"/>
      <c r="CU201" s="202"/>
      <c r="CV201" s="202"/>
      <c r="CW201" s="202"/>
      <c r="CX201" s="202"/>
      <c r="CY201" s="202"/>
      <c r="CZ201" s="202"/>
      <c r="DA201" s="202"/>
      <c r="DB201" s="202"/>
      <c r="DC201" s="202"/>
      <c r="DD201" s="202"/>
      <c r="DE201" s="202"/>
      <c r="DF201" s="202"/>
      <c r="DG201" s="202"/>
      <c r="DH201" s="202"/>
      <c r="DI201" s="202"/>
      <c r="DJ201" s="202"/>
      <c r="DK201" s="202"/>
      <c r="DL201" s="202"/>
      <c r="DM201" s="202"/>
      <c r="DN201" s="202"/>
      <c r="DO201" s="202"/>
      <c r="DP201" s="202"/>
      <c r="DQ201" s="202"/>
      <c r="DR201" s="202"/>
      <c r="DS201" s="202"/>
      <c r="DT201" s="202"/>
      <c r="DU201" s="202"/>
      <c r="DV201" s="202"/>
      <c r="DW201" s="202"/>
      <c r="DX201" s="202"/>
      <c r="DY201" s="202"/>
      <c r="DZ201" s="202"/>
      <c r="EA201" s="202"/>
      <c r="EB201" s="202"/>
      <c r="EC201" s="202"/>
      <c r="ED201" s="202"/>
      <c r="EE201" s="202"/>
      <c r="EF201" s="202"/>
      <c r="EG201" s="202"/>
      <c r="EH201" s="202"/>
      <c r="EI201" s="202"/>
      <c r="EJ201" s="202"/>
      <c r="EK201" s="202"/>
      <c r="EL201" s="202"/>
      <c r="EM201" s="202"/>
      <c r="EN201" s="202"/>
      <c r="EO201" s="202"/>
      <c r="EP201" s="202"/>
      <c r="EQ201" s="202"/>
      <c r="ER201" s="202"/>
      <c r="ES201" s="202"/>
      <c r="ET201" s="202"/>
      <c r="EU201" s="202"/>
      <c r="EV201" s="202"/>
      <c r="EW201" s="202"/>
      <c r="EX201" s="202"/>
      <c r="EY201" s="202"/>
      <c r="EZ201" s="202"/>
      <c r="FA201" s="202"/>
      <c r="FB201" s="202"/>
      <c r="FC201" s="202"/>
      <c r="FD201" s="202"/>
      <c r="FE201" s="202"/>
      <c r="FF201" s="202"/>
      <c r="FG201" s="202"/>
      <c r="FH201" s="202"/>
      <c r="FI201" s="202"/>
    </row>
    <row r="202" spans="1:165" s="228" customFormat="1" ht="18" customHeight="1" x14ac:dyDescent="0.25">
      <c r="A202" s="578">
        <f t="shared" si="5"/>
        <v>193</v>
      </c>
      <c r="B202" s="588">
        <v>0</v>
      </c>
      <c r="C202" s="612" t="s">
        <v>135</v>
      </c>
      <c r="D202" s="585" t="s">
        <v>995</v>
      </c>
      <c r="E202" s="597" t="s">
        <v>996</v>
      </c>
      <c r="F202" s="567" t="s">
        <v>1044</v>
      </c>
      <c r="G202" s="556" t="s">
        <v>997</v>
      </c>
      <c r="H202" s="599" t="s">
        <v>997</v>
      </c>
      <c r="I202" s="593"/>
      <c r="J202" s="556"/>
      <c r="K202" s="594"/>
      <c r="L202" s="306"/>
      <c r="M202" s="307"/>
      <c r="N202" s="307"/>
      <c r="O202" s="307"/>
      <c r="P202" s="307"/>
      <c r="Q202" s="79"/>
      <c r="R202" s="76"/>
      <c r="S202" s="556"/>
      <c r="T202" s="556"/>
      <c r="U202" s="556"/>
      <c r="V202" s="556"/>
      <c r="W202" s="556"/>
      <c r="X202" s="556"/>
      <c r="Y202" s="556"/>
      <c r="Z202" s="556"/>
      <c r="AA202" s="556"/>
      <c r="AB202" s="556"/>
      <c r="AC202" s="556"/>
      <c r="AD202" s="556"/>
      <c r="AE202" s="556"/>
      <c r="AF202" s="556"/>
      <c r="AG202" s="556"/>
      <c r="AH202" s="556"/>
      <c r="AI202" s="556"/>
      <c r="AJ202" s="76"/>
      <c r="AK202" s="76"/>
      <c r="AL202" s="556"/>
      <c r="AM202" s="556"/>
      <c r="AN202" s="556"/>
      <c r="AO202" s="556"/>
      <c r="AP202" s="556"/>
      <c r="AQ202" s="556"/>
      <c r="AR202" s="556"/>
      <c r="AS202" s="76"/>
      <c r="AT202" s="76"/>
      <c r="AU202" s="556"/>
      <c r="AV202" s="556"/>
      <c r="AW202" s="556"/>
      <c r="AX202" s="556"/>
      <c r="AY202" s="556"/>
      <c r="AZ202" s="556"/>
      <c r="BA202" s="556"/>
      <c r="BB202" s="556"/>
      <c r="BC202" s="556"/>
      <c r="BD202" s="556"/>
      <c r="BE202" s="76"/>
      <c r="BF202" s="76"/>
      <c r="BG202" s="556"/>
      <c r="BH202" s="556"/>
      <c r="BI202" s="556"/>
      <c r="BJ202" s="556"/>
      <c r="BK202" s="556"/>
      <c r="BL202" s="556"/>
      <c r="BM202" s="556"/>
      <c r="BN202" s="556"/>
      <c r="BO202" s="556"/>
      <c r="BP202" s="556"/>
      <c r="BQ202" s="76"/>
      <c r="BR202" s="76"/>
      <c r="BS202" s="556"/>
      <c r="BT202" s="76"/>
      <c r="BU202" s="76"/>
      <c r="BV202" s="556"/>
      <c r="BW202" s="556"/>
      <c r="BX202" s="556"/>
      <c r="BY202" s="556"/>
      <c r="BZ202" s="76"/>
      <c r="CA202" s="76"/>
      <c r="CB202" s="556"/>
      <c r="CC202" s="556"/>
      <c r="CD202" s="556"/>
      <c r="CE202" s="76"/>
      <c r="CF202" s="79"/>
      <c r="CG202" s="556"/>
      <c r="CH202" s="556"/>
      <c r="CI202" s="556"/>
      <c r="CJ202" s="201"/>
      <c r="CK202" s="202"/>
      <c r="CL202" s="202"/>
      <c r="CM202" s="202"/>
      <c r="CN202" s="202"/>
      <c r="CO202" s="202"/>
      <c r="CP202" s="202"/>
      <c r="CQ202" s="202"/>
      <c r="CR202" s="202"/>
      <c r="CS202" s="202"/>
      <c r="CT202" s="202"/>
      <c r="CU202" s="202"/>
      <c r="CV202" s="202"/>
      <c r="CW202" s="202"/>
      <c r="CX202" s="202"/>
      <c r="CY202" s="202"/>
      <c r="CZ202" s="202"/>
      <c r="DA202" s="202"/>
      <c r="DB202" s="202"/>
      <c r="DC202" s="202"/>
      <c r="DD202" s="202"/>
      <c r="DE202" s="202"/>
      <c r="DF202" s="202"/>
      <c r="DG202" s="202"/>
      <c r="DH202" s="202"/>
      <c r="DI202" s="202"/>
      <c r="DJ202" s="202"/>
      <c r="DK202" s="202"/>
      <c r="DL202" s="202"/>
      <c r="DM202" s="202"/>
      <c r="DN202" s="202"/>
      <c r="DO202" s="202"/>
      <c r="DP202" s="202"/>
      <c r="DQ202" s="202"/>
      <c r="DR202" s="202"/>
      <c r="DS202" s="202"/>
      <c r="DT202" s="202"/>
      <c r="DU202" s="202"/>
      <c r="DV202" s="202"/>
      <c r="DW202" s="202"/>
      <c r="DX202" s="202"/>
      <c r="DY202" s="202"/>
      <c r="DZ202" s="202"/>
      <c r="EA202" s="202"/>
      <c r="EB202" s="202"/>
      <c r="EC202" s="202"/>
      <c r="ED202" s="202"/>
      <c r="EE202" s="202"/>
      <c r="EF202" s="202"/>
      <c r="EG202" s="202"/>
      <c r="EH202" s="202"/>
      <c r="EI202" s="202"/>
      <c r="EJ202" s="202"/>
      <c r="EK202" s="202"/>
      <c r="EL202" s="202"/>
      <c r="EM202" s="202"/>
      <c r="EN202" s="202"/>
      <c r="EO202" s="202"/>
      <c r="EP202" s="202"/>
      <c r="EQ202" s="202"/>
      <c r="ER202" s="202"/>
      <c r="ES202" s="202"/>
      <c r="ET202" s="202"/>
      <c r="EU202" s="202"/>
      <c r="EV202" s="202"/>
      <c r="EW202" s="202"/>
      <c r="EX202" s="202"/>
      <c r="EY202" s="202"/>
      <c r="EZ202" s="202"/>
      <c r="FA202" s="202"/>
      <c r="FB202" s="202"/>
      <c r="FC202" s="202"/>
      <c r="FD202" s="202"/>
      <c r="FE202" s="202"/>
      <c r="FF202" s="202"/>
      <c r="FG202" s="202"/>
      <c r="FH202" s="202"/>
      <c r="FI202" s="202"/>
    </row>
    <row r="203" spans="1:165" s="228" customFormat="1" ht="18" customHeight="1" x14ac:dyDescent="0.25">
      <c r="A203" s="578">
        <f t="shared" si="5"/>
        <v>194</v>
      </c>
      <c r="B203" s="588">
        <v>0</v>
      </c>
      <c r="C203" s="612" t="s">
        <v>135</v>
      </c>
      <c r="D203" s="585" t="s">
        <v>438</v>
      </c>
      <c r="E203" s="597" t="s">
        <v>439</v>
      </c>
      <c r="F203" s="567" t="s">
        <v>1044</v>
      </c>
      <c r="G203" s="556" t="s">
        <v>440</v>
      </c>
      <c r="H203" s="599" t="s">
        <v>1184</v>
      </c>
      <c r="I203" s="593" t="s">
        <v>105</v>
      </c>
      <c r="J203" s="556"/>
      <c r="K203" s="594">
        <v>9</v>
      </c>
      <c r="L203" s="306"/>
      <c r="M203" s="307" t="s">
        <v>122</v>
      </c>
      <c r="N203" s="307" t="s">
        <v>122</v>
      </c>
      <c r="O203" s="307"/>
      <c r="P203" s="307"/>
      <c r="Q203" s="79"/>
      <c r="R203" s="76"/>
      <c r="S203" s="556"/>
      <c r="T203" s="585" t="s">
        <v>120</v>
      </c>
      <c r="U203" s="585"/>
      <c r="V203" s="585"/>
      <c r="W203" s="585" t="s">
        <v>120</v>
      </c>
      <c r="X203" s="567" t="s">
        <v>120</v>
      </c>
      <c r="Y203" s="585"/>
      <c r="Z203" s="556"/>
      <c r="AA203" s="585"/>
      <c r="AB203" s="585"/>
      <c r="AC203" s="556"/>
      <c r="AD203" s="556"/>
      <c r="AE203" s="585" t="s">
        <v>120</v>
      </c>
      <c r="AF203" s="585" t="s">
        <v>120</v>
      </c>
      <c r="AG203" s="585" t="s">
        <v>120</v>
      </c>
      <c r="AH203" s="585" t="s">
        <v>120</v>
      </c>
      <c r="AI203" s="585"/>
      <c r="AJ203" s="79"/>
      <c r="AK203" s="76"/>
      <c r="AL203" s="556"/>
      <c r="AM203" s="556"/>
      <c r="AN203" s="556"/>
      <c r="AO203" s="556"/>
      <c r="AP203" s="556"/>
      <c r="AQ203" s="556"/>
      <c r="AR203" s="556"/>
      <c r="AS203" s="76"/>
      <c r="AT203" s="76"/>
      <c r="AU203" s="556"/>
      <c r="AV203" s="556"/>
      <c r="AW203" s="556"/>
      <c r="AX203" s="585" t="s">
        <v>120</v>
      </c>
      <c r="AY203" s="585"/>
      <c r="AZ203" s="585"/>
      <c r="BA203" s="585"/>
      <c r="BB203" s="585"/>
      <c r="BC203" s="585"/>
      <c r="BD203" s="585" t="s">
        <v>121</v>
      </c>
      <c r="BE203" s="79"/>
      <c r="BF203" s="76"/>
      <c r="BG203" s="585"/>
      <c r="BH203" s="585"/>
      <c r="BI203" s="585"/>
      <c r="BJ203" s="585" t="s">
        <v>120</v>
      </c>
      <c r="BK203" s="585"/>
      <c r="BL203" s="585"/>
      <c r="BM203" s="585"/>
      <c r="BN203" s="585"/>
      <c r="BO203" s="585"/>
      <c r="BP203" s="585" t="s">
        <v>121</v>
      </c>
      <c r="BQ203" s="79"/>
      <c r="BR203" s="76"/>
      <c r="BS203" s="556" t="s">
        <v>120</v>
      </c>
      <c r="BT203" s="76"/>
      <c r="BU203" s="76"/>
      <c r="BV203" s="556" t="s">
        <v>582</v>
      </c>
      <c r="BW203" s="556"/>
      <c r="BX203" s="556"/>
      <c r="BY203" s="556"/>
      <c r="BZ203" s="76"/>
      <c r="CA203" s="76"/>
      <c r="CB203" s="585"/>
      <c r="CC203" s="556"/>
      <c r="CD203" s="556"/>
      <c r="CE203" s="76"/>
      <c r="CF203" s="79"/>
      <c r="CG203" s="556"/>
      <c r="CH203" s="556" t="s">
        <v>40</v>
      </c>
      <c r="CI203" s="556" t="s">
        <v>40</v>
      </c>
      <c r="CJ203" s="201"/>
      <c r="CK203" s="202"/>
      <c r="CL203" s="202"/>
      <c r="CM203" s="202"/>
      <c r="CN203" s="202"/>
      <c r="CO203" s="202"/>
      <c r="CP203" s="202"/>
      <c r="CQ203" s="202"/>
      <c r="CR203" s="202"/>
      <c r="CS203" s="202"/>
      <c r="CT203" s="202"/>
      <c r="CU203" s="202"/>
      <c r="CV203" s="202"/>
      <c r="CW203" s="202"/>
      <c r="CX203" s="202"/>
      <c r="CY203" s="202"/>
      <c r="CZ203" s="202"/>
      <c r="DA203" s="202"/>
      <c r="DB203" s="202"/>
      <c r="DC203" s="202"/>
      <c r="DD203" s="202"/>
      <c r="DE203" s="202"/>
      <c r="DF203" s="202"/>
      <c r="DG203" s="202"/>
      <c r="DH203" s="202"/>
      <c r="DI203" s="202"/>
      <c r="DJ203" s="202"/>
      <c r="DK203" s="202"/>
      <c r="DL203" s="202"/>
      <c r="DM203" s="202"/>
      <c r="DN203" s="202"/>
      <c r="DO203" s="202"/>
      <c r="DP203" s="202"/>
      <c r="DQ203" s="202"/>
      <c r="DR203" s="202"/>
      <c r="DS203" s="202"/>
      <c r="DT203" s="202"/>
      <c r="DU203" s="202"/>
      <c r="DV203" s="202"/>
      <c r="DW203" s="202"/>
      <c r="DX203" s="202"/>
      <c r="DY203" s="202"/>
      <c r="DZ203" s="202"/>
      <c r="EA203" s="202"/>
      <c r="EB203" s="202"/>
      <c r="EC203" s="202"/>
      <c r="ED203" s="202"/>
      <c r="EE203" s="202"/>
      <c r="EF203" s="202"/>
      <c r="EG203" s="202"/>
      <c r="EH203" s="202"/>
      <c r="EI203" s="202"/>
      <c r="EJ203" s="202"/>
      <c r="EK203" s="202"/>
      <c r="EL203" s="202"/>
      <c r="EM203" s="202"/>
      <c r="EN203" s="202"/>
      <c r="EO203" s="202"/>
      <c r="EP203" s="202"/>
      <c r="EQ203" s="202"/>
      <c r="ER203" s="202"/>
      <c r="ES203" s="202"/>
      <c r="ET203" s="202"/>
      <c r="EU203" s="202"/>
      <c r="EV203" s="202"/>
      <c r="EW203" s="202"/>
      <c r="EX203" s="202"/>
      <c r="EY203" s="202"/>
      <c r="EZ203" s="202"/>
      <c r="FA203" s="202"/>
      <c r="FB203" s="202"/>
      <c r="FC203" s="202"/>
      <c r="FD203" s="202"/>
      <c r="FE203" s="202"/>
      <c r="FF203" s="202"/>
      <c r="FG203" s="202"/>
      <c r="FH203" s="202"/>
      <c r="FI203" s="202"/>
    </row>
    <row r="204" spans="1:165" s="228" customFormat="1" ht="18" customHeight="1" x14ac:dyDescent="0.25">
      <c r="A204" s="578">
        <f t="shared" si="5"/>
        <v>195</v>
      </c>
      <c r="B204" s="588">
        <v>0</v>
      </c>
      <c r="C204" s="612" t="s">
        <v>135</v>
      </c>
      <c r="D204" s="585" t="s">
        <v>998</v>
      </c>
      <c r="E204" s="597" t="s">
        <v>999</v>
      </c>
      <c r="F204" s="567" t="s">
        <v>1044</v>
      </c>
      <c r="G204" s="556" t="s">
        <v>1000</v>
      </c>
      <c r="H204" s="599" t="s">
        <v>1001</v>
      </c>
      <c r="I204" s="593"/>
      <c r="J204" s="556"/>
      <c r="K204" s="594">
        <v>12</v>
      </c>
      <c r="L204" s="306"/>
      <c r="M204" s="307"/>
      <c r="N204" s="307"/>
      <c r="O204" s="307"/>
      <c r="P204" s="307"/>
      <c r="Q204" s="79"/>
      <c r="R204" s="76"/>
      <c r="S204" s="556"/>
      <c r="T204" s="556"/>
      <c r="U204" s="556"/>
      <c r="V204" s="556"/>
      <c r="W204" s="556"/>
      <c r="X204" s="556"/>
      <c r="Y204" s="556"/>
      <c r="Z204" s="556"/>
      <c r="AA204" s="556"/>
      <c r="AB204" s="556"/>
      <c r="AC204" s="556"/>
      <c r="AD204" s="556"/>
      <c r="AE204" s="556"/>
      <c r="AF204" s="556"/>
      <c r="AG204" s="556"/>
      <c r="AH204" s="556"/>
      <c r="AI204" s="556"/>
      <c r="AJ204" s="76"/>
      <c r="AK204" s="76"/>
      <c r="AL204" s="556"/>
      <c r="AM204" s="556"/>
      <c r="AN204" s="556"/>
      <c r="AO204" s="556"/>
      <c r="AP204" s="556"/>
      <c r="AQ204" s="556"/>
      <c r="AR204" s="556"/>
      <c r="AS204" s="76"/>
      <c r="AT204" s="76"/>
      <c r="AU204" s="556"/>
      <c r="AV204" s="556"/>
      <c r="AW204" s="556"/>
      <c r="AX204" s="556"/>
      <c r="AY204" s="556"/>
      <c r="AZ204" s="556"/>
      <c r="BA204" s="556"/>
      <c r="BB204" s="556"/>
      <c r="BC204" s="556"/>
      <c r="BD204" s="556"/>
      <c r="BE204" s="76"/>
      <c r="BF204" s="76"/>
      <c r="BG204" s="556"/>
      <c r="BH204" s="556"/>
      <c r="BI204" s="556"/>
      <c r="BJ204" s="556"/>
      <c r="BK204" s="556"/>
      <c r="BL204" s="556"/>
      <c r="BM204" s="556"/>
      <c r="BN204" s="556"/>
      <c r="BO204" s="556"/>
      <c r="BP204" s="556"/>
      <c r="BQ204" s="76"/>
      <c r="BR204" s="76"/>
      <c r="BS204" s="556"/>
      <c r="BT204" s="76"/>
      <c r="BU204" s="76"/>
      <c r="BV204" s="556"/>
      <c r="BW204" s="556"/>
      <c r="BX204" s="556"/>
      <c r="BY204" s="556"/>
      <c r="BZ204" s="76"/>
      <c r="CA204" s="76"/>
      <c r="CB204" s="556"/>
      <c r="CC204" s="556"/>
      <c r="CD204" s="556"/>
      <c r="CE204" s="76"/>
      <c r="CF204" s="79"/>
      <c r="CG204" s="556"/>
      <c r="CH204" s="556"/>
      <c r="CI204" s="556"/>
      <c r="CJ204" s="201"/>
      <c r="CK204" s="202"/>
      <c r="CL204" s="202"/>
      <c r="CM204" s="202"/>
      <c r="CN204" s="202"/>
      <c r="CO204" s="202"/>
      <c r="CP204" s="202"/>
      <c r="CQ204" s="202"/>
      <c r="CR204" s="202"/>
      <c r="CS204" s="202"/>
      <c r="CT204" s="202"/>
      <c r="CU204" s="202"/>
      <c r="CV204" s="202"/>
      <c r="CW204" s="202"/>
      <c r="CX204" s="202"/>
      <c r="CY204" s="202"/>
      <c r="CZ204" s="202"/>
      <c r="DA204" s="202"/>
      <c r="DB204" s="202"/>
      <c r="DC204" s="202"/>
      <c r="DD204" s="202"/>
      <c r="DE204" s="202"/>
      <c r="DF204" s="202"/>
      <c r="DG204" s="202"/>
      <c r="DH204" s="202"/>
      <c r="DI204" s="202"/>
      <c r="DJ204" s="202"/>
      <c r="DK204" s="202"/>
      <c r="DL204" s="202"/>
      <c r="DM204" s="202"/>
      <c r="DN204" s="202"/>
      <c r="DO204" s="202"/>
      <c r="DP204" s="202"/>
      <c r="DQ204" s="202"/>
      <c r="DR204" s="202"/>
      <c r="DS204" s="202"/>
      <c r="DT204" s="202"/>
      <c r="DU204" s="202"/>
      <c r="DV204" s="202"/>
      <c r="DW204" s="202"/>
      <c r="DX204" s="202"/>
      <c r="DY204" s="202"/>
      <c r="DZ204" s="202"/>
      <c r="EA204" s="202"/>
      <c r="EB204" s="202"/>
      <c r="EC204" s="202"/>
      <c r="ED204" s="202"/>
      <c r="EE204" s="202"/>
      <c r="EF204" s="202"/>
      <c r="EG204" s="202"/>
      <c r="EH204" s="202"/>
      <c r="EI204" s="202"/>
      <c r="EJ204" s="202"/>
      <c r="EK204" s="202"/>
      <c r="EL204" s="202"/>
      <c r="EM204" s="202"/>
      <c r="EN204" s="202"/>
      <c r="EO204" s="202"/>
      <c r="EP204" s="202"/>
      <c r="EQ204" s="202"/>
      <c r="ER204" s="202"/>
      <c r="ES204" s="202"/>
      <c r="ET204" s="202"/>
      <c r="EU204" s="202"/>
      <c r="EV204" s="202"/>
      <c r="EW204" s="202"/>
      <c r="EX204" s="202"/>
      <c r="EY204" s="202"/>
      <c r="EZ204" s="202"/>
      <c r="FA204" s="202"/>
      <c r="FB204" s="202"/>
      <c r="FC204" s="202"/>
      <c r="FD204" s="202"/>
      <c r="FE204" s="202"/>
      <c r="FF204" s="202"/>
      <c r="FG204" s="202"/>
      <c r="FH204" s="202"/>
      <c r="FI204" s="202"/>
    </row>
    <row r="205" spans="1:165" s="228" customFormat="1" ht="18" customHeight="1" x14ac:dyDescent="0.25">
      <c r="A205" s="578">
        <f t="shared" si="5"/>
        <v>196</v>
      </c>
      <c r="B205" s="588">
        <v>0</v>
      </c>
      <c r="C205" s="612" t="s">
        <v>135</v>
      </c>
      <c r="D205" s="585" t="s">
        <v>1002</v>
      </c>
      <c r="E205" s="597" t="s">
        <v>1003</v>
      </c>
      <c r="F205" s="567" t="s">
        <v>1044</v>
      </c>
      <c r="G205" s="556" t="s">
        <v>1004</v>
      </c>
      <c r="H205" s="599" t="s">
        <v>1004</v>
      </c>
      <c r="I205" s="593"/>
      <c r="J205" s="556"/>
      <c r="K205" s="594"/>
      <c r="L205" s="306"/>
      <c r="M205" s="307"/>
      <c r="N205" s="307"/>
      <c r="O205" s="307"/>
      <c r="P205" s="307"/>
      <c r="Q205" s="79"/>
      <c r="R205" s="76"/>
      <c r="S205" s="556"/>
      <c r="T205" s="556"/>
      <c r="U205" s="556"/>
      <c r="V205" s="556"/>
      <c r="W205" s="556"/>
      <c r="X205" s="556"/>
      <c r="Y205" s="556"/>
      <c r="Z205" s="556"/>
      <c r="AA205" s="556"/>
      <c r="AB205" s="556"/>
      <c r="AC205" s="556"/>
      <c r="AD205" s="556"/>
      <c r="AE205" s="556"/>
      <c r="AF205" s="556"/>
      <c r="AG205" s="556"/>
      <c r="AH205" s="556"/>
      <c r="AI205" s="556"/>
      <c r="AJ205" s="76"/>
      <c r="AK205" s="76"/>
      <c r="AL205" s="556"/>
      <c r="AM205" s="556"/>
      <c r="AN205" s="556"/>
      <c r="AO205" s="556"/>
      <c r="AP205" s="556"/>
      <c r="AQ205" s="556"/>
      <c r="AR205" s="556"/>
      <c r="AS205" s="76"/>
      <c r="AT205" s="76"/>
      <c r="AU205" s="556"/>
      <c r="AV205" s="556"/>
      <c r="AW205" s="556"/>
      <c r="AX205" s="556"/>
      <c r="AY205" s="556"/>
      <c r="AZ205" s="556"/>
      <c r="BA205" s="556"/>
      <c r="BB205" s="556"/>
      <c r="BC205" s="556"/>
      <c r="BD205" s="556"/>
      <c r="BE205" s="76"/>
      <c r="BF205" s="76"/>
      <c r="BG205" s="556"/>
      <c r="BH205" s="556"/>
      <c r="BI205" s="556"/>
      <c r="BJ205" s="556"/>
      <c r="BK205" s="556"/>
      <c r="BL205" s="556"/>
      <c r="BM205" s="556"/>
      <c r="BN205" s="556"/>
      <c r="BO205" s="556"/>
      <c r="BP205" s="556"/>
      <c r="BQ205" s="76"/>
      <c r="BR205" s="76"/>
      <c r="BS205" s="556"/>
      <c r="BT205" s="76"/>
      <c r="BU205" s="76"/>
      <c r="BV205" s="556"/>
      <c r="BW205" s="556"/>
      <c r="BX205" s="556"/>
      <c r="BY205" s="556"/>
      <c r="BZ205" s="76"/>
      <c r="CA205" s="76"/>
      <c r="CB205" s="556"/>
      <c r="CC205" s="556"/>
      <c r="CD205" s="556"/>
      <c r="CE205" s="76"/>
      <c r="CF205" s="79"/>
      <c r="CG205" s="556"/>
      <c r="CH205" s="556"/>
      <c r="CI205" s="556"/>
      <c r="CJ205" s="201"/>
      <c r="CK205" s="202"/>
      <c r="CL205" s="202"/>
      <c r="CM205" s="202"/>
      <c r="CN205" s="202"/>
      <c r="CO205" s="202"/>
      <c r="CP205" s="202"/>
      <c r="CQ205" s="202"/>
      <c r="CR205" s="202"/>
      <c r="CS205" s="202"/>
      <c r="CT205" s="202"/>
      <c r="CU205" s="202"/>
      <c r="CV205" s="202"/>
      <c r="CW205" s="202"/>
      <c r="CX205" s="202"/>
      <c r="CY205" s="202"/>
      <c r="CZ205" s="202"/>
      <c r="DA205" s="202"/>
      <c r="DB205" s="202"/>
      <c r="DC205" s="202"/>
      <c r="DD205" s="202"/>
      <c r="DE205" s="202"/>
      <c r="DF205" s="202"/>
      <c r="DG205" s="202"/>
      <c r="DH205" s="202"/>
      <c r="DI205" s="202"/>
      <c r="DJ205" s="202"/>
      <c r="DK205" s="202"/>
      <c r="DL205" s="202"/>
      <c r="DM205" s="202"/>
      <c r="DN205" s="202"/>
      <c r="DO205" s="202"/>
      <c r="DP205" s="202"/>
      <c r="DQ205" s="202"/>
      <c r="DR205" s="202"/>
      <c r="DS205" s="202"/>
      <c r="DT205" s="202"/>
      <c r="DU205" s="202"/>
      <c r="DV205" s="202"/>
      <c r="DW205" s="202"/>
      <c r="DX205" s="202"/>
      <c r="DY205" s="202"/>
      <c r="DZ205" s="202"/>
      <c r="EA205" s="202"/>
      <c r="EB205" s="202"/>
      <c r="EC205" s="202"/>
      <c r="ED205" s="202"/>
      <c r="EE205" s="202"/>
      <c r="EF205" s="202"/>
      <c r="EG205" s="202"/>
      <c r="EH205" s="202"/>
      <c r="EI205" s="202"/>
      <c r="EJ205" s="202"/>
      <c r="EK205" s="202"/>
      <c r="EL205" s="202"/>
      <c r="EM205" s="202"/>
      <c r="EN205" s="202"/>
      <c r="EO205" s="202"/>
      <c r="EP205" s="202"/>
      <c r="EQ205" s="202"/>
      <c r="ER205" s="202"/>
      <c r="ES205" s="202"/>
      <c r="ET205" s="202"/>
      <c r="EU205" s="202"/>
      <c r="EV205" s="202"/>
      <c r="EW205" s="202"/>
      <c r="EX205" s="202"/>
      <c r="EY205" s="202"/>
      <c r="EZ205" s="202"/>
      <c r="FA205" s="202"/>
      <c r="FB205" s="202"/>
      <c r="FC205" s="202"/>
      <c r="FD205" s="202"/>
      <c r="FE205" s="202"/>
      <c r="FF205" s="202"/>
      <c r="FG205" s="202"/>
      <c r="FH205" s="202"/>
      <c r="FI205" s="202"/>
    </row>
    <row r="206" spans="1:165" s="228" customFormat="1" ht="18" customHeight="1" x14ac:dyDescent="0.25">
      <c r="A206" s="578">
        <f t="shared" si="5"/>
        <v>197</v>
      </c>
      <c r="B206" s="588">
        <v>0</v>
      </c>
      <c r="C206" s="612" t="s">
        <v>135</v>
      </c>
      <c r="D206" s="585" t="s">
        <v>441</v>
      </c>
      <c r="E206" s="597" t="s">
        <v>442</v>
      </c>
      <c r="F206" s="567" t="s">
        <v>1044</v>
      </c>
      <c r="G206" s="556" t="s">
        <v>443</v>
      </c>
      <c r="H206" s="599" t="s">
        <v>1183</v>
      </c>
      <c r="I206" s="593" t="s">
        <v>105</v>
      </c>
      <c r="J206" s="556" t="s">
        <v>64</v>
      </c>
      <c r="K206" s="594"/>
      <c r="L206" s="306"/>
      <c r="M206" s="307" t="s">
        <v>122</v>
      </c>
      <c r="N206" s="307" t="s">
        <v>122</v>
      </c>
      <c r="O206" s="307"/>
      <c r="P206" s="307"/>
      <c r="Q206" s="79"/>
      <c r="R206" s="76"/>
      <c r="S206" s="556"/>
      <c r="T206" s="585" t="s">
        <v>120</v>
      </c>
      <c r="U206" s="585"/>
      <c r="V206" s="585"/>
      <c r="W206" s="585" t="s">
        <v>120</v>
      </c>
      <c r="X206" s="567" t="s">
        <v>120</v>
      </c>
      <c r="Y206" s="585"/>
      <c r="Z206" s="556"/>
      <c r="AA206" s="585"/>
      <c r="AB206" s="585"/>
      <c r="AC206" s="556"/>
      <c r="AD206" s="556"/>
      <c r="AE206" s="556" t="s">
        <v>120</v>
      </c>
      <c r="AF206" s="556" t="s">
        <v>120</v>
      </c>
      <c r="AG206" s="556" t="s">
        <v>120</v>
      </c>
      <c r="AH206" s="556" t="s">
        <v>120</v>
      </c>
      <c r="AI206" s="556"/>
      <c r="AJ206" s="76"/>
      <c r="AK206" s="76"/>
      <c r="AL206" s="556"/>
      <c r="AM206" s="556"/>
      <c r="AN206" s="556"/>
      <c r="AO206" s="556"/>
      <c r="AP206" s="556"/>
      <c r="AQ206" s="556"/>
      <c r="AR206" s="556"/>
      <c r="AS206" s="76"/>
      <c r="AT206" s="76"/>
      <c r="AU206" s="556"/>
      <c r="AV206" s="556"/>
      <c r="AW206" s="556"/>
      <c r="AX206" s="585" t="s">
        <v>120</v>
      </c>
      <c r="AY206" s="585"/>
      <c r="AZ206" s="585"/>
      <c r="BA206" s="585"/>
      <c r="BB206" s="585"/>
      <c r="BC206" s="585"/>
      <c r="BD206" s="585" t="s">
        <v>121</v>
      </c>
      <c r="BE206" s="79"/>
      <c r="BF206" s="76"/>
      <c r="BG206" s="585"/>
      <c r="BH206" s="585"/>
      <c r="BI206" s="585"/>
      <c r="BJ206" s="585" t="s">
        <v>120</v>
      </c>
      <c r="BK206" s="585"/>
      <c r="BL206" s="585"/>
      <c r="BM206" s="585"/>
      <c r="BN206" s="585"/>
      <c r="BO206" s="556"/>
      <c r="BP206" s="585" t="s">
        <v>121</v>
      </c>
      <c r="BQ206" s="76"/>
      <c r="BR206" s="76"/>
      <c r="BS206" s="556" t="s">
        <v>120</v>
      </c>
      <c r="BT206" s="76"/>
      <c r="BU206" s="76"/>
      <c r="BV206" s="556" t="s">
        <v>582</v>
      </c>
      <c r="BW206" s="556"/>
      <c r="BX206" s="556"/>
      <c r="BY206" s="556"/>
      <c r="BZ206" s="76"/>
      <c r="CA206" s="76"/>
      <c r="CB206" s="556"/>
      <c r="CC206" s="556"/>
      <c r="CD206" s="556"/>
      <c r="CE206" s="76"/>
      <c r="CF206" s="79"/>
      <c r="CG206" s="556"/>
      <c r="CH206" s="556" t="s">
        <v>40</v>
      </c>
      <c r="CI206" s="556" t="s">
        <v>40</v>
      </c>
      <c r="CJ206" s="201"/>
      <c r="CK206" s="202"/>
      <c r="CL206" s="202"/>
      <c r="CM206" s="202"/>
      <c r="CN206" s="202"/>
      <c r="CO206" s="202"/>
      <c r="CP206" s="202"/>
      <c r="CQ206" s="202"/>
      <c r="CR206" s="202"/>
      <c r="CS206" s="202"/>
      <c r="CT206" s="202"/>
      <c r="CU206" s="202"/>
      <c r="CV206" s="202"/>
      <c r="CW206" s="202"/>
      <c r="CX206" s="202"/>
      <c r="CY206" s="202"/>
      <c r="CZ206" s="202"/>
      <c r="DA206" s="202"/>
      <c r="DB206" s="202"/>
      <c r="DC206" s="202"/>
      <c r="DD206" s="202"/>
      <c r="DE206" s="202"/>
      <c r="DF206" s="202"/>
      <c r="DG206" s="202"/>
      <c r="DH206" s="202"/>
      <c r="DI206" s="202"/>
      <c r="DJ206" s="202"/>
      <c r="DK206" s="202"/>
      <c r="DL206" s="202"/>
      <c r="DM206" s="202"/>
      <c r="DN206" s="202"/>
      <c r="DO206" s="202"/>
      <c r="DP206" s="202"/>
      <c r="DQ206" s="202"/>
      <c r="DR206" s="202"/>
      <c r="DS206" s="202"/>
      <c r="DT206" s="202"/>
      <c r="DU206" s="202"/>
      <c r="DV206" s="202"/>
      <c r="DW206" s="202"/>
      <c r="DX206" s="202"/>
      <c r="DY206" s="202"/>
      <c r="DZ206" s="202"/>
      <c r="EA206" s="202"/>
      <c r="EB206" s="202"/>
      <c r="EC206" s="202"/>
      <c r="ED206" s="202"/>
      <c r="EE206" s="202"/>
      <c r="EF206" s="202"/>
      <c r="EG206" s="202"/>
      <c r="EH206" s="202"/>
      <c r="EI206" s="202"/>
      <c r="EJ206" s="202"/>
      <c r="EK206" s="202"/>
      <c r="EL206" s="202"/>
      <c r="EM206" s="202"/>
      <c r="EN206" s="202"/>
      <c r="EO206" s="202"/>
      <c r="EP206" s="202"/>
      <c r="EQ206" s="202"/>
      <c r="ER206" s="202"/>
      <c r="ES206" s="202"/>
      <c r="ET206" s="202"/>
      <c r="EU206" s="202"/>
      <c r="EV206" s="202"/>
      <c r="EW206" s="202"/>
      <c r="EX206" s="202"/>
      <c r="EY206" s="202"/>
      <c r="EZ206" s="202"/>
      <c r="FA206" s="202"/>
      <c r="FB206" s="202"/>
      <c r="FC206" s="202"/>
      <c r="FD206" s="202"/>
      <c r="FE206" s="202"/>
      <c r="FF206" s="202"/>
      <c r="FG206" s="202"/>
      <c r="FH206" s="202"/>
      <c r="FI206" s="202"/>
    </row>
    <row r="207" spans="1:165" s="228" customFormat="1" ht="18" customHeight="1" x14ac:dyDescent="0.25">
      <c r="A207" s="578">
        <f t="shared" si="5"/>
        <v>198</v>
      </c>
      <c r="B207" s="588">
        <v>0</v>
      </c>
      <c r="C207" s="612" t="s">
        <v>135</v>
      </c>
      <c r="D207" s="585" t="s">
        <v>444</v>
      </c>
      <c r="E207" s="597" t="s">
        <v>445</v>
      </c>
      <c r="F207" s="567" t="s">
        <v>1044</v>
      </c>
      <c r="G207" s="556" t="s">
        <v>446</v>
      </c>
      <c r="H207" s="599" t="s">
        <v>1182</v>
      </c>
      <c r="I207" s="605">
        <v>9</v>
      </c>
      <c r="J207" s="556" t="s">
        <v>64</v>
      </c>
      <c r="K207" s="594"/>
      <c r="L207" s="306"/>
      <c r="M207" s="307"/>
      <c r="N207" s="307"/>
      <c r="O207" s="307"/>
      <c r="P207" s="307"/>
      <c r="Q207" s="79"/>
      <c r="R207" s="76"/>
      <c r="S207" s="556"/>
      <c r="T207" s="585"/>
      <c r="U207" s="585"/>
      <c r="V207" s="585"/>
      <c r="W207" s="585"/>
      <c r="X207" s="556"/>
      <c r="Y207" s="585"/>
      <c r="Z207" s="556"/>
      <c r="AA207" s="585"/>
      <c r="AB207" s="585"/>
      <c r="AC207" s="556"/>
      <c r="AD207" s="556"/>
      <c r="AE207" s="556"/>
      <c r="AF207" s="556"/>
      <c r="AG207" s="556"/>
      <c r="AH207" s="556"/>
      <c r="AI207" s="556"/>
      <c r="AJ207" s="76"/>
      <c r="AK207" s="76"/>
      <c r="AL207" s="556"/>
      <c r="AM207" s="556"/>
      <c r="AN207" s="556"/>
      <c r="AO207" s="556"/>
      <c r="AP207" s="556"/>
      <c r="AQ207" s="556"/>
      <c r="AR207" s="556"/>
      <c r="AS207" s="76"/>
      <c r="AT207" s="76"/>
      <c r="AU207" s="556"/>
      <c r="AV207" s="556"/>
      <c r="AW207" s="556"/>
      <c r="AX207" s="585"/>
      <c r="AY207" s="585"/>
      <c r="AZ207" s="585"/>
      <c r="BA207" s="585"/>
      <c r="BB207" s="585"/>
      <c r="BC207" s="585"/>
      <c r="BD207" s="585"/>
      <c r="BE207" s="79"/>
      <c r="BF207" s="76"/>
      <c r="BG207" s="585"/>
      <c r="BH207" s="585"/>
      <c r="BI207" s="585"/>
      <c r="BJ207" s="585"/>
      <c r="BK207" s="585"/>
      <c r="BL207" s="585"/>
      <c r="BM207" s="585"/>
      <c r="BN207" s="585"/>
      <c r="BO207" s="556"/>
      <c r="BP207" s="585"/>
      <c r="BQ207" s="76"/>
      <c r="BR207" s="76"/>
      <c r="BS207" s="556"/>
      <c r="BT207" s="76"/>
      <c r="BU207" s="76"/>
      <c r="BV207" s="567"/>
      <c r="BW207" s="556"/>
      <c r="BX207" s="556"/>
      <c r="BY207" s="556"/>
      <c r="BZ207" s="76"/>
      <c r="CA207" s="76"/>
      <c r="CB207" s="556"/>
      <c r="CC207" s="556"/>
      <c r="CD207" s="556"/>
      <c r="CE207" s="76"/>
      <c r="CF207" s="79"/>
      <c r="CG207" s="556"/>
      <c r="CH207" s="556" t="s">
        <v>40</v>
      </c>
      <c r="CI207" s="556" t="s">
        <v>40</v>
      </c>
      <c r="CJ207" s="201"/>
      <c r="CK207" s="202"/>
      <c r="CL207" s="202"/>
      <c r="CM207" s="202"/>
      <c r="CN207" s="202"/>
      <c r="CO207" s="202"/>
      <c r="CP207" s="202"/>
      <c r="CQ207" s="202"/>
      <c r="CR207" s="202"/>
      <c r="CS207" s="202"/>
      <c r="CT207" s="202"/>
      <c r="CU207" s="202"/>
      <c r="CV207" s="202"/>
      <c r="CW207" s="202"/>
      <c r="CX207" s="202"/>
      <c r="CY207" s="202"/>
      <c r="CZ207" s="202"/>
      <c r="DA207" s="202"/>
      <c r="DB207" s="202"/>
      <c r="DC207" s="202"/>
      <c r="DD207" s="202"/>
      <c r="DE207" s="202"/>
      <c r="DF207" s="202"/>
      <c r="DG207" s="202"/>
      <c r="DH207" s="202"/>
      <c r="DI207" s="202"/>
      <c r="DJ207" s="202"/>
      <c r="DK207" s="202"/>
      <c r="DL207" s="202"/>
      <c r="DM207" s="202"/>
      <c r="DN207" s="202"/>
      <c r="DO207" s="202"/>
      <c r="DP207" s="202"/>
      <c r="DQ207" s="202"/>
      <c r="DR207" s="202"/>
      <c r="DS207" s="202"/>
      <c r="DT207" s="202"/>
      <c r="DU207" s="202"/>
      <c r="DV207" s="202"/>
      <c r="DW207" s="202"/>
      <c r="DX207" s="202"/>
      <c r="DY207" s="202"/>
      <c r="DZ207" s="202"/>
      <c r="EA207" s="202"/>
      <c r="EB207" s="202"/>
      <c r="EC207" s="202"/>
      <c r="ED207" s="202"/>
      <c r="EE207" s="202"/>
      <c r="EF207" s="202"/>
      <c r="EG207" s="202"/>
      <c r="EH207" s="202"/>
      <c r="EI207" s="202"/>
      <c r="EJ207" s="202"/>
      <c r="EK207" s="202"/>
      <c r="EL207" s="202"/>
      <c r="EM207" s="202"/>
      <c r="EN207" s="202"/>
      <c r="EO207" s="202"/>
      <c r="EP207" s="202"/>
      <c r="EQ207" s="202"/>
      <c r="ER207" s="202"/>
      <c r="ES207" s="202"/>
      <c r="ET207" s="202"/>
      <c r="EU207" s="202"/>
      <c r="EV207" s="202"/>
      <c r="EW207" s="202"/>
      <c r="EX207" s="202"/>
      <c r="EY207" s="202"/>
      <c r="EZ207" s="202"/>
      <c r="FA207" s="202"/>
      <c r="FB207" s="202"/>
      <c r="FC207" s="202"/>
      <c r="FD207" s="202"/>
      <c r="FE207" s="202"/>
      <c r="FF207" s="202"/>
      <c r="FG207" s="202"/>
      <c r="FH207" s="202"/>
      <c r="FI207" s="202"/>
    </row>
    <row r="208" spans="1:165" s="228" customFormat="1" ht="18" customHeight="1" x14ac:dyDescent="0.25">
      <c r="A208" s="578">
        <f t="shared" si="5"/>
        <v>199</v>
      </c>
      <c r="B208" s="588">
        <v>0</v>
      </c>
      <c r="C208" s="612" t="s">
        <v>135</v>
      </c>
      <c r="D208" s="585" t="s">
        <v>447</v>
      </c>
      <c r="E208" s="597" t="s">
        <v>448</v>
      </c>
      <c r="F208" s="567" t="s">
        <v>1044</v>
      </c>
      <c r="G208" s="556" t="s">
        <v>449</v>
      </c>
      <c r="H208" s="599" t="s">
        <v>1181</v>
      </c>
      <c r="I208" s="605">
        <v>9</v>
      </c>
      <c r="J208" s="556" t="s">
        <v>64</v>
      </c>
      <c r="K208" s="594"/>
      <c r="L208" s="306"/>
      <c r="M208" s="307"/>
      <c r="N208" s="307"/>
      <c r="O208" s="307"/>
      <c r="P208" s="307"/>
      <c r="Q208" s="79"/>
      <c r="R208" s="76"/>
      <c r="S208" s="556"/>
      <c r="T208" s="585"/>
      <c r="U208" s="585"/>
      <c r="V208" s="585"/>
      <c r="W208" s="585"/>
      <c r="X208" s="556"/>
      <c r="Y208" s="585"/>
      <c r="Z208" s="556"/>
      <c r="AA208" s="585"/>
      <c r="AB208" s="585"/>
      <c r="AC208" s="556"/>
      <c r="AD208" s="556"/>
      <c r="AE208" s="556"/>
      <c r="AF208" s="556"/>
      <c r="AG208" s="556"/>
      <c r="AH208" s="556"/>
      <c r="AI208" s="556"/>
      <c r="AJ208" s="76"/>
      <c r="AK208" s="76"/>
      <c r="AL208" s="556"/>
      <c r="AM208" s="556"/>
      <c r="AN208" s="556"/>
      <c r="AO208" s="556"/>
      <c r="AP208" s="556"/>
      <c r="AQ208" s="556"/>
      <c r="AR208" s="556"/>
      <c r="AS208" s="76"/>
      <c r="AT208" s="76"/>
      <c r="AU208" s="556"/>
      <c r="AV208" s="556"/>
      <c r="AW208" s="556"/>
      <c r="AX208" s="585"/>
      <c r="AY208" s="585"/>
      <c r="AZ208" s="585"/>
      <c r="BA208" s="585"/>
      <c r="BB208" s="585"/>
      <c r="BC208" s="585"/>
      <c r="BD208" s="585"/>
      <c r="BE208" s="79"/>
      <c r="BF208" s="76"/>
      <c r="BG208" s="585"/>
      <c r="BH208" s="585"/>
      <c r="BI208" s="585"/>
      <c r="BJ208" s="585"/>
      <c r="BK208" s="585"/>
      <c r="BL208" s="585"/>
      <c r="BM208" s="585"/>
      <c r="BN208" s="585"/>
      <c r="BO208" s="556"/>
      <c r="BP208" s="585"/>
      <c r="BQ208" s="76"/>
      <c r="BR208" s="76"/>
      <c r="BS208" s="556"/>
      <c r="BT208" s="76"/>
      <c r="BU208" s="76"/>
      <c r="BV208" s="567"/>
      <c r="BW208" s="556"/>
      <c r="BX208" s="556"/>
      <c r="BY208" s="556"/>
      <c r="BZ208" s="76"/>
      <c r="CA208" s="76"/>
      <c r="CB208" s="556"/>
      <c r="CC208" s="556"/>
      <c r="CD208" s="556"/>
      <c r="CE208" s="76"/>
      <c r="CF208" s="79"/>
      <c r="CG208" s="556"/>
      <c r="CH208" s="556" t="s">
        <v>40</v>
      </c>
      <c r="CI208" s="556" t="s">
        <v>40</v>
      </c>
      <c r="CJ208" s="201"/>
      <c r="CK208" s="202"/>
      <c r="CL208" s="202"/>
      <c r="CM208" s="202"/>
      <c r="CN208" s="202"/>
      <c r="CO208" s="202"/>
      <c r="CP208" s="202"/>
      <c r="CQ208" s="202"/>
      <c r="CR208" s="202"/>
      <c r="CS208" s="202"/>
      <c r="CT208" s="202"/>
      <c r="CU208" s="202"/>
      <c r="CV208" s="202"/>
      <c r="CW208" s="202"/>
      <c r="CX208" s="202"/>
      <c r="CY208" s="202"/>
      <c r="CZ208" s="202"/>
      <c r="DA208" s="202"/>
      <c r="DB208" s="202"/>
      <c r="DC208" s="202"/>
      <c r="DD208" s="202"/>
      <c r="DE208" s="202"/>
      <c r="DF208" s="202"/>
      <c r="DG208" s="202"/>
      <c r="DH208" s="202"/>
      <c r="DI208" s="202"/>
      <c r="DJ208" s="202"/>
      <c r="DK208" s="202"/>
      <c r="DL208" s="202"/>
      <c r="DM208" s="202"/>
      <c r="DN208" s="202"/>
      <c r="DO208" s="202"/>
      <c r="DP208" s="202"/>
      <c r="DQ208" s="202"/>
      <c r="DR208" s="202"/>
      <c r="DS208" s="202"/>
      <c r="DT208" s="202"/>
      <c r="DU208" s="202"/>
      <c r="DV208" s="202"/>
      <c r="DW208" s="202"/>
      <c r="DX208" s="202"/>
      <c r="DY208" s="202"/>
      <c r="DZ208" s="202"/>
      <c r="EA208" s="202"/>
      <c r="EB208" s="202"/>
      <c r="EC208" s="202"/>
      <c r="ED208" s="202"/>
      <c r="EE208" s="202"/>
      <c r="EF208" s="202"/>
      <c r="EG208" s="202"/>
      <c r="EH208" s="202"/>
      <c r="EI208" s="202"/>
      <c r="EJ208" s="202"/>
      <c r="EK208" s="202"/>
      <c r="EL208" s="202"/>
      <c r="EM208" s="202"/>
      <c r="EN208" s="202"/>
      <c r="EO208" s="202"/>
      <c r="EP208" s="202"/>
      <c r="EQ208" s="202"/>
      <c r="ER208" s="202"/>
      <c r="ES208" s="202"/>
      <c r="ET208" s="202"/>
      <c r="EU208" s="202"/>
      <c r="EV208" s="202"/>
      <c r="EW208" s="202"/>
      <c r="EX208" s="202"/>
      <c r="EY208" s="202"/>
      <c r="EZ208" s="202"/>
      <c r="FA208" s="202"/>
      <c r="FB208" s="202"/>
      <c r="FC208" s="202"/>
      <c r="FD208" s="202"/>
      <c r="FE208" s="202"/>
      <c r="FF208" s="202"/>
      <c r="FG208" s="202"/>
      <c r="FH208" s="202"/>
      <c r="FI208" s="202"/>
    </row>
    <row r="209" spans="1:165" s="228" customFormat="1" ht="18" customHeight="1" x14ac:dyDescent="0.25">
      <c r="A209" s="578">
        <f t="shared" si="5"/>
        <v>200</v>
      </c>
      <c r="B209" s="588">
        <v>0</v>
      </c>
      <c r="C209" s="612" t="s">
        <v>135</v>
      </c>
      <c r="D209" s="585" t="s">
        <v>450</v>
      </c>
      <c r="E209" s="597" t="s">
        <v>776</v>
      </c>
      <c r="F209" s="567" t="s">
        <v>1044</v>
      </c>
      <c r="G209" s="556" t="s">
        <v>451</v>
      </c>
      <c r="H209" s="599" t="s">
        <v>1180</v>
      </c>
      <c r="I209" s="593" t="s">
        <v>105</v>
      </c>
      <c r="J209" s="556" t="s">
        <v>64</v>
      </c>
      <c r="K209" s="594"/>
      <c r="L209" s="306"/>
      <c r="M209" s="307" t="s">
        <v>122</v>
      </c>
      <c r="N209" s="307" t="s">
        <v>122</v>
      </c>
      <c r="O209" s="307"/>
      <c r="P209" s="307"/>
      <c r="Q209" s="79"/>
      <c r="R209" s="76"/>
      <c r="S209" s="556"/>
      <c r="T209" s="556" t="s">
        <v>120</v>
      </c>
      <c r="U209" s="556"/>
      <c r="V209" s="556"/>
      <c r="W209" s="556" t="s">
        <v>120</v>
      </c>
      <c r="X209" s="567" t="s">
        <v>120</v>
      </c>
      <c r="Y209" s="556"/>
      <c r="Z209" s="556"/>
      <c r="AA209" s="556"/>
      <c r="AB209" s="556"/>
      <c r="AC209" s="556"/>
      <c r="AD209" s="556"/>
      <c r="AE209" s="556" t="s">
        <v>120</v>
      </c>
      <c r="AF209" s="556" t="s">
        <v>120</v>
      </c>
      <c r="AG209" s="556" t="s">
        <v>120</v>
      </c>
      <c r="AH209" s="556" t="s">
        <v>120</v>
      </c>
      <c r="AI209" s="556"/>
      <c r="AJ209" s="76"/>
      <c r="AK209" s="76"/>
      <c r="AL209" s="556"/>
      <c r="AM209" s="556"/>
      <c r="AN209" s="556"/>
      <c r="AO209" s="556"/>
      <c r="AP209" s="556"/>
      <c r="AQ209" s="556"/>
      <c r="AR209" s="556"/>
      <c r="AS209" s="76"/>
      <c r="AT209" s="76"/>
      <c r="AU209" s="556"/>
      <c r="AV209" s="556"/>
      <c r="AW209" s="556"/>
      <c r="AX209" s="556" t="s">
        <v>120</v>
      </c>
      <c r="AY209" s="556"/>
      <c r="AZ209" s="556"/>
      <c r="BA209" s="556"/>
      <c r="BB209" s="556"/>
      <c r="BC209" s="556"/>
      <c r="BD209" s="556" t="s">
        <v>121</v>
      </c>
      <c r="BE209" s="76"/>
      <c r="BF209" s="76"/>
      <c r="BG209" s="556"/>
      <c r="BH209" s="556"/>
      <c r="BI209" s="556"/>
      <c r="BJ209" s="556" t="s">
        <v>120</v>
      </c>
      <c r="BK209" s="556"/>
      <c r="BL209" s="556"/>
      <c r="BM209" s="556"/>
      <c r="BN209" s="556"/>
      <c r="BO209" s="556"/>
      <c r="BP209" s="556" t="s">
        <v>121</v>
      </c>
      <c r="BQ209" s="76"/>
      <c r="BR209" s="76"/>
      <c r="BS209" s="556" t="s">
        <v>120</v>
      </c>
      <c r="BT209" s="76"/>
      <c r="BU209" s="76"/>
      <c r="BV209" s="556" t="s">
        <v>582</v>
      </c>
      <c r="BW209" s="556"/>
      <c r="BX209" s="556"/>
      <c r="BY209" s="556"/>
      <c r="BZ209" s="76"/>
      <c r="CA209" s="76"/>
      <c r="CB209" s="556"/>
      <c r="CC209" s="556"/>
      <c r="CD209" s="556"/>
      <c r="CE209" s="76"/>
      <c r="CF209" s="79"/>
      <c r="CG209" s="556"/>
      <c r="CH209" s="556" t="s">
        <v>40</v>
      </c>
      <c r="CI209" s="556" t="s">
        <v>40</v>
      </c>
      <c r="CJ209" s="201"/>
      <c r="CK209" s="202"/>
      <c r="CL209" s="202"/>
      <c r="CM209" s="202"/>
      <c r="CN209" s="202"/>
      <c r="CO209" s="202"/>
      <c r="CP209" s="202"/>
      <c r="CQ209" s="202"/>
      <c r="CR209" s="202"/>
      <c r="CS209" s="202"/>
      <c r="CT209" s="202"/>
      <c r="CU209" s="202"/>
      <c r="CV209" s="202"/>
      <c r="CW209" s="202"/>
      <c r="CX209" s="202"/>
      <c r="CY209" s="202"/>
      <c r="CZ209" s="202"/>
      <c r="DA209" s="202"/>
      <c r="DB209" s="202"/>
      <c r="DC209" s="202"/>
      <c r="DD209" s="202"/>
      <c r="DE209" s="202"/>
      <c r="DF209" s="202"/>
      <c r="DG209" s="202"/>
      <c r="DH209" s="202"/>
      <c r="DI209" s="202"/>
      <c r="DJ209" s="202"/>
      <c r="DK209" s="202"/>
      <c r="DL209" s="202"/>
      <c r="DM209" s="202"/>
      <c r="DN209" s="202"/>
      <c r="DO209" s="202"/>
      <c r="DP209" s="202"/>
      <c r="DQ209" s="202"/>
      <c r="DR209" s="202"/>
      <c r="DS209" s="202"/>
      <c r="DT209" s="202"/>
      <c r="DU209" s="202"/>
      <c r="DV209" s="202"/>
      <c r="DW209" s="202"/>
      <c r="DX209" s="202"/>
      <c r="DY209" s="202"/>
      <c r="DZ209" s="202"/>
      <c r="EA209" s="202"/>
      <c r="EB209" s="202"/>
      <c r="EC209" s="202"/>
      <c r="ED209" s="202"/>
      <c r="EE209" s="202"/>
      <c r="EF209" s="202"/>
      <c r="EG209" s="202"/>
      <c r="EH209" s="202"/>
      <c r="EI209" s="202"/>
      <c r="EJ209" s="202"/>
      <c r="EK209" s="202"/>
      <c r="EL209" s="202"/>
      <c r="EM209" s="202"/>
      <c r="EN209" s="202"/>
      <c r="EO209" s="202"/>
      <c r="EP209" s="202"/>
      <c r="EQ209" s="202"/>
      <c r="ER209" s="202"/>
      <c r="ES209" s="202"/>
      <c r="ET209" s="202"/>
      <c r="EU209" s="202"/>
      <c r="EV209" s="202"/>
      <c r="EW209" s="202"/>
      <c r="EX209" s="202"/>
      <c r="EY209" s="202"/>
      <c r="EZ209" s="202"/>
      <c r="FA209" s="202"/>
      <c r="FB209" s="202"/>
      <c r="FC209" s="202"/>
      <c r="FD209" s="202"/>
      <c r="FE209" s="202"/>
      <c r="FF209" s="202"/>
      <c r="FG209" s="202"/>
      <c r="FH209" s="202"/>
      <c r="FI209" s="202"/>
    </row>
    <row r="210" spans="1:165" s="228" customFormat="1" ht="18" customHeight="1" x14ac:dyDescent="0.25">
      <c r="A210" s="578">
        <f t="shared" si="5"/>
        <v>201</v>
      </c>
      <c r="B210" s="588">
        <v>0</v>
      </c>
      <c r="C210" s="612" t="s">
        <v>135</v>
      </c>
      <c r="D210" s="585" t="s">
        <v>452</v>
      </c>
      <c r="E210" s="597" t="s">
        <v>453</v>
      </c>
      <c r="F210" s="567" t="s">
        <v>1044</v>
      </c>
      <c r="G210" s="556" t="s">
        <v>454</v>
      </c>
      <c r="H210" s="599" t="s">
        <v>1179</v>
      </c>
      <c r="I210" s="605">
        <v>9</v>
      </c>
      <c r="J210" s="556"/>
      <c r="K210" s="594"/>
      <c r="L210" s="306"/>
      <c r="M210" s="307"/>
      <c r="N210" s="307"/>
      <c r="O210" s="307"/>
      <c r="P210" s="307"/>
      <c r="Q210" s="79"/>
      <c r="R210" s="76"/>
      <c r="S210" s="556"/>
      <c r="T210" s="585"/>
      <c r="U210" s="585"/>
      <c r="V210" s="585"/>
      <c r="W210" s="556"/>
      <c r="X210" s="556"/>
      <c r="Y210" s="556"/>
      <c r="Z210" s="556"/>
      <c r="AA210" s="585"/>
      <c r="AB210" s="585"/>
      <c r="AC210" s="556"/>
      <c r="AD210" s="556"/>
      <c r="AE210" s="556"/>
      <c r="AF210" s="556"/>
      <c r="AG210" s="556"/>
      <c r="AH210" s="556"/>
      <c r="AI210" s="556"/>
      <c r="AJ210" s="76"/>
      <c r="AK210" s="76"/>
      <c r="AL210" s="556"/>
      <c r="AM210" s="556"/>
      <c r="AN210" s="556"/>
      <c r="AO210" s="556"/>
      <c r="AP210" s="556"/>
      <c r="AQ210" s="585"/>
      <c r="AR210" s="585"/>
      <c r="AS210" s="79"/>
      <c r="AT210" s="76"/>
      <c r="AU210" s="585"/>
      <c r="AV210" s="585"/>
      <c r="AW210" s="585"/>
      <c r="AX210" s="585"/>
      <c r="AY210" s="585"/>
      <c r="AZ210" s="585"/>
      <c r="BA210" s="585"/>
      <c r="BB210" s="585"/>
      <c r="BC210" s="585"/>
      <c r="BD210" s="585"/>
      <c r="BE210" s="79"/>
      <c r="BF210" s="76"/>
      <c r="BG210" s="585"/>
      <c r="BH210" s="585"/>
      <c r="BI210" s="585"/>
      <c r="BJ210" s="585"/>
      <c r="BK210" s="585"/>
      <c r="BL210" s="585"/>
      <c r="BM210" s="585"/>
      <c r="BN210" s="585"/>
      <c r="BO210" s="585"/>
      <c r="BP210" s="585"/>
      <c r="BQ210" s="79"/>
      <c r="BR210" s="76"/>
      <c r="BS210" s="556"/>
      <c r="BT210" s="76"/>
      <c r="BU210" s="76"/>
      <c r="BV210" s="585"/>
      <c r="BW210" s="556"/>
      <c r="BX210" s="585"/>
      <c r="BY210" s="585"/>
      <c r="BZ210" s="76"/>
      <c r="CA210" s="76"/>
      <c r="CB210" s="556"/>
      <c r="CC210" s="556"/>
      <c r="CD210" s="556"/>
      <c r="CE210" s="76"/>
      <c r="CF210" s="79"/>
      <c r="CG210" s="556"/>
      <c r="CH210" s="556" t="s">
        <v>40</v>
      </c>
      <c r="CI210" s="556" t="s">
        <v>40</v>
      </c>
      <c r="CJ210" s="201"/>
      <c r="CK210" s="202"/>
      <c r="CL210" s="202"/>
      <c r="CM210" s="202"/>
      <c r="CN210" s="202"/>
      <c r="CO210" s="202"/>
      <c r="CP210" s="202"/>
      <c r="CQ210" s="202"/>
      <c r="CR210" s="202"/>
      <c r="CS210" s="202"/>
      <c r="CT210" s="202"/>
      <c r="CU210" s="202"/>
      <c r="CV210" s="202"/>
      <c r="CW210" s="202"/>
      <c r="CX210" s="202"/>
      <c r="CY210" s="202"/>
      <c r="CZ210" s="202"/>
      <c r="DA210" s="202"/>
      <c r="DB210" s="202"/>
      <c r="DC210" s="202"/>
      <c r="DD210" s="202"/>
      <c r="DE210" s="202"/>
      <c r="DF210" s="202"/>
      <c r="DG210" s="202"/>
      <c r="DH210" s="202"/>
      <c r="DI210" s="202"/>
      <c r="DJ210" s="202"/>
      <c r="DK210" s="202"/>
      <c r="DL210" s="202"/>
      <c r="DM210" s="202"/>
      <c r="DN210" s="202"/>
      <c r="DO210" s="202"/>
      <c r="DP210" s="202"/>
      <c r="DQ210" s="202"/>
      <c r="DR210" s="202"/>
      <c r="DS210" s="202"/>
      <c r="DT210" s="202"/>
      <c r="DU210" s="202"/>
      <c r="DV210" s="202"/>
      <c r="DW210" s="202"/>
      <c r="DX210" s="202"/>
      <c r="DY210" s="202"/>
      <c r="DZ210" s="202"/>
      <c r="EA210" s="202"/>
      <c r="EB210" s="202"/>
      <c r="EC210" s="202"/>
      <c r="ED210" s="202"/>
      <c r="EE210" s="202"/>
      <c r="EF210" s="202"/>
      <c r="EG210" s="202"/>
      <c r="EH210" s="202"/>
      <c r="EI210" s="202"/>
      <c r="EJ210" s="202"/>
      <c r="EK210" s="202"/>
      <c r="EL210" s="202"/>
      <c r="EM210" s="202"/>
      <c r="EN210" s="202"/>
      <c r="EO210" s="202"/>
      <c r="EP210" s="202"/>
      <c r="EQ210" s="202"/>
      <c r="ER210" s="202"/>
      <c r="ES210" s="202"/>
      <c r="ET210" s="202"/>
      <c r="EU210" s="202"/>
      <c r="EV210" s="202"/>
      <c r="EW210" s="202"/>
      <c r="EX210" s="202"/>
      <c r="EY210" s="202"/>
      <c r="EZ210" s="202"/>
      <c r="FA210" s="202"/>
      <c r="FB210" s="202"/>
      <c r="FC210" s="202"/>
      <c r="FD210" s="202"/>
      <c r="FE210" s="202"/>
      <c r="FF210" s="202"/>
      <c r="FG210" s="202"/>
      <c r="FH210" s="202"/>
      <c r="FI210" s="202"/>
    </row>
    <row r="211" spans="1:165" s="228" customFormat="1" ht="18" customHeight="1" x14ac:dyDescent="0.2">
      <c r="A211" s="289">
        <f t="shared" si="5"/>
        <v>202</v>
      </c>
      <c r="B211" s="78"/>
      <c r="C211" s="95"/>
      <c r="D211" s="79"/>
      <c r="E211" s="96"/>
      <c r="F211" s="76"/>
      <c r="G211" s="76"/>
      <c r="H211" s="176"/>
      <c r="I211" s="142"/>
      <c r="J211" s="76"/>
      <c r="K211" s="141"/>
      <c r="L211" s="261"/>
      <c r="M211" s="79"/>
      <c r="N211" s="79"/>
      <c r="O211" s="79"/>
      <c r="P211" s="79"/>
      <c r="Q211" s="79"/>
      <c r="R211" s="76"/>
      <c r="S211" s="76"/>
      <c r="T211" s="79"/>
      <c r="U211" s="79"/>
      <c r="V211" s="79"/>
      <c r="W211" s="76"/>
      <c r="X211" s="76"/>
      <c r="Y211" s="76"/>
      <c r="Z211" s="76"/>
      <c r="AA211" s="79"/>
      <c r="AB211" s="79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9"/>
      <c r="AR211" s="79"/>
      <c r="AS211" s="79"/>
      <c r="AT211" s="76"/>
      <c r="AU211" s="79"/>
      <c r="AV211" s="79"/>
      <c r="AW211" s="79"/>
      <c r="AX211" s="79"/>
      <c r="AY211" s="79"/>
      <c r="AZ211" s="79"/>
      <c r="BA211" s="79"/>
      <c r="BB211" s="79"/>
      <c r="BC211" s="79"/>
      <c r="BD211" s="79"/>
      <c r="BE211" s="79"/>
      <c r="BF211" s="76"/>
      <c r="BG211" s="79"/>
      <c r="BH211" s="79"/>
      <c r="BI211" s="79"/>
      <c r="BJ211" s="79"/>
      <c r="BK211" s="79"/>
      <c r="BL211" s="79"/>
      <c r="BM211" s="79"/>
      <c r="BN211" s="79"/>
      <c r="BO211" s="79"/>
      <c r="BP211" s="79"/>
      <c r="BQ211" s="79"/>
      <c r="BR211" s="76"/>
      <c r="BS211" s="76"/>
      <c r="BT211" s="76"/>
      <c r="BU211" s="76"/>
      <c r="BV211" s="79"/>
      <c r="BW211" s="76"/>
      <c r="BX211" s="79"/>
      <c r="BY211" s="79"/>
      <c r="BZ211" s="76"/>
      <c r="CA211" s="76"/>
      <c r="CB211" s="76"/>
      <c r="CC211" s="76"/>
      <c r="CD211" s="76"/>
      <c r="CE211" s="76"/>
      <c r="CF211" s="79"/>
      <c r="CG211" s="76"/>
      <c r="CH211" s="76"/>
      <c r="CI211" s="76"/>
      <c r="CJ211" s="201"/>
      <c r="CK211" s="202"/>
      <c r="CL211" s="202"/>
      <c r="CM211" s="202"/>
      <c r="CN211" s="202"/>
      <c r="CO211" s="202"/>
      <c r="CP211" s="202"/>
      <c r="CQ211" s="202"/>
      <c r="CR211" s="202"/>
      <c r="CS211" s="202"/>
      <c r="CT211" s="202"/>
      <c r="CU211" s="202"/>
      <c r="CV211" s="202"/>
      <c r="CW211" s="202"/>
      <c r="CX211" s="202"/>
      <c r="CY211" s="202"/>
      <c r="CZ211" s="202"/>
      <c r="DA211" s="202"/>
      <c r="DB211" s="202"/>
      <c r="DC211" s="202"/>
      <c r="DD211" s="202"/>
      <c r="DE211" s="202"/>
      <c r="DF211" s="202"/>
      <c r="DG211" s="202"/>
      <c r="DH211" s="202"/>
      <c r="DI211" s="202"/>
      <c r="DJ211" s="202"/>
      <c r="DK211" s="202"/>
      <c r="DL211" s="202"/>
      <c r="DM211" s="202"/>
      <c r="DN211" s="202"/>
      <c r="DO211" s="202"/>
      <c r="DP211" s="202"/>
      <c r="DQ211" s="202"/>
      <c r="DR211" s="202"/>
      <c r="DS211" s="202"/>
      <c r="DT211" s="202"/>
      <c r="DU211" s="202"/>
      <c r="DV211" s="202"/>
      <c r="DW211" s="202"/>
      <c r="DX211" s="202"/>
      <c r="DY211" s="202"/>
      <c r="DZ211" s="202"/>
      <c r="EA211" s="202"/>
      <c r="EB211" s="202"/>
      <c r="EC211" s="202"/>
      <c r="ED211" s="202"/>
      <c r="EE211" s="202"/>
      <c r="EF211" s="202"/>
      <c r="EG211" s="202"/>
      <c r="EH211" s="202"/>
      <c r="EI211" s="202"/>
      <c r="EJ211" s="202"/>
      <c r="EK211" s="202"/>
      <c r="EL211" s="202"/>
      <c r="EM211" s="202"/>
      <c r="EN211" s="202"/>
      <c r="EO211" s="202"/>
      <c r="EP211" s="202"/>
      <c r="EQ211" s="202"/>
      <c r="ER211" s="202"/>
      <c r="ES211" s="202"/>
      <c r="ET211" s="202"/>
      <c r="EU211" s="202"/>
      <c r="EV211" s="202"/>
      <c r="EW211" s="202"/>
      <c r="EX211" s="202"/>
      <c r="EY211" s="202"/>
      <c r="EZ211" s="202"/>
      <c r="FA211" s="202"/>
      <c r="FB211" s="202"/>
      <c r="FC211" s="202"/>
      <c r="FD211" s="202"/>
      <c r="FE211" s="202"/>
      <c r="FF211" s="202"/>
      <c r="FG211" s="202"/>
      <c r="FH211" s="202"/>
      <c r="FI211" s="202"/>
    </row>
    <row r="212" spans="1:165" s="228" customFormat="1" ht="18" customHeight="1" x14ac:dyDescent="0.25">
      <c r="A212" s="578">
        <f t="shared" si="5"/>
        <v>203</v>
      </c>
      <c r="B212" s="588">
        <v>0</v>
      </c>
      <c r="C212" s="585" t="s">
        <v>135</v>
      </c>
      <c r="D212" s="585" t="s">
        <v>455</v>
      </c>
      <c r="E212" s="589" t="s">
        <v>456</v>
      </c>
      <c r="F212" s="586" t="s">
        <v>1044</v>
      </c>
      <c r="G212" s="556" t="s">
        <v>457</v>
      </c>
      <c r="H212" s="599" t="s">
        <v>1178</v>
      </c>
      <c r="I212" s="605">
        <v>9</v>
      </c>
      <c r="J212" s="556"/>
      <c r="K212" s="594"/>
      <c r="L212" s="306"/>
      <c r="M212" s="307"/>
      <c r="N212" s="307"/>
      <c r="O212" s="307"/>
      <c r="P212" s="307"/>
      <c r="Q212" s="79"/>
      <c r="R212" s="79"/>
      <c r="S212" s="585"/>
      <c r="T212" s="585"/>
      <c r="U212" s="585"/>
      <c r="V212" s="585"/>
      <c r="W212" s="585"/>
      <c r="X212" s="585"/>
      <c r="Y212" s="585"/>
      <c r="Z212" s="585"/>
      <c r="AA212" s="585"/>
      <c r="AB212" s="585"/>
      <c r="AC212" s="585"/>
      <c r="AD212" s="585"/>
      <c r="AE212" s="585"/>
      <c r="AF212" s="585"/>
      <c r="AG212" s="585"/>
      <c r="AH212" s="585"/>
      <c r="AI212" s="585"/>
      <c r="AJ212" s="79"/>
      <c r="AK212" s="79"/>
      <c r="AL212" s="585"/>
      <c r="AM212" s="585"/>
      <c r="AN212" s="585"/>
      <c r="AO212" s="585"/>
      <c r="AP212" s="585"/>
      <c r="AQ212" s="585"/>
      <c r="AR212" s="585"/>
      <c r="AS212" s="79"/>
      <c r="AT212" s="79"/>
      <c r="AU212" s="585"/>
      <c r="AV212" s="585"/>
      <c r="AW212" s="585"/>
      <c r="AX212" s="585"/>
      <c r="AY212" s="585"/>
      <c r="AZ212" s="585"/>
      <c r="BA212" s="585"/>
      <c r="BB212" s="585"/>
      <c r="BC212" s="585"/>
      <c r="BD212" s="585"/>
      <c r="BE212" s="79"/>
      <c r="BF212" s="79"/>
      <c r="BG212" s="585"/>
      <c r="BH212" s="585"/>
      <c r="BI212" s="585"/>
      <c r="BJ212" s="585"/>
      <c r="BK212" s="585"/>
      <c r="BL212" s="585"/>
      <c r="BM212" s="585"/>
      <c r="BN212" s="585"/>
      <c r="BO212" s="585"/>
      <c r="BP212" s="585"/>
      <c r="BQ212" s="79"/>
      <c r="BR212" s="79"/>
      <c r="BS212" s="585"/>
      <c r="BT212" s="79"/>
      <c r="BU212" s="79"/>
      <c r="BV212" s="585"/>
      <c r="BW212" s="585"/>
      <c r="BX212" s="585"/>
      <c r="BY212" s="585"/>
      <c r="BZ212" s="79"/>
      <c r="CA212" s="79"/>
      <c r="CB212" s="585"/>
      <c r="CC212" s="585"/>
      <c r="CD212" s="585"/>
      <c r="CE212" s="79"/>
      <c r="CF212" s="79"/>
      <c r="CG212" s="585"/>
      <c r="CH212" s="585" t="s">
        <v>40</v>
      </c>
      <c r="CI212" s="585" t="s">
        <v>40</v>
      </c>
      <c r="CJ212" s="201"/>
      <c r="CK212" s="202"/>
      <c r="CL212" s="202"/>
      <c r="CM212" s="202"/>
      <c r="CN212" s="202"/>
      <c r="CO212" s="202"/>
      <c r="CP212" s="202"/>
      <c r="CQ212" s="202"/>
      <c r="CR212" s="202"/>
      <c r="CS212" s="202"/>
      <c r="CT212" s="202"/>
      <c r="CU212" s="202"/>
      <c r="CV212" s="202"/>
      <c r="CW212" s="202"/>
      <c r="CX212" s="202"/>
      <c r="CY212" s="202"/>
      <c r="CZ212" s="202"/>
      <c r="DA212" s="202"/>
      <c r="DB212" s="202"/>
      <c r="DC212" s="202"/>
      <c r="DD212" s="202"/>
      <c r="DE212" s="202"/>
      <c r="DF212" s="202"/>
      <c r="DG212" s="202"/>
      <c r="DH212" s="202"/>
      <c r="DI212" s="202"/>
      <c r="DJ212" s="202"/>
      <c r="DK212" s="202"/>
      <c r="DL212" s="202"/>
      <c r="DM212" s="202"/>
      <c r="DN212" s="202"/>
      <c r="DO212" s="202"/>
      <c r="DP212" s="202"/>
      <c r="DQ212" s="202"/>
      <c r="DR212" s="202"/>
      <c r="DS212" s="202"/>
      <c r="DT212" s="202"/>
      <c r="DU212" s="202"/>
      <c r="DV212" s="202"/>
      <c r="DW212" s="202"/>
      <c r="DX212" s="202"/>
      <c r="DY212" s="202"/>
      <c r="DZ212" s="202"/>
      <c r="EA212" s="202"/>
      <c r="EB212" s="202"/>
      <c r="EC212" s="202"/>
      <c r="ED212" s="202"/>
      <c r="EE212" s="202"/>
      <c r="EF212" s="202"/>
      <c r="EG212" s="202"/>
      <c r="EH212" s="202"/>
      <c r="EI212" s="202"/>
      <c r="EJ212" s="202"/>
      <c r="EK212" s="202"/>
      <c r="EL212" s="202"/>
      <c r="EM212" s="202"/>
      <c r="EN212" s="202"/>
      <c r="EO212" s="202"/>
      <c r="EP212" s="202"/>
      <c r="EQ212" s="202"/>
      <c r="ER212" s="202"/>
      <c r="ES212" s="202"/>
      <c r="ET212" s="202"/>
      <c r="EU212" s="202"/>
      <c r="EV212" s="202"/>
      <c r="EW212" s="202"/>
      <c r="EX212" s="202"/>
      <c r="EY212" s="202"/>
      <c r="EZ212" s="202"/>
      <c r="FA212" s="202"/>
      <c r="FB212" s="202"/>
      <c r="FC212" s="202"/>
      <c r="FD212" s="202"/>
      <c r="FE212" s="202"/>
      <c r="FF212" s="202"/>
      <c r="FG212" s="202"/>
      <c r="FH212" s="202"/>
      <c r="FI212" s="202"/>
    </row>
    <row r="213" spans="1:165" s="228" customFormat="1" ht="18" customHeight="1" x14ac:dyDescent="0.25">
      <c r="A213" s="578">
        <f t="shared" si="5"/>
        <v>204</v>
      </c>
      <c r="B213" s="588">
        <v>0</v>
      </c>
      <c r="C213" s="585" t="s">
        <v>135</v>
      </c>
      <c r="D213" s="585" t="s">
        <v>458</v>
      </c>
      <c r="E213" s="589" t="s">
        <v>459</v>
      </c>
      <c r="F213" s="586" t="s">
        <v>1044</v>
      </c>
      <c r="G213" s="556" t="s">
        <v>460</v>
      </c>
      <c r="H213" s="599" t="s">
        <v>1177</v>
      </c>
      <c r="I213" s="605">
        <v>9</v>
      </c>
      <c r="J213" s="556"/>
      <c r="K213" s="594"/>
      <c r="L213" s="306"/>
      <c r="M213" s="307"/>
      <c r="N213" s="307"/>
      <c r="O213" s="307"/>
      <c r="P213" s="307"/>
      <c r="Q213" s="79"/>
      <c r="R213" s="79"/>
      <c r="S213" s="585"/>
      <c r="T213" s="585"/>
      <c r="U213" s="585"/>
      <c r="V213" s="585"/>
      <c r="W213" s="585"/>
      <c r="X213" s="585"/>
      <c r="Y213" s="585"/>
      <c r="Z213" s="585"/>
      <c r="AA213" s="585"/>
      <c r="AB213" s="585"/>
      <c r="AC213" s="585"/>
      <c r="AD213" s="585"/>
      <c r="AE213" s="585"/>
      <c r="AF213" s="585"/>
      <c r="AG213" s="585"/>
      <c r="AH213" s="585"/>
      <c r="AI213" s="585"/>
      <c r="AJ213" s="79"/>
      <c r="AK213" s="79"/>
      <c r="AL213" s="585"/>
      <c r="AM213" s="585"/>
      <c r="AN213" s="585"/>
      <c r="AO213" s="585"/>
      <c r="AP213" s="585"/>
      <c r="AQ213" s="585"/>
      <c r="AR213" s="585"/>
      <c r="AS213" s="79"/>
      <c r="AT213" s="79"/>
      <c r="AU213" s="585"/>
      <c r="AV213" s="585"/>
      <c r="AW213" s="585"/>
      <c r="AX213" s="585"/>
      <c r="AY213" s="585"/>
      <c r="AZ213" s="585"/>
      <c r="BA213" s="585"/>
      <c r="BB213" s="585"/>
      <c r="BC213" s="585"/>
      <c r="BD213" s="585"/>
      <c r="BE213" s="79"/>
      <c r="BF213" s="79"/>
      <c r="BG213" s="585"/>
      <c r="BH213" s="585"/>
      <c r="BI213" s="585"/>
      <c r="BJ213" s="585"/>
      <c r="BK213" s="585"/>
      <c r="BL213" s="585"/>
      <c r="BM213" s="585"/>
      <c r="BN213" s="585"/>
      <c r="BO213" s="585"/>
      <c r="BP213" s="585"/>
      <c r="BQ213" s="79"/>
      <c r="BR213" s="79"/>
      <c r="BS213" s="585"/>
      <c r="BT213" s="79"/>
      <c r="BU213" s="79"/>
      <c r="BV213" s="585"/>
      <c r="BW213" s="585"/>
      <c r="BX213" s="585"/>
      <c r="BY213" s="585"/>
      <c r="BZ213" s="79"/>
      <c r="CA213" s="79"/>
      <c r="CB213" s="585"/>
      <c r="CC213" s="585"/>
      <c r="CD213" s="585"/>
      <c r="CE213" s="79"/>
      <c r="CF213" s="79"/>
      <c r="CG213" s="585"/>
      <c r="CH213" s="585" t="s">
        <v>40</v>
      </c>
      <c r="CI213" s="585" t="s">
        <v>40</v>
      </c>
      <c r="CJ213" s="201"/>
      <c r="CK213" s="202"/>
      <c r="CL213" s="202"/>
      <c r="CM213" s="202"/>
      <c r="CN213" s="202"/>
      <c r="CO213" s="202"/>
      <c r="CP213" s="202"/>
      <c r="CQ213" s="202"/>
      <c r="CR213" s="202"/>
      <c r="CS213" s="202"/>
      <c r="CT213" s="202"/>
      <c r="CU213" s="202"/>
      <c r="CV213" s="202"/>
      <c r="CW213" s="202"/>
      <c r="CX213" s="202"/>
      <c r="CY213" s="202"/>
      <c r="CZ213" s="202"/>
      <c r="DA213" s="202"/>
      <c r="DB213" s="202"/>
      <c r="DC213" s="202"/>
      <c r="DD213" s="202"/>
      <c r="DE213" s="202"/>
      <c r="DF213" s="202"/>
      <c r="DG213" s="202"/>
      <c r="DH213" s="202"/>
      <c r="DI213" s="202"/>
      <c r="DJ213" s="202"/>
      <c r="DK213" s="202"/>
      <c r="DL213" s="202"/>
      <c r="DM213" s="202"/>
      <c r="DN213" s="202"/>
      <c r="DO213" s="202"/>
      <c r="DP213" s="202"/>
      <c r="DQ213" s="202"/>
      <c r="DR213" s="202"/>
      <c r="DS213" s="202"/>
      <c r="DT213" s="202"/>
      <c r="DU213" s="202"/>
      <c r="DV213" s="202"/>
      <c r="DW213" s="202"/>
      <c r="DX213" s="202"/>
      <c r="DY213" s="202"/>
      <c r="DZ213" s="202"/>
      <c r="EA213" s="202"/>
      <c r="EB213" s="202"/>
      <c r="EC213" s="202"/>
      <c r="ED213" s="202"/>
      <c r="EE213" s="202"/>
      <c r="EF213" s="202"/>
      <c r="EG213" s="202"/>
      <c r="EH213" s="202"/>
      <c r="EI213" s="202"/>
      <c r="EJ213" s="202"/>
      <c r="EK213" s="202"/>
      <c r="EL213" s="202"/>
      <c r="EM213" s="202"/>
      <c r="EN213" s="202"/>
      <c r="EO213" s="202"/>
      <c r="EP213" s="202"/>
      <c r="EQ213" s="202"/>
      <c r="ER213" s="202"/>
      <c r="ES213" s="202"/>
      <c r="ET213" s="202"/>
      <c r="EU213" s="202"/>
      <c r="EV213" s="202"/>
      <c r="EW213" s="202"/>
      <c r="EX213" s="202"/>
      <c r="EY213" s="202"/>
      <c r="EZ213" s="202"/>
      <c r="FA213" s="202"/>
      <c r="FB213" s="202"/>
      <c r="FC213" s="202"/>
      <c r="FD213" s="202"/>
      <c r="FE213" s="202"/>
      <c r="FF213" s="202"/>
      <c r="FG213" s="202"/>
      <c r="FH213" s="202"/>
      <c r="FI213" s="202"/>
    </row>
    <row r="214" spans="1:165" s="228" customFormat="1" ht="18" customHeight="1" x14ac:dyDescent="0.25">
      <c r="A214" s="578">
        <f t="shared" si="5"/>
        <v>205</v>
      </c>
      <c r="B214" s="588">
        <v>0</v>
      </c>
      <c r="C214" s="585" t="s">
        <v>135</v>
      </c>
      <c r="D214" s="585" t="s">
        <v>461</v>
      </c>
      <c r="E214" s="589" t="s">
        <v>462</v>
      </c>
      <c r="F214" s="586" t="s">
        <v>1044</v>
      </c>
      <c r="G214" s="556" t="s">
        <v>463</v>
      </c>
      <c r="H214" s="599" t="s">
        <v>1176</v>
      </c>
      <c r="I214" s="605">
        <v>9</v>
      </c>
      <c r="J214" s="556"/>
      <c r="K214" s="594"/>
      <c r="L214" s="306"/>
      <c r="M214" s="307"/>
      <c r="N214" s="307"/>
      <c r="O214" s="307"/>
      <c r="P214" s="307"/>
      <c r="Q214" s="79"/>
      <c r="R214" s="79"/>
      <c r="S214" s="585"/>
      <c r="T214" s="585"/>
      <c r="U214" s="585"/>
      <c r="V214" s="585"/>
      <c r="W214" s="585"/>
      <c r="X214" s="585"/>
      <c r="Y214" s="585"/>
      <c r="Z214" s="585"/>
      <c r="AA214" s="585"/>
      <c r="AB214" s="585"/>
      <c r="AC214" s="585"/>
      <c r="AD214" s="585"/>
      <c r="AE214" s="585"/>
      <c r="AF214" s="585"/>
      <c r="AG214" s="585"/>
      <c r="AH214" s="585"/>
      <c r="AI214" s="585"/>
      <c r="AJ214" s="79"/>
      <c r="AK214" s="79"/>
      <c r="AL214" s="585"/>
      <c r="AM214" s="585"/>
      <c r="AN214" s="585"/>
      <c r="AO214" s="585"/>
      <c r="AP214" s="585"/>
      <c r="AQ214" s="585"/>
      <c r="AR214" s="585"/>
      <c r="AS214" s="79"/>
      <c r="AT214" s="79"/>
      <c r="AU214" s="585"/>
      <c r="AV214" s="585"/>
      <c r="AW214" s="585"/>
      <c r="AX214" s="585"/>
      <c r="AY214" s="585"/>
      <c r="AZ214" s="585"/>
      <c r="BA214" s="585"/>
      <c r="BB214" s="585"/>
      <c r="BC214" s="585"/>
      <c r="BD214" s="585"/>
      <c r="BE214" s="79"/>
      <c r="BF214" s="79"/>
      <c r="BG214" s="585"/>
      <c r="BH214" s="585"/>
      <c r="BI214" s="585"/>
      <c r="BJ214" s="585"/>
      <c r="BK214" s="585"/>
      <c r="BL214" s="585"/>
      <c r="BM214" s="585"/>
      <c r="BN214" s="585"/>
      <c r="BO214" s="585"/>
      <c r="BP214" s="585"/>
      <c r="BQ214" s="79"/>
      <c r="BR214" s="79"/>
      <c r="BS214" s="585"/>
      <c r="BT214" s="79"/>
      <c r="BU214" s="79"/>
      <c r="BV214" s="585"/>
      <c r="BW214" s="585"/>
      <c r="BX214" s="585"/>
      <c r="BY214" s="585"/>
      <c r="BZ214" s="79"/>
      <c r="CA214" s="79"/>
      <c r="CB214" s="585"/>
      <c r="CC214" s="585"/>
      <c r="CD214" s="585"/>
      <c r="CE214" s="79"/>
      <c r="CF214" s="79"/>
      <c r="CG214" s="585"/>
      <c r="CH214" s="585" t="s">
        <v>40</v>
      </c>
      <c r="CI214" s="585" t="s">
        <v>40</v>
      </c>
      <c r="CJ214" s="201"/>
      <c r="CK214" s="202"/>
      <c r="CL214" s="202"/>
      <c r="CM214" s="202"/>
      <c r="CN214" s="202"/>
      <c r="CO214" s="202"/>
      <c r="CP214" s="202"/>
      <c r="CQ214" s="202"/>
      <c r="CR214" s="202"/>
      <c r="CS214" s="202"/>
      <c r="CT214" s="202"/>
      <c r="CU214" s="202"/>
      <c r="CV214" s="202"/>
      <c r="CW214" s="202"/>
      <c r="CX214" s="202"/>
      <c r="CY214" s="202"/>
      <c r="CZ214" s="202"/>
      <c r="DA214" s="202"/>
      <c r="DB214" s="202"/>
      <c r="DC214" s="202"/>
      <c r="DD214" s="202"/>
      <c r="DE214" s="202"/>
      <c r="DF214" s="202"/>
      <c r="DG214" s="202"/>
      <c r="DH214" s="202"/>
      <c r="DI214" s="202"/>
      <c r="DJ214" s="202"/>
      <c r="DK214" s="202"/>
      <c r="DL214" s="202"/>
      <c r="DM214" s="202"/>
      <c r="DN214" s="202"/>
      <c r="DO214" s="202"/>
      <c r="DP214" s="202"/>
      <c r="DQ214" s="202"/>
      <c r="DR214" s="202"/>
      <c r="DS214" s="202"/>
      <c r="DT214" s="202"/>
      <c r="DU214" s="202"/>
      <c r="DV214" s="202"/>
      <c r="DW214" s="202"/>
      <c r="DX214" s="202"/>
      <c r="DY214" s="202"/>
      <c r="DZ214" s="202"/>
      <c r="EA214" s="202"/>
      <c r="EB214" s="202"/>
      <c r="EC214" s="202"/>
      <c r="ED214" s="202"/>
      <c r="EE214" s="202"/>
      <c r="EF214" s="202"/>
      <c r="EG214" s="202"/>
      <c r="EH214" s="202"/>
      <c r="EI214" s="202"/>
      <c r="EJ214" s="202"/>
      <c r="EK214" s="202"/>
      <c r="EL214" s="202"/>
      <c r="EM214" s="202"/>
      <c r="EN214" s="202"/>
      <c r="EO214" s="202"/>
      <c r="EP214" s="202"/>
      <c r="EQ214" s="202"/>
      <c r="ER214" s="202"/>
      <c r="ES214" s="202"/>
      <c r="ET214" s="202"/>
      <c r="EU214" s="202"/>
      <c r="EV214" s="202"/>
      <c r="EW214" s="202"/>
      <c r="EX214" s="202"/>
      <c r="EY214" s="202"/>
      <c r="EZ214" s="202"/>
      <c r="FA214" s="202"/>
      <c r="FB214" s="202"/>
      <c r="FC214" s="202"/>
      <c r="FD214" s="202"/>
      <c r="FE214" s="202"/>
      <c r="FF214" s="202"/>
      <c r="FG214" s="202"/>
      <c r="FH214" s="202"/>
      <c r="FI214" s="202"/>
    </row>
    <row r="215" spans="1:165" s="228" customFormat="1" ht="18" customHeight="1" x14ac:dyDescent="0.25">
      <c r="A215" s="578">
        <f t="shared" si="5"/>
        <v>206</v>
      </c>
      <c r="B215" s="588">
        <v>0</v>
      </c>
      <c r="C215" s="585" t="s">
        <v>135</v>
      </c>
      <c r="D215" s="585" t="s">
        <v>464</v>
      </c>
      <c r="E215" s="589" t="s">
        <v>465</v>
      </c>
      <c r="F215" s="586" t="s">
        <v>1044</v>
      </c>
      <c r="G215" s="556" t="s">
        <v>466</v>
      </c>
      <c r="H215" s="599" t="s">
        <v>1175</v>
      </c>
      <c r="I215" s="605">
        <v>9</v>
      </c>
      <c r="J215" s="556"/>
      <c r="K215" s="594"/>
      <c r="L215" s="306"/>
      <c r="M215" s="307"/>
      <c r="N215" s="307"/>
      <c r="O215" s="307"/>
      <c r="P215" s="307"/>
      <c r="Q215" s="79"/>
      <c r="R215" s="79"/>
      <c r="S215" s="585"/>
      <c r="T215" s="585"/>
      <c r="U215" s="585"/>
      <c r="V215" s="585"/>
      <c r="W215" s="585"/>
      <c r="X215" s="585"/>
      <c r="Y215" s="585"/>
      <c r="Z215" s="585"/>
      <c r="AA215" s="585"/>
      <c r="AB215" s="585"/>
      <c r="AC215" s="585"/>
      <c r="AD215" s="585"/>
      <c r="AE215" s="585"/>
      <c r="AF215" s="585"/>
      <c r="AG215" s="585"/>
      <c r="AH215" s="585"/>
      <c r="AI215" s="585"/>
      <c r="AJ215" s="79"/>
      <c r="AK215" s="79"/>
      <c r="AL215" s="585"/>
      <c r="AM215" s="585"/>
      <c r="AN215" s="585"/>
      <c r="AO215" s="585"/>
      <c r="AP215" s="585"/>
      <c r="AQ215" s="585"/>
      <c r="AR215" s="585"/>
      <c r="AS215" s="79"/>
      <c r="AT215" s="79"/>
      <c r="AU215" s="585"/>
      <c r="AV215" s="585"/>
      <c r="AW215" s="585"/>
      <c r="AX215" s="585"/>
      <c r="AY215" s="585"/>
      <c r="AZ215" s="585"/>
      <c r="BA215" s="585"/>
      <c r="BB215" s="585"/>
      <c r="BC215" s="585"/>
      <c r="BD215" s="585"/>
      <c r="BE215" s="79"/>
      <c r="BF215" s="79"/>
      <c r="BG215" s="585"/>
      <c r="BH215" s="585"/>
      <c r="BI215" s="585"/>
      <c r="BJ215" s="585"/>
      <c r="BK215" s="585"/>
      <c r="BL215" s="585"/>
      <c r="BM215" s="585"/>
      <c r="BN215" s="585"/>
      <c r="BO215" s="585"/>
      <c r="BP215" s="585"/>
      <c r="BQ215" s="79"/>
      <c r="BR215" s="79"/>
      <c r="BS215" s="585"/>
      <c r="BT215" s="79"/>
      <c r="BU215" s="79"/>
      <c r="BV215" s="585"/>
      <c r="BW215" s="585"/>
      <c r="BX215" s="585"/>
      <c r="BY215" s="585"/>
      <c r="BZ215" s="79"/>
      <c r="CA215" s="79"/>
      <c r="CB215" s="585"/>
      <c r="CC215" s="585"/>
      <c r="CD215" s="585"/>
      <c r="CE215" s="79"/>
      <c r="CF215" s="79"/>
      <c r="CG215" s="585"/>
      <c r="CH215" s="585" t="s">
        <v>40</v>
      </c>
      <c r="CI215" s="585" t="s">
        <v>40</v>
      </c>
      <c r="CJ215" s="201"/>
      <c r="CK215" s="202"/>
      <c r="CL215" s="202"/>
      <c r="CM215" s="202"/>
      <c r="CN215" s="202"/>
      <c r="CO215" s="202"/>
      <c r="CP215" s="202"/>
      <c r="CQ215" s="202"/>
      <c r="CR215" s="202"/>
      <c r="CS215" s="202"/>
      <c r="CT215" s="202"/>
      <c r="CU215" s="202"/>
      <c r="CV215" s="202"/>
      <c r="CW215" s="202"/>
      <c r="CX215" s="202"/>
      <c r="CY215" s="202"/>
      <c r="CZ215" s="202"/>
      <c r="DA215" s="202"/>
      <c r="DB215" s="202"/>
      <c r="DC215" s="202"/>
      <c r="DD215" s="202"/>
      <c r="DE215" s="202"/>
      <c r="DF215" s="202"/>
      <c r="DG215" s="202"/>
      <c r="DH215" s="202"/>
      <c r="DI215" s="202"/>
      <c r="DJ215" s="202"/>
      <c r="DK215" s="202"/>
      <c r="DL215" s="202"/>
      <c r="DM215" s="202"/>
      <c r="DN215" s="202"/>
      <c r="DO215" s="202"/>
      <c r="DP215" s="202"/>
      <c r="DQ215" s="202"/>
      <c r="DR215" s="202"/>
      <c r="DS215" s="202"/>
      <c r="DT215" s="202"/>
      <c r="DU215" s="202"/>
      <c r="DV215" s="202"/>
      <c r="DW215" s="202"/>
      <c r="DX215" s="202"/>
      <c r="DY215" s="202"/>
      <c r="DZ215" s="202"/>
      <c r="EA215" s="202"/>
      <c r="EB215" s="202"/>
      <c r="EC215" s="202"/>
      <c r="ED215" s="202"/>
      <c r="EE215" s="202"/>
      <c r="EF215" s="202"/>
      <c r="EG215" s="202"/>
      <c r="EH215" s="202"/>
      <c r="EI215" s="202"/>
      <c r="EJ215" s="202"/>
      <c r="EK215" s="202"/>
      <c r="EL215" s="202"/>
      <c r="EM215" s="202"/>
      <c r="EN215" s="202"/>
      <c r="EO215" s="202"/>
      <c r="EP215" s="202"/>
      <c r="EQ215" s="202"/>
      <c r="ER215" s="202"/>
      <c r="ES215" s="202"/>
      <c r="ET215" s="202"/>
      <c r="EU215" s="202"/>
      <c r="EV215" s="202"/>
      <c r="EW215" s="202"/>
      <c r="EX215" s="202"/>
      <c r="EY215" s="202"/>
      <c r="EZ215" s="202"/>
      <c r="FA215" s="202"/>
      <c r="FB215" s="202"/>
      <c r="FC215" s="202"/>
      <c r="FD215" s="202"/>
      <c r="FE215" s="202"/>
      <c r="FF215" s="202"/>
      <c r="FG215" s="202"/>
      <c r="FH215" s="202"/>
      <c r="FI215" s="202"/>
    </row>
    <row r="216" spans="1:165" s="228" customFormat="1" ht="18" customHeight="1" x14ac:dyDescent="0.25">
      <c r="A216" s="578">
        <f t="shared" si="5"/>
        <v>207</v>
      </c>
      <c r="B216" s="588">
        <v>0</v>
      </c>
      <c r="C216" s="585" t="s">
        <v>135</v>
      </c>
      <c r="D216" s="585" t="s">
        <v>1005</v>
      </c>
      <c r="E216" s="589" t="s">
        <v>1006</v>
      </c>
      <c r="F216" s="586" t="s">
        <v>1044</v>
      </c>
      <c r="G216" s="556" t="s">
        <v>1007</v>
      </c>
      <c r="H216" s="599" t="s">
        <v>1007</v>
      </c>
      <c r="I216" s="593"/>
      <c r="J216" s="556"/>
      <c r="K216" s="594"/>
      <c r="L216" s="306"/>
      <c r="M216" s="307"/>
      <c r="N216" s="307"/>
      <c r="O216" s="307"/>
      <c r="P216" s="307"/>
      <c r="Q216" s="79"/>
      <c r="R216" s="79"/>
      <c r="S216" s="585"/>
      <c r="T216" s="585"/>
      <c r="U216" s="585"/>
      <c r="V216" s="585"/>
      <c r="W216" s="585"/>
      <c r="X216" s="585"/>
      <c r="Y216" s="585"/>
      <c r="Z216" s="585"/>
      <c r="AA216" s="585"/>
      <c r="AB216" s="585"/>
      <c r="AC216" s="585"/>
      <c r="AD216" s="585"/>
      <c r="AE216" s="585"/>
      <c r="AF216" s="585"/>
      <c r="AG216" s="585"/>
      <c r="AH216" s="585"/>
      <c r="AI216" s="585"/>
      <c r="AJ216" s="79"/>
      <c r="AK216" s="79"/>
      <c r="AL216" s="585"/>
      <c r="AM216" s="585"/>
      <c r="AN216" s="585"/>
      <c r="AO216" s="585"/>
      <c r="AP216" s="585"/>
      <c r="AQ216" s="585"/>
      <c r="AR216" s="585"/>
      <c r="AS216" s="79"/>
      <c r="AT216" s="79"/>
      <c r="AU216" s="585"/>
      <c r="AV216" s="585"/>
      <c r="AW216" s="585"/>
      <c r="AX216" s="585"/>
      <c r="AY216" s="585"/>
      <c r="AZ216" s="585"/>
      <c r="BA216" s="585"/>
      <c r="BB216" s="585"/>
      <c r="BC216" s="585"/>
      <c r="BD216" s="585"/>
      <c r="BE216" s="79"/>
      <c r="BF216" s="79"/>
      <c r="BG216" s="585"/>
      <c r="BH216" s="585"/>
      <c r="BI216" s="585"/>
      <c r="BJ216" s="585"/>
      <c r="BK216" s="585"/>
      <c r="BL216" s="585"/>
      <c r="BM216" s="585"/>
      <c r="BN216" s="585"/>
      <c r="BO216" s="585"/>
      <c r="BP216" s="585"/>
      <c r="BQ216" s="79"/>
      <c r="BR216" s="79"/>
      <c r="BS216" s="585"/>
      <c r="BT216" s="79"/>
      <c r="BU216" s="79"/>
      <c r="BV216" s="585"/>
      <c r="BW216" s="585"/>
      <c r="BX216" s="585"/>
      <c r="BY216" s="585"/>
      <c r="BZ216" s="79"/>
      <c r="CA216" s="79"/>
      <c r="CB216" s="585"/>
      <c r="CC216" s="585"/>
      <c r="CD216" s="585"/>
      <c r="CE216" s="79"/>
      <c r="CF216" s="79"/>
      <c r="CG216" s="585"/>
      <c r="CH216" s="585"/>
      <c r="CI216" s="585"/>
      <c r="CJ216" s="201"/>
      <c r="CK216" s="202"/>
      <c r="CL216" s="202"/>
      <c r="CM216" s="202"/>
      <c r="CN216" s="202"/>
      <c r="CO216" s="202"/>
      <c r="CP216" s="202"/>
      <c r="CQ216" s="202"/>
      <c r="CR216" s="202"/>
      <c r="CS216" s="202"/>
      <c r="CT216" s="202"/>
      <c r="CU216" s="202"/>
      <c r="CV216" s="202"/>
      <c r="CW216" s="202"/>
      <c r="CX216" s="202"/>
      <c r="CY216" s="202"/>
      <c r="CZ216" s="202"/>
      <c r="DA216" s="202"/>
      <c r="DB216" s="202"/>
      <c r="DC216" s="202"/>
      <c r="DD216" s="202"/>
      <c r="DE216" s="202"/>
      <c r="DF216" s="202"/>
      <c r="DG216" s="202"/>
      <c r="DH216" s="202"/>
      <c r="DI216" s="202"/>
      <c r="DJ216" s="202"/>
      <c r="DK216" s="202"/>
      <c r="DL216" s="202"/>
      <c r="DM216" s="202"/>
      <c r="DN216" s="202"/>
      <c r="DO216" s="202"/>
      <c r="DP216" s="202"/>
      <c r="DQ216" s="202"/>
      <c r="DR216" s="202"/>
      <c r="DS216" s="202"/>
      <c r="DT216" s="202"/>
      <c r="DU216" s="202"/>
      <c r="DV216" s="202"/>
      <c r="DW216" s="202"/>
      <c r="DX216" s="202"/>
      <c r="DY216" s="202"/>
      <c r="DZ216" s="202"/>
      <c r="EA216" s="202"/>
      <c r="EB216" s="202"/>
      <c r="EC216" s="202"/>
      <c r="ED216" s="202"/>
      <c r="EE216" s="202"/>
      <c r="EF216" s="202"/>
      <c r="EG216" s="202"/>
      <c r="EH216" s="202"/>
      <c r="EI216" s="202"/>
      <c r="EJ216" s="202"/>
      <c r="EK216" s="202"/>
      <c r="EL216" s="202"/>
      <c r="EM216" s="202"/>
      <c r="EN216" s="202"/>
      <c r="EO216" s="202"/>
      <c r="EP216" s="202"/>
      <c r="EQ216" s="202"/>
      <c r="ER216" s="202"/>
      <c r="ES216" s="202"/>
      <c r="ET216" s="202"/>
      <c r="EU216" s="202"/>
      <c r="EV216" s="202"/>
      <c r="EW216" s="202"/>
      <c r="EX216" s="202"/>
      <c r="EY216" s="202"/>
      <c r="EZ216" s="202"/>
      <c r="FA216" s="202"/>
      <c r="FB216" s="202"/>
      <c r="FC216" s="202"/>
      <c r="FD216" s="202"/>
      <c r="FE216" s="202"/>
      <c r="FF216" s="202"/>
      <c r="FG216" s="202"/>
      <c r="FH216" s="202"/>
      <c r="FI216" s="202"/>
    </row>
    <row r="217" spans="1:165" s="228" customFormat="1" ht="18" customHeight="1" x14ac:dyDescent="0.25">
      <c r="A217" s="578">
        <f t="shared" si="5"/>
        <v>208</v>
      </c>
      <c r="B217" s="588">
        <v>0</v>
      </c>
      <c r="C217" s="585" t="s">
        <v>135</v>
      </c>
      <c r="D217" s="585" t="s">
        <v>467</v>
      </c>
      <c r="E217" s="589" t="s">
        <v>777</v>
      </c>
      <c r="F217" s="586" t="s">
        <v>1044</v>
      </c>
      <c r="G217" s="556" t="s">
        <v>468</v>
      </c>
      <c r="H217" s="599" t="s">
        <v>1174</v>
      </c>
      <c r="I217" s="593">
        <v>3</v>
      </c>
      <c r="J217" s="556"/>
      <c r="K217" s="594"/>
      <c r="L217" s="306"/>
      <c r="M217" s="307"/>
      <c r="N217" s="307" t="s">
        <v>122</v>
      </c>
      <c r="O217" s="307"/>
      <c r="P217" s="307"/>
      <c r="Q217" s="79"/>
      <c r="R217" s="79"/>
      <c r="S217" s="556"/>
      <c r="T217" s="556" t="s">
        <v>120</v>
      </c>
      <c r="U217" s="556"/>
      <c r="V217" s="556"/>
      <c r="W217" s="556" t="s">
        <v>120</v>
      </c>
      <c r="X217" s="586" t="s">
        <v>120</v>
      </c>
      <c r="Y217" s="556"/>
      <c r="Z217" s="585"/>
      <c r="AA217" s="556"/>
      <c r="AB217" s="556"/>
      <c r="AC217" s="585"/>
      <c r="AD217" s="585"/>
      <c r="AE217" s="556" t="s">
        <v>120</v>
      </c>
      <c r="AF217" s="556" t="s">
        <v>120</v>
      </c>
      <c r="AG217" s="556" t="s">
        <v>120</v>
      </c>
      <c r="AH217" s="556" t="s">
        <v>120</v>
      </c>
      <c r="AI217" s="556"/>
      <c r="AJ217" s="76"/>
      <c r="AK217" s="79"/>
      <c r="AL217" s="585"/>
      <c r="AM217" s="585"/>
      <c r="AN217" s="585"/>
      <c r="AO217" s="585"/>
      <c r="AP217" s="585"/>
      <c r="AQ217" s="585"/>
      <c r="AR217" s="585"/>
      <c r="AS217" s="79"/>
      <c r="AT217" s="79"/>
      <c r="AU217" s="585"/>
      <c r="AV217" s="585"/>
      <c r="AW217" s="585"/>
      <c r="AX217" s="585"/>
      <c r="AY217" s="585"/>
      <c r="AZ217" s="585"/>
      <c r="BA217" s="585"/>
      <c r="BB217" s="585"/>
      <c r="BC217" s="585"/>
      <c r="BD217" s="585"/>
      <c r="BE217" s="79"/>
      <c r="BF217" s="79"/>
      <c r="BG217" s="585"/>
      <c r="BH217" s="585"/>
      <c r="BI217" s="585"/>
      <c r="BJ217" s="585"/>
      <c r="BK217" s="585"/>
      <c r="BL217" s="585"/>
      <c r="BM217" s="585"/>
      <c r="BN217" s="585"/>
      <c r="BO217" s="585"/>
      <c r="BP217" s="585"/>
      <c r="BQ217" s="79"/>
      <c r="BR217" s="79"/>
      <c r="BS217" s="585" t="s">
        <v>120</v>
      </c>
      <c r="BT217" s="79"/>
      <c r="BU217" s="79"/>
      <c r="BV217" s="585"/>
      <c r="BW217" s="585"/>
      <c r="BX217" s="585"/>
      <c r="BY217" s="585"/>
      <c r="BZ217" s="79"/>
      <c r="CA217" s="79"/>
      <c r="CB217" s="556"/>
      <c r="CC217" s="585"/>
      <c r="CD217" s="585"/>
      <c r="CE217" s="79"/>
      <c r="CF217" s="79"/>
      <c r="CG217" s="585"/>
      <c r="CH217" s="585" t="s">
        <v>40</v>
      </c>
      <c r="CI217" s="585" t="s">
        <v>40</v>
      </c>
      <c r="CJ217" s="201"/>
      <c r="CK217" s="202"/>
      <c r="CL217" s="202"/>
      <c r="CM217" s="202"/>
      <c r="CN217" s="202"/>
      <c r="CO217" s="202"/>
      <c r="CP217" s="202"/>
      <c r="CQ217" s="202"/>
      <c r="CR217" s="202"/>
      <c r="CS217" s="202"/>
      <c r="CT217" s="202"/>
      <c r="CU217" s="202"/>
      <c r="CV217" s="202"/>
      <c r="CW217" s="202"/>
      <c r="CX217" s="202"/>
      <c r="CY217" s="202"/>
      <c r="CZ217" s="202"/>
      <c r="DA217" s="202"/>
      <c r="DB217" s="202"/>
      <c r="DC217" s="202"/>
      <c r="DD217" s="202"/>
      <c r="DE217" s="202"/>
      <c r="DF217" s="202"/>
      <c r="DG217" s="202"/>
      <c r="DH217" s="202"/>
      <c r="DI217" s="202"/>
      <c r="DJ217" s="202"/>
      <c r="DK217" s="202"/>
      <c r="DL217" s="202"/>
      <c r="DM217" s="202"/>
      <c r="DN217" s="202"/>
      <c r="DO217" s="202"/>
      <c r="DP217" s="202"/>
      <c r="DQ217" s="202"/>
      <c r="DR217" s="202"/>
      <c r="DS217" s="202"/>
      <c r="DT217" s="202"/>
      <c r="DU217" s="202"/>
      <c r="DV217" s="202"/>
      <c r="DW217" s="202"/>
      <c r="DX217" s="202"/>
      <c r="DY217" s="202"/>
      <c r="DZ217" s="202"/>
      <c r="EA217" s="202"/>
      <c r="EB217" s="202"/>
      <c r="EC217" s="202"/>
      <c r="ED217" s="202"/>
      <c r="EE217" s="202"/>
      <c r="EF217" s="202"/>
      <c r="EG217" s="202"/>
      <c r="EH217" s="202"/>
      <c r="EI217" s="202"/>
      <c r="EJ217" s="202"/>
      <c r="EK217" s="202"/>
      <c r="EL217" s="202"/>
      <c r="EM217" s="202"/>
      <c r="EN217" s="202"/>
      <c r="EO217" s="202"/>
      <c r="EP217" s="202"/>
      <c r="EQ217" s="202"/>
      <c r="ER217" s="202"/>
      <c r="ES217" s="202"/>
      <c r="ET217" s="202"/>
      <c r="EU217" s="202"/>
      <c r="EV217" s="202"/>
      <c r="EW217" s="202"/>
      <c r="EX217" s="202"/>
      <c r="EY217" s="202"/>
      <c r="EZ217" s="202"/>
      <c r="FA217" s="202"/>
      <c r="FB217" s="202"/>
      <c r="FC217" s="202"/>
      <c r="FD217" s="202"/>
      <c r="FE217" s="202"/>
      <c r="FF217" s="202"/>
      <c r="FG217" s="202"/>
      <c r="FH217" s="202"/>
      <c r="FI217" s="202"/>
    </row>
    <row r="218" spans="1:165" s="228" customFormat="1" ht="18" customHeight="1" x14ac:dyDescent="0.25">
      <c r="A218" s="578">
        <f t="shared" si="5"/>
        <v>209</v>
      </c>
      <c r="B218" s="588">
        <v>0</v>
      </c>
      <c r="C218" s="585" t="s">
        <v>135</v>
      </c>
      <c r="D218" s="585" t="s">
        <v>469</v>
      </c>
      <c r="E218" s="589" t="s">
        <v>470</v>
      </c>
      <c r="F218" s="586" t="s">
        <v>1044</v>
      </c>
      <c r="G218" s="556" t="s">
        <v>471</v>
      </c>
      <c r="H218" s="599" t="s">
        <v>1173</v>
      </c>
      <c r="I218" s="605">
        <v>9</v>
      </c>
      <c r="J218" s="556"/>
      <c r="K218" s="594"/>
      <c r="L218" s="306"/>
      <c r="M218" s="307"/>
      <c r="N218" s="307"/>
      <c r="O218" s="307"/>
      <c r="P218" s="307"/>
      <c r="Q218" s="79"/>
      <c r="R218" s="79"/>
      <c r="S218" s="585"/>
      <c r="T218" s="585"/>
      <c r="U218" s="585"/>
      <c r="V218" s="585"/>
      <c r="W218" s="585"/>
      <c r="X218" s="585"/>
      <c r="Y218" s="585"/>
      <c r="Z218" s="585"/>
      <c r="AA218" s="585"/>
      <c r="AB218" s="585"/>
      <c r="AC218" s="585"/>
      <c r="AD218" s="585"/>
      <c r="AE218" s="585"/>
      <c r="AF218" s="585"/>
      <c r="AG218" s="585"/>
      <c r="AH218" s="585"/>
      <c r="AI218" s="585"/>
      <c r="AJ218" s="79"/>
      <c r="AK218" s="79"/>
      <c r="AL218" s="585"/>
      <c r="AM218" s="585"/>
      <c r="AN218" s="585"/>
      <c r="AO218" s="585"/>
      <c r="AP218" s="585"/>
      <c r="AQ218" s="585"/>
      <c r="AR218" s="585"/>
      <c r="AS218" s="79"/>
      <c r="AT218" s="79"/>
      <c r="AU218" s="585"/>
      <c r="AV218" s="585"/>
      <c r="AW218" s="585"/>
      <c r="AX218" s="585"/>
      <c r="AY218" s="585"/>
      <c r="AZ218" s="585"/>
      <c r="BA218" s="585"/>
      <c r="BB218" s="585"/>
      <c r="BC218" s="585"/>
      <c r="BD218" s="585"/>
      <c r="BE218" s="79"/>
      <c r="BF218" s="79"/>
      <c r="BG218" s="585"/>
      <c r="BH218" s="585"/>
      <c r="BI218" s="585"/>
      <c r="BJ218" s="585"/>
      <c r="BK218" s="585"/>
      <c r="BL218" s="585"/>
      <c r="BM218" s="585"/>
      <c r="BN218" s="585"/>
      <c r="BO218" s="585"/>
      <c r="BP218" s="585"/>
      <c r="BQ218" s="79"/>
      <c r="BR218" s="79"/>
      <c r="BS218" s="585"/>
      <c r="BT218" s="79"/>
      <c r="BU218" s="79"/>
      <c r="BV218" s="585"/>
      <c r="BW218" s="585"/>
      <c r="BX218" s="585"/>
      <c r="BY218" s="585"/>
      <c r="BZ218" s="79"/>
      <c r="CA218" s="79"/>
      <c r="CB218" s="585"/>
      <c r="CC218" s="585"/>
      <c r="CD218" s="585"/>
      <c r="CE218" s="79"/>
      <c r="CF218" s="79"/>
      <c r="CG218" s="585"/>
      <c r="CH218" s="585" t="s">
        <v>40</v>
      </c>
      <c r="CI218" s="585" t="s">
        <v>40</v>
      </c>
      <c r="CJ218" s="201"/>
      <c r="CK218" s="202"/>
      <c r="CL218" s="202"/>
      <c r="CM218" s="202"/>
      <c r="CN218" s="202"/>
      <c r="CO218" s="202"/>
      <c r="CP218" s="202"/>
      <c r="CQ218" s="202"/>
      <c r="CR218" s="202"/>
      <c r="CS218" s="202"/>
      <c r="CT218" s="202"/>
      <c r="CU218" s="202"/>
      <c r="CV218" s="202"/>
      <c r="CW218" s="202"/>
      <c r="CX218" s="202"/>
      <c r="CY218" s="202"/>
      <c r="CZ218" s="202"/>
      <c r="DA218" s="202"/>
      <c r="DB218" s="202"/>
      <c r="DC218" s="202"/>
      <c r="DD218" s="202"/>
      <c r="DE218" s="202"/>
      <c r="DF218" s="202"/>
      <c r="DG218" s="202"/>
      <c r="DH218" s="202"/>
      <c r="DI218" s="202"/>
      <c r="DJ218" s="202"/>
      <c r="DK218" s="202"/>
      <c r="DL218" s="202"/>
      <c r="DM218" s="202"/>
      <c r="DN218" s="202"/>
      <c r="DO218" s="202"/>
      <c r="DP218" s="202"/>
      <c r="DQ218" s="202"/>
      <c r="DR218" s="202"/>
      <c r="DS218" s="202"/>
      <c r="DT218" s="202"/>
      <c r="DU218" s="202"/>
      <c r="DV218" s="202"/>
      <c r="DW218" s="202"/>
      <c r="DX218" s="202"/>
      <c r="DY218" s="202"/>
      <c r="DZ218" s="202"/>
      <c r="EA218" s="202"/>
      <c r="EB218" s="202"/>
      <c r="EC218" s="202"/>
      <c r="ED218" s="202"/>
      <c r="EE218" s="202"/>
      <c r="EF218" s="202"/>
      <c r="EG218" s="202"/>
      <c r="EH218" s="202"/>
      <c r="EI218" s="202"/>
      <c r="EJ218" s="202"/>
      <c r="EK218" s="202"/>
      <c r="EL218" s="202"/>
      <c r="EM218" s="202"/>
      <c r="EN218" s="202"/>
      <c r="EO218" s="202"/>
      <c r="EP218" s="202"/>
      <c r="EQ218" s="202"/>
      <c r="ER218" s="202"/>
      <c r="ES218" s="202"/>
      <c r="ET218" s="202"/>
      <c r="EU218" s="202"/>
      <c r="EV218" s="202"/>
      <c r="EW218" s="202"/>
      <c r="EX218" s="202"/>
      <c r="EY218" s="202"/>
      <c r="EZ218" s="202"/>
      <c r="FA218" s="202"/>
      <c r="FB218" s="202"/>
      <c r="FC218" s="202"/>
      <c r="FD218" s="202"/>
      <c r="FE218" s="202"/>
      <c r="FF218" s="202"/>
      <c r="FG218" s="202"/>
      <c r="FH218" s="202"/>
      <c r="FI218" s="202"/>
    </row>
    <row r="219" spans="1:165" s="228" customFormat="1" ht="18" customHeight="1" x14ac:dyDescent="0.25">
      <c r="A219" s="578">
        <f t="shared" si="5"/>
        <v>210</v>
      </c>
      <c r="B219" s="588">
        <v>0</v>
      </c>
      <c r="C219" s="585" t="s">
        <v>135</v>
      </c>
      <c r="D219" s="585" t="s">
        <v>472</v>
      </c>
      <c r="E219" s="589" t="s">
        <v>473</v>
      </c>
      <c r="F219" s="586" t="s">
        <v>1044</v>
      </c>
      <c r="G219" s="556" t="s">
        <v>248</v>
      </c>
      <c r="H219" s="599" t="s">
        <v>1172</v>
      </c>
      <c r="I219" s="593">
        <v>3</v>
      </c>
      <c r="J219" s="556"/>
      <c r="K219" s="594">
        <v>9</v>
      </c>
      <c r="L219" s="306"/>
      <c r="M219" s="307"/>
      <c r="N219" s="307" t="s">
        <v>122</v>
      </c>
      <c r="O219" s="307"/>
      <c r="P219" s="307"/>
      <c r="Q219" s="79"/>
      <c r="R219" s="76"/>
      <c r="S219" s="556"/>
      <c r="T219" s="556" t="s">
        <v>120</v>
      </c>
      <c r="U219" s="556"/>
      <c r="V219" s="556"/>
      <c r="W219" s="556" t="s">
        <v>120</v>
      </c>
      <c r="X219" s="567" t="s">
        <v>120</v>
      </c>
      <c r="Y219" s="556"/>
      <c r="Z219" s="556"/>
      <c r="AA219" s="556"/>
      <c r="AB219" s="556"/>
      <c r="AC219" s="556"/>
      <c r="AD219" s="556"/>
      <c r="AE219" s="556" t="s">
        <v>120</v>
      </c>
      <c r="AF219" s="556" t="s">
        <v>120</v>
      </c>
      <c r="AG219" s="556" t="s">
        <v>120</v>
      </c>
      <c r="AH219" s="556" t="s">
        <v>120</v>
      </c>
      <c r="AI219" s="556"/>
      <c r="AJ219" s="76"/>
      <c r="AK219" s="76"/>
      <c r="AL219" s="556"/>
      <c r="AM219" s="556"/>
      <c r="AN219" s="556"/>
      <c r="AO219" s="556"/>
      <c r="AP219" s="556"/>
      <c r="AQ219" s="556"/>
      <c r="AR219" s="556"/>
      <c r="AS219" s="76"/>
      <c r="AT219" s="76"/>
      <c r="AU219" s="556"/>
      <c r="AV219" s="556"/>
      <c r="AW219" s="556"/>
      <c r="AX219" s="585"/>
      <c r="AY219" s="585"/>
      <c r="AZ219" s="585"/>
      <c r="BA219" s="585"/>
      <c r="BB219" s="585"/>
      <c r="BC219" s="585"/>
      <c r="BD219" s="585"/>
      <c r="BE219" s="79"/>
      <c r="BF219" s="76"/>
      <c r="BG219" s="585"/>
      <c r="BH219" s="585"/>
      <c r="BI219" s="585"/>
      <c r="BJ219" s="585"/>
      <c r="BK219" s="585"/>
      <c r="BL219" s="585"/>
      <c r="BM219" s="585"/>
      <c r="BN219" s="585"/>
      <c r="BO219" s="556"/>
      <c r="BP219" s="556"/>
      <c r="BQ219" s="76"/>
      <c r="BR219" s="76"/>
      <c r="BS219" s="556" t="s">
        <v>120</v>
      </c>
      <c r="BT219" s="76"/>
      <c r="BU219" s="76"/>
      <c r="BV219" s="585"/>
      <c r="BW219" s="585"/>
      <c r="BX219" s="585" t="s">
        <v>582</v>
      </c>
      <c r="BY219" s="556"/>
      <c r="BZ219" s="76"/>
      <c r="CA219" s="76"/>
      <c r="CB219" s="556"/>
      <c r="CC219" s="556"/>
      <c r="CD219" s="556"/>
      <c r="CE219" s="76"/>
      <c r="CF219" s="79"/>
      <c r="CG219" s="556"/>
      <c r="CH219" s="556" t="s">
        <v>40</v>
      </c>
      <c r="CI219" s="556" t="s">
        <v>40</v>
      </c>
      <c r="CJ219" s="201"/>
      <c r="CK219" s="202"/>
      <c r="CL219" s="202"/>
      <c r="CM219" s="202"/>
      <c r="CN219" s="202"/>
      <c r="CO219" s="202"/>
      <c r="CP219" s="202"/>
      <c r="CQ219" s="202"/>
      <c r="CR219" s="202"/>
      <c r="CS219" s="202"/>
      <c r="CT219" s="202"/>
      <c r="CU219" s="202"/>
      <c r="CV219" s="202"/>
      <c r="CW219" s="202"/>
      <c r="CX219" s="202"/>
      <c r="CY219" s="202"/>
      <c r="CZ219" s="202"/>
      <c r="DA219" s="202"/>
      <c r="DB219" s="202"/>
      <c r="DC219" s="202"/>
      <c r="DD219" s="202"/>
      <c r="DE219" s="202"/>
      <c r="DF219" s="202"/>
      <c r="DG219" s="202"/>
      <c r="DH219" s="202"/>
      <c r="DI219" s="202"/>
      <c r="DJ219" s="202"/>
      <c r="DK219" s="202"/>
      <c r="DL219" s="202"/>
      <c r="DM219" s="202"/>
      <c r="DN219" s="202"/>
      <c r="DO219" s="202"/>
      <c r="DP219" s="202"/>
      <c r="DQ219" s="202"/>
      <c r="DR219" s="202"/>
      <c r="DS219" s="202"/>
      <c r="DT219" s="202"/>
      <c r="DU219" s="202"/>
      <c r="DV219" s="202"/>
      <c r="DW219" s="202"/>
      <c r="DX219" s="202"/>
      <c r="DY219" s="202"/>
      <c r="DZ219" s="202"/>
      <c r="EA219" s="202"/>
      <c r="EB219" s="202"/>
      <c r="EC219" s="202"/>
      <c r="ED219" s="202"/>
      <c r="EE219" s="202"/>
      <c r="EF219" s="202"/>
      <c r="EG219" s="202"/>
      <c r="EH219" s="202"/>
      <c r="EI219" s="202"/>
      <c r="EJ219" s="202"/>
      <c r="EK219" s="202"/>
      <c r="EL219" s="202"/>
      <c r="EM219" s="202"/>
      <c r="EN219" s="202"/>
      <c r="EO219" s="202"/>
      <c r="EP219" s="202"/>
      <c r="EQ219" s="202"/>
      <c r="ER219" s="202"/>
      <c r="ES219" s="202"/>
      <c r="ET219" s="202"/>
      <c r="EU219" s="202"/>
      <c r="EV219" s="202"/>
      <c r="EW219" s="202"/>
      <c r="EX219" s="202"/>
      <c r="EY219" s="202"/>
      <c r="EZ219" s="202"/>
      <c r="FA219" s="202"/>
      <c r="FB219" s="202"/>
      <c r="FC219" s="202"/>
      <c r="FD219" s="202"/>
      <c r="FE219" s="202"/>
      <c r="FF219" s="202"/>
      <c r="FG219" s="202"/>
      <c r="FH219" s="202"/>
      <c r="FI219" s="202"/>
    </row>
    <row r="220" spans="1:165" s="228" customFormat="1" ht="18" customHeight="1" x14ac:dyDescent="0.25">
      <c r="A220" s="578">
        <f t="shared" si="5"/>
        <v>211</v>
      </c>
      <c r="B220" s="588">
        <v>0</v>
      </c>
      <c r="C220" s="585" t="s">
        <v>135</v>
      </c>
      <c r="D220" s="585" t="s">
        <v>474</v>
      </c>
      <c r="E220" s="589" t="s">
        <v>475</v>
      </c>
      <c r="F220" s="586" t="s">
        <v>1044</v>
      </c>
      <c r="G220" s="556" t="s">
        <v>476</v>
      </c>
      <c r="H220" s="599" t="s">
        <v>1171</v>
      </c>
      <c r="I220" s="605">
        <v>9</v>
      </c>
      <c r="J220" s="556"/>
      <c r="K220" s="594">
        <v>12</v>
      </c>
      <c r="L220" s="306"/>
      <c r="M220" s="307"/>
      <c r="N220" s="307"/>
      <c r="O220" s="307"/>
      <c r="P220" s="307"/>
      <c r="Q220" s="79"/>
      <c r="R220" s="79"/>
      <c r="S220" s="585"/>
      <c r="T220" s="585"/>
      <c r="U220" s="585"/>
      <c r="V220" s="585"/>
      <c r="W220" s="585"/>
      <c r="X220" s="585"/>
      <c r="Y220" s="585"/>
      <c r="Z220" s="585"/>
      <c r="AA220" s="585"/>
      <c r="AB220" s="585"/>
      <c r="AC220" s="585"/>
      <c r="AD220" s="585"/>
      <c r="AE220" s="585"/>
      <c r="AF220" s="585"/>
      <c r="AG220" s="585"/>
      <c r="AH220" s="585"/>
      <c r="AI220" s="585"/>
      <c r="AJ220" s="79"/>
      <c r="AK220" s="79"/>
      <c r="AL220" s="585"/>
      <c r="AM220" s="585"/>
      <c r="AN220" s="585"/>
      <c r="AO220" s="585"/>
      <c r="AP220" s="585"/>
      <c r="AQ220" s="585"/>
      <c r="AR220" s="585"/>
      <c r="AS220" s="79"/>
      <c r="AT220" s="79"/>
      <c r="AU220" s="585"/>
      <c r="AV220" s="585"/>
      <c r="AW220" s="585"/>
      <c r="AX220" s="585"/>
      <c r="AY220" s="585"/>
      <c r="AZ220" s="585"/>
      <c r="BA220" s="585"/>
      <c r="BB220" s="585"/>
      <c r="BC220" s="585"/>
      <c r="BD220" s="585"/>
      <c r="BE220" s="79"/>
      <c r="BF220" s="79"/>
      <c r="BG220" s="585"/>
      <c r="BH220" s="585"/>
      <c r="BI220" s="585"/>
      <c r="BJ220" s="585"/>
      <c r="BK220" s="585"/>
      <c r="BL220" s="585"/>
      <c r="BM220" s="585"/>
      <c r="BN220" s="585"/>
      <c r="BO220" s="585"/>
      <c r="BP220" s="585"/>
      <c r="BQ220" s="79"/>
      <c r="BR220" s="79"/>
      <c r="BS220" s="585"/>
      <c r="BT220" s="79"/>
      <c r="BU220" s="79"/>
      <c r="BV220" s="585"/>
      <c r="BW220" s="585"/>
      <c r="BX220" s="585"/>
      <c r="BY220" s="585"/>
      <c r="BZ220" s="79"/>
      <c r="CA220" s="79"/>
      <c r="CB220" s="585"/>
      <c r="CC220" s="585"/>
      <c r="CD220" s="585"/>
      <c r="CE220" s="79"/>
      <c r="CF220" s="79"/>
      <c r="CG220" s="585"/>
      <c r="CH220" s="556" t="s">
        <v>40</v>
      </c>
      <c r="CI220" s="556" t="s">
        <v>40</v>
      </c>
      <c r="CJ220" s="201"/>
      <c r="CK220" s="202"/>
      <c r="CL220" s="202"/>
      <c r="CM220" s="202"/>
      <c r="CN220" s="202"/>
      <c r="CO220" s="202"/>
      <c r="CP220" s="202"/>
      <c r="CQ220" s="202"/>
      <c r="CR220" s="202"/>
      <c r="CS220" s="202"/>
      <c r="CT220" s="202"/>
      <c r="CU220" s="202"/>
      <c r="CV220" s="202"/>
      <c r="CW220" s="202"/>
      <c r="CX220" s="202"/>
      <c r="CY220" s="202"/>
      <c r="CZ220" s="202"/>
      <c r="DA220" s="202"/>
      <c r="DB220" s="202"/>
      <c r="DC220" s="202"/>
      <c r="DD220" s="202"/>
      <c r="DE220" s="202"/>
      <c r="DF220" s="202"/>
      <c r="DG220" s="202"/>
      <c r="DH220" s="202"/>
      <c r="DI220" s="202"/>
      <c r="DJ220" s="202"/>
      <c r="DK220" s="202"/>
      <c r="DL220" s="202"/>
      <c r="DM220" s="202"/>
      <c r="DN220" s="202"/>
      <c r="DO220" s="202"/>
      <c r="DP220" s="202"/>
      <c r="DQ220" s="202"/>
      <c r="DR220" s="202"/>
      <c r="DS220" s="202"/>
      <c r="DT220" s="202"/>
      <c r="DU220" s="202"/>
      <c r="DV220" s="202"/>
      <c r="DW220" s="202"/>
      <c r="DX220" s="202"/>
      <c r="DY220" s="202"/>
      <c r="DZ220" s="202"/>
      <c r="EA220" s="202"/>
      <c r="EB220" s="202"/>
      <c r="EC220" s="202"/>
      <c r="ED220" s="202"/>
      <c r="EE220" s="202"/>
      <c r="EF220" s="202"/>
      <c r="EG220" s="202"/>
      <c r="EH220" s="202"/>
      <c r="EI220" s="202"/>
      <c r="EJ220" s="202"/>
      <c r="EK220" s="202"/>
      <c r="EL220" s="202"/>
      <c r="EM220" s="202"/>
      <c r="EN220" s="202"/>
      <c r="EO220" s="202"/>
      <c r="EP220" s="202"/>
      <c r="EQ220" s="202"/>
      <c r="ER220" s="202"/>
      <c r="ES220" s="202"/>
      <c r="ET220" s="202"/>
      <c r="EU220" s="202"/>
      <c r="EV220" s="202"/>
      <c r="EW220" s="202"/>
      <c r="EX220" s="202"/>
      <c r="EY220" s="202"/>
      <c r="EZ220" s="202"/>
      <c r="FA220" s="202"/>
      <c r="FB220" s="202"/>
      <c r="FC220" s="202"/>
      <c r="FD220" s="202"/>
      <c r="FE220" s="202"/>
      <c r="FF220" s="202"/>
      <c r="FG220" s="202"/>
      <c r="FH220" s="202"/>
      <c r="FI220" s="202"/>
    </row>
    <row r="221" spans="1:165" s="228" customFormat="1" ht="18" customHeight="1" x14ac:dyDescent="0.25">
      <c r="A221" s="578">
        <f t="shared" si="5"/>
        <v>212</v>
      </c>
      <c r="B221" s="588">
        <v>0</v>
      </c>
      <c r="C221" s="585" t="s">
        <v>135</v>
      </c>
      <c r="D221" s="585" t="s">
        <v>1008</v>
      </c>
      <c r="E221" s="589" t="s">
        <v>1009</v>
      </c>
      <c r="F221" s="586" t="s">
        <v>1044</v>
      </c>
      <c r="G221" s="556" t="s">
        <v>1010</v>
      </c>
      <c r="H221" s="599" t="s">
        <v>1010</v>
      </c>
      <c r="I221" s="593"/>
      <c r="J221" s="556"/>
      <c r="K221" s="594"/>
      <c r="L221" s="306"/>
      <c r="M221" s="307"/>
      <c r="N221" s="307"/>
      <c r="O221" s="307"/>
      <c r="P221" s="307"/>
      <c r="Q221" s="79"/>
      <c r="R221" s="79"/>
      <c r="S221" s="585"/>
      <c r="T221" s="585"/>
      <c r="U221" s="585"/>
      <c r="V221" s="585"/>
      <c r="W221" s="585"/>
      <c r="X221" s="585"/>
      <c r="Y221" s="585"/>
      <c r="Z221" s="585"/>
      <c r="AA221" s="585"/>
      <c r="AB221" s="585"/>
      <c r="AC221" s="585"/>
      <c r="AD221" s="585"/>
      <c r="AE221" s="585"/>
      <c r="AF221" s="585"/>
      <c r="AG221" s="585"/>
      <c r="AH221" s="585"/>
      <c r="AI221" s="585"/>
      <c r="AJ221" s="79"/>
      <c r="AK221" s="79"/>
      <c r="AL221" s="585"/>
      <c r="AM221" s="585"/>
      <c r="AN221" s="585"/>
      <c r="AO221" s="585"/>
      <c r="AP221" s="585"/>
      <c r="AQ221" s="585"/>
      <c r="AR221" s="585"/>
      <c r="AS221" s="79"/>
      <c r="AT221" s="79"/>
      <c r="AU221" s="585"/>
      <c r="AV221" s="585"/>
      <c r="AW221" s="585"/>
      <c r="AX221" s="585"/>
      <c r="AY221" s="585"/>
      <c r="AZ221" s="585"/>
      <c r="BA221" s="585"/>
      <c r="BB221" s="585"/>
      <c r="BC221" s="585"/>
      <c r="BD221" s="585"/>
      <c r="BE221" s="79"/>
      <c r="BF221" s="79"/>
      <c r="BG221" s="585"/>
      <c r="BH221" s="585"/>
      <c r="BI221" s="585"/>
      <c r="BJ221" s="585"/>
      <c r="BK221" s="585"/>
      <c r="BL221" s="585"/>
      <c r="BM221" s="585"/>
      <c r="BN221" s="585"/>
      <c r="BO221" s="585"/>
      <c r="BP221" s="585"/>
      <c r="BQ221" s="79"/>
      <c r="BR221" s="79"/>
      <c r="BS221" s="585"/>
      <c r="BT221" s="79"/>
      <c r="BU221" s="79"/>
      <c r="BV221" s="585"/>
      <c r="BW221" s="585"/>
      <c r="BX221" s="585"/>
      <c r="BY221" s="585"/>
      <c r="BZ221" s="79"/>
      <c r="CA221" s="79"/>
      <c r="CB221" s="585"/>
      <c r="CC221" s="585"/>
      <c r="CD221" s="585"/>
      <c r="CE221" s="79"/>
      <c r="CF221" s="79"/>
      <c r="CG221" s="585"/>
      <c r="CH221" s="585"/>
      <c r="CI221" s="585"/>
      <c r="CJ221" s="201"/>
      <c r="CK221" s="202"/>
      <c r="CL221" s="202"/>
      <c r="CM221" s="202"/>
      <c r="CN221" s="202"/>
      <c r="CO221" s="202"/>
      <c r="CP221" s="202"/>
      <c r="CQ221" s="202"/>
      <c r="CR221" s="202"/>
      <c r="CS221" s="202"/>
      <c r="CT221" s="202"/>
      <c r="CU221" s="202"/>
      <c r="CV221" s="202"/>
      <c r="CW221" s="202"/>
      <c r="CX221" s="202"/>
      <c r="CY221" s="202"/>
      <c r="CZ221" s="202"/>
      <c r="DA221" s="202"/>
      <c r="DB221" s="202"/>
      <c r="DC221" s="202"/>
      <c r="DD221" s="202"/>
      <c r="DE221" s="202"/>
      <c r="DF221" s="202"/>
      <c r="DG221" s="202"/>
      <c r="DH221" s="202"/>
      <c r="DI221" s="202"/>
      <c r="DJ221" s="202"/>
      <c r="DK221" s="202"/>
      <c r="DL221" s="202"/>
      <c r="DM221" s="202"/>
      <c r="DN221" s="202"/>
      <c r="DO221" s="202"/>
      <c r="DP221" s="202"/>
      <c r="DQ221" s="202"/>
      <c r="DR221" s="202"/>
      <c r="DS221" s="202"/>
      <c r="DT221" s="202"/>
      <c r="DU221" s="202"/>
      <c r="DV221" s="202"/>
      <c r="DW221" s="202"/>
      <c r="DX221" s="202"/>
      <c r="DY221" s="202"/>
      <c r="DZ221" s="202"/>
      <c r="EA221" s="202"/>
      <c r="EB221" s="202"/>
      <c r="EC221" s="202"/>
      <c r="ED221" s="202"/>
      <c r="EE221" s="202"/>
      <c r="EF221" s="202"/>
      <c r="EG221" s="202"/>
      <c r="EH221" s="202"/>
      <c r="EI221" s="202"/>
      <c r="EJ221" s="202"/>
      <c r="EK221" s="202"/>
      <c r="EL221" s="202"/>
      <c r="EM221" s="202"/>
      <c r="EN221" s="202"/>
      <c r="EO221" s="202"/>
      <c r="EP221" s="202"/>
      <c r="EQ221" s="202"/>
      <c r="ER221" s="202"/>
      <c r="ES221" s="202"/>
      <c r="ET221" s="202"/>
      <c r="EU221" s="202"/>
      <c r="EV221" s="202"/>
      <c r="EW221" s="202"/>
      <c r="EX221" s="202"/>
      <c r="EY221" s="202"/>
      <c r="EZ221" s="202"/>
      <c r="FA221" s="202"/>
      <c r="FB221" s="202"/>
      <c r="FC221" s="202"/>
      <c r="FD221" s="202"/>
      <c r="FE221" s="202"/>
      <c r="FF221" s="202"/>
      <c r="FG221" s="202"/>
      <c r="FH221" s="202"/>
      <c r="FI221" s="202"/>
    </row>
    <row r="222" spans="1:165" s="228" customFormat="1" ht="18" customHeight="1" x14ac:dyDescent="0.25">
      <c r="A222" s="578">
        <f t="shared" si="5"/>
        <v>213</v>
      </c>
      <c r="B222" s="588">
        <v>0</v>
      </c>
      <c r="C222" s="585" t="s">
        <v>135</v>
      </c>
      <c r="D222" s="585" t="s">
        <v>477</v>
      </c>
      <c r="E222" s="589" t="s">
        <v>478</v>
      </c>
      <c r="F222" s="586" t="s">
        <v>1044</v>
      </c>
      <c r="G222" s="556" t="s">
        <v>479</v>
      </c>
      <c r="H222" s="599" t="s">
        <v>1170</v>
      </c>
      <c r="I222" s="593">
        <v>3</v>
      </c>
      <c r="J222" s="556" t="s">
        <v>64</v>
      </c>
      <c r="K222" s="594">
        <v>9</v>
      </c>
      <c r="L222" s="306"/>
      <c r="M222" s="307"/>
      <c r="N222" s="307" t="s">
        <v>122</v>
      </c>
      <c r="O222" s="307"/>
      <c r="P222" s="307"/>
      <c r="Q222" s="79"/>
      <c r="R222" s="79"/>
      <c r="S222" s="585"/>
      <c r="T222" s="556" t="s">
        <v>120</v>
      </c>
      <c r="U222" s="556"/>
      <c r="V222" s="556"/>
      <c r="W222" s="556" t="s">
        <v>120</v>
      </c>
      <c r="X222" s="586" t="s">
        <v>120</v>
      </c>
      <c r="Y222" s="556"/>
      <c r="Z222" s="585"/>
      <c r="AA222" s="556"/>
      <c r="AB222" s="556"/>
      <c r="AC222" s="585"/>
      <c r="AD222" s="585"/>
      <c r="AE222" s="585" t="s">
        <v>120</v>
      </c>
      <c r="AF222" s="585" t="s">
        <v>120</v>
      </c>
      <c r="AG222" s="585" t="s">
        <v>120</v>
      </c>
      <c r="AH222" s="585" t="s">
        <v>120</v>
      </c>
      <c r="AI222" s="585"/>
      <c r="AJ222" s="79"/>
      <c r="AK222" s="79"/>
      <c r="AL222" s="585"/>
      <c r="AM222" s="585"/>
      <c r="AN222" s="585"/>
      <c r="AO222" s="585"/>
      <c r="AP222" s="585"/>
      <c r="AQ222" s="585"/>
      <c r="AR222" s="585"/>
      <c r="AS222" s="79"/>
      <c r="AT222" s="79"/>
      <c r="AU222" s="585"/>
      <c r="AV222" s="585"/>
      <c r="AW222" s="585"/>
      <c r="AX222" s="585"/>
      <c r="AY222" s="585"/>
      <c r="AZ222" s="585"/>
      <c r="BA222" s="585"/>
      <c r="BB222" s="585"/>
      <c r="BC222" s="585"/>
      <c r="BD222" s="585"/>
      <c r="BE222" s="79"/>
      <c r="BF222" s="79"/>
      <c r="BG222" s="585"/>
      <c r="BH222" s="585"/>
      <c r="BI222" s="585"/>
      <c r="BJ222" s="585"/>
      <c r="BK222" s="585"/>
      <c r="BL222" s="585"/>
      <c r="BM222" s="585"/>
      <c r="BN222" s="585"/>
      <c r="BO222" s="585"/>
      <c r="BP222" s="585"/>
      <c r="BQ222" s="79"/>
      <c r="BR222" s="79"/>
      <c r="BS222" s="585" t="s">
        <v>120</v>
      </c>
      <c r="BT222" s="79"/>
      <c r="BU222" s="79"/>
      <c r="BV222" s="585"/>
      <c r="BW222" s="585"/>
      <c r="BX222" s="585" t="s">
        <v>582</v>
      </c>
      <c r="BY222" s="585"/>
      <c r="BZ222" s="79"/>
      <c r="CA222" s="79"/>
      <c r="CB222" s="585"/>
      <c r="CC222" s="585"/>
      <c r="CD222" s="585"/>
      <c r="CE222" s="79"/>
      <c r="CF222" s="79"/>
      <c r="CG222" s="585"/>
      <c r="CH222" s="585" t="s">
        <v>40</v>
      </c>
      <c r="CI222" s="585" t="s">
        <v>40</v>
      </c>
      <c r="CJ222" s="201"/>
      <c r="CK222" s="202"/>
      <c r="CL222" s="202"/>
      <c r="CM222" s="202"/>
      <c r="CN222" s="202"/>
      <c r="CO222" s="202"/>
      <c r="CP222" s="202"/>
      <c r="CQ222" s="202"/>
      <c r="CR222" s="202"/>
      <c r="CS222" s="202"/>
      <c r="CT222" s="202"/>
      <c r="CU222" s="202"/>
      <c r="CV222" s="202"/>
      <c r="CW222" s="202"/>
      <c r="CX222" s="202"/>
      <c r="CY222" s="202"/>
      <c r="CZ222" s="202"/>
      <c r="DA222" s="202"/>
      <c r="DB222" s="202"/>
      <c r="DC222" s="202"/>
      <c r="DD222" s="202"/>
      <c r="DE222" s="202"/>
      <c r="DF222" s="202"/>
      <c r="DG222" s="202"/>
      <c r="DH222" s="202"/>
      <c r="DI222" s="202"/>
      <c r="DJ222" s="202"/>
      <c r="DK222" s="202"/>
      <c r="DL222" s="202"/>
      <c r="DM222" s="202"/>
      <c r="DN222" s="202"/>
      <c r="DO222" s="202"/>
      <c r="DP222" s="202"/>
      <c r="DQ222" s="202"/>
      <c r="DR222" s="202"/>
      <c r="DS222" s="202"/>
      <c r="DT222" s="202"/>
      <c r="DU222" s="202"/>
      <c r="DV222" s="202"/>
      <c r="DW222" s="202"/>
      <c r="DX222" s="202"/>
      <c r="DY222" s="202"/>
      <c r="DZ222" s="202"/>
      <c r="EA222" s="202"/>
      <c r="EB222" s="202"/>
      <c r="EC222" s="202"/>
      <c r="ED222" s="202"/>
      <c r="EE222" s="202"/>
      <c r="EF222" s="202"/>
      <c r="EG222" s="202"/>
      <c r="EH222" s="202"/>
      <c r="EI222" s="202"/>
      <c r="EJ222" s="202"/>
      <c r="EK222" s="202"/>
      <c r="EL222" s="202"/>
      <c r="EM222" s="202"/>
      <c r="EN222" s="202"/>
      <c r="EO222" s="202"/>
      <c r="EP222" s="202"/>
      <c r="EQ222" s="202"/>
      <c r="ER222" s="202"/>
      <c r="ES222" s="202"/>
      <c r="ET222" s="202"/>
      <c r="EU222" s="202"/>
      <c r="EV222" s="202"/>
      <c r="EW222" s="202"/>
      <c r="EX222" s="202"/>
      <c r="EY222" s="202"/>
      <c r="EZ222" s="202"/>
      <c r="FA222" s="202"/>
      <c r="FB222" s="202"/>
      <c r="FC222" s="202"/>
      <c r="FD222" s="202"/>
      <c r="FE222" s="202"/>
      <c r="FF222" s="202"/>
      <c r="FG222" s="202"/>
      <c r="FH222" s="202"/>
      <c r="FI222" s="202"/>
    </row>
    <row r="223" spans="1:165" s="228" customFormat="1" ht="18" customHeight="1" x14ac:dyDescent="0.25">
      <c r="A223" s="578">
        <f t="shared" si="5"/>
        <v>214</v>
      </c>
      <c r="B223" s="588">
        <v>0</v>
      </c>
      <c r="C223" s="585" t="s">
        <v>135</v>
      </c>
      <c r="D223" s="585" t="s">
        <v>480</v>
      </c>
      <c r="E223" s="589" t="s">
        <v>481</v>
      </c>
      <c r="F223" s="586" t="s">
        <v>1044</v>
      </c>
      <c r="G223" s="556" t="s">
        <v>482</v>
      </c>
      <c r="H223" s="599" t="s">
        <v>1169</v>
      </c>
      <c r="I223" s="593">
        <v>3</v>
      </c>
      <c r="J223" s="556" t="s">
        <v>64</v>
      </c>
      <c r="K223" s="594">
        <v>9</v>
      </c>
      <c r="L223" s="306"/>
      <c r="M223" s="307"/>
      <c r="N223" s="307" t="s">
        <v>122</v>
      </c>
      <c r="O223" s="307"/>
      <c r="P223" s="307"/>
      <c r="Q223" s="79"/>
      <c r="R223" s="79"/>
      <c r="S223" s="585"/>
      <c r="T223" s="556" t="s">
        <v>120</v>
      </c>
      <c r="U223" s="556"/>
      <c r="V223" s="556"/>
      <c r="W223" s="556" t="s">
        <v>120</v>
      </c>
      <c r="X223" s="586" t="s">
        <v>120</v>
      </c>
      <c r="Y223" s="556"/>
      <c r="Z223" s="585"/>
      <c r="AA223" s="556"/>
      <c r="AB223" s="556"/>
      <c r="AC223" s="585"/>
      <c r="AD223" s="585"/>
      <c r="AE223" s="585" t="s">
        <v>120</v>
      </c>
      <c r="AF223" s="585" t="s">
        <v>120</v>
      </c>
      <c r="AG223" s="585" t="s">
        <v>120</v>
      </c>
      <c r="AH223" s="585" t="s">
        <v>120</v>
      </c>
      <c r="AI223" s="585"/>
      <c r="AJ223" s="79"/>
      <c r="AK223" s="79"/>
      <c r="AL223" s="585"/>
      <c r="AM223" s="585"/>
      <c r="AN223" s="585"/>
      <c r="AO223" s="585"/>
      <c r="AP223" s="585"/>
      <c r="AQ223" s="585"/>
      <c r="AR223" s="585"/>
      <c r="AS223" s="79"/>
      <c r="AT223" s="79"/>
      <c r="AU223" s="585"/>
      <c r="AV223" s="585"/>
      <c r="AW223" s="585"/>
      <c r="AX223" s="585"/>
      <c r="AY223" s="585"/>
      <c r="AZ223" s="585"/>
      <c r="BA223" s="585"/>
      <c r="BB223" s="585"/>
      <c r="BC223" s="585"/>
      <c r="BD223" s="585"/>
      <c r="BE223" s="79"/>
      <c r="BF223" s="79"/>
      <c r="BG223" s="585"/>
      <c r="BH223" s="585"/>
      <c r="BI223" s="585"/>
      <c r="BJ223" s="585"/>
      <c r="BK223" s="585"/>
      <c r="BL223" s="585"/>
      <c r="BM223" s="585"/>
      <c r="BN223" s="585"/>
      <c r="BO223" s="585"/>
      <c r="BP223" s="585"/>
      <c r="BQ223" s="79"/>
      <c r="BR223" s="79"/>
      <c r="BS223" s="585" t="s">
        <v>120</v>
      </c>
      <c r="BT223" s="79"/>
      <c r="BU223" s="79"/>
      <c r="BV223" s="585"/>
      <c r="BW223" s="585"/>
      <c r="BX223" s="585" t="s">
        <v>582</v>
      </c>
      <c r="BY223" s="585"/>
      <c r="BZ223" s="79"/>
      <c r="CA223" s="79"/>
      <c r="CB223" s="585"/>
      <c r="CC223" s="585"/>
      <c r="CD223" s="585"/>
      <c r="CE223" s="79"/>
      <c r="CF223" s="79"/>
      <c r="CG223" s="585"/>
      <c r="CH223" s="585" t="s">
        <v>40</v>
      </c>
      <c r="CI223" s="585" t="s">
        <v>40</v>
      </c>
      <c r="CJ223" s="201"/>
      <c r="CK223" s="202"/>
      <c r="CL223" s="202"/>
      <c r="CM223" s="202"/>
      <c r="CN223" s="202"/>
      <c r="CO223" s="202"/>
      <c r="CP223" s="202"/>
      <c r="CQ223" s="202"/>
      <c r="CR223" s="202"/>
      <c r="CS223" s="202"/>
      <c r="CT223" s="202"/>
      <c r="CU223" s="202"/>
      <c r="CV223" s="202"/>
      <c r="CW223" s="202"/>
      <c r="CX223" s="202"/>
      <c r="CY223" s="202"/>
      <c r="CZ223" s="202"/>
      <c r="DA223" s="202"/>
      <c r="DB223" s="202"/>
      <c r="DC223" s="202"/>
      <c r="DD223" s="202"/>
      <c r="DE223" s="202"/>
      <c r="DF223" s="202"/>
      <c r="DG223" s="202"/>
      <c r="DH223" s="202"/>
      <c r="DI223" s="202"/>
      <c r="DJ223" s="202"/>
      <c r="DK223" s="202"/>
      <c r="DL223" s="202"/>
      <c r="DM223" s="202"/>
      <c r="DN223" s="202"/>
      <c r="DO223" s="202"/>
      <c r="DP223" s="202"/>
      <c r="DQ223" s="202"/>
      <c r="DR223" s="202"/>
      <c r="DS223" s="202"/>
      <c r="DT223" s="202"/>
      <c r="DU223" s="202"/>
      <c r="DV223" s="202"/>
      <c r="DW223" s="202"/>
      <c r="DX223" s="202"/>
      <c r="DY223" s="202"/>
      <c r="DZ223" s="202"/>
      <c r="EA223" s="202"/>
      <c r="EB223" s="202"/>
      <c r="EC223" s="202"/>
      <c r="ED223" s="202"/>
      <c r="EE223" s="202"/>
      <c r="EF223" s="202"/>
      <c r="EG223" s="202"/>
      <c r="EH223" s="202"/>
      <c r="EI223" s="202"/>
      <c r="EJ223" s="202"/>
      <c r="EK223" s="202"/>
      <c r="EL223" s="202"/>
      <c r="EM223" s="202"/>
      <c r="EN223" s="202"/>
      <c r="EO223" s="202"/>
      <c r="EP223" s="202"/>
      <c r="EQ223" s="202"/>
      <c r="ER223" s="202"/>
      <c r="ES223" s="202"/>
      <c r="ET223" s="202"/>
      <c r="EU223" s="202"/>
      <c r="EV223" s="202"/>
      <c r="EW223" s="202"/>
      <c r="EX223" s="202"/>
      <c r="EY223" s="202"/>
      <c r="EZ223" s="202"/>
      <c r="FA223" s="202"/>
      <c r="FB223" s="202"/>
      <c r="FC223" s="202"/>
      <c r="FD223" s="202"/>
      <c r="FE223" s="202"/>
      <c r="FF223" s="202"/>
      <c r="FG223" s="202"/>
      <c r="FH223" s="202"/>
      <c r="FI223" s="202"/>
    </row>
    <row r="224" spans="1:165" s="228" customFormat="1" ht="18" customHeight="1" x14ac:dyDescent="0.2">
      <c r="A224" s="289">
        <f t="shared" si="5"/>
        <v>215</v>
      </c>
      <c r="B224" s="78"/>
      <c r="C224" s="79"/>
      <c r="D224" s="79"/>
      <c r="E224" s="77"/>
      <c r="F224" s="79"/>
      <c r="G224" s="76"/>
      <c r="H224" s="176"/>
      <c r="I224" s="142"/>
      <c r="J224" s="76"/>
      <c r="K224" s="141"/>
      <c r="L224" s="261"/>
      <c r="M224" s="79"/>
      <c r="N224" s="79"/>
      <c r="O224" s="79"/>
      <c r="P224" s="79"/>
      <c r="Q224" s="79"/>
      <c r="R224" s="79"/>
      <c r="S224" s="79"/>
      <c r="T224" s="79"/>
      <c r="U224" s="79"/>
      <c r="V224" s="79"/>
      <c r="W224" s="79"/>
      <c r="X224" s="79"/>
      <c r="Y224" s="79"/>
      <c r="Z224" s="79"/>
      <c r="AA224" s="79"/>
      <c r="AB224" s="79"/>
      <c r="AC224" s="79"/>
      <c r="AD224" s="79"/>
      <c r="AE224" s="79"/>
      <c r="AF224" s="79"/>
      <c r="AG224" s="79"/>
      <c r="AH224" s="79"/>
      <c r="AI224" s="79"/>
      <c r="AJ224" s="79"/>
      <c r="AK224" s="79"/>
      <c r="AL224" s="79"/>
      <c r="AM224" s="79"/>
      <c r="AN224" s="79"/>
      <c r="AO224" s="79"/>
      <c r="AP224" s="79"/>
      <c r="AQ224" s="79"/>
      <c r="AR224" s="79"/>
      <c r="AS224" s="79"/>
      <c r="AT224" s="79"/>
      <c r="AU224" s="79"/>
      <c r="AV224" s="79"/>
      <c r="AW224" s="79"/>
      <c r="AX224" s="79"/>
      <c r="AY224" s="79"/>
      <c r="AZ224" s="79"/>
      <c r="BA224" s="79"/>
      <c r="BB224" s="79"/>
      <c r="BC224" s="79"/>
      <c r="BD224" s="79"/>
      <c r="BE224" s="79"/>
      <c r="BF224" s="79"/>
      <c r="BG224" s="79"/>
      <c r="BH224" s="79"/>
      <c r="BI224" s="79"/>
      <c r="BJ224" s="79"/>
      <c r="BK224" s="79"/>
      <c r="BL224" s="79"/>
      <c r="BM224" s="79"/>
      <c r="BN224" s="79"/>
      <c r="BO224" s="79"/>
      <c r="BP224" s="79"/>
      <c r="BQ224" s="79"/>
      <c r="BR224" s="79"/>
      <c r="BS224" s="79"/>
      <c r="BT224" s="79"/>
      <c r="BU224" s="79"/>
      <c r="BV224" s="79"/>
      <c r="BW224" s="79"/>
      <c r="BX224" s="79"/>
      <c r="BY224" s="79"/>
      <c r="BZ224" s="79"/>
      <c r="CA224" s="79"/>
      <c r="CB224" s="79"/>
      <c r="CC224" s="79"/>
      <c r="CD224" s="79"/>
      <c r="CE224" s="79"/>
      <c r="CF224" s="79"/>
      <c r="CG224" s="79"/>
      <c r="CH224" s="79"/>
      <c r="CI224" s="79"/>
      <c r="CJ224" s="201"/>
      <c r="CK224" s="202"/>
      <c r="CL224" s="202"/>
      <c r="CM224" s="202"/>
      <c r="CN224" s="202"/>
      <c r="CO224" s="202"/>
      <c r="CP224" s="202"/>
      <c r="CQ224" s="202"/>
      <c r="CR224" s="202"/>
      <c r="CS224" s="202"/>
      <c r="CT224" s="202"/>
      <c r="CU224" s="202"/>
      <c r="CV224" s="202"/>
      <c r="CW224" s="202"/>
      <c r="CX224" s="202"/>
      <c r="CY224" s="202"/>
      <c r="CZ224" s="202"/>
      <c r="DA224" s="202"/>
      <c r="DB224" s="202"/>
      <c r="DC224" s="202"/>
      <c r="DD224" s="202"/>
      <c r="DE224" s="202"/>
      <c r="DF224" s="202"/>
      <c r="DG224" s="202"/>
      <c r="DH224" s="202"/>
      <c r="DI224" s="202"/>
      <c r="DJ224" s="202"/>
      <c r="DK224" s="202"/>
      <c r="DL224" s="202"/>
      <c r="DM224" s="202"/>
      <c r="DN224" s="202"/>
      <c r="DO224" s="202"/>
      <c r="DP224" s="202"/>
      <c r="DQ224" s="202"/>
      <c r="DR224" s="202"/>
      <c r="DS224" s="202"/>
      <c r="DT224" s="202"/>
      <c r="DU224" s="202"/>
      <c r="DV224" s="202"/>
      <c r="DW224" s="202"/>
      <c r="DX224" s="202"/>
      <c r="DY224" s="202"/>
      <c r="DZ224" s="202"/>
      <c r="EA224" s="202"/>
      <c r="EB224" s="202"/>
      <c r="EC224" s="202"/>
      <c r="ED224" s="202"/>
      <c r="EE224" s="202"/>
      <c r="EF224" s="202"/>
      <c r="EG224" s="202"/>
      <c r="EH224" s="202"/>
      <c r="EI224" s="202"/>
      <c r="EJ224" s="202"/>
      <c r="EK224" s="202"/>
      <c r="EL224" s="202"/>
      <c r="EM224" s="202"/>
      <c r="EN224" s="202"/>
      <c r="EO224" s="202"/>
      <c r="EP224" s="202"/>
      <c r="EQ224" s="202"/>
      <c r="ER224" s="202"/>
      <c r="ES224" s="202"/>
      <c r="ET224" s="202"/>
      <c r="EU224" s="202"/>
      <c r="EV224" s="202"/>
      <c r="EW224" s="202"/>
      <c r="EX224" s="202"/>
      <c r="EY224" s="202"/>
      <c r="EZ224" s="202"/>
      <c r="FA224" s="202"/>
      <c r="FB224" s="202"/>
      <c r="FC224" s="202"/>
      <c r="FD224" s="202"/>
      <c r="FE224" s="202"/>
      <c r="FF224" s="202"/>
      <c r="FG224" s="202"/>
      <c r="FH224" s="202"/>
      <c r="FI224" s="202"/>
    </row>
    <row r="225" spans="1:165" s="228" customFormat="1" ht="18" customHeight="1" x14ac:dyDescent="0.25">
      <c r="A225" s="578">
        <f t="shared" si="5"/>
        <v>216</v>
      </c>
      <c r="B225" s="588">
        <v>0</v>
      </c>
      <c r="C225" s="591" t="s">
        <v>135</v>
      </c>
      <c r="D225" s="585" t="s">
        <v>483</v>
      </c>
      <c r="E225" s="589" t="s">
        <v>484</v>
      </c>
      <c r="F225" s="567" t="s">
        <v>1044</v>
      </c>
      <c r="G225" s="556" t="s">
        <v>110</v>
      </c>
      <c r="H225" s="599" t="s">
        <v>1153</v>
      </c>
      <c r="I225" s="605">
        <v>9</v>
      </c>
      <c r="J225" s="556"/>
      <c r="K225" s="594"/>
      <c r="L225" s="306"/>
      <c r="M225" s="307"/>
      <c r="N225" s="307"/>
      <c r="O225" s="307"/>
      <c r="P225" s="307"/>
      <c r="Q225" s="79"/>
      <c r="R225" s="79"/>
      <c r="S225" s="585"/>
      <c r="T225" s="585"/>
      <c r="U225" s="585"/>
      <c r="V225" s="585"/>
      <c r="W225" s="585"/>
      <c r="X225" s="585"/>
      <c r="Y225" s="585"/>
      <c r="Z225" s="585"/>
      <c r="AA225" s="585"/>
      <c r="AB225" s="585"/>
      <c r="AC225" s="585"/>
      <c r="AD225" s="585"/>
      <c r="AE225" s="585"/>
      <c r="AF225" s="585"/>
      <c r="AG225" s="585"/>
      <c r="AH225" s="585"/>
      <c r="AI225" s="585"/>
      <c r="AJ225" s="79"/>
      <c r="AK225" s="79"/>
      <c r="AL225" s="585"/>
      <c r="AM225" s="585"/>
      <c r="AN225" s="585"/>
      <c r="AO225" s="585"/>
      <c r="AP225" s="585"/>
      <c r="AQ225" s="585"/>
      <c r="AR225" s="585"/>
      <c r="AS225" s="79"/>
      <c r="AT225" s="79"/>
      <c r="AU225" s="585"/>
      <c r="AV225" s="585"/>
      <c r="AW225" s="585"/>
      <c r="AX225" s="585"/>
      <c r="AY225" s="585"/>
      <c r="AZ225" s="585"/>
      <c r="BA225" s="585"/>
      <c r="BB225" s="585"/>
      <c r="BC225" s="585"/>
      <c r="BD225" s="585"/>
      <c r="BE225" s="79"/>
      <c r="BF225" s="79"/>
      <c r="BG225" s="585"/>
      <c r="BH225" s="585"/>
      <c r="BI225" s="585"/>
      <c r="BJ225" s="585"/>
      <c r="BK225" s="585"/>
      <c r="BL225" s="585"/>
      <c r="BM225" s="585"/>
      <c r="BN225" s="585"/>
      <c r="BO225" s="585"/>
      <c r="BP225" s="585"/>
      <c r="BQ225" s="79"/>
      <c r="BR225" s="79"/>
      <c r="BS225" s="585"/>
      <c r="BT225" s="79"/>
      <c r="BU225" s="79"/>
      <c r="BV225" s="585"/>
      <c r="BW225" s="585"/>
      <c r="BX225" s="585"/>
      <c r="BY225" s="585"/>
      <c r="BZ225" s="79"/>
      <c r="CA225" s="79"/>
      <c r="CB225" s="585"/>
      <c r="CC225" s="585"/>
      <c r="CD225" s="585"/>
      <c r="CE225" s="79"/>
      <c r="CF225" s="79"/>
      <c r="CG225" s="585"/>
      <c r="CH225" s="585" t="s">
        <v>40</v>
      </c>
      <c r="CI225" s="585" t="s">
        <v>40</v>
      </c>
      <c r="CJ225" s="201"/>
      <c r="CK225" s="202"/>
      <c r="CL225" s="202"/>
      <c r="CM225" s="202"/>
      <c r="CN225" s="202"/>
      <c r="CO225" s="202"/>
      <c r="CP225" s="202"/>
      <c r="CQ225" s="202"/>
      <c r="CR225" s="202"/>
      <c r="CS225" s="202"/>
      <c r="CT225" s="202"/>
      <c r="CU225" s="202"/>
      <c r="CV225" s="202"/>
      <c r="CW225" s="202"/>
      <c r="CX225" s="202"/>
      <c r="CY225" s="202"/>
      <c r="CZ225" s="202"/>
      <c r="DA225" s="202"/>
      <c r="DB225" s="202"/>
      <c r="DC225" s="202"/>
      <c r="DD225" s="202"/>
      <c r="DE225" s="202"/>
      <c r="DF225" s="202"/>
      <c r="DG225" s="202"/>
      <c r="DH225" s="202"/>
      <c r="DI225" s="202"/>
      <c r="DJ225" s="202"/>
      <c r="DK225" s="202"/>
      <c r="DL225" s="202"/>
      <c r="DM225" s="202"/>
      <c r="DN225" s="202"/>
      <c r="DO225" s="202"/>
      <c r="DP225" s="202"/>
      <c r="DQ225" s="202"/>
      <c r="DR225" s="202"/>
      <c r="DS225" s="202"/>
      <c r="DT225" s="202"/>
      <c r="DU225" s="202"/>
      <c r="DV225" s="202"/>
      <c r="DW225" s="202"/>
      <c r="DX225" s="202"/>
      <c r="DY225" s="202"/>
      <c r="DZ225" s="202"/>
      <c r="EA225" s="202"/>
      <c r="EB225" s="202"/>
      <c r="EC225" s="202"/>
      <c r="ED225" s="202"/>
      <c r="EE225" s="202"/>
      <c r="EF225" s="202"/>
      <c r="EG225" s="202"/>
      <c r="EH225" s="202"/>
      <c r="EI225" s="202"/>
      <c r="EJ225" s="202"/>
      <c r="EK225" s="202"/>
      <c r="EL225" s="202"/>
      <c r="EM225" s="202"/>
      <c r="EN225" s="202"/>
      <c r="EO225" s="202"/>
      <c r="EP225" s="202"/>
      <c r="EQ225" s="202"/>
      <c r="ER225" s="202"/>
      <c r="ES225" s="202"/>
      <c r="ET225" s="202"/>
      <c r="EU225" s="202"/>
      <c r="EV225" s="202"/>
      <c r="EW225" s="202"/>
      <c r="EX225" s="202"/>
      <c r="EY225" s="202"/>
      <c r="EZ225" s="202"/>
      <c r="FA225" s="202"/>
      <c r="FB225" s="202"/>
      <c r="FC225" s="202"/>
      <c r="FD225" s="202"/>
      <c r="FE225" s="202"/>
      <c r="FF225" s="202"/>
      <c r="FG225" s="202"/>
      <c r="FH225" s="202"/>
      <c r="FI225" s="202"/>
    </row>
    <row r="226" spans="1:165" s="228" customFormat="1" ht="18" customHeight="1" x14ac:dyDescent="0.25">
      <c r="A226" s="578">
        <f t="shared" si="5"/>
        <v>217</v>
      </c>
      <c r="B226" s="588">
        <v>0</v>
      </c>
      <c r="C226" s="591" t="s">
        <v>135</v>
      </c>
      <c r="D226" s="585" t="s">
        <v>485</v>
      </c>
      <c r="E226" s="589" t="s">
        <v>486</v>
      </c>
      <c r="F226" s="567" t="s">
        <v>1044</v>
      </c>
      <c r="G226" s="556" t="s">
        <v>487</v>
      </c>
      <c r="H226" s="599" t="s">
        <v>1152</v>
      </c>
      <c r="I226" s="593">
        <v>4</v>
      </c>
      <c r="J226" s="556"/>
      <c r="K226" s="594"/>
      <c r="L226" s="306"/>
      <c r="M226" s="307"/>
      <c r="N226" s="307"/>
      <c r="O226" s="307" t="s">
        <v>122</v>
      </c>
      <c r="P226" s="307"/>
      <c r="Q226" s="79"/>
      <c r="R226" s="79"/>
      <c r="S226" s="585"/>
      <c r="T226" s="585"/>
      <c r="U226" s="585"/>
      <c r="V226" s="585"/>
      <c r="W226" s="585"/>
      <c r="X226" s="585"/>
      <c r="Y226" s="585"/>
      <c r="Z226" s="585"/>
      <c r="AA226" s="585"/>
      <c r="AB226" s="585"/>
      <c r="AC226" s="585"/>
      <c r="AD226" s="585"/>
      <c r="AE226" s="585"/>
      <c r="AF226" s="585"/>
      <c r="AG226" s="585"/>
      <c r="AH226" s="585"/>
      <c r="AI226" s="585"/>
      <c r="AJ226" s="79"/>
      <c r="AK226" s="79"/>
      <c r="AL226" s="585"/>
      <c r="AM226" s="585"/>
      <c r="AN226" s="585"/>
      <c r="AO226" s="585"/>
      <c r="AP226" s="585"/>
      <c r="AQ226" s="585"/>
      <c r="AR226" s="585"/>
      <c r="AS226" s="79"/>
      <c r="AT226" s="79"/>
      <c r="AU226" s="585"/>
      <c r="AV226" s="585"/>
      <c r="AW226" s="585"/>
      <c r="AX226" s="585" t="s">
        <v>120</v>
      </c>
      <c r="AY226" s="585"/>
      <c r="AZ226" s="585"/>
      <c r="BA226" s="585"/>
      <c r="BB226" s="585"/>
      <c r="BC226" s="585"/>
      <c r="BD226" s="585" t="s">
        <v>121</v>
      </c>
      <c r="BE226" s="79"/>
      <c r="BF226" s="79"/>
      <c r="BG226" s="585"/>
      <c r="BH226" s="585"/>
      <c r="BI226" s="585"/>
      <c r="BJ226" s="585"/>
      <c r="BK226" s="585"/>
      <c r="BL226" s="585"/>
      <c r="BM226" s="585"/>
      <c r="BN226" s="585"/>
      <c r="BO226" s="585"/>
      <c r="BP226" s="585"/>
      <c r="BQ226" s="79"/>
      <c r="BR226" s="79"/>
      <c r="BS226" s="585"/>
      <c r="BT226" s="79"/>
      <c r="BU226" s="79"/>
      <c r="BV226" s="585"/>
      <c r="BW226" s="585"/>
      <c r="BX226" s="585"/>
      <c r="BY226" s="585"/>
      <c r="BZ226" s="79"/>
      <c r="CA226" s="79"/>
      <c r="CB226" s="585"/>
      <c r="CC226" s="585"/>
      <c r="CD226" s="585"/>
      <c r="CE226" s="79"/>
      <c r="CF226" s="79"/>
      <c r="CG226" s="585"/>
      <c r="CH226" s="585" t="s">
        <v>40</v>
      </c>
      <c r="CI226" s="585" t="s">
        <v>40</v>
      </c>
      <c r="CJ226" s="201"/>
      <c r="CK226" s="202"/>
      <c r="CL226" s="202"/>
      <c r="CM226" s="202"/>
      <c r="CN226" s="202"/>
      <c r="CO226" s="202"/>
      <c r="CP226" s="202"/>
      <c r="CQ226" s="202"/>
      <c r="CR226" s="202"/>
      <c r="CS226" s="202"/>
      <c r="CT226" s="202"/>
      <c r="CU226" s="202"/>
      <c r="CV226" s="202"/>
      <c r="CW226" s="202"/>
      <c r="CX226" s="202"/>
      <c r="CY226" s="202"/>
      <c r="CZ226" s="202"/>
      <c r="DA226" s="202"/>
      <c r="DB226" s="202"/>
      <c r="DC226" s="202"/>
      <c r="DD226" s="202"/>
      <c r="DE226" s="202"/>
      <c r="DF226" s="202"/>
      <c r="DG226" s="202"/>
      <c r="DH226" s="202"/>
      <c r="DI226" s="202"/>
      <c r="DJ226" s="202"/>
      <c r="DK226" s="202"/>
      <c r="DL226" s="202"/>
      <c r="DM226" s="202"/>
      <c r="DN226" s="202"/>
      <c r="DO226" s="202"/>
      <c r="DP226" s="202"/>
      <c r="DQ226" s="202"/>
      <c r="DR226" s="202"/>
      <c r="DS226" s="202"/>
      <c r="DT226" s="202"/>
      <c r="DU226" s="202"/>
      <c r="DV226" s="202"/>
      <c r="DW226" s="202"/>
      <c r="DX226" s="202"/>
      <c r="DY226" s="202"/>
      <c r="DZ226" s="202"/>
      <c r="EA226" s="202"/>
      <c r="EB226" s="202"/>
      <c r="EC226" s="202"/>
      <c r="ED226" s="202"/>
      <c r="EE226" s="202"/>
      <c r="EF226" s="202"/>
      <c r="EG226" s="202"/>
      <c r="EH226" s="202"/>
      <c r="EI226" s="202"/>
      <c r="EJ226" s="202"/>
      <c r="EK226" s="202"/>
      <c r="EL226" s="202"/>
      <c r="EM226" s="202"/>
      <c r="EN226" s="202"/>
      <c r="EO226" s="202"/>
      <c r="EP226" s="202"/>
      <c r="EQ226" s="202"/>
      <c r="ER226" s="202"/>
      <c r="ES226" s="202"/>
      <c r="ET226" s="202"/>
      <c r="EU226" s="202"/>
      <c r="EV226" s="202"/>
      <c r="EW226" s="202"/>
      <c r="EX226" s="202"/>
      <c r="EY226" s="202"/>
      <c r="EZ226" s="202"/>
      <c r="FA226" s="202"/>
      <c r="FB226" s="202"/>
      <c r="FC226" s="202"/>
      <c r="FD226" s="202"/>
      <c r="FE226" s="202"/>
      <c r="FF226" s="202"/>
      <c r="FG226" s="202"/>
      <c r="FH226" s="202"/>
      <c r="FI226" s="202"/>
    </row>
    <row r="227" spans="1:165" s="228" customFormat="1" ht="18" customHeight="1" x14ac:dyDescent="0.25">
      <c r="A227" s="578">
        <f t="shared" si="5"/>
        <v>218</v>
      </c>
      <c r="B227" s="588">
        <v>0</v>
      </c>
      <c r="C227" s="591" t="s">
        <v>135</v>
      </c>
      <c r="D227" s="585" t="s">
        <v>488</v>
      </c>
      <c r="E227" s="589" t="s">
        <v>489</v>
      </c>
      <c r="F227" s="567" t="s">
        <v>1044</v>
      </c>
      <c r="G227" s="556" t="s">
        <v>490</v>
      </c>
      <c r="H227" s="599" t="s">
        <v>1151</v>
      </c>
      <c r="I227" s="605">
        <v>9</v>
      </c>
      <c r="J227" s="556"/>
      <c r="K227" s="594"/>
      <c r="L227" s="306"/>
      <c r="M227" s="307"/>
      <c r="N227" s="307"/>
      <c r="O227" s="307"/>
      <c r="P227" s="307"/>
      <c r="Q227" s="79"/>
      <c r="R227" s="79"/>
      <c r="S227" s="585"/>
      <c r="T227" s="585"/>
      <c r="U227" s="585"/>
      <c r="V227" s="585"/>
      <c r="W227" s="585"/>
      <c r="X227" s="585"/>
      <c r="Y227" s="585"/>
      <c r="Z227" s="585"/>
      <c r="AA227" s="585"/>
      <c r="AB227" s="585"/>
      <c r="AC227" s="585"/>
      <c r="AD227" s="585"/>
      <c r="AE227" s="585"/>
      <c r="AF227" s="585"/>
      <c r="AG227" s="585"/>
      <c r="AH227" s="585"/>
      <c r="AI227" s="585"/>
      <c r="AJ227" s="79"/>
      <c r="AK227" s="79"/>
      <c r="AL227" s="585"/>
      <c r="AM227" s="585"/>
      <c r="AN227" s="585"/>
      <c r="AO227" s="585"/>
      <c r="AP227" s="585"/>
      <c r="AQ227" s="585"/>
      <c r="AR227" s="585"/>
      <c r="AS227" s="79"/>
      <c r="AT227" s="79"/>
      <c r="AU227" s="585"/>
      <c r="AV227" s="585"/>
      <c r="AW227" s="585"/>
      <c r="AX227" s="585"/>
      <c r="AY227" s="585"/>
      <c r="AZ227" s="585"/>
      <c r="BA227" s="585"/>
      <c r="BB227" s="585"/>
      <c r="BC227" s="585"/>
      <c r="BD227" s="585"/>
      <c r="BE227" s="79"/>
      <c r="BF227" s="79"/>
      <c r="BG227" s="585"/>
      <c r="BH227" s="585"/>
      <c r="BI227" s="585"/>
      <c r="BJ227" s="585"/>
      <c r="BK227" s="585"/>
      <c r="BL227" s="585"/>
      <c r="BM227" s="585"/>
      <c r="BN227" s="585"/>
      <c r="BO227" s="585"/>
      <c r="BP227" s="585"/>
      <c r="BQ227" s="79"/>
      <c r="BR227" s="79"/>
      <c r="BS227" s="585"/>
      <c r="BT227" s="79"/>
      <c r="BU227" s="79"/>
      <c r="BV227" s="585"/>
      <c r="BW227" s="585"/>
      <c r="BX227" s="585"/>
      <c r="BY227" s="585"/>
      <c r="BZ227" s="79"/>
      <c r="CA227" s="79"/>
      <c r="CB227" s="585"/>
      <c r="CC227" s="585"/>
      <c r="CD227" s="585"/>
      <c r="CE227" s="79"/>
      <c r="CF227" s="79"/>
      <c r="CG227" s="585"/>
      <c r="CH227" s="585" t="s">
        <v>40</v>
      </c>
      <c r="CI227" s="585" t="s">
        <v>40</v>
      </c>
      <c r="CJ227" s="201"/>
      <c r="CK227" s="202"/>
      <c r="CL227" s="202"/>
      <c r="CM227" s="202"/>
      <c r="CN227" s="202"/>
      <c r="CO227" s="202"/>
      <c r="CP227" s="202"/>
      <c r="CQ227" s="202"/>
      <c r="CR227" s="202"/>
      <c r="CS227" s="202"/>
      <c r="CT227" s="202"/>
      <c r="CU227" s="202"/>
      <c r="CV227" s="202"/>
      <c r="CW227" s="202"/>
      <c r="CX227" s="202"/>
      <c r="CY227" s="202"/>
      <c r="CZ227" s="202"/>
      <c r="DA227" s="202"/>
      <c r="DB227" s="202"/>
      <c r="DC227" s="202"/>
      <c r="DD227" s="202"/>
      <c r="DE227" s="202"/>
      <c r="DF227" s="202"/>
      <c r="DG227" s="202"/>
      <c r="DH227" s="202"/>
      <c r="DI227" s="202"/>
      <c r="DJ227" s="202"/>
      <c r="DK227" s="202"/>
      <c r="DL227" s="202"/>
      <c r="DM227" s="202"/>
      <c r="DN227" s="202"/>
      <c r="DO227" s="202"/>
      <c r="DP227" s="202"/>
      <c r="DQ227" s="202"/>
      <c r="DR227" s="202"/>
      <c r="DS227" s="202"/>
      <c r="DT227" s="202"/>
      <c r="DU227" s="202"/>
      <c r="DV227" s="202"/>
      <c r="DW227" s="202"/>
      <c r="DX227" s="202"/>
      <c r="DY227" s="202"/>
      <c r="DZ227" s="202"/>
      <c r="EA227" s="202"/>
      <c r="EB227" s="202"/>
      <c r="EC227" s="202"/>
      <c r="ED227" s="202"/>
      <c r="EE227" s="202"/>
      <c r="EF227" s="202"/>
      <c r="EG227" s="202"/>
      <c r="EH227" s="202"/>
      <c r="EI227" s="202"/>
      <c r="EJ227" s="202"/>
      <c r="EK227" s="202"/>
      <c r="EL227" s="202"/>
      <c r="EM227" s="202"/>
      <c r="EN227" s="202"/>
      <c r="EO227" s="202"/>
      <c r="EP227" s="202"/>
      <c r="EQ227" s="202"/>
      <c r="ER227" s="202"/>
      <c r="ES227" s="202"/>
      <c r="ET227" s="202"/>
      <c r="EU227" s="202"/>
      <c r="EV227" s="202"/>
      <c r="EW227" s="202"/>
      <c r="EX227" s="202"/>
      <c r="EY227" s="202"/>
      <c r="EZ227" s="202"/>
      <c r="FA227" s="202"/>
      <c r="FB227" s="202"/>
      <c r="FC227" s="202"/>
      <c r="FD227" s="202"/>
      <c r="FE227" s="202"/>
      <c r="FF227" s="202"/>
      <c r="FG227" s="202"/>
      <c r="FH227" s="202"/>
      <c r="FI227" s="202"/>
    </row>
    <row r="228" spans="1:165" s="228" customFormat="1" ht="18" customHeight="1" x14ac:dyDescent="0.25">
      <c r="A228" s="578">
        <f t="shared" si="5"/>
        <v>219</v>
      </c>
      <c r="B228" s="588">
        <v>0</v>
      </c>
      <c r="C228" s="591" t="s">
        <v>135</v>
      </c>
      <c r="D228" s="585" t="s">
        <v>1011</v>
      </c>
      <c r="E228" s="589" t="s">
        <v>1012</v>
      </c>
      <c r="F228" s="567" t="s">
        <v>1044</v>
      </c>
      <c r="G228" s="556" t="s">
        <v>1013</v>
      </c>
      <c r="H228" s="599" t="s">
        <v>1013</v>
      </c>
      <c r="I228" s="593"/>
      <c r="J228" s="556"/>
      <c r="K228" s="594"/>
      <c r="L228" s="306"/>
      <c r="M228" s="307"/>
      <c r="N228" s="307"/>
      <c r="O228" s="307"/>
      <c r="P228" s="307"/>
      <c r="Q228" s="79"/>
      <c r="R228" s="79"/>
      <c r="S228" s="585"/>
      <c r="T228" s="585"/>
      <c r="U228" s="585"/>
      <c r="V228" s="585"/>
      <c r="W228" s="585"/>
      <c r="X228" s="585"/>
      <c r="Y228" s="585"/>
      <c r="Z228" s="585"/>
      <c r="AA228" s="585"/>
      <c r="AB228" s="585"/>
      <c r="AC228" s="585"/>
      <c r="AD228" s="585"/>
      <c r="AE228" s="585"/>
      <c r="AF228" s="585"/>
      <c r="AG228" s="585"/>
      <c r="AH228" s="585"/>
      <c r="AI228" s="585"/>
      <c r="AJ228" s="79"/>
      <c r="AK228" s="79"/>
      <c r="AL228" s="585"/>
      <c r="AM228" s="585"/>
      <c r="AN228" s="585"/>
      <c r="AO228" s="585"/>
      <c r="AP228" s="585"/>
      <c r="AQ228" s="585"/>
      <c r="AR228" s="585"/>
      <c r="AS228" s="79"/>
      <c r="AT228" s="79"/>
      <c r="AU228" s="585"/>
      <c r="AV228" s="585"/>
      <c r="AW228" s="585"/>
      <c r="AX228" s="585"/>
      <c r="AY228" s="585"/>
      <c r="AZ228" s="585"/>
      <c r="BA228" s="585"/>
      <c r="BB228" s="585"/>
      <c r="BC228" s="585"/>
      <c r="BD228" s="585"/>
      <c r="BE228" s="79"/>
      <c r="BF228" s="79"/>
      <c r="BG228" s="585"/>
      <c r="BH228" s="585"/>
      <c r="BI228" s="585"/>
      <c r="BJ228" s="585"/>
      <c r="BK228" s="585"/>
      <c r="BL228" s="585"/>
      <c r="BM228" s="585"/>
      <c r="BN228" s="585"/>
      <c r="BO228" s="585"/>
      <c r="BP228" s="585"/>
      <c r="BQ228" s="79"/>
      <c r="BR228" s="79"/>
      <c r="BS228" s="585"/>
      <c r="BT228" s="79"/>
      <c r="BU228" s="79"/>
      <c r="BV228" s="585"/>
      <c r="BW228" s="585"/>
      <c r="BX228" s="585"/>
      <c r="BY228" s="585"/>
      <c r="BZ228" s="79"/>
      <c r="CA228" s="79"/>
      <c r="CB228" s="585"/>
      <c r="CC228" s="585"/>
      <c r="CD228" s="585"/>
      <c r="CE228" s="79"/>
      <c r="CF228" s="79"/>
      <c r="CG228" s="585"/>
      <c r="CH228" s="585"/>
      <c r="CI228" s="585"/>
      <c r="CJ228" s="201"/>
      <c r="CK228" s="202"/>
      <c r="CL228" s="202"/>
      <c r="CM228" s="202"/>
      <c r="CN228" s="202"/>
      <c r="CO228" s="202"/>
      <c r="CP228" s="202"/>
      <c r="CQ228" s="202"/>
      <c r="CR228" s="202"/>
      <c r="CS228" s="202"/>
      <c r="CT228" s="202"/>
      <c r="CU228" s="202"/>
      <c r="CV228" s="202"/>
      <c r="CW228" s="202"/>
      <c r="CX228" s="202"/>
      <c r="CY228" s="202"/>
      <c r="CZ228" s="202"/>
      <c r="DA228" s="202"/>
      <c r="DB228" s="202"/>
      <c r="DC228" s="202"/>
      <c r="DD228" s="202"/>
      <c r="DE228" s="202"/>
      <c r="DF228" s="202"/>
      <c r="DG228" s="202"/>
      <c r="DH228" s="202"/>
      <c r="DI228" s="202"/>
      <c r="DJ228" s="202"/>
      <c r="DK228" s="202"/>
      <c r="DL228" s="202"/>
      <c r="DM228" s="202"/>
      <c r="DN228" s="202"/>
      <c r="DO228" s="202"/>
      <c r="DP228" s="202"/>
      <c r="DQ228" s="202"/>
      <c r="DR228" s="202"/>
      <c r="DS228" s="202"/>
      <c r="DT228" s="202"/>
      <c r="DU228" s="202"/>
      <c r="DV228" s="202"/>
      <c r="DW228" s="202"/>
      <c r="DX228" s="202"/>
      <c r="DY228" s="202"/>
      <c r="DZ228" s="202"/>
      <c r="EA228" s="202"/>
      <c r="EB228" s="202"/>
      <c r="EC228" s="202"/>
      <c r="ED228" s="202"/>
      <c r="EE228" s="202"/>
      <c r="EF228" s="202"/>
      <c r="EG228" s="202"/>
      <c r="EH228" s="202"/>
      <c r="EI228" s="202"/>
      <c r="EJ228" s="202"/>
      <c r="EK228" s="202"/>
      <c r="EL228" s="202"/>
      <c r="EM228" s="202"/>
      <c r="EN228" s="202"/>
      <c r="EO228" s="202"/>
      <c r="EP228" s="202"/>
      <c r="EQ228" s="202"/>
      <c r="ER228" s="202"/>
      <c r="ES228" s="202"/>
      <c r="ET228" s="202"/>
      <c r="EU228" s="202"/>
      <c r="EV228" s="202"/>
      <c r="EW228" s="202"/>
      <c r="EX228" s="202"/>
      <c r="EY228" s="202"/>
      <c r="EZ228" s="202"/>
      <c r="FA228" s="202"/>
      <c r="FB228" s="202"/>
      <c r="FC228" s="202"/>
      <c r="FD228" s="202"/>
      <c r="FE228" s="202"/>
      <c r="FF228" s="202"/>
      <c r="FG228" s="202"/>
      <c r="FH228" s="202"/>
      <c r="FI228" s="202"/>
    </row>
    <row r="229" spans="1:165" s="228" customFormat="1" ht="18" customHeight="1" x14ac:dyDescent="0.25">
      <c r="A229" s="578">
        <f t="shared" si="5"/>
        <v>220</v>
      </c>
      <c r="B229" s="588">
        <v>0</v>
      </c>
      <c r="C229" s="591" t="s">
        <v>135</v>
      </c>
      <c r="D229" s="585" t="s">
        <v>491</v>
      </c>
      <c r="E229" s="589" t="s">
        <v>778</v>
      </c>
      <c r="F229" s="567" t="s">
        <v>1044</v>
      </c>
      <c r="G229" s="556" t="s">
        <v>492</v>
      </c>
      <c r="H229" s="599" t="s">
        <v>1148</v>
      </c>
      <c r="I229" s="605">
        <v>9</v>
      </c>
      <c r="J229" s="556"/>
      <c r="K229" s="594"/>
      <c r="L229" s="306"/>
      <c r="M229" s="307"/>
      <c r="N229" s="307"/>
      <c r="O229" s="307"/>
      <c r="P229" s="307"/>
      <c r="Q229" s="79"/>
      <c r="R229" s="79"/>
      <c r="S229" s="585"/>
      <c r="T229" s="585"/>
      <c r="U229" s="585"/>
      <c r="V229" s="585"/>
      <c r="W229" s="585"/>
      <c r="X229" s="585"/>
      <c r="Y229" s="585"/>
      <c r="Z229" s="585"/>
      <c r="AA229" s="585"/>
      <c r="AB229" s="585"/>
      <c r="AC229" s="585"/>
      <c r="AD229" s="585"/>
      <c r="AE229" s="585"/>
      <c r="AF229" s="585"/>
      <c r="AG229" s="585"/>
      <c r="AH229" s="585"/>
      <c r="AI229" s="585"/>
      <c r="AJ229" s="79"/>
      <c r="AK229" s="79"/>
      <c r="AL229" s="585"/>
      <c r="AM229" s="585"/>
      <c r="AN229" s="585"/>
      <c r="AO229" s="585"/>
      <c r="AP229" s="585"/>
      <c r="AQ229" s="585"/>
      <c r="AR229" s="585"/>
      <c r="AS229" s="79"/>
      <c r="AT229" s="79"/>
      <c r="AU229" s="585"/>
      <c r="AV229" s="585"/>
      <c r="AW229" s="585"/>
      <c r="AX229" s="585"/>
      <c r="AY229" s="585"/>
      <c r="AZ229" s="585"/>
      <c r="BA229" s="585"/>
      <c r="BB229" s="585"/>
      <c r="BC229" s="585"/>
      <c r="BD229" s="585"/>
      <c r="BE229" s="79"/>
      <c r="BF229" s="79"/>
      <c r="BG229" s="585"/>
      <c r="BH229" s="585"/>
      <c r="BI229" s="585"/>
      <c r="BJ229" s="585"/>
      <c r="BK229" s="585"/>
      <c r="BL229" s="585"/>
      <c r="BM229" s="585"/>
      <c r="BN229" s="585"/>
      <c r="BO229" s="585"/>
      <c r="BP229" s="585"/>
      <c r="BQ229" s="79"/>
      <c r="BR229" s="79"/>
      <c r="BS229" s="585"/>
      <c r="BT229" s="79"/>
      <c r="BU229" s="79"/>
      <c r="BV229" s="585"/>
      <c r="BW229" s="585"/>
      <c r="BX229" s="585"/>
      <c r="BY229" s="585"/>
      <c r="BZ229" s="79"/>
      <c r="CA229" s="79"/>
      <c r="CB229" s="585"/>
      <c r="CC229" s="585"/>
      <c r="CD229" s="585"/>
      <c r="CE229" s="79"/>
      <c r="CF229" s="79"/>
      <c r="CG229" s="585"/>
      <c r="CH229" s="585" t="s">
        <v>40</v>
      </c>
      <c r="CI229" s="585" t="s">
        <v>40</v>
      </c>
      <c r="CJ229" s="201"/>
      <c r="CK229" s="202"/>
      <c r="CL229" s="202"/>
      <c r="CM229" s="202"/>
      <c r="CN229" s="202"/>
      <c r="CO229" s="202"/>
      <c r="CP229" s="202"/>
      <c r="CQ229" s="202"/>
      <c r="CR229" s="202"/>
      <c r="CS229" s="202"/>
      <c r="CT229" s="202"/>
      <c r="CU229" s="202"/>
      <c r="CV229" s="202"/>
      <c r="CW229" s="202"/>
      <c r="CX229" s="202"/>
      <c r="CY229" s="202"/>
      <c r="CZ229" s="202"/>
      <c r="DA229" s="202"/>
      <c r="DB229" s="202"/>
      <c r="DC229" s="202"/>
      <c r="DD229" s="202"/>
      <c r="DE229" s="202"/>
      <c r="DF229" s="202"/>
      <c r="DG229" s="202"/>
      <c r="DH229" s="202"/>
      <c r="DI229" s="202"/>
      <c r="DJ229" s="202"/>
      <c r="DK229" s="202"/>
      <c r="DL229" s="202"/>
      <c r="DM229" s="202"/>
      <c r="DN229" s="202"/>
      <c r="DO229" s="202"/>
      <c r="DP229" s="202"/>
      <c r="DQ229" s="202"/>
      <c r="DR229" s="202"/>
      <c r="DS229" s="202"/>
      <c r="DT229" s="202"/>
      <c r="DU229" s="202"/>
      <c r="DV229" s="202"/>
      <c r="DW229" s="202"/>
      <c r="DX229" s="202"/>
      <c r="DY229" s="202"/>
      <c r="DZ229" s="202"/>
      <c r="EA229" s="202"/>
      <c r="EB229" s="202"/>
      <c r="EC229" s="202"/>
      <c r="ED229" s="202"/>
      <c r="EE229" s="202"/>
      <c r="EF229" s="202"/>
      <c r="EG229" s="202"/>
      <c r="EH229" s="202"/>
      <c r="EI229" s="202"/>
      <c r="EJ229" s="202"/>
      <c r="EK229" s="202"/>
      <c r="EL229" s="202"/>
      <c r="EM229" s="202"/>
      <c r="EN229" s="202"/>
      <c r="EO229" s="202"/>
      <c r="EP229" s="202"/>
      <c r="EQ229" s="202"/>
      <c r="ER229" s="202"/>
      <c r="ES229" s="202"/>
      <c r="ET229" s="202"/>
      <c r="EU229" s="202"/>
      <c r="EV229" s="202"/>
      <c r="EW229" s="202"/>
      <c r="EX229" s="202"/>
      <c r="EY229" s="202"/>
      <c r="EZ229" s="202"/>
      <c r="FA229" s="202"/>
      <c r="FB229" s="202"/>
      <c r="FC229" s="202"/>
      <c r="FD229" s="202"/>
      <c r="FE229" s="202"/>
      <c r="FF229" s="202"/>
      <c r="FG229" s="202"/>
      <c r="FH229" s="202"/>
      <c r="FI229" s="202"/>
    </row>
    <row r="230" spans="1:165" s="228" customFormat="1" ht="18" customHeight="1" x14ac:dyDescent="0.25">
      <c r="A230" s="578">
        <f t="shared" si="5"/>
        <v>221</v>
      </c>
      <c r="B230" s="588">
        <v>0</v>
      </c>
      <c r="C230" s="591" t="s">
        <v>135</v>
      </c>
      <c r="D230" s="585" t="s">
        <v>493</v>
      </c>
      <c r="E230" s="589" t="s">
        <v>779</v>
      </c>
      <c r="F230" s="567" t="s">
        <v>1044</v>
      </c>
      <c r="G230" s="556" t="s">
        <v>494</v>
      </c>
      <c r="H230" s="599" t="s">
        <v>1149</v>
      </c>
      <c r="I230" s="593">
        <v>4</v>
      </c>
      <c r="J230" s="556"/>
      <c r="K230" s="594"/>
      <c r="L230" s="306"/>
      <c r="M230" s="307"/>
      <c r="N230" s="307"/>
      <c r="O230" s="307" t="s">
        <v>122</v>
      </c>
      <c r="P230" s="307"/>
      <c r="Q230" s="79"/>
      <c r="R230" s="79"/>
      <c r="S230" s="585"/>
      <c r="T230" s="585"/>
      <c r="U230" s="585"/>
      <c r="V230" s="585"/>
      <c r="W230" s="585"/>
      <c r="X230" s="585"/>
      <c r="Y230" s="585"/>
      <c r="Z230" s="585"/>
      <c r="AA230" s="585"/>
      <c r="AB230" s="585"/>
      <c r="AC230" s="585"/>
      <c r="AD230" s="585"/>
      <c r="AE230" s="585"/>
      <c r="AF230" s="585"/>
      <c r="AG230" s="585"/>
      <c r="AH230" s="585"/>
      <c r="AI230" s="585"/>
      <c r="AJ230" s="79"/>
      <c r="AK230" s="79"/>
      <c r="AL230" s="585"/>
      <c r="AM230" s="585"/>
      <c r="AN230" s="585"/>
      <c r="AO230" s="585"/>
      <c r="AP230" s="585"/>
      <c r="AQ230" s="585"/>
      <c r="AR230" s="585"/>
      <c r="AS230" s="79"/>
      <c r="AT230" s="79"/>
      <c r="AU230" s="585"/>
      <c r="AV230" s="585"/>
      <c r="AW230" s="585"/>
      <c r="AX230" s="585" t="s">
        <v>120</v>
      </c>
      <c r="AY230" s="585"/>
      <c r="AZ230" s="585"/>
      <c r="BA230" s="585"/>
      <c r="BB230" s="585"/>
      <c r="BC230" s="585"/>
      <c r="BD230" s="585" t="s">
        <v>121</v>
      </c>
      <c r="BE230" s="79"/>
      <c r="BF230" s="79"/>
      <c r="BG230" s="585"/>
      <c r="BH230" s="585"/>
      <c r="BI230" s="585"/>
      <c r="BJ230" s="585"/>
      <c r="BK230" s="585"/>
      <c r="BL230" s="585"/>
      <c r="BM230" s="585"/>
      <c r="BN230" s="585"/>
      <c r="BO230" s="585"/>
      <c r="BP230" s="585"/>
      <c r="BQ230" s="79"/>
      <c r="BR230" s="79"/>
      <c r="BS230" s="585"/>
      <c r="BT230" s="79"/>
      <c r="BU230" s="79"/>
      <c r="BV230" s="585"/>
      <c r="BW230" s="585"/>
      <c r="BX230" s="585"/>
      <c r="BY230" s="585"/>
      <c r="BZ230" s="79"/>
      <c r="CA230" s="79"/>
      <c r="CB230" s="585"/>
      <c r="CC230" s="585"/>
      <c r="CD230" s="585"/>
      <c r="CE230" s="79"/>
      <c r="CF230" s="79"/>
      <c r="CG230" s="585"/>
      <c r="CH230" s="585" t="s">
        <v>40</v>
      </c>
      <c r="CI230" s="585" t="s">
        <v>40</v>
      </c>
      <c r="CJ230" s="201"/>
      <c r="CK230" s="202"/>
      <c r="CL230" s="202"/>
      <c r="CM230" s="202"/>
      <c r="CN230" s="202"/>
      <c r="CO230" s="202"/>
      <c r="CP230" s="202"/>
      <c r="CQ230" s="202"/>
      <c r="CR230" s="202"/>
      <c r="CS230" s="202"/>
      <c r="CT230" s="202"/>
      <c r="CU230" s="202"/>
      <c r="CV230" s="202"/>
      <c r="CW230" s="202"/>
      <c r="CX230" s="202"/>
      <c r="CY230" s="202"/>
      <c r="CZ230" s="202"/>
      <c r="DA230" s="202"/>
      <c r="DB230" s="202"/>
      <c r="DC230" s="202"/>
      <c r="DD230" s="202"/>
      <c r="DE230" s="202"/>
      <c r="DF230" s="202"/>
      <c r="DG230" s="202"/>
      <c r="DH230" s="202"/>
      <c r="DI230" s="202"/>
      <c r="DJ230" s="202"/>
      <c r="DK230" s="202"/>
      <c r="DL230" s="202"/>
      <c r="DM230" s="202"/>
      <c r="DN230" s="202"/>
      <c r="DO230" s="202"/>
      <c r="DP230" s="202"/>
      <c r="DQ230" s="202"/>
      <c r="DR230" s="202"/>
      <c r="DS230" s="202"/>
      <c r="DT230" s="202"/>
      <c r="DU230" s="202"/>
      <c r="DV230" s="202"/>
      <c r="DW230" s="202"/>
      <c r="DX230" s="202"/>
      <c r="DY230" s="202"/>
      <c r="DZ230" s="202"/>
      <c r="EA230" s="202"/>
      <c r="EB230" s="202"/>
      <c r="EC230" s="202"/>
      <c r="ED230" s="202"/>
      <c r="EE230" s="202"/>
      <c r="EF230" s="202"/>
      <c r="EG230" s="202"/>
      <c r="EH230" s="202"/>
      <c r="EI230" s="202"/>
      <c r="EJ230" s="202"/>
      <c r="EK230" s="202"/>
      <c r="EL230" s="202"/>
      <c r="EM230" s="202"/>
      <c r="EN230" s="202"/>
      <c r="EO230" s="202"/>
      <c r="EP230" s="202"/>
      <c r="EQ230" s="202"/>
      <c r="ER230" s="202"/>
      <c r="ES230" s="202"/>
      <c r="ET230" s="202"/>
      <c r="EU230" s="202"/>
      <c r="EV230" s="202"/>
      <c r="EW230" s="202"/>
      <c r="EX230" s="202"/>
      <c r="EY230" s="202"/>
      <c r="EZ230" s="202"/>
      <c r="FA230" s="202"/>
      <c r="FB230" s="202"/>
      <c r="FC230" s="202"/>
      <c r="FD230" s="202"/>
      <c r="FE230" s="202"/>
      <c r="FF230" s="202"/>
      <c r="FG230" s="202"/>
      <c r="FH230" s="202"/>
      <c r="FI230" s="202"/>
    </row>
    <row r="231" spans="1:165" s="228" customFormat="1" ht="18" customHeight="1" x14ac:dyDescent="0.25">
      <c r="A231" s="578">
        <f t="shared" si="5"/>
        <v>222</v>
      </c>
      <c r="B231" s="588">
        <v>0</v>
      </c>
      <c r="C231" s="591" t="s">
        <v>135</v>
      </c>
      <c r="D231" s="585" t="s">
        <v>1014</v>
      </c>
      <c r="E231" s="589" t="s">
        <v>1015</v>
      </c>
      <c r="F231" s="567" t="s">
        <v>1044</v>
      </c>
      <c r="G231" s="556" t="s">
        <v>1016</v>
      </c>
      <c r="H231" s="599" t="s">
        <v>1016</v>
      </c>
      <c r="I231" s="593"/>
      <c r="J231" s="556"/>
      <c r="K231" s="594"/>
      <c r="L231" s="306"/>
      <c r="M231" s="307"/>
      <c r="N231" s="307"/>
      <c r="O231" s="307"/>
      <c r="P231" s="307"/>
      <c r="Q231" s="79"/>
      <c r="R231" s="79"/>
      <c r="S231" s="585"/>
      <c r="T231" s="585"/>
      <c r="U231" s="585"/>
      <c r="V231" s="585"/>
      <c r="W231" s="585"/>
      <c r="X231" s="585"/>
      <c r="Y231" s="585"/>
      <c r="Z231" s="585"/>
      <c r="AA231" s="585"/>
      <c r="AB231" s="585"/>
      <c r="AC231" s="585"/>
      <c r="AD231" s="585"/>
      <c r="AE231" s="585"/>
      <c r="AF231" s="585"/>
      <c r="AG231" s="585"/>
      <c r="AH231" s="585"/>
      <c r="AI231" s="585"/>
      <c r="AJ231" s="79"/>
      <c r="AK231" s="79"/>
      <c r="AL231" s="585"/>
      <c r="AM231" s="585"/>
      <c r="AN231" s="585"/>
      <c r="AO231" s="585"/>
      <c r="AP231" s="585"/>
      <c r="AQ231" s="585"/>
      <c r="AR231" s="585"/>
      <c r="AS231" s="79"/>
      <c r="AT231" s="79"/>
      <c r="AU231" s="585"/>
      <c r="AV231" s="585"/>
      <c r="AW231" s="585"/>
      <c r="AX231" s="585"/>
      <c r="AY231" s="585"/>
      <c r="AZ231" s="585"/>
      <c r="BA231" s="585"/>
      <c r="BB231" s="585"/>
      <c r="BC231" s="585"/>
      <c r="BD231" s="585"/>
      <c r="BE231" s="79"/>
      <c r="BF231" s="79"/>
      <c r="BG231" s="585"/>
      <c r="BH231" s="585"/>
      <c r="BI231" s="585"/>
      <c r="BJ231" s="585"/>
      <c r="BK231" s="585"/>
      <c r="BL231" s="585"/>
      <c r="BM231" s="585"/>
      <c r="BN231" s="585"/>
      <c r="BO231" s="585"/>
      <c r="BP231" s="585"/>
      <c r="BQ231" s="79"/>
      <c r="BR231" s="79"/>
      <c r="BS231" s="585"/>
      <c r="BT231" s="79"/>
      <c r="BU231" s="79"/>
      <c r="BV231" s="585"/>
      <c r="BW231" s="585"/>
      <c r="BX231" s="585"/>
      <c r="BY231" s="585"/>
      <c r="BZ231" s="79"/>
      <c r="CA231" s="79"/>
      <c r="CB231" s="585"/>
      <c r="CC231" s="585"/>
      <c r="CD231" s="585"/>
      <c r="CE231" s="79"/>
      <c r="CF231" s="79"/>
      <c r="CG231" s="585"/>
      <c r="CH231" s="585"/>
      <c r="CI231" s="585"/>
      <c r="CJ231" s="201"/>
      <c r="CK231" s="202"/>
      <c r="CL231" s="202"/>
      <c r="CM231" s="202"/>
      <c r="CN231" s="202"/>
      <c r="CO231" s="202"/>
      <c r="CP231" s="202"/>
      <c r="CQ231" s="202"/>
      <c r="CR231" s="202"/>
      <c r="CS231" s="202"/>
      <c r="CT231" s="202"/>
      <c r="CU231" s="202"/>
      <c r="CV231" s="202"/>
      <c r="CW231" s="202"/>
      <c r="CX231" s="202"/>
      <c r="CY231" s="202"/>
      <c r="CZ231" s="202"/>
      <c r="DA231" s="202"/>
      <c r="DB231" s="202"/>
      <c r="DC231" s="202"/>
      <c r="DD231" s="202"/>
      <c r="DE231" s="202"/>
      <c r="DF231" s="202"/>
      <c r="DG231" s="202"/>
      <c r="DH231" s="202"/>
      <c r="DI231" s="202"/>
      <c r="DJ231" s="202"/>
      <c r="DK231" s="202"/>
      <c r="DL231" s="202"/>
      <c r="DM231" s="202"/>
      <c r="DN231" s="202"/>
      <c r="DO231" s="202"/>
      <c r="DP231" s="202"/>
      <c r="DQ231" s="202"/>
      <c r="DR231" s="202"/>
      <c r="DS231" s="202"/>
      <c r="DT231" s="202"/>
      <c r="DU231" s="202"/>
      <c r="DV231" s="202"/>
      <c r="DW231" s="202"/>
      <c r="DX231" s="202"/>
      <c r="DY231" s="202"/>
      <c r="DZ231" s="202"/>
      <c r="EA231" s="202"/>
      <c r="EB231" s="202"/>
      <c r="EC231" s="202"/>
      <c r="ED231" s="202"/>
      <c r="EE231" s="202"/>
      <c r="EF231" s="202"/>
      <c r="EG231" s="202"/>
      <c r="EH231" s="202"/>
      <c r="EI231" s="202"/>
      <c r="EJ231" s="202"/>
      <c r="EK231" s="202"/>
      <c r="EL231" s="202"/>
      <c r="EM231" s="202"/>
      <c r="EN231" s="202"/>
      <c r="EO231" s="202"/>
      <c r="EP231" s="202"/>
      <c r="EQ231" s="202"/>
      <c r="ER231" s="202"/>
      <c r="ES231" s="202"/>
      <c r="ET231" s="202"/>
      <c r="EU231" s="202"/>
      <c r="EV231" s="202"/>
      <c r="EW231" s="202"/>
      <c r="EX231" s="202"/>
      <c r="EY231" s="202"/>
      <c r="EZ231" s="202"/>
      <c r="FA231" s="202"/>
      <c r="FB231" s="202"/>
      <c r="FC231" s="202"/>
      <c r="FD231" s="202"/>
      <c r="FE231" s="202"/>
      <c r="FF231" s="202"/>
      <c r="FG231" s="202"/>
      <c r="FH231" s="202"/>
      <c r="FI231" s="202"/>
    </row>
    <row r="232" spans="1:165" s="228" customFormat="1" ht="18" customHeight="1" x14ac:dyDescent="0.25">
      <c r="A232" s="578">
        <f t="shared" si="5"/>
        <v>223</v>
      </c>
      <c r="B232" s="588">
        <v>0</v>
      </c>
      <c r="C232" s="591" t="s">
        <v>135</v>
      </c>
      <c r="D232" s="585" t="s">
        <v>495</v>
      </c>
      <c r="E232" s="589" t="s">
        <v>496</v>
      </c>
      <c r="F232" s="567" t="s">
        <v>1044</v>
      </c>
      <c r="G232" s="556" t="s">
        <v>497</v>
      </c>
      <c r="H232" s="599" t="s">
        <v>1150</v>
      </c>
      <c r="I232" s="593">
        <v>4</v>
      </c>
      <c r="J232" s="556" t="s">
        <v>64</v>
      </c>
      <c r="K232" s="594">
        <v>9</v>
      </c>
      <c r="L232" s="306"/>
      <c r="M232" s="307"/>
      <c r="N232" s="307"/>
      <c r="O232" s="307" t="s">
        <v>122</v>
      </c>
      <c r="P232" s="307"/>
      <c r="Q232" s="79"/>
      <c r="R232" s="79"/>
      <c r="S232" s="585"/>
      <c r="T232" s="585"/>
      <c r="U232" s="585"/>
      <c r="V232" s="585"/>
      <c r="W232" s="585"/>
      <c r="X232" s="585"/>
      <c r="Y232" s="585"/>
      <c r="Z232" s="585"/>
      <c r="AA232" s="585"/>
      <c r="AB232" s="585"/>
      <c r="AC232" s="585"/>
      <c r="AD232" s="585"/>
      <c r="AE232" s="585"/>
      <c r="AF232" s="585"/>
      <c r="AG232" s="585"/>
      <c r="AH232" s="585"/>
      <c r="AI232" s="585"/>
      <c r="AJ232" s="79"/>
      <c r="AK232" s="79"/>
      <c r="AL232" s="585"/>
      <c r="AM232" s="585"/>
      <c r="AN232" s="585"/>
      <c r="AO232" s="585"/>
      <c r="AP232" s="585"/>
      <c r="AQ232" s="585"/>
      <c r="AR232" s="585"/>
      <c r="AS232" s="79"/>
      <c r="AT232" s="79"/>
      <c r="AU232" s="585" t="s">
        <v>582</v>
      </c>
      <c r="AV232" s="585"/>
      <c r="AW232" s="585"/>
      <c r="AX232" s="585" t="s">
        <v>120</v>
      </c>
      <c r="AY232" s="585"/>
      <c r="AZ232" s="585"/>
      <c r="BA232" s="585"/>
      <c r="BB232" s="585"/>
      <c r="BC232" s="585"/>
      <c r="BD232" s="585" t="s">
        <v>121</v>
      </c>
      <c r="BE232" s="79"/>
      <c r="BF232" s="79"/>
      <c r="BG232" s="585"/>
      <c r="BH232" s="585"/>
      <c r="BI232" s="585"/>
      <c r="BJ232" s="585"/>
      <c r="BK232" s="585"/>
      <c r="BL232" s="585"/>
      <c r="BM232" s="585"/>
      <c r="BN232" s="585"/>
      <c r="BO232" s="585"/>
      <c r="BP232" s="585"/>
      <c r="BQ232" s="79"/>
      <c r="BR232" s="79"/>
      <c r="BS232" s="585"/>
      <c r="BT232" s="79"/>
      <c r="BU232" s="79"/>
      <c r="BV232" s="585"/>
      <c r="BW232" s="585"/>
      <c r="BX232" s="585"/>
      <c r="BY232" s="585"/>
      <c r="BZ232" s="79"/>
      <c r="CA232" s="79"/>
      <c r="CB232" s="585"/>
      <c r="CC232" s="585"/>
      <c r="CD232" s="585"/>
      <c r="CE232" s="79"/>
      <c r="CF232" s="79"/>
      <c r="CG232" s="585"/>
      <c r="CH232" s="585" t="s">
        <v>40</v>
      </c>
      <c r="CI232" s="585" t="s">
        <v>40</v>
      </c>
      <c r="CJ232" s="201"/>
      <c r="CK232" s="202"/>
      <c r="CL232" s="202"/>
      <c r="CM232" s="202"/>
      <c r="CN232" s="202"/>
      <c r="CO232" s="202"/>
      <c r="CP232" s="202"/>
      <c r="CQ232" s="202"/>
      <c r="CR232" s="202"/>
      <c r="CS232" s="202"/>
      <c r="CT232" s="202"/>
      <c r="CU232" s="202"/>
      <c r="CV232" s="202"/>
      <c r="CW232" s="202"/>
      <c r="CX232" s="202"/>
      <c r="CY232" s="202"/>
      <c r="CZ232" s="202"/>
      <c r="DA232" s="202"/>
      <c r="DB232" s="202"/>
      <c r="DC232" s="202"/>
      <c r="DD232" s="202"/>
      <c r="DE232" s="202"/>
      <c r="DF232" s="202"/>
      <c r="DG232" s="202"/>
      <c r="DH232" s="202"/>
      <c r="DI232" s="202"/>
      <c r="DJ232" s="202"/>
      <c r="DK232" s="202"/>
      <c r="DL232" s="202"/>
      <c r="DM232" s="202"/>
      <c r="DN232" s="202"/>
      <c r="DO232" s="202"/>
      <c r="DP232" s="202"/>
      <c r="DQ232" s="202"/>
      <c r="DR232" s="202"/>
      <c r="DS232" s="202"/>
      <c r="DT232" s="202"/>
      <c r="DU232" s="202"/>
      <c r="DV232" s="202"/>
      <c r="DW232" s="202"/>
      <c r="DX232" s="202"/>
      <c r="DY232" s="202"/>
      <c r="DZ232" s="202"/>
      <c r="EA232" s="202"/>
      <c r="EB232" s="202"/>
      <c r="EC232" s="202"/>
      <c r="ED232" s="202"/>
      <c r="EE232" s="202"/>
      <c r="EF232" s="202"/>
      <c r="EG232" s="202"/>
      <c r="EH232" s="202"/>
      <c r="EI232" s="202"/>
      <c r="EJ232" s="202"/>
      <c r="EK232" s="202"/>
      <c r="EL232" s="202"/>
      <c r="EM232" s="202"/>
      <c r="EN232" s="202"/>
      <c r="EO232" s="202"/>
      <c r="EP232" s="202"/>
      <c r="EQ232" s="202"/>
      <c r="ER232" s="202"/>
      <c r="ES232" s="202"/>
      <c r="ET232" s="202"/>
      <c r="EU232" s="202"/>
      <c r="EV232" s="202"/>
      <c r="EW232" s="202"/>
      <c r="EX232" s="202"/>
      <c r="EY232" s="202"/>
      <c r="EZ232" s="202"/>
      <c r="FA232" s="202"/>
      <c r="FB232" s="202"/>
      <c r="FC232" s="202"/>
      <c r="FD232" s="202"/>
      <c r="FE232" s="202"/>
      <c r="FF232" s="202"/>
      <c r="FG232" s="202"/>
      <c r="FH232" s="202"/>
      <c r="FI232" s="202"/>
    </row>
    <row r="233" spans="1:165" s="228" customFormat="1" ht="18" customHeight="1" x14ac:dyDescent="0.25">
      <c r="A233" s="578">
        <f t="shared" si="5"/>
        <v>224</v>
      </c>
      <c r="B233" s="588">
        <v>0</v>
      </c>
      <c r="C233" s="591" t="s">
        <v>135</v>
      </c>
      <c r="D233" s="585" t="s">
        <v>498</v>
      </c>
      <c r="E233" s="589" t="s">
        <v>499</v>
      </c>
      <c r="F233" s="567" t="s">
        <v>1044</v>
      </c>
      <c r="G233" s="556" t="s">
        <v>500</v>
      </c>
      <c r="H233" s="599" t="s">
        <v>1147</v>
      </c>
      <c r="I233" s="605">
        <v>9</v>
      </c>
      <c r="J233" s="556"/>
      <c r="K233" s="594">
        <v>12</v>
      </c>
      <c r="L233" s="306"/>
      <c r="M233" s="307"/>
      <c r="N233" s="307"/>
      <c r="O233" s="307"/>
      <c r="P233" s="307"/>
      <c r="Q233" s="79"/>
      <c r="R233" s="79"/>
      <c r="S233" s="585"/>
      <c r="T233" s="585"/>
      <c r="U233" s="585"/>
      <c r="V233" s="585"/>
      <c r="W233" s="585"/>
      <c r="X233" s="585"/>
      <c r="Y233" s="585"/>
      <c r="Z233" s="585"/>
      <c r="AA233" s="585"/>
      <c r="AB233" s="585"/>
      <c r="AC233" s="585"/>
      <c r="AD233" s="585"/>
      <c r="AE233" s="585"/>
      <c r="AF233" s="585"/>
      <c r="AG233" s="585"/>
      <c r="AH233" s="585"/>
      <c r="AI233" s="585"/>
      <c r="AJ233" s="79"/>
      <c r="AK233" s="79"/>
      <c r="AL233" s="585"/>
      <c r="AM233" s="585"/>
      <c r="AN233" s="585"/>
      <c r="AO233" s="585"/>
      <c r="AP233" s="585"/>
      <c r="AQ233" s="585"/>
      <c r="AR233" s="585"/>
      <c r="AS233" s="79"/>
      <c r="AT233" s="79"/>
      <c r="AU233" s="585"/>
      <c r="AV233" s="585"/>
      <c r="AW233" s="585"/>
      <c r="AX233" s="585"/>
      <c r="AY233" s="585"/>
      <c r="AZ233" s="585"/>
      <c r="BA233" s="585"/>
      <c r="BB233" s="585"/>
      <c r="BC233" s="585"/>
      <c r="BD233" s="585"/>
      <c r="BE233" s="79"/>
      <c r="BF233" s="79"/>
      <c r="BG233" s="585"/>
      <c r="BH233" s="585"/>
      <c r="BI233" s="585"/>
      <c r="BJ233" s="585"/>
      <c r="BK233" s="585"/>
      <c r="BL233" s="585"/>
      <c r="BM233" s="585"/>
      <c r="BN233" s="585"/>
      <c r="BO233" s="585"/>
      <c r="BP233" s="585"/>
      <c r="BQ233" s="79"/>
      <c r="BR233" s="79"/>
      <c r="BS233" s="585"/>
      <c r="BT233" s="79"/>
      <c r="BU233" s="79"/>
      <c r="BV233" s="585"/>
      <c r="BW233" s="585"/>
      <c r="BX233" s="585"/>
      <c r="BY233" s="585"/>
      <c r="BZ233" s="79"/>
      <c r="CA233" s="79"/>
      <c r="CB233" s="585"/>
      <c r="CC233" s="585"/>
      <c r="CD233" s="585"/>
      <c r="CE233" s="79"/>
      <c r="CF233" s="79"/>
      <c r="CG233" s="585"/>
      <c r="CH233" s="585" t="s">
        <v>40</v>
      </c>
      <c r="CI233" s="585" t="s">
        <v>40</v>
      </c>
      <c r="CJ233" s="201"/>
      <c r="CK233" s="202"/>
      <c r="CL233" s="202"/>
      <c r="CM233" s="202"/>
      <c r="CN233" s="202"/>
      <c r="CO233" s="202"/>
      <c r="CP233" s="202"/>
      <c r="CQ233" s="202"/>
      <c r="CR233" s="202"/>
      <c r="CS233" s="202"/>
      <c r="CT233" s="202"/>
      <c r="CU233" s="202"/>
      <c r="CV233" s="202"/>
      <c r="CW233" s="202"/>
      <c r="CX233" s="202"/>
      <c r="CY233" s="202"/>
      <c r="CZ233" s="202"/>
      <c r="DA233" s="202"/>
      <c r="DB233" s="202"/>
      <c r="DC233" s="202"/>
      <c r="DD233" s="202"/>
      <c r="DE233" s="202"/>
      <c r="DF233" s="202"/>
      <c r="DG233" s="202"/>
      <c r="DH233" s="202"/>
      <c r="DI233" s="202"/>
      <c r="DJ233" s="202"/>
      <c r="DK233" s="202"/>
      <c r="DL233" s="202"/>
      <c r="DM233" s="202"/>
      <c r="DN233" s="202"/>
      <c r="DO233" s="202"/>
      <c r="DP233" s="202"/>
      <c r="DQ233" s="202"/>
      <c r="DR233" s="202"/>
      <c r="DS233" s="202"/>
      <c r="DT233" s="202"/>
      <c r="DU233" s="202"/>
      <c r="DV233" s="202"/>
      <c r="DW233" s="202"/>
      <c r="DX233" s="202"/>
      <c r="DY233" s="202"/>
      <c r="DZ233" s="202"/>
      <c r="EA233" s="202"/>
      <c r="EB233" s="202"/>
      <c r="EC233" s="202"/>
      <c r="ED233" s="202"/>
      <c r="EE233" s="202"/>
      <c r="EF233" s="202"/>
      <c r="EG233" s="202"/>
      <c r="EH233" s="202"/>
      <c r="EI233" s="202"/>
      <c r="EJ233" s="202"/>
      <c r="EK233" s="202"/>
      <c r="EL233" s="202"/>
      <c r="EM233" s="202"/>
      <c r="EN233" s="202"/>
      <c r="EO233" s="202"/>
      <c r="EP233" s="202"/>
      <c r="EQ233" s="202"/>
      <c r="ER233" s="202"/>
      <c r="ES233" s="202"/>
      <c r="ET233" s="202"/>
      <c r="EU233" s="202"/>
      <c r="EV233" s="202"/>
      <c r="EW233" s="202"/>
      <c r="EX233" s="202"/>
      <c r="EY233" s="202"/>
      <c r="EZ233" s="202"/>
      <c r="FA233" s="202"/>
      <c r="FB233" s="202"/>
      <c r="FC233" s="202"/>
      <c r="FD233" s="202"/>
      <c r="FE233" s="202"/>
      <c r="FF233" s="202"/>
      <c r="FG233" s="202"/>
      <c r="FH233" s="202"/>
      <c r="FI233" s="202"/>
    </row>
    <row r="234" spans="1:165" s="228" customFormat="1" ht="18" customHeight="1" x14ac:dyDescent="0.25">
      <c r="A234" s="578">
        <f t="shared" si="5"/>
        <v>225</v>
      </c>
      <c r="B234" s="588">
        <v>0</v>
      </c>
      <c r="C234" s="591" t="s">
        <v>135</v>
      </c>
      <c r="D234" s="585" t="s">
        <v>1017</v>
      </c>
      <c r="E234" s="589" t="s">
        <v>1018</v>
      </c>
      <c r="F234" s="567" t="s">
        <v>1044</v>
      </c>
      <c r="G234" s="556" t="s">
        <v>1019</v>
      </c>
      <c r="H234" s="599" t="s">
        <v>1019</v>
      </c>
      <c r="I234" s="593"/>
      <c r="J234" s="556"/>
      <c r="K234" s="594"/>
      <c r="L234" s="306"/>
      <c r="M234" s="307"/>
      <c r="N234" s="307"/>
      <c r="O234" s="307"/>
      <c r="P234" s="307"/>
      <c r="Q234" s="79"/>
      <c r="R234" s="79"/>
      <c r="S234" s="585"/>
      <c r="T234" s="585"/>
      <c r="U234" s="585"/>
      <c r="V234" s="585"/>
      <c r="W234" s="585"/>
      <c r="X234" s="585"/>
      <c r="Y234" s="585"/>
      <c r="Z234" s="585"/>
      <c r="AA234" s="585"/>
      <c r="AB234" s="585"/>
      <c r="AC234" s="585"/>
      <c r="AD234" s="585"/>
      <c r="AE234" s="585"/>
      <c r="AF234" s="585"/>
      <c r="AG234" s="585"/>
      <c r="AH234" s="585"/>
      <c r="AI234" s="585"/>
      <c r="AJ234" s="79"/>
      <c r="AK234" s="79"/>
      <c r="AL234" s="585"/>
      <c r="AM234" s="585"/>
      <c r="AN234" s="585"/>
      <c r="AO234" s="585"/>
      <c r="AP234" s="585"/>
      <c r="AQ234" s="585"/>
      <c r="AR234" s="585"/>
      <c r="AS234" s="79"/>
      <c r="AT234" s="79"/>
      <c r="AU234" s="585"/>
      <c r="AV234" s="585"/>
      <c r="AW234" s="585"/>
      <c r="AX234" s="585"/>
      <c r="AY234" s="585"/>
      <c r="AZ234" s="585"/>
      <c r="BA234" s="585"/>
      <c r="BB234" s="585"/>
      <c r="BC234" s="585"/>
      <c r="BD234" s="585"/>
      <c r="BE234" s="79"/>
      <c r="BF234" s="79"/>
      <c r="BG234" s="585"/>
      <c r="BH234" s="585"/>
      <c r="BI234" s="585"/>
      <c r="BJ234" s="585"/>
      <c r="BK234" s="585"/>
      <c r="BL234" s="585"/>
      <c r="BM234" s="585"/>
      <c r="BN234" s="585"/>
      <c r="BO234" s="585"/>
      <c r="BP234" s="585"/>
      <c r="BQ234" s="79"/>
      <c r="BR234" s="79"/>
      <c r="BS234" s="585"/>
      <c r="BT234" s="79"/>
      <c r="BU234" s="79"/>
      <c r="BV234" s="585"/>
      <c r="BW234" s="585"/>
      <c r="BX234" s="585"/>
      <c r="BY234" s="585"/>
      <c r="BZ234" s="79"/>
      <c r="CA234" s="79"/>
      <c r="CB234" s="585"/>
      <c r="CC234" s="585"/>
      <c r="CD234" s="585"/>
      <c r="CE234" s="79"/>
      <c r="CF234" s="79"/>
      <c r="CG234" s="585"/>
      <c r="CH234" s="585"/>
      <c r="CI234" s="585"/>
      <c r="CJ234" s="201"/>
      <c r="CK234" s="202"/>
      <c r="CL234" s="202"/>
      <c r="CM234" s="202"/>
      <c r="CN234" s="202"/>
      <c r="CO234" s="202"/>
      <c r="CP234" s="202"/>
      <c r="CQ234" s="202"/>
      <c r="CR234" s="202"/>
      <c r="CS234" s="202"/>
      <c r="CT234" s="202"/>
      <c r="CU234" s="202"/>
      <c r="CV234" s="202"/>
      <c r="CW234" s="202"/>
      <c r="CX234" s="202"/>
      <c r="CY234" s="202"/>
      <c r="CZ234" s="202"/>
      <c r="DA234" s="202"/>
      <c r="DB234" s="202"/>
      <c r="DC234" s="202"/>
      <c r="DD234" s="202"/>
      <c r="DE234" s="202"/>
      <c r="DF234" s="202"/>
      <c r="DG234" s="202"/>
      <c r="DH234" s="202"/>
      <c r="DI234" s="202"/>
      <c r="DJ234" s="202"/>
      <c r="DK234" s="202"/>
      <c r="DL234" s="202"/>
      <c r="DM234" s="202"/>
      <c r="DN234" s="202"/>
      <c r="DO234" s="202"/>
      <c r="DP234" s="202"/>
      <c r="DQ234" s="202"/>
      <c r="DR234" s="202"/>
      <c r="DS234" s="202"/>
      <c r="DT234" s="202"/>
      <c r="DU234" s="202"/>
      <c r="DV234" s="202"/>
      <c r="DW234" s="202"/>
      <c r="DX234" s="202"/>
      <c r="DY234" s="202"/>
      <c r="DZ234" s="202"/>
      <c r="EA234" s="202"/>
      <c r="EB234" s="202"/>
      <c r="EC234" s="202"/>
      <c r="ED234" s="202"/>
      <c r="EE234" s="202"/>
      <c r="EF234" s="202"/>
      <c r="EG234" s="202"/>
      <c r="EH234" s="202"/>
      <c r="EI234" s="202"/>
      <c r="EJ234" s="202"/>
      <c r="EK234" s="202"/>
      <c r="EL234" s="202"/>
      <c r="EM234" s="202"/>
      <c r="EN234" s="202"/>
      <c r="EO234" s="202"/>
      <c r="EP234" s="202"/>
      <c r="EQ234" s="202"/>
      <c r="ER234" s="202"/>
      <c r="ES234" s="202"/>
      <c r="ET234" s="202"/>
      <c r="EU234" s="202"/>
      <c r="EV234" s="202"/>
      <c r="EW234" s="202"/>
      <c r="EX234" s="202"/>
      <c r="EY234" s="202"/>
      <c r="EZ234" s="202"/>
      <c r="FA234" s="202"/>
      <c r="FB234" s="202"/>
      <c r="FC234" s="202"/>
      <c r="FD234" s="202"/>
      <c r="FE234" s="202"/>
      <c r="FF234" s="202"/>
      <c r="FG234" s="202"/>
      <c r="FH234" s="202"/>
      <c r="FI234" s="202"/>
    </row>
    <row r="235" spans="1:165" s="228" customFormat="1" ht="18" customHeight="1" x14ac:dyDescent="0.25">
      <c r="A235" s="578">
        <f t="shared" si="5"/>
        <v>226</v>
      </c>
      <c r="B235" s="588">
        <v>0</v>
      </c>
      <c r="C235" s="591" t="s">
        <v>135</v>
      </c>
      <c r="D235" s="585" t="s">
        <v>501</v>
      </c>
      <c r="E235" s="589" t="s">
        <v>502</v>
      </c>
      <c r="F235" s="567" t="s">
        <v>1044</v>
      </c>
      <c r="G235" s="556" t="s">
        <v>111</v>
      </c>
      <c r="H235" s="599" t="s">
        <v>1168</v>
      </c>
      <c r="I235" s="593">
        <v>4</v>
      </c>
      <c r="J235" s="556" t="s">
        <v>64</v>
      </c>
      <c r="K235" s="594">
        <v>9</v>
      </c>
      <c r="L235" s="306"/>
      <c r="M235" s="307"/>
      <c r="N235" s="307"/>
      <c r="O235" s="307" t="s">
        <v>122</v>
      </c>
      <c r="P235" s="307"/>
      <c r="Q235" s="79"/>
      <c r="R235" s="79"/>
      <c r="S235" s="585"/>
      <c r="T235" s="585"/>
      <c r="U235" s="585"/>
      <c r="V235" s="585"/>
      <c r="W235" s="585"/>
      <c r="X235" s="585"/>
      <c r="Y235" s="585"/>
      <c r="Z235" s="585"/>
      <c r="AA235" s="585"/>
      <c r="AB235" s="585"/>
      <c r="AC235" s="585"/>
      <c r="AD235" s="585"/>
      <c r="AE235" s="585"/>
      <c r="AF235" s="585"/>
      <c r="AG235" s="585"/>
      <c r="AH235" s="585"/>
      <c r="AI235" s="585"/>
      <c r="AJ235" s="79"/>
      <c r="AK235" s="79"/>
      <c r="AL235" s="585"/>
      <c r="AM235" s="585"/>
      <c r="AN235" s="585"/>
      <c r="AO235" s="585"/>
      <c r="AP235" s="585"/>
      <c r="AQ235" s="585"/>
      <c r="AR235" s="585"/>
      <c r="AS235" s="79"/>
      <c r="AT235" s="79"/>
      <c r="AU235" s="585" t="s">
        <v>582</v>
      </c>
      <c r="AV235" s="585"/>
      <c r="AW235" s="585"/>
      <c r="AX235" s="585" t="s">
        <v>120</v>
      </c>
      <c r="AY235" s="585"/>
      <c r="AZ235" s="585"/>
      <c r="BA235" s="585"/>
      <c r="BB235" s="585"/>
      <c r="BC235" s="585"/>
      <c r="BD235" s="585" t="s">
        <v>121</v>
      </c>
      <c r="BE235" s="79"/>
      <c r="BF235" s="79"/>
      <c r="BG235" s="585"/>
      <c r="BH235" s="585"/>
      <c r="BI235" s="585"/>
      <c r="BJ235" s="585"/>
      <c r="BK235" s="585"/>
      <c r="BL235" s="585"/>
      <c r="BM235" s="585"/>
      <c r="BN235" s="585"/>
      <c r="BO235" s="585"/>
      <c r="BP235" s="585"/>
      <c r="BQ235" s="79"/>
      <c r="BR235" s="79"/>
      <c r="BS235" s="585"/>
      <c r="BT235" s="79"/>
      <c r="BU235" s="79"/>
      <c r="BV235" s="585"/>
      <c r="BW235" s="585"/>
      <c r="BX235" s="585"/>
      <c r="BY235" s="585"/>
      <c r="BZ235" s="79"/>
      <c r="CA235" s="79"/>
      <c r="CB235" s="585"/>
      <c r="CC235" s="585"/>
      <c r="CD235" s="585"/>
      <c r="CE235" s="79"/>
      <c r="CF235" s="79"/>
      <c r="CG235" s="585"/>
      <c r="CH235" s="585" t="s">
        <v>40</v>
      </c>
      <c r="CI235" s="585" t="s">
        <v>40</v>
      </c>
      <c r="CJ235" s="201"/>
      <c r="CK235" s="202"/>
      <c r="CL235" s="202"/>
      <c r="CM235" s="202"/>
      <c r="CN235" s="202"/>
      <c r="CO235" s="202"/>
      <c r="CP235" s="202"/>
      <c r="CQ235" s="202"/>
      <c r="CR235" s="202"/>
      <c r="CS235" s="202"/>
      <c r="CT235" s="202"/>
      <c r="CU235" s="202"/>
      <c r="CV235" s="202"/>
      <c r="CW235" s="202"/>
      <c r="CX235" s="202"/>
      <c r="CY235" s="202"/>
      <c r="CZ235" s="202"/>
      <c r="DA235" s="202"/>
      <c r="DB235" s="202"/>
      <c r="DC235" s="202"/>
      <c r="DD235" s="202"/>
      <c r="DE235" s="202"/>
      <c r="DF235" s="202"/>
      <c r="DG235" s="202"/>
      <c r="DH235" s="202"/>
      <c r="DI235" s="202"/>
      <c r="DJ235" s="202"/>
      <c r="DK235" s="202"/>
      <c r="DL235" s="202"/>
      <c r="DM235" s="202"/>
      <c r="DN235" s="202"/>
      <c r="DO235" s="202"/>
      <c r="DP235" s="202"/>
      <c r="DQ235" s="202"/>
      <c r="DR235" s="202"/>
      <c r="DS235" s="202"/>
      <c r="DT235" s="202"/>
      <c r="DU235" s="202"/>
      <c r="DV235" s="202"/>
      <c r="DW235" s="202"/>
      <c r="DX235" s="202"/>
      <c r="DY235" s="202"/>
      <c r="DZ235" s="202"/>
      <c r="EA235" s="202"/>
      <c r="EB235" s="202"/>
      <c r="EC235" s="202"/>
      <c r="ED235" s="202"/>
      <c r="EE235" s="202"/>
      <c r="EF235" s="202"/>
      <c r="EG235" s="202"/>
      <c r="EH235" s="202"/>
      <c r="EI235" s="202"/>
      <c r="EJ235" s="202"/>
      <c r="EK235" s="202"/>
      <c r="EL235" s="202"/>
      <c r="EM235" s="202"/>
      <c r="EN235" s="202"/>
      <c r="EO235" s="202"/>
      <c r="EP235" s="202"/>
      <c r="EQ235" s="202"/>
      <c r="ER235" s="202"/>
      <c r="ES235" s="202"/>
      <c r="ET235" s="202"/>
      <c r="EU235" s="202"/>
      <c r="EV235" s="202"/>
      <c r="EW235" s="202"/>
      <c r="EX235" s="202"/>
      <c r="EY235" s="202"/>
      <c r="EZ235" s="202"/>
      <c r="FA235" s="202"/>
      <c r="FB235" s="202"/>
      <c r="FC235" s="202"/>
      <c r="FD235" s="202"/>
      <c r="FE235" s="202"/>
      <c r="FF235" s="202"/>
      <c r="FG235" s="202"/>
      <c r="FH235" s="202"/>
      <c r="FI235" s="202"/>
    </row>
    <row r="236" spans="1:165" s="228" customFormat="1" ht="18" customHeight="1" x14ac:dyDescent="0.25">
      <c r="A236" s="578">
        <f t="shared" si="5"/>
        <v>227</v>
      </c>
      <c r="B236" s="588">
        <v>0</v>
      </c>
      <c r="C236" s="591" t="s">
        <v>135</v>
      </c>
      <c r="D236" s="585" t="s">
        <v>503</v>
      </c>
      <c r="E236" s="589" t="s">
        <v>504</v>
      </c>
      <c r="F236" s="567" t="s">
        <v>1044</v>
      </c>
      <c r="G236" s="556" t="s">
        <v>112</v>
      </c>
      <c r="H236" s="599" t="s">
        <v>1167</v>
      </c>
      <c r="I236" s="593">
        <v>4</v>
      </c>
      <c r="J236" s="556"/>
      <c r="K236" s="594">
        <v>9</v>
      </c>
      <c r="L236" s="306"/>
      <c r="M236" s="307"/>
      <c r="N236" s="307"/>
      <c r="O236" s="307" t="s">
        <v>122</v>
      </c>
      <c r="P236" s="307"/>
      <c r="Q236" s="79"/>
      <c r="R236" s="79"/>
      <c r="S236" s="585"/>
      <c r="T236" s="585"/>
      <c r="U236" s="585"/>
      <c r="V236" s="585"/>
      <c r="W236" s="585"/>
      <c r="X236" s="585"/>
      <c r="Y236" s="585"/>
      <c r="Z236" s="585"/>
      <c r="AA236" s="585"/>
      <c r="AB236" s="585"/>
      <c r="AC236" s="585"/>
      <c r="AD236" s="585"/>
      <c r="AE236" s="585"/>
      <c r="AF236" s="585"/>
      <c r="AG236" s="585"/>
      <c r="AH236" s="585"/>
      <c r="AI236" s="585"/>
      <c r="AJ236" s="79"/>
      <c r="AK236" s="79"/>
      <c r="AL236" s="585"/>
      <c r="AM236" s="585"/>
      <c r="AN236" s="585"/>
      <c r="AO236" s="585"/>
      <c r="AP236" s="585"/>
      <c r="AQ236" s="585"/>
      <c r="AR236" s="585"/>
      <c r="AS236" s="79"/>
      <c r="AT236" s="79"/>
      <c r="AU236" s="585" t="s">
        <v>582</v>
      </c>
      <c r="AV236" s="585"/>
      <c r="AW236" s="585"/>
      <c r="AX236" s="585" t="s">
        <v>120</v>
      </c>
      <c r="AY236" s="585"/>
      <c r="AZ236" s="585"/>
      <c r="BA236" s="585"/>
      <c r="BB236" s="585"/>
      <c r="BC236" s="585"/>
      <c r="BD236" s="585" t="s">
        <v>121</v>
      </c>
      <c r="BE236" s="79"/>
      <c r="BF236" s="79"/>
      <c r="BG236" s="585"/>
      <c r="BH236" s="585"/>
      <c r="BI236" s="585"/>
      <c r="BJ236" s="585"/>
      <c r="BK236" s="585"/>
      <c r="BL236" s="585"/>
      <c r="BM236" s="585"/>
      <c r="BN236" s="585"/>
      <c r="BO236" s="585"/>
      <c r="BP236" s="585"/>
      <c r="BQ236" s="79"/>
      <c r="BR236" s="79"/>
      <c r="BS236" s="585"/>
      <c r="BT236" s="79"/>
      <c r="BU236" s="79"/>
      <c r="BV236" s="585"/>
      <c r="BW236" s="585"/>
      <c r="BX236" s="585"/>
      <c r="BY236" s="585"/>
      <c r="BZ236" s="79"/>
      <c r="CA236" s="79"/>
      <c r="CB236" s="585"/>
      <c r="CC236" s="585"/>
      <c r="CD236" s="585"/>
      <c r="CE236" s="79"/>
      <c r="CF236" s="79"/>
      <c r="CG236" s="585"/>
      <c r="CH236" s="585" t="s">
        <v>40</v>
      </c>
      <c r="CI236" s="585" t="s">
        <v>40</v>
      </c>
      <c r="CJ236" s="201"/>
      <c r="CK236" s="202"/>
      <c r="CL236" s="202"/>
      <c r="CM236" s="202"/>
      <c r="CN236" s="202"/>
      <c r="CO236" s="202"/>
      <c r="CP236" s="202"/>
      <c r="CQ236" s="202"/>
      <c r="CR236" s="202"/>
      <c r="CS236" s="202"/>
      <c r="CT236" s="202"/>
      <c r="CU236" s="202"/>
      <c r="CV236" s="202"/>
      <c r="CW236" s="202"/>
      <c r="CX236" s="202"/>
      <c r="CY236" s="202"/>
      <c r="CZ236" s="202"/>
      <c r="DA236" s="202"/>
      <c r="DB236" s="202"/>
      <c r="DC236" s="202"/>
      <c r="DD236" s="202"/>
      <c r="DE236" s="202"/>
      <c r="DF236" s="202"/>
      <c r="DG236" s="202"/>
      <c r="DH236" s="202"/>
      <c r="DI236" s="202"/>
      <c r="DJ236" s="202"/>
      <c r="DK236" s="202"/>
      <c r="DL236" s="202"/>
      <c r="DM236" s="202"/>
      <c r="DN236" s="202"/>
      <c r="DO236" s="202"/>
      <c r="DP236" s="202"/>
      <c r="DQ236" s="202"/>
      <c r="DR236" s="202"/>
      <c r="DS236" s="202"/>
      <c r="DT236" s="202"/>
      <c r="DU236" s="202"/>
      <c r="DV236" s="202"/>
      <c r="DW236" s="202"/>
      <c r="DX236" s="202"/>
      <c r="DY236" s="202"/>
      <c r="DZ236" s="202"/>
      <c r="EA236" s="202"/>
      <c r="EB236" s="202"/>
      <c r="EC236" s="202"/>
      <c r="ED236" s="202"/>
      <c r="EE236" s="202"/>
      <c r="EF236" s="202"/>
      <c r="EG236" s="202"/>
      <c r="EH236" s="202"/>
      <c r="EI236" s="202"/>
      <c r="EJ236" s="202"/>
      <c r="EK236" s="202"/>
      <c r="EL236" s="202"/>
      <c r="EM236" s="202"/>
      <c r="EN236" s="202"/>
      <c r="EO236" s="202"/>
      <c r="EP236" s="202"/>
      <c r="EQ236" s="202"/>
      <c r="ER236" s="202"/>
      <c r="ES236" s="202"/>
      <c r="ET236" s="202"/>
      <c r="EU236" s="202"/>
      <c r="EV236" s="202"/>
      <c r="EW236" s="202"/>
      <c r="EX236" s="202"/>
      <c r="EY236" s="202"/>
      <c r="EZ236" s="202"/>
      <c r="FA236" s="202"/>
      <c r="FB236" s="202"/>
      <c r="FC236" s="202"/>
      <c r="FD236" s="202"/>
      <c r="FE236" s="202"/>
      <c r="FF236" s="202"/>
      <c r="FG236" s="202"/>
      <c r="FH236" s="202"/>
      <c r="FI236" s="202"/>
    </row>
    <row r="237" spans="1:165" s="228" customFormat="1" ht="18" customHeight="1" x14ac:dyDescent="0.25">
      <c r="A237" s="578">
        <f t="shared" si="5"/>
        <v>228</v>
      </c>
      <c r="B237" s="588">
        <v>0</v>
      </c>
      <c r="C237" s="591" t="s">
        <v>135</v>
      </c>
      <c r="D237" s="585" t="s">
        <v>505</v>
      </c>
      <c r="E237" s="589" t="s">
        <v>506</v>
      </c>
      <c r="F237" s="567" t="s">
        <v>1044</v>
      </c>
      <c r="G237" s="585" t="s">
        <v>507</v>
      </c>
      <c r="H237" s="603" t="s">
        <v>875</v>
      </c>
      <c r="I237" s="593">
        <v>4</v>
      </c>
      <c r="J237" s="556" t="s">
        <v>64</v>
      </c>
      <c r="K237" s="594">
        <v>14</v>
      </c>
      <c r="L237" s="306"/>
      <c r="M237" s="307"/>
      <c r="N237" s="307"/>
      <c r="O237" s="307" t="s">
        <v>122</v>
      </c>
      <c r="P237" s="307"/>
      <c r="Q237" s="79"/>
      <c r="R237" s="79"/>
      <c r="S237" s="585"/>
      <c r="T237" s="585"/>
      <c r="U237" s="585"/>
      <c r="V237" s="585"/>
      <c r="W237" s="585"/>
      <c r="X237" s="585"/>
      <c r="Y237" s="585"/>
      <c r="Z237" s="585"/>
      <c r="AA237" s="585"/>
      <c r="AB237" s="585"/>
      <c r="AC237" s="585"/>
      <c r="AD237" s="585"/>
      <c r="AE237" s="585"/>
      <c r="AF237" s="585"/>
      <c r="AG237" s="585"/>
      <c r="AH237" s="585"/>
      <c r="AI237" s="585"/>
      <c r="AJ237" s="79"/>
      <c r="AK237" s="79"/>
      <c r="AL237" s="585"/>
      <c r="AM237" s="585"/>
      <c r="AN237" s="585"/>
      <c r="AO237" s="585"/>
      <c r="AP237" s="585"/>
      <c r="AQ237" s="585"/>
      <c r="AR237" s="585"/>
      <c r="AS237" s="79"/>
      <c r="AT237" s="79"/>
      <c r="AU237" s="585"/>
      <c r="AV237" s="585"/>
      <c r="AW237" s="585"/>
      <c r="AX237" s="585" t="s">
        <v>120</v>
      </c>
      <c r="AY237" s="585"/>
      <c r="AZ237" s="585"/>
      <c r="BA237" s="585"/>
      <c r="BB237" s="585"/>
      <c r="BC237" s="585"/>
      <c r="BD237" s="585" t="s">
        <v>121</v>
      </c>
      <c r="BE237" s="79"/>
      <c r="BF237" s="79"/>
      <c r="BG237" s="585"/>
      <c r="BH237" s="585"/>
      <c r="BI237" s="585"/>
      <c r="BJ237" s="585"/>
      <c r="BK237" s="585"/>
      <c r="BL237" s="585"/>
      <c r="BM237" s="585"/>
      <c r="BN237" s="585"/>
      <c r="BO237" s="585"/>
      <c r="BP237" s="585"/>
      <c r="BQ237" s="79"/>
      <c r="BR237" s="79"/>
      <c r="BS237" s="585"/>
      <c r="BT237" s="79"/>
      <c r="BU237" s="79"/>
      <c r="BV237" s="585"/>
      <c r="BW237" s="585"/>
      <c r="BX237" s="585"/>
      <c r="BY237" s="585"/>
      <c r="BZ237" s="79"/>
      <c r="CA237" s="79"/>
      <c r="CB237" s="585"/>
      <c r="CC237" s="585"/>
      <c r="CD237" s="585"/>
      <c r="CE237" s="79"/>
      <c r="CF237" s="79"/>
      <c r="CG237" s="585"/>
      <c r="CH237" s="585" t="s">
        <v>40</v>
      </c>
      <c r="CI237" s="585" t="s">
        <v>40</v>
      </c>
      <c r="CJ237" s="201"/>
      <c r="CK237" s="202"/>
      <c r="CL237" s="202"/>
      <c r="CM237" s="202"/>
      <c r="CN237" s="202"/>
      <c r="CO237" s="202"/>
      <c r="CP237" s="202"/>
      <c r="CQ237" s="202"/>
      <c r="CR237" s="202"/>
      <c r="CS237" s="202"/>
      <c r="CT237" s="202"/>
      <c r="CU237" s="202"/>
      <c r="CV237" s="202"/>
      <c r="CW237" s="202"/>
      <c r="CX237" s="202"/>
      <c r="CY237" s="202"/>
      <c r="CZ237" s="202"/>
      <c r="DA237" s="202"/>
      <c r="DB237" s="202"/>
      <c r="DC237" s="202"/>
      <c r="DD237" s="202"/>
      <c r="DE237" s="202"/>
      <c r="DF237" s="202"/>
      <c r="DG237" s="202"/>
      <c r="DH237" s="202"/>
      <c r="DI237" s="202"/>
      <c r="DJ237" s="202"/>
      <c r="DK237" s="202"/>
      <c r="DL237" s="202"/>
      <c r="DM237" s="202"/>
      <c r="DN237" s="202"/>
      <c r="DO237" s="202"/>
      <c r="DP237" s="202"/>
      <c r="DQ237" s="202"/>
      <c r="DR237" s="202"/>
      <c r="DS237" s="202"/>
      <c r="DT237" s="202"/>
      <c r="DU237" s="202"/>
      <c r="DV237" s="202"/>
      <c r="DW237" s="202"/>
      <c r="DX237" s="202"/>
      <c r="DY237" s="202"/>
      <c r="DZ237" s="202"/>
      <c r="EA237" s="202"/>
      <c r="EB237" s="202"/>
      <c r="EC237" s="202"/>
      <c r="ED237" s="202"/>
      <c r="EE237" s="202"/>
      <c r="EF237" s="202"/>
      <c r="EG237" s="202"/>
      <c r="EH237" s="202"/>
      <c r="EI237" s="202"/>
      <c r="EJ237" s="202"/>
      <c r="EK237" s="202"/>
      <c r="EL237" s="202"/>
      <c r="EM237" s="202"/>
      <c r="EN237" s="202"/>
      <c r="EO237" s="202"/>
      <c r="EP237" s="202"/>
      <c r="EQ237" s="202"/>
      <c r="ER237" s="202"/>
      <c r="ES237" s="202"/>
      <c r="ET237" s="202"/>
      <c r="EU237" s="202"/>
      <c r="EV237" s="202"/>
      <c r="EW237" s="202"/>
      <c r="EX237" s="202"/>
      <c r="EY237" s="202"/>
      <c r="EZ237" s="202"/>
      <c r="FA237" s="202"/>
      <c r="FB237" s="202"/>
      <c r="FC237" s="202"/>
      <c r="FD237" s="202"/>
      <c r="FE237" s="202"/>
      <c r="FF237" s="202"/>
      <c r="FG237" s="202"/>
      <c r="FH237" s="202"/>
      <c r="FI237" s="202"/>
    </row>
    <row r="238" spans="1:165" s="228" customFormat="1" ht="18" customHeight="1" x14ac:dyDescent="0.25">
      <c r="A238" s="578">
        <f t="shared" si="5"/>
        <v>229</v>
      </c>
      <c r="B238" s="588">
        <v>0</v>
      </c>
      <c r="C238" s="591" t="s">
        <v>135</v>
      </c>
      <c r="D238" s="585" t="s">
        <v>508</v>
      </c>
      <c r="E238" s="589" t="s">
        <v>509</v>
      </c>
      <c r="F238" s="567" t="s">
        <v>1044</v>
      </c>
      <c r="G238" s="585" t="s">
        <v>113</v>
      </c>
      <c r="H238" s="603" t="s">
        <v>1143</v>
      </c>
      <c r="I238" s="605">
        <v>9</v>
      </c>
      <c r="J238" s="556"/>
      <c r="K238" s="594"/>
      <c r="L238" s="306"/>
      <c r="M238" s="307"/>
      <c r="N238" s="307"/>
      <c r="O238" s="307"/>
      <c r="P238" s="307"/>
      <c r="Q238" s="79"/>
      <c r="R238" s="79"/>
      <c r="S238" s="585"/>
      <c r="T238" s="585"/>
      <c r="U238" s="585"/>
      <c r="V238" s="585"/>
      <c r="W238" s="585"/>
      <c r="X238" s="585"/>
      <c r="Y238" s="585"/>
      <c r="Z238" s="585"/>
      <c r="AA238" s="585"/>
      <c r="AB238" s="585"/>
      <c r="AC238" s="585"/>
      <c r="AD238" s="585"/>
      <c r="AE238" s="585"/>
      <c r="AF238" s="585"/>
      <c r="AG238" s="585"/>
      <c r="AH238" s="585"/>
      <c r="AI238" s="585"/>
      <c r="AJ238" s="79"/>
      <c r="AK238" s="79"/>
      <c r="AL238" s="585"/>
      <c r="AM238" s="585"/>
      <c r="AN238" s="585"/>
      <c r="AO238" s="585"/>
      <c r="AP238" s="585"/>
      <c r="AQ238" s="585"/>
      <c r="AR238" s="585"/>
      <c r="AS238" s="79"/>
      <c r="AT238" s="79"/>
      <c r="AU238" s="585"/>
      <c r="AV238" s="585"/>
      <c r="AW238" s="585"/>
      <c r="AX238" s="585"/>
      <c r="AY238" s="585"/>
      <c r="AZ238" s="585"/>
      <c r="BA238" s="585"/>
      <c r="BB238" s="585"/>
      <c r="BC238" s="585"/>
      <c r="BD238" s="585"/>
      <c r="BE238" s="79"/>
      <c r="BF238" s="79"/>
      <c r="BG238" s="585"/>
      <c r="BH238" s="585"/>
      <c r="BI238" s="585"/>
      <c r="BJ238" s="585"/>
      <c r="BK238" s="585"/>
      <c r="BL238" s="585"/>
      <c r="BM238" s="585"/>
      <c r="BN238" s="585"/>
      <c r="BO238" s="585"/>
      <c r="BP238" s="585"/>
      <c r="BQ238" s="79"/>
      <c r="BR238" s="79"/>
      <c r="BS238" s="585"/>
      <c r="BT238" s="79"/>
      <c r="BU238" s="79"/>
      <c r="BV238" s="585"/>
      <c r="BW238" s="585"/>
      <c r="BX238" s="585"/>
      <c r="BY238" s="585"/>
      <c r="BZ238" s="79"/>
      <c r="CA238" s="79"/>
      <c r="CB238" s="585"/>
      <c r="CC238" s="585"/>
      <c r="CD238" s="585"/>
      <c r="CE238" s="79"/>
      <c r="CF238" s="79"/>
      <c r="CG238" s="585"/>
      <c r="CH238" s="585" t="s">
        <v>40</v>
      </c>
      <c r="CI238" s="585" t="s">
        <v>40</v>
      </c>
      <c r="CJ238" s="201"/>
      <c r="CK238" s="202"/>
      <c r="CL238" s="202"/>
      <c r="CM238" s="202"/>
      <c r="CN238" s="202"/>
      <c r="CO238" s="202"/>
      <c r="CP238" s="202"/>
      <c r="CQ238" s="202"/>
      <c r="CR238" s="202"/>
      <c r="CS238" s="202"/>
      <c r="CT238" s="202"/>
      <c r="CU238" s="202"/>
      <c r="CV238" s="202"/>
      <c r="CW238" s="202"/>
      <c r="CX238" s="202"/>
      <c r="CY238" s="202"/>
      <c r="CZ238" s="202"/>
      <c r="DA238" s="202"/>
      <c r="DB238" s="202"/>
      <c r="DC238" s="202"/>
      <c r="DD238" s="202"/>
      <c r="DE238" s="202"/>
      <c r="DF238" s="202"/>
      <c r="DG238" s="202"/>
      <c r="DH238" s="202"/>
      <c r="DI238" s="202"/>
      <c r="DJ238" s="202"/>
      <c r="DK238" s="202"/>
      <c r="DL238" s="202"/>
      <c r="DM238" s="202"/>
      <c r="DN238" s="202"/>
      <c r="DO238" s="202"/>
      <c r="DP238" s="202"/>
      <c r="DQ238" s="202"/>
      <c r="DR238" s="202"/>
      <c r="DS238" s="202"/>
      <c r="DT238" s="202"/>
      <c r="DU238" s="202"/>
      <c r="DV238" s="202"/>
      <c r="DW238" s="202"/>
      <c r="DX238" s="202"/>
      <c r="DY238" s="202"/>
      <c r="DZ238" s="202"/>
      <c r="EA238" s="202"/>
      <c r="EB238" s="202"/>
      <c r="EC238" s="202"/>
      <c r="ED238" s="202"/>
      <c r="EE238" s="202"/>
      <c r="EF238" s="202"/>
      <c r="EG238" s="202"/>
      <c r="EH238" s="202"/>
      <c r="EI238" s="202"/>
      <c r="EJ238" s="202"/>
      <c r="EK238" s="202"/>
      <c r="EL238" s="202"/>
      <c r="EM238" s="202"/>
      <c r="EN238" s="202"/>
      <c r="EO238" s="202"/>
      <c r="EP238" s="202"/>
      <c r="EQ238" s="202"/>
      <c r="ER238" s="202"/>
      <c r="ES238" s="202"/>
      <c r="ET238" s="202"/>
      <c r="EU238" s="202"/>
      <c r="EV238" s="202"/>
      <c r="EW238" s="202"/>
      <c r="EX238" s="202"/>
      <c r="EY238" s="202"/>
      <c r="EZ238" s="202"/>
      <c r="FA238" s="202"/>
      <c r="FB238" s="202"/>
      <c r="FC238" s="202"/>
      <c r="FD238" s="202"/>
      <c r="FE238" s="202"/>
      <c r="FF238" s="202"/>
      <c r="FG238" s="202"/>
      <c r="FH238" s="202"/>
      <c r="FI238" s="202"/>
    </row>
    <row r="239" spans="1:165" s="228" customFormat="1" ht="18" customHeight="1" x14ac:dyDescent="0.25">
      <c r="A239" s="578">
        <f t="shared" si="5"/>
        <v>230</v>
      </c>
      <c r="B239" s="588">
        <v>0</v>
      </c>
      <c r="C239" s="591" t="s">
        <v>135</v>
      </c>
      <c r="D239" s="585" t="s">
        <v>510</v>
      </c>
      <c r="E239" s="589" t="s">
        <v>511</v>
      </c>
      <c r="F239" s="567" t="s">
        <v>1044</v>
      </c>
      <c r="G239" s="585" t="s">
        <v>512</v>
      </c>
      <c r="H239" s="603" t="s">
        <v>876</v>
      </c>
      <c r="I239" s="593">
        <v>4</v>
      </c>
      <c r="J239" s="556" t="s">
        <v>64</v>
      </c>
      <c r="K239" s="594">
        <v>14</v>
      </c>
      <c r="L239" s="306"/>
      <c r="M239" s="307"/>
      <c r="N239" s="307"/>
      <c r="O239" s="307" t="s">
        <v>122</v>
      </c>
      <c r="P239" s="307"/>
      <c r="Q239" s="79"/>
      <c r="R239" s="79"/>
      <c r="S239" s="585"/>
      <c r="T239" s="585"/>
      <c r="U239" s="585"/>
      <c r="V239" s="585"/>
      <c r="W239" s="585"/>
      <c r="X239" s="585"/>
      <c r="Y239" s="585"/>
      <c r="Z239" s="585"/>
      <c r="AA239" s="585"/>
      <c r="AB239" s="585"/>
      <c r="AC239" s="585"/>
      <c r="AD239" s="585"/>
      <c r="AE239" s="585"/>
      <c r="AF239" s="585"/>
      <c r="AG239" s="585"/>
      <c r="AH239" s="585"/>
      <c r="AI239" s="585"/>
      <c r="AJ239" s="79"/>
      <c r="AK239" s="79"/>
      <c r="AL239" s="585"/>
      <c r="AM239" s="585"/>
      <c r="AN239" s="585"/>
      <c r="AO239" s="585"/>
      <c r="AP239" s="585"/>
      <c r="AQ239" s="585"/>
      <c r="AR239" s="585"/>
      <c r="AS239" s="79"/>
      <c r="AT239" s="79"/>
      <c r="AU239" s="585"/>
      <c r="AV239" s="585"/>
      <c r="AW239" s="585"/>
      <c r="AX239" s="585" t="s">
        <v>120</v>
      </c>
      <c r="AY239" s="585"/>
      <c r="AZ239" s="585"/>
      <c r="BA239" s="585"/>
      <c r="BB239" s="585"/>
      <c r="BC239" s="585"/>
      <c r="BD239" s="585" t="s">
        <v>121</v>
      </c>
      <c r="BE239" s="79"/>
      <c r="BF239" s="79"/>
      <c r="BG239" s="585"/>
      <c r="BH239" s="585"/>
      <c r="BI239" s="585"/>
      <c r="BJ239" s="585"/>
      <c r="BK239" s="585"/>
      <c r="BL239" s="585"/>
      <c r="BM239" s="585"/>
      <c r="BN239" s="585"/>
      <c r="BO239" s="585"/>
      <c r="BP239" s="585"/>
      <c r="BQ239" s="79"/>
      <c r="BR239" s="79"/>
      <c r="BS239" s="585"/>
      <c r="BT239" s="79"/>
      <c r="BU239" s="79"/>
      <c r="BV239" s="585"/>
      <c r="BW239" s="585"/>
      <c r="BX239" s="585"/>
      <c r="BY239" s="585"/>
      <c r="BZ239" s="79"/>
      <c r="CA239" s="79"/>
      <c r="CB239" s="585"/>
      <c r="CC239" s="585"/>
      <c r="CD239" s="585"/>
      <c r="CE239" s="79"/>
      <c r="CF239" s="79"/>
      <c r="CG239" s="585"/>
      <c r="CH239" s="585" t="s">
        <v>40</v>
      </c>
      <c r="CI239" s="585" t="s">
        <v>40</v>
      </c>
      <c r="CJ239" s="201"/>
      <c r="CK239" s="202"/>
      <c r="CL239" s="202"/>
      <c r="CM239" s="202"/>
      <c r="CN239" s="202"/>
      <c r="CO239" s="202"/>
      <c r="CP239" s="202"/>
      <c r="CQ239" s="202"/>
      <c r="CR239" s="202"/>
      <c r="CS239" s="202"/>
      <c r="CT239" s="202"/>
      <c r="CU239" s="202"/>
      <c r="CV239" s="202"/>
      <c r="CW239" s="202"/>
      <c r="CX239" s="202"/>
      <c r="CY239" s="202"/>
      <c r="CZ239" s="202"/>
      <c r="DA239" s="202"/>
      <c r="DB239" s="202"/>
      <c r="DC239" s="202"/>
      <c r="DD239" s="202"/>
      <c r="DE239" s="202"/>
      <c r="DF239" s="202"/>
      <c r="DG239" s="202"/>
      <c r="DH239" s="202"/>
      <c r="DI239" s="202"/>
      <c r="DJ239" s="202"/>
      <c r="DK239" s="202"/>
      <c r="DL239" s="202"/>
      <c r="DM239" s="202"/>
      <c r="DN239" s="202"/>
      <c r="DO239" s="202"/>
      <c r="DP239" s="202"/>
      <c r="DQ239" s="202"/>
      <c r="DR239" s="202"/>
      <c r="DS239" s="202"/>
      <c r="DT239" s="202"/>
      <c r="DU239" s="202"/>
      <c r="DV239" s="202"/>
      <c r="DW239" s="202"/>
      <c r="DX239" s="202"/>
      <c r="DY239" s="202"/>
      <c r="DZ239" s="202"/>
      <c r="EA239" s="202"/>
      <c r="EB239" s="202"/>
      <c r="EC239" s="202"/>
      <c r="ED239" s="202"/>
      <c r="EE239" s="202"/>
      <c r="EF239" s="202"/>
      <c r="EG239" s="202"/>
      <c r="EH239" s="202"/>
      <c r="EI239" s="202"/>
      <c r="EJ239" s="202"/>
      <c r="EK239" s="202"/>
      <c r="EL239" s="202"/>
      <c r="EM239" s="202"/>
      <c r="EN239" s="202"/>
      <c r="EO239" s="202"/>
      <c r="EP239" s="202"/>
      <c r="EQ239" s="202"/>
      <c r="ER239" s="202"/>
      <c r="ES239" s="202"/>
      <c r="ET239" s="202"/>
      <c r="EU239" s="202"/>
      <c r="EV239" s="202"/>
      <c r="EW239" s="202"/>
      <c r="EX239" s="202"/>
      <c r="EY239" s="202"/>
      <c r="EZ239" s="202"/>
      <c r="FA239" s="202"/>
      <c r="FB239" s="202"/>
      <c r="FC239" s="202"/>
      <c r="FD239" s="202"/>
      <c r="FE239" s="202"/>
      <c r="FF239" s="202"/>
      <c r="FG239" s="202"/>
      <c r="FH239" s="202"/>
      <c r="FI239" s="202"/>
    </row>
    <row r="240" spans="1:165" s="228" customFormat="1" ht="18" customHeight="1" x14ac:dyDescent="0.25">
      <c r="A240" s="578">
        <f t="shared" si="5"/>
        <v>231</v>
      </c>
      <c r="B240" s="588">
        <v>0</v>
      </c>
      <c r="C240" s="591" t="s">
        <v>135</v>
      </c>
      <c r="D240" s="585" t="s">
        <v>513</v>
      </c>
      <c r="E240" s="589" t="s">
        <v>514</v>
      </c>
      <c r="F240" s="567" t="s">
        <v>1044</v>
      </c>
      <c r="G240" s="585" t="s">
        <v>515</v>
      </c>
      <c r="H240" s="603" t="s">
        <v>1146</v>
      </c>
      <c r="I240" s="605">
        <v>9</v>
      </c>
      <c r="J240" s="556"/>
      <c r="K240" s="594"/>
      <c r="L240" s="306"/>
      <c r="M240" s="307"/>
      <c r="N240" s="307"/>
      <c r="O240" s="307"/>
      <c r="P240" s="307"/>
      <c r="Q240" s="79"/>
      <c r="R240" s="79"/>
      <c r="S240" s="585"/>
      <c r="T240" s="585"/>
      <c r="U240" s="585"/>
      <c r="V240" s="585"/>
      <c r="W240" s="585"/>
      <c r="X240" s="585"/>
      <c r="Y240" s="585"/>
      <c r="Z240" s="585"/>
      <c r="AA240" s="585"/>
      <c r="AB240" s="585"/>
      <c r="AC240" s="585"/>
      <c r="AD240" s="585"/>
      <c r="AE240" s="585"/>
      <c r="AF240" s="585"/>
      <c r="AG240" s="585"/>
      <c r="AH240" s="585"/>
      <c r="AI240" s="585"/>
      <c r="AJ240" s="79"/>
      <c r="AK240" s="79"/>
      <c r="AL240" s="585"/>
      <c r="AM240" s="585"/>
      <c r="AN240" s="585"/>
      <c r="AO240" s="585"/>
      <c r="AP240" s="585"/>
      <c r="AQ240" s="585"/>
      <c r="AR240" s="585"/>
      <c r="AS240" s="79"/>
      <c r="AT240" s="79"/>
      <c r="AU240" s="585"/>
      <c r="AV240" s="585"/>
      <c r="AW240" s="585"/>
      <c r="AX240" s="585"/>
      <c r="AY240" s="585"/>
      <c r="AZ240" s="585"/>
      <c r="BA240" s="585"/>
      <c r="BB240" s="585"/>
      <c r="BC240" s="585"/>
      <c r="BD240" s="585"/>
      <c r="BE240" s="79"/>
      <c r="BF240" s="79"/>
      <c r="BG240" s="585"/>
      <c r="BH240" s="585"/>
      <c r="BI240" s="585"/>
      <c r="BJ240" s="585"/>
      <c r="BK240" s="585"/>
      <c r="BL240" s="585"/>
      <c r="BM240" s="585"/>
      <c r="BN240" s="585"/>
      <c r="BO240" s="585"/>
      <c r="BP240" s="585"/>
      <c r="BQ240" s="79"/>
      <c r="BR240" s="79"/>
      <c r="BS240" s="585"/>
      <c r="BT240" s="79"/>
      <c r="BU240" s="79"/>
      <c r="BV240" s="585"/>
      <c r="BW240" s="585"/>
      <c r="BX240" s="585"/>
      <c r="BY240" s="585"/>
      <c r="BZ240" s="79"/>
      <c r="CA240" s="79"/>
      <c r="CB240" s="585"/>
      <c r="CC240" s="585"/>
      <c r="CD240" s="585"/>
      <c r="CE240" s="79"/>
      <c r="CF240" s="79"/>
      <c r="CG240" s="585"/>
      <c r="CH240" s="585" t="s">
        <v>40</v>
      </c>
      <c r="CI240" s="585" t="s">
        <v>40</v>
      </c>
      <c r="CJ240" s="201"/>
      <c r="CK240" s="202"/>
      <c r="CL240" s="202"/>
      <c r="CM240" s="202"/>
      <c r="CN240" s="202"/>
      <c r="CO240" s="202"/>
      <c r="CP240" s="202"/>
      <c r="CQ240" s="202"/>
      <c r="CR240" s="202"/>
      <c r="CS240" s="202"/>
      <c r="CT240" s="202"/>
      <c r="CU240" s="202"/>
      <c r="CV240" s="202"/>
      <c r="CW240" s="202"/>
      <c r="CX240" s="202"/>
      <c r="CY240" s="202"/>
      <c r="CZ240" s="202"/>
      <c r="DA240" s="202"/>
      <c r="DB240" s="202"/>
      <c r="DC240" s="202"/>
      <c r="DD240" s="202"/>
      <c r="DE240" s="202"/>
      <c r="DF240" s="202"/>
      <c r="DG240" s="202"/>
      <c r="DH240" s="202"/>
      <c r="DI240" s="202"/>
      <c r="DJ240" s="202"/>
      <c r="DK240" s="202"/>
      <c r="DL240" s="202"/>
      <c r="DM240" s="202"/>
      <c r="DN240" s="202"/>
      <c r="DO240" s="202"/>
      <c r="DP240" s="202"/>
      <c r="DQ240" s="202"/>
      <c r="DR240" s="202"/>
      <c r="DS240" s="202"/>
      <c r="DT240" s="202"/>
      <c r="DU240" s="202"/>
      <c r="DV240" s="202"/>
      <c r="DW240" s="202"/>
      <c r="DX240" s="202"/>
      <c r="DY240" s="202"/>
      <c r="DZ240" s="202"/>
      <c r="EA240" s="202"/>
      <c r="EB240" s="202"/>
      <c r="EC240" s="202"/>
      <c r="ED240" s="202"/>
      <c r="EE240" s="202"/>
      <c r="EF240" s="202"/>
      <c r="EG240" s="202"/>
      <c r="EH240" s="202"/>
      <c r="EI240" s="202"/>
      <c r="EJ240" s="202"/>
      <c r="EK240" s="202"/>
      <c r="EL240" s="202"/>
      <c r="EM240" s="202"/>
      <c r="EN240" s="202"/>
      <c r="EO240" s="202"/>
      <c r="EP240" s="202"/>
      <c r="EQ240" s="202"/>
      <c r="ER240" s="202"/>
      <c r="ES240" s="202"/>
      <c r="ET240" s="202"/>
      <c r="EU240" s="202"/>
      <c r="EV240" s="202"/>
      <c r="EW240" s="202"/>
      <c r="EX240" s="202"/>
      <c r="EY240" s="202"/>
      <c r="EZ240" s="202"/>
      <c r="FA240" s="202"/>
      <c r="FB240" s="202"/>
      <c r="FC240" s="202"/>
      <c r="FD240" s="202"/>
      <c r="FE240" s="202"/>
      <c r="FF240" s="202"/>
      <c r="FG240" s="202"/>
      <c r="FH240" s="202"/>
      <c r="FI240" s="202"/>
    </row>
    <row r="241" spans="1:165" s="228" customFormat="1" ht="18" customHeight="1" x14ac:dyDescent="0.25">
      <c r="A241" s="578">
        <f t="shared" si="5"/>
        <v>232</v>
      </c>
      <c r="B241" s="588">
        <v>0</v>
      </c>
      <c r="C241" s="591" t="s">
        <v>135</v>
      </c>
      <c r="D241" s="585" t="s">
        <v>1020</v>
      </c>
      <c r="E241" s="589" t="s">
        <v>1021</v>
      </c>
      <c r="F241" s="567" t="s">
        <v>1044</v>
      </c>
      <c r="G241" s="585" t="s">
        <v>1022</v>
      </c>
      <c r="H241" s="603" t="s">
        <v>1022</v>
      </c>
      <c r="I241" s="593"/>
      <c r="J241" s="556"/>
      <c r="K241" s="594"/>
      <c r="L241" s="306"/>
      <c r="M241" s="307"/>
      <c r="N241" s="307"/>
      <c r="O241" s="307"/>
      <c r="P241" s="307"/>
      <c r="Q241" s="79"/>
      <c r="R241" s="79"/>
      <c r="S241" s="585"/>
      <c r="T241" s="585"/>
      <c r="U241" s="585"/>
      <c r="V241" s="585"/>
      <c r="W241" s="585"/>
      <c r="X241" s="585"/>
      <c r="Y241" s="585"/>
      <c r="Z241" s="585"/>
      <c r="AA241" s="585"/>
      <c r="AB241" s="585"/>
      <c r="AC241" s="585"/>
      <c r="AD241" s="585"/>
      <c r="AE241" s="585"/>
      <c r="AF241" s="585"/>
      <c r="AG241" s="585"/>
      <c r="AH241" s="585"/>
      <c r="AI241" s="585"/>
      <c r="AJ241" s="79"/>
      <c r="AK241" s="79"/>
      <c r="AL241" s="585"/>
      <c r="AM241" s="585"/>
      <c r="AN241" s="585"/>
      <c r="AO241" s="585"/>
      <c r="AP241" s="585"/>
      <c r="AQ241" s="585"/>
      <c r="AR241" s="585"/>
      <c r="AS241" s="79"/>
      <c r="AT241" s="79"/>
      <c r="AU241" s="585"/>
      <c r="AV241" s="585"/>
      <c r="AW241" s="585"/>
      <c r="AX241" s="585"/>
      <c r="AY241" s="585"/>
      <c r="AZ241" s="585"/>
      <c r="BA241" s="585"/>
      <c r="BB241" s="585"/>
      <c r="BC241" s="585"/>
      <c r="BD241" s="585"/>
      <c r="BE241" s="79"/>
      <c r="BF241" s="79"/>
      <c r="BG241" s="585"/>
      <c r="BH241" s="585"/>
      <c r="BI241" s="585"/>
      <c r="BJ241" s="585"/>
      <c r="BK241" s="585"/>
      <c r="BL241" s="585"/>
      <c r="BM241" s="585"/>
      <c r="BN241" s="585"/>
      <c r="BO241" s="585"/>
      <c r="BP241" s="585"/>
      <c r="BQ241" s="79"/>
      <c r="BR241" s="79"/>
      <c r="BS241" s="585"/>
      <c r="BT241" s="79"/>
      <c r="BU241" s="79"/>
      <c r="BV241" s="585"/>
      <c r="BW241" s="585"/>
      <c r="BX241" s="585"/>
      <c r="BY241" s="585"/>
      <c r="BZ241" s="79"/>
      <c r="CA241" s="79"/>
      <c r="CB241" s="585"/>
      <c r="CC241" s="585"/>
      <c r="CD241" s="585"/>
      <c r="CE241" s="79"/>
      <c r="CF241" s="79"/>
      <c r="CG241" s="585"/>
      <c r="CH241" s="585"/>
      <c r="CI241" s="585"/>
      <c r="CJ241" s="201"/>
      <c r="CK241" s="202"/>
      <c r="CL241" s="202"/>
      <c r="CM241" s="202"/>
      <c r="CN241" s="202"/>
      <c r="CO241" s="202"/>
      <c r="CP241" s="202"/>
      <c r="CQ241" s="202"/>
      <c r="CR241" s="202"/>
      <c r="CS241" s="202"/>
      <c r="CT241" s="202"/>
      <c r="CU241" s="202"/>
      <c r="CV241" s="202"/>
      <c r="CW241" s="202"/>
      <c r="CX241" s="202"/>
      <c r="CY241" s="202"/>
      <c r="CZ241" s="202"/>
      <c r="DA241" s="202"/>
      <c r="DB241" s="202"/>
      <c r="DC241" s="202"/>
      <c r="DD241" s="202"/>
      <c r="DE241" s="202"/>
      <c r="DF241" s="202"/>
      <c r="DG241" s="202"/>
      <c r="DH241" s="202"/>
      <c r="DI241" s="202"/>
      <c r="DJ241" s="202"/>
      <c r="DK241" s="202"/>
      <c r="DL241" s="202"/>
      <c r="DM241" s="202"/>
      <c r="DN241" s="202"/>
      <c r="DO241" s="202"/>
      <c r="DP241" s="202"/>
      <c r="DQ241" s="202"/>
      <c r="DR241" s="202"/>
      <c r="DS241" s="202"/>
      <c r="DT241" s="202"/>
      <c r="DU241" s="202"/>
      <c r="DV241" s="202"/>
      <c r="DW241" s="202"/>
      <c r="DX241" s="202"/>
      <c r="DY241" s="202"/>
      <c r="DZ241" s="202"/>
      <c r="EA241" s="202"/>
      <c r="EB241" s="202"/>
      <c r="EC241" s="202"/>
      <c r="ED241" s="202"/>
      <c r="EE241" s="202"/>
      <c r="EF241" s="202"/>
      <c r="EG241" s="202"/>
      <c r="EH241" s="202"/>
      <c r="EI241" s="202"/>
      <c r="EJ241" s="202"/>
      <c r="EK241" s="202"/>
      <c r="EL241" s="202"/>
      <c r="EM241" s="202"/>
      <c r="EN241" s="202"/>
      <c r="EO241" s="202"/>
      <c r="EP241" s="202"/>
      <c r="EQ241" s="202"/>
      <c r="ER241" s="202"/>
      <c r="ES241" s="202"/>
      <c r="ET241" s="202"/>
      <c r="EU241" s="202"/>
      <c r="EV241" s="202"/>
      <c r="EW241" s="202"/>
      <c r="EX241" s="202"/>
      <c r="EY241" s="202"/>
      <c r="EZ241" s="202"/>
      <c r="FA241" s="202"/>
      <c r="FB241" s="202"/>
      <c r="FC241" s="202"/>
      <c r="FD241" s="202"/>
      <c r="FE241" s="202"/>
      <c r="FF241" s="202"/>
      <c r="FG241" s="202"/>
      <c r="FH241" s="202"/>
      <c r="FI241" s="202"/>
    </row>
    <row r="242" spans="1:165" s="228" customFormat="1" ht="18" customHeight="1" x14ac:dyDescent="0.25">
      <c r="A242" s="578">
        <f t="shared" si="5"/>
        <v>233</v>
      </c>
      <c r="B242" s="588">
        <v>0</v>
      </c>
      <c r="C242" s="591" t="s">
        <v>135</v>
      </c>
      <c r="D242" s="585" t="s">
        <v>310</v>
      </c>
      <c r="E242" s="589" t="s">
        <v>516</v>
      </c>
      <c r="F242" s="567" t="s">
        <v>1044</v>
      </c>
      <c r="G242" s="585" t="s">
        <v>780</v>
      </c>
      <c r="H242" s="603" t="s">
        <v>517</v>
      </c>
      <c r="I242" s="593"/>
      <c r="J242" s="556"/>
      <c r="K242" s="594"/>
      <c r="L242" s="306"/>
      <c r="M242" s="307"/>
      <c r="N242" s="307"/>
      <c r="O242" s="307"/>
      <c r="P242" s="307"/>
      <c r="Q242" s="79"/>
      <c r="R242" s="79"/>
      <c r="S242" s="585"/>
      <c r="T242" s="585"/>
      <c r="U242" s="585"/>
      <c r="V242" s="585"/>
      <c r="W242" s="585"/>
      <c r="X242" s="585"/>
      <c r="Y242" s="585"/>
      <c r="Z242" s="585"/>
      <c r="AA242" s="585"/>
      <c r="AB242" s="585"/>
      <c r="AC242" s="585"/>
      <c r="AD242" s="585"/>
      <c r="AE242" s="585" t="s">
        <v>120</v>
      </c>
      <c r="AF242" s="585"/>
      <c r="AG242" s="585"/>
      <c r="AH242" s="585"/>
      <c r="AI242" s="585"/>
      <c r="AJ242" s="79"/>
      <c r="AK242" s="79"/>
      <c r="AL242" s="585"/>
      <c r="AM242" s="585"/>
      <c r="AN242" s="585"/>
      <c r="AO242" s="585"/>
      <c r="AP242" s="585"/>
      <c r="AQ242" s="585"/>
      <c r="AR242" s="585"/>
      <c r="AS242" s="79"/>
      <c r="AT242" s="79"/>
      <c r="AU242" s="585"/>
      <c r="AV242" s="585"/>
      <c r="AW242" s="585"/>
      <c r="AX242" s="585"/>
      <c r="AY242" s="585"/>
      <c r="AZ242" s="585"/>
      <c r="BA242" s="585"/>
      <c r="BB242" s="585"/>
      <c r="BC242" s="585"/>
      <c r="BD242" s="585"/>
      <c r="BE242" s="79"/>
      <c r="BF242" s="79"/>
      <c r="BG242" s="585"/>
      <c r="BH242" s="585"/>
      <c r="BI242" s="585"/>
      <c r="BJ242" s="585"/>
      <c r="BK242" s="585"/>
      <c r="BL242" s="585"/>
      <c r="BM242" s="585"/>
      <c r="BN242" s="585"/>
      <c r="BO242" s="585"/>
      <c r="BP242" s="585"/>
      <c r="BQ242" s="79"/>
      <c r="BR242" s="79"/>
      <c r="BS242" s="585"/>
      <c r="BT242" s="79"/>
      <c r="BU242" s="79"/>
      <c r="BV242" s="585"/>
      <c r="BW242" s="585"/>
      <c r="BX242" s="585"/>
      <c r="BY242" s="585"/>
      <c r="BZ242" s="79"/>
      <c r="CA242" s="79"/>
      <c r="CB242" s="585"/>
      <c r="CC242" s="585"/>
      <c r="CD242" s="585"/>
      <c r="CE242" s="79"/>
      <c r="CF242" s="79"/>
      <c r="CG242" s="585"/>
      <c r="CH242" s="585"/>
      <c r="CI242" s="585"/>
      <c r="CJ242" s="201"/>
      <c r="CK242" s="202"/>
      <c r="CL242" s="202"/>
      <c r="CM242" s="202"/>
      <c r="CN242" s="202"/>
      <c r="CO242" s="202"/>
      <c r="CP242" s="202"/>
      <c r="CQ242" s="202"/>
      <c r="CR242" s="202"/>
      <c r="CS242" s="202"/>
      <c r="CT242" s="202"/>
      <c r="CU242" s="202"/>
      <c r="CV242" s="202"/>
      <c r="CW242" s="202"/>
      <c r="CX242" s="202"/>
      <c r="CY242" s="202"/>
      <c r="CZ242" s="202"/>
      <c r="DA242" s="202"/>
      <c r="DB242" s="202"/>
      <c r="DC242" s="202"/>
      <c r="DD242" s="202"/>
      <c r="DE242" s="202"/>
      <c r="DF242" s="202"/>
      <c r="DG242" s="202"/>
      <c r="DH242" s="202"/>
      <c r="DI242" s="202"/>
      <c r="DJ242" s="202"/>
      <c r="DK242" s="202"/>
      <c r="DL242" s="202"/>
      <c r="DM242" s="202"/>
      <c r="DN242" s="202"/>
      <c r="DO242" s="202"/>
      <c r="DP242" s="202"/>
      <c r="DQ242" s="202"/>
      <c r="DR242" s="202"/>
      <c r="DS242" s="202"/>
      <c r="DT242" s="202"/>
      <c r="DU242" s="202"/>
      <c r="DV242" s="202"/>
      <c r="DW242" s="202"/>
      <c r="DX242" s="202"/>
      <c r="DY242" s="202"/>
      <c r="DZ242" s="202"/>
      <c r="EA242" s="202"/>
      <c r="EB242" s="202"/>
      <c r="EC242" s="202"/>
      <c r="ED242" s="202"/>
      <c r="EE242" s="202"/>
      <c r="EF242" s="202"/>
      <c r="EG242" s="202"/>
      <c r="EH242" s="202"/>
      <c r="EI242" s="202"/>
      <c r="EJ242" s="202"/>
      <c r="EK242" s="202"/>
      <c r="EL242" s="202"/>
      <c r="EM242" s="202"/>
      <c r="EN242" s="202"/>
      <c r="EO242" s="202"/>
      <c r="EP242" s="202"/>
      <c r="EQ242" s="202"/>
      <c r="ER242" s="202"/>
      <c r="ES242" s="202"/>
      <c r="ET242" s="202"/>
      <c r="EU242" s="202"/>
      <c r="EV242" s="202"/>
      <c r="EW242" s="202"/>
      <c r="EX242" s="202"/>
      <c r="EY242" s="202"/>
      <c r="EZ242" s="202"/>
      <c r="FA242" s="202"/>
      <c r="FB242" s="202"/>
      <c r="FC242" s="202"/>
      <c r="FD242" s="202"/>
      <c r="FE242" s="202"/>
      <c r="FF242" s="202"/>
      <c r="FG242" s="202"/>
      <c r="FH242" s="202"/>
      <c r="FI242" s="202"/>
    </row>
    <row r="243" spans="1:165" s="228" customFormat="1" ht="18" customHeight="1" x14ac:dyDescent="0.25">
      <c r="A243" s="578">
        <f t="shared" si="5"/>
        <v>234</v>
      </c>
      <c r="B243" s="588">
        <v>0</v>
      </c>
      <c r="C243" s="591" t="s">
        <v>135</v>
      </c>
      <c r="D243" s="585" t="s">
        <v>518</v>
      </c>
      <c r="E243" s="589" t="s">
        <v>519</v>
      </c>
      <c r="F243" s="567" t="s">
        <v>1044</v>
      </c>
      <c r="G243" s="585" t="s">
        <v>608</v>
      </c>
      <c r="H243" s="603" t="s">
        <v>1145</v>
      </c>
      <c r="I243" s="605">
        <v>9</v>
      </c>
      <c r="J243" s="556"/>
      <c r="K243" s="594"/>
      <c r="L243" s="306"/>
      <c r="M243" s="307"/>
      <c r="N243" s="307"/>
      <c r="O243" s="307"/>
      <c r="P243" s="307"/>
      <c r="Q243" s="79"/>
      <c r="R243" s="79"/>
      <c r="S243" s="585"/>
      <c r="T243" s="585"/>
      <c r="U243" s="585"/>
      <c r="V243" s="585"/>
      <c r="W243" s="585"/>
      <c r="X243" s="585"/>
      <c r="Y243" s="585"/>
      <c r="Z243" s="585"/>
      <c r="AA243" s="585"/>
      <c r="AB243" s="585"/>
      <c r="AC243" s="585"/>
      <c r="AD243" s="585"/>
      <c r="AE243" s="585"/>
      <c r="AF243" s="585"/>
      <c r="AG243" s="585"/>
      <c r="AH243" s="585"/>
      <c r="AI243" s="585"/>
      <c r="AJ243" s="79"/>
      <c r="AK243" s="79"/>
      <c r="AL243" s="585"/>
      <c r="AM243" s="585"/>
      <c r="AN243" s="585"/>
      <c r="AO243" s="585"/>
      <c r="AP243" s="585"/>
      <c r="AQ243" s="585"/>
      <c r="AR243" s="585"/>
      <c r="AS243" s="79"/>
      <c r="AT243" s="79"/>
      <c r="AU243" s="585"/>
      <c r="AV243" s="585"/>
      <c r="AW243" s="585"/>
      <c r="AX243" s="585"/>
      <c r="AY243" s="585"/>
      <c r="AZ243" s="585"/>
      <c r="BA243" s="585"/>
      <c r="BB243" s="585"/>
      <c r="BC243" s="585"/>
      <c r="BD243" s="585"/>
      <c r="BE243" s="79"/>
      <c r="BF243" s="79"/>
      <c r="BG243" s="585"/>
      <c r="BH243" s="585"/>
      <c r="BI243" s="585"/>
      <c r="BJ243" s="585"/>
      <c r="BK243" s="585"/>
      <c r="BL243" s="585"/>
      <c r="BM243" s="585"/>
      <c r="BN243" s="585"/>
      <c r="BO243" s="585"/>
      <c r="BP243" s="585"/>
      <c r="BQ243" s="79"/>
      <c r="BR243" s="79"/>
      <c r="BS243" s="585"/>
      <c r="BT243" s="79"/>
      <c r="BU243" s="79"/>
      <c r="BV243" s="585"/>
      <c r="BW243" s="585"/>
      <c r="BX243" s="585"/>
      <c r="BY243" s="585"/>
      <c r="BZ243" s="79"/>
      <c r="CA243" s="79"/>
      <c r="CB243" s="585"/>
      <c r="CC243" s="585"/>
      <c r="CD243" s="585"/>
      <c r="CE243" s="79"/>
      <c r="CF243" s="79"/>
      <c r="CG243" s="585"/>
      <c r="CH243" s="585" t="s">
        <v>40</v>
      </c>
      <c r="CI243" s="585" t="s">
        <v>40</v>
      </c>
      <c r="CJ243" s="201"/>
      <c r="CK243" s="202"/>
      <c r="CL243" s="202"/>
      <c r="CM243" s="202"/>
      <c r="CN243" s="202"/>
      <c r="CO243" s="202"/>
      <c r="CP243" s="202"/>
      <c r="CQ243" s="202"/>
      <c r="CR243" s="202"/>
      <c r="CS243" s="202"/>
      <c r="CT243" s="202"/>
      <c r="CU243" s="202"/>
      <c r="CV243" s="202"/>
      <c r="CW243" s="202"/>
      <c r="CX243" s="202"/>
      <c r="CY243" s="202"/>
      <c r="CZ243" s="202"/>
      <c r="DA243" s="202"/>
      <c r="DB243" s="202"/>
      <c r="DC243" s="202"/>
      <c r="DD243" s="202"/>
      <c r="DE243" s="202"/>
      <c r="DF243" s="202"/>
      <c r="DG243" s="202"/>
      <c r="DH243" s="202"/>
      <c r="DI243" s="202"/>
      <c r="DJ243" s="202"/>
      <c r="DK243" s="202"/>
      <c r="DL243" s="202"/>
      <c r="DM243" s="202"/>
      <c r="DN243" s="202"/>
      <c r="DO243" s="202"/>
      <c r="DP243" s="202"/>
      <c r="DQ243" s="202"/>
      <c r="DR243" s="202"/>
      <c r="DS243" s="202"/>
      <c r="DT243" s="202"/>
      <c r="DU243" s="202"/>
      <c r="DV243" s="202"/>
      <c r="DW243" s="202"/>
      <c r="DX243" s="202"/>
      <c r="DY243" s="202"/>
      <c r="DZ243" s="202"/>
      <c r="EA243" s="202"/>
      <c r="EB243" s="202"/>
      <c r="EC243" s="202"/>
      <c r="ED243" s="202"/>
      <c r="EE243" s="202"/>
      <c r="EF243" s="202"/>
      <c r="EG243" s="202"/>
      <c r="EH243" s="202"/>
      <c r="EI243" s="202"/>
      <c r="EJ243" s="202"/>
      <c r="EK243" s="202"/>
      <c r="EL243" s="202"/>
      <c r="EM243" s="202"/>
      <c r="EN243" s="202"/>
      <c r="EO243" s="202"/>
      <c r="EP243" s="202"/>
      <c r="EQ243" s="202"/>
      <c r="ER243" s="202"/>
      <c r="ES243" s="202"/>
      <c r="ET243" s="202"/>
      <c r="EU243" s="202"/>
      <c r="EV243" s="202"/>
      <c r="EW243" s="202"/>
      <c r="EX243" s="202"/>
      <c r="EY243" s="202"/>
      <c r="EZ243" s="202"/>
      <c r="FA243" s="202"/>
      <c r="FB243" s="202"/>
      <c r="FC243" s="202"/>
      <c r="FD243" s="202"/>
      <c r="FE243" s="202"/>
      <c r="FF243" s="202"/>
      <c r="FG243" s="202"/>
      <c r="FH243" s="202"/>
      <c r="FI243" s="202"/>
    </row>
    <row r="244" spans="1:165" s="228" customFormat="1" ht="18" customHeight="1" x14ac:dyDescent="0.25">
      <c r="A244" s="578">
        <f t="shared" si="5"/>
        <v>235</v>
      </c>
      <c r="B244" s="588">
        <v>0</v>
      </c>
      <c r="C244" s="591" t="s">
        <v>135</v>
      </c>
      <c r="D244" s="585" t="s">
        <v>311</v>
      </c>
      <c r="E244" s="589" t="s">
        <v>520</v>
      </c>
      <c r="F244" s="567" t="s">
        <v>1044</v>
      </c>
      <c r="G244" s="585" t="s">
        <v>312</v>
      </c>
      <c r="H244" s="603" t="s">
        <v>877</v>
      </c>
      <c r="I244" s="593">
        <v>4</v>
      </c>
      <c r="J244" s="556"/>
      <c r="K244" s="594"/>
      <c r="L244" s="306"/>
      <c r="M244" s="307"/>
      <c r="N244" s="307"/>
      <c r="O244" s="307" t="s">
        <v>122</v>
      </c>
      <c r="P244" s="307"/>
      <c r="Q244" s="79"/>
      <c r="R244" s="79"/>
      <c r="S244" s="585"/>
      <c r="T244" s="585"/>
      <c r="U244" s="585"/>
      <c r="V244" s="585"/>
      <c r="W244" s="585"/>
      <c r="X244" s="585"/>
      <c r="Y244" s="585"/>
      <c r="Z244" s="585"/>
      <c r="AA244" s="585"/>
      <c r="AB244" s="585"/>
      <c r="AC244" s="585"/>
      <c r="AD244" s="585"/>
      <c r="AE244" s="585"/>
      <c r="AF244" s="585"/>
      <c r="AG244" s="585"/>
      <c r="AH244" s="585"/>
      <c r="AI244" s="585"/>
      <c r="AJ244" s="79"/>
      <c r="AK244" s="79"/>
      <c r="AL244" s="585"/>
      <c r="AM244" s="585"/>
      <c r="AN244" s="585"/>
      <c r="AO244" s="585"/>
      <c r="AP244" s="585"/>
      <c r="AQ244" s="585"/>
      <c r="AR244" s="585"/>
      <c r="AS244" s="79"/>
      <c r="AT244" s="79"/>
      <c r="AU244" s="585"/>
      <c r="AV244" s="585"/>
      <c r="AW244" s="585"/>
      <c r="AX244" s="585" t="s">
        <v>120</v>
      </c>
      <c r="AY244" s="585"/>
      <c r="AZ244" s="585"/>
      <c r="BA244" s="585"/>
      <c r="BB244" s="585"/>
      <c r="BC244" s="585"/>
      <c r="BD244" s="585" t="s">
        <v>121</v>
      </c>
      <c r="BE244" s="79"/>
      <c r="BF244" s="79"/>
      <c r="BG244" s="585"/>
      <c r="BH244" s="585"/>
      <c r="BI244" s="585"/>
      <c r="BJ244" s="585"/>
      <c r="BK244" s="585"/>
      <c r="BL244" s="585"/>
      <c r="BM244" s="585"/>
      <c r="BN244" s="585"/>
      <c r="BO244" s="585"/>
      <c r="BP244" s="585"/>
      <c r="BQ244" s="79"/>
      <c r="BR244" s="79"/>
      <c r="BS244" s="585"/>
      <c r="BT244" s="79"/>
      <c r="BU244" s="79"/>
      <c r="BV244" s="585"/>
      <c r="BW244" s="585"/>
      <c r="BX244" s="585"/>
      <c r="BY244" s="585"/>
      <c r="BZ244" s="79"/>
      <c r="CA244" s="79"/>
      <c r="CB244" s="585"/>
      <c r="CC244" s="585"/>
      <c r="CD244" s="585"/>
      <c r="CE244" s="79"/>
      <c r="CF244" s="79"/>
      <c r="CG244" s="585"/>
      <c r="CH244" s="556" t="s">
        <v>40</v>
      </c>
      <c r="CI244" s="556" t="s">
        <v>40</v>
      </c>
      <c r="CJ244" s="201"/>
      <c r="CK244" s="202"/>
      <c r="CL244" s="202"/>
      <c r="CM244" s="202"/>
      <c r="CN244" s="202"/>
      <c r="CO244" s="202"/>
      <c r="CP244" s="202"/>
      <c r="CQ244" s="202"/>
      <c r="CR244" s="202"/>
      <c r="CS244" s="202"/>
      <c r="CT244" s="202"/>
      <c r="CU244" s="202"/>
      <c r="CV244" s="202"/>
      <c r="CW244" s="202"/>
      <c r="CX244" s="202"/>
      <c r="CY244" s="202"/>
      <c r="CZ244" s="202"/>
      <c r="DA244" s="202"/>
      <c r="DB244" s="202"/>
      <c r="DC244" s="202"/>
      <c r="DD244" s="202"/>
      <c r="DE244" s="202"/>
      <c r="DF244" s="202"/>
      <c r="DG244" s="202"/>
      <c r="DH244" s="202"/>
      <c r="DI244" s="202"/>
      <c r="DJ244" s="202"/>
      <c r="DK244" s="202"/>
      <c r="DL244" s="202"/>
      <c r="DM244" s="202"/>
      <c r="DN244" s="202"/>
      <c r="DO244" s="202"/>
      <c r="DP244" s="202"/>
      <c r="DQ244" s="202"/>
      <c r="DR244" s="202"/>
      <c r="DS244" s="202"/>
      <c r="DT244" s="202"/>
      <c r="DU244" s="202"/>
      <c r="DV244" s="202"/>
      <c r="DW244" s="202"/>
      <c r="DX244" s="202"/>
      <c r="DY244" s="202"/>
      <c r="DZ244" s="202"/>
      <c r="EA244" s="202"/>
      <c r="EB244" s="202"/>
      <c r="EC244" s="202"/>
      <c r="ED244" s="202"/>
      <c r="EE244" s="202"/>
      <c r="EF244" s="202"/>
      <c r="EG244" s="202"/>
      <c r="EH244" s="202"/>
      <c r="EI244" s="202"/>
      <c r="EJ244" s="202"/>
      <c r="EK244" s="202"/>
      <c r="EL244" s="202"/>
      <c r="EM244" s="202"/>
      <c r="EN244" s="202"/>
      <c r="EO244" s="202"/>
      <c r="EP244" s="202"/>
      <c r="EQ244" s="202"/>
      <c r="ER244" s="202"/>
      <c r="ES244" s="202"/>
      <c r="ET244" s="202"/>
      <c r="EU244" s="202"/>
      <c r="EV244" s="202"/>
      <c r="EW244" s="202"/>
      <c r="EX244" s="202"/>
      <c r="EY244" s="202"/>
      <c r="EZ244" s="202"/>
      <c r="FA244" s="202"/>
      <c r="FB244" s="202"/>
      <c r="FC244" s="202"/>
      <c r="FD244" s="202"/>
      <c r="FE244" s="202"/>
      <c r="FF244" s="202"/>
      <c r="FG244" s="202"/>
      <c r="FH244" s="202"/>
      <c r="FI244" s="202"/>
    </row>
    <row r="245" spans="1:165" s="228" customFormat="1" ht="18" customHeight="1" x14ac:dyDescent="0.25">
      <c r="A245" s="578">
        <f t="shared" si="5"/>
        <v>236</v>
      </c>
      <c r="B245" s="588">
        <v>0</v>
      </c>
      <c r="C245" s="591" t="s">
        <v>135</v>
      </c>
      <c r="D245" s="585" t="s">
        <v>521</v>
      </c>
      <c r="E245" s="589" t="s">
        <v>522</v>
      </c>
      <c r="F245" s="567" t="s">
        <v>1044</v>
      </c>
      <c r="G245" s="585" t="s">
        <v>523</v>
      </c>
      <c r="H245" s="603" t="s">
        <v>878</v>
      </c>
      <c r="I245" s="593">
        <v>4</v>
      </c>
      <c r="J245" s="556"/>
      <c r="K245" s="594"/>
      <c r="L245" s="306"/>
      <c r="M245" s="307"/>
      <c r="N245" s="307"/>
      <c r="O245" s="307" t="s">
        <v>122</v>
      </c>
      <c r="P245" s="307"/>
      <c r="Q245" s="79"/>
      <c r="R245" s="79"/>
      <c r="S245" s="585"/>
      <c r="T245" s="585"/>
      <c r="U245" s="585"/>
      <c r="V245" s="585"/>
      <c r="W245" s="585"/>
      <c r="X245" s="585"/>
      <c r="Y245" s="585"/>
      <c r="Z245" s="585"/>
      <c r="AA245" s="585"/>
      <c r="AB245" s="585"/>
      <c r="AC245" s="585"/>
      <c r="AD245" s="585"/>
      <c r="AE245" s="585"/>
      <c r="AF245" s="585"/>
      <c r="AG245" s="585"/>
      <c r="AH245" s="585"/>
      <c r="AI245" s="585"/>
      <c r="AJ245" s="79"/>
      <c r="AK245" s="79"/>
      <c r="AL245" s="585"/>
      <c r="AM245" s="585"/>
      <c r="AN245" s="585"/>
      <c r="AO245" s="585"/>
      <c r="AP245" s="585"/>
      <c r="AQ245" s="585"/>
      <c r="AR245" s="585"/>
      <c r="AS245" s="79"/>
      <c r="AT245" s="79"/>
      <c r="AU245" s="585"/>
      <c r="AV245" s="585"/>
      <c r="AW245" s="585"/>
      <c r="AX245" s="585" t="s">
        <v>120</v>
      </c>
      <c r="AY245" s="585"/>
      <c r="AZ245" s="585"/>
      <c r="BA245" s="585"/>
      <c r="BB245" s="585"/>
      <c r="BC245" s="585"/>
      <c r="BD245" s="585" t="s">
        <v>121</v>
      </c>
      <c r="BE245" s="79"/>
      <c r="BF245" s="79"/>
      <c r="BG245" s="585"/>
      <c r="BH245" s="585"/>
      <c r="BI245" s="585"/>
      <c r="BJ245" s="585"/>
      <c r="BK245" s="585"/>
      <c r="BL245" s="585"/>
      <c r="BM245" s="585"/>
      <c r="BN245" s="585"/>
      <c r="BO245" s="585"/>
      <c r="BP245" s="585"/>
      <c r="BQ245" s="79"/>
      <c r="BR245" s="79"/>
      <c r="BS245" s="585"/>
      <c r="BT245" s="79"/>
      <c r="BU245" s="79"/>
      <c r="BV245" s="585"/>
      <c r="BW245" s="585"/>
      <c r="BX245" s="585"/>
      <c r="BY245" s="585"/>
      <c r="BZ245" s="79"/>
      <c r="CA245" s="79"/>
      <c r="CB245" s="585"/>
      <c r="CC245" s="585"/>
      <c r="CD245" s="585"/>
      <c r="CE245" s="79"/>
      <c r="CF245" s="79"/>
      <c r="CG245" s="585"/>
      <c r="CH245" s="585" t="s">
        <v>40</v>
      </c>
      <c r="CI245" s="585" t="s">
        <v>40</v>
      </c>
      <c r="CJ245" s="201"/>
      <c r="CK245" s="202"/>
      <c r="CL245" s="202"/>
      <c r="CM245" s="202"/>
      <c r="CN245" s="202"/>
      <c r="CO245" s="202"/>
      <c r="CP245" s="202"/>
      <c r="CQ245" s="202"/>
      <c r="CR245" s="202"/>
      <c r="CS245" s="202"/>
      <c r="CT245" s="202"/>
      <c r="CU245" s="202"/>
      <c r="CV245" s="202"/>
      <c r="CW245" s="202"/>
      <c r="CX245" s="202"/>
      <c r="CY245" s="202"/>
      <c r="CZ245" s="202"/>
      <c r="DA245" s="202"/>
      <c r="DB245" s="202"/>
      <c r="DC245" s="202"/>
      <c r="DD245" s="202"/>
      <c r="DE245" s="202"/>
      <c r="DF245" s="202"/>
      <c r="DG245" s="202"/>
      <c r="DH245" s="202"/>
      <c r="DI245" s="202"/>
      <c r="DJ245" s="202"/>
      <c r="DK245" s="202"/>
      <c r="DL245" s="202"/>
      <c r="DM245" s="202"/>
      <c r="DN245" s="202"/>
      <c r="DO245" s="202"/>
      <c r="DP245" s="202"/>
      <c r="DQ245" s="202"/>
      <c r="DR245" s="202"/>
      <c r="DS245" s="202"/>
      <c r="DT245" s="202"/>
      <c r="DU245" s="202"/>
      <c r="DV245" s="202"/>
      <c r="DW245" s="202"/>
      <c r="DX245" s="202"/>
      <c r="DY245" s="202"/>
      <c r="DZ245" s="202"/>
      <c r="EA245" s="202"/>
      <c r="EB245" s="202"/>
      <c r="EC245" s="202"/>
      <c r="ED245" s="202"/>
      <c r="EE245" s="202"/>
      <c r="EF245" s="202"/>
      <c r="EG245" s="202"/>
      <c r="EH245" s="202"/>
      <c r="EI245" s="202"/>
      <c r="EJ245" s="202"/>
      <c r="EK245" s="202"/>
      <c r="EL245" s="202"/>
      <c r="EM245" s="202"/>
      <c r="EN245" s="202"/>
      <c r="EO245" s="202"/>
      <c r="EP245" s="202"/>
      <c r="EQ245" s="202"/>
      <c r="ER245" s="202"/>
      <c r="ES245" s="202"/>
      <c r="ET245" s="202"/>
      <c r="EU245" s="202"/>
      <c r="EV245" s="202"/>
      <c r="EW245" s="202"/>
      <c r="EX245" s="202"/>
      <c r="EY245" s="202"/>
      <c r="EZ245" s="202"/>
      <c r="FA245" s="202"/>
      <c r="FB245" s="202"/>
      <c r="FC245" s="202"/>
      <c r="FD245" s="202"/>
      <c r="FE245" s="202"/>
      <c r="FF245" s="202"/>
      <c r="FG245" s="202"/>
      <c r="FH245" s="202"/>
      <c r="FI245" s="202"/>
    </row>
    <row r="246" spans="1:165" s="228" customFormat="1" ht="18" customHeight="1" x14ac:dyDescent="0.25">
      <c r="A246" s="578">
        <f t="shared" si="5"/>
        <v>237</v>
      </c>
      <c r="B246" s="588">
        <v>0</v>
      </c>
      <c r="C246" s="591" t="s">
        <v>135</v>
      </c>
      <c r="D246" s="585" t="s">
        <v>524</v>
      </c>
      <c r="E246" s="589" t="s">
        <v>525</v>
      </c>
      <c r="F246" s="567" t="s">
        <v>1044</v>
      </c>
      <c r="G246" s="585" t="s">
        <v>526</v>
      </c>
      <c r="H246" s="603" t="s">
        <v>1144</v>
      </c>
      <c r="I246" s="605">
        <v>9</v>
      </c>
      <c r="J246" s="556"/>
      <c r="K246" s="594"/>
      <c r="L246" s="306"/>
      <c r="M246" s="307"/>
      <c r="N246" s="307"/>
      <c r="O246" s="307"/>
      <c r="P246" s="307"/>
      <c r="Q246" s="79"/>
      <c r="R246" s="79"/>
      <c r="S246" s="585"/>
      <c r="T246" s="585"/>
      <c r="U246" s="585"/>
      <c r="V246" s="585"/>
      <c r="W246" s="585"/>
      <c r="X246" s="585"/>
      <c r="Y246" s="585"/>
      <c r="Z246" s="585"/>
      <c r="AA246" s="585"/>
      <c r="AB246" s="585"/>
      <c r="AC246" s="585"/>
      <c r="AD246" s="585"/>
      <c r="AE246" s="585"/>
      <c r="AF246" s="585"/>
      <c r="AG246" s="585"/>
      <c r="AH246" s="585"/>
      <c r="AI246" s="585"/>
      <c r="AJ246" s="79"/>
      <c r="AK246" s="79"/>
      <c r="AL246" s="585"/>
      <c r="AM246" s="585"/>
      <c r="AN246" s="585"/>
      <c r="AO246" s="585"/>
      <c r="AP246" s="585"/>
      <c r="AQ246" s="585"/>
      <c r="AR246" s="585"/>
      <c r="AS246" s="79"/>
      <c r="AT246" s="79"/>
      <c r="AU246" s="585"/>
      <c r="AV246" s="585"/>
      <c r="AW246" s="585"/>
      <c r="AX246" s="585"/>
      <c r="AY246" s="585"/>
      <c r="AZ246" s="585"/>
      <c r="BA246" s="585"/>
      <c r="BB246" s="585"/>
      <c r="BC246" s="585"/>
      <c r="BD246" s="585"/>
      <c r="BE246" s="79"/>
      <c r="BF246" s="79"/>
      <c r="BG246" s="585"/>
      <c r="BH246" s="585"/>
      <c r="BI246" s="585"/>
      <c r="BJ246" s="585"/>
      <c r="BK246" s="585"/>
      <c r="BL246" s="585"/>
      <c r="BM246" s="585"/>
      <c r="BN246" s="585"/>
      <c r="BO246" s="585"/>
      <c r="BP246" s="585"/>
      <c r="BQ246" s="79"/>
      <c r="BR246" s="79"/>
      <c r="BS246" s="585"/>
      <c r="BT246" s="79"/>
      <c r="BU246" s="79"/>
      <c r="BV246" s="585"/>
      <c r="BW246" s="585"/>
      <c r="BX246" s="585"/>
      <c r="BY246" s="585"/>
      <c r="BZ246" s="79"/>
      <c r="CA246" s="79"/>
      <c r="CB246" s="585"/>
      <c r="CC246" s="585"/>
      <c r="CD246" s="585"/>
      <c r="CE246" s="79"/>
      <c r="CF246" s="79"/>
      <c r="CG246" s="585"/>
      <c r="CH246" s="585" t="s">
        <v>40</v>
      </c>
      <c r="CI246" s="585" t="s">
        <v>40</v>
      </c>
      <c r="CJ246" s="201"/>
      <c r="CK246" s="202"/>
      <c r="CL246" s="202"/>
      <c r="CM246" s="202"/>
      <c r="CN246" s="202"/>
      <c r="CO246" s="202"/>
      <c r="CP246" s="202"/>
      <c r="CQ246" s="202"/>
      <c r="CR246" s="202"/>
      <c r="CS246" s="202"/>
      <c r="CT246" s="202"/>
      <c r="CU246" s="202"/>
      <c r="CV246" s="202"/>
      <c r="CW246" s="202"/>
      <c r="CX246" s="202"/>
      <c r="CY246" s="202"/>
      <c r="CZ246" s="202"/>
      <c r="DA246" s="202"/>
      <c r="DB246" s="202"/>
      <c r="DC246" s="202"/>
      <c r="DD246" s="202"/>
      <c r="DE246" s="202"/>
      <c r="DF246" s="202"/>
      <c r="DG246" s="202"/>
      <c r="DH246" s="202"/>
      <c r="DI246" s="202"/>
      <c r="DJ246" s="202"/>
      <c r="DK246" s="202"/>
      <c r="DL246" s="202"/>
      <c r="DM246" s="202"/>
      <c r="DN246" s="202"/>
      <c r="DO246" s="202"/>
      <c r="DP246" s="202"/>
      <c r="DQ246" s="202"/>
      <c r="DR246" s="202"/>
      <c r="DS246" s="202"/>
      <c r="DT246" s="202"/>
      <c r="DU246" s="202"/>
      <c r="DV246" s="202"/>
      <c r="DW246" s="202"/>
      <c r="DX246" s="202"/>
      <c r="DY246" s="202"/>
      <c r="DZ246" s="202"/>
      <c r="EA246" s="202"/>
      <c r="EB246" s="202"/>
      <c r="EC246" s="202"/>
      <c r="ED246" s="202"/>
      <c r="EE246" s="202"/>
      <c r="EF246" s="202"/>
      <c r="EG246" s="202"/>
      <c r="EH246" s="202"/>
      <c r="EI246" s="202"/>
      <c r="EJ246" s="202"/>
      <c r="EK246" s="202"/>
      <c r="EL246" s="202"/>
      <c r="EM246" s="202"/>
      <c r="EN246" s="202"/>
      <c r="EO246" s="202"/>
      <c r="EP246" s="202"/>
      <c r="EQ246" s="202"/>
      <c r="ER246" s="202"/>
      <c r="ES246" s="202"/>
      <c r="ET246" s="202"/>
      <c r="EU246" s="202"/>
      <c r="EV246" s="202"/>
      <c r="EW246" s="202"/>
      <c r="EX246" s="202"/>
      <c r="EY246" s="202"/>
      <c r="EZ246" s="202"/>
      <c r="FA246" s="202"/>
      <c r="FB246" s="202"/>
      <c r="FC246" s="202"/>
      <c r="FD246" s="202"/>
      <c r="FE246" s="202"/>
      <c r="FF246" s="202"/>
      <c r="FG246" s="202"/>
      <c r="FH246" s="202"/>
      <c r="FI246" s="202"/>
    </row>
    <row r="247" spans="1:165" s="228" customFormat="1" ht="18" customHeight="1" x14ac:dyDescent="0.25">
      <c r="A247" s="578">
        <f t="shared" si="5"/>
        <v>238</v>
      </c>
      <c r="B247" s="588">
        <v>0</v>
      </c>
      <c r="C247" s="591" t="s">
        <v>135</v>
      </c>
      <c r="D247" s="585" t="s">
        <v>527</v>
      </c>
      <c r="E247" s="589" t="s">
        <v>528</v>
      </c>
      <c r="F247" s="567" t="s">
        <v>1044</v>
      </c>
      <c r="G247" s="585" t="s">
        <v>529</v>
      </c>
      <c r="H247" s="603" t="s">
        <v>880</v>
      </c>
      <c r="I247" s="593">
        <v>4</v>
      </c>
      <c r="J247" s="556"/>
      <c r="K247" s="594"/>
      <c r="L247" s="306"/>
      <c r="M247" s="307"/>
      <c r="N247" s="307"/>
      <c r="O247" s="307" t="s">
        <v>122</v>
      </c>
      <c r="P247" s="307"/>
      <c r="Q247" s="79"/>
      <c r="R247" s="79"/>
      <c r="S247" s="585"/>
      <c r="T247" s="585"/>
      <c r="U247" s="585"/>
      <c r="V247" s="585"/>
      <c r="W247" s="585"/>
      <c r="X247" s="585"/>
      <c r="Y247" s="585"/>
      <c r="Z247" s="585"/>
      <c r="AA247" s="585"/>
      <c r="AB247" s="585"/>
      <c r="AC247" s="585"/>
      <c r="AD247" s="585"/>
      <c r="AE247" s="585"/>
      <c r="AF247" s="585"/>
      <c r="AG247" s="585"/>
      <c r="AH247" s="585"/>
      <c r="AI247" s="585"/>
      <c r="AJ247" s="79"/>
      <c r="AK247" s="79"/>
      <c r="AL247" s="585"/>
      <c r="AM247" s="585"/>
      <c r="AN247" s="585"/>
      <c r="AO247" s="585"/>
      <c r="AP247" s="585"/>
      <c r="AQ247" s="585"/>
      <c r="AR247" s="585"/>
      <c r="AS247" s="79"/>
      <c r="AT247" s="79"/>
      <c r="AU247" s="585"/>
      <c r="AV247" s="585"/>
      <c r="AW247" s="585"/>
      <c r="AX247" s="585" t="s">
        <v>120</v>
      </c>
      <c r="AY247" s="585"/>
      <c r="AZ247" s="585"/>
      <c r="BA247" s="585"/>
      <c r="BB247" s="585"/>
      <c r="BC247" s="585"/>
      <c r="BD247" s="585" t="s">
        <v>121</v>
      </c>
      <c r="BE247" s="79"/>
      <c r="BF247" s="79"/>
      <c r="BG247" s="585"/>
      <c r="BH247" s="585"/>
      <c r="BI247" s="585"/>
      <c r="BJ247" s="585"/>
      <c r="BK247" s="585"/>
      <c r="BL247" s="585"/>
      <c r="BM247" s="585"/>
      <c r="BN247" s="585"/>
      <c r="BO247" s="585"/>
      <c r="BP247" s="585"/>
      <c r="BQ247" s="79"/>
      <c r="BR247" s="79"/>
      <c r="BS247" s="585"/>
      <c r="BT247" s="79"/>
      <c r="BU247" s="79"/>
      <c r="BV247" s="585"/>
      <c r="BW247" s="585"/>
      <c r="BX247" s="585"/>
      <c r="BY247" s="585"/>
      <c r="BZ247" s="79"/>
      <c r="CA247" s="79"/>
      <c r="CB247" s="585"/>
      <c r="CC247" s="585"/>
      <c r="CD247" s="585"/>
      <c r="CE247" s="79"/>
      <c r="CF247" s="79"/>
      <c r="CG247" s="585"/>
      <c r="CH247" s="585" t="s">
        <v>40</v>
      </c>
      <c r="CI247" s="585" t="s">
        <v>40</v>
      </c>
      <c r="CJ247" s="201"/>
      <c r="CK247" s="202"/>
      <c r="CL247" s="202"/>
      <c r="CM247" s="202"/>
      <c r="CN247" s="202"/>
      <c r="CO247" s="202"/>
      <c r="CP247" s="202"/>
      <c r="CQ247" s="202"/>
      <c r="CR247" s="202"/>
      <c r="CS247" s="202"/>
      <c r="CT247" s="202"/>
      <c r="CU247" s="202"/>
      <c r="CV247" s="202"/>
      <c r="CW247" s="202"/>
      <c r="CX247" s="202"/>
      <c r="CY247" s="202"/>
      <c r="CZ247" s="202"/>
      <c r="DA247" s="202"/>
      <c r="DB247" s="202"/>
      <c r="DC247" s="202"/>
      <c r="DD247" s="202"/>
      <c r="DE247" s="202"/>
      <c r="DF247" s="202"/>
      <c r="DG247" s="202"/>
      <c r="DH247" s="202"/>
      <c r="DI247" s="202"/>
      <c r="DJ247" s="202"/>
      <c r="DK247" s="202"/>
      <c r="DL247" s="202"/>
      <c r="DM247" s="202"/>
      <c r="DN247" s="202"/>
      <c r="DO247" s="202"/>
      <c r="DP247" s="202"/>
      <c r="DQ247" s="202"/>
      <c r="DR247" s="202"/>
      <c r="DS247" s="202"/>
      <c r="DT247" s="202"/>
      <c r="DU247" s="202"/>
      <c r="DV247" s="202"/>
      <c r="DW247" s="202"/>
      <c r="DX247" s="202"/>
      <c r="DY247" s="202"/>
      <c r="DZ247" s="202"/>
      <c r="EA247" s="202"/>
      <c r="EB247" s="202"/>
      <c r="EC247" s="202"/>
      <c r="ED247" s="202"/>
      <c r="EE247" s="202"/>
      <c r="EF247" s="202"/>
      <c r="EG247" s="202"/>
      <c r="EH247" s="202"/>
      <c r="EI247" s="202"/>
      <c r="EJ247" s="202"/>
      <c r="EK247" s="202"/>
      <c r="EL247" s="202"/>
      <c r="EM247" s="202"/>
      <c r="EN247" s="202"/>
      <c r="EO247" s="202"/>
      <c r="EP247" s="202"/>
      <c r="EQ247" s="202"/>
      <c r="ER247" s="202"/>
      <c r="ES247" s="202"/>
      <c r="ET247" s="202"/>
      <c r="EU247" s="202"/>
      <c r="EV247" s="202"/>
      <c r="EW247" s="202"/>
      <c r="EX247" s="202"/>
      <c r="EY247" s="202"/>
      <c r="EZ247" s="202"/>
      <c r="FA247" s="202"/>
      <c r="FB247" s="202"/>
      <c r="FC247" s="202"/>
      <c r="FD247" s="202"/>
      <c r="FE247" s="202"/>
      <c r="FF247" s="202"/>
      <c r="FG247" s="202"/>
      <c r="FH247" s="202"/>
      <c r="FI247" s="202"/>
    </row>
    <row r="248" spans="1:165" s="228" customFormat="1" ht="18" customHeight="1" x14ac:dyDescent="0.25">
      <c r="A248" s="578">
        <f t="shared" si="5"/>
        <v>239</v>
      </c>
      <c r="B248" s="588">
        <v>0</v>
      </c>
      <c r="C248" s="591" t="s">
        <v>135</v>
      </c>
      <c r="D248" s="585" t="s">
        <v>530</v>
      </c>
      <c r="E248" s="589" t="s">
        <v>531</v>
      </c>
      <c r="F248" s="567" t="s">
        <v>1044</v>
      </c>
      <c r="G248" s="585" t="s">
        <v>532</v>
      </c>
      <c r="H248" s="603" t="s">
        <v>890</v>
      </c>
      <c r="I248" s="593"/>
      <c r="J248" s="556" t="s">
        <v>1218</v>
      </c>
      <c r="K248" s="594"/>
      <c r="L248" s="306"/>
      <c r="M248" s="307"/>
      <c r="N248" s="307"/>
      <c r="O248" s="307"/>
      <c r="P248" s="307"/>
      <c r="Q248" s="79"/>
      <c r="R248" s="79"/>
      <c r="S248" s="585"/>
      <c r="T248" s="585"/>
      <c r="U248" s="585"/>
      <c r="V248" s="585"/>
      <c r="W248" s="585"/>
      <c r="X248" s="585"/>
      <c r="Y248" s="585"/>
      <c r="Z248" s="585"/>
      <c r="AA248" s="585"/>
      <c r="AB248" s="585"/>
      <c r="AC248" s="585"/>
      <c r="AD248" s="585"/>
      <c r="AE248" s="585"/>
      <c r="AF248" s="585"/>
      <c r="AG248" s="585"/>
      <c r="AH248" s="585"/>
      <c r="AI248" s="585"/>
      <c r="AJ248" s="79"/>
      <c r="AK248" s="79"/>
      <c r="AL248" s="585"/>
      <c r="AM248" s="585"/>
      <c r="AN248" s="585"/>
      <c r="AO248" s="585"/>
      <c r="AP248" s="585"/>
      <c r="AQ248" s="585"/>
      <c r="AR248" s="585"/>
      <c r="AS248" s="79"/>
      <c r="AT248" s="79"/>
      <c r="AU248" s="585"/>
      <c r="AV248" s="585"/>
      <c r="AW248" s="585"/>
      <c r="AX248" s="585"/>
      <c r="AY248" s="585" t="s">
        <v>122</v>
      </c>
      <c r="AZ248" s="585"/>
      <c r="BA248" s="585"/>
      <c r="BB248" s="585"/>
      <c r="BC248" s="585"/>
      <c r="BD248" s="585"/>
      <c r="BE248" s="79"/>
      <c r="BF248" s="79"/>
      <c r="BG248" s="585"/>
      <c r="BH248" s="585"/>
      <c r="BI248" s="585"/>
      <c r="BJ248" s="585"/>
      <c r="BK248" s="585"/>
      <c r="BL248" s="585"/>
      <c r="BM248" s="585"/>
      <c r="BN248" s="585"/>
      <c r="BO248" s="585"/>
      <c r="BP248" s="585"/>
      <c r="BQ248" s="79"/>
      <c r="BR248" s="79"/>
      <c r="BS248" s="585"/>
      <c r="BT248" s="79"/>
      <c r="BU248" s="79"/>
      <c r="BV248" s="585"/>
      <c r="BW248" s="585"/>
      <c r="BX248" s="585"/>
      <c r="BY248" s="585"/>
      <c r="BZ248" s="79"/>
      <c r="CA248" s="79"/>
      <c r="CB248" s="585"/>
      <c r="CC248" s="585"/>
      <c r="CD248" s="585"/>
      <c r="CE248" s="79"/>
      <c r="CF248" s="79"/>
      <c r="CG248" s="585"/>
      <c r="CH248" s="585"/>
      <c r="CI248" s="585"/>
      <c r="CJ248" s="201"/>
      <c r="CK248" s="202"/>
      <c r="CL248" s="202"/>
      <c r="CM248" s="202"/>
      <c r="CN248" s="202"/>
      <c r="CO248" s="202"/>
      <c r="CP248" s="202"/>
      <c r="CQ248" s="202"/>
      <c r="CR248" s="202"/>
      <c r="CS248" s="202"/>
      <c r="CT248" s="202"/>
      <c r="CU248" s="202"/>
      <c r="CV248" s="202"/>
      <c r="CW248" s="202"/>
      <c r="CX248" s="202"/>
      <c r="CY248" s="202"/>
      <c r="CZ248" s="202"/>
      <c r="DA248" s="202"/>
      <c r="DB248" s="202"/>
      <c r="DC248" s="202"/>
      <c r="DD248" s="202"/>
      <c r="DE248" s="202"/>
      <c r="DF248" s="202"/>
      <c r="DG248" s="202"/>
      <c r="DH248" s="202"/>
      <c r="DI248" s="202"/>
      <c r="DJ248" s="202"/>
      <c r="DK248" s="202"/>
      <c r="DL248" s="202"/>
      <c r="DM248" s="202"/>
      <c r="DN248" s="202"/>
      <c r="DO248" s="202"/>
      <c r="DP248" s="202"/>
      <c r="DQ248" s="202"/>
      <c r="DR248" s="202"/>
      <c r="DS248" s="202"/>
      <c r="DT248" s="202"/>
      <c r="DU248" s="202"/>
      <c r="DV248" s="202"/>
      <c r="DW248" s="202"/>
      <c r="DX248" s="202"/>
      <c r="DY248" s="202"/>
      <c r="DZ248" s="202"/>
      <c r="EA248" s="202"/>
      <c r="EB248" s="202"/>
      <c r="EC248" s="202"/>
      <c r="ED248" s="202"/>
      <c r="EE248" s="202"/>
      <c r="EF248" s="202"/>
      <c r="EG248" s="202"/>
      <c r="EH248" s="202"/>
      <c r="EI248" s="202"/>
      <c r="EJ248" s="202"/>
      <c r="EK248" s="202"/>
      <c r="EL248" s="202"/>
      <c r="EM248" s="202"/>
      <c r="EN248" s="202"/>
      <c r="EO248" s="202"/>
      <c r="EP248" s="202"/>
      <c r="EQ248" s="202"/>
      <c r="ER248" s="202"/>
      <c r="ES248" s="202"/>
      <c r="ET248" s="202"/>
      <c r="EU248" s="202"/>
      <c r="EV248" s="202"/>
      <c r="EW248" s="202"/>
      <c r="EX248" s="202"/>
      <c r="EY248" s="202"/>
      <c r="EZ248" s="202"/>
      <c r="FA248" s="202"/>
      <c r="FB248" s="202"/>
      <c r="FC248" s="202"/>
      <c r="FD248" s="202"/>
      <c r="FE248" s="202"/>
      <c r="FF248" s="202"/>
      <c r="FG248" s="202"/>
      <c r="FH248" s="202"/>
      <c r="FI248" s="202"/>
    </row>
    <row r="249" spans="1:165" s="228" customFormat="1" ht="18" customHeight="1" x14ac:dyDescent="0.25">
      <c r="A249" s="578">
        <f t="shared" si="5"/>
        <v>240</v>
      </c>
      <c r="B249" s="588">
        <v>0</v>
      </c>
      <c r="C249" s="590" t="s">
        <v>1044</v>
      </c>
      <c r="D249" s="586" t="s">
        <v>1044</v>
      </c>
      <c r="E249" s="589" t="s">
        <v>898</v>
      </c>
      <c r="F249" s="567" t="s">
        <v>1044</v>
      </c>
      <c r="G249" s="585" t="s">
        <v>895</v>
      </c>
      <c r="H249" s="603" t="s">
        <v>892</v>
      </c>
      <c r="I249" s="593">
        <v>4</v>
      </c>
      <c r="J249" s="556"/>
      <c r="K249" s="594"/>
      <c r="L249" s="306"/>
      <c r="M249" s="307"/>
      <c r="N249" s="307"/>
      <c r="O249" s="307" t="s">
        <v>122</v>
      </c>
      <c r="P249" s="307"/>
      <c r="Q249" s="79"/>
      <c r="R249" s="79"/>
      <c r="S249" s="585"/>
      <c r="T249" s="585"/>
      <c r="U249" s="585"/>
      <c r="V249" s="585"/>
      <c r="W249" s="585"/>
      <c r="X249" s="585"/>
      <c r="Y249" s="585"/>
      <c r="Z249" s="585"/>
      <c r="AA249" s="585"/>
      <c r="AB249" s="585"/>
      <c r="AC249" s="585"/>
      <c r="AD249" s="585"/>
      <c r="AE249" s="585"/>
      <c r="AF249" s="585"/>
      <c r="AG249" s="585"/>
      <c r="AH249" s="585"/>
      <c r="AI249" s="585"/>
      <c r="AJ249" s="79"/>
      <c r="AK249" s="79"/>
      <c r="AL249" s="585"/>
      <c r="AM249" s="585"/>
      <c r="AN249" s="585"/>
      <c r="AO249" s="585"/>
      <c r="AP249" s="585"/>
      <c r="AQ249" s="585"/>
      <c r="AR249" s="585"/>
      <c r="AS249" s="79"/>
      <c r="AT249" s="79"/>
      <c r="AU249" s="585"/>
      <c r="AV249" s="585"/>
      <c r="AW249" s="585"/>
      <c r="AX249" s="585" t="s">
        <v>120</v>
      </c>
      <c r="AY249" s="585"/>
      <c r="AZ249" s="585"/>
      <c r="BA249" s="585"/>
      <c r="BB249" s="585"/>
      <c r="BC249" s="585"/>
      <c r="BD249" s="585" t="s">
        <v>121</v>
      </c>
      <c r="BE249" s="79"/>
      <c r="BF249" s="79"/>
      <c r="BG249" s="585"/>
      <c r="BH249" s="585"/>
      <c r="BI249" s="585"/>
      <c r="BJ249" s="585"/>
      <c r="BK249" s="585"/>
      <c r="BL249" s="585"/>
      <c r="BM249" s="585"/>
      <c r="BN249" s="585"/>
      <c r="BO249" s="585"/>
      <c r="BP249" s="585"/>
      <c r="BQ249" s="79"/>
      <c r="BR249" s="79"/>
      <c r="BS249" s="585"/>
      <c r="BT249" s="79"/>
      <c r="BU249" s="79"/>
      <c r="BV249" s="585"/>
      <c r="BW249" s="585"/>
      <c r="BX249" s="585"/>
      <c r="BY249" s="585"/>
      <c r="BZ249" s="79"/>
      <c r="CA249" s="79"/>
      <c r="CB249" s="585"/>
      <c r="CC249" s="585"/>
      <c r="CD249" s="585"/>
      <c r="CE249" s="79"/>
      <c r="CF249" s="79"/>
      <c r="CG249" s="585"/>
      <c r="CH249" s="585" t="s">
        <v>40</v>
      </c>
      <c r="CI249" s="585" t="s">
        <v>40</v>
      </c>
      <c r="CJ249" s="201"/>
      <c r="CK249" s="202"/>
      <c r="CL249" s="202"/>
      <c r="CM249" s="202"/>
      <c r="CN249" s="202"/>
      <c r="CO249" s="202"/>
      <c r="CP249" s="202"/>
      <c r="CQ249" s="202"/>
      <c r="CR249" s="202"/>
      <c r="CS249" s="202"/>
      <c r="CT249" s="202"/>
      <c r="CU249" s="202"/>
      <c r="CV249" s="202"/>
      <c r="CW249" s="202"/>
      <c r="CX249" s="202"/>
      <c r="CY249" s="202"/>
      <c r="CZ249" s="202"/>
      <c r="DA249" s="202"/>
      <c r="DB249" s="202"/>
      <c r="DC249" s="202"/>
      <c r="DD249" s="202"/>
      <c r="DE249" s="202"/>
      <c r="DF249" s="202"/>
      <c r="DG249" s="202"/>
      <c r="DH249" s="202"/>
      <c r="DI249" s="202"/>
      <c r="DJ249" s="202"/>
      <c r="DK249" s="202"/>
      <c r="DL249" s="202"/>
      <c r="DM249" s="202"/>
      <c r="DN249" s="202"/>
      <c r="DO249" s="202"/>
      <c r="DP249" s="202"/>
      <c r="DQ249" s="202"/>
      <c r="DR249" s="202"/>
      <c r="DS249" s="202"/>
      <c r="DT249" s="202"/>
      <c r="DU249" s="202"/>
      <c r="DV249" s="202"/>
      <c r="DW249" s="202"/>
      <c r="DX249" s="202"/>
      <c r="DY249" s="202"/>
      <c r="DZ249" s="202"/>
      <c r="EA249" s="202"/>
      <c r="EB249" s="202"/>
      <c r="EC249" s="202"/>
      <c r="ED249" s="202"/>
      <c r="EE249" s="202"/>
      <c r="EF249" s="202"/>
      <c r="EG249" s="202"/>
      <c r="EH249" s="202"/>
      <c r="EI249" s="202"/>
      <c r="EJ249" s="202"/>
      <c r="EK249" s="202"/>
      <c r="EL249" s="202"/>
      <c r="EM249" s="202"/>
      <c r="EN249" s="202"/>
      <c r="EO249" s="202"/>
      <c r="EP249" s="202"/>
      <c r="EQ249" s="202"/>
      <c r="ER249" s="202"/>
      <c r="ES249" s="202"/>
      <c r="ET249" s="202"/>
      <c r="EU249" s="202"/>
      <c r="EV249" s="202"/>
      <c r="EW249" s="202"/>
      <c r="EX249" s="202"/>
      <c r="EY249" s="202"/>
      <c r="EZ249" s="202"/>
      <c r="FA249" s="202"/>
      <c r="FB249" s="202"/>
      <c r="FC249" s="202"/>
      <c r="FD249" s="202"/>
      <c r="FE249" s="202"/>
      <c r="FF249" s="202"/>
      <c r="FG249" s="202"/>
      <c r="FH249" s="202"/>
      <c r="FI249" s="202"/>
    </row>
    <row r="250" spans="1:165" s="228" customFormat="1" ht="18" customHeight="1" x14ac:dyDescent="0.25">
      <c r="A250" s="578">
        <f t="shared" si="5"/>
        <v>241</v>
      </c>
      <c r="B250" s="588">
        <v>0</v>
      </c>
      <c r="C250" s="590" t="s">
        <v>1044</v>
      </c>
      <c r="D250" s="586" t="s">
        <v>1044</v>
      </c>
      <c r="E250" s="589" t="s">
        <v>899</v>
      </c>
      <c r="F250" s="567" t="s">
        <v>1044</v>
      </c>
      <c r="G250" s="585" t="s">
        <v>896</v>
      </c>
      <c r="H250" s="603" t="s">
        <v>893</v>
      </c>
      <c r="I250" s="593">
        <v>4</v>
      </c>
      <c r="J250" s="556"/>
      <c r="K250" s="618">
        <v>9</v>
      </c>
      <c r="L250" s="306"/>
      <c r="M250" s="307"/>
      <c r="N250" s="307"/>
      <c r="O250" s="307" t="s">
        <v>122</v>
      </c>
      <c r="P250" s="307"/>
      <c r="Q250" s="79"/>
      <c r="R250" s="79"/>
      <c r="S250" s="585"/>
      <c r="T250" s="585"/>
      <c r="U250" s="585"/>
      <c r="V250" s="585"/>
      <c r="W250" s="585"/>
      <c r="X250" s="585"/>
      <c r="Y250" s="585"/>
      <c r="Z250" s="585"/>
      <c r="AA250" s="585"/>
      <c r="AB250" s="585"/>
      <c r="AC250" s="585"/>
      <c r="AD250" s="585"/>
      <c r="AE250" s="585"/>
      <c r="AF250" s="585"/>
      <c r="AG250" s="585"/>
      <c r="AH250" s="585"/>
      <c r="AI250" s="585"/>
      <c r="AJ250" s="79"/>
      <c r="AK250" s="79"/>
      <c r="AL250" s="585"/>
      <c r="AM250" s="585"/>
      <c r="AN250" s="585"/>
      <c r="AO250" s="585"/>
      <c r="AP250" s="585"/>
      <c r="AQ250" s="585"/>
      <c r="AR250" s="585"/>
      <c r="AS250" s="79"/>
      <c r="AT250" s="79"/>
      <c r="AU250" s="585" t="s">
        <v>582</v>
      </c>
      <c r="AV250" s="585"/>
      <c r="AW250" s="585"/>
      <c r="AX250" s="585" t="s">
        <v>120</v>
      </c>
      <c r="AY250" s="585"/>
      <c r="AZ250" s="585"/>
      <c r="BA250" s="585"/>
      <c r="BB250" s="585"/>
      <c r="BC250" s="585"/>
      <c r="BD250" s="585" t="s">
        <v>121</v>
      </c>
      <c r="BE250" s="79"/>
      <c r="BF250" s="79"/>
      <c r="BG250" s="585"/>
      <c r="BH250" s="585"/>
      <c r="BI250" s="585"/>
      <c r="BJ250" s="585"/>
      <c r="BK250" s="585"/>
      <c r="BL250" s="585"/>
      <c r="BM250" s="585"/>
      <c r="BN250" s="585"/>
      <c r="BO250" s="585"/>
      <c r="BP250" s="585"/>
      <c r="BQ250" s="79"/>
      <c r="BR250" s="79"/>
      <c r="BS250" s="585"/>
      <c r="BT250" s="79"/>
      <c r="BU250" s="79"/>
      <c r="BV250" s="585"/>
      <c r="BW250" s="585"/>
      <c r="BX250" s="585"/>
      <c r="BY250" s="585"/>
      <c r="BZ250" s="79"/>
      <c r="CA250" s="79"/>
      <c r="CB250" s="585"/>
      <c r="CC250" s="585"/>
      <c r="CD250" s="585"/>
      <c r="CE250" s="79"/>
      <c r="CF250" s="79"/>
      <c r="CG250" s="585"/>
      <c r="CH250" s="585" t="s">
        <v>40</v>
      </c>
      <c r="CI250" s="585" t="s">
        <v>40</v>
      </c>
      <c r="CJ250" s="201"/>
      <c r="CK250" s="202"/>
      <c r="CL250" s="202"/>
      <c r="CM250" s="202"/>
      <c r="CN250" s="202"/>
      <c r="CO250" s="202"/>
      <c r="CP250" s="202"/>
      <c r="CQ250" s="202"/>
      <c r="CR250" s="202"/>
      <c r="CS250" s="202"/>
      <c r="CT250" s="202"/>
      <c r="CU250" s="202"/>
      <c r="CV250" s="202"/>
      <c r="CW250" s="202"/>
      <c r="CX250" s="202"/>
      <c r="CY250" s="202"/>
      <c r="CZ250" s="202"/>
      <c r="DA250" s="202"/>
      <c r="DB250" s="202"/>
      <c r="DC250" s="202"/>
      <c r="DD250" s="202"/>
      <c r="DE250" s="202"/>
      <c r="DF250" s="202"/>
      <c r="DG250" s="202"/>
      <c r="DH250" s="202"/>
      <c r="DI250" s="202"/>
      <c r="DJ250" s="202"/>
      <c r="DK250" s="202"/>
      <c r="DL250" s="202"/>
      <c r="DM250" s="202"/>
      <c r="DN250" s="202"/>
      <c r="DO250" s="202"/>
      <c r="DP250" s="202"/>
      <c r="DQ250" s="202"/>
      <c r="DR250" s="202"/>
      <c r="DS250" s="202"/>
      <c r="DT250" s="202"/>
      <c r="DU250" s="202"/>
      <c r="DV250" s="202"/>
      <c r="DW250" s="202"/>
      <c r="DX250" s="202"/>
      <c r="DY250" s="202"/>
      <c r="DZ250" s="202"/>
      <c r="EA250" s="202"/>
      <c r="EB250" s="202"/>
      <c r="EC250" s="202"/>
      <c r="ED250" s="202"/>
      <c r="EE250" s="202"/>
      <c r="EF250" s="202"/>
      <c r="EG250" s="202"/>
      <c r="EH250" s="202"/>
      <c r="EI250" s="202"/>
      <c r="EJ250" s="202"/>
      <c r="EK250" s="202"/>
      <c r="EL250" s="202"/>
      <c r="EM250" s="202"/>
      <c r="EN250" s="202"/>
      <c r="EO250" s="202"/>
      <c r="EP250" s="202"/>
      <c r="EQ250" s="202"/>
      <c r="ER250" s="202"/>
      <c r="ES250" s="202"/>
      <c r="ET250" s="202"/>
      <c r="EU250" s="202"/>
      <c r="EV250" s="202"/>
      <c r="EW250" s="202"/>
      <c r="EX250" s="202"/>
      <c r="EY250" s="202"/>
      <c r="EZ250" s="202"/>
      <c r="FA250" s="202"/>
      <c r="FB250" s="202"/>
      <c r="FC250" s="202"/>
      <c r="FD250" s="202"/>
      <c r="FE250" s="202"/>
      <c r="FF250" s="202"/>
      <c r="FG250" s="202"/>
      <c r="FH250" s="202"/>
      <c r="FI250" s="202"/>
    </row>
    <row r="251" spans="1:165" s="228" customFormat="1" ht="18" customHeight="1" x14ac:dyDescent="0.25">
      <c r="A251" s="578">
        <f t="shared" si="5"/>
        <v>242</v>
      </c>
      <c r="B251" s="588">
        <v>0</v>
      </c>
      <c r="C251" s="590" t="s">
        <v>1044</v>
      </c>
      <c r="D251" s="586" t="s">
        <v>1044</v>
      </c>
      <c r="E251" s="589" t="s">
        <v>900</v>
      </c>
      <c r="F251" s="567" t="s">
        <v>1044</v>
      </c>
      <c r="G251" s="585" t="s">
        <v>897</v>
      </c>
      <c r="H251" s="603" t="s">
        <v>894</v>
      </c>
      <c r="I251" s="593">
        <v>4</v>
      </c>
      <c r="J251" s="556"/>
      <c r="K251" s="594"/>
      <c r="L251" s="306"/>
      <c r="M251" s="307"/>
      <c r="N251" s="307"/>
      <c r="O251" s="307" t="s">
        <v>122</v>
      </c>
      <c r="P251" s="307"/>
      <c r="Q251" s="79"/>
      <c r="R251" s="79"/>
      <c r="S251" s="585"/>
      <c r="T251" s="585"/>
      <c r="U251" s="585"/>
      <c r="V251" s="585"/>
      <c r="W251" s="585"/>
      <c r="X251" s="585"/>
      <c r="Y251" s="585"/>
      <c r="Z251" s="585"/>
      <c r="AA251" s="585"/>
      <c r="AB251" s="585"/>
      <c r="AC251" s="585"/>
      <c r="AD251" s="585"/>
      <c r="AE251" s="585"/>
      <c r="AF251" s="585"/>
      <c r="AG251" s="585"/>
      <c r="AH251" s="585"/>
      <c r="AI251" s="585"/>
      <c r="AJ251" s="79"/>
      <c r="AK251" s="79"/>
      <c r="AL251" s="585"/>
      <c r="AM251" s="585"/>
      <c r="AN251" s="585"/>
      <c r="AO251" s="585"/>
      <c r="AP251" s="585"/>
      <c r="AQ251" s="585"/>
      <c r="AR251" s="585"/>
      <c r="AS251" s="79"/>
      <c r="AT251" s="79"/>
      <c r="AU251" s="585"/>
      <c r="AV251" s="585"/>
      <c r="AW251" s="585"/>
      <c r="AX251" s="585" t="s">
        <v>120</v>
      </c>
      <c r="AY251" s="585"/>
      <c r="AZ251" s="585"/>
      <c r="BA251" s="585"/>
      <c r="BB251" s="585"/>
      <c r="BC251" s="585"/>
      <c r="BD251" s="585" t="s">
        <v>121</v>
      </c>
      <c r="BE251" s="79"/>
      <c r="BF251" s="79"/>
      <c r="BG251" s="585"/>
      <c r="BH251" s="585"/>
      <c r="BI251" s="585"/>
      <c r="BJ251" s="585"/>
      <c r="BK251" s="585"/>
      <c r="BL251" s="585"/>
      <c r="BM251" s="585"/>
      <c r="BN251" s="585"/>
      <c r="BO251" s="585"/>
      <c r="BP251" s="585"/>
      <c r="BQ251" s="79"/>
      <c r="BR251" s="79"/>
      <c r="BS251" s="585"/>
      <c r="BT251" s="79"/>
      <c r="BU251" s="79"/>
      <c r="BV251" s="585"/>
      <c r="BW251" s="585"/>
      <c r="BX251" s="585"/>
      <c r="BY251" s="585"/>
      <c r="BZ251" s="79"/>
      <c r="CA251" s="79"/>
      <c r="CB251" s="585"/>
      <c r="CC251" s="585"/>
      <c r="CD251" s="585"/>
      <c r="CE251" s="79"/>
      <c r="CF251" s="79"/>
      <c r="CG251" s="585"/>
      <c r="CH251" s="585" t="s">
        <v>40</v>
      </c>
      <c r="CI251" s="585" t="s">
        <v>40</v>
      </c>
      <c r="CJ251" s="201"/>
      <c r="CK251" s="202"/>
      <c r="CL251" s="202"/>
      <c r="CM251" s="202"/>
      <c r="CN251" s="202"/>
      <c r="CO251" s="202"/>
      <c r="CP251" s="202"/>
      <c r="CQ251" s="202"/>
      <c r="CR251" s="202"/>
      <c r="CS251" s="202"/>
      <c r="CT251" s="202"/>
      <c r="CU251" s="202"/>
      <c r="CV251" s="202"/>
      <c r="CW251" s="202"/>
      <c r="CX251" s="202"/>
      <c r="CY251" s="202"/>
      <c r="CZ251" s="202"/>
      <c r="DA251" s="202"/>
      <c r="DB251" s="202"/>
      <c r="DC251" s="202"/>
      <c r="DD251" s="202"/>
      <c r="DE251" s="202"/>
      <c r="DF251" s="202"/>
      <c r="DG251" s="202"/>
      <c r="DH251" s="202"/>
      <c r="DI251" s="202"/>
      <c r="DJ251" s="202"/>
      <c r="DK251" s="202"/>
      <c r="DL251" s="202"/>
      <c r="DM251" s="202"/>
      <c r="DN251" s="202"/>
      <c r="DO251" s="202"/>
      <c r="DP251" s="202"/>
      <c r="DQ251" s="202"/>
      <c r="DR251" s="202"/>
      <c r="DS251" s="202"/>
      <c r="DT251" s="202"/>
      <c r="DU251" s="202"/>
      <c r="DV251" s="202"/>
      <c r="DW251" s="202"/>
      <c r="DX251" s="202"/>
      <c r="DY251" s="202"/>
      <c r="DZ251" s="202"/>
      <c r="EA251" s="202"/>
      <c r="EB251" s="202"/>
      <c r="EC251" s="202"/>
      <c r="ED251" s="202"/>
      <c r="EE251" s="202"/>
      <c r="EF251" s="202"/>
      <c r="EG251" s="202"/>
      <c r="EH251" s="202"/>
      <c r="EI251" s="202"/>
      <c r="EJ251" s="202"/>
      <c r="EK251" s="202"/>
      <c r="EL251" s="202"/>
      <c r="EM251" s="202"/>
      <c r="EN251" s="202"/>
      <c r="EO251" s="202"/>
      <c r="EP251" s="202"/>
      <c r="EQ251" s="202"/>
      <c r="ER251" s="202"/>
      <c r="ES251" s="202"/>
      <c r="ET251" s="202"/>
      <c r="EU251" s="202"/>
      <c r="EV251" s="202"/>
      <c r="EW251" s="202"/>
      <c r="EX251" s="202"/>
      <c r="EY251" s="202"/>
      <c r="EZ251" s="202"/>
      <c r="FA251" s="202"/>
      <c r="FB251" s="202"/>
      <c r="FC251" s="202"/>
      <c r="FD251" s="202"/>
      <c r="FE251" s="202"/>
      <c r="FF251" s="202"/>
      <c r="FG251" s="202"/>
      <c r="FH251" s="202"/>
      <c r="FI251" s="202"/>
    </row>
    <row r="252" spans="1:165" s="228" customFormat="1" ht="18" customHeight="1" x14ac:dyDescent="0.2">
      <c r="A252" s="289">
        <f t="shared" si="5"/>
        <v>243</v>
      </c>
      <c r="B252" s="78"/>
      <c r="C252" s="72"/>
      <c r="D252" s="79"/>
      <c r="E252" s="77"/>
      <c r="F252" s="76"/>
      <c r="G252" s="79"/>
      <c r="H252" s="178"/>
      <c r="I252" s="142"/>
      <c r="J252" s="76"/>
      <c r="K252" s="141"/>
      <c r="L252" s="261"/>
      <c r="M252" s="79"/>
      <c r="N252" s="79"/>
      <c r="O252" s="79"/>
      <c r="P252" s="79"/>
      <c r="Q252" s="79"/>
      <c r="R252" s="79"/>
      <c r="S252" s="79"/>
      <c r="T252" s="79"/>
      <c r="U252" s="79"/>
      <c r="V252" s="79"/>
      <c r="W252" s="79"/>
      <c r="X252" s="79"/>
      <c r="Y252" s="79"/>
      <c r="Z252" s="79"/>
      <c r="AA252" s="79"/>
      <c r="AB252" s="79"/>
      <c r="AC252" s="79"/>
      <c r="AD252" s="79"/>
      <c r="AE252" s="79"/>
      <c r="AF252" s="79"/>
      <c r="AG252" s="79"/>
      <c r="AH252" s="79"/>
      <c r="AI252" s="79"/>
      <c r="AJ252" s="79"/>
      <c r="AK252" s="79"/>
      <c r="AL252" s="79"/>
      <c r="AM252" s="79"/>
      <c r="AN252" s="79"/>
      <c r="AO252" s="79"/>
      <c r="AP252" s="79"/>
      <c r="AQ252" s="79"/>
      <c r="AR252" s="79"/>
      <c r="AS252" s="79"/>
      <c r="AT252" s="79"/>
      <c r="AU252" s="79"/>
      <c r="AV252" s="79"/>
      <c r="AW252" s="79"/>
      <c r="AX252" s="79"/>
      <c r="AY252" s="79"/>
      <c r="AZ252" s="79"/>
      <c r="BA252" s="79"/>
      <c r="BB252" s="79"/>
      <c r="BC252" s="79"/>
      <c r="BD252" s="79"/>
      <c r="BE252" s="79"/>
      <c r="BF252" s="79"/>
      <c r="BG252" s="79"/>
      <c r="BH252" s="79"/>
      <c r="BI252" s="79"/>
      <c r="BJ252" s="79"/>
      <c r="BK252" s="79"/>
      <c r="BL252" s="79"/>
      <c r="BM252" s="79"/>
      <c r="BN252" s="79"/>
      <c r="BO252" s="79"/>
      <c r="BP252" s="79"/>
      <c r="BQ252" s="79"/>
      <c r="BR252" s="79"/>
      <c r="BS252" s="79"/>
      <c r="BT252" s="79"/>
      <c r="BU252" s="79"/>
      <c r="BV252" s="79"/>
      <c r="BW252" s="79"/>
      <c r="BX252" s="79"/>
      <c r="BY252" s="79"/>
      <c r="BZ252" s="79"/>
      <c r="CA252" s="79"/>
      <c r="CB252" s="79"/>
      <c r="CC252" s="79"/>
      <c r="CD252" s="79"/>
      <c r="CE252" s="79"/>
      <c r="CF252" s="79"/>
      <c r="CG252" s="79"/>
      <c r="CH252" s="79"/>
      <c r="CI252" s="79"/>
      <c r="CJ252" s="201"/>
      <c r="CK252" s="202"/>
      <c r="CL252" s="202"/>
      <c r="CM252" s="202"/>
      <c r="CN252" s="202"/>
      <c r="CO252" s="202"/>
      <c r="CP252" s="202"/>
      <c r="CQ252" s="202"/>
      <c r="CR252" s="202"/>
      <c r="CS252" s="202"/>
      <c r="CT252" s="202"/>
      <c r="CU252" s="202"/>
      <c r="CV252" s="202"/>
      <c r="CW252" s="202"/>
      <c r="CX252" s="202"/>
      <c r="CY252" s="202"/>
      <c r="CZ252" s="202"/>
      <c r="DA252" s="202"/>
      <c r="DB252" s="202"/>
      <c r="DC252" s="202"/>
      <c r="DD252" s="202"/>
      <c r="DE252" s="202"/>
      <c r="DF252" s="202"/>
      <c r="DG252" s="202"/>
      <c r="DH252" s="202"/>
      <c r="DI252" s="202"/>
      <c r="DJ252" s="202"/>
      <c r="DK252" s="202"/>
      <c r="DL252" s="202"/>
      <c r="DM252" s="202"/>
      <c r="DN252" s="202"/>
      <c r="DO252" s="202"/>
      <c r="DP252" s="202"/>
      <c r="DQ252" s="202"/>
      <c r="DR252" s="202"/>
      <c r="DS252" s="202"/>
      <c r="DT252" s="202"/>
      <c r="DU252" s="202"/>
      <c r="DV252" s="202"/>
      <c r="DW252" s="202"/>
      <c r="DX252" s="202"/>
      <c r="DY252" s="202"/>
      <c r="DZ252" s="202"/>
      <c r="EA252" s="202"/>
      <c r="EB252" s="202"/>
      <c r="EC252" s="202"/>
      <c r="ED252" s="202"/>
      <c r="EE252" s="202"/>
      <c r="EF252" s="202"/>
      <c r="EG252" s="202"/>
      <c r="EH252" s="202"/>
      <c r="EI252" s="202"/>
      <c r="EJ252" s="202"/>
      <c r="EK252" s="202"/>
      <c r="EL252" s="202"/>
      <c r="EM252" s="202"/>
      <c r="EN252" s="202"/>
      <c r="EO252" s="202"/>
      <c r="EP252" s="202"/>
      <c r="EQ252" s="202"/>
      <c r="ER252" s="202"/>
      <c r="ES252" s="202"/>
      <c r="ET252" s="202"/>
      <c r="EU252" s="202"/>
      <c r="EV252" s="202"/>
      <c r="EW252" s="202"/>
      <c r="EX252" s="202"/>
      <c r="EY252" s="202"/>
      <c r="EZ252" s="202"/>
      <c r="FA252" s="202"/>
      <c r="FB252" s="202"/>
      <c r="FC252" s="202"/>
      <c r="FD252" s="202"/>
      <c r="FE252" s="202"/>
      <c r="FF252" s="202"/>
      <c r="FG252" s="202"/>
      <c r="FH252" s="202"/>
      <c r="FI252" s="202"/>
    </row>
    <row r="253" spans="1:165" s="228" customFormat="1" ht="18" customHeight="1" x14ac:dyDescent="0.25">
      <c r="A253" s="578">
        <f t="shared" si="5"/>
        <v>244</v>
      </c>
      <c r="B253" s="588">
        <v>0</v>
      </c>
      <c r="C253" s="585" t="s">
        <v>135</v>
      </c>
      <c r="D253" s="585" t="s">
        <v>533</v>
      </c>
      <c r="E253" s="589" t="s">
        <v>534</v>
      </c>
      <c r="F253" s="567" t="s">
        <v>1044</v>
      </c>
      <c r="G253" s="556" t="s">
        <v>114</v>
      </c>
      <c r="H253" s="599" t="s">
        <v>1166</v>
      </c>
      <c r="I253" s="605">
        <v>9</v>
      </c>
      <c r="J253" s="556"/>
      <c r="K253" s="594"/>
      <c r="L253" s="306"/>
      <c r="M253" s="307"/>
      <c r="N253" s="307"/>
      <c r="O253" s="307"/>
      <c r="P253" s="307"/>
      <c r="Q253" s="79"/>
      <c r="R253" s="76"/>
      <c r="S253" s="556"/>
      <c r="T253" s="556"/>
      <c r="U253" s="556"/>
      <c r="V253" s="556"/>
      <c r="W253" s="556"/>
      <c r="X253" s="556"/>
      <c r="Y253" s="556"/>
      <c r="Z253" s="556"/>
      <c r="AA253" s="556"/>
      <c r="AB253" s="556"/>
      <c r="AC253" s="556"/>
      <c r="AD253" s="556"/>
      <c r="AE253" s="556"/>
      <c r="AF253" s="556"/>
      <c r="AG253" s="556"/>
      <c r="AH253" s="556"/>
      <c r="AI253" s="556"/>
      <c r="AJ253" s="76"/>
      <c r="AK253" s="76"/>
      <c r="AL253" s="556"/>
      <c r="AM253" s="556"/>
      <c r="AN253" s="556"/>
      <c r="AO253" s="556"/>
      <c r="AP253" s="556"/>
      <c r="AQ253" s="556"/>
      <c r="AR253" s="556"/>
      <c r="AS253" s="76"/>
      <c r="AT253" s="76"/>
      <c r="AU253" s="556"/>
      <c r="AV253" s="556"/>
      <c r="AW253" s="556"/>
      <c r="AX253" s="556"/>
      <c r="AY253" s="556"/>
      <c r="AZ253" s="556"/>
      <c r="BA253" s="556"/>
      <c r="BB253" s="556"/>
      <c r="BC253" s="556"/>
      <c r="BD253" s="556"/>
      <c r="BE253" s="76"/>
      <c r="BF253" s="76"/>
      <c r="BG253" s="585"/>
      <c r="BH253" s="585"/>
      <c r="BI253" s="585"/>
      <c r="BJ253" s="585"/>
      <c r="BK253" s="556"/>
      <c r="BL253" s="585"/>
      <c r="BM253" s="585"/>
      <c r="BN253" s="585"/>
      <c r="BO253" s="585"/>
      <c r="BP253" s="585"/>
      <c r="BQ253" s="76"/>
      <c r="BR253" s="76"/>
      <c r="BS253" s="556"/>
      <c r="BT253" s="76"/>
      <c r="BU253" s="76"/>
      <c r="BV253" s="556"/>
      <c r="BW253" s="556"/>
      <c r="BX253" s="556"/>
      <c r="BY253" s="556"/>
      <c r="BZ253" s="76"/>
      <c r="CA253" s="76"/>
      <c r="CB253" s="556"/>
      <c r="CC253" s="556"/>
      <c r="CD253" s="556"/>
      <c r="CE253" s="76"/>
      <c r="CF253" s="79"/>
      <c r="CG253" s="556"/>
      <c r="CH253" s="585" t="s">
        <v>40</v>
      </c>
      <c r="CI253" s="585" t="s">
        <v>40</v>
      </c>
      <c r="CJ253" s="201"/>
      <c r="CK253" s="202"/>
      <c r="CL253" s="202"/>
      <c r="CM253" s="202"/>
      <c r="CN253" s="202"/>
      <c r="CO253" s="202"/>
      <c r="CP253" s="202"/>
      <c r="CQ253" s="202"/>
      <c r="CR253" s="202"/>
      <c r="CS253" s="202"/>
      <c r="CT253" s="202"/>
      <c r="CU253" s="202"/>
      <c r="CV253" s="202"/>
      <c r="CW253" s="202"/>
      <c r="CX253" s="202"/>
      <c r="CY253" s="202"/>
      <c r="CZ253" s="202"/>
      <c r="DA253" s="202"/>
      <c r="DB253" s="202"/>
      <c r="DC253" s="202"/>
      <c r="DD253" s="202"/>
      <c r="DE253" s="202"/>
      <c r="DF253" s="202"/>
      <c r="DG253" s="202"/>
      <c r="DH253" s="202"/>
      <c r="DI253" s="202"/>
      <c r="DJ253" s="202"/>
      <c r="DK253" s="202"/>
      <c r="DL253" s="202"/>
      <c r="DM253" s="202"/>
      <c r="DN253" s="202"/>
      <c r="DO253" s="202"/>
      <c r="DP253" s="202"/>
      <c r="DQ253" s="202"/>
      <c r="DR253" s="202"/>
      <c r="DS253" s="202"/>
      <c r="DT253" s="202"/>
      <c r="DU253" s="202"/>
      <c r="DV253" s="202"/>
      <c r="DW253" s="202"/>
      <c r="DX253" s="202"/>
      <c r="DY253" s="202"/>
      <c r="DZ253" s="202"/>
      <c r="EA253" s="202"/>
      <c r="EB253" s="202"/>
      <c r="EC253" s="202"/>
      <c r="ED253" s="202"/>
      <c r="EE253" s="202"/>
      <c r="EF253" s="202"/>
      <c r="EG253" s="202"/>
      <c r="EH253" s="202"/>
      <c r="EI253" s="202"/>
      <c r="EJ253" s="202"/>
      <c r="EK253" s="202"/>
      <c r="EL253" s="202"/>
      <c r="EM253" s="202"/>
      <c r="EN253" s="202"/>
      <c r="EO253" s="202"/>
      <c r="EP253" s="202"/>
      <c r="EQ253" s="202"/>
      <c r="ER253" s="202"/>
      <c r="ES253" s="202"/>
      <c r="ET253" s="202"/>
      <c r="EU253" s="202"/>
      <c r="EV253" s="202"/>
      <c r="EW253" s="202"/>
      <c r="EX253" s="202"/>
      <c r="EY253" s="202"/>
      <c r="EZ253" s="202"/>
      <c r="FA253" s="202"/>
      <c r="FB253" s="202"/>
      <c r="FC253" s="202"/>
      <c r="FD253" s="202"/>
      <c r="FE253" s="202"/>
      <c r="FF253" s="202"/>
      <c r="FG253" s="202"/>
      <c r="FH253" s="202"/>
      <c r="FI253" s="202"/>
    </row>
    <row r="254" spans="1:165" s="228" customFormat="1" ht="18" customHeight="1" x14ac:dyDescent="0.25">
      <c r="A254" s="578">
        <f t="shared" si="5"/>
        <v>245</v>
      </c>
      <c r="B254" s="588">
        <v>0</v>
      </c>
      <c r="C254" s="585" t="s">
        <v>135</v>
      </c>
      <c r="D254" s="585" t="s">
        <v>535</v>
      </c>
      <c r="E254" s="589" t="s">
        <v>536</v>
      </c>
      <c r="F254" s="567" t="s">
        <v>1044</v>
      </c>
      <c r="G254" s="556" t="s">
        <v>537</v>
      </c>
      <c r="H254" s="599" t="s">
        <v>1165</v>
      </c>
      <c r="I254" s="593">
        <v>5</v>
      </c>
      <c r="J254" s="556"/>
      <c r="K254" s="594"/>
      <c r="L254" s="306"/>
      <c r="M254" s="307"/>
      <c r="N254" s="307"/>
      <c r="O254" s="307"/>
      <c r="P254" s="307" t="s">
        <v>122</v>
      </c>
      <c r="Q254" s="79"/>
      <c r="R254" s="76"/>
      <c r="S254" s="556"/>
      <c r="T254" s="556"/>
      <c r="U254" s="556"/>
      <c r="V254" s="556"/>
      <c r="W254" s="556"/>
      <c r="X254" s="556"/>
      <c r="Y254" s="556"/>
      <c r="Z254" s="556"/>
      <c r="AA254" s="556"/>
      <c r="AB254" s="556"/>
      <c r="AC254" s="556"/>
      <c r="AD254" s="556"/>
      <c r="AE254" s="556"/>
      <c r="AF254" s="556"/>
      <c r="AG254" s="556"/>
      <c r="AH254" s="556"/>
      <c r="AI254" s="556"/>
      <c r="AJ254" s="76"/>
      <c r="AK254" s="76"/>
      <c r="AL254" s="556"/>
      <c r="AM254" s="556"/>
      <c r="AN254" s="556"/>
      <c r="AO254" s="556"/>
      <c r="AP254" s="556"/>
      <c r="AQ254" s="556"/>
      <c r="AR254" s="556"/>
      <c r="AS254" s="76"/>
      <c r="AT254" s="76"/>
      <c r="AU254" s="556"/>
      <c r="AV254" s="556"/>
      <c r="AW254" s="556"/>
      <c r="AX254" s="556"/>
      <c r="AY254" s="556"/>
      <c r="AZ254" s="556"/>
      <c r="BA254" s="556"/>
      <c r="BB254" s="556"/>
      <c r="BC254" s="556"/>
      <c r="BD254" s="556"/>
      <c r="BE254" s="76"/>
      <c r="BF254" s="76"/>
      <c r="BG254" s="585"/>
      <c r="BH254" s="585"/>
      <c r="BI254" s="585"/>
      <c r="BJ254" s="585" t="s">
        <v>120</v>
      </c>
      <c r="BK254" s="556"/>
      <c r="BL254" s="585"/>
      <c r="BM254" s="585"/>
      <c r="BN254" s="585"/>
      <c r="BO254" s="585"/>
      <c r="BP254" s="585" t="s">
        <v>121</v>
      </c>
      <c r="BQ254" s="76"/>
      <c r="BR254" s="76"/>
      <c r="BS254" s="556"/>
      <c r="BT254" s="76"/>
      <c r="BU254" s="76"/>
      <c r="BV254" s="556"/>
      <c r="BW254" s="556"/>
      <c r="BX254" s="556"/>
      <c r="BY254" s="556"/>
      <c r="BZ254" s="76"/>
      <c r="CA254" s="76"/>
      <c r="CB254" s="556"/>
      <c r="CC254" s="556"/>
      <c r="CD254" s="556"/>
      <c r="CE254" s="76"/>
      <c r="CF254" s="79"/>
      <c r="CG254" s="556"/>
      <c r="CH254" s="585" t="s">
        <v>40</v>
      </c>
      <c r="CI254" s="585" t="s">
        <v>40</v>
      </c>
      <c r="CJ254" s="201"/>
      <c r="CK254" s="202"/>
      <c r="CL254" s="202"/>
      <c r="CM254" s="202"/>
      <c r="CN254" s="202"/>
      <c r="CO254" s="202"/>
      <c r="CP254" s="202"/>
      <c r="CQ254" s="202"/>
      <c r="CR254" s="202"/>
      <c r="CS254" s="202"/>
      <c r="CT254" s="202"/>
      <c r="CU254" s="202"/>
      <c r="CV254" s="202"/>
      <c r="CW254" s="202"/>
      <c r="CX254" s="202"/>
      <c r="CY254" s="202"/>
      <c r="CZ254" s="202"/>
      <c r="DA254" s="202"/>
      <c r="DB254" s="202"/>
      <c r="DC254" s="202"/>
      <c r="DD254" s="202"/>
      <c r="DE254" s="202"/>
      <c r="DF254" s="202"/>
      <c r="DG254" s="202"/>
      <c r="DH254" s="202"/>
      <c r="DI254" s="202"/>
      <c r="DJ254" s="202"/>
      <c r="DK254" s="202"/>
      <c r="DL254" s="202"/>
      <c r="DM254" s="202"/>
      <c r="DN254" s="202"/>
      <c r="DO254" s="202"/>
      <c r="DP254" s="202"/>
      <c r="DQ254" s="202"/>
      <c r="DR254" s="202"/>
      <c r="DS254" s="202"/>
      <c r="DT254" s="202"/>
      <c r="DU254" s="202"/>
      <c r="DV254" s="202"/>
      <c r="DW254" s="202"/>
      <c r="DX254" s="202"/>
      <c r="DY254" s="202"/>
      <c r="DZ254" s="202"/>
      <c r="EA254" s="202"/>
      <c r="EB254" s="202"/>
      <c r="EC254" s="202"/>
      <c r="ED254" s="202"/>
      <c r="EE254" s="202"/>
      <c r="EF254" s="202"/>
      <c r="EG254" s="202"/>
      <c r="EH254" s="202"/>
      <c r="EI254" s="202"/>
      <c r="EJ254" s="202"/>
      <c r="EK254" s="202"/>
      <c r="EL254" s="202"/>
      <c r="EM254" s="202"/>
      <c r="EN254" s="202"/>
      <c r="EO254" s="202"/>
      <c r="EP254" s="202"/>
      <c r="EQ254" s="202"/>
      <c r="ER254" s="202"/>
      <c r="ES254" s="202"/>
      <c r="ET254" s="202"/>
      <c r="EU254" s="202"/>
      <c r="EV254" s="202"/>
      <c r="EW254" s="202"/>
      <c r="EX254" s="202"/>
      <c r="EY254" s="202"/>
      <c r="EZ254" s="202"/>
      <c r="FA254" s="202"/>
      <c r="FB254" s="202"/>
      <c r="FC254" s="202"/>
      <c r="FD254" s="202"/>
      <c r="FE254" s="202"/>
      <c r="FF254" s="202"/>
      <c r="FG254" s="202"/>
      <c r="FH254" s="202"/>
      <c r="FI254" s="202"/>
    </row>
    <row r="255" spans="1:165" s="228" customFormat="1" ht="18" customHeight="1" x14ac:dyDescent="0.25">
      <c r="A255" s="578">
        <f t="shared" si="5"/>
        <v>246</v>
      </c>
      <c r="B255" s="588">
        <v>0</v>
      </c>
      <c r="C255" s="585" t="s">
        <v>135</v>
      </c>
      <c r="D255" s="585" t="s">
        <v>538</v>
      </c>
      <c r="E255" s="589" t="s">
        <v>539</v>
      </c>
      <c r="F255" s="567" t="s">
        <v>1044</v>
      </c>
      <c r="G255" s="556" t="s">
        <v>540</v>
      </c>
      <c r="H255" s="599" t="s">
        <v>1164</v>
      </c>
      <c r="I255" s="605">
        <v>9</v>
      </c>
      <c r="J255" s="556"/>
      <c r="K255" s="594"/>
      <c r="L255" s="306"/>
      <c r="M255" s="307"/>
      <c r="N255" s="307"/>
      <c r="O255" s="307"/>
      <c r="P255" s="307"/>
      <c r="Q255" s="79"/>
      <c r="R255" s="76"/>
      <c r="S255" s="556"/>
      <c r="T255" s="556"/>
      <c r="U255" s="556"/>
      <c r="V255" s="556"/>
      <c r="W255" s="556"/>
      <c r="X255" s="556"/>
      <c r="Y255" s="556"/>
      <c r="Z255" s="556"/>
      <c r="AA255" s="556"/>
      <c r="AB255" s="556"/>
      <c r="AC255" s="556"/>
      <c r="AD255" s="556"/>
      <c r="AE255" s="556"/>
      <c r="AF255" s="556"/>
      <c r="AG255" s="556"/>
      <c r="AH255" s="556"/>
      <c r="AI255" s="556"/>
      <c r="AJ255" s="76"/>
      <c r="AK255" s="76"/>
      <c r="AL255" s="556"/>
      <c r="AM255" s="556"/>
      <c r="AN255" s="556"/>
      <c r="AO255" s="556"/>
      <c r="AP255" s="556"/>
      <c r="AQ255" s="556"/>
      <c r="AR255" s="556"/>
      <c r="AS255" s="76"/>
      <c r="AT255" s="76"/>
      <c r="AU255" s="556"/>
      <c r="AV255" s="556"/>
      <c r="AW255" s="556"/>
      <c r="AX255" s="556"/>
      <c r="AY255" s="556"/>
      <c r="AZ255" s="556"/>
      <c r="BA255" s="556"/>
      <c r="BB255" s="556"/>
      <c r="BC255" s="556"/>
      <c r="BD255" s="556"/>
      <c r="BE255" s="76"/>
      <c r="BF255" s="76"/>
      <c r="BG255" s="585"/>
      <c r="BH255" s="585"/>
      <c r="BI255" s="585"/>
      <c r="BJ255" s="585"/>
      <c r="BK255" s="556"/>
      <c r="BL255" s="585"/>
      <c r="BM255" s="585"/>
      <c r="BN255" s="585"/>
      <c r="BO255" s="585"/>
      <c r="BP255" s="585"/>
      <c r="BQ255" s="76"/>
      <c r="BR255" s="76"/>
      <c r="BS255" s="556"/>
      <c r="BT255" s="76"/>
      <c r="BU255" s="76"/>
      <c r="BV255" s="556"/>
      <c r="BW255" s="556"/>
      <c r="BX255" s="556"/>
      <c r="BY255" s="556"/>
      <c r="BZ255" s="76"/>
      <c r="CA255" s="76"/>
      <c r="CB255" s="556"/>
      <c r="CC255" s="556"/>
      <c r="CD255" s="556"/>
      <c r="CE255" s="76"/>
      <c r="CF255" s="79"/>
      <c r="CG255" s="556"/>
      <c r="CH255" s="585" t="s">
        <v>40</v>
      </c>
      <c r="CI255" s="585" t="s">
        <v>40</v>
      </c>
      <c r="CJ255" s="201"/>
      <c r="CK255" s="202"/>
      <c r="CL255" s="202"/>
      <c r="CM255" s="202"/>
      <c r="CN255" s="202"/>
      <c r="CO255" s="202"/>
      <c r="CP255" s="202"/>
      <c r="CQ255" s="202"/>
      <c r="CR255" s="202"/>
      <c r="CS255" s="202"/>
      <c r="CT255" s="202"/>
      <c r="CU255" s="202"/>
      <c r="CV255" s="202"/>
      <c r="CW255" s="202"/>
      <c r="CX255" s="202"/>
      <c r="CY255" s="202"/>
      <c r="CZ255" s="202"/>
      <c r="DA255" s="202"/>
      <c r="DB255" s="202"/>
      <c r="DC255" s="202"/>
      <c r="DD255" s="202"/>
      <c r="DE255" s="202"/>
      <c r="DF255" s="202"/>
      <c r="DG255" s="202"/>
      <c r="DH255" s="202"/>
      <c r="DI255" s="202"/>
      <c r="DJ255" s="202"/>
      <c r="DK255" s="202"/>
      <c r="DL255" s="202"/>
      <c r="DM255" s="202"/>
      <c r="DN255" s="202"/>
      <c r="DO255" s="202"/>
      <c r="DP255" s="202"/>
      <c r="DQ255" s="202"/>
      <c r="DR255" s="202"/>
      <c r="DS255" s="202"/>
      <c r="DT255" s="202"/>
      <c r="DU255" s="202"/>
      <c r="DV255" s="202"/>
      <c r="DW255" s="202"/>
      <c r="DX255" s="202"/>
      <c r="DY255" s="202"/>
      <c r="DZ255" s="202"/>
      <c r="EA255" s="202"/>
      <c r="EB255" s="202"/>
      <c r="EC255" s="202"/>
      <c r="ED255" s="202"/>
      <c r="EE255" s="202"/>
      <c r="EF255" s="202"/>
      <c r="EG255" s="202"/>
      <c r="EH255" s="202"/>
      <c r="EI255" s="202"/>
      <c r="EJ255" s="202"/>
      <c r="EK255" s="202"/>
      <c r="EL255" s="202"/>
      <c r="EM255" s="202"/>
      <c r="EN255" s="202"/>
      <c r="EO255" s="202"/>
      <c r="EP255" s="202"/>
      <c r="EQ255" s="202"/>
      <c r="ER255" s="202"/>
      <c r="ES255" s="202"/>
      <c r="ET255" s="202"/>
      <c r="EU255" s="202"/>
      <c r="EV255" s="202"/>
      <c r="EW255" s="202"/>
      <c r="EX255" s="202"/>
      <c r="EY255" s="202"/>
      <c r="EZ255" s="202"/>
      <c r="FA255" s="202"/>
      <c r="FB255" s="202"/>
      <c r="FC255" s="202"/>
      <c r="FD255" s="202"/>
      <c r="FE255" s="202"/>
      <c r="FF255" s="202"/>
      <c r="FG255" s="202"/>
      <c r="FH255" s="202"/>
      <c r="FI255" s="202"/>
    </row>
    <row r="256" spans="1:165" s="228" customFormat="1" ht="18" customHeight="1" x14ac:dyDescent="0.25">
      <c r="A256" s="578">
        <f t="shared" si="5"/>
        <v>247</v>
      </c>
      <c r="B256" s="588">
        <v>0</v>
      </c>
      <c r="C256" s="585" t="s">
        <v>135</v>
      </c>
      <c r="D256" s="585" t="s">
        <v>1023</v>
      </c>
      <c r="E256" s="589" t="s">
        <v>1024</v>
      </c>
      <c r="F256" s="567" t="s">
        <v>1044</v>
      </c>
      <c r="G256" s="556" t="s">
        <v>1025</v>
      </c>
      <c r="H256" s="599" t="s">
        <v>1025</v>
      </c>
      <c r="I256" s="593"/>
      <c r="J256" s="556"/>
      <c r="K256" s="594"/>
      <c r="L256" s="306"/>
      <c r="M256" s="307"/>
      <c r="N256" s="307"/>
      <c r="O256" s="307"/>
      <c r="P256" s="307"/>
      <c r="Q256" s="79"/>
      <c r="R256" s="76"/>
      <c r="S256" s="556"/>
      <c r="T256" s="556"/>
      <c r="U256" s="556"/>
      <c r="V256" s="556"/>
      <c r="W256" s="556"/>
      <c r="X256" s="556"/>
      <c r="Y256" s="556"/>
      <c r="Z256" s="556"/>
      <c r="AA256" s="556"/>
      <c r="AB256" s="556"/>
      <c r="AC256" s="556"/>
      <c r="AD256" s="556"/>
      <c r="AE256" s="556"/>
      <c r="AF256" s="556"/>
      <c r="AG256" s="556"/>
      <c r="AH256" s="556"/>
      <c r="AI256" s="556"/>
      <c r="AJ256" s="76"/>
      <c r="AK256" s="76"/>
      <c r="AL256" s="556"/>
      <c r="AM256" s="556"/>
      <c r="AN256" s="556"/>
      <c r="AO256" s="556"/>
      <c r="AP256" s="556"/>
      <c r="AQ256" s="556"/>
      <c r="AR256" s="556"/>
      <c r="AS256" s="76"/>
      <c r="AT256" s="76"/>
      <c r="AU256" s="556"/>
      <c r="AV256" s="556"/>
      <c r="AW256" s="556"/>
      <c r="AX256" s="556"/>
      <c r="AY256" s="556"/>
      <c r="AZ256" s="556"/>
      <c r="BA256" s="556"/>
      <c r="BB256" s="556"/>
      <c r="BC256" s="556"/>
      <c r="BD256" s="556"/>
      <c r="BE256" s="76"/>
      <c r="BF256" s="76"/>
      <c r="BG256" s="585"/>
      <c r="BH256" s="585"/>
      <c r="BI256" s="585"/>
      <c r="BJ256" s="585"/>
      <c r="BK256" s="556"/>
      <c r="BL256" s="585"/>
      <c r="BM256" s="585"/>
      <c r="BN256" s="585"/>
      <c r="BO256" s="585"/>
      <c r="BP256" s="585"/>
      <c r="BQ256" s="76"/>
      <c r="BR256" s="76"/>
      <c r="BS256" s="556"/>
      <c r="BT256" s="76"/>
      <c r="BU256" s="76"/>
      <c r="BV256" s="556"/>
      <c r="BW256" s="556"/>
      <c r="BX256" s="556"/>
      <c r="BY256" s="556"/>
      <c r="BZ256" s="76"/>
      <c r="CA256" s="76"/>
      <c r="CB256" s="556"/>
      <c r="CC256" s="556"/>
      <c r="CD256" s="556"/>
      <c r="CE256" s="76"/>
      <c r="CF256" s="79"/>
      <c r="CG256" s="556"/>
      <c r="CH256" s="585"/>
      <c r="CI256" s="585"/>
      <c r="CJ256" s="201"/>
      <c r="CK256" s="202"/>
      <c r="CL256" s="202"/>
      <c r="CM256" s="202"/>
      <c r="CN256" s="202"/>
      <c r="CO256" s="202"/>
      <c r="CP256" s="202"/>
      <c r="CQ256" s="202"/>
      <c r="CR256" s="202"/>
      <c r="CS256" s="202"/>
      <c r="CT256" s="202"/>
      <c r="CU256" s="202"/>
      <c r="CV256" s="202"/>
      <c r="CW256" s="202"/>
      <c r="CX256" s="202"/>
      <c r="CY256" s="202"/>
      <c r="CZ256" s="202"/>
      <c r="DA256" s="202"/>
      <c r="DB256" s="202"/>
      <c r="DC256" s="202"/>
      <c r="DD256" s="202"/>
      <c r="DE256" s="202"/>
      <c r="DF256" s="202"/>
      <c r="DG256" s="202"/>
      <c r="DH256" s="202"/>
      <c r="DI256" s="202"/>
      <c r="DJ256" s="202"/>
      <c r="DK256" s="202"/>
      <c r="DL256" s="202"/>
      <c r="DM256" s="202"/>
      <c r="DN256" s="202"/>
      <c r="DO256" s="202"/>
      <c r="DP256" s="202"/>
      <c r="DQ256" s="202"/>
      <c r="DR256" s="202"/>
      <c r="DS256" s="202"/>
      <c r="DT256" s="202"/>
      <c r="DU256" s="202"/>
      <c r="DV256" s="202"/>
      <c r="DW256" s="202"/>
      <c r="DX256" s="202"/>
      <c r="DY256" s="202"/>
      <c r="DZ256" s="202"/>
      <c r="EA256" s="202"/>
      <c r="EB256" s="202"/>
      <c r="EC256" s="202"/>
      <c r="ED256" s="202"/>
      <c r="EE256" s="202"/>
      <c r="EF256" s="202"/>
      <c r="EG256" s="202"/>
      <c r="EH256" s="202"/>
      <c r="EI256" s="202"/>
      <c r="EJ256" s="202"/>
      <c r="EK256" s="202"/>
      <c r="EL256" s="202"/>
      <c r="EM256" s="202"/>
      <c r="EN256" s="202"/>
      <c r="EO256" s="202"/>
      <c r="EP256" s="202"/>
      <c r="EQ256" s="202"/>
      <c r="ER256" s="202"/>
      <c r="ES256" s="202"/>
      <c r="ET256" s="202"/>
      <c r="EU256" s="202"/>
      <c r="EV256" s="202"/>
      <c r="EW256" s="202"/>
      <c r="EX256" s="202"/>
      <c r="EY256" s="202"/>
      <c r="EZ256" s="202"/>
      <c r="FA256" s="202"/>
      <c r="FB256" s="202"/>
      <c r="FC256" s="202"/>
      <c r="FD256" s="202"/>
      <c r="FE256" s="202"/>
      <c r="FF256" s="202"/>
      <c r="FG256" s="202"/>
      <c r="FH256" s="202"/>
      <c r="FI256" s="202"/>
    </row>
    <row r="257" spans="1:165" s="228" customFormat="1" ht="18" customHeight="1" x14ac:dyDescent="0.25">
      <c r="A257" s="578">
        <f t="shared" si="5"/>
        <v>248</v>
      </c>
      <c r="B257" s="588">
        <v>0</v>
      </c>
      <c r="C257" s="585" t="s">
        <v>135</v>
      </c>
      <c r="D257" s="585" t="s">
        <v>541</v>
      </c>
      <c r="E257" s="589" t="s">
        <v>781</v>
      </c>
      <c r="F257" s="567" t="s">
        <v>1044</v>
      </c>
      <c r="G257" s="556" t="s">
        <v>542</v>
      </c>
      <c r="H257" s="599" t="s">
        <v>1163</v>
      </c>
      <c r="I257" s="605">
        <v>9</v>
      </c>
      <c r="J257" s="556"/>
      <c r="K257" s="594"/>
      <c r="L257" s="306"/>
      <c r="M257" s="307"/>
      <c r="N257" s="307"/>
      <c r="O257" s="307"/>
      <c r="P257" s="307"/>
      <c r="Q257" s="79"/>
      <c r="R257" s="76"/>
      <c r="S257" s="556"/>
      <c r="T257" s="556"/>
      <c r="U257" s="556"/>
      <c r="V257" s="556"/>
      <c r="W257" s="556"/>
      <c r="X257" s="556"/>
      <c r="Y257" s="556"/>
      <c r="Z257" s="556"/>
      <c r="AA257" s="556"/>
      <c r="AB257" s="556"/>
      <c r="AC257" s="556"/>
      <c r="AD257" s="556"/>
      <c r="AE257" s="556"/>
      <c r="AF257" s="556"/>
      <c r="AG257" s="556"/>
      <c r="AH257" s="556"/>
      <c r="AI257" s="556"/>
      <c r="AJ257" s="76"/>
      <c r="AK257" s="76"/>
      <c r="AL257" s="556"/>
      <c r="AM257" s="556"/>
      <c r="AN257" s="556"/>
      <c r="AO257" s="556"/>
      <c r="AP257" s="556"/>
      <c r="AQ257" s="556"/>
      <c r="AR257" s="556"/>
      <c r="AS257" s="76"/>
      <c r="AT257" s="76"/>
      <c r="AU257" s="556"/>
      <c r="AV257" s="556"/>
      <c r="AW257" s="556"/>
      <c r="AX257" s="556"/>
      <c r="AY257" s="556"/>
      <c r="AZ257" s="556"/>
      <c r="BA257" s="556"/>
      <c r="BB257" s="556"/>
      <c r="BC257" s="556"/>
      <c r="BD257" s="556"/>
      <c r="BE257" s="76"/>
      <c r="BF257" s="76"/>
      <c r="BG257" s="585"/>
      <c r="BH257" s="585"/>
      <c r="BI257" s="585"/>
      <c r="BJ257" s="585"/>
      <c r="BK257" s="556"/>
      <c r="BL257" s="585"/>
      <c r="BM257" s="585"/>
      <c r="BN257" s="585"/>
      <c r="BO257" s="585"/>
      <c r="BP257" s="585"/>
      <c r="BQ257" s="76"/>
      <c r="BR257" s="76"/>
      <c r="BS257" s="556"/>
      <c r="BT257" s="76"/>
      <c r="BU257" s="76"/>
      <c r="BV257" s="556"/>
      <c r="BW257" s="556"/>
      <c r="BX257" s="556"/>
      <c r="BY257" s="556"/>
      <c r="BZ257" s="76"/>
      <c r="CA257" s="76"/>
      <c r="CB257" s="556"/>
      <c r="CC257" s="556"/>
      <c r="CD257" s="556"/>
      <c r="CE257" s="76"/>
      <c r="CF257" s="79"/>
      <c r="CG257" s="556"/>
      <c r="CH257" s="585" t="s">
        <v>40</v>
      </c>
      <c r="CI257" s="585" t="s">
        <v>40</v>
      </c>
      <c r="CJ257" s="201"/>
      <c r="CK257" s="202"/>
      <c r="CL257" s="202"/>
      <c r="CM257" s="202"/>
      <c r="CN257" s="202"/>
      <c r="CO257" s="202"/>
      <c r="CP257" s="202"/>
      <c r="CQ257" s="202"/>
      <c r="CR257" s="202"/>
      <c r="CS257" s="202"/>
      <c r="CT257" s="202"/>
      <c r="CU257" s="202"/>
      <c r="CV257" s="202"/>
      <c r="CW257" s="202"/>
      <c r="CX257" s="202"/>
      <c r="CY257" s="202"/>
      <c r="CZ257" s="202"/>
      <c r="DA257" s="202"/>
      <c r="DB257" s="202"/>
      <c r="DC257" s="202"/>
      <c r="DD257" s="202"/>
      <c r="DE257" s="202"/>
      <c r="DF257" s="202"/>
      <c r="DG257" s="202"/>
      <c r="DH257" s="202"/>
      <c r="DI257" s="202"/>
      <c r="DJ257" s="202"/>
      <c r="DK257" s="202"/>
      <c r="DL257" s="202"/>
      <c r="DM257" s="202"/>
      <c r="DN257" s="202"/>
      <c r="DO257" s="202"/>
      <c r="DP257" s="202"/>
      <c r="DQ257" s="202"/>
      <c r="DR257" s="202"/>
      <c r="DS257" s="202"/>
      <c r="DT257" s="202"/>
      <c r="DU257" s="202"/>
      <c r="DV257" s="202"/>
      <c r="DW257" s="202"/>
      <c r="DX257" s="202"/>
      <c r="DY257" s="202"/>
      <c r="DZ257" s="202"/>
      <c r="EA257" s="202"/>
      <c r="EB257" s="202"/>
      <c r="EC257" s="202"/>
      <c r="ED257" s="202"/>
      <c r="EE257" s="202"/>
      <c r="EF257" s="202"/>
      <c r="EG257" s="202"/>
      <c r="EH257" s="202"/>
      <c r="EI257" s="202"/>
      <c r="EJ257" s="202"/>
      <c r="EK257" s="202"/>
      <c r="EL257" s="202"/>
      <c r="EM257" s="202"/>
      <c r="EN257" s="202"/>
      <c r="EO257" s="202"/>
      <c r="EP257" s="202"/>
      <c r="EQ257" s="202"/>
      <c r="ER257" s="202"/>
      <c r="ES257" s="202"/>
      <c r="ET257" s="202"/>
      <c r="EU257" s="202"/>
      <c r="EV257" s="202"/>
      <c r="EW257" s="202"/>
      <c r="EX257" s="202"/>
      <c r="EY257" s="202"/>
      <c r="EZ257" s="202"/>
      <c r="FA257" s="202"/>
      <c r="FB257" s="202"/>
      <c r="FC257" s="202"/>
      <c r="FD257" s="202"/>
      <c r="FE257" s="202"/>
      <c r="FF257" s="202"/>
      <c r="FG257" s="202"/>
      <c r="FH257" s="202"/>
      <c r="FI257" s="202"/>
    </row>
    <row r="258" spans="1:165" s="228" customFormat="1" ht="18" customHeight="1" x14ac:dyDescent="0.25">
      <c r="A258" s="578">
        <f t="shared" si="5"/>
        <v>249</v>
      </c>
      <c r="B258" s="588">
        <v>0</v>
      </c>
      <c r="C258" s="585" t="s">
        <v>135</v>
      </c>
      <c r="D258" s="585" t="s">
        <v>543</v>
      </c>
      <c r="E258" s="589" t="s">
        <v>782</v>
      </c>
      <c r="F258" s="567" t="s">
        <v>1044</v>
      </c>
      <c r="G258" s="556" t="s">
        <v>544</v>
      </c>
      <c r="H258" s="599" t="s">
        <v>1162</v>
      </c>
      <c r="I258" s="593">
        <v>5</v>
      </c>
      <c r="J258" s="556"/>
      <c r="K258" s="594"/>
      <c r="L258" s="306"/>
      <c r="M258" s="307"/>
      <c r="N258" s="307"/>
      <c r="O258" s="307"/>
      <c r="P258" s="307" t="s">
        <v>122</v>
      </c>
      <c r="Q258" s="79"/>
      <c r="R258" s="76"/>
      <c r="S258" s="556"/>
      <c r="T258" s="556"/>
      <c r="U258" s="556"/>
      <c r="V258" s="556"/>
      <c r="W258" s="556"/>
      <c r="X258" s="556"/>
      <c r="Y258" s="556"/>
      <c r="Z258" s="556"/>
      <c r="AA258" s="556"/>
      <c r="AB258" s="556"/>
      <c r="AC258" s="556"/>
      <c r="AD258" s="556"/>
      <c r="AE258" s="556"/>
      <c r="AF258" s="556"/>
      <c r="AG258" s="556"/>
      <c r="AH258" s="556"/>
      <c r="AI258" s="556"/>
      <c r="AJ258" s="76"/>
      <c r="AK258" s="76"/>
      <c r="AL258" s="556"/>
      <c r="AM258" s="556"/>
      <c r="AN258" s="556"/>
      <c r="AO258" s="556"/>
      <c r="AP258" s="556"/>
      <c r="AQ258" s="556"/>
      <c r="AR258" s="556"/>
      <c r="AS258" s="76"/>
      <c r="AT258" s="76"/>
      <c r="AU258" s="556"/>
      <c r="AV258" s="556"/>
      <c r="AW258" s="556"/>
      <c r="AX258" s="556"/>
      <c r="AY258" s="556"/>
      <c r="AZ258" s="556"/>
      <c r="BA258" s="556"/>
      <c r="BB258" s="556"/>
      <c r="BC258" s="556"/>
      <c r="BD258" s="556"/>
      <c r="BE258" s="76"/>
      <c r="BF258" s="76"/>
      <c r="BG258" s="585"/>
      <c r="BH258" s="585"/>
      <c r="BI258" s="585"/>
      <c r="BJ258" s="585" t="s">
        <v>120</v>
      </c>
      <c r="BK258" s="556"/>
      <c r="BL258" s="585"/>
      <c r="BM258" s="585"/>
      <c r="BN258" s="585"/>
      <c r="BO258" s="585"/>
      <c r="BP258" s="585" t="s">
        <v>121</v>
      </c>
      <c r="BQ258" s="76"/>
      <c r="BR258" s="76"/>
      <c r="BS258" s="556"/>
      <c r="BT258" s="76"/>
      <c r="BU258" s="76"/>
      <c r="BV258" s="556"/>
      <c r="BW258" s="556"/>
      <c r="BX258" s="556"/>
      <c r="BY258" s="556"/>
      <c r="BZ258" s="76"/>
      <c r="CA258" s="76"/>
      <c r="CB258" s="556"/>
      <c r="CC258" s="556"/>
      <c r="CD258" s="556"/>
      <c r="CE258" s="76"/>
      <c r="CF258" s="79"/>
      <c r="CG258" s="556"/>
      <c r="CH258" s="585" t="s">
        <v>40</v>
      </c>
      <c r="CI258" s="585" t="s">
        <v>40</v>
      </c>
      <c r="CJ258" s="201"/>
      <c r="CK258" s="202"/>
      <c r="CL258" s="202"/>
      <c r="CM258" s="202"/>
      <c r="CN258" s="202"/>
      <c r="CO258" s="202"/>
      <c r="CP258" s="202"/>
      <c r="CQ258" s="202"/>
      <c r="CR258" s="202"/>
      <c r="CS258" s="202"/>
      <c r="CT258" s="202"/>
      <c r="CU258" s="202"/>
      <c r="CV258" s="202"/>
      <c r="CW258" s="202"/>
      <c r="CX258" s="202"/>
      <c r="CY258" s="202"/>
      <c r="CZ258" s="202"/>
      <c r="DA258" s="202"/>
      <c r="DB258" s="202"/>
      <c r="DC258" s="202"/>
      <c r="DD258" s="202"/>
      <c r="DE258" s="202"/>
      <c r="DF258" s="202"/>
      <c r="DG258" s="202"/>
      <c r="DH258" s="202"/>
      <c r="DI258" s="202"/>
      <c r="DJ258" s="202"/>
      <c r="DK258" s="202"/>
      <c r="DL258" s="202"/>
      <c r="DM258" s="202"/>
      <c r="DN258" s="202"/>
      <c r="DO258" s="202"/>
      <c r="DP258" s="202"/>
      <c r="DQ258" s="202"/>
      <c r="DR258" s="202"/>
      <c r="DS258" s="202"/>
      <c r="DT258" s="202"/>
      <c r="DU258" s="202"/>
      <c r="DV258" s="202"/>
      <c r="DW258" s="202"/>
      <c r="DX258" s="202"/>
      <c r="DY258" s="202"/>
      <c r="DZ258" s="202"/>
      <c r="EA258" s="202"/>
      <c r="EB258" s="202"/>
      <c r="EC258" s="202"/>
      <c r="ED258" s="202"/>
      <c r="EE258" s="202"/>
      <c r="EF258" s="202"/>
      <c r="EG258" s="202"/>
      <c r="EH258" s="202"/>
      <c r="EI258" s="202"/>
      <c r="EJ258" s="202"/>
      <c r="EK258" s="202"/>
      <c r="EL258" s="202"/>
      <c r="EM258" s="202"/>
      <c r="EN258" s="202"/>
      <c r="EO258" s="202"/>
      <c r="EP258" s="202"/>
      <c r="EQ258" s="202"/>
      <c r="ER258" s="202"/>
      <c r="ES258" s="202"/>
      <c r="ET258" s="202"/>
      <c r="EU258" s="202"/>
      <c r="EV258" s="202"/>
      <c r="EW258" s="202"/>
      <c r="EX258" s="202"/>
      <c r="EY258" s="202"/>
      <c r="EZ258" s="202"/>
      <c r="FA258" s="202"/>
      <c r="FB258" s="202"/>
      <c r="FC258" s="202"/>
      <c r="FD258" s="202"/>
      <c r="FE258" s="202"/>
      <c r="FF258" s="202"/>
      <c r="FG258" s="202"/>
      <c r="FH258" s="202"/>
      <c r="FI258" s="202"/>
    </row>
    <row r="259" spans="1:165" s="228" customFormat="1" ht="18" customHeight="1" x14ac:dyDescent="0.25">
      <c r="A259" s="578">
        <f t="shared" si="5"/>
        <v>250</v>
      </c>
      <c r="B259" s="588">
        <v>0</v>
      </c>
      <c r="C259" s="585" t="s">
        <v>135</v>
      </c>
      <c r="D259" s="585" t="s">
        <v>1026</v>
      </c>
      <c r="E259" s="589" t="s">
        <v>1027</v>
      </c>
      <c r="F259" s="567" t="s">
        <v>1044</v>
      </c>
      <c r="G259" s="556" t="s">
        <v>1028</v>
      </c>
      <c r="H259" s="599" t="s">
        <v>1028</v>
      </c>
      <c r="I259" s="593"/>
      <c r="J259" s="556"/>
      <c r="K259" s="594"/>
      <c r="L259" s="306"/>
      <c r="M259" s="307"/>
      <c r="N259" s="307"/>
      <c r="O259" s="307"/>
      <c r="P259" s="307"/>
      <c r="Q259" s="79"/>
      <c r="R259" s="76"/>
      <c r="S259" s="556"/>
      <c r="T259" s="556"/>
      <c r="U259" s="556"/>
      <c r="V259" s="556"/>
      <c r="W259" s="556"/>
      <c r="X259" s="556"/>
      <c r="Y259" s="556"/>
      <c r="Z259" s="556"/>
      <c r="AA259" s="556"/>
      <c r="AB259" s="556"/>
      <c r="AC259" s="556"/>
      <c r="AD259" s="556"/>
      <c r="AE259" s="556"/>
      <c r="AF259" s="556"/>
      <c r="AG259" s="556"/>
      <c r="AH259" s="556"/>
      <c r="AI259" s="556"/>
      <c r="AJ259" s="76"/>
      <c r="AK259" s="76"/>
      <c r="AL259" s="556"/>
      <c r="AM259" s="556"/>
      <c r="AN259" s="556"/>
      <c r="AO259" s="556"/>
      <c r="AP259" s="556"/>
      <c r="AQ259" s="556"/>
      <c r="AR259" s="556"/>
      <c r="AS259" s="76"/>
      <c r="AT259" s="76"/>
      <c r="AU259" s="556"/>
      <c r="AV259" s="556"/>
      <c r="AW259" s="556"/>
      <c r="AX259" s="556"/>
      <c r="AY259" s="556"/>
      <c r="AZ259" s="556"/>
      <c r="BA259" s="556"/>
      <c r="BB259" s="556"/>
      <c r="BC259" s="556"/>
      <c r="BD259" s="556"/>
      <c r="BE259" s="76"/>
      <c r="BF259" s="76"/>
      <c r="BG259" s="585"/>
      <c r="BH259" s="585"/>
      <c r="BI259" s="585"/>
      <c r="BJ259" s="585"/>
      <c r="BK259" s="556"/>
      <c r="BL259" s="585"/>
      <c r="BM259" s="585"/>
      <c r="BN259" s="585"/>
      <c r="BO259" s="585"/>
      <c r="BP259" s="585"/>
      <c r="BQ259" s="76"/>
      <c r="BR259" s="76"/>
      <c r="BS259" s="556"/>
      <c r="BT259" s="76"/>
      <c r="BU259" s="76"/>
      <c r="BV259" s="556"/>
      <c r="BW259" s="556"/>
      <c r="BX259" s="556"/>
      <c r="BY259" s="556"/>
      <c r="BZ259" s="76"/>
      <c r="CA259" s="76"/>
      <c r="CB259" s="556"/>
      <c r="CC259" s="556"/>
      <c r="CD259" s="556"/>
      <c r="CE259" s="76"/>
      <c r="CF259" s="79"/>
      <c r="CG259" s="556"/>
      <c r="CH259" s="585"/>
      <c r="CI259" s="585"/>
      <c r="CJ259" s="201"/>
      <c r="CK259" s="202"/>
      <c r="CL259" s="202"/>
      <c r="CM259" s="202"/>
      <c r="CN259" s="202"/>
      <c r="CO259" s="202"/>
      <c r="CP259" s="202"/>
      <c r="CQ259" s="202"/>
      <c r="CR259" s="202"/>
      <c r="CS259" s="202"/>
      <c r="CT259" s="202"/>
      <c r="CU259" s="202"/>
      <c r="CV259" s="202"/>
      <c r="CW259" s="202"/>
      <c r="CX259" s="202"/>
      <c r="CY259" s="202"/>
      <c r="CZ259" s="202"/>
      <c r="DA259" s="202"/>
      <c r="DB259" s="202"/>
      <c r="DC259" s="202"/>
      <c r="DD259" s="202"/>
      <c r="DE259" s="202"/>
      <c r="DF259" s="202"/>
      <c r="DG259" s="202"/>
      <c r="DH259" s="202"/>
      <c r="DI259" s="202"/>
      <c r="DJ259" s="202"/>
      <c r="DK259" s="202"/>
      <c r="DL259" s="202"/>
      <c r="DM259" s="202"/>
      <c r="DN259" s="202"/>
      <c r="DO259" s="202"/>
      <c r="DP259" s="202"/>
      <c r="DQ259" s="202"/>
      <c r="DR259" s="202"/>
      <c r="DS259" s="202"/>
      <c r="DT259" s="202"/>
      <c r="DU259" s="202"/>
      <c r="DV259" s="202"/>
      <c r="DW259" s="202"/>
      <c r="DX259" s="202"/>
      <c r="DY259" s="202"/>
      <c r="DZ259" s="202"/>
      <c r="EA259" s="202"/>
      <c r="EB259" s="202"/>
      <c r="EC259" s="202"/>
      <c r="ED259" s="202"/>
      <c r="EE259" s="202"/>
      <c r="EF259" s="202"/>
      <c r="EG259" s="202"/>
      <c r="EH259" s="202"/>
      <c r="EI259" s="202"/>
      <c r="EJ259" s="202"/>
      <c r="EK259" s="202"/>
      <c r="EL259" s="202"/>
      <c r="EM259" s="202"/>
      <c r="EN259" s="202"/>
      <c r="EO259" s="202"/>
      <c r="EP259" s="202"/>
      <c r="EQ259" s="202"/>
      <c r="ER259" s="202"/>
      <c r="ES259" s="202"/>
      <c r="ET259" s="202"/>
      <c r="EU259" s="202"/>
      <c r="EV259" s="202"/>
      <c r="EW259" s="202"/>
      <c r="EX259" s="202"/>
      <c r="EY259" s="202"/>
      <c r="EZ259" s="202"/>
      <c r="FA259" s="202"/>
      <c r="FB259" s="202"/>
      <c r="FC259" s="202"/>
      <c r="FD259" s="202"/>
      <c r="FE259" s="202"/>
      <c r="FF259" s="202"/>
      <c r="FG259" s="202"/>
      <c r="FH259" s="202"/>
      <c r="FI259" s="202"/>
    </row>
    <row r="260" spans="1:165" s="228" customFormat="1" ht="18" customHeight="1" x14ac:dyDescent="0.25">
      <c r="A260" s="578">
        <f t="shared" ref="A260:A293" si="6">ROW()-9</f>
        <v>251</v>
      </c>
      <c r="B260" s="588">
        <v>0</v>
      </c>
      <c r="C260" s="585" t="s">
        <v>135</v>
      </c>
      <c r="D260" s="585" t="s">
        <v>545</v>
      </c>
      <c r="E260" s="589" t="s">
        <v>546</v>
      </c>
      <c r="F260" s="567" t="s">
        <v>1044</v>
      </c>
      <c r="G260" s="556" t="s">
        <v>547</v>
      </c>
      <c r="H260" s="599" t="s">
        <v>1161</v>
      </c>
      <c r="I260" s="593">
        <v>5</v>
      </c>
      <c r="J260" s="556" t="s">
        <v>64</v>
      </c>
      <c r="K260" s="594">
        <v>9</v>
      </c>
      <c r="L260" s="306"/>
      <c r="M260" s="307"/>
      <c r="N260" s="307"/>
      <c r="O260" s="307"/>
      <c r="P260" s="307" t="s">
        <v>122</v>
      </c>
      <c r="Q260" s="79"/>
      <c r="R260" s="76"/>
      <c r="S260" s="556"/>
      <c r="T260" s="556"/>
      <c r="U260" s="556"/>
      <c r="V260" s="556"/>
      <c r="W260" s="556"/>
      <c r="X260" s="556"/>
      <c r="Y260" s="556"/>
      <c r="Z260" s="556"/>
      <c r="AA260" s="556"/>
      <c r="AB260" s="556"/>
      <c r="AC260" s="556"/>
      <c r="AD260" s="556"/>
      <c r="AE260" s="556"/>
      <c r="AF260" s="556"/>
      <c r="AG260" s="556"/>
      <c r="AH260" s="556"/>
      <c r="AI260" s="556"/>
      <c r="AJ260" s="76"/>
      <c r="AK260" s="76"/>
      <c r="AL260" s="556"/>
      <c r="AM260" s="556"/>
      <c r="AN260" s="556"/>
      <c r="AO260" s="556"/>
      <c r="AP260" s="556"/>
      <c r="AQ260" s="556"/>
      <c r="AR260" s="556"/>
      <c r="AS260" s="76"/>
      <c r="AT260" s="76"/>
      <c r="AU260" s="556"/>
      <c r="AV260" s="556"/>
      <c r="AW260" s="556"/>
      <c r="AX260" s="556"/>
      <c r="AY260" s="556"/>
      <c r="AZ260" s="556"/>
      <c r="BA260" s="556"/>
      <c r="BB260" s="556"/>
      <c r="BC260" s="556"/>
      <c r="BD260" s="556"/>
      <c r="BE260" s="76"/>
      <c r="BF260" s="76"/>
      <c r="BG260" s="585" t="s">
        <v>582</v>
      </c>
      <c r="BH260" s="585"/>
      <c r="BI260" s="585"/>
      <c r="BJ260" s="585" t="s">
        <v>120</v>
      </c>
      <c r="BK260" s="556"/>
      <c r="BL260" s="585"/>
      <c r="BM260" s="585"/>
      <c r="BN260" s="585"/>
      <c r="BO260" s="585"/>
      <c r="BP260" s="585" t="s">
        <v>121</v>
      </c>
      <c r="BQ260" s="76"/>
      <c r="BR260" s="76"/>
      <c r="BS260" s="556"/>
      <c r="BT260" s="76"/>
      <c r="BU260" s="76"/>
      <c r="BV260" s="556"/>
      <c r="BW260" s="556"/>
      <c r="BX260" s="556"/>
      <c r="BY260" s="556"/>
      <c r="BZ260" s="76"/>
      <c r="CA260" s="76"/>
      <c r="CB260" s="556"/>
      <c r="CC260" s="556"/>
      <c r="CD260" s="556"/>
      <c r="CE260" s="76"/>
      <c r="CF260" s="79"/>
      <c r="CG260" s="556"/>
      <c r="CH260" s="585" t="s">
        <v>40</v>
      </c>
      <c r="CI260" s="585" t="s">
        <v>40</v>
      </c>
      <c r="CJ260" s="201"/>
      <c r="CK260" s="202"/>
      <c r="CL260" s="202"/>
      <c r="CM260" s="202"/>
      <c r="CN260" s="202"/>
      <c r="CO260" s="202"/>
      <c r="CP260" s="202"/>
      <c r="CQ260" s="202"/>
      <c r="CR260" s="202"/>
      <c r="CS260" s="202"/>
      <c r="CT260" s="202"/>
      <c r="CU260" s="202"/>
      <c r="CV260" s="202"/>
      <c r="CW260" s="202"/>
      <c r="CX260" s="202"/>
      <c r="CY260" s="202"/>
      <c r="CZ260" s="202"/>
      <c r="DA260" s="202"/>
      <c r="DB260" s="202"/>
      <c r="DC260" s="202"/>
      <c r="DD260" s="202"/>
      <c r="DE260" s="202"/>
      <c r="DF260" s="202"/>
      <c r="DG260" s="202"/>
      <c r="DH260" s="202"/>
      <c r="DI260" s="202"/>
      <c r="DJ260" s="202"/>
      <c r="DK260" s="202"/>
      <c r="DL260" s="202"/>
      <c r="DM260" s="202"/>
      <c r="DN260" s="202"/>
      <c r="DO260" s="202"/>
      <c r="DP260" s="202"/>
      <c r="DQ260" s="202"/>
      <c r="DR260" s="202"/>
      <c r="DS260" s="202"/>
      <c r="DT260" s="202"/>
      <c r="DU260" s="202"/>
      <c r="DV260" s="202"/>
      <c r="DW260" s="202"/>
      <c r="DX260" s="202"/>
      <c r="DY260" s="202"/>
      <c r="DZ260" s="202"/>
      <c r="EA260" s="202"/>
      <c r="EB260" s="202"/>
      <c r="EC260" s="202"/>
      <c r="ED260" s="202"/>
      <c r="EE260" s="202"/>
      <c r="EF260" s="202"/>
      <c r="EG260" s="202"/>
      <c r="EH260" s="202"/>
      <c r="EI260" s="202"/>
      <c r="EJ260" s="202"/>
      <c r="EK260" s="202"/>
      <c r="EL260" s="202"/>
      <c r="EM260" s="202"/>
      <c r="EN260" s="202"/>
      <c r="EO260" s="202"/>
      <c r="EP260" s="202"/>
      <c r="EQ260" s="202"/>
      <c r="ER260" s="202"/>
      <c r="ES260" s="202"/>
      <c r="ET260" s="202"/>
      <c r="EU260" s="202"/>
      <c r="EV260" s="202"/>
      <c r="EW260" s="202"/>
      <c r="EX260" s="202"/>
      <c r="EY260" s="202"/>
      <c r="EZ260" s="202"/>
      <c r="FA260" s="202"/>
      <c r="FB260" s="202"/>
      <c r="FC260" s="202"/>
      <c r="FD260" s="202"/>
      <c r="FE260" s="202"/>
      <c r="FF260" s="202"/>
      <c r="FG260" s="202"/>
      <c r="FH260" s="202"/>
      <c r="FI260" s="202"/>
    </row>
    <row r="261" spans="1:165" s="228" customFormat="1" ht="18" customHeight="1" x14ac:dyDescent="0.25">
      <c r="A261" s="578">
        <f t="shared" si="6"/>
        <v>252</v>
      </c>
      <c r="B261" s="588">
        <v>0</v>
      </c>
      <c r="C261" s="585" t="s">
        <v>135</v>
      </c>
      <c r="D261" s="585" t="s">
        <v>548</v>
      </c>
      <c r="E261" s="589" t="s">
        <v>549</v>
      </c>
      <c r="F261" s="567" t="s">
        <v>1044</v>
      </c>
      <c r="G261" s="556" t="s">
        <v>550</v>
      </c>
      <c r="H261" s="599" t="s">
        <v>1160</v>
      </c>
      <c r="I261" s="605">
        <v>9</v>
      </c>
      <c r="J261" s="556"/>
      <c r="K261" s="594">
        <v>12</v>
      </c>
      <c r="L261" s="306"/>
      <c r="M261" s="307"/>
      <c r="N261" s="307"/>
      <c r="O261" s="307"/>
      <c r="P261" s="307"/>
      <c r="Q261" s="79"/>
      <c r="R261" s="76"/>
      <c r="S261" s="556"/>
      <c r="T261" s="556"/>
      <c r="U261" s="556"/>
      <c r="V261" s="556"/>
      <c r="W261" s="556"/>
      <c r="X261" s="556"/>
      <c r="Y261" s="556"/>
      <c r="Z261" s="556"/>
      <c r="AA261" s="556"/>
      <c r="AB261" s="556"/>
      <c r="AC261" s="556"/>
      <c r="AD261" s="556"/>
      <c r="AE261" s="556"/>
      <c r="AF261" s="556"/>
      <c r="AG261" s="556"/>
      <c r="AH261" s="556"/>
      <c r="AI261" s="556"/>
      <c r="AJ261" s="76"/>
      <c r="AK261" s="76"/>
      <c r="AL261" s="556"/>
      <c r="AM261" s="556"/>
      <c r="AN261" s="556"/>
      <c r="AO261" s="556"/>
      <c r="AP261" s="556"/>
      <c r="AQ261" s="556"/>
      <c r="AR261" s="556"/>
      <c r="AS261" s="76"/>
      <c r="AT261" s="76"/>
      <c r="AU261" s="556"/>
      <c r="AV261" s="556"/>
      <c r="AW261" s="556"/>
      <c r="AX261" s="556"/>
      <c r="AY261" s="556"/>
      <c r="AZ261" s="556"/>
      <c r="BA261" s="556"/>
      <c r="BB261" s="556"/>
      <c r="BC261" s="556"/>
      <c r="BD261" s="556"/>
      <c r="BE261" s="76"/>
      <c r="BF261" s="76"/>
      <c r="BG261" s="585"/>
      <c r="BH261" s="585"/>
      <c r="BI261" s="585"/>
      <c r="BJ261" s="585"/>
      <c r="BK261" s="556"/>
      <c r="BL261" s="585"/>
      <c r="BM261" s="585"/>
      <c r="BN261" s="585"/>
      <c r="BO261" s="585"/>
      <c r="BP261" s="585"/>
      <c r="BQ261" s="76"/>
      <c r="BR261" s="76"/>
      <c r="BS261" s="556"/>
      <c r="BT261" s="76"/>
      <c r="BU261" s="76"/>
      <c r="BV261" s="556"/>
      <c r="BW261" s="556"/>
      <c r="BX261" s="556"/>
      <c r="BY261" s="556"/>
      <c r="BZ261" s="76"/>
      <c r="CA261" s="76"/>
      <c r="CB261" s="556"/>
      <c r="CC261" s="556"/>
      <c r="CD261" s="556"/>
      <c r="CE261" s="76"/>
      <c r="CF261" s="79"/>
      <c r="CG261" s="556"/>
      <c r="CH261" s="585" t="s">
        <v>40</v>
      </c>
      <c r="CI261" s="585" t="s">
        <v>40</v>
      </c>
      <c r="CJ261" s="201"/>
      <c r="CK261" s="202"/>
      <c r="CL261" s="202"/>
      <c r="CM261" s="202"/>
      <c r="CN261" s="202"/>
      <c r="CO261" s="202"/>
      <c r="CP261" s="202"/>
      <c r="CQ261" s="202"/>
      <c r="CR261" s="202"/>
      <c r="CS261" s="202"/>
      <c r="CT261" s="202"/>
      <c r="CU261" s="202"/>
      <c r="CV261" s="202"/>
      <c r="CW261" s="202"/>
      <c r="CX261" s="202"/>
      <c r="CY261" s="202"/>
      <c r="CZ261" s="202"/>
      <c r="DA261" s="202"/>
      <c r="DB261" s="202"/>
      <c r="DC261" s="202"/>
      <c r="DD261" s="202"/>
      <c r="DE261" s="202"/>
      <c r="DF261" s="202"/>
      <c r="DG261" s="202"/>
      <c r="DH261" s="202"/>
      <c r="DI261" s="202"/>
      <c r="DJ261" s="202"/>
      <c r="DK261" s="202"/>
      <c r="DL261" s="202"/>
      <c r="DM261" s="202"/>
      <c r="DN261" s="202"/>
      <c r="DO261" s="202"/>
      <c r="DP261" s="202"/>
      <c r="DQ261" s="202"/>
      <c r="DR261" s="202"/>
      <c r="DS261" s="202"/>
      <c r="DT261" s="202"/>
      <c r="DU261" s="202"/>
      <c r="DV261" s="202"/>
      <c r="DW261" s="202"/>
      <c r="DX261" s="202"/>
      <c r="DY261" s="202"/>
      <c r="DZ261" s="202"/>
      <c r="EA261" s="202"/>
      <c r="EB261" s="202"/>
      <c r="EC261" s="202"/>
      <c r="ED261" s="202"/>
      <c r="EE261" s="202"/>
      <c r="EF261" s="202"/>
      <c r="EG261" s="202"/>
      <c r="EH261" s="202"/>
      <c r="EI261" s="202"/>
      <c r="EJ261" s="202"/>
      <c r="EK261" s="202"/>
      <c r="EL261" s="202"/>
      <c r="EM261" s="202"/>
      <c r="EN261" s="202"/>
      <c r="EO261" s="202"/>
      <c r="EP261" s="202"/>
      <c r="EQ261" s="202"/>
      <c r="ER261" s="202"/>
      <c r="ES261" s="202"/>
      <c r="ET261" s="202"/>
      <c r="EU261" s="202"/>
      <c r="EV261" s="202"/>
      <c r="EW261" s="202"/>
      <c r="EX261" s="202"/>
      <c r="EY261" s="202"/>
      <c r="EZ261" s="202"/>
      <c r="FA261" s="202"/>
      <c r="FB261" s="202"/>
      <c r="FC261" s="202"/>
      <c r="FD261" s="202"/>
      <c r="FE261" s="202"/>
      <c r="FF261" s="202"/>
      <c r="FG261" s="202"/>
      <c r="FH261" s="202"/>
      <c r="FI261" s="202"/>
    </row>
    <row r="262" spans="1:165" s="228" customFormat="1" ht="18" customHeight="1" x14ac:dyDescent="0.25">
      <c r="A262" s="578">
        <f t="shared" si="6"/>
        <v>253</v>
      </c>
      <c r="B262" s="588">
        <v>0</v>
      </c>
      <c r="C262" s="585" t="s">
        <v>135</v>
      </c>
      <c r="D262" s="585" t="s">
        <v>1029</v>
      </c>
      <c r="E262" s="589" t="s">
        <v>1030</v>
      </c>
      <c r="F262" s="567" t="s">
        <v>1044</v>
      </c>
      <c r="G262" s="556" t="s">
        <v>1031</v>
      </c>
      <c r="H262" s="599" t="s">
        <v>1031</v>
      </c>
      <c r="I262" s="593"/>
      <c r="J262" s="556"/>
      <c r="K262" s="594"/>
      <c r="L262" s="306"/>
      <c r="M262" s="307"/>
      <c r="N262" s="307"/>
      <c r="O262" s="307"/>
      <c r="P262" s="307"/>
      <c r="Q262" s="79"/>
      <c r="R262" s="76"/>
      <c r="S262" s="556"/>
      <c r="T262" s="556"/>
      <c r="U262" s="556"/>
      <c r="V262" s="556"/>
      <c r="W262" s="556"/>
      <c r="X262" s="556"/>
      <c r="Y262" s="556"/>
      <c r="Z262" s="556"/>
      <c r="AA262" s="556"/>
      <c r="AB262" s="556"/>
      <c r="AC262" s="556"/>
      <c r="AD262" s="556"/>
      <c r="AE262" s="556"/>
      <c r="AF262" s="556"/>
      <c r="AG262" s="556"/>
      <c r="AH262" s="556"/>
      <c r="AI262" s="556"/>
      <c r="AJ262" s="76"/>
      <c r="AK262" s="76"/>
      <c r="AL262" s="556"/>
      <c r="AM262" s="556"/>
      <c r="AN262" s="556"/>
      <c r="AO262" s="556"/>
      <c r="AP262" s="556"/>
      <c r="AQ262" s="556"/>
      <c r="AR262" s="556"/>
      <c r="AS262" s="76"/>
      <c r="AT262" s="76"/>
      <c r="AU262" s="556"/>
      <c r="AV262" s="556"/>
      <c r="AW262" s="556"/>
      <c r="AX262" s="556"/>
      <c r="AY262" s="556"/>
      <c r="AZ262" s="556"/>
      <c r="BA262" s="556"/>
      <c r="BB262" s="556"/>
      <c r="BC262" s="556"/>
      <c r="BD262" s="556"/>
      <c r="BE262" s="76"/>
      <c r="BF262" s="76"/>
      <c r="BG262" s="585"/>
      <c r="BH262" s="585"/>
      <c r="BI262" s="585"/>
      <c r="BJ262" s="585"/>
      <c r="BK262" s="556"/>
      <c r="BL262" s="585"/>
      <c r="BM262" s="585"/>
      <c r="BN262" s="585"/>
      <c r="BO262" s="585"/>
      <c r="BP262" s="585"/>
      <c r="BQ262" s="76"/>
      <c r="BR262" s="76"/>
      <c r="BS262" s="556"/>
      <c r="BT262" s="76"/>
      <c r="BU262" s="76"/>
      <c r="BV262" s="556"/>
      <c r="BW262" s="556"/>
      <c r="BX262" s="556"/>
      <c r="BY262" s="556"/>
      <c r="BZ262" s="76"/>
      <c r="CA262" s="76"/>
      <c r="CB262" s="556"/>
      <c r="CC262" s="556"/>
      <c r="CD262" s="556"/>
      <c r="CE262" s="76"/>
      <c r="CF262" s="79"/>
      <c r="CG262" s="556"/>
      <c r="CH262" s="585"/>
      <c r="CI262" s="585"/>
      <c r="CJ262" s="201"/>
      <c r="CK262" s="202"/>
      <c r="CL262" s="202"/>
      <c r="CM262" s="202"/>
      <c r="CN262" s="202"/>
      <c r="CO262" s="202"/>
      <c r="CP262" s="202"/>
      <c r="CQ262" s="202"/>
      <c r="CR262" s="202"/>
      <c r="CS262" s="202"/>
      <c r="CT262" s="202"/>
      <c r="CU262" s="202"/>
      <c r="CV262" s="202"/>
      <c r="CW262" s="202"/>
      <c r="CX262" s="202"/>
      <c r="CY262" s="202"/>
      <c r="CZ262" s="202"/>
      <c r="DA262" s="202"/>
      <c r="DB262" s="202"/>
      <c r="DC262" s="202"/>
      <c r="DD262" s="202"/>
      <c r="DE262" s="202"/>
      <c r="DF262" s="202"/>
      <c r="DG262" s="202"/>
      <c r="DH262" s="202"/>
      <c r="DI262" s="202"/>
      <c r="DJ262" s="202"/>
      <c r="DK262" s="202"/>
      <c r="DL262" s="202"/>
      <c r="DM262" s="202"/>
      <c r="DN262" s="202"/>
      <c r="DO262" s="202"/>
      <c r="DP262" s="202"/>
      <c r="DQ262" s="202"/>
      <c r="DR262" s="202"/>
      <c r="DS262" s="202"/>
      <c r="DT262" s="202"/>
      <c r="DU262" s="202"/>
      <c r="DV262" s="202"/>
      <c r="DW262" s="202"/>
      <c r="DX262" s="202"/>
      <c r="DY262" s="202"/>
      <c r="DZ262" s="202"/>
      <c r="EA262" s="202"/>
      <c r="EB262" s="202"/>
      <c r="EC262" s="202"/>
      <c r="ED262" s="202"/>
      <c r="EE262" s="202"/>
      <c r="EF262" s="202"/>
      <c r="EG262" s="202"/>
      <c r="EH262" s="202"/>
      <c r="EI262" s="202"/>
      <c r="EJ262" s="202"/>
      <c r="EK262" s="202"/>
      <c r="EL262" s="202"/>
      <c r="EM262" s="202"/>
      <c r="EN262" s="202"/>
      <c r="EO262" s="202"/>
      <c r="EP262" s="202"/>
      <c r="EQ262" s="202"/>
      <c r="ER262" s="202"/>
      <c r="ES262" s="202"/>
      <c r="ET262" s="202"/>
      <c r="EU262" s="202"/>
      <c r="EV262" s="202"/>
      <c r="EW262" s="202"/>
      <c r="EX262" s="202"/>
      <c r="EY262" s="202"/>
      <c r="EZ262" s="202"/>
      <c r="FA262" s="202"/>
      <c r="FB262" s="202"/>
      <c r="FC262" s="202"/>
      <c r="FD262" s="202"/>
      <c r="FE262" s="202"/>
      <c r="FF262" s="202"/>
      <c r="FG262" s="202"/>
      <c r="FH262" s="202"/>
      <c r="FI262" s="202"/>
    </row>
    <row r="263" spans="1:165" s="228" customFormat="1" ht="18" customHeight="1" x14ac:dyDescent="0.25">
      <c r="A263" s="578">
        <f t="shared" si="6"/>
        <v>254</v>
      </c>
      <c r="B263" s="588">
        <v>0</v>
      </c>
      <c r="C263" s="585" t="s">
        <v>135</v>
      </c>
      <c r="D263" s="585" t="s">
        <v>551</v>
      </c>
      <c r="E263" s="589" t="s">
        <v>552</v>
      </c>
      <c r="F263" s="567" t="s">
        <v>1044</v>
      </c>
      <c r="G263" s="556" t="s">
        <v>115</v>
      </c>
      <c r="H263" s="599" t="s">
        <v>1159</v>
      </c>
      <c r="I263" s="593">
        <v>5</v>
      </c>
      <c r="J263" s="556" t="s">
        <v>64</v>
      </c>
      <c r="K263" s="594">
        <v>9</v>
      </c>
      <c r="L263" s="306"/>
      <c r="M263" s="307"/>
      <c r="N263" s="307"/>
      <c r="O263" s="307"/>
      <c r="P263" s="307" t="s">
        <v>122</v>
      </c>
      <c r="Q263" s="79"/>
      <c r="R263" s="76"/>
      <c r="S263" s="556"/>
      <c r="T263" s="556"/>
      <c r="U263" s="556"/>
      <c r="V263" s="556"/>
      <c r="W263" s="556"/>
      <c r="X263" s="556"/>
      <c r="Y263" s="556"/>
      <c r="Z263" s="556"/>
      <c r="AA263" s="556"/>
      <c r="AB263" s="556"/>
      <c r="AC263" s="556"/>
      <c r="AD263" s="556"/>
      <c r="AE263" s="556"/>
      <c r="AF263" s="556"/>
      <c r="AG263" s="556"/>
      <c r="AH263" s="556"/>
      <c r="AI263" s="556"/>
      <c r="AJ263" s="76"/>
      <c r="AK263" s="76"/>
      <c r="AL263" s="556"/>
      <c r="AM263" s="556"/>
      <c r="AN263" s="556"/>
      <c r="AO263" s="556"/>
      <c r="AP263" s="556"/>
      <c r="AQ263" s="556"/>
      <c r="AR263" s="556"/>
      <c r="AS263" s="76"/>
      <c r="AT263" s="76"/>
      <c r="AU263" s="556"/>
      <c r="AV263" s="556"/>
      <c r="AW263" s="556"/>
      <c r="AX263" s="556"/>
      <c r="AY263" s="556"/>
      <c r="AZ263" s="556"/>
      <c r="BA263" s="556"/>
      <c r="BB263" s="556"/>
      <c r="BC263" s="556"/>
      <c r="BD263" s="556"/>
      <c r="BE263" s="76"/>
      <c r="BF263" s="76"/>
      <c r="BG263" s="585" t="s">
        <v>582</v>
      </c>
      <c r="BH263" s="585"/>
      <c r="BI263" s="585"/>
      <c r="BJ263" s="585" t="s">
        <v>120</v>
      </c>
      <c r="BK263" s="556"/>
      <c r="BL263" s="585"/>
      <c r="BM263" s="585"/>
      <c r="BN263" s="585"/>
      <c r="BO263" s="585"/>
      <c r="BP263" s="585" t="s">
        <v>121</v>
      </c>
      <c r="BQ263" s="76"/>
      <c r="BR263" s="76"/>
      <c r="BS263" s="556"/>
      <c r="BT263" s="76"/>
      <c r="BU263" s="76"/>
      <c r="BV263" s="556"/>
      <c r="BW263" s="556"/>
      <c r="BX263" s="556"/>
      <c r="BY263" s="556"/>
      <c r="BZ263" s="76"/>
      <c r="CA263" s="76"/>
      <c r="CB263" s="556"/>
      <c r="CC263" s="556"/>
      <c r="CD263" s="556"/>
      <c r="CE263" s="76"/>
      <c r="CF263" s="79"/>
      <c r="CG263" s="556"/>
      <c r="CH263" s="585" t="s">
        <v>40</v>
      </c>
      <c r="CI263" s="585" t="s">
        <v>40</v>
      </c>
      <c r="CJ263" s="201"/>
      <c r="CK263" s="202"/>
      <c r="CL263" s="202"/>
      <c r="CM263" s="202"/>
      <c r="CN263" s="202"/>
      <c r="CO263" s="202"/>
      <c r="CP263" s="202"/>
      <c r="CQ263" s="202"/>
      <c r="CR263" s="202"/>
      <c r="CS263" s="202"/>
      <c r="CT263" s="202"/>
      <c r="CU263" s="202"/>
      <c r="CV263" s="202"/>
      <c r="CW263" s="202"/>
      <c r="CX263" s="202"/>
      <c r="CY263" s="202"/>
      <c r="CZ263" s="202"/>
      <c r="DA263" s="202"/>
      <c r="DB263" s="202"/>
      <c r="DC263" s="202"/>
      <c r="DD263" s="202"/>
      <c r="DE263" s="202"/>
      <c r="DF263" s="202"/>
      <c r="DG263" s="202"/>
      <c r="DH263" s="202"/>
      <c r="DI263" s="202"/>
      <c r="DJ263" s="202"/>
      <c r="DK263" s="202"/>
      <c r="DL263" s="202"/>
      <c r="DM263" s="202"/>
      <c r="DN263" s="202"/>
      <c r="DO263" s="202"/>
      <c r="DP263" s="202"/>
      <c r="DQ263" s="202"/>
      <c r="DR263" s="202"/>
      <c r="DS263" s="202"/>
      <c r="DT263" s="202"/>
      <c r="DU263" s="202"/>
      <c r="DV263" s="202"/>
      <c r="DW263" s="202"/>
      <c r="DX263" s="202"/>
      <c r="DY263" s="202"/>
      <c r="DZ263" s="202"/>
      <c r="EA263" s="202"/>
      <c r="EB263" s="202"/>
      <c r="EC263" s="202"/>
      <c r="ED263" s="202"/>
      <c r="EE263" s="202"/>
      <c r="EF263" s="202"/>
      <c r="EG263" s="202"/>
      <c r="EH263" s="202"/>
      <c r="EI263" s="202"/>
      <c r="EJ263" s="202"/>
      <c r="EK263" s="202"/>
      <c r="EL263" s="202"/>
      <c r="EM263" s="202"/>
      <c r="EN263" s="202"/>
      <c r="EO263" s="202"/>
      <c r="EP263" s="202"/>
      <c r="EQ263" s="202"/>
      <c r="ER263" s="202"/>
      <c r="ES263" s="202"/>
      <c r="ET263" s="202"/>
      <c r="EU263" s="202"/>
      <c r="EV263" s="202"/>
      <c r="EW263" s="202"/>
      <c r="EX263" s="202"/>
      <c r="EY263" s="202"/>
      <c r="EZ263" s="202"/>
      <c r="FA263" s="202"/>
      <c r="FB263" s="202"/>
      <c r="FC263" s="202"/>
      <c r="FD263" s="202"/>
      <c r="FE263" s="202"/>
      <c r="FF263" s="202"/>
      <c r="FG263" s="202"/>
      <c r="FH263" s="202"/>
      <c r="FI263" s="202"/>
    </row>
    <row r="264" spans="1:165" s="228" customFormat="1" ht="18" customHeight="1" x14ac:dyDescent="0.25">
      <c r="A264" s="578">
        <f t="shared" si="6"/>
        <v>255</v>
      </c>
      <c r="B264" s="588">
        <v>0</v>
      </c>
      <c r="C264" s="585" t="s">
        <v>135</v>
      </c>
      <c r="D264" s="585" t="s">
        <v>553</v>
      </c>
      <c r="E264" s="589" t="s">
        <v>554</v>
      </c>
      <c r="F264" s="567" t="s">
        <v>1044</v>
      </c>
      <c r="G264" s="556" t="s">
        <v>116</v>
      </c>
      <c r="H264" s="599" t="s">
        <v>1158</v>
      </c>
      <c r="I264" s="593">
        <v>5</v>
      </c>
      <c r="J264" s="556"/>
      <c r="K264" s="594">
        <v>9</v>
      </c>
      <c r="L264" s="306"/>
      <c r="M264" s="307"/>
      <c r="N264" s="307"/>
      <c r="O264" s="307"/>
      <c r="P264" s="307" t="s">
        <v>122</v>
      </c>
      <c r="Q264" s="79"/>
      <c r="R264" s="76"/>
      <c r="S264" s="556"/>
      <c r="T264" s="556"/>
      <c r="U264" s="556"/>
      <c r="V264" s="556"/>
      <c r="W264" s="556"/>
      <c r="X264" s="556"/>
      <c r="Y264" s="556"/>
      <c r="Z264" s="556"/>
      <c r="AA264" s="556"/>
      <c r="AB264" s="556"/>
      <c r="AC264" s="556"/>
      <c r="AD264" s="556"/>
      <c r="AE264" s="556"/>
      <c r="AF264" s="556"/>
      <c r="AG264" s="556"/>
      <c r="AH264" s="556"/>
      <c r="AI264" s="556"/>
      <c r="AJ264" s="76"/>
      <c r="AK264" s="76"/>
      <c r="AL264" s="556"/>
      <c r="AM264" s="556"/>
      <c r="AN264" s="556"/>
      <c r="AO264" s="556"/>
      <c r="AP264" s="556"/>
      <c r="AQ264" s="556"/>
      <c r="AR264" s="556"/>
      <c r="AS264" s="76"/>
      <c r="AT264" s="76"/>
      <c r="AU264" s="556"/>
      <c r="AV264" s="556"/>
      <c r="AW264" s="556"/>
      <c r="AX264" s="556"/>
      <c r="AY264" s="556"/>
      <c r="AZ264" s="556"/>
      <c r="BA264" s="556"/>
      <c r="BB264" s="556"/>
      <c r="BC264" s="556"/>
      <c r="BD264" s="556"/>
      <c r="BE264" s="76"/>
      <c r="BF264" s="76"/>
      <c r="BG264" s="585" t="s">
        <v>582</v>
      </c>
      <c r="BH264" s="585"/>
      <c r="BI264" s="585"/>
      <c r="BJ264" s="585" t="s">
        <v>120</v>
      </c>
      <c r="BK264" s="556"/>
      <c r="BL264" s="585"/>
      <c r="BM264" s="585"/>
      <c r="BN264" s="585"/>
      <c r="BO264" s="585"/>
      <c r="BP264" s="585" t="s">
        <v>121</v>
      </c>
      <c r="BQ264" s="76"/>
      <c r="BR264" s="76"/>
      <c r="BS264" s="556"/>
      <c r="BT264" s="76"/>
      <c r="BU264" s="76"/>
      <c r="BV264" s="556"/>
      <c r="BW264" s="556"/>
      <c r="BX264" s="556"/>
      <c r="BY264" s="556"/>
      <c r="BZ264" s="76"/>
      <c r="CA264" s="76"/>
      <c r="CB264" s="556"/>
      <c r="CC264" s="556"/>
      <c r="CD264" s="556"/>
      <c r="CE264" s="76"/>
      <c r="CF264" s="79"/>
      <c r="CG264" s="556"/>
      <c r="CH264" s="585" t="s">
        <v>40</v>
      </c>
      <c r="CI264" s="585" t="s">
        <v>40</v>
      </c>
      <c r="CJ264" s="201"/>
      <c r="CK264" s="202"/>
      <c r="CL264" s="202"/>
      <c r="CM264" s="202"/>
      <c r="CN264" s="202"/>
      <c r="CO264" s="202"/>
      <c r="CP264" s="202"/>
      <c r="CQ264" s="202"/>
      <c r="CR264" s="202"/>
      <c r="CS264" s="202"/>
      <c r="CT264" s="202"/>
      <c r="CU264" s="202"/>
      <c r="CV264" s="202"/>
      <c r="CW264" s="202"/>
      <c r="CX264" s="202"/>
      <c r="CY264" s="202"/>
      <c r="CZ264" s="202"/>
      <c r="DA264" s="202"/>
      <c r="DB264" s="202"/>
      <c r="DC264" s="202"/>
      <c r="DD264" s="202"/>
      <c r="DE264" s="202"/>
      <c r="DF264" s="202"/>
      <c r="DG264" s="202"/>
      <c r="DH264" s="202"/>
      <c r="DI264" s="202"/>
      <c r="DJ264" s="202"/>
      <c r="DK264" s="202"/>
      <c r="DL264" s="202"/>
      <c r="DM264" s="202"/>
      <c r="DN264" s="202"/>
      <c r="DO264" s="202"/>
      <c r="DP264" s="202"/>
      <c r="DQ264" s="202"/>
      <c r="DR264" s="202"/>
      <c r="DS264" s="202"/>
      <c r="DT264" s="202"/>
      <c r="DU264" s="202"/>
      <c r="DV264" s="202"/>
      <c r="DW264" s="202"/>
      <c r="DX264" s="202"/>
      <c r="DY264" s="202"/>
      <c r="DZ264" s="202"/>
      <c r="EA264" s="202"/>
      <c r="EB264" s="202"/>
      <c r="EC264" s="202"/>
      <c r="ED264" s="202"/>
      <c r="EE264" s="202"/>
      <c r="EF264" s="202"/>
      <c r="EG264" s="202"/>
      <c r="EH264" s="202"/>
      <c r="EI264" s="202"/>
      <c r="EJ264" s="202"/>
      <c r="EK264" s="202"/>
      <c r="EL264" s="202"/>
      <c r="EM264" s="202"/>
      <c r="EN264" s="202"/>
      <c r="EO264" s="202"/>
      <c r="EP264" s="202"/>
      <c r="EQ264" s="202"/>
      <c r="ER264" s="202"/>
      <c r="ES264" s="202"/>
      <c r="ET264" s="202"/>
      <c r="EU264" s="202"/>
      <c r="EV264" s="202"/>
      <c r="EW264" s="202"/>
      <c r="EX264" s="202"/>
      <c r="EY264" s="202"/>
      <c r="EZ264" s="202"/>
      <c r="FA264" s="202"/>
      <c r="FB264" s="202"/>
      <c r="FC264" s="202"/>
      <c r="FD264" s="202"/>
      <c r="FE264" s="202"/>
      <c r="FF264" s="202"/>
      <c r="FG264" s="202"/>
      <c r="FH264" s="202"/>
      <c r="FI264" s="202"/>
    </row>
    <row r="265" spans="1:165" s="228" customFormat="1" ht="18" customHeight="1" x14ac:dyDescent="0.25">
      <c r="A265" s="578">
        <f t="shared" si="6"/>
        <v>256</v>
      </c>
      <c r="B265" s="588">
        <v>0</v>
      </c>
      <c r="C265" s="591" t="s">
        <v>135</v>
      </c>
      <c r="D265" s="585" t="s">
        <v>555</v>
      </c>
      <c r="E265" s="589" t="s">
        <v>556</v>
      </c>
      <c r="F265" s="567" t="s">
        <v>1044</v>
      </c>
      <c r="G265" s="585" t="s">
        <v>557</v>
      </c>
      <c r="H265" s="603" t="s">
        <v>882</v>
      </c>
      <c r="I265" s="593">
        <v>5</v>
      </c>
      <c r="J265" s="556" t="s">
        <v>64</v>
      </c>
      <c r="K265" s="594">
        <v>15</v>
      </c>
      <c r="L265" s="306"/>
      <c r="M265" s="307"/>
      <c r="N265" s="307"/>
      <c r="O265" s="307"/>
      <c r="P265" s="307" t="s">
        <v>122</v>
      </c>
      <c r="Q265" s="79"/>
      <c r="R265" s="79"/>
      <c r="S265" s="585"/>
      <c r="T265" s="585"/>
      <c r="U265" s="585"/>
      <c r="V265" s="585"/>
      <c r="W265" s="585"/>
      <c r="X265" s="585"/>
      <c r="Y265" s="585"/>
      <c r="Z265" s="585"/>
      <c r="AA265" s="585"/>
      <c r="AB265" s="585"/>
      <c r="AC265" s="585"/>
      <c r="AD265" s="585"/>
      <c r="AE265" s="585"/>
      <c r="AF265" s="585"/>
      <c r="AG265" s="585"/>
      <c r="AH265" s="585"/>
      <c r="AI265" s="585"/>
      <c r="AJ265" s="79"/>
      <c r="AK265" s="79"/>
      <c r="AL265" s="585"/>
      <c r="AM265" s="585"/>
      <c r="AN265" s="585"/>
      <c r="AO265" s="585"/>
      <c r="AP265" s="585"/>
      <c r="AQ265" s="585"/>
      <c r="AR265" s="585"/>
      <c r="AS265" s="79"/>
      <c r="AT265" s="79"/>
      <c r="AU265" s="585"/>
      <c r="AV265" s="585"/>
      <c r="AW265" s="585"/>
      <c r="AX265" s="585"/>
      <c r="AY265" s="585"/>
      <c r="AZ265" s="585"/>
      <c r="BA265" s="585"/>
      <c r="BB265" s="585"/>
      <c r="BC265" s="585"/>
      <c r="BD265" s="585"/>
      <c r="BE265" s="79"/>
      <c r="BF265" s="79"/>
      <c r="BG265" s="585"/>
      <c r="BH265" s="585"/>
      <c r="BI265" s="585"/>
      <c r="BJ265" s="585" t="s">
        <v>120</v>
      </c>
      <c r="BK265" s="585"/>
      <c r="BL265" s="585"/>
      <c r="BM265" s="585"/>
      <c r="BN265" s="585"/>
      <c r="BO265" s="585"/>
      <c r="BP265" s="585" t="s">
        <v>121</v>
      </c>
      <c r="BQ265" s="79"/>
      <c r="BR265" s="79"/>
      <c r="BS265" s="585"/>
      <c r="BT265" s="79"/>
      <c r="BU265" s="79"/>
      <c r="BV265" s="585"/>
      <c r="BW265" s="585"/>
      <c r="BX265" s="585"/>
      <c r="BY265" s="585"/>
      <c r="BZ265" s="79"/>
      <c r="CA265" s="79"/>
      <c r="CB265" s="585"/>
      <c r="CC265" s="585"/>
      <c r="CD265" s="585"/>
      <c r="CE265" s="79"/>
      <c r="CF265" s="79"/>
      <c r="CG265" s="585"/>
      <c r="CH265" s="585" t="s">
        <v>40</v>
      </c>
      <c r="CI265" s="585" t="s">
        <v>40</v>
      </c>
      <c r="CJ265" s="201"/>
      <c r="CK265" s="202"/>
      <c r="CL265" s="202"/>
      <c r="CM265" s="202"/>
      <c r="CN265" s="202"/>
      <c r="CO265" s="202"/>
      <c r="CP265" s="202"/>
      <c r="CQ265" s="202"/>
      <c r="CR265" s="202"/>
      <c r="CS265" s="202"/>
      <c r="CT265" s="202"/>
      <c r="CU265" s="202"/>
      <c r="CV265" s="202"/>
      <c r="CW265" s="202"/>
      <c r="CX265" s="202"/>
      <c r="CY265" s="202"/>
      <c r="CZ265" s="202"/>
      <c r="DA265" s="202"/>
      <c r="DB265" s="202"/>
      <c r="DC265" s="202"/>
      <c r="DD265" s="202"/>
      <c r="DE265" s="202"/>
      <c r="DF265" s="202"/>
      <c r="DG265" s="202"/>
      <c r="DH265" s="202"/>
      <c r="DI265" s="202"/>
      <c r="DJ265" s="202"/>
      <c r="DK265" s="202"/>
      <c r="DL265" s="202"/>
      <c r="DM265" s="202"/>
      <c r="DN265" s="202"/>
      <c r="DO265" s="202"/>
      <c r="DP265" s="202"/>
      <c r="DQ265" s="202"/>
      <c r="DR265" s="202"/>
      <c r="DS265" s="202"/>
      <c r="DT265" s="202"/>
      <c r="DU265" s="202"/>
      <c r="DV265" s="202"/>
      <c r="DW265" s="202"/>
      <c r="DX265" s="202"/>
      <c r="DY265" s="202"/>
      <c r="DZ265" s="202"/>
      <c r="EA265" s="202"/>
      <c r="EB265" s="202"/>
      <c r="EC265" s="202"/>
      <c r="ED265" s="202"/>
      <c r="EE265" s="202"/>
      <c r="EF265" s="202"/>
      <c r="EG265" s="202"/>
      <c r="EH265" s="202"/>
      <c r="EI265" s="202"/>
      <c r="EJ265" s="202"/>
      <c r="EK265" s="202"/>
      <c r="EL265" s="202"/>
      <c r="EM265" s="202"/>
      <c r="EN265" s="202"/>
      <c r="EO265" s="202"/>
      <c r="EP265" s="202"/>
      <c r="EQ265" s="202"/>
      <c r="ER265" s="202"/>
      <c r="ES265" s="202"/>
      <c r="ET265" s="202"/>
      <c r="EU265" s="202"/>
      <c r="EV265" s="202"/>
      <c r="EW265" s="202"/>
      <c r="EX265" s="202"/>
      <c r="EY265" s="202"/>
      <c r="EZ265" s="202"/>
      <c r="FA265" s="202"/>
      <c r="FB265" s="202"/>
      <c r="FC265" s="202"/>
      <c r="FD265" s="202"/>
      <c r="FE265" s="202"/>
      <c r="FF265" s="202"/>
      <c r="FG265" s="202"/>
      <c r="FH265" s="202"/>
      <c r="FI265" s="202"/>
    </row>
    <row r="266" spans="1:165" s="228" customFormat="1" ht="18" customHeight="1" x14ac:dyDescent="0.25">
      <c r="A266" s="578">
        <f t="shared" si="6"/>
        <v>257</v>
      </c>
      <c r="B266" s="588">
        <v>0</v>
      </c>
      <c r="C266" s="591" t="s">
        <v>135</v>
      </c>
      <c r="D266" s="585" t="s">
        <v>558</v>
      </c>
      <c r="E266" s="589" t="s">
        <v>559</v>
      </c>
      <c r="F266" s="567" t="s">
        <v>1044</v>
      </c>
      <c r="G266" s="585" t="s">
        <v>117</v>
      </c>
      <c r="H266" s="603" t="s">
        <v>1157</v>
      </c>
      <c r="I266" s="605">
        <v>9</v>
      </c>
      <c r="J266" s="556"/>
      <c r="K266" s="594"/>
      <c r="L266" s="306"/>
      <c r="M266" s="307"/>
      <c r="N266" s="307"/>
      <c r="O266" s="307"/>
      <c r="P266" s="307"/>
      <c r="Q266" s="79"/>
      <c r="R266" s="79"/>
      <c r="S266" s="585"/>
      <c r="T266" s="585"/>
      <c r="U266" s="585"/>
      <c r="V266" s="585"/>
      <c r="W266" s="585"/>
      <c r="X266" s="585"/>
      <c r="Y266" s="585"/>
      <c r="Z266" s="585"/>
      <c r="AA266" s="585"/>
      <c r="AB266" s="585"/>
      <c r="AC266" s="585"/>
      <c r="AD266" s="585"/>
      <c r="AE266" s="585"/>
      <c r="AF266" s="585"/>
      <c r="AG266" s="585"/>
      <c r="AH266" s="585"/>
      <c r="AI266" s="585"/>
      <c r="AJ266" s="79"/>
      <c r="AK266" s="79"/>
      <c r="AL266" s="585"/>
      <c r="AM266" s="585"/>
      <c r="AN266" s="585"/>
      <c r="AO266" s="585"/>
      <c r="AP266" s="585"/>
      <c r="AQ266" s="585"/>
      <c r="AR266" s="585"/>
      <c r="AS266" s="79"/>
      <c r="AT266" s="79"/>
      <c r="AU266" s="585"/>
      <c r="AV266" s="585"/>
      <c r="AW266" s="585"/>
      <c r="AX266" s="585"/>
      <c r="AY266" s="585"/>
      <c r="AZ266" s="585"/>
      <c r="BA266" s="585"/>
      <c r="BB266" s="585"/>
      <c r="BC266" s="585"/>
      <c r="BD266" s="585"/>
      <c r="BE266" s="79"/>
      <c r="BF266" s="79"/>
      <c r="BG266" s="585"/>
      <c r="BH266" s="585"/>
      <c r="BI266" s="585"/>
      <c r="BJ266" s="585"/>
      <c r="BK266" s="585"/>
      <c r="BL266" s="585"/>
      <c r="BM266" s="585"/>
      <c r="BN266" s="585"/>
      <c r="BO266" s="585"/>
      <c r="BP266" s="585"/>
      <c r="BQ266" s="79"/>
      <c r="BR266" s="79"/>
      <c r="BS266" s="585"/>
      <c r="BT266" s="79"/>
      <c r="BU266" s="79"/>
      <c r="BV266" s="585"/>
      <c r="BW266" s="585"/>
      <c r="BX266" s="585"/>
      <c r="BY266" s="585"/>
      <c r="BZ266" s="79"/>
      <c r="CA266" s="79"/>
      <c r="CB266" s="585"/>
      <c r="CC266" s="585"/>
      <c r="CD266" s="585"/>
      <c r="CE266" s="79"/>
      <c r="CF266" s="79"/>
      <c r="CG266" s="585"/>
      <c r="CH266" s="585" t="s">
        <v>40</v>
      </c>
      <c r="CI266" s="585" t="s">
        <v>40</v>
      </c>
      <c r="CJ266" s="201"/>
      <c r="CK266" s="202"/>
      <c r="CL266" s="202"/>
      <c r="CM266" s="202"/>
      <c r="CN266" s="202"/>
      <c r="CO266" s="202"/>
      <c r="CP266" s="202"/>
      <c r="CQ266" s="202"/>
      <c r="CR266" s="202"/>
      <c r="CS266" s="202"/>
      <c r="CT266" s="202"/>
      <c r="CU266" s="202"/>
      <c r="CV266" s="202"/>
      <c r="CW266" s="202"/>
      <c r="CX266" s="202"/>
      <c r="CY266" s="202"/>
      <c r="CZ266" s="202"/>
      <c r="DA266" s="202"/>
      <c r="DB266" s="202"/>
      <c r="DC266" s="202"/>
      <c r="DD266" s="202"/>
      <c r="DE266" s="202"/>
      <c r="DF266" s="202"/>
      <c r="DG266" s="202"/>
      <c r="DH266" s="202"/>
      <c r="DI266" s="202"/>
      <c r="DJ266" s="202"/>
      <c r="DK266" s="202"/>
      <c r="DL266" s="202"/>
      <c r="DM266" s="202"/>
      <c r="DN266" s="202"/>
      <c r="DO266" s="202"/>
      <c r="DP266" s="202"/>
      <c r="DQ266" s="202"/>
      <c r="DR266" s="202"/>
      <c r="DS266" s="202"/>
      <c r="DT266" s="202"/>
      <c r="DU266" s="202"/>
      <c r="DV266" s="202"/>
      <c r="DW266" s="202"/>
      <c r="DX266" s="202"/>
      <c r="DY266" s="202"/>
      <c r="DZ266" s="202"/>
      <c r="EA266" s="202"/>
      <c r="EB266" s="202"/>
      <c r="EC266" s="202"/>
      <c r="ED266" s="202"/>
      <c r="EE266" s="202"/>
      <c r="EF266" s="202"/>
      <c r="EG266" s="202"/>
      <c r="EH266" s="202"/>
      <c r="EI266" s="202"/>
      <c r="EJ266" s="202"/>
      <c r="EK266" s="202"/>
      <c r="EL266" s="202"/>
      <c r="EM266" s="202"/>
      <c r="EN266" s="202"/>
      <c r="EO266" s="202"/>
      <c r="EP266" s="202"/>
      <c r="EQ266" s="202"/>
      <c r="ER266" s="202"/>
      <c r="ES266" s="202"/>
      <c r="ET266" s="202"/>
      <c r="EU266" s="202"/>
      <c r="EV266" s="202"/>
      <c r="EW266" s="202"/>
      <c r="EX266" s="202"/>
      <c r="EY266" s="202"/>
      <c r="EZ266" s="202"/>
      <c r="FA266" s="202"/>
      <c r="FB266" s="202"/>
      <c r="FC266" s="202"/>
      <c r="FD266" s="202"/>
      <c r="FE266" s="202"/>
      <c r="FF266" s="202"/>
      <c r="FG266" s="202"/>
      <c r="FH266" s="202"/>
      <c r="FI266" s="202"/>
    </row>
    <row r="267" spans="1:165" s="228" customFormat="1" ht="18" customHeight="1" x14ac:dyDescent="0.25">
      <c r="A267" s="578">
        <f t="shared" si="6"/>
        <v>258</v>
      </c>
      <c r="B267" s="588">
        <v>0</v>
      </c>
      <c r="C267" s="591" t="s">
        <v>135</v>
      </c>
      <c r="D267" s="585" t="s">
        <v>560</v>
      </c>
      <c r="E267" s="589" t="s">
        <v>561</v>
      </c>
      <c r="F267" s="567" t="s">
        <v>1044</v>
      </c>
      <c r="G267" s="585" t="s">
        <v>562</v>
      </c>
      <c r="H267" s="603" t="s">
        <v>883</v>
      </c>
      <c r="I267" s="593">
        <v>5</v>
      </c>
      <c r="J267" s="556" t="s">
        <v>64</v>
      </c>
      <c r="K267" s="594">
        <v>15</v>
      </c>
      <c r="L267" s="306"/>
      <c r="M267" s="307"/>
      <c r="N267" s="307"/>
      <c r="O267" s="307"/>
      <c r="P267" s="307" t="s">
        <v>122</v>
      </c>
      <c r="Q267" s="79"/>
      <c r="R267" s="79"/>
      <c r="S267" s="585"/>
      <c r="T267" s="585"/>
      <c r="U267" s="585"/>
      <c r="V267" s="585"/>
      <c r="W267" s="585"/>
      <c r="X267" s="585"/>
      <c r="Y267" s="585"/>
      <c r="Z267" s="585"/>
      <c r="AA267" s="585"/>
      <c r="AB267" s="585"/>
      <c r="AC267" s="585"/>
      <c r="AD267" s="585"/>
      <c r="AE267" s="585"/>
      <c r="AF267" s="585"/>
      <c r="AG267" s="585"/>
      <c r="AH267" s="585"/>
      <c r="AI267" s="585"/>
      <c r="AJ267" s="79"/>
      <c r="AK267" s="79"/>
      <c r="AL267" s="585"/>
      <c r="AM267" s="585"/>
      <c r="AN267" s="585"/>
      <c r="AO267" s="585"/>
      <c r="AP267" s="585"/>
      <c r="AQ267" s="585"/>
      <c r="AR267" s="585"/>
      <c r="AS267" s="79"/>
      <c r="AT267" s="79"/>
      <c r="AU267" s="585"/>
      <c r="AV267" s="585"/>
      <c r="AW267" s="585"/>
      <c r="AX267" s="585"/>
      <c r="AY267" s="585"/>
      <c r="AZ267" s="585"/>
      <c r="BA267" s="585"/>
      <c r="BB267" s="585"/>
      <c r="BC267" s="585"/>
      <c r="BD267" s="585"/>
      <c r="BE267" s="79"/>
      <c r="BF267" s="79"/>
      <c r="BG267" s="585"/>
      <c r="BH267" s="585"/>
      <c r="BI267" s="585"/>
      <c r="BJ267" s="585" t="s">
        <v>120</v>
      </c>
      <c r="BK267" s="585"/>
      <c r="BL267" s="585"/>
      <c r="BM267" s="585"/>
      <c r="BN267" s="585"/>
      <c r="BO267" s="585"/>
      <c r="BP267" s="585" t="s">
        <v>121</v>
      </c>
      <c r="BQ267" s="79"/>
      <c r="BR267" s="79"/>
      <c r="BS267" s="585"/>
      <c r="BT267" s="79"/>
      <c r="BU267" s="79"/>
      <c r="BV267" s="585"/>
      <c r="BW267" s="585"/>
      <c r="BX267" s="585"/>
      <c r="BY267" s="585"/>
      <c r="BZ267" s="79"/>
      <c r="CA267" s="79"/>
      <c r="CB267" s="585"/>
      <c r="CC267" s="585"/>
      <c r="CD267" s="585"/>
      <c r="CE267" s="79"/>
      <c r="CF267" s="79"/>
      <c r="CG267" s="585"/>
      <c r="CH267" s="585" t="s">
        <v>40</v>
      </c>
      <c r="CI267" s="585" t="s">
        <v>40</v>
      </c>
      <c r="CJ267" s="201"/>
      <c r="CK267" s="202"/>
      <c r="CL267" s="202"/>
      <c r="CM267" s="202"/>
      <c r="CN267" s="202"/>
      <c r="CO267" s="202"/>
      <c r="CP267" s="202"/>
      <c r="CQ267" s="202"/>
      <c r="CR267" s="202"/>
      <c r="CS267" s="202"/>
      <c r="CT267" s="202"/>
      <c r="CU267" s="202"/>
      <c r="CV267" s="202"/>
      <c r="CW267" s="202"/>
      <c r="CX267" s="202"/>
      <c r="CY267" s="202"/>
      <c r="CZ267" s="202"/>
      <c r="DA267" s="202"/>
      <c r="DB267" s="202"/>
      <c r="DC267" s="202"/>
      <c r="DD267" s="202"/>
      <c r="DE267" s="202"/>
      <c r="DF267" s="202"/>
      <c r="DG267" s="202"/>
      <c r="DH267" s="202"/>
      <c r="DI267" s="202"/>
      <c r="DJ267" s="202"/>
      <c r="DK267" s="202"/>
      <c r="DL267" s="202"/>
      <c r="DM267" s="202"/>
      <c r="DN267" s="202"/>
      <c r="DO267" s="202"/>
      <c r="DP267" s="202"/>
      <c r="DQ267" s="202"/>
      <c r="DR267" s="202"/>
      <c r="DS267" s="202"/>
      <c r="DT267" s="202"/>
      <c r="DU267" s="202"/>
      <c r="DV267" s="202"/>
      <c r="DW267" s="202"/>
      <c r="DX267" s="202"/>
      <c r="DY267" s="202"/>
      <c r="DZ267" s="202"/>
      <c r="EA267" s="202"/>
      <c r="EB267" s="202"/>
      <c r="EC267" s="202"/>
      <c r="ED267" s="202"/>
      <c r="EE267" s="202"/>
      <c r="EF267" s="202"/>
      <c r="EG267" s="202"/>
      <c r="EH267" s="202"/>
      <c r="EI267" s="202"/>
      <c r="EJ267" s="202"/>
      <c r="EK267" s="202"/>
      <c r="EL267" s="202"/>
      <c r="EM267" s="202"/>
      <c r="EN267" s="202"/>
      <c r="EO267" s="202"/>
      <c r="EP267" s="202"/>
      <c r="EQ267" s="202"/>
      <c r="ER267" s="202"/>
      <c r="ES267" s="202"/>
      <c r="ET267" s="202"/>
      <c r="EU267" s="202"/>
      <c r="EV267" s="202"/>
      <c r="EW267" s="202"/>
      <c r="EX267" s="202"/>
      <c r="EY267" s="202"/>
      <c r="EZ267" s="202"/>
      <c r="FA267" s="202"/>
      <c r="FB267" s="202"/>
      <c r="FC267" s="202"/>
      <c r="FD267" s="202"/>
      <c r="FE267" s="202"/>
      <c r="FF267" s="202"/>
      <c r="FG267" s="202"/>
      <c r="FH267" s="202"/>
      <c r="FI267" s="202"/>
    </row>
    <row r="268" spans="1:165" s="228" customFormat="1" ht="18" customHeight="1" x14ac:dyDescent="0.25">
      <c r="A268" s="578">
        <f t="shared" si="6"/>
        <v>259</v>
      </c>
      <c r="B268" s="588">
        <v>0</v>
      </c>
      <c r="C268" s="591" t="s">
        <v>135</v>
      </c>
      <c r="D268" s="585" t="s">
        <v>563</v>
      </c>
      <c r="E268" s="589" t="s">
        <v>564</v>
      </c>
      <c r="F268" s="567" t="s">
        <v>1044</v>
      </c>
      <c r="G268" s="585" t="s">
        <v>565</v>
      </c>
      <c r="H268" s="603" t="s">
        <v>1156</v>
      </c>
      <c r="I268" s="605">
        <v>9</v>
      </c>
      <c r="J268" s="556"/>
      <c r="K268" s="594"/>
      <c r="L268" s="306"/>
      <c r="M268" s="307"/>
      <c r="N268" s="307"/>
      <c r="O268" s="307"/>
      <c r="P268" s="307"/>
      <c r="Q268" s="79"/>
      <c r="R268" s="79"/>
      <c r="S268" s="585"/>
      <c r="T268" s="585"/>
      <c r="U268" s="585"/>
      <c r="V268" s="585"/>
      <c r="W268" s="585"/>
      <c r="X268" s="585"/>
      <c r="Y268" s="585"/>
      <c r="Z268" s="585"/>
      <c r="AA268" s="585"/>
      <c r="AB268" s="585"/>
      <c r="AC268" s="585"/>
      <c r="AD268" s="585"/>
      <c r="AE268" s="585"/>
      <c r="AF268" s="585"/>
      <c r="AG268" s="585"/>
      <c r="AH268" s="585"/>
      <c r="AI268" s="585"/>
      <c r="AJ268" s="79"/>
      <c r="AK268" s="79"/>
      <c r="AL268" s="585"/>
      <c r="AM268" s="585"/>
      <c r="AN268" s="585"/>
      <c r="AO268" s="585"/>
      <c r="AP268" s="585"/>
      <c r="AQ268" s="585"/>
      <c r="AR268" s="585"/>
      <c r="AS268" s="79"/>
      <c r="AT268" s="79"/>
      <c r="AU268" s="585"/>
      <c r="AV268" s="585"/>
      <c r="AW268" s="585"/>
      <c r="AX268" s="585"/>
      <c r="AY268" s="585"/>
      <c r="AZ268" s="585"/>
      <c r="BA268" s="585"/>
      <c r="BB268" s="585"/>
      <c r="BC268" s="585"/>
      <c r="BD268" s="585"/>
      <c r="BE268" s="79"/>
      <c r="BF268" s="79"/>
      <c r="BG268" s="585"/>
      <c r="BH268" s="585"/>
      <c r="BI268" s="585"/>
      <c r="BJ268" s="585"/>
      <c r="BK268" s="585"/>
      <c r="BL268" s="585"/>
      <c r="BM268" s="585"/>
      <c r="BN268" s="585"/>
      <c r="BO268" s="585"/>
      <c r="BP268" s="585"/>
      <c r="BQ268" s="79"/>
      <c r="BR268" s="79"/>
      <c r="BS268" s="585"/>
      <c r="BT268" s="79"/>
      <c r="BU268" s="79"/>
      <c r="BV268" s="585"/>
      <c r="BW268" s="585"/>
      <c r="BX268" s="585"/>
      <c r="BY268" s="585"/>
      <c r="BZ268" s="79"/>
      <c r="CA268" s="79"/>
      <c r="CB268" s="585"/>
      <c r="CC268" s="585"/>
      <c r="CD268" s="585"/>
      <c r="CE268" s="79"/>
      <c r="CF268" s="79"/>
      <c r="CG268" s="585"/>
      <c r="CH268" s="585" t="s">
        <v>40</v>
      </c>
      <c r="CI268" s="585" t="s">
        <v>40</v>
      </c>
      <c r="CJ268" s="201"/>
      <c r="CK268" s="202"/>
      <c r="CL268" s="202"/>
      <c r="CM268" s="202"/>
      <c r="CN268" s="202"/>
      <c r="CO268" s="202"/>
      <c r="CP268" s="202"/>
      <c r="CQ268" s="202"/>
      <c r="CR268" s="202"/>
      <c r="CS268" s="202"/>
      <c r="CT268" s="202"/>
      <c r="CU268" s="202"/>
      <c r="CV268" s="202"/>
      <c r="CW268" s="202"/>
      <c r="CX268" s="202"/>
      <c r="CY268" s="202"/>
      <c r="CZ268" s="202"/>
      <c r="DA268" s="202"/>
      <c r="DB268" s="202"/>
      <c r="DC268" s="202"/>
      <c r="DD268" s="202"/>
      <c r="DE268" s="202"/>
      <c r="DF268" s="202"/>
      <c r="DG268" s="202"/>
      <c r="DH268" s="202"/>
      <c r="DI268" s="202"/>
      <c r="DJ268" s="202"/>
      <c r="DK268" s="202"/>
      <c r="DL268" s="202"/>
      <c r="DM268" s="202"/>
      <c r="DN268" s="202"/>
      <c r="DO268" s="202"/>
      <c r="DP268" s="202"/>
      <c r="DQ268" s="202"/>
      <c r="DR268" s="202"/>
      <c r="DS268" s="202"/>
      <c r="DT268" s="202"/>
      <c r="DU268" s="202"/>
      <c r="DV268" s="202"/>
      <c r="DW268" s="202"/>
      <c r="DX268" s="202"/>
      <c r="DY268" s="202"/>
      <c r="DZ268" s="202"/>
      <c r="EA268" s="202"/>
      <c r="EB268" s="202"/>
      <c r="EC268" s="202"/>
      <c r="ED268" s="202"/>
      <c r="EE268" s="202"/>
      <c r="EF268" s="202"/>
      <c r="EG268" s="202"/>
      <c r="EH268" s="202"/>
      <c r="EI268" s="202"/>
      <c r="EJ268" s="202"/>
      <c r="EK268" s="202"/>
      <c r="EL268" s="202"/>
      <c r="EM268" s="202"/>
      <c r="EN268" s="202"/>
      <c r="EO268" s="202"/>
      <c r="EP268" s="202"/>
      <c r="EQ268" s="202"/>
      <c r="ER268" s="202"/>
      <c r="ES268" s="202"/>
      <c r="ET268" s="202"/>
      <c r="EU268" s="202"/>
      <c r="EV268" s="202"/>
      <c r="EW268" s="202"/>
      <c r="EX268" s="202"/>
      <c r="EY268" s="202"/>
      <c r="EZ268" s="202"/>
      <c r="FA268" s="202"/>
      <c r="FB268" s="202"/>
      <c r="FC268" s="202"/>
      <c r="FD268" s="202"/>
      <c r="FE268" s="202"/>
      <c r="FF268" s="202"/>
      <c r="FG268" s="202"/>
      <c r="FH268" s="202"/>
      <c r="FI268" s="202"/>
    </row>
    <row r="269" spans="1:165" s="228" customFormat="1" ht="18" customHeight="1" x14ac:dyDescent="0.25">
      <c r="A269" s="578">
        <f t="shared" si="6"/>
        <v>260</v>
      </c>
      <c r="B269" s="588">
        <v>0</v>
      </c>
      <c r="C269" s="591" t="s">
        <v>135</v>
      </c>
      <c r="D269" s="585" t="s">
        <v>1032</v>
      </c>
      <c r="E269" s="589" t="s">
        <v>1033</v>
      </c>
      <c r="F269" s="567" t="s">
        <v>1044</v>
      </c>
      <c r="G269" s="585" t="s">
        <v>1034</v>
      </c>
      <c r="H269" s="603" t="s">
        <v>1034</v>
      </c>
      <c r="I269" s="593"/>
      <c r="J269" s="556"/>
      <c r="K269" s="594"/>
      <c r="L269" s="306"/>
      <c r="M269" s="307"/>
      <c r="N269" s="307"/>
      <c r="O269" s="307"/>
      <c r="P269" s="307"/>
      <c r="Q269" s="79"/>
      <c r="R269" s="79"/>
      <c r="S269" s="585"/>
      <c r="T269" s="585"/>
      <c r="U269" s="585"/>
      <c r="V269" s="585"/>
      <c r="W269" s="585"/>
      <c r="X269" s="585"/>
      <c r="Y269" s="585"/>
      <c r="Z269" s="585"/>
      <c r="AA269" s="585"/>
      <c r="AB269" s="585"/>
      <c r="AC269" s="585"/>
      <c r="AD269" s="585"/>
      <c r="AE269" s="585"/>
      <c r="AF269" s="585"/>
      <c r="AG269" s="585"/>
      <c r="AH269" s="585"/>
      <c r="AI269" s="585"/>
      <c r="AJ269" s="79"/>
      <c r="AK269" s="79"/>
      <c r="AL269" s="585"/>
      <c r="AM269" s="585"/>
      <c r="AN269" s="585"/>
      <c r="AO269" s="585"/>
      <c r="AP269" s="585"/>
      <c r="AQ269" s="585"/>
      <c r="AR269" s="585"/>
      <c r="AS269" s="79"/>
      <c r="AT269" s="79"/>
      <c r="AU269" s="585"/>
      <c r="AV269" s="585"/>
      <c r="AW269" s="585"/>
      <c r="AX269" s="585"/>
      <c r="AY269" s="585"/>
      <c r="AZ269" s="585"/>
      <c r="BA269" s="585"/>
      <c r="BB269" s="585"/>
      <c r="BC269" s="585"/>
      <c r="BD269" s="585"/>
      <c r="BE269" s="79"/>
      <c r="BF269" s="79"/>
      <c r="BG269" s="585"/>
      <c r="BH269" s="585"/>
      <c r="BI269" s="585"/>
      <c r="BJ269" s="585"/>
      <c r="BK269" s="585"/>
      <c r="BL269" s="585"/>
      <c r="BM269" s="585"/>
      <c r="BN269" s="585"/>
      <c r="BO269" s="585"/>
      <c r="BP269" s="585"/>
      <c r="BQ269" s="79"/>
      <c r="BR269" s="79"/>
      <c r="BS269" s="585"/>
      <c r="BT269" s="79"/>
      <c r="BU269" s="79"/>
      <c r="BV269" s="585"/>
      <c r="BW269" s="585"/>
      <c r="BX269" s="585"/>
      <c r="BY269" s="585"/>
      <c r="BZ269" s="79"/>
      <c r="CA269" s="79"/>
      <c r="CB269" s="585"/>
      <c r="CC269" s="585"/>
      <c r="CD269" s="585"/>
      <c r="CE269" s="79"/>
      <c r="CF269" s="79"/>
      <c r="CG269" s="585"/>
      <c r="CH269" s="585"/>
      <c r="CI269" s="585"/>
      <c r="CJ269" s="201"/>
      <c r="CK269" s="202"/>
      <c r="CL269" s="202"/>
      <c r="CM269" s="202"/>
      <c r="CN269" s="202"/>
      <c r="CO269" s="202"/>
      <c r="CP269" s="202"/>
      <c r="CQ269" s="202"/>
      <c r="CR269" s="202"/>
      <c r="CS269" s="202"/>
      <c r="CT269" s="202"/>
      <c r="CU269" s="202"/>
      <c r="CV269" s="202"/>
      <c r="CW269" s="202"/>
      <c r="CX269" s="202"/>
      <c r="CY269" s="202"/>
      <c r="CZ269" s="202"/>
      <c r="DA269" s="202"/>
      <c r="DB269" s="202"/>
      <c r="DC269" s="202"/>
      <c r="DD269" s="202"/>
      <c r="DE269" s="202"/>
      <c r="DF269" s="202"/>
      <c r="DG269" s="202"/>
      <c r="DH269" s="202"/>
      <c r="DI269" s="202"/>
      <c r="DJ269" s="202"/>
      <c r="DK269" s="202"/>
      <c r="DL269" s="202"/>
      <c r="DM269" s="202"/>
      <c r="DN269" s="202"/>
      <c r="DO269" s="202"/>
      <c r="DP269" s="202"/>
      <c r="DQ269" s="202"/>
      <c r="DR269" s="202"/>
      <c r="DS269" s="202"/>
      <c r="DT269" s="202"/>
      <c r="DU269" s="202"/>
      <c r="DV269" s="202"/>
      <c r="DW269" s="202"/>
      <c r="DX269" s="202"/>
      <c r="DY269" s="202"/>
      <c r="DZ269" s="202"/>
      <c r="EA269" s="202"/>
      <c r="EB269" s="202"/>
      <c r="EC269" s="202"/>
      <c r="ED269" s="202"/>
      <c r="EE269" s="202"/>
      <c r="EF269" s="202"/>
      <c r="EG269" s="202"/>
      <c r="EH269" s="202"/>
      <c r="EI269" s="202"/>
      <c r="EJ269" s="202"/>
      <c r="EK269" s="202"/>
      <c r="EL269" s="202"/>
      <c r="EM269" s="202"/>
      <c r="EN269" s="202"/>
      <c r="EO269" s="202"/>
      <c r="EP269" s="202"/>
      <c r="EQ269" s="202"/>
      <c r="ER269" s="202"/>
      <c r="ES269" s="202"/>
      <c r="ET269" s="202"/>
      <c r="EU269" s="202"/>
      <c r="EV269" s="202"/>
      <c r="EW269" s="202"/>
      <c r="EX269" s="202"/>
      <c r="EY269" s="202"/>
      <c r="EZ269" s="202"/>
      <c r="FA269" s="202"/>
      <c r="FB269" s="202"/>
      <c r="FC269" s="202"/>
      <c r="FD269" s="202"/>
      <c r="FE269" s="202"/>
      <c r="FF269" s="202"/>
      <c r="FG269" s="202"/>
      <c r="FH269" s="202"/>
      <c r="FI269" s="202"/>
    </row>
    <row r="270" spans="1:165" s="228" customFormat="1" ht="18" customHeight="1" x14ac:dyDescent="0.25">
      <c r="A270" s="578">
        <f t="shared" si="6"/>
        <v>261</v>
      </c>
      <c r="B270" s="588">
        <v>0</v>
      </c>
      <c r="C270" s="591" t="s">
        <v>135</v>
      </c>
      <c r="D270" s="585" t="s">
        <v>333</v>
      </c>
      <c r="E270" s="589" t="s">
        <v>566</v>
      </c>
      <c r="F270" s="567" t="s">
        <v>1044</v>
      </c>
      <c r="G270" s="585" t="s">
        <v>783</v>
      </c>
      <c r="H270" s="603" t="s">
        <v>567</v>
      </c>
      <c r="I270" s="593"/>
      <c r="J270" s="556"/>
      <c r="K270" s="594"/>
      <c r="L270" s="306"/>
      <c r="M270" s="307"/>
      <c r="N270" s="307"/>
      <c r="O270" s="307"/>
      <c r="P270" s="307"/>
      <c r="Q270" s="79"/>
      <c r="R270" s="79"/>
      <c r="S270" s="585"/>
      <c r="T270" s="585"/>
      <c r="U270" s="585"/>
      <c r="V270" s="585"/>
      <c r="W270" s="585"/>
      <c r="X270" s="585"/>
      <c r="Y270" s="585"/>
      <c r="Z270" s="585"/>
      <c r="AA270" s="585"/>
      <c r="AB270" s="585"/>
      <c r="AC270" s="585"/>
      <c r="AD270" s="585"/>
      <c r="AE270" s="585"/>
      <c r="AF270" s="585" t="s">
        <v>120</v>
      </c>
      <c r="AG270" s="585"/>
      <c r="AH270" s="585"/>
      <c r="AI270" s="585"/>
      <c r="AJ270" s="79"/>
      <c r="AK270" s="79"/>
      <c r="AL270" s="585"/>
      <c r="AM270" s="585"/>
      <c r="AN270" s="585"/>
      <c r="AO270" s="585"/>
      <c r="AP270" s="585"/>
      <c r="AQ270" s="585"/>
      <c r="AR270" s="585"/>
      <c r="AS270" s="79"/>
      <c r="AT270" s="79"/>
      <c r="AU270" s="585"/>
      <c r="AV270" s="585"/>
      <c r="AW270" s="585"/>
      <c r="AX270" s="585"/>
      <c r="AY270" s="585"/>
      <c r="AZ270" s="585"/>
      <c r="BA270" s="585"/>
      <c r="BB270" s="585"/>
      <c r="BC270" s="585"/>
      <c r="BD270" s="585"/>
      <c r="BE270" s="79"/>
      <c r="BF270" s="79"/>
      <c r="BG270" s="585"/>
      <c r="BH270" s="585"/>
      <c r="BI270" s="585"/>
      <c r="BJ270" s="585"/>
      <c r="BK270" s="585"/>
      <c r="BL270" s="585"/>
      <c r="BM270" s="585"/>
      <c r="BN270" s="585"/>
      <c r="BO270" s="585"/>
      <c r="BP270" s="585"/>
      <c r="BQ270" s="79"/>
      <c r="BR270" s="79"/>
      <c r="BS270" s="585"/>
      <c r="BT270" s="79"/>
      <c r="BU270" s="79"/>
      <c r="BV270" s="585"/>
      <c r="BW270" s="585"/>
      <c r="BX270" s="585"/>
      <c r="BY270" s="585"/>
      <c r="BZ270" s="79"/>
      <c r="CA270" s="79"/>
      <c r="CB270" s="585"/>
      <c r="CC270" s="585"/>
      <c r="CD270" s="585"/>
      <c r="CE270" s="79"/>
      <c r="CF270" s="79"/>
      <c r="CG270" s="585"/>
      <c r="CH270" s="585"/>
      <c r="CI270" s="585"/>
      <c r="CJ270" s="201"/>
      <c r="CK270" s="202"/>
      <c r="CL270" s="202"/>
      <c r="CM270" s="202"/>
      <c r="CN270" s="202"/>
      <c r="CO270" s="202"/>
      <c r="CP270" s="202"/>
      <c r="CQ270" s="202"/>
      <c r="CR270" s="202"/>
      <c r="CS270" s="202"/>
      <c r="CT270" s="202"/>
      <c r="CU270" s="202"/>
      <c r="CV270" s="202"/>
      <c r="CW270" s="202"/>
      <c r="CX270" s="202"/>
      <c r="CY270" s="202"/>
      <c r="CZ270" s="202"/>
      <c r="DA270" s="202"/>
      <c r="DB270" s="202"/>
      <c r="DC270" s="202"/>
      <c r="DD270" s="202"/>
      <c r="DE270" s="202"/>
      <c r="DF270" s="202"/>
      <c r="DG270" s="202"/>
      <c r="DH270" s="202"/>
      <c r="DI270" s="202"/>
      <c r="DJ270" s="202"/>
      <c r="DK270" s="202"/>
      <c r="DL270" s="202"/>
      <c r="DM270" s="202"/>
      <c r="DN270" s="202"/>
      <c r="DO270" s="202"/>
      <c r="DP270" s="202"/>
      <c r="DQ270" s="202"/>
      <c r="DR270" s="202"/>
      <c r="DS270" s="202"/>
      <c r="DT270" s="202"/>
      <c r="DU270" s="202"/>
      <c r="DV270" s="202"/>
      <c r="DW270" s="202"/>
      <c r="DX270" s="202"/>
      <c r="DY270" s="202"/>
      <c r="DZ270" s="202"/>
      <c r="EA270" s="202"/>
      <c r="EB270" s="202"/>
      <c r="EC270" s="202"/>
      <c r="ED270" s="202"/>
      <c r="EE270" s="202"/>
      <c r="EF270" s="202"/>
      <c r="EG270" s="202"/>
      <c r="EH270" s="202"/>
      <c r="EI270" s="202"/>
      <c r="EJ270" s="202"/>
      <c r="EK270" s="202"/>
      <c r="EL270" s="202"/>
      <c r="EM270" s="202"/>
      <c r="EN270" s="202"/>
      <c r="EO270" s="202"/>
      <c r="EP270" s="202"/>
      <c r="EQ270" s="202"/>
      <c r="ER270" s="202"/>
      <c r="ES270" s="202"/>
      <c r="ET270" s="202"/>
      <c r="EU270" s="202"/>
      <c r="EV270" s="202"/>
      <c r="EW270" s="202"/>
      <c r="EX270" s="202"/>
      <c r="EY270" s="202"/>
      <c r="EZ270" s="202"/>
      <c r="FA270" s="202"/>
      <c r="FB270" s="202"/>
      <c r="FC270" s="202"/>
      <c r="FD270" s="202"/>
      <c r="FE270" s="202"/>
      <c r="FF270" s="202"/>
      <c r="FG270" s="202"/>
      <c r="FH270" s="202"/>
      <c r="FI270" s="202"/>
    </row>
    <row r="271" spans="1:165" s="228" customFormat="1" ht="18" customHeight="1" x14ac:dyDescent="0.25">
      <c r="A271" s="578">
        <f t="shared" si="6"/>
        <v>262</v>
      </c>
      <c r="B271" s="588">
        <v>0</v>
      </c>
      <c r="C271" s="591" t="s">
        <v>135</v>
      </c>
      <c r="D271" s="585" t="s">
        <v>568</v>
      </c>
      <c r="E271" s="589" t="s">
        <v>569</v>
      </c>
      <c r="F271" s="567" t="s">
        <v>1044</v>
      </c>
      <c r="G271" s="585" t="s">
        <v>611</v>
      </c>
      <c r="H271" s="603" t="s">
        <v>1155</v>
      </c>
      <c r="I271" s="605">
        <v>9</v>
      </c>
      <c r="J271" s="556"/>
      <c r="K271" s="594"/>
      <c r="L271" s="306"/>
      <c r="M271" s="307"/>
      <c r="N271" s="307"/>
      <c r="O271" s="307"/>
      <c r="P271" s="307"/>
      <c r="Q271" s="79"/>
      <c r="R271" s="79"/>
      <c r="S271" s="585"/>
      <c r="T271" s="585"/>
      <c r="U271" s="585"/>
      <c r="V271" s="585"/>
      <c r="W271" s="585"/>
      <c r="X271" s="585"/>
      <c r="Y271" s="585"/>
      <c r="Z271" s="585"/>
      <c r="AA271" s="585"/>
      <c r="AB271" s="585"/>
      <c r="AC271" s="585"/>
      <c r="AD271" s="585"/>
      <c r="AE271" s="585"/>
      <c r="AF271" s="585"/>
      <c r="AG271" s="585"/>
      <c r="AH271" s="585"/>
      <c r="AI271" s="585"/>
      <c r="AJ271" s="79"/>
      <c r="AK271" s="79"/>
      <c r="AL271" s="585"/>
      <c r="AM271" s="585"/>
      <c r="AN271" s="585"/>
      <c r="AO271" s="585"/>
      <c r="AP271" s="585"/>
      <c r="AQ271" s="585"/>
      <c r="AR271" s="585"/>
      <c r="AS271" s="79"/>
      <c r="AT271" s="79"/>
      <c r="AU271" s="585"/>
      <c r="AV271" s="585"/>
      <c r="AW271" s="585"/>
      <c r="AX271" s="585"/>
      <c r="AY271" s="585"/>
      <c r="AZ271" s="585"/>
      <c r="BA271" s="585"/>
      <c r="BB271" s="585"/>
      <c r="BC271" s="585"/>
      <c r="BD271" s="585"/>
      <c r="BE271" s="79"/>
      <c r="BF271" s="79"/>
      <c r="BG271" s="585"/>
      <c r="BH271" s="585"/>
      <c r="BI271" s="585"/>
      <c r="BJ271" s="585"/>
      <c r="BK271" s="585"/>
      <c r="BL271" s="585"/>
      <c r="BM271" s="585"/>
      <c r="BN271" s="585"/>
      <c r="BO271" s="585"/>
      <c r="BP271" s="585"/>
      <c r="BQ271" s="79"/>
      <c r="BR271" s="79"/>
      <c r="BS271" s="585"/>
      <c r="BT271" s="79"/>
      <c r="BU271" s="79"/>
      <c r="BV271" s="585"/>
      <c r="BW271" s="585"/>
      <c r="BX271" s="585"/>
      <c r="BY271" s="585"/>
      <c r="BZ271" s="79"/>
      <c r="CA271" s="79"/>
      <c r="CB271" s="585"/>
      <c r="CC271" s="585"/>
      <c r="CD271" s="585"/>
      <c r="CE271" s="79"/>
      <c r="CF271" s="79"/>
      <c r="CG271" s="585"/>
      <c r="CH271" s="585" t="s">
        <v>40</v>
      </c>
      <c r="CI271" s="585" t="s">
        <v>40</v>
      </c>
      <c r="CJ271" s="201"/>
      <c r="CK271" s="202"/>
      <c r="CL271" s="202"/>
      <c r="CM271" s="202"/>
      <c r="CN271" s="202"/>
      <c r="CO271" s="202"/>
      <c r="CP271" s="202"/>
      <c r="CQ271" s="202"/>
      <c r="CR271" s="202"/>
      <c r="CS271" s="202"/>
      <c r="CT271" s="202"/>
      <c r="CU271" s="202"/>
      <c r="CV271" s="202"/>
      <c r="CW271" s="202"/>
      <c r="CX271" s="202"/>
      <c r="CY271" s="202"/>
      <c r="CZ271" s="202"/>
      <c r="DA271" s="202"/>
      <c r="DB271" s="202"/>
      <c r="DC271" s="202"/>
      <c r="DD271" s="202"/>
      <c r="DE271" s="202"/>
      <c r="DF271" s="202"/>
      <c r="DG271" s="202"/>
      <c r="DH271" s="202"/>
      <c r="DI271" s="202"/>
      <c r="DJ271" s="202"/>
      <c r="DK271" s="202"/>
      <c r="DL271" s="202"/>
      <c r="DM271" s="202"/>
      <c r="DN271" s="202"/>
      <c r="DO271" s="202"/>
      <c r="DP271" s="202"/>
      <c r="DQ271" s="202"/>
      <c r="DR271" s="202"/>
      <c r="DS271" s="202"/>
      <c r="DT271" s="202"/>
      <c r="DU271" s="202"/>
      <c r="DV271" s="202"/>
      <c r="DW271" s="202"/>
      <c r="DX271" s="202"/>
      <c r="DY271" s="202"/>
      <c r="DZ271" s="202"/>
      <c r="EA271" s="202"/>
      <c r="EB271" s="202"/>
      <c r="EC271" s="202"/>
      <c r="ED271" s="202"/>
      <c r="EE271" s="202"/>
      <c r="EF271" s="202"/>
      <c r="EG271" s="202"/>
      <c r="EH271" s="202"/>
      <c r="EI271" s="202"/>
      <c r="EJ271" s="202"/>
      <c r="EK271" s="202"/>
      <c r="EL271" s="202"/>
      <c r="EM271" s="202"/>
      <c r="EN271" s="202"/>
      <c r="EO271" s="202"/>
      <c r="EP271" s="202"/>
      <c r="EQ271" s="202"/>
      <c r="ER271" s="202"/>
      <c r="ES271" s="202"/>
      <c r="ET271" s="202"/>
      <c r="EU271" s="202"/>
      <c r="EV271" s="202"/>
      <c r="EW271" s="202"/>
      <c r="EX271" s="202"/>
      <c r="EY271" s="202"/>
      <c r="EZ271" s="202"/>
      <c r="FA271" s="202"/>
      <c r="FB271" s="202"/>
      <c r="FC271" s="202"/>
      <c r="FD271" s="202"/>
      <c r="FE271" s="202"/>
      <c r="FF271" s="202"/>
      <c r="FG271" s="202"/>
      <c r="FH271" s="202"/>
      <c r="FI271" s="202"/>
    </row>
    <row r="272" spans="1:165" s="228" customFormat="1" ht="18" customHeight="1" x14ac:dyDescent="0.25">
      <c r="A272" s="578">
        <f t="shared" si="6"/>
        <v>263</v>
      </c>
      <c r="B272" s="588">
        <v>0</v>
      </c>
      <c r="C272" s="591" t="s">
        <v>135</v>
      </c>
      <c r="D272" s="585" t="s">
        <v>334</v>
      </c>
      <c r="E272" s="589" t="s">
        <v>570</v>
      </c>
      <c r="F272" s="567" t="s">
        <v>1044</v>
      </c>
      <c r="G272" s="585" t="s">
        <v>335</v>
      </c>
      <c r="H272" s="603" t="s">
        <v>884</v>
      </c>
      <c r="I272" s="593">
        <v>5</v>
      </c>
      <c r="J272" s="556"/>
      <c r="K272" s="594"/>
      <c r="L272" s="306"/>
      <c r="M272" s="307"/>
      <c r="N272" s="307"/>
      <c r="O272" s="307"/>
      <c r="P272" s="307" t="s">
        <v>122</v>
      </c>
      <c r="Q272" s="79"/>
      <c r="R272" s="79"/>
      <c r="S272" s="585"/>
      <c r="T272" s="585"/>
      <c r="U272" s="585"/>
      <c r="V272" s="585"/>
      <c r="W272" s="585"/>
      <c r="X272" s="585"/>
      <c r="Y272" s="585"/>
      <c r="Z272" s="585"/>
      <c r="AA272" s="585"/>
      <c r="AB272" s="585"/>
      <c r="AC272" s="585"/>
      <c r="AD272" s="585"/>
      <c r="AE272" s="585"/>
      <c r="AF272" s="585"/>
      <c r="AG272" s="585"/>
      <c r="AH272" s="585"/>
      <c r="AI272" s="585"/>
      <c r="AJ272" s="79"/>
      <c r="AK272" s="79"/>
      <c r="AL272" s="585"/>
      <c r="AM272" s="585"/>
      <c r="AN272" s="585"/>
      <c r="AO272" s="585"/>
      <c r="AP272" s="585"/>
      <c r="AQ272" s="585"/>
      <c r="AR272" s="585"/>
      <c r="AS272" s="79"/>
      <c r="AT272" s="79"/>
      <c r="AU272" s="585"/>
      <c r="AV272" s="585"/>
      <c r="AW272" s="585"/>
      <c r="AX272" s="585"/>
      <c r="AY272" s="585"/>
      <c r="AZ272" s="585"/>
      <c r="BA272" s="585"/>
      <c r="BB272" s="585"/>
      <c r="BC272" s="585"/>
      <c r="BD272" s="585"/>
      <c r="BE272" s="79"/>
      <c r="BF272" s="79"/>
      <c r="BG272" s="585"/>
      <c r="BH272" s="585"/>
      <c r="BI272" s="585"/>
      <c r="BJ272" s="585" t="s">
        <v>120</v>
      </c>
      <c r="BK272" s="585"/>
      <c r="BL272" s="585"/>
      <c r="BM272" s="585"/>
      <c r="BN272" s="585"/>
      <c r="BO272" s="585"/>
      <c r="BP272" s="585" t="s">
        <v>121</v>
      </c>
      <c r="BQ272" s="79"/>
      <c r="BR272" s="79"/>
      <c r="BS272" s="585"/>
      <c r="BT272" s="79"/>
      <c r="BU272" s="79"/>
      <c r="BV272" s="585"/>
      <c r="BW272" s="585"/>
      <c r="BX272" s="585"/>
      <c r="BY272" s="585"/>
      <c r="BZ272" s="79"/>
      <c r="CA272" s="79"/>
      <c r="CB272" s="585"/>
      <c r="CC272" s="585"/>
      <c r="CD272" s="585"/>
      <c r="CE272" s="79"/>
      <c r="CF272" s="79"/>
      <c r="CG272" s="585"/>
      <c r="CH272" s="585" t="s">
        <v>40</v>
      </c>
      <c r="CI272" s="585" t="s">
        <v>40</v>
      </c>
      <c r="CJ272" s="201"/>
      <c r="CK272" s="202"/>
      <c r="CL272" s="202"/>
      <c r="CM272" s="202"/>
      <c r="CN272" s="202"/>
      <c r="CO272" s="202"/>
      <c r="CP272" s="202"/>
      <c r="CQ272" s="202"/>
      <c r="CR272" s="202"/>
      <c r="CS272" s="202"/>
      <c r="CT272" s="202"/>
      <c r="CU272" s="202"/>
      <c r="CV272" s="202"/>
      <c r="CW272" s="202"/>
      <c r="CX272" s="202"/>
      <c r="CY272" s="202"/>
      <c r="CZ272" s="202"/>
      <c r="DA272" s="202"/>
      <c r="DB272" s="202"/>
      <c r="DC272" s="202"/>
      <c r="DD272" s="202"/>
      <c r="DE272" s="202"/>
      <c r="DF272" s="202"/>
      <c r="DG272" s="202"/>
      <c r="DH272" s="202"/>
      <c r="DI272" s="202"/>
      <c r="DJ272" s="202"/>
      <c r="DK272" s="202"/>
      <c r="DL272" s="202"/>
      <c r="DM272" s="202"/>
      <c r="DN272" s="202"/>
      <c r="DO272" s="202"/>
      <c r="DP272" s="202"/>
      <c r="DQ272" s="202"/>
      <c r="DR272" s="202"/>
      <c r="DS272" s="202"/>
      <c r="DT272" s="202"/>
      <c r="DU272" s="202"/>
      <c r="DV272" s="202"/>
      <c r="DW272" s="202"/>
      <c r="DX272" s="202"/>
      <c r="DY272" s="202"/>
      <c r="DZ272" s="202"/>
      <c r="EA272" s="202"/>
      <c r="EB272" s="202"/>
      <c r="EC272" s="202"/>
      <c r="ED272" s="202"/>
      <c r="EE272" s="202"/>
      <c r="EF272" s="202"/>
      <c r="EG272" s="202"/>
      <c r="EH272" s="202"/>
      <c r="EI272" s="202"/>
      <c r="EJ272" s="202"/>
      <c r="EK272" s="202"/>
      <c r="EL272" s="202"/>
      <c r="EM272" s="202"/>
      <c r="EN272" s="202"/>
      <c r="EO272" s="202"/>
      <c r="EP272" s="202"/>
      <c r="EQ272" s="202"/>
      <c r="ER272" s="202"/>
      <c r="ES272" s="202"/>
      <c r="ET272" s="202"/>
      <c r="EU272" s="202"/>
      <c r="EV272" s="202"/>
      <c r="EW272" s="202"/>
      <c r="EX272" s="202"/>
      <c r="EY272" s="202"/>
      <c r="EZ272" s="202"/>
      <c r="FA272" s="202"/>
      <c r="FB272" s="202"/>
      <c r="FC272" s="202"/>
      <c r="FD272" s="202"/>
      <c r="FE272" s="202"/>
      <c r="FF272" s="202"/>
      <c r="FG272" s="202"/>
      <c r="FH272" s="202"/>
      <c r="FI272" s="202"/>
    </row>
    <row r="273" spans="1:165" s="228" customFormat="1" ht="18" customHeight="1" x14ac:dyDescent="0.25">
      <c r="A273" s="578">
        <f t="shared" si="6"/>
        <v>264</v>
      </c>
      <c r="B273" s="588">
        <v>0</v>
      </c>
      <c r="C273" s="591" t="s">
        <v>135</v>
      </c>
      <c r="D273" s="585" t="s">
        <v>571</v>
      </c>
      <c r="E273" s="589" t="s">
        <v>572</v>
      </c>
      <c r="F273" s="567" t="s">
        <v>1044</v>
      </c>
      <c r="G273" s="585" t="s">
        <v>573</v>
      </c>
      <c r="H273" s="603" t="s">
        <v>885</v>
      </c>
      <c r="I273" s="593">
        <v>5</v>
      </c>
      <c r="J273" s="556"/>
      <c r="K273" s="594"/>
      <c r="L273" s="306"/>
      <c r="M273" s="307"/>
      <c r="N273" s="307"/>
      <c r="O273" s="307"/>
      <c r="P273" s="307" t="s">
        <v>122</v>
      </c>
      <c r="Q273" s="79"/>
      <c r="R273" s="79"/>
      <c r="S273" s="585"/>
      <c r="T273" s="585"/>
      <c r="U273" s="585"/>
      <c r="V273" s="585"/>
      <c r="W273" s="585"/>
      <c r="X273" s="585"/>
      <c r="Y273" s="585"/>
      <c r="Z273" s="585"/>
      <c r="AA273" s="585"/>
      <c r="AB273" s="585"/>
      <c r="AC273" s="585"/>
      <c r="AD273" s="585"/>
      <c r="AE273" s="585"/>
      <c r="AF273" s="585"/>
      <c r="AG273" s="585"/>
      <c r="AH273" s="585"/>
      <c r="AI273" s="585"/>
      <c r="AJ273" s="79"/>
      <c r="AK273" s="79"/>
      <c r="AL273" s="585"/>
      <c r="AM273" s="585"/>
      <c r="AN273" s="585"/>
      <c r="AO273" s="585"/>
      <c r="AP273" s="585"/>
      <c r="AQ273" s="585"/>
      <c r="AR273" s="585"/>
      <c r="AS273" s="79"/>
      <c r="AT273" s="79"/>
      <c r="AU273" s="585"/>
      <c r="AV273" s="585"/>
      <c r="AW273" s="585"/>
      <c r="AX273" s="585"/>
      <c r="AY273" s="585"/>
      <c r="AZ273" s="585"/>
      <c r="BA273" s="585"/>
      <c r="BB273" s="585"/>
      <c r="BC273" s="585"/>
      <c r="BD273" s="585"/>
      <c r="BE273" s="79"/>
      <c r="BF273" s="79"/>
      <c r="BG273" s="585"/>
      <c r="BH273" s="585"/>
      <c r="BI273" s="585"/>
      <c r="BJ273" s="585" t="s">
        <v>120</v>
      </c>
      <c r="BK273" s="585"/>
      <c r="BL273" s="585"/>
      <c r="BM273" s="585"/>
      <c r="BN273" s="585"/>
      <c r="BO273" s="585"/>
      <c r="BP273" s="585" t="s">
        <v>121</v>
      </c>
      <c r="BQ273" s="79"/>
      <c r="BR273" s="79"/>
      <c r="BS273" s="585"/>
      <c r="BT273" s="79"/>
      <c r="BU273" s="79"/>
      <c r="BV273" s="585"/>
      <c r="BW273" s="585"/>
      <c r="BX273" s="585"/>
      <c r="BY273" s="585"/>
      <c r="BZ273" s="79"/>
      <c r="CA273" s="79"/>
      <c r="CB273" s="585"/>
      <c r="CC273" s="585"/>
      <c r="CD273" s="585"/>
      <c r="CE273" s="79"/>
      <c r="CF273" s="79"/>
      <c r="CG273" s="585"/>
      <c r="CH273" s="585" t="s">
        <v>40</v>
      </c>
      <c r="CI273" s="585" t="s">
        <v>40</v>
      </c>
      <c r="CJ273" s="201"/>
      <c r="CK273" s="202"/>
      <c r="CL273" s="202"/>
      <c r="CM273" s="202"/>
      <c r="CN273" s="202"/>
      <c r="CO273" s="202"/>
      <c r="CP273" s="202"/>
      <c r="CQ273" s="202"/>
      <c r="CR273" s="202"/>
      <c r="CS273" s="202"/>
      <c r="CT273" s="202"/>
      <c r="CU273" s="202"/>
      <c r="CV273" s="202"/>
      <c r="CW273" s="202"/>
      <c r="CX273" s="202"/>
      <c r="CY273" s="202"/>
      <c r="CZ273" s="202"/>
      <c r="DA273" s="202"/>
      <c r="DB273" s="202"/>
      <c r="DC273" s="202"/>
      <c r="DD273" s="202"/>
      <c r="DE273" s="202"/>
      <c r="DF273" s="202"/>
      <c r="DG273" s="202"/>
      <c r="DH273" s="202"/>
      <c r="DI273" s="202"/>
      <c r="DJ273" s="202"/>
      <c r="DK273" s="202"/>
      <c r="DL273" s="202"/>
      <c r="DM273" s="202"/>
      <c r="DN273" s="202"/>
      <c r="DO273" s="202"/>
      <c r="DP273" s="202"/>
      <c r="DQ273" s="202"/>
      <c r="DR273" s="202"/>
      <c r="DS273" s="202"/>
      <c r="DT273" s="202"/>
      <c r="DU273" s="202"/>
      <c r="DV273" s="202"/>
      <c r="DW273" s="202"/>
      <c r="DX273" s="202"/>
      <c r="DY273" s="202"/>
      <c r="DZ273" s="202"/>
      <c r="EA273" s="202"/>
      <c r="EB273" s="202"/>
      <c r="EC273" s="202"/>
      <c r="ED273" s="202"/>
      <c r="EE273" s="202"/>
      <c r="EF273" s="202"/>
      <c r="EG273" s="202"/>
      <c r="EH273" s="202"/>
      <c r="EI273" s="202"/>
      <c r="EJ273" s="202"/>
      <c r="EK273" s="202"/>
      <c r="EL273" s="202"/>
      <c r="EM273" s="202"/>
      <c r="EN273" s="202"/>
      <c r="EO273" s="202"/>
      <c r="EP273" s="202"/>
      <c r="EQ273" s="202"/>
      <c r="ER273" s="202"/>
      <c r="ES273" s="202"/>
      <c r="ET273" s="202"/>
      <c r="EU273" s="202"/>
      <c r="EV273" s="202"/>
      <c r="EW273" s="202"/>
      <c r="EX273" s="202"/>
      <c r="EY273" s="202"/>
      <c r="EZ273" s="202"/>
      <c r="FA273" s="202"/>
      <c r="FB273" s="202"/>
      <c r="FC273" s="202"/>
      <c r="FD273" s="202"/>
      <c r="FE273" s="202"/>
      <c r="FF273" s="202"/>
      <c r="FG273" s="202"/>
      <c r="FH273" s="202"/>
      <c r="FI273" s="202"/>
    </row>
    <row r="274" spans="1:165" s="228" customFormat="1" ht="18" customHeight="1" x14ac:dyDescent="0.25">
      <c r="A274" s="578">
        <f t="shared" si="6"/>
        <v>265</v>
      </c>
      <c r="B274" s="588">
        <v>0</v>
      </c>
      <c r="C274" s="591" t="s">
        <v>135</v>
      </c>
      <c r="D274" s="585" t="s">
        <v>574</v>
      </c>
      <c r="E274" s="589" t="s">
        <v>575</v>
      </c>
      <c r="F274" s="567" t="s">
        <v>1044</v>
      </c>
      <c r="G274" s="585" t="s">
        <v>576</v>
      </c>
      <c r="H274" s="603" t="s">
        <v>1154</v>
      </c>
      <c r="I274" s="605">
        <v>9</v>
      </c>
      <c r="J274" s="556"/>
      <c r="K274" s="594"/>
      <c r="L274" s="306"/>
      <c r="M274" s="307"/>
      <c r="N274" s="307"/>
      <c r="O274" s="307"/>
      <c r="P274" s="307"/>
      <c r="Q274" s="79"/>
      <c r="R274" s="79"/>
      <c r="S274" s="585"/>
      <c r="T274" s="585"/>
      <c r="U274" s="585"/>
      <c r="V274" s="585"/>
      <c r="W274" s="585"/>
      <c r="X274" s="585"/>
      <c r="Y274" s="585"/>
      <c r="Z274" s="585"/>
      <c r="AA274" s="585"/>
      <c r="AB274" s="585"/>
      <c r="AC274" s="585"/>
      <c r="AD274" s="585"/>
      <c r="AE274" s="585"/>
      <c r="AF274" s="585"/>
      <c r="AG274" s="585"/>
      <c r="AH274" s="585"/>
      <c r="AI274" s="585"/>
      <c r="AJ274" s="79"/>
      <c r="AK274" s="79"/>
      <c r="AL274" s="585"/>
      <c r="AM274" s="585"/>
      <c r="AN274" s="585"/>
      <c r="AO274" s="585"/>
      <c r="AP274" s="585"/>
      <c r="AQ274" s="585"/>
      <c r="AR274" s="585"/>
      <c r="AS274" s="79"/>
      <c r="AT274" s="79"/>
      <c r="AU274" s="585"/>
      <c r="AV274" s="585"/>
      <c r="AW274" s="585"/>
      <c r="AX274" s="585"/>
      <c r="AY274" s="585"/>
      <c r="AZ274" s="585"/>
      <c r="BA274" s="585"/>
      <c r="BB274" s="585"/>
      <c r="BC274" s="585"/>
      <c r="BD274" s="585"/>
      <c r="BE274" s="79"/>
      <c r="BF274" s="79"/>
      <c r="BG274" s="585"/>
      <c r="BH274" s="585"/>
      <c r="BI274" s="585"/>
      <c r="BJ274" s="585"/>
      <c r="BK274" s="585"/>
      <c r="BL274" s="585"/>
      <c r="BM274" s="585"/>
      <c r="BN274" s="585"/>
      <c r="BO274" s="585"/>
      <c r="BP274" s="585"/>
      <c r="BQ274" s="79"/>
      <c r="BR274" s="79"/>
      <c r="BS274" s="585"/>
      <c r="BT274" s="79"/>
      <c r="BU274" s="79"/>
      <c r="BV274" s="585"/>
      <c r="BW274" s="585"/>
      <c r="BX274" s="585"/>
      <c r="BY274" s="585"/>
      <c r="BZ274" s="79"/>
      <c r="CA274" s="79"/>
      <c r="CB274" s="585"/>
      <c r="CC274" s="585"/>
      <c r="CD274" s="585"/>
      <c r="CE274" s="79"/>
      <c r="CF274" s="79"/>
      <c r="CG274" s="585"/>
      <c r="CH274" s="585" t="s">
        <v>40</v>
      </c>
      <c r="CI274" s="585" t="s">
        <v>40</v>
      </c>
      <c r="CJ274" s="201"/>
      <c r="CK274" s="202"/>
      <c r="CL274" s="202"/>
      <c r="CM274" s="202"/>
      <c r="CN274" s="202"/>
      <c r="CO274" s="202"/>
      <c r="CP274" s="202"/>
      <c r="CQ274" s="202"/>
      <c r="CR274" s="202"/>
      <c r="CS274" s="202"/>
      <c r="CT274" s="202"/>
      <c r="CU274" s="202"/>
      <c r="CV274" s="202"/>
      <c r="CW274" s="202"/>
      <c r="CX274" s="202"/>
      <c r="CY274" s="202"/>
      <c r="CZ274" s="202"/>
      <c r="DA274" s="202"/>
      <c r="DB274" s="202"/>
      <c r="DC274" s="202"/>
      <c r="DD274" s="202"/>
      <c r="DE274" s="202"/>
      <c r="DF274" s="202"/>
      <c r="DG274" s="202"/>
      <c r="DH274" s="202"/>
      <c r="DI274" s="202"/>
      <c r="DJ274" s="202"/>
      <c r="DK274" s="202"/>
      <c r="DL274" s="202"/>
      <c r="DM274" s="202"/>
      <c r="DN274" s="202"/>
      <c r="DO274" s="202"/>
      <c r="DP274" s="202"/>
      <c r="DQ274" s="202"/>
      <c r="DR274" s="202"/>
      <c r="DS274" s="202"/>
      <c r="DT274" s="202"/>
      <c r="DU274" s="202"/>
      <c r="DV274" s="202"/>
      <c r="DW274" s="202"/>
      <c r="DX274" s="202"/>
      <c r="DY274" s="202"/>
      <c r="DZ274" s="202"/>
      <c r="EA274" s="202"/>
      <c r="EB274" s="202"/>
      <c r="EC274" s="202"/>
      <c r="ED274" s="202"/>
      <c r="EE274" s="202"/>
      <c r="EF274" s="202"/>
      <c r="EG274" s="202"/>
      <c r="EH274" s="202"/>
      <c r="EI274" s="202"/>
      <c r="EJ274" s="202"/>
      <c r="EK274" s="202"/>
      <c r="EL274" s="202"/>
      <c r="EM274" s="202"/>
      <c r="EN274" s="202"/>
      <c r="EO274" s="202"/>
      <c r="EP274" s="202"/>
      <c r="EQ274" s="202"/>
      <c r="ER274" s="202"/>
      <c r="ES274" s="202"/>
      <c r="ET274" s="202"/>
      <c r="EU274" s="202"/>
      <c r="EV274" s="202"/>
      <c r="EW274" s="202"/>
      <c r="EX274" s="202"/>
      <c r="EY274" s="202"/>
      <c r="EZ274" s="202"/>
      <c r="FA274" s="202"/>
      <c r="FB274" s="202"/>
      <c r="FC274" s="202"/>
      <c r="FD274" s="202"/>
      <c r="FE274" s="202"/>
      <c r="FF274" s="202"/>
      <c r="FG274" s="202"/>
      <c r="FH274" s="202"/>
      <c r="FI274" s="202"/>
    </row>
    <row r="275" spans="1:165" s="228" customFormat="1" ht="18" customHeight="1" x14ac:dyDescent="0.25">
      <c r="A275" s="578">
        <f t="shared" si="6"/>
        <v>266</v>
      </c>
      <c r="B275" s="588">
        <v>0</v>
      </c>
      <c r="C275" s="591" t="s">
        <v>135</v>
      </c>
      <c r="D275" s="585" t="s">
        <v>577</v>
      </c>
      <c r="E275" s="589" t="s">
        <v>578</v>
      </c>
      <c r="F275" s="567" t="s">
        <v>1044</v>
      </c>
      <c r="G275" s="585" t="s">
        <v>579</v>
      </c>
      <c r="H275" s="603" t="s">
        <v>887</v>
      </c>
      <c r="I275" s="593">
        <v>5</v>
      </c>
      <c r="J275" s="556"/>
      <c r="K275" s="594"/>
      <c r="L275" s="306"/>
      <c r="M275" s="307"/>
      <c r="N275" s="307"/>
      <c r="O275" s="307"/>
      <c r="P275" s="307" t="s">
        <v>122</v>
      </c>
      <c r="Q275" s="79"/>
      <c r="R275" s="79"/>
      <c r="S275" s="585"/>
      <c r="T275" s="585"/>
      <c r="U275" s="585"/>
      <c r="V275" s="585"/>
      <c r="W275" s="585"/>
      <c r="X275" s="585"/>
      <c r="Y275" s="585"/>
      <c r="Z275" s="585"/>
      <c r="AA275" s="585"/>
      <c r="AB275" s="585"/>
      <c r="AC275" s="585"/>
      <c r="AD275" s="585"/>
      <c r="AE275" s="585"/>
      <c r="AF275" s="585"/>
      <c r="AG275" s="585"/>
      <c r="AH275" s="585"/>
      <c r="AI275" s="585"/>
      <c r="AJ275" s="79"/>
      <c r="AK275" s="79"/>
      <c r="AL275" s="585"/>
      <c r="AM275" s="585"/>
      <c r="AN275" s="585"/>
      <c r="AO275" s="585"/>
      <c r="AP275" s="585"/>
      <c r="AQ275" s="585"/>
      <c r="AR275" s="585"/>
      <c r="AS275" s="79"/>
      <c r="AT275" s="79"/>
      <c r="AU275" s="585"/>
      <c r="AV275" s="585"/>
      <c r="AW275" s="585"/>
      <c r="AX275" s="585"/>
      <c r="AY275" s="585"/>
      <c r="AZ275" s="585"/>
      <c r="BA275" s="585"/>
      <c r="BB275" s="585"/>
      <c r="BC275" s="585"/>
      <c r="BD275" s="585"/>
      <c r="BE275" s="79"/>
      <c r="BF275" s="79"/>
      <c r="BG275" s="585"/>
      <c r="BH275" s="585"/>
      <c r="BI275" s="585"/>
      <c r="BJ275" s="585" t="s">
        <v>120</v>
      </c>
      <c r="BK275" s="585"/>
      <c r="BL275" s="585"/>
      <c r="BM275" s="585"/>
      <c r="BN275" s="585"/>
      <c r="BO275" s="585"/>
      <c r="BP275" s="585" t="s">
        <v>121</v>
      </c>
      <c r="BQ275" s="79"/>
      <c r="BR275" s="79"/>
      <c r="BS275" s="585"/>
      <c r="BT275" s="79"/>
      <c r="BU275" s="79"/>
      <c r="BV275" s="585"/>
      <c r="BW275" s="585"/>
      <c r="BX275" s="585"/>
      <c r="BY275" s="585"/>
      <c r="BZ275" s="79"/>
      <c r="CA275" s="79"/>
      <c r="CB275" s="585"/>
      <c r="CC275" s="585"/>
      <c r="CD275" s="585"/>
      <c r="CE275" s="79"/>
      <c r="CF275" s="79"/>
      <c r="CG275" s="585"/>
      <c r="CH275" s="585" t="s">
        <v>40</v>
      </c>
      <c r="CI275" s="585" t="s">
        <v>40</v>
      </c>
      <c r="CJ275" s="201"/>
      <c r="CK275" s="202"/>
      <c r="CL275" s="202"/>
      <c r="CM275" s="202"/>
      <c r="CN275" s="202"/>
      <c r="CO275" s="202"/>
      <c r="CP275" s="202"/>
      <c r="CQ275" s="202"/>
      <c r="CR275" s="202"/>
      <c r="CS275" s="202"/>
      <c r="CT275" s="202"/>
      <c r="CU275" s="202"/>
      <c r="CV275" s="202"/>
      <c r="CW275" s="202"/>
      <c r="CX275" s="202"/>
      <c r="CY275" s="202"/>
      <c r="CZ275" s="202"/>
      <c r="DA275" s="202"/>
      <c r="DB275" s="202"/>
      <c r="DC275" s="202"/>
      <c r="DD275" s="202"/>
      <c r="DE275" s="202"/>
      <c r="DF275" s="202"/>
      <c r="DG275" s="202"/>
      <c r="DH275" s="202"/>
      <c r="DI275" s="202"/>
      <c r="DJ275" s="202"/>
      <c r="DK275" s="202"/>
      <c r="DL275" s="202"/>
      <c r="DM275" s="202"/>
      <c r="DN275" s="202"/>
      <c r="DO275" s="202"/>
      <c r="DP275" s="202"/>
      <c r="DQ275" s="202"/>
      <c r="DR275" s="202"/>
      <c r="DS275" s="202"/>
      <c r="DT275" s="202"/>
      <c r="DU275" s="202"/>
      <c r="DV275" s="202"/>
      <c r="DW275" s="202"/>
      <c r="DX275" s="202"/>
      <c r="DY275" s="202"/>
      <c r="DZ275" s="202"/>
      <c r="EA275" s="202"/>
      <c r="EB275" s="202"/>
      <c r="EC275" s="202"/>
      <c r="ED275" s="202"/>
      <c r="EE275" s="202"/>
      <c r="EF275" s="202"/>
      <c r="EG275" s="202"/>
      <c r="EH275" s="202"/>
      <c r="EI275" s="202"/>
      <c r="EJ275" s="202"/>
      <c r="EK275" s="202"/>
      <c r="EL275" s="202"/>
      <c r="EM275" s="202"/>
      <c r="EN275" s="202"/>
      <c r="EO275" s="202"/>
      <c r="EP275" s="202"/>
      <c r="EQ275" s="202"/>
      <c r="ER275" s="202"/>
      <c r="ES275" s="202"/>
      <c r="ET275" s="202"/>
      <c r="EU275" s="202"/>
      <c r="EV275" s="202"/>
      <c r="EW275" s="202"/>
      <c r="EX275" s="202"/>
      <c r="EY275" s="202"/>
      <c r="EZ275" s="202"/>
      <c r="FA275" s="202"/>
      <c r="FB275" s="202"/>
      <c r="FC275" s="202"/>
      <c r="FD275" s="202"/>
      <c r="FE275" s="202"/>
      <c r="FF275" s="202"/>
      <c r="FG275" s="202"/>
      <c r="FH275" s="202"/>
      <c r="FI275" s="202"/>
    </row>
    <row r="276" spans="1:165" s="228" customFormat="1" ht="18" customHeight="1" x14ac:dyDescent="0.25">
      <c r="A276" s="578">
        <f t="shared" si="6"/>
        <v>267</v>
      </c>
      <c r="B276" s="588">
        <v>0</v>
      </c>
      <c r="C276" s="591" t="s">
        <v>135</v>
      </c>
      <c r="D276" s="585" t="s">
        <v>530</v>
      </c>
      <c r="E276" s="589" t="s">
        <v>784</v>
      </c>
      <c r="F276" s="567" t="s">
        <v>1044</v>
      </c>
      <c r="G276" s="585" t="s">
        <v>580</v>
      </c>
      <c r="H276" s="603" t="s">
        <v>891</v>
      </c>
      <c r="I276" s="593"/>
      <c r="J276" s="556" t="s">
        <v>1218</v>
      </c>
      <c r="K276" s="594"/>
      <c r="L276" s="306"/>
      <c r="M276" s="307"/>
      <c r="N276" s="307"/>
      <c r="O276" s="307"/>
      <c r="P276" s="307"/>
      <c r="Q276" s="79"/>
      <c r="R276" s="79"/>
      <c r="S276" s="585"/>
      <c r="T276" s="585"/>
      <c r="U276" s="585"/>
      <c r="V276" s="585"/>
      <c r="W276" s="585"/>
      <c r="X276" s="585"/>
      <c r="Y276" s="585"/>
      <c r="Z276" s="585"/>
      <c r="AA276" s="585"/>
      <c r="AB276" s="585"/>
      <c r="AC276" s="585"/>
      <c r="AD276" s="585"/>
      <c r="AE276" s="585"/>
      <c r="AF276" s="585"/>
      <c r="AG276" s="585"/>
      <c r="AH276" s="585"/>
      <c r="AI276" s="585"/>
      <c r="AJ276" s="79"/>
      <c r="AK276" s="79"/>
      <c r="AL276" s="585"/>
      <c r="AM276" s="585"/>
      <c r="AN276" s="585"/>
      <c r="AO276" s="585"/>
      <c r="AP276" s="585"/>
      <c r="AQ276" s="585"/>
      <c r="AR276" s="585"/>
      <c r="AS276" s="79"/>
      <c r="AT276" s="79"/>
      <c r="AU276" s="585"/>
      <c r="AV276" s="585"/>
      <c r="AW276" s="585"/>
      <c r="AX276" s="585"/>
      <c r="AY276" s="585"/>
      <c r="AZ276" s="585"/>
      <c r="BA276" s="585"/>
      <c r="BB276" s="585"/>
      <c r="BC276" s="585"/>
      <c r="BD276" s="585"/>
      <c r="BE276" s="79"/>
      <c r="BF276" s="79"/>
      <c r="BG276" s="585"/>
      <c r="BH276" s="585"/>
      <c r="BI276" s="585"/>
      <c r="BJ276" s="585"/>
      <c r="BK276" s="585" t="s">
        <v>122</v>
      </c>
      <c r="BL276" s="585"/>
      <c r="BM276" s="585"/>
      <c r="BN276" s="585"/>
      <c r="BO276" s="585"/>
      <c r="BP276" s="585"/>
      <c r="BQ276" s="79"/>
      <c r="BR276" s="79"/>
      <c r="BS276" s="585"/>
      <c r="BT276" s="79"/>
      <c r="BU276" s="79"/>
      <c r="BV276" s="585"/>
      <c r="BW276" s="585"/>
      <c r="BX276" s="585"/>
      <c r="BY276" s="585"/>
      <c r="BZ276" s="79"/>
      <c r="CA276" s="79"/>
      <c r="CB276" s="585"/>
      <c r="CC276" s="585"/>
      <c r="CD276" s="585"/>
      <c r="CE276" s="79"/>
      <c r="CF276" s="79"/>
      <c r="CG276" s="585"/>
      <c r="CH276" s="585"/>
      <c r="CI276" s="585"/>
      <c r="CJ276" s="201"/>
      <c r="CK276" s="202"/>
      <c r="CL276" s="202"/>
      <c r="CM276" s="202"/>
      <c r="CN276" s="202"/>
      <c r="CO276" s="202"/>
      <c r="CP276" s="202"/>
      <c r="CQ276" s="202"/>
      <c r="CR276" s="202"/>
      <c r="CS276" s="202"/>
      <c r="CT276" s="202"/>
      <c r="CU276" s="202"/>
      <c r="CV276" s="202"/>
      <c r="CW276" s="202"/>
      <c r="CX276" s="202"/>
      <c r="CY276" s="202"/>
      <c r="CZ276" s="202"/>
      <c r="DA276" s="202"/>
      <c r="DB276" s="202"/>
      <c r="DC276" s="202"/>
      <c r="DD276" s="202"/>
      <c r="DE276" s="202"/>
      <c r="DF276" s="202"/>
      <c r="DG276" s="202"/>
      <c r="DH276" s="202"/>
      <c r="DI276" s="202"/>
      <c r="DJ276" s="202"/>
      <c r="DK276" s="202"/>
      <c r="DL276" s="202"/>
      <c r="DM276" s="202"/>
      <c r="DN276" s="202"/>
      <c r="DO276" s="202"/>
      <c r="DP276" s="202"/>
      <c r="DQ276" s="202"/>
      <c r="DR276" s="202"/>
      <c r="DS276" s="202"/>
      <c r="DT276" s="202"/>
      <c r="DU276" s="202"/>
      <c r="DV276" s="202"/>
      <c r="DW276" s="202"/>
      <c r="DX276" s="202"/>
      <c r="DY276" s="202"/>
      <c r="DZ276" s="202"/>
      <c r="EA276" s="202"/>
      <c r="EB276" s="202"/>
      <c r="EC276" s="202"/>
      <c r="ED276" s="202"/>
      <c r="EE276" s="202"/>
      <c r="EF276" s="202"/>
      <c r="EG276" s="202"/>
      <c r="EH276" s="202"/>
      <c r="EI276" s="202"/>
      <c r="EJ276" s="202"/>
      <c r="EK276" s="202"/>
      <c r="EL276" s="202"/>
      <c r="EM276" s="202"/>
      <c r="EN276" s="202"/>
      <c r="EO276" s="202"/>
      <c r="EP276" s="202"/>
      <c r="EQ276" s="202"/>
      <c r="ER276" s="202"/>
      <c r="ES276" s="202"/>
      <c r="ET276" s="202"/>
      <c r="EU276" s="202"/>
      <c r="EV276" s="202"/>
      <c r="EW276" s="202"/>
      <c r="EX276" s="202"/>
      <c r="EY276" s="202"/>
      <c r="EZ276" s="202"/>
      <c r="FA276" s="202"/>
      <c r="FB276" s="202"/>
      <c r="FC276" s="202"/>
      <c r="FD276" s="202"/>
      <c r="FE276" s="202"/>
      <c r="FF276" s="202"/>
      <c r="FG276" s="202"/>
      <c r="FH276" s="202"/>
      <c r="FI276" s="202"/>
    </row>
    <row r="277" spans="1:165" s="228" customFormat="1" ht="18" customHeight="1" x14ac:dyDescent="0.25">
      <c r="A277" s="578">
        <f t="shared" si="6"/>
        <v>268</v>
      </c>
      <c r="B277" s="588">
        <v>0</v>
      </c>
      <c r="C277" s="590" t="s">
        <v>1044</v>
      </c>
      <c r="D277" s="586" t="s">
        <v>1044</v>
      </c>
      <c r="E277" s="589" t="s">
        <v>901</v>
      </c>
      <c r="F277" s="567" t="s">
        <v>1044</v>
      </c>
      <c r="G277" s="585" t="s">
        <v>902</v>
      </c>
      <c r="H277" s="603" t="s">
        <v>903</v>
      </c>
      <c r="I277" s="593">
        <v>5</v>
      </c>
      <c r="J277" s="556"/>
      <c r="K277" s="594"/>
      <c r="L277" s="306"/>
      <c r="M277" s="307"/>
      <c r="N277" s="307"/>
      <c r="O277" s="307"/>
      <c r="P277" s="307" t="s">
        <v>122</v>
      </c>
      <c r="Q277" s="79"/>
      <c r="R277" s="79"/>
      <c r="S277" s="585"/>
      <c r="T277" s="585"/>
      <c r="U277" s="585"/>
      <c r="V277" s="585"/>
      <c r="W277" s="585"/>
      <c r="X277" s="585"/>
      <c r="Y277" s="585"/>
      <c r="Z277" s="585"/>
      <c r="AA277" s="585"/>
      <c r="AB277" s="585"/>
      <c r="AC277" s="585"/>
      <c r="AD277" s="585"/>
      <c r="AE277" s="585"/>
      <c r="AF277" s="585"/>
      <c r="AG277" s="585"/>
      <c r="AH277" s="585"/>
      <c r="AI277" s="585"/>
      <c r="AJ277" s="79"/>
      <c r="AK277" s="79"/>
      <c r="AL277" s="585"/>
      <c r="AM277" s="585"/>
      <c r="AN277" s="585"/>
      <c r="AO277" s="585"/>
      <c r="AP277" s="585"/>
      <c r="AQ277" s="585"/>
      <c r="AR277" s="585"/>
      <c r="AS277" s="79"/>
      <c r="AT277" s="79"/>
      <c r="AU277" s="585"/>
      <c r="AV277" s="585"/>
      <c r="AW277" s="585"/>
      <c r="AX277" s="585"/>
      <c r="AY277" s="585"/>
      <c r="AZ277" s="585"/>
      <c r="BA277" s="585"/>
      <c r="BB277" s="585"/>
      <c r="BC277" s="585"/>
      <c r="BD277" s="585"/>
      <c r="BE277" s="79"/>
      <c r="BF277" s="79"/>
      <c r="BG277" s="585"/>
      <c r="BH277" s="585"/>
      <c r="BI277" s="585"/>
      <c r="BJ277" s="585" t="s">
        <v>120</v>
      </c>
      <c r="BK277" s="585"/>
      <c r="BL277" s="585"/>
      <c r="BM277" s="585"/>
      <c r="BN277" s="585"/>
      <c r="BO277" s="585"/>
      <c r="BP277" s="585" t="s">
        <v>121</v>
      </c>
      <c r="BQ277" s="79"/>
      <c r="BR277" s="79"/>
      <c r="BS277" s="585"/>
      <c r="BT277" s="79"/>
      <c r="BU277" s="79"/>
      <c r="BV277" s="585"/>
      <c r="BW277" s="585"/>
      <c r="BX277" s="585"/>
      <c r="BY277" s="585"/>
      <c r="BZ277" s="79"/>
      <c r="CA277" s="79"/>
      <c r="CB277" s="585"/>
      <c r="CC277" s="585"/>
      <c r="CD277" s="585"/>
      <c r="CE277" s="79"/>
      <c r="CF277" s="79"/>
      <c r="CG277" s="585"/>
      <c r="CH277" s="585" t="s">
        <v>40</v>
      </c>
      <c r="CI277" s="585" t="s">
        <v>40</v>
      </c>
      <c r="CJ277" s="201"/>
      <c r="CK277" s="202"/>
      <c r="CL277" s="202"/>
      <c r="CM277" s="202"/>
      <c r="CN277" s="202"/>
      <c r="CO277" s="202"/>
      <c r="CP277" s="202"/>
      <c r="CQ277" s="202"/>
      <c r="CR277" s="202"/>
      <c r="CS277" s="202"/>
      <c r="CT277" s="202"/>
      <c r="CU277" s="202"/>
      <c r="CV277" s="202"/>
      <c r="CW277" s="202"/>
      <c r="CX277" s="202"/>
      <c r="CY277" s="202"/>
      <c r="CZ277" s="202"/>
      <c r="DA277" s="202"/>
      <c r="DB277" s="202"/>
      <c r="DC277" s="202"/>
      <c r="DD277" s="202"/>
      <c r="DE277" s="202"/>
      <c r="DF277" s="202"/>
      <c r="DG277" s="202"/>
      <c r="DH277" s="202"/>
      <c r="DI277" s="202"/>
      <c r="DJ277" s="202"/>
      <c r="DK277" s="202"/>
      <c r="DL277" s="202"/>
      <c r="DM277" s="202"/>
      <c r="DN277" s="202"/>
      <c r="DO277" s="202"/>
      <c r="DP277" s="202"/>
      <c r="DQ277" s="202"/>
      <c r="DR277" s="202"/>
      <c r="DS277" s="202"/>
      <c r="DT277" s="202"/>
      <c r="DU277" s="202"/>
      <c r="DV277" s="202"/>
      <c r="DW277" s="202"/>
      <c r="DX277" s="202"/>
      <c r="DY277" s="202"/>
      <c r="DZ277" s="202"/>
      <c r="EA277" s="202"/>
      <c r="EB277" s="202"/>
      <c r="EC277" s="202"/>
      <c r="ED277" s="202"/>
      <c r="EE277" s="202"/>
      <c r="EF277" s="202"/>
      <c r="EG277" s="202"/>
      <c r="EH277" s="202"/>
      <c r="EI277" s="202"/>
      <c r="EJ277" s="202"/>
      <c r="EK277" s="202"/>
      <c r="EL277" s="202"/>
      <c r="EM277" s="202"/>
      <c r="EN277" s="202"/>
      <c r="EO277" s="202"/>
      <c r="EP277" s="202"/>
      <c r="EQ277" s="202"/>
      <c r="ER277" s="202"/>
      <c r="ES277" s="202"/>
      <c r="ET277" s="202"/>
      <c r="EU277" s="202"/>
      <c r="EV277" s="202"/>
      <c r="EW277" s="202"/>
      <c r="EX277" s="202"/>
      <c r="EY277" s="202"/>
      <c r="EZ277" s="202"/>
      <c r="FA277" s="202"/>
      <c r="FB277" s="202"/>
      <c r="FC277" s="202"/>
      <c r="FD277" s="202"/>
      <c r="FE277" s="202"/>
      <c r="FF277" s="202"/>
      <c r="FG277" s="202"/>
      <c r="FH277" s="202"/>
      <c r="FI277" s="202"/>
    </row>
    <row r="278" spans="1:165" s="228" customFormat="1" ht="18" customHeight="1" x14ac:dyDescent="0.25">
      <c r="A278" s="578">
        <f t="shared" si="6"/>
        <v>269</v>
      </c>
      <c r="B278" s="588">
        <v>0</v>
      </c>
      <c r="C278" s="590" t="s">
        <v>1044</v>
      </c>
      <c r="D278" s="586" t="s">
        <v>1044</v>
      </c>
      <c r="E278" s="589" t="s">
        <v>904</v>
      </c>
      <c r="F278" s="567" t="s">
        <v>1044</v>
      </c>
      <c r="G278" s="585" t="s">
        <v>905</v>
      </c>
      <c r="H278" s="603" t="s">
        <v>906</v>
      </c>
      <c r="I278" s="593">
        <v>5</v>
      </c>
      <c r="J278" s="556"/>
      <c r="K278" s="618">
        <v>9</v>
      </c>
      <c r="L278" s="306"/>
      <c r="M278" s="307"/>
      <c r="N278" s="307"/>
      <c r="O278" s="307"/>
      <c r="P278" s="307" t="s">
        <v>122</v>
      </c>
      <c r="Q278" s="79"/>
      <c r="R278" s="79"/>
      <c r="S278" s="585"/>
      <c r="T278" s="585"/>
      <c r="U278" s="585"/>
      <c r="V278" s="585"/>
      <c r="W278" s="585"/>
      <c r="X278" s="585"/>
      <c r="Y278" s="585"/>
      <c r="Z278" s="585"/>
      <c r="AA278" s="585"/>
      <c r="AB278" s="585"/>
      <c r="AC278" s="585"/>
      <c r="AD278" s="585"/>
      <c r="AE278" s="585"/>
      <c r="AF278" s="585"/>
      <c r="AG278" s="585"/>
      <c r="AH278" s="585"/>
      <c r="AI278" s="585"/>
      <c r="AJ278" s="79"/>
      <c r="AK278" s="79"/>
      <c r="AL278" s="585"/>
      <c r="AM278" s="585"/>
      <c r="AN278" s="585"/>
      <c r="AO278" s="585"/>
      <c r="AP278" s="585"/>
      <c r="AQ278" s="585"/>
      <c r="AR278" s="585"/>
      <c r="AS278" s="79"/>
      <c r="AT278" s="79"/>
      <c r="AU278" s="585"/>
      <c r="AV278" s="585"/>
      <c r="AW278" s="585"/>
      <c r="AX278" s="585"/>
      <c r="AY278" s="585"/>
      <c r="AZ278" s="585"/>
      <c r="BA278" s="585"/>
      <c r="BB278" s="585"/>
      <c r="BC278" s="585"/>
      <c r="BD278" s="585"/>
      <c r="BE278" s="79"/>
      <c r="BF278" s="79"/>
      <c r="BG278" s="585" t="s">
        <v>582</v>
      </c>
      <c r="BH278" s="585"/>
      <c r="BI278" s="585"/>
      <c r="BJ278" s="585" t="s">
        <v>120</v>
      </c>
      <c r="BK278" s="585"/>
      <c r="BL278" s="585"/>
      <c r="BM278" s="585"/>
      <c r="BN278" s="585"/>
      <c r="BO278" s="585"/>
      <c r="BP278" s="585" t="s">
        <v>121</v>
      </c>
      <c r="BQ278" s="79"/>
      <c r="BR278" s="79"/>
      <c r="BS278" s="585"/>
      <c r="BT278" s="79"/>
      <c r="BU278" s="79"/>
      <c r="BV278" s="585"/>
      <c r="BW278" s="585"/>
      <c r="BX278" s="585"/>
      <c r="BY278" s="585"/>
      <c r="BZ278" s="79"/>
      <c r="CA278" s="79"/>
      <c r="CB278" s="585"/>
      <c r="CC278" s="585"/>
      <c r="CD278" s="585"/>
      <c r="CE278" s="79"/>
      <c r="CF278" s="79"/>
      <c r="CG278" s="585"/>
      <c r="CH278" s="585" t="s">
        <v>40</v>
      </c>
      <c r="CI278" s="585" t="s">
        <v>40</v>
      </c>
      <c r="CJ278" s="201"/>
      <c r="CK278" s="202"/>
      <c r="CL278" s="202"/>
      <c r="CM278" s="202"/>
      <c r="CN278" s="202"/>
      <c r="CO278" s="202"/>
      <c r="CP278" s="202"/>
      <c r="CQ278" s="202"/>
      <c r="CR278" s="202"/>
      <c r="CS278" s="202"/>
      <c r="CT278" s="202"/>
      <c r="CU278" s="202"/>
      <c r="CV278" s="202"/>
      <c r="CW278" s="202"/>
      <c r="CX278" s="202"/>
      <c r="CY278" s="202"/>
      <c r="CZ278" s="202"/>
      <c r="DA278" s="202"/>
      <c r="DB278" s="202"/>
      <c r="DC278" s="202"/>
      <c r="DD278" s="202"/>
      <c r="DE278" s="202"/>
      <c r="DF278" s="202"/>
      <c r="DG278" s="202"/>
      <c r="DH278" s="202"/>
      <c r="DI278" s="202"/>
      <c r="DJ278" s="202"/>
      <c r="DK278" s="202"/>
      <c r="DL278" s="202"/>
      <c r="DM278" s="202"/>
      <c r="DN278" s="202"/>
      <c r="DO278" s="202"/>
      <c r="DP278" s="202"/>
      <c r="DQ278" s="202"/>
      <c r="DR278" s="202"/>
      <c r="DS278" s="202"/>
      <c r="DT278" s="202"/>
      <c r="DU278" s="202"/>
      <c r="DV278" s="202"/>
      <c r="DW278" s="202"/>
      <c r="DX278" s="202"/>
      <c r="DY278" s="202"/>
      <c r="DZ278" s="202"/>
      <c r="EA278" s="202"/>
      <c r="EB278" s="202"/>
      <c r="EC278" s="202"/>
      <c r="ED278" s="202"/>
      <c r="EE278" s="202"/>
      <c r="EF278" s="202"/>
      <c r="EG278" s="202"/>
      <c r="EH278" s="202"/>
      <c r="EI278" s="202"/>
      <c r="EJ278" s="202"/>
      <c r="EK278" s="202"/>
      <c r="EL278" s="202"/>
      <c r="EM278" s="202"/>
      <c r="EN278" s="202"/>
      <c r="EO278" s="202"/>
      <c r="EP278" s="202"/>
      <c r="EQ278" s="202"/>
      <c r="ER278" s="202"/>
      <c r="ES278" s="202"/>
      <c r="ET278" s="202"/>
      <c r="EU278" s="202"/>
      <c r="EV278" s="202"/>
      <c r="EW278" s="202"/>
      <c r="EX278" s="202"/>
      <c r="EY278" s="202"/>
      <c r="EZ278" s="202"/>
      <c r="FA278" s="202"/>
      <c r="FB278" s="202"/>
      <c r="FC278" s="202"/>
      <c r="FD278" s="202"/>
      <c r="FE278" s="202"/>
      <c r="FF278" s="202"/>
      <c r="FG278" s="202"/>
      <c r="FH278" s="202"/>
      <c r="FI278" s="202"/>
    </row>
    <row r="279" spans="1:165" s="228" customFormat="1" ht="18" customHeight="1" x14ac:dyDescent="0.25">
      <c r="A279" s="578">
        <f t="shared" si="6"/>
        <v>270</v>
      </c>
      <c r="B279" s="588">
        <v>0</v>
      </c>
      <c r="C279" s="590" t="s">
        <v>1044</v>
      </c>
      <c r="D279" s="586" t="s">
        <v>1044</v>
      </c>
      <c r="E279" s="589" t="s">
        <v>907</v>
      </c>
      <c r="F279" s="567" t="s">
        <v>1044</v>
      </c>
      <c r="G279" s="585" t="s">
        <v>908</v>
      </c>
      <c r="H279" s="603" t="s">
        <v>909</v>
      </c>
      <c r="I279" s="593">
        <v>5</v>
      </c>
      <c r="J279" s="556"/>
      <c r="K279" s="594"/>
      <c r="L279" s="306"/>
      <c r="M279" s="307"/>
      <c r="N279" s="307"/>
      <c r="O279" s="307"/>
      <c r="P279" s="307" t="s">
        <v>122</v>
      </c>
      <c r="Q279" s="79"/>
      <c r="R279" s="79"/>
      <c r="S279" s="585"/>
      <c r="T279" s="585"/>
      <c r="U279" s="585"/>
      <c r="V279" s="585"/>
      <c r="W279" s="585"/>
      <c r="X279" s="585"/>
      <c r="Y279" s="585"/>
      <c r="Z279" s="585"/>
      <c r="AA279" s="585"/>
      <c r="AB279" s="585"/>
      <c r="AC279" s="585"/>
      <c r="AD279" s="585"/>
      <c r="AE279" s="585"/>
      <c r="AF279" s="585"/>
      <c r="AG279" s="585"/>
      <c r="AH279" s="585"/>
      <c r="AI279" s="585"/>
      <c r="AJ279" s="79"/>
      <c r="AK279" s="79"/>
      <c r="AL279" s="585"/>
      <c r="AM279" s="585"/>
      <c r="AN279" s="585"/>
      <c r="AO279" s="585"/>
      <c r="AP279" s="585"/>
      <c r="AQ279" s="585"/>
      <c r="AR279" s="585"/>
      <c r="AS279" s="79"/>
      <c r="AT279" s="79"/>
      <c r="AU279" s="585"/>
      <c r="AV279" s="585"/>
      <c r="AW279" s="585"/>
      <c r="AX279" s="585"/>
      <c r="AY279" s="585"/>
      <c r="AZ279" s="585"/>
      <c r="BA279" s="585"/>
      <c r="BB279" s="585"/>
      <c r="BC279" s="585"/>
      <c r="BD279" s="585"/>
      <c r="BE279" s="79"/>
      <c r="BF279" s="79"/>
      <c r="BG279" s="585"/>
      <c r="BH279" s="585"/>
      <c r="BI279" s="585"/>
      <c r="BJ279" s="585" t="s">
        <v>120</v>
      </c>
      <c r="BK279" s="585"/>
      <c r="BL279" s="585"/>
      <c r="BM279" s="585"/>
      <c r="BN279" s="585"/>
      <c r="BO279" s="585"/>
      <c r="BP279" s="585" t="s">
        <v>121</v>
      </c>
      <c r="BQ279" s="79"/>
      <c r="BR279" s="79"/>
      <c r="BS279" s="585"/>
      <c r="BT279" s="79"/>
      <c r="BU279" s="79"/>
      <c r="BV279" s="585"/>
      <c r="BW279" s="585"/>
      <c r="BX279" s="585"/>
      <c r="BY279" s="585"/>
      <c r="BZ279" s="79"/>
      <c r="CA279" s="79"/>
      <c r="CB279" s="585"/>
      <c r="CC279" s="585"/>
      <c r="CD279" s="585"/>
      <c r="CE279" s="79"/>
      <c r="CF279" s="79"/>
      <c r="CG279" s="585"/>
      <c r="CH279" s="585" t="s">
        <v>40</v>
      </c>
      <c r="CI279" s="585" t="s">
        <v>40</v>
      </c>
      <c r="CJ279" s="201"/>
      <c r="CK279" s="202"/>
      <c r="CL279" s="202"/>
      <c r="CM279" s="202"/>
      <c r="CN279" s="202"/>
      <c r="CO279" s="202"/>
      <c r="CP279" s="202"/>
      <c r="CQ279" s="202"/>
      <c r="CR279" s="202"/>
      <c r="CS279" s="202"/>
      <c r="CT279" s="202"/>
      <c r="CU279" s="202"/>
      <c r="CV279" s="202"/>
      <c r="CW279" s="202"/>
      <c r="CX279" s="202"/>
      <c r="CY279" s="202"/>
      <c r="CZ279" s="202"/>
      <c r="DA279" s="202"/>
      <c r="DB279" s="202"/>
      <c r="DC279" s="202"/>
      <c r="DD279" s="202"/>
      <c r="DE279" s="202"/>
      <c r="DF279" s="202"/>
      <c r="DG279" s="202"/>
      <c r="DH279" s="202"/>
      <c r="DI279" s="202"/>
      <c r="DJ279" s="202"/>
      <c r="DK279" s="202"/>
      <c r="DL279" s="202"/>
      <c r="DM279" s="202"/>
      <c r="DN279" s="202"/>
      <c r="DO279" s="202"/>
      <c r="DP279" s="202"/>
      <c r="DQ279" s="202"/>
      <c r="DR279" s="202"/>
      <c r="DS279" s="202"/>
      <c r="DT279" s="202"/>
      <c r="DU279" s="202"/>
      <c r="DV279" s="202"/>
      <c r="DW279" s="202"/>
      <c r="DX279" s="202"/>
      <c r="DY279" s="202"/>
      <c r="DZ279" s="202"/>
      <c r="EA279" s="202"/>
      <c r="EB279" s="202"/>
      <c r="EC279" s="202"/>
      <c r="ED279" s="202"/>
      <c r="EE279" s="202"/>
      <c r="EF279" s="202"/>
      <c r="EG279" s="202"/>
      <c r="EH279" s="202"/>
      <c r="EI279" s="202"/>
      <c r="EJ279" s="202"/>
      <c r="EK279" s="202"/>
      <c r="EL279" s="202"/>
      <c r="EM279" s="202"/>
      <c r="EN279" s="202"/>
      <c r="EO279" s="202"/>
      <c r="EP279" s="202"/>
      <c r="EQ279" s="202"/>
      <c r="ER279" s="202"/>
      <c r="ES279" s="202"/>
      <c r="ET279" s="202"/>
      <c r="EU279" s="202"/>
      <c r="EV279" s="202"/>
      <c r="EW279" s="202"/>
      <c r="EX279" s="202"/>
      <c r="EY279" s="202"/>
      <c r="EZ279" s="202"/>
      <c r="FA279" s="202"/>
      <c r="FB279" s="202"/>
      <c r="FC279" s="202"/>
      <c r="FD279" s="202"/>
      <c r="FE279" s="202"/>
      <c r="FF279" s="202"/>
      <c r="FG279" s="202"/>
      <c r="FH279" s="202"/>
      <c r="FI279" s="202"/>
    </row>
    <row r="280" spans="1:165" x14ac:dyDescent="0.25">
      <c r="A280" s="289">
        <f t="shared" si="6"/>
        <v>271</v>
      </c>
    </row>
    <row r="281" spans="1:165" x14ac:dyDescent="0.25">
      <c r="A281" s="289">
        <f t="shared" si="6"/>
        <v>272</v>
      </c>
    </row>
    <row r="282" spans="1:165" x14ac:dyDescent="0.25">
      <c r="A282" s="289">
        <f t="shared" si="6"/>
        <v>273</v>
      </c>
    </row>
    <row r="283" spans="1:165" x14ac:dyDescent="0.25">
      <c r="A283" s="289">
        <f t="shared" si="6"/>
        <v>274</v>
      </c>
    </row>
    <row r="284" spans="1:165" x14ac:dyDescent="0.25">
      <c r="A284" s="289">
        <f t="shared" si="6"/>
        <v>275</v>
      </c>
    </row>
    <row r="285" spans="1:165" x14ac:dyDescent="0.25">
      <c r="A285" s="289">
        <f t="shared" si="6"/>
        <v>276</v>
      </c>
    </row>
    <row r="286" spans="1:165" x14ac:dyDescent="0.25">
      <c r="A286" s="289">
        <f t="shared" si="6"/>
        <v>277</v>
      </c>
    </row>
    <row r="287" spans="1:165" x14ac:dyDescent="0.25">
      <c r="A287" s="289">
        <f t="shared" si="6"/>
        <v>278</v>
      </c>
    </row>
    <row r="288" spans="1:165" x14ac:dyDescent="0.25">
      <c r="A288" s="289">
        <f t="shared" si="6"/>
        <v>279</v>
      </c>
    </row>
    <row r="289" spans="1:1" x14ac:dyDescent="0.25">
      <c r="A289" s="289">
        <f t="shared" si="6"/>
        <v>280</v>
      </c>
    </row>
    <row r="290" spans="1:1" x14ac:dyDescent="0.25">
      <c r="A290" s="289">
        <f t="shared" si="6"/>
        <v>281</v>
      </c>
    </row>
    <row r="291" spans="1:1" x14ac:dyDescent="0.25">
      <c r="A291" s="289">
        <f t="shared" si="6"/>
        <v>282</v>
      </c>
    </row>
    <row r="292" spans="1:1" x14ac:dyDescent="0.25">
      <c r="A292" s="289">
        <f t="shared" si="6"/>
        <v>283</v>
      </c>
    </row>
    <row r="293" spans="1:1" x14ac:dyDescent="0.25">
      <c r="A293" s="289">
        <f t="shared" si="6"/>
        <v>284</v>
      </c>
    </row>
  </sheetData>
  <mergeCells count="14">
    <mergeCell ref="A7:A9"/>
    <mergeCell ref="B7:B9"/>
    <mergeCell ref="C7:C9"/>
    <mergeCell ref="D7:D9"/>
    <mergeCell ref="I1:K1"/>
    <mergeCell ref="I5:K5"/>
    <mergeCell ref="I6:K6"/>
    <mergeCell ref="I3:K3"/>
    <mergeCell ref="I2:K2"/>
    <mergeCell ref="E7:E9"/>
    <mergeCell ref="F7:F9"/>
    <mergeCell ref="G7:G9"/>
    <mergeCell ref="H7:H9"/>
    <mergeCell ref="I4:K4"/>
  </mergeCells>
  <pageMargins left="0.7" right="0.7" top="0.75" bottom="0.75" header="0.3" footer="0.3"/>
  <pageSetup paperSize="17"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odeFill">
                <anchor moveWithCells="1" sizeWithCells="1">
                  <from>
                    <xdr:col>6</xdr:col>
                    <xdr:colOff>142875</xdr:colOff>
                    <xdr:row>5</xdr:row>
                    <xdr:rowOff>95250</xdr:rowOff>
                  </from>
                  <to>
                    <xdr:col>6</xdr:col>
                    <xdr:colOff>1657350</xdr:colOff>
                    <xdr:row>5</xdr:row>
                    <xdr:rowOff>1143000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AR50"/>
  <sheetViews>
    <sheetView view="pageBreakPreview" zoomScale="70" zoomScaleNormal="55" zoomScaleSheetLayoutView="70" zoomScalePageLayoutView="55" workbookViewId="0">
      <selection activeCell="S11" sqref="S11"/>
    </sheetView>
  </sheetViews>
  <sheetFormatPr defaultColWidth="8.85546875" defaultRowHeight="25.5" x14ac:dyDescent="0.35"/>
  <cols>
    <col min="1" max="2" width="8.85546875" style="4"/>
    <col min="3" max="3" width="15" style="4" customWidth="1"/>
    <col min="4" max="7" width="8.85546875" style="4"/>
    <col min="8" max="8" width="12.85546875" style="4" customWidth="1"/>
    <col min="9" max="10" width="8.85546875" style="4"/>
    <col min="11" max="11" width="8" style="4" customWidth="1"/>
    <col min="12" max="16" width="8.85546875" style="4"/>
    <col min="17" max="17" width="7" style="4" customWidth="1"/>
    <col min="18" max="18" width="18" style="4" bestFit="1" customWidth="1"/>
    <col min="19" max="19" width="7.42578125" style="4" customWidth="1"/>
    <col min="20" max="20" width="8.42578125" style="4" customWidth="1"/>
    <col min="21" max="21" width="10.140625" style="4" customWidth="1"/>
    <col min="22" max="22" width="6.42578125" style="4" customWidth="1"/>
    <col min="23" max="23" width="8.85546875" style="4"/>
    <col min="24" max="24" width="12.28515625" style="4" bestFit="1" customWidth="1"/>
    <col min="25" max="25" width="8.85546875" style="4" bestFit="1" customWidth="1"/>
    <col min="26" max="26" width="16.140625" style="4" customWidth="1"/>
    <col min="27" max="27" width="5.85546875" style="4" bestFit="1" customWidth="1"/>
    <col min="28" max="28" width="21.42578125" style="4" bestFit="1" customWidth="1"/>
    <col min="29" max="16384" width="8.85546875" style="4"/>
  </cols>
  <sheetData>
    <row r="1" spans="1:44" ht="15.95" customHeight="1" x14ac:dyDescent="0.3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3"/>
    </row>
    <row r="2" spans="1:44" ht="15.95" customHeight="1" x14ac:dyDescent="0.35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7"/>
    </row>
    <row r="3" spans="1:44" ht="24" customHeight="1" x14ac:dyDescent="0.35">
      <c r="A3" s="5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7"/>
    </row>
    <row r="4" spans="1:44" ht="24" customHeight="1" x14ac:dyDescent="0.35">
      <c r="A4" s="5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7"/>
    </row>
    <row r="5" spans="1:44" ht="24" customHeight="1" thickBot="1" x14ac:dyDescent="0.4">
      <c r="A5" s="5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7"/>
    </row>
    <row r="6" spans="1:44" ht="42" customHeight="1" x14ac:dyDescent="0.35">
      <c r="A6" s="5"/>
      <c r="B6" s="6"/>
      <c r="G6" s="6" t="s">
        <v>17</v>
      </c>
      <c r="I6" s="55" t="s">
        <v>39</v>
      </c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7"/>
      <c r="AA6" s="635" t="s">
        <v>923</v>
      </c>
      <c r="AB6" s="636"/>
      <c r="AC6" s="636"/>
      <c r="AD6" s="636"/>
      <c r="AE6" s="636"/>
      <c r="AF6" s="636"/>
      <c r="AG6" s="636"/>
      <c r="AH6" s="636"/>
      <c r="AI6" s="636"/>
      <c r="AJ6" s="636"/>
      <c r="AK6" s="636"/>
      <c r="AL6" s="636"/>
      <c r="AM6" s="636"/>
      <c r="AN6" s="636"/>
      <c r="AO6" s="636"/>
      <c r="AP6" s="636"/>
      <c r="AQ6" s="636"/>
      <c r="AR6" s="637"/>
    </row>
    <row r="7" spans="1:44" ht="33" customHeight="1" x14ac:dyDescent="0.35">
      <c r="A7" s="5"/>
      <c r="B7" s="6"/>
      <c r="G7" s="6" t="s">
        <v>1043</v>
      </c>
      <c r="I7" s="55" t="s">
        <v>917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7"/>
      <c r="AA7" s="638"/>
      <c r="AB7" s="639"/>
      <c r="AC7" s="639"/>
      <c r="AD7" s="639"/>
      <c r="AE7" s="639"/>
      <c r="AF7" s="639"/>
      <c r="AG7" s="639"/>
      <c r="AH7" s="639"/>
      <c r="AI7" s="639"/>
      <c r="AJ7" s="639"/>
      <c r="AK7" s="639"/>
      <c r="AL7" s="639"/>
      <c r="AM7" s="639"/>
      <c r="AN7" s="639"/>
      <c r="AO7" s="639"/>
      <c r="AP7" s="639"/>
      <c r="AQ7" s="639"/>
      <c r="AR7" s="640"/>
    </row>
    <row r="8" spans="1:44" ht="33.75" customHeight="1" thickBot="1" x14ac:dyDescent="0.4">
      <c r="A8" s="5"/>
      <c r="B8" s="6"/>
      <c r="G8" s="6" t="s">
        <v>924</v>
      </c>
      <c r="I8" s="56" t="s">
        <v>918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7"/>
      <c r="AA8" s="641"/>
      <c r="AB8" s="642"/>
      <c r="AC8" s="642"/>
      <c r="AD8" s="642"/>
      <c r="AE8" s="642"/>
      <c r="AF8" s="642"/>
      <c r="AG8" s="642"/>
      <c r="AH8" s="642"/>
      <c r="AI8" s="642"/>
      <c r="AJ8" s="642"/>
      <c r="AK8" s="642"/>
      <c r="AL8" s="642"/>
      <c r="AM8" s="642"/>
      <c r="AN8" s="642"/>
      <c r="AO8" s="642"/>
      <c r="AP8" s="642"/>
      <c r="AQ8" s="642"/>
      <c r="AR8" s="643"/>
    </row>
    <row r="9" spans="1:44" ht="24" customHeight="1" x14ac:dyDescent="0.35">
      <c r="A9" s="5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7"/>
    </row>
    <row r="10" spans="1:44" ht="24" customHeight="1" x14ac:dyDescent="0.35">
      <c r="A10" s="5"/>
      <c r="B10" s="6"/>
      <c r="C10" s="6"/>
      <c r="D10" s="6"/>
      <c r="E10" s="6"/>
      <c r="F10" s="6"/>
      <c r="G10" s="6" t="s">
        <v>18</v>
      </c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7"/>
    </row>
    <row r="11" spans="1:44" ht="23.25" customHeight="1" x14ac:dyDescent="0.35">
      <c r="A11" s="5"/>
      <c r="B11" s="6"/>
      <c r="C11" s="6"/>
      <c r="D11" s="6"/>
      <c r="E11" s="6"/>
      <c r="F11" s="6"/>
      <c r="G11" s="8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7"/>
      <c r="AA11"/>
    </row>
    <row r="12" spans="1:44" ht="13.5" customHeight="1" x14ac:dyDescent="0.35">
      <c r="A12" s="5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7"/>
    </row>
    <row r="13" spans="1:44" ht="36" customHeight="1" x14ac:dyDescent="0.4">
      <c r="A13" s="5"/>
      <c r="B13" s="6"/>
      <c r="C13" s="6"/>
      <c r="E13" s="6"/>
      <c r="F13" s="6"/>
      <c r="G13" s="54" t="s">
        <v>888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7"/>
    </row>
    <row r="14" spans="1:44" ht="36" customHeight="1" x14ac:dyDescent="0.35">
      <c r="A14" s="5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7"/>
    </row>
    <row r="15" spans="1:44" ht="36" customHeight="1" x14ac:dyDescent="0.35">
      <c r="A15" s="9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52"/>
      <c r="Q15" s="10"/>
      <c r="R15" s="10"/>
      <c r="S15" s="10"/>
      <c r="T15" s="10"/>
      <c r="U15" s="10"/>
      <c r="V15" s="11"/>
    </row>
    <row r="16" spans="1:44" ht="36" customHeight="1" x14ac:dyDescent="0.35">
      <c r="A16" s="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7"/>
    </row>
    <row r="17" spans="1:29" ht="36" customHeight="1" x14ac:dyDescent="0.35">
      <c r="A17" s="5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7"/>
    </row>
    <row r="18" spans="1:29" ht="18.75" customHeight="1" x14ac:dyDescent="0.35">
      <c r="A18" s="5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7"/>
      <c r="X18" s="4" t="s">
        <v>33</v>
      </c>
    </row>
    <row r="19" spans="1:29" ht="26.25" customHeight="1" thickBot="1" x14ac:dyDescent="0.4">
      <c r="A19" s="5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7"/>
      <c r="X19" s="4" t="s">
        <v>34</v>
      </c>
    </row>
    <row r="20" spans="1:29" ht="67.5" customHeight="1" thickBot="1" x14ac:dyDescent="0.4">
      <c r="A20" s="5"/>
      <c r="B20" s="6"/>
      <c r="C20" s="41"/>
      <c r="D20" s="41"/>
      <c r="E20" s="37"/>
      <c r="F20" s="38"/>
      <c r="G20" s="38"/>
      <c r="H20" s="38"/>
      <c r="I20" s="38"/>
      <c r="J20" s="39"/>
      <c r="K20" s="632"/>
      <c r="L20" s="633"/>
      <c r="M20" s="633"/>
      <c r="N20" s="633"/>
      <c r="O20" s="633"/>
      <c r="P20" s="633"/>
      <c r="Q20" s="633"/>
      <c r="R20" s="633"/>
      <c r="S20" s="633"/>
      <c r="T20" s="633"/>
      <c r="U20" s="633"/>
      <c r="V20" s="634"/>
      <c r="X20" s="48" t="s">
        <v>31</v>
      </c>
      <c r="Y20" s="48" t="s">
        <v>27</v>
      </c>
      <c r="Z20" s="48" t="s">
        <v>28</v>
      </c>
      <c r="AA20" s="48" t="s">
        <v>29</v>
      </c>
      <c r="AB20" s="48" t="s">
        <v>30</v>
      </c>
      <c r="AC20" s="23"/>
    </row>
    <row r="21" spans="1:29" ht="24" customHeight="1" thickBot="1" x14ac:dyDescent="0.4">
      <c r="A21" s="5"/>
      <c r="B21" s="6"/>
      <c r="C21" s="41"/>
      <c r="D21" s="41"/>
      <c r="E21" s="40"/>
      <c r="F21" s="41"/>
      <c r="G21" s="41"/>
      <c r="H21" s="41"/>
      <c r="I21" s="41"/>
      <c r="J21" s="42"/>
      <c r="K21" s="12" t="s">
        <v>19</v>
      </c>
      <c r="L21" s="13" t="s">
        <v>11</v>
      </c>
      <c r="M21" s="13"/>
      <c r="N21" s="13"/>
      <c r="O21" s="13"/>
      <c r="P21" s="13"/>
      <c r="Q21" s="13"/>
      <c r="R21" s="12" t="s">
        <v>7</v>
      </c>
      <c r="S21" s="12" t="s">
        <v>6</v>
      </c>
      <c r="T21" s="14" t="s">
        <v>20</v>
      </c>
      <c r="U21" s="15" t="s">
        <v>21</v>
      </c>
      <c r="V21" s="16" t="s">
        <v>15</v>
      </c>
      <c r="X21" s="50">
        <v>0</v>
      </c>
      <c r="Y21" s="51">
        <v>1</v>
      </c>
      <c r="Z21" s="53" t="s">
        <v>918</v>
      </c>
      <c r="AA21" s="51" t="s">
        <v>32</v>
      </c>
      <c r="AB21" s="51" t="str">
        <f>$I$8&amp;" - SDK 00"&amp;Y21</f>
        <v>PEM029-001 - SDK 001</v>
      </c>
      <c r="AC21" s="23"/>
    </row>
    <row r="22" spans="1:29" ht="21" customHeight="1" x14ac:dyDescent="0.35">
      <c r="A22" s="5"/>
      <c r="B22" s="6"/>
      <c r="C22" s="41"/>
      <c r="D22" s="41"/>
      <c r="E22" s="40"/>
      <c r="F22" s="41"/>
      <c r="G22" s="41"/>
      <c r="H22" s="41"/>
      <c r="I22" s="41"/>
      <c r="J22" s="42"/>
      <c r="K22" s="58">
        <v>0</v>
      </c>
      <c r="L22" s="62" t="s">
        <v>916</v>
      </c>
      <c r="M22" s="61"/>
      <c r="N22" s="61"/>
      <c r="O22" s="61"/>
      <c r="P22" s="61"/>
      <c r="Q22" s="59"/>
      <c r="R22" s="63">
        <v>41520</v>
      </c>
      <c r="S22" s="64" t="s">
        <v>1039</v>
      </c>
      <c r="T22" s="17" t="s">
        <v>1058</v>
      </c>
      <c r="U22" s="17"/>
      <c r="V22" s="18"/>
      <c r="X22" s="50">
        <f>$X$21</f>
        <v>0</v>
      </c>
      <c r="Y22" s="51">
        <v>2</v>
      </c>
      <c r="Z22" s="53" t="str">
        <f>$Z$21</f>
        <v>PEM029-001</v>
      </c>
      <c r="AA22" s="51" t="s">
        <v>32</v>
      </c>
      <c r="AB22" s="51" t="str">
        <f t="shared" ref="AB22:AB29" si="0">$I$8&amp;" - SDK 00"&amp;Y22</f>
        <v>PEM029-001 - SDK 002</v>
      </c>
      <c r="AC22" s="23"/>
    </row>
    <row r="23" spans="1:29" s="23" customFormat="1" ht="21" customHeight="1" x14ac:dyDescent="0.35">
      <c r="A23" s="19"/>
      <c r="B23" s="20"/>
      <c r="C23" s="41"/>
      <c r="D23" s="41"/>
      <c r="E23" s="40"/>
      <c r="F23" s="41"/>
      <c r="G23" s="41"/>
      <c r="H23" s="41"/>
      <c r="I23" s="41"/>
      <c r="J23" s="42"/>
      <c r="K23" s="58"/>
      <c r="L23" s="60"/>
      <c r="M23" s="31"/>
      <c r="N23" s="35"/>
      <c r="O23" s="35"/>
      <c r="P23" s="35"/>
      <c r="Q23" s="30"/>
      <c r="R23" s="57"/>
      <c r="S23" s="49"/>
      <c r="T23" s="17"/>
      <c r="U23" s="17"/>
      <c r="V23" s="22"/>
      <c r="X23" s="50">
        <f t="shared" ref="X23:X50" si="1">$X$21</f>
        <v>0</v>
      </c>
      <c r="Y23" s="51">
        <v>3</v>
      </c>
      <c r="Z23" s="53" t="str">
        <f t="shared" ref="Z23:Z50" si="2">$Z$21</f>
        <v>PEM029-001</v>
      </c>
      <c r="AA23" s="51" t="s">
        <v>32</v>
      </c>
      <c r="AB23" s="51" t="str">
        <f t="shared" si="0"/>
        <v>PEM029-001 - SDK 003</v>
      </c>
    </row>
    <row r="24" spans="1:29" ht="21" customHeight="1" x14ac:dyDescent="0.35">
      <c r="A24" s="5"/>
      <c r="B24" s="6"/>
      <c r="C24" s="41"/>
      <c r="D24" s="41"/>
      <c r="E24" s="40"/>
      <c r="F24" s="41"/>
      <c r="G24" s="41"/>
      <c r="H24" s="41"/>
      <c r="I24" s="41"/>
      <c r="J24" s="42"/>
      <c r="K24" s="21"/>
      <c r="L24" s="33"/>
      <c r="M24" s="36"/>
      <c r="N24" s="36"/>
      <c r="O24" s="36"/>
      <c r="P24" s="36"/>
      <c r="Q24" s="32"/>
      <c r="R24" s="57"/>
      <c r="S24" s="49"/>
      <c r="T24" s="24"/>
      <c r="U24" s="24"/>
      <c r="V24" s="25"/>
      <c r="X24" s="50">
        <f t="shared" si="1"/>
        <v>0</v>
      </c>
      <c r="Y24" s="51">
        <v>4</v>
      </c>
      <c r="Z24" s="53" t="str">
        <f t="shared" si="2"/>
        <v>PEM029-001</v>
      </c>
      <c r="AA24" s="51" t="s">
        <v>32</v>
      </c>
      <c r="AB24" s="51" t="str">
        <f t="shared" si="0"/>
        <v>PEM029-001 - SDK 004</v>
      </c>
      <c r="AC24" s="23"/>
    </row>
    <row r="25" spans="1:29" ht="21" customHeight="1" x14ac:dyDescent="0.35">
      <c r="A25" s="5"/>
      <c r="B25" s="6"/>
      <c r="C25" s="41"/>
      <c r="D25" s="41"/>
      <c r="E25" s="40"/>
      <c r="F25" s="41"/>
      <c r="G25" s="41"/>
      <c r="H25" s="41"/>
      <c r="I25" s="41"/>
      <c r="J25" s="42"/>
      <c r="K25" s="21"/>
      <c r="L25" s="33"/>
      <c r="M25" s="36"/>
      <c r="N25" s="36"/>
      <c r="O25" s="36"/>
      <c r="P25" s="36"/>
      <c r="Q25" s="32"/>
      <c r="R25" s="63"/>
      <c r="S25" s="71"/>
      <c r="T25" s="17"/>
      <c r="U25" s="17"/>
      <c r="V25" s="22"/>
      <c r="X25" s="50">
        <f t="shared" si="1"/>
        <v>0</v>
      </c>
      <c r="Y25" s="51">
        <v>5</v>
      </c>
      <c r="Z25" s="53" t="str">
        <f t="shared" si="2"/>
        <v>PEM029-001</v>
      </c>
      <c r="AA25" s="51" t="s">
        <v>32</v>
      </c>
      <c r="AB25" s="51" t="str">
        <f t="shared" si="0"/>
        <v>PEM029-001 - SDK 005</v>
      </c>
      <c r="AC25" s="23"/>
    </row>
    <row r="26" spans="1:29" ht="21" customHeight="1" thickBot="1" x14ac:dyDescent="0.4">
      <c r="A26" s="26"/>
      <c r="B26" s="27"/>
      <c r="C26" s="44"/>
      <c r="D26" s="44"/>
      <c r="E26" s="43"/>
      <c r="F26" s="44"/>
      <c r="G26" s="46" t="s">
        <v>925</v>
      </c>
      <c r="H26" s="46"/>
      <c r="I26" s="44"/>
      <c r="J26" s="45"/>
      <c r="K26" s="65"/>
      <c r="L26" s="66"/>
      <c r="M26" s="67"/>
      <c r="N26" s="67"/>
      <c r="O26" s="67"/>
      <c r="P26" s="67"/>
      <c r="Q26" s="68"/>
      <c r="R26" s="69"/>
      <c r="S26" s="70"/>
      <c r="T26" s="34"/>
      <c r="U26" s="28"/>
      <c r="V26" s="29"/>
      <c r="X26" s="50">
        <f t="shared" si="1"/>
        <v>0</v>
      </c>
      <c r="Y26" s="51">
        <v>6</v>
      </c>
      <c r="Z26" s="53" t="str">
        <f t="shared" si="2"/>
        <v>PEM029-001</v>
      </c>
      <c r="AA26" s="51" t="s">
        <v>32</v>
      </c>
      <c r="AB26" s="51" t="str">
        <f t="shared" si="0"/>
        <v>PEM029-001 - SDK 006</v>
      </c>
      <c r="AC26" s="23"/>
    </row>
    <row r="27" spans="1:29" ht="24" customHeight="1" x14ac:dyDescent="0.35">
      <c r="X27" s="50">
        <f t="shared" si="1"/>
        <v>0</v>
      </c>
      <c r="Y27" s="51">
        <v>7</v>
      </c>
      <c r="Z27" s="53" t="str">
        <f t="shared" si="2"/>
        <v>PEM029-001</v>
      </c>
      <c r="AA27" s="51" t="s">
        <v>32</v>
      </c>
      <c r="AB27" s="51" t="str">
        <f t="shared" si="0"/>
        <v>PEM029-001 - SDK 007</v>
      </c>
      <c r="AC27" s="23"/>
    </row>
    <row r="28" spans="1:29" ht="15.95" customHeight="1" x14ac:dyDescent="0.35">
      <c r="X28" s="50">
        <f t="shared" si="1"/>
        <v>0</v>
      </c>
      <c r="Y28" s="51">
        <v>8</v>
      </c>
      <c r="Z28" s="53" t="str">
        <f t="shared" si="2"/>
        <v>PEM029-001</v>
      </c>
      <c r="AA28" s="51" t="s">
        <v>32</v>
      </c>
      <c r="AB28" s="51" t="str">
        <f t="shared" si="0"/>
        <v>PEM029-001 - SDK 008</v>
      </c>
      <c r="AC28" s="23"/>
    </row>
    <row r="29" spans="1:29" ht="15.95" customHeight="1" x14ac:dyDescent="0.35">
      <c r="X29" s="50">
        <f t="shared" si="1"/>
        <v>0</v>
      </c>
      <c r="Y29" s="51">
        <v>9</v>
      </c>
      <c r="Z29" s="53" t="str">
        <f t="shared" si="2"/>
        <v>PEM029-001</v>
      </c>
      <c r="AA29" s="51" t="s">
        <v>32</v>
      </c>
      <c r="AB29" s="51" t="str">
        <f t="shared" si="0"/>
        <v>PEM029-001 - SDK 009</v>
      </c>
      <c r="AC29" s="23"/>
    </row>
    <row r="30" spans="1:29" ht="15.95" customHeight="1" x14ac:dyDescent="0.35">
      <c r="X30" s="50">
        <f t="shared" si="1"/>
        <v>0</v>
      </c>
      <c r="Y30" s="51">
        <v>10</v>
      </c>
      <c r="Z30" s="53" t="str">
        <f t="shared" si="2"/>
        <v>PEM029-001</v>
      </c>
      <c r="AA30" s="51" t="s">
        <v>32</v>
      </c>
      <c r="AB30" s="51" t="str">
        <f>$I$8&amp;" - SDK 0"&amp;Y30</f>
        <v>PEM029-001 - SDK 010</v>
      </c>
      <c r="AC30" s="23"/>
    </row>
    <row r="31" spans="1:29" x14ac:dyDescent="0.35">
      <c r="T31" s="6"/>
      <c r="X31" s="50">
        <f t="shared" si="1"/>
        <v>0</v>
      </c>
      <c r="Y31" s="48">
        <v>11</v>
      </c>
      <c r="Z31" s="53" t="str">
        <f t="shared" si="2"/>
        <v>PEM029-001</v>
      </c>
      <c r="AA31" s="48" t="s">
        <v>32</v>
      </c>
      <c r="AB31" s="51" t="str">
        <f t="shared" ref="AB31:AB40" si="3">$I$8&amp;" - SDK 0"&amp;Y31</f>
        <v>PEM029-001 - SDK 011</v>
      </c>
      <c r="AC31" s="23"/>
    </row>
    <row r="32" spans="1:29" x14ac:dyDescent="0.35">
      <c r="X32" s="50">
        <f t="shared" si="1"/>
        <v>0</v>
      </c>
      <c r="Y32" s="48">
        <v>12</v>
      </c>
      <c r="Z32" s="53" t="str">
        <f t="shared" si="2"/>
        <v>PEM029-001</v>
      </c>
      <c r="AA32" s="48" t="s">
        <v>32</v>
      </c>
      <c r="AB32" s="51" t="str">
        <f t="shared" si="3"/>
        <v>PEM029-001 - SDK 012</v>
      </c>
    </row>
    <row r="33" spans="6:28" x14ac:dyDescent="0.35">
      <c r="X33" s="50">
        <f t="shared" si="1"/>
        <v>0</v>
      </c>
      <c r="Y33" s="48">
        <v>13</v>
      </c>
      <c r="Z33" s="53" t="str">
        <f t="shared" si="2"/>
        <v>PEM029-001</v>
      </c>
      <c r="AA33" s="48" t="s">
        <v>32</v>
      </c>
      <c r="AB33" s="51" t="str">
        <f t="shared" si="3"/>
        <v>PEM029-001 - SDK 013</v>
      </c>
    </row>
    <row r="34" spans="6:28" x14ac:dyDescent="0.35">
      <c r="X34" s="50">
        <f t="shared" si="1"/>
        <v>0</v>
      </c>
      <c r="Y34" s="48">
        <v>14</v>
      </c>
      <c r="Z34" s="53" t="str">
        <f t="shared" si="2"/>
        <v>PEM029-001</v>
      </c>
      <c r="AA34" s="48" t="s">
        <v>32</v>
      </c>
      <c r="AB34" s="51" t="str">
        <f t="shared" si="3"/>
        <v>PEM029-001 - SDK 014</v>
      </c>
    </row>
    <row r="35" spans="6:28" x14ac:dyDescent="0.35">
      <c r="X35" s="50">
        <f t="shared" si="1"/>
        <v>0</v>
      </c>
      <c r="Y35" s="48">
        <v>15</v>
      </c>
      <c r="Z35" s="53" t="str">
        <f t="shared" si="2"/>
        <v>PEM029-001</v>
      </c>
      <c r="AA35" s="48" t="s">
        <v>32</v>
      </c>
      <c r="AB35" s="51" t="str">
        <f t="shared" si="3"/>
        <v>PEM029-001 - SDK 015</v>
      </c>
    </row>
    <row r="36" spans="6:28" x14ac:dyDescent="0.35">
      <c r="X36" s="50">
        <f t="shared" si="1"/>
        <v>0</v>
      </c>
      <c r="Y36" s="48">
        <v>16</v>
      </c>
      <c r="Z36" s="53" t="str">
        <f t="shared" si="2"/>
        <v>PEM029-001</v>
      </c>
      <c r="AA36" s="48" t="s">
        <v>32</v>
      </c>
      <c r="AB36" s="51" t="str">
        <f t="shared" si="3"/>
        <v>PEM029-001 - SDK 016</v>
      </c>
    </row>
    <row r="37" spans="6:28" x14ac:dyDescent="0.35">
      <c r="F37" s="47"/>
      <c r="X37" s="50">
        <f t="shared" si="1"/>
        <v>0</v>
      </c>
      <c r="Y37" s="48">
        <v>17</v>
      </c>
      <c r="Z37" s="53" t="str">
        <f t="shared" si="2"/>
        <v>PEM029-001</v>
      </c>
      <c r="AA37" s="48" t="s">
        <v>32</v>
      </c>
      <c r="AB37" s="51" t="str">
        <f t="shared" si="3"/>
        <v>PEM029-001 - SDK 017</v>
      </c>
    </row>
    <row r="38" spans="6:28" x14ac:dyDescent="0.35">
      <c r="F38" s="47"/>
      <c r="X38" s="50">
        <f t="shared" si="1"/>
        <v>0</v>
      </c>
      <c r="Y38" s="48">
        <v>18</v>
      </c>
      <c r="Z38" s="53" t="str">
        <f t="shared" si="2"/>
        <v>PEM029-001</v>
      </c>
      <c r="AA38" s="48" t="s">
        <v>32</v>
      </c>
      <c r="AB38" s="51" t="str">
        <f t="shared" si="3"/>
        <v>PEM029-001 - SDK 018</v>
      </c>
    </row>
    <row r="39" spans="6:28" x14ac:dyDescent="0.35">
      <c r="F39" s="47"/>
      <c r="X39" s="50">
        <f t="shared" si="1"/>
        <v>0</v>
      </c>
      <c r="Y39" s="48">
        <v>19</v>
      </c>
      <c r="Z39" s="53" t="str">
        <f t="shared" si="2"/>
        <v>PEM029-001</v>
      </c>
      <c r="AA39" s="48" t="s">
        <v>32</v>
      </c>
      <c r="AB39" s="51" t="str">
        <f t="shared" si="3"/>
        <v>PEM029-001 - SDK 019</v>
      </c>
    </row>
    <row r="40" spans="6:28" x14ac:dyDescent="0.35">
      <c r="X40" s="50">
        <f t="shared" si="1"/>
        <v>0</v>
      </c>
      <c r="Y40" s="48">
        <v>20</v>
      </c>
      <c r="Z40" s="53" t="str">
        <f t="shared" si="2"/>
        <v>PEM029-001</v>
      </c>
      <c r="AA40" s="48" t="s">
        <v>32</v>
      </c>
      <c r="AB40" s="51" t="str">
        <f t="shared" si="3"/>
        <v>PEM029-001 - SDK 020</v>
      </c>
    </row>
    <row r="41" spans="6:28" x14ac:dyDescent="0.35">
      <c r="X41" s="50">
        <f t="shared" si="1"/>
        <v>0</v>
      </c>
      <c r="Y41" s="51">
        <v>21</v>
      </c>
      <c r="Z41" s="53" t="str">
        <f t="shared" si="2"/>
        <v>PEM029-001</v>
      </c>
      <c r="AA41" s="51" t="s">
        <v>32</v>
      </c>
      <c r="AB41" s="51" t="str">
        <f t="shared" ref="AB41:AB50" si="4">$I$8&amp;" - SDK 0"&amp;Y41</f>
        <v>PEM029-001 - SDK 021</v>
      </c>
    </row>
    <row r="42" spans="6:28" x14ac:dyDescent="0.35">
      <c r="X42" s="50">
        <f t="shared" si="1"/>
        <v>0</v>
      </c>
      <c r="Y42" s="51">
        <v>22</v>
      </c>
      <c r="Z42" s="53" t="str">
        <f t="shared" si="2"/>
        <v>PEM029-001</v>
      </c>
      <c r="AA42" s="51" t="s">
        <v>32</v>
      </c>
      <c r="AB42" s="51" t="str">
        <f t="shared" si="4"/>
        <v>PEM029-001 - SDK 022</v>
      </c>
    </row>
    <row r="43" spans="6:28" x14ac:dyDescent="0.35">
      <c r="X43" s="50">
        <f t="shared" si="1"/>
        <v>0</v>
      </c>
      <c r="Y43" s="51">
        <v>23</v>
      </c>
      <c r="Z43" s="53" t="str">
        <f t="shared" si="2"/>
        <v>PEM029-001</v>
      </c>
      <c r="AA43" s="51" t="s">
        <v>32</v>
      </c>
      <c r="AB43" s="51" t="str">
        <f t="shared" si="4"/>
        <v>PEM029-001 - SDK 023</v>
      </c>
    </row>
    <row r="44" spans="6:28" x14ac:dyDescent="0.35">
      <c r="X44" s="50">
        <f t="shared" si="1"/>
        <v>0</v>
      </c>
      <c r="Y44" s="51">
        <v>24</v>
      </c>
      <c r="Z44" s="53" t="str">
        <f t="shared" si="2"/>
        <v>PEM029-001</v>
      </c>
      <c r="AA44" s="51" t="s">
        <v>32</v>
      </c>
      <c r="AB44" s="51" t="str">
        <f t="shared" si="4"/>
        <v>PEM029-001 - SDK 024</v>
      </c>
    </row>
    <row r="45" spans="6:28" x14ac:dyDescent="0.35">
      <c r="X45" s="50">
        <f t="shared" si="1"/>
        <v>0</v>
      </c>
      <c r="Y45" s="51">
        <v>25</v>
      </c>
      <c r="Z45" s="53" t="str">
        <f t="shared" si="2"/>
        <v>PEM029-001</v>
      </c>
      <c r="AA45" s="51" t="s">
        <v>32</v>
      </c>
      <c r="AB45" s="51" t="str">
        <f t="shared" si="4"/>
        <v>PEM029-001 - SDK 025</v>
      </c>
    </row>
    <row r="46" spans="6:28" x14ac:dyDescent="0.35">
      <c r="X46" s="50">
        <f t="shared" si="1"/>
        <v>0</v>
      </c>
      <c r="Y46" s="51">
        <v>26</v>
      </c>
      <c r="Z46" s="53" t="str">
        <f t="shared" si="2"/>
        <v>PEM029-001</v>
      </c>
      <c r="AA46" s="51" t="s">
        <v>32</v>
      </c>
      <c r="AB46" s="51" t="str">
        <f t="shared" si="4"/>
        <v>PEM029-001 - SDK 026</v>
      </c>
    </row>
    <row r="47" spans="6:28" x14ac:dyDescent="0.35">
      <c r="X47" s="50">
        <f t="shared" si="1"/>
        <v>0</v>
      </c>
      <c r="Y47" s="51">
        <v>27</v>
      </c>
      <c r="Z47" s="53" t="str">
        <f t="shared" si="2"/>
        <v>PEM029-001</v>
      </c>
      <c r="AA47" s="51" t="s">
        <v>32</v>
      </c>
      <c r="AB47" s="51" t="str">
        <f t="shared" si="4"/>
        <v>PEM029-001 - SDK 027</v>
      </c>
    </row>
    <row r="48" spans="6:28" x14ac:dyDescent="0.35">
      <c r="X48" s="50">
        <f t="shared" si="1"/>
        <v>0</v>
      </c>
      <c r="Y48" s="51">
        <v>28</v>
      </c>
      <c r="Z48" s="53" t="str">
        <f t="shared" si="2"/>
        <v>PEM029-001</v>
      </c>
      <c r="AA48" s="51" t="s">
        <v>32</v>
      </c>
      <c r="AB48" s="51" t="str">
        <f t="shared" si="4"/>
        <v>PEM029-001 - SDK 028</v>
      </c>
    </row>
    <row r="49" spans="24:28" x14ac:dyDescent="0.35">
      <c r="X49" s="50">
        <f t="shared" si="1"/>
        <v>0</v>
      </c>
      <c r="Y49" s="51">
        <v>29</v>
      </c>
      <c r="Z49" s="53" t="str">
        <f t="shared" si="2"/>
        <v>PEM029-001</v>
      </c>
      <c r="AA49" s="51" t="s">
        <v>32</v>
      </c>
      <c r="AB49" s="51" t="str">
        <f t="shared" si="4"/>
        <v>PEM029-001 - SDK 029</v>
      </c>
    </row>
    <row r="50" spans="24:28" x14ac:dyDescent="0.35">
      <c r="X50" s="50">
        <f t="shared" si="1"/>
        <v>0</v>
      </c>
      <c r="Y50" s="51">
        <v>30</v>
      </c>
      <c r="Z50" s="53" t="str">
        <f t="shared" si="2"/>
        <v>PEM029-001</v>
      </c>
      <c r="AA50" s="51" t="s">
        <v>32</v>
      </c>
      <c r="AB50" s="51" t="str">
        <f t="shared" si="4"/>
        <v>PEM029-001 - SDK 030</v>
      </c>
    </row>
  </sheetData>
  <mergeCells count="3">
    <mergeCell ref="K20:M20"/>
    <mergeCell ref="N20:V20"/>
    <mergeCell ref="AA6:AR8"/>
  </mergeCells>
  <phoneticPr fontId="0" type="noConversion"/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66" orientation="landscape" r:id="rId1"/>
  <headerFooter alignWithMargins="0">
    <oddFooter xml:space="preserve">&amp;L&amp;F&amp;C&amp;D&amp;RLauren Concise Design Shutdown Key </oddFooter>
  </headerFooter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DQ70"/>
  <sheetViews>
    <sheetView showGridLines="0" view="pageBreakPreview" topLeftCell="B1" zoomScale="50" zoomScaleNormal="50" zoomScaleSheetLayoutView="50" zoomScalePageLayoutView="50" workbookViewId="0">
      <selection activeCell="J17" sqref="J17"/>
    </sheetView>
  </sheetViews>
  <sheetFormatPr defaultColWidth="12.7109375" defaultRowHeight="12" customHeight="1" x14ac:dyDescent="0.25"/>
  <cols>
    <col min="1" max="1" width="8.7109375" style="220" bestFit="1" customWidth="1"/>
    <col min="2" max="2" width="7.42578125" style="220" customWidth="1"/>
    <col min="3" max="3" width="10.5703125" style="220" bestFit="1" customWidth="1"/>
    <col min="4" max="4" width="36.7109375" style="220" bestFit="1" customWidth="1"/>
    <col min="5" max="5" width="95.85546875" style="222" bestFit="1" customWidth="1"/>
    <col min="6" max="6" width="18.42578125" style="221" bestFit="1" customWidth="1"/>
    <col min="7" max="7" width="31.5703125" style="221" bestFit="1" customWidth="1"/>
    <col min="8" max="8" width="33" style="221" bestFit="1" customWidth="1"/>
    <col min="9" max="10" width="8.42578125" style="316" customWidth="1"/>
    <col min="11" max="11" width="10.85546875" style="316" bestFit="1" customWidth="1"/>
    <col min="12" max="12" width="6.140625" style="442" customWidth="1"/>
    <col min="13" max="21" width="6.140625" style="222" customWidth="1"/>
    <col min="22" max="22" width="6.140625" style="442" customWidth="1"/>
    <col min="23" max="31" width="6.140625" style="222" customWidth="1"/>
    <col min="32" max="32" width="6.140625" style="442" customWidth="1"/>
    <col min="33" max="41" width="6.140625" style="222" customWidth="1"/>
    <col min="42" max="42" width="6.140625" style="442" customWidth="1"/>
    <col min="43" max="51" width="6.140625" style="222" customWidth="1"/>
    <col min="52" max="52" width="6.140625" style="442" customWidth="1"/>
    <col min="53" max="61" width="6.140625" style="222" customWidth="1"/>
    <col min="62" max="62" width="6.140625" style="442" customWidth="1"/>
    <col min="63" max="71" width="6.140625" style="222" customWidth="1"/>
    <col min="72" max="72" width="6.140625" style="442" customWidth="1"/>
    <col min="73" max="80" width="6.140625" style="222" customWidth="1"/>
    <col min="81" max="81" width="6.140625" style="444" customWidth="1"/>
    <col min="82" max="91" width="6.140625" style="222" customWidth="1"/>
    <col min="92" max="16384" width="12.7109375" style="222"/>
  </cols>
  <sheetData>
    <row r="1" spans="1:121" s="339" customFormat="1" ht="20.25" customHeight="1" x14ac:dyDescent="0.25">
      <c r="A1" s="256"/>
      <c r="B1" s="334"/>
      <c r="C1" s="334"/>
      <c r="D1" s="334"/>
      <c r="E1" s="305"/>
      <c r="F1" s="335"/>
      <c r="G1" s="335"/>
      <c r="H1" s="335"/>
      <c r="I1" s="336"/>
      <c r="J1" s="337" t="s">
        <v>0</v>
      </c>
      <c r="K1" s="338"/>
      <c r="L1" s="136">
        <v>1</v>
      </c>
      <c r="M1" s="103">
        <v>2</v>
      </c>
      <c r="N1" s="103">
        <v>3</v>
      </c>
      <c r="O1" s="103">
        <v>4</v>
      </c>
      <c r="P1" s="137">
        <v>5</v>
      </c>
      <c r="Q1" s="136">
        <v>6</v>
      </c>
      <c r="R1" s="103">
        <v>7</v>
      </c>
      <c r="S1" s="103">
        <v>8</v>
      </c>
      <c r="T1" s="103">
        <v>9</v>
      </c>
      <c r="U1" s="138">
        <v>10</v>
      </c>
      <c r="V1" s="139">
        <v>11</v>
      </c>
      <c r="W1" s="103">
        <v>12</v>
      </c>
      <c r="X1" s="103">
        <v>13</v>
      </c>
      <c r="Y1" s="103">
        <v>14</v>
      </c>
      <c r="Z1" s="137">
        <v>15</v>
      </c>
      <c r="AA1" s="136">
        <v>16</v>
      </c>
      <c r="AB1" s="103">
        <v>17</v>
      </c>
      <c r="AC1" s="103">
        <v>18</v>
      </c>
      <c r="AD1" s="103">
        <v>19</v>
      </c>
      <c r="AE1" s="138">
        <v>20</v>
      </c>
      <c r="AF1" s="139">
        <v>21</v>
      </c>
      <c r="AG1" s="103">
        <v>22</v>
      </c>
      <c r="AH1" s="103">
        <v>23</v>
      </c>
      <c r="AI1" s="103">
        <v>24</v>
      </c>
      <c r="AJ1" s="137">
        <v>25</v>
      </c>
      <c r="AK1" s="136">
        <v>26</v>
      </c>
      <c r="AL1" s="103">
        <v>27</v>
      </c>
      <c r="AM1" s="103">
        <v>28</v>
      </c>
      <c r="AN1" s="103">
        <v>29</v>
      </c>
      <c r="AO1" s="138">
        <v>30</v>
      </c>
      <c r="AP1" s="139">
        <v>31</v>
      </c>
      <c r="AQ1" s="103">
        <v>32</v>
      </c>
      <c r="AR1" s="103">
        <v>33</v>
      </c>
      <c r="AS1" s="103">
        <v>34</v>
      </c>
      <c r="AT1" s="137">
        <v>35</v>
      </c>
      <c r="AU1" s="136">
        <v>36</v>
      </c>
      <c r="AV1" s="103">
        <v>37</v>
      </c>
      <c r="AW1" s="103">
        <v>38</v>
      </c>
      <c r="AX1" s="103">
        <v>39</v>
      </c>
      <c r="AY1" s="138">
        <v>40</v>
      </c>
      <c r="AZ1" s="139">
        <v>41</v>
      </c>
      <c r="BA1" s="103">
        <v>42</v>
      </c>
      <c r="BB1" s="103">
        <v>43</v>
      </c>
      <c r="BC1" s="103">
        <v>44</v>
      </c>
      <c r="BD1" s="137">
        <v>45</v>
      </c>
      <c r="BE1" s="136">
        <v>46</v>
      </c>
      <c r="BF1" s="103">
        <v>47</v>
      </c>
      <c r="BG1" s="103">
        <v>48</v>
      </c>
      <c r="BH1" s="103">
        <v>49</v>
      </c>
      <c r="BI1" s="138">
        <v>50</v>
      </c>
      <c r="BJ1" s="139">
        <v>51</v>
      </c>
      <c r="BK1" s="103">
        <v>52</v>
      </c>
      <c r="BL1" s="103">
        <v>53</v>
      </c>
      <c r="BM1" s="103">
        <v>54</v>
      </c>
      <c r="BN1" s="137">
        <v>55</v>
      </c>
      <c r="BO1" s="136">
        <v>56</v>
      </c>
      <c r="BP1" s="103">
        <v>57</v>
      </c>
      <c r="BQ1" s="103">
        <v>58</v>
      </c>
      <c r="BR1" s="103">
        <v>59</v>
      </c>
      <c r="BS1" s="138">
        <v>60</v>
      </c>
      <c r="BT1" s="139">
        <v>61</v>
      </c>
      <c r="BU1" s="103">
        <v>62</v>
      </c>
      <c r="BV1" s="103">
        <v>63</v>
      </c>
      <c r="BW1" s="103">
        <v>64</v>
      </c>
      <c r="BX1" s="137">
        <v>65</v>
      </c>
      <c r="BY1" s="136">
        <v>66</v>
      </c>
      <c r="BZ1" s="103">
        <v>67</v>
      </c>
      <c r="CA1" s="103">
        <v>68</v>
      </c>
      <c r="CB1" s="103">
        <v>69</v>
      </c>
      <c r="CC1" s="138">
        <v>70</v>
      </c>
      <c r="CD1" s="139">
        <v>71</v>
      </c>
      <c r="CE1" s="103">
        <v>72</v>
      </c>
      <c r="CF1" s="103">
        <v>73</v>
      </c>
      <c r="CG1" s="103">
        <v>74</v>
      </c>
      <c r="CH1" s="138">
        <v>75</v>
      </c>
      <c r="CI1" s="139">
        <v>76</v>
      </c>
      <c r="CJ1" s="103">
        <v>77</v>
      </c>
      <c r="CK1" s="103">
        <v>78</v>
      </c>
      <c r="CL1" s="103">
        <v>79</v>
      </c>
      <c r="CM1" s="137">
        <v>80</v>
      </c>
      <c r="CN1" s="220"/>
      <c r="CO1" s="220"/>
      <c r="CP1" s="220"/>
      <c r="CQ1" s="220"/>
      <c r="CR1" s="220"/>
      <c r="CS1" s="220"/>
      <c r="CT1" s="220"/>
      <c r="CU1" s="220"/>
      <c r="CV1" s="220"/>
      <c r="CW1" s="220"/>
      <c r="CX1" s="220"/>
      <c r="CY1" s="220"/>
      <c r="CZ1" s="220"/>
      <c r="DA1" s="220"/>
      <c r="DB1" s="220"/>
      <c r="DC1" s="220"/>
      <c r="DD1" s="220"/>
      <c r="DE1" s="220"/>
      <c r="DF1" s="220"/>
      <c r="DG1" s="220"/>
      <c r="DH1" s="220"/>
      <c r="DI1" s="220"/>
      <c r="DJ1" s="220"/>
      <c r="DK1" s="220"/>
      <c r="DL1" s="220"/>
      <c r="DM1" s="220"/>
      <c r="DN1" s="220"/>
      <c r="DO1" s="220"/>
      <c r="DP1" s="220"/>
      <c r="DQ1" s="220"/>
    </row>
    <row r="2" spans="1:121" s="339" customFormat="1" ht="24" customHeight="1" thickBot="1" x14ac:dyDescent="0.25">
      <c r="A2" s="184"/>
      <c r="B2" s="220"/>
      <c r="C2" s="220"/>
      <c r="D2" s="220"/>
      <c r="F2" s="221"/>
      <c r="G2" s="221"/>
      <c r="H2" s="221"/>
      <c r="I2" s="340"/>
      <c r="J2" s="341" t="s">
        <v>38</v>
      </c>
      <c r="K2" s="342"/>
      <c r="L2" s="140">
        <v>0</v>
      </c>
      <c r="M2" s="76">
        <v>0</v>
      </c>
      <c r="N2" s="76">
        <v>0</v>
      </c>
      <c r="O2" s="76">
        <v>0</v>
      </c>
      <c r="P2" s="141">
        <v>0</v>
      </c>
      <c r="Q2" s="140"/>
      <c r="R2" s="76"/>
      <c r="S2" s="76">
        <v>0</v>
      </c>
      <c r="T2" s="76">
        <v>0</v>
      </c>
      <c r="U2" s="81">
        <v>0</v>
      </c>
      <c r="V2" s="142">
        <v>0</v>
      </c>
      <c r="W2" s="76">
        <v>0</v>
      </c>
      <c r="X2" s="76">
        <v>0</v>
      </c>
      <c r="Y2" s="76">
        <v>0</v>
      </c>
      <c r="Z2" s="141">
        <v>0</v>
      </c>
      <c r="AA2" s="140">
        <v>0</v>
      </c>
      <c r="AB2" s="76">
        <v>0</v>
      </c>
      <c r="AC2" s="76">
        <v>0</v>
      </c>
      <c r="AD2" s="76">
        <v>0</v>
      </c>
      <c r="AE2" s="81">
        <v>0</v>
      </c>
      <c r="AF2" s="142">
        <v>0</v>
      </c>
      <c r="AG2" s="76">
        <v>0</v>
      </c>
      <c r="AH2" s="76">
        <v>0</v>
      </c>
      <c r="AI2" s="76">
        <v>0</v>
      </c>
      <c r="AJ2" s="141"/>
      <c r="AK2" s="140"/>
      <c r="AL2" s="76">
        <v>0</v>
      </c>
      <c r="AM2" s="76">
        <v>0</v>
      </c>
      <c r="AN2" s="76">
        <v>0</v>
      </c>
      <c r="AO2" s="81">
        <v>0</v>
      </c>
      <c r="AP2" s="142">
        <v>0</v>
      </c>
      <c r="AQ2" s="76">
        <v>0</v>
      </c>
      <c r="AR2" s="76">
        <v>0</v>
      </c>
      <c r="AS2" s="76"/>
      <c r="AT2" s="141"/>
      <c r="AU2" s="140">
        <v>0</v>
      </c>
      <c r="AV2" s="76">
        <v>0</v>
      </c>
      <c r="AW2" s="76">
        <v>0</v>
      </c>
      <c r="AX2" s="76">
        <v>0</v>
      </c>
      <c r="AY2" s="81">
        <v>0</v>
      </c>
      <c r="AZ2" s="142">
        <v>0</v>
      </c>
      <c r="BA2" s="76">
        <v>0</v>
      </c>
      <c r="BB2" s="76">
        <v>0</v>
      </c>
      <c r="BC2" s="76">
        <v>0</v>
      </c>
      <c r="BD2" s="141">
        <v>0</v>
      </c>
      <c r="BE2" s="140"/>
      <c r="BF2" s="76"/>
      <c r="BG2" s="76">
        <v>0</v>
      </c>
      <c r="BH2" s="76">
        <v>0</v>
      </c>
      <c r="BI2" s="81">
        <v>0</v>
      </c>
      <c r="BJ2" s="142">
        <v>0</v>
      </c>
      <c r="BK2" s="76">
        <v>0</v>
      </c>
      <c r="BL2" s="76">
        <v>0</v>
      </c>
      <c r="BM2" s="76">
        <v>0</v>
      </c>
      <c r="BN2" s="141">
        <v>0</v>
      </c>
      <c r="BO2" s="140">
        <v>0</v>
      </c>
      <c r="BP2" s="76">
        <v>0</v>
      </c>
      <c r="BQ2" s="76"/>
      <c r="BR2" s="76"/>
      <c r="BS2" s="81">
        <v>0</v>
      </c>
      <c r="BT2" s="142"/>
      <c r="BU2" s="76"/>
      <c r="BV2" s="76">
        <v>0</v>
      </c>
      <c r="BW2" s="76">
        <v>0</v>
      </c>
      <c r="BX2" s="141">
        <v>0</v>
      </c>
      <c r="BY2" s="140">
        <v>0</v>
      </c>
      <c r="BZ2" s="76"/>
      <c r="CA2" s="76"/>
      <c r="CB2" s="76">
        <v>0</v>
      </c>
      <c r="CC2" s="81">
        <v>0</v>
      </c>
      <c r="CD2" s="142">
        <v>0</v>
      </c>
      <c r="CE2" s="76"/>
      <c r="CF2" s="76"/>
      <c r="CG2" s="76">
        <v>0</v>
      </c>
      <c r="CH2" s="81">
        <v>0</v>
      </c>
      <c r="CI2" s="142">
        <v>0</v>
      </c>
      <c r="CJ2" s="76"/>
      <c r="CK2" s="76"/>
      <c r="CL2" s="76"/>
      <c r="CM2" s="141"/>
      <c r="CN2" s="234"/>
      <c r="CO2" s="234"/>
      <c r="CP2" s="234"/>
      <c r="CQ2" s="234"/>
      <c r="CR2" s="234"/>
      <c r="CS2" s="234"/>
      <c r="CT2" s="234"/>
      <c r="CU2" s="234"/>
      <c r="CV2" s="234"/>
      <c r="CW2" s="234"/>
      <c r="CX2" s="234"/>
      <c r="CY2" s="234"/>
      <c r="CZ2" s="234"/>
      <c r="DA2" s="234"/>
      <c r="DB2" s="234"/>
      <c r="DC2" s="234"/>
      <c r="DD2" s="234"/>
      <c r="DE2" s="234"/>
      <c r="DF2" s="234"/>
      <c r="DG2" s="234"/>
      <c r="DH2" s="234"/>
      <c r="DI2" s="234"/>
      <c r="DJ2" s="234"/>
      <c r="DK2" s="234"/>
      <c r="DL2" s="234"/>
      <c r="DM2" s="234"/>
      <c r="DN2" s="234"/>
      <c r="DO2" s="234"/>
      <c r="DP2" s="234"/>
      <c r="DQ2" s="220"/>
    </row>
    <row r="3" spans="1:121" ht="111" customHeight="1" x14ac:dyDescent="0.2">
      <c r="A3" s="184"/>
      <c r="I3" s="644" t="s">
        <v>35</v>
      </c>
      <c r="J3" s="645"/>
      <c r="K3" s="646"/>
      <c r="L3" s="143" t="s">
        <v>1044</v>
      </c>
      <c r="M3" s="144" t="s">
        <v>1044</v>
      </c>
      <c r="N3" s="144" t="s">
        <v>1044</v>
      </c>
      <c r="O3" s="144" t="s">
        <v>1044</v>
      </c>
      <c r="P3" s="145" t="s">
        <v>1044</v>
      </c>
      <c r="Q3" s="143"/>
      <c r="R3" s="146"/>
      <c r="S3" s="288" t="s">
        <v>1044</v>
      </c>
      <c r="T3" s="146">
        <v>5</v>
      </c>
      <c r="U3" s="317" t="s">
        <v>1044</v>
      </c>
      <c r="V3" s="147">
        <v>5</v>
      </c>
      <c r="W3" s="146">
        <v>5</v>
      </c>
      <c r="X3" s="146">
        <v>5</v>
      </c>
      <c r="Y3" s="288" t="s">
        <v>1044</v>
      </c>
      <c r="Z3" s="148">
        <v>5</v>
      </c>
      <c r="AA3" s="149">
        <v>5</v>
      </c>
      <c r="AB3" s="146">
        <v>5</v>
      </c>
      <c r="AC3" s="146">
        <v>5</v>
      </c>
      <c r="AD3" s="146">
        <v>5</v>
      </c>
      <c r="AE3" s="150" t="s">
        <v>135</v>
      </c>
      <c r="AF3" s="147" t="s">
        <v>135</v>
      </c>
      <c r="AG3" s="146">
        <v>5</v>
      </c>
      <c r="AH3" s="146">
        <v>5</v>
      </c>
      <c r="AI3" s="146" t="s">
        <v>1044</v>
      </c>
      <c r="AJ3" s="148"/>
      <c r="AK3" s="149"/>
      <c r="AL3" s="146">
        <v>1</v>
      </c>
      <c r="AM3" s="146">
        <v>1</v>
      </c>
      <c r="AN3" s="146">
        <v>1</v>
      </c>
      <c r="AO3" s="150">
        <v>1</v>
      </c>
      <c r="AP3" s="147">
        <v>1</v>
      </c>
      <c r="AQ3" s="146">
        <v>1</v>
      </c>
      <c r="AR3" s="146">
        <v>1</v>
      </c>
      <c r="AS3" s="151"/>
      <c r="AT3" s="148"/>
      <c r="AU3" s="149" t="s">
        <v>135</v>
      </c>
      <c r="AV3" s="146" t="s">
        <v>135</v>
      </c>
      <c r="AW3" s="146" t="s">
        <v>135</v>
      </c>
      <c r="AX3" s="146" t="s">
        <v>135</v>
      </c>
      <c r="AY3" s="150" t="s">
        <v>135</v>
      </c>
      <c r="AZ3" s="147">
        <v>4</v>
      </c>
      <c r="BA3" s="146">
        <v>2</v>
      </c>
      <c r="BB3" s="146">
        <v>2</v>
      </c>
      <c r="BC3" s="146">
        <v>2</v>
      </c>
      <c r="BD3" s="148">
        <v>2</v>
      </c>
      <c r="BE3" s="149"/>
      <c r="BF3" s="146"/>
      <c r="BG3" s="146" t="s">
        <v>135</v>
      </c>
      <c r="BH3" s="146" t="s">
        <v>135</v>
      </c>
      <c r="BI3" s="150" t="s">
        <v>135</v>
      </c>
      <c r="BJ3" s="147" t="s">
        <v>135</v>
      </c>
      <c r="BK3" s="146" t="s">
        <v>135</v>
      </c>
      <c r="BL3" s="146">
        <v>4</v>
      </c>
      <c r="BM3" s="146">
        <v>2</v>
      </c>
      <c r="BN3" s="148">
        <v>2</v>
      </c>
      <c r="BO3" s="149">
        <v>2</v>
      </c>
      <c r="BP3" s="146">
        <v>2</v>
      </c>
      <c r="BQ3" s="146"/>
      <c r="BR3" s="146"/>
      <c r="BS3" s="150">
        <v>3</v>
      </c>
      <c r="BT3" s="147"/>
      <c r="BU3" s="146"/>
      <c r="BV3" s="146" t="s">
        <v>135</v>
      </c>
      <c r="BW3" s="146" t="s">
        <v>135</v>
      </c>
      <c r="BX3" s="148" t="s">
        <v>135</v>
      </c>
      <c r="BY3" s="149" t="s">
        <v>135</v>
      </c>
      <c r="BZ3" s="146"/>
      <c r="CA3" s="146"/>
      <c r="CB3" s="146" t="s">
        <v>135</v>
      </c>
      <c r="CC3" s="150" t="s">
        <v>135</v>
      </c>
      <c r="CD3" s="147" t="s">
        <v>135</v>
      </c>
      <c r="CE3" s="146"/>
      <c r="CF3" s="146"/>
      <c r="CG3" s="146">
        <v>5</v>
      </c>
      <c r="CH3" s="150" t="s">
        <v>1044</v>
      </c>
      <c r="CI3" s="147" t="s">
        <v>1044</v>
      </c>
      <c r="CJ3" s="144"/>
      <c r="CK3" s="144"/>
      <c r="CL3" s="144"/>
      <c r="CM3" s="145"/>
      <c r="CN3" s="343"/>
      <c r="CO3" s="343"/>
      <c r="CP3" s="343"/>
      <c r="CQ3" s="343"/>
      <c r="CR3" s="343"/>
      <c r="CS3" s="343"/>
      <c r="CT3" s="343"/>
      <c r="CU3" s="343"/>
      <c r="CV3" s="343"/>
      <c r="CW3" s="343"/>
      <c r="CX3" s="343"/>
      <c r="CY3" s="343"/>
      <c r="CZ3" s="343"/>
      <c r="DA3" s="343"/>
      <c r="DB3" s="343"/>
      <c r="DC3" s="343"/>
      <c r="DD3" s="343"/>
      <c r="DE3" s="343"/>
      <c r="DF3" s="343"/>
      <c r="DG3" s="343"/>
      <c r="DH3" s="343"/>
      <c r="DI3" s="343"/>
      <c r="DJ3" s="343"/>
      <c r="DK3" s="343"/>
      <c r="DL3" s="343"/>
      <c r="DM3" s="343"/>
      <c r="DN3" s="343"/>
      <c r="DO3" s="343"/>
      <c r="DP3" s="343"/>
      <c r="DQ3" s="343"/>
    </row>
    <row r="4" spans="1:121" s="344" customFormat="1" ht="156.75" customHeight="1" x14ac:dyDescent="0.2">
      <c r="A4" s="184"/>
      <c r="B4" s="220"/>
      <c r="C4" s="220"/>
      <c r="D4" s="220"/>
      <c r="F4" s="220"/>
      <c r="G4" s="220"/>
      <c r="H4" s="227"/>
      <c r="I4" s="647" t="s">
        <v>36</v>
      </c>
      <c r="J4" s="648"/>
      <c r="K4" s="649"/>
      <c r="L4" s="143" t="s">
        <v>1044</v>
      </c>
      <c r="M4" s="144" t="s">
        <v>1044</v>
      </c>
      <c r="N4" s="144" t="s">
        <v>1044</v>
      </c>
      <c r="O4" s="144" t="s">
        <v>1044</v>
      </c>
      <c r="P4" s="145" t="s">
        <v>1044</v>
      </c>
      <c r="Q4" s="143"/>
      <c r="R4" s="146"/>
      <c r="S4" s="146" t="s">
        <v>136</v>
      </c>
      <c r="T4" s="146" t="s">
        <v>137</v>
      </c>
      <c r="U4" s="150" t="s">
        <v>138</v>
      </c>
      <c r="V4" s="147" t="s">
        <v>139</v>
      </c>
      <c r="W4" s="146" t="s">
        <v>140</v>
      </c>
      <c r="X4" s="146" t="s">
        <v>141</v>
      </c>
      <c r="Y4" s="146" t="s">
        <v>142</v>
      </c>
      <c r="Z4" s="148" t="s">
        <v>143</v>
      </c>
      <c r="AA4" s="149" t="s">
        <v>144</v>
      </c>
      <c r="AB4" s="146" t="s">
        <v>145</v>
      </c>
      <c r="AC4" s="146" t="s">
        <v>146</v>
      </c>
      <c r="AD4" s="146" t="s">
        <v>147</v>
      </c>
      <c r="AE4" s="150" t="s">
        <v>148</v>
      </c>
      <c r="AF4" s="147" t="s">
        <v>149</v>
      </c>
      <c r="AG4" s="146" t="s">
        <v>922</v>
      </c>
      <c r="AH4" s="146" t="s">
        <v>921</v>
      </c>
      <c r="AI4" s="146" t="s">
        <v>1049</v>
      </c>
      <c r="AJ4" s="148"/>
      <c r="AK4" s="149"/>
      <c r="AL4" s="146" t="s">
        <v>150</v>
      </c>
      <c r="AM4" s="146" t="s">
        <v>151</v>
      </c>
      <c r="AN4" s="146" t="s">
        <v>152</v>
      </c>
      <c r="AO4" s="150" t="s">
        <v>153</v>
      </c>
      <c r="AP4" s="147" t="s">
        <v>154</v>
      </c>
      <c r="AQ4" s="146" t="s">
        <v>155</v>
      </c>
      <c r="AR4" s="146" t="s">
        <v>156</v>
      </c>
      <c r="AS4" s="151"/>
      <c r="AT4" s="148"/>
      <c r="AU4" s="149" t="s">
        <v>157</v>
      </c>
      <c r="AV4" s="146" t="s">
        <v>158</v>
      </c>
      <c r="AW4" s="146" t="s">
        <v>159</v>
      </c>
      <c r="AX4" s="146" t="s">
        <v>160</v>
      </c>
      <c r="AY4" s="150" t="s">
        <v>161</v>
      </c>
      <c r="AZ4" s="147" t="s">
        <v>162</v>
      </c>
      <c r="BA4" s="146" t="s">
        <v>163</v>
      </c>
      <c r="BB4" s="146" t="s">
        <v>164</v>
      </c>
      <c r="BC4" s="146" t="s">
        <v>165</v>
      </c>
      <c r="BD4" s="148" t="s">
        <v>166</v>
      </c>
      <c r="BE4" s="149"/>
      <c r="BF4" s="146"/>
      <c r="BG4" s="146" t="s">
        <v>167</v>
      </c>
      <c r="BH4" s="146" t="s">
        <v>168</v>
      </c>
      <c r="BI4" s="150" t="s">
        <v>169</v>
      </c>
      <c r="BJ4" s="147" t="s">
        <v>170</v>
      </c>
      <c r="BK4" s="146" t="s">
        <v>171</v>
      </c>
      <c r="BL4" s="146" t="s">
        <v>172</v>
      </c>
      <c r="BM4" s="146" t="s">
        <v>173</v>
      </c>
      <c r="BN4" s="148" t="s">
        <v>174</v>
      </c>
      <c r="BO4" s="149" t="s">
        <v>175</v>
      </c>
      <c r="BP4" s="146" t="s">
        <v>176</v>
      </c>
      <c r="BQ4" s="146"/>
      <c r="BR4" s="146"/>
      <c r="BS4" s="150" t="s">
        <v>177</v>
      </c>
      <c r="BT4" s="147"/>
      <c r="BU4" s="146"/>
      <c r="BV4" s="146" t="s">
        <v>178</v>
      </c>
      <c r="BW4" s="146" t="s">
        <v>179</v>
      </c>
      <c r="BX4" s="148" t="s">
        <v>180</v>
      </c>
      <c r="BY4" s="149" t="s">
        <v>181</v>
      </c>
      <c r="BZ4" s="146"/>
      <c r="CA4" s="146"/>
      <c r="CB4" s="146" t="s">
        <v>182</v>
      </c>
      <c r="CC4" s="150" t="s">
        <v>183</v>
      </c>
      <c r="CD4" s="147" t="s">
        <v>622</v>
      </c>
      <c r="CE4" s="146"/>
      <c r="CF4" s="146"/>
      <c r="CG4" s="146" t="s">
        <v>623</v>
      </c>
      <c r="CH4" s="150" t="s">
        <v>41</v>
      </c>
      <c r="CI4" s="147" t="s">
        <v>42</v>
      </c>
      <c r="CJ4" s="144"/>
      <c r="CK4" s="144"/>
      <c r="CL4" s="144"/>
      <c r="CM4" s="145"/>
      <c r="CN4" s="343"/>
      <c r="CO4" s="343"/>
      <c r="CP4" s="343"/>
      <c r="CQ4" s="343"/>
      <c r="CR4" s="343"/>
      <c r="CS4" s="343"/>
      <c r="CT4" s="343"/>
      <c r="CU4" s="343"/>
      <c r="CV4" s="343"/>
      <c r="CW4" s="343"/>
      <c r="CX4" s="343"/>
      <c r="CY4" s="343"/>
      <c r="CZ4" s="343"/>
      <c r="DA4" s="343"/>
      <c r="DB4" s="343"/>
      <c r="DC4" s="343"/>
      <c r="DD4" s="343"/>
      <c r="DE4" s="234"/>
      <c r="DF4" s="343"/>
      <c r="DG4" s="234"/>
      <c r="DH4" s="343"/>
      <c r="DI4" s="234"/>
      <c r="DJ4" s="343"/>
      <c r="DK4" s="234"/>
      <c r="DL4" s="343"/>
      <c r="DM4" s="234"/>
      <c r="DN4" s="343"/>
      <c r="DO4" s="234"/>
      <c r="DP4" s="343"/>
      <c r="DQ4" s="343"/>
    </row>
    <row r="5" spans="1:121" s="220" customFormat="1" ht="409.5" customHeight="1" x14ac:dyDescent="0.2">
      <c r="A5" s="184"/>
      <c r="H5" s="345" t="s">
        <v>25</v>
      </c>
      <c r="I5" s="694" t="s">
        <v>11</v>
      </c>
      <c r="J5" s="695"/>
      <c r="K5" s="696"/>
      <c r="L5" s="143" t="s">
        <v>130</v>
      </c>
      <c r="M5" s="144" t="s">
        <v>131</v>
      </c>
      <c r="N5" s="144" t="s">
        <v>132</v>
      </c>
      <c r="O5" s="144" t="s">
        <v>133</v>
      </c>
      <c r="P5" s="145" t="s">
        <v>134</v>
      </c>
      <c r="Q5" s="143"/>
      <c r="R5" s="152" t="s">
        <v>43</v>
      </c>
      <c r="S5" s="151" t="s">
        <v>184</v>
      </c>
      <c r="T5" s="151" t="s">
        <v>185</v>
      </c>
      <c r="U5" s="153" t="s">
        <v>624</v>
      </c>
      <c r="V5" s="154" t="s">
        <v>186</v>
      </c>
      <c r="W5" s="151" t="s">
        <v>187</v>
      </c>
      <c r="X5" s="151" t="s">
        <v>188</v>
      </c>
      <c r="Y5" s="151" t="s">
        <v>625</v>
      </c>
      <c r="Z5" s="155" t="s">
        <v>189</v>
      </c>
      <c r="AA5" s="156" t="s">
        <v>190</v>
      </c>
      <c r="AB5" s="151" t="s">
        <v>191</v>
      </c>
      <c r="AC5" s="151" t="s">
        <v>192</v>
      </c>
      <c r="AD5" s="151" t="s">
        <v>193</v>
      </c>
      <c r="AE5" s="157" t="s">
        <v>627</v>
      </c>
      <c r="AF5" s="154" t="s">
        <v>626</v>
      </c>
      <c r="AG5" s="158" t="s">
        <v>952</v>
      </c>
      <c r="AH5" s="159" t="s">
        <v>953</v>
      </c>
      <c r="AI5" s="159" t="s">
        <v>1048</v>
      </c>
      <c r="AJ5" s="155"/>
      <c r="AK5" s="160" t="s">
        <v>628</v>
      </c>
      <c r="AL5" s="151" t="s">
        <v>194</v>
      </c>
      <c r="AM5" s="151" t="s">
        <v>195</v>
      </c>
      <c r="AN5" s="151" t="s">
        <v>196</v>
      </c>
      <c r="AO5" s="153" t="s">
        <v>197</v>
      </c>
      <c r="AP5" s="154" t="s">
        <v>198</v>
      </c>
      <c r="AQ5" s="151" t="s">
        <v>199</v>
      </c>
      <c r="AR5" s="151" t="s">
        <v>200</v>
      </c>
      <c r="AS5" s="151"/>
      <c r="AT5" s="161" t="s">
        <v>629</v>
      </c>
      <c r="AU5" s="156" t="s">
        <v>201</v>
      </c>
      <c r="AV5" s="151" t="s">
        <v>202</v>
      </c>
      <c r="AW5" s="151" t="s">
        <v>203</v>
      </c>
      <c r="AX5" s="151" t="s">
        <v>204</v>
      </c>
      <c r="AY5" s="153" t="s">
        <v>205</v>
      </c>
      <c r="AZ5" s="154" t="s">
        <v>206</v>
      </c>
      <c r="BA5" s="151" t="s">
        <v>630</v>
      </c>
      <c r="BB5" s="151" t="s">
        <v>631</v>
      </c>
      <c r="BC5" s="151" t="s">
        <v>632</v>
      </c>
      <c r="BD5" s="155" t="s">
        <v>633</v>
      </c>
      <c r="BE5" s="156"/>
      <c r="BF5" s="152" t="s">
        <v>634</v>
      </c>
      <c r="BG5" s="151" t="s">
        <v>207</v>
      </c>
      <c r="BH5" s="151" t="s">
        <v>208</v>
      </c>
      <c r="BI5" s="153" t="s">
        <v>209</v>
      </c>
      <c r="BJ5" s="154" t="s">
        <v>210</v>
      </c>
      <c r="BK5" s="151" t="s">
        <v>635</v>
      </c>
      <c r="BL5" s="151" t="s">
        <v>211</v>
      </c>
      <c r="BM5" s="158" t="s">
        <v>636</v>
      </c>
      <c r="BN5" s="162" t="s">
        <v>637</v>
      </c>
      <c r="BO5" s="156" t="s">
        <v>638</v>
      </c>
      <c r="BP5" s="151" t="s">
        <v>639</v>
      </c>
      <c r="BQ5" s="151"/>
      <c r="BR5" s="152" t="s">
        <v>44</v>
      </c>
      <c r="BS5" s="157" t="s">
        <v>212</v>
      </c>
      <c r="BT5" s="163"/>
      <c r="BU5" s="152" t="s">
        <v>640</v>
      </c>
      <c r="BV5" s="158" t="s">
        <v>213</v>
      </c>
      <c r="BW5" s="151" t="s">
        <v>214</v>
      </c>
      <c r="BX5" s="162" t="s">
        <v>215</v>
      </c>
      <c r="BY5" s="164" t="s">
        <v>216</v>
      </c>
      <c r="BZ5" s="151"/>
      <c r="CA5" s="152" t="s">
        <v>641</v>
      </c>
      <c r="CB5" s="151" t="s">
        <v>217</v>
      </c>
      <c r="CC5" s="153" t="s">
        <v>218</v>
      </c>
      <c r="CD5" s="165" t="s">
        <v>219</v>
      </c>
      <c r="CE5" s="151"/>
      <c r="CF5" s="151"/>
      <c r="CG5" s="151" t="s">
        <v>642</v>
      </c>
      <c r="CH5" s="153" t="s">
        <v>45</v>
      </c>
      <c r="CI5" s="154" t="s">
        <v>643</v>
      </c>
      <c r="CJ5" s="144"/>
      <c r="CK5" s="144"/>
      <c r="CL5" s="144"/>
      <c r="CM5" s="145"/>
      <c r="CN5" s="346"/>
      <c r="CO5" s="347"/>
      <c r="CP5" s="346"/>
      <c r="CQ5" s="347"/>
      <c r="CR5" s="346"/>
      <c r="CS5" s="347"/>
      <c r="CT5" s="346"/>
      <c r="CU5" s="347"/>
      <c r="CV5" s="346"/>
      <c r="CW5" s="348"/>
      <c r="CX5" s="346"/>
      <c r="CY5" s="348"/>
      <c r="CZ5" s="346"/>
      <c r="DA5" s="346"/>
      <c r="DB5" s="346"/>
      <c r="DC5" s="347"/>
      <c r="DD5" s="346"/>
      <c r="DE5" s="346"/>
      <c r="DF5" s="346"/>
      <c r="DG5" s="346"/>
      <c r="DH5" s="346"/>
      <c r="DI5" s="346"/>
      <c r="DJ5" s="346"/>
      <c r="DK5" s="347"/>
      <c r="DL5" s="346"/>
      <c r="DM5" s="348"/>
      <c r="DN5" s="346"/>
      <c r="DO5" s="346"/>
      <c r="DP5" s="346"/>
      <c r="DQ5" s="348"/>
    </row>
    <row r="6" spans="1:121" s="220" customFormat="1" ht="140.25" customHeight="1" thickBot="1" x14ac:dyDescent="0.3">
      <c r="A6" s="184"/>
      <c r="D6" s="224"/>
      <c r="E6" s="226" t="s">
        <v>24</v>
      </c>
      <c r="I6" s="697" t="s">
        <v>37</v>
      </c>
      <c r="J6" s="698"/>
      <c r="K6" s="699"/>
      <c r="L6" s="166" t="s">
        <v>1044</v>
      </c>
      <c r="M6" s="167" t="s">
        <v>1044</v>
      </c>
      <c r="N6" s="167" t="s">
        <v>1044</v>
      </c>
      <c r="O6" s="167" t="s">
        <v>1044</v>
      </c>
      <c r="P6" s="168" t="s">
        <v>1044</v>
      </c>
      <c r="Q6" s="166"/>
      <c r="R6" s="169"/>
      <c r="S6" s="169" t="s">
        <v>220</v>
      </c>
      <c r="T6" s="169" t="s">
        <v>221</v>
      </c>
      <c r="U6" s="170" t="s">
        <v>222</v>
      </c>
      <c r="V6" s="171" t="s">
        <v>223</v>
      </c>
      <c r="W6" s="169" t="s">
        <v>224</v>
      </c>
      <c r="X6" s="169" t="s">
        <v>225</v>
      </c>
      <c r="Y6" s="169" t="s">
        <v>226</v>
      </c>
      <c r="Z6" s="172" t="s">
        <v>227</v>
      </c>
      <c r="AA6" s="173" t="s">
        <v>228</v>
      </c>
      <c r="AB6" s="169" t="s">
        <v>229</v>
      </c>
      <c r="AC6" s="169" t="s">
        <v>230</v>
      </c>
      <c r="AD6" s="169" t="s">
        <v>231</v>
      </c>
      <c r="AE6" s="170" t="s">
        <v>232</v>
      </c>
      <c r="AF6" s="171" t="s">
        <v>233</v>
      </c>
      <c r="AG6" s="169" t="s">
        <v>919</v>
      </c>
      <c r="AH6" s="169" t="s">
        <v>920</v>
      </c>
      <c r="AI6" s="169" t="s">
        <v>1047</v>
      </c>
      <c r="AJ6" s="172"/>
      <c r="AK6" s="173"/>
      <c r="AL6" s="169" t="s">
        <v>46</v>
      </c>
      <c r="AM6" s="169" t="s">
        <v>47</v>
      </c>
      <c r="AN6" s="169" t="s">
        <v>48</v>
      </c>
      <c r="AO6" s="170" t="s">
        <v>49</v>
      </c>
      <c r="AP6" s="171" t="s">
        <v>50</v>
      </c>
      <c r="AQ6" s="169" t="s">
        <v>234</v>
      </c>
      <c r="AR6" s="169" t="s">
        <v>51</v>
      </c>
      <c r="AS6" s="174"/>
      <c r="AT6" s="172"/>
      <c r="AU6" s="173" t="s">
        <v>235</v>
      </c>
      <c r="AV6" s="169" t="s">
        <v>236</v>
      </c>
      <c r="AW6" s="169" t="s">
        <v>237</v>
      </c>
      <c r="AX6" s="169" t="s">
        <v>238</v>
      </c>
      <c r="AY6" s="170" t="s">
        <v>239</v>
      </c>
      <c r="AZ6" s="171" t="s">
        <v>240</v>
      </c>
      <c r="BA6" s="169" t="s">
        <v>52</v>
      </c>
      <c r="BB6" s="169" t="s">
        <v>53</v>
      </c>
      <c r="BC6" s="169" t="s">
        <v>54</v>
      </c>
      <c r="BD6" s="172" t="s">
        <v>55</v>
      </c>
      <c r="BE6" s="173"/>
      <c r="BF6" s="169"/>
      <c r="BG6" s="169" t="s">
        <v>241</v>
      </c>
      <c r="BH6" s="169" t="s">
        <v>242</v>
      </c>
      <c r="BI6" s="170" t="s">
        <v>243</v>
      </c>
      <c r="BJ6" s="171" t="s">
        <v>244</v>
      </c>
      <c r="BK6" s="169" t="s">
        <v>245</v>
      </c>
      <c r="BL6" s="169" t="s">
        <v>246</v>
      </c>
      <c r="BM6" s="169" t="s">
        <v>56</v>
      </c>
      <c r="BN6" s="172" t="s">
        <v>57</v>
      </c>
      <c r="BO6" s="173" t="s">
        <v>58</v>
      </c>
      <c r="BP6" s="169" t="s">
        <v>59</v>
      </c>
      <c r="BQ6" s="169"/>
      <c r="BR6" s="169"/>
      <c r="BS6" s="170" t="s">
        <v>247</v>
      </c>
      <c r="BT6" s="171"/>
      <c r="BU6" s="169"/>
      <c r="BV6" s="169" t="s">
        <v>644</v>
      </c>
      <c r="BW6" s="169" t="s">
        <v>645</v>
      </c>
      <c r="BX6" s="172" t="s">
        <v>646</v>
      </c>
      <c r="BY6" s="173" t="s">
        <v>647</v>
      </c>
      <c r="BZ6" s="169"/>
      <c r="CA6" s="169"/>
      <c r="CB6" s="169" t="s">
        <v>60</v>
      </c>
      <c r="CC6" s="170" t="s">
        <v>61</v>
      </c>
      <c r="CD6" s="171" t="s">
        <v>249</v>
      </c>
      <c r="CE6" s="169"/>
      <c r="CF6" s="169"/>
      <c r="CG6" s="169" t="s">
        <v>648</v>
      </c>
      <c r="CH6" s="170" t="s">
        <v>62</v>
      </c>
      <c r="CI6" s="171" t="s">
        <v>62</v>
      </c>
      <c r="CJ6" s="167"/>
      <c r="CK6" s="167"/>
      <c r="CL6" s="167"/>
      <c r="CM6" s="168"/>
      <c r="CN6" s="343"/>
      <c r="CO6" s="343"/>
      <c r="CP6" s="343"/>
      <c r="CQ6" s="349"/>
      <c r="CR6" s="348"/>
      <c r="CS6" s="348"/>
      <c r="CT6" s="349"/>
      <c r="CU6" s="350"/>
      <c r="CV6" s="351"/>
      <c r="CW6" s="352"/>
      <c r="CX6" s="352"/>
      <c r="CY6" s="352"/>
      <c r="CZ6" s="353"/>
      <c r="DA6" s="354"/>
      <c r="DB6" s="354"/>
      <c r="DC6" s="354"/>
      <c r="DD6" s="343"/>
      <c r="DE6" s="354"/>
      <c r="DF6" s="355"/>
      <c r="DG6" s="354"/>
      <c r="DH6" s="355"/>
      <c r="DI6" s="354"/>
      <c r="DJ6" s="355"/>
      <c r="DK6" s="354"/>
      <c r="DL6" s="355"/>
      <c r="DM6" s="354"/>
      <c r="DN6" s="355"/>
      <c r="DO6" s="354"/>
      <c r="DP6" s="355"/>
      <c r="DQ6" s="355"/>
    </row>
    <row r="7" spans="1:121" s="316" customFormat="1" ht="25.5" customHeight="1" x14ac:dyDescent="0.25">
      <c r="A7" s="700" t="s">
        <v>3</v>
      </c>
      <c r="B7" s="703" t="s">
        <v>13</v>
      </c>
      <c r="C7" s="703" t="s">
        <v>1</v>
      </c>
      <c r="D7" s="703" t="s">
        <v>23</v>
      </c>
      <c r="E7" s="703" t="s">
        <v>11</v>
      </c>
      <c r="F7" s="703" t="s">
        <v>22</v>
      </c>
      <c r="G7" s="703" t="s">
        <v>37</v>
      </c>
      <c r="H7" s="706" t="s">
        <v>12</v>
      </c>
      <c r="I7" s="709" t="s">
        <v>2</v>
      </c>
      <c r="J7" s="710"/>
      <c r="K7" s="711"/>
      <c r="L7" s="136">
        <v>1</v>
      </c>
      <c r="M7" s="103">
        <v>2</v>
      </c>
      <c r="N7" s="103">
        <v>3</v>
      </c>
      <c r="O7" s="103">
        <v>4</v>
      </c>
      <c r="P7" s="137">
        <v>5</v>
      </c>
      <c r="Q7" s="136"/>
      <c r="R7" s="103"/>
      <c r="S7" s="103"/>
      <c r="T7" s="103"/>
      <c r="U7" s="138"/>
      <c r="V7" s="139"/>
      <c r="W7" s="103"/>
      <c r="X7" s="103"/>
      <c r="Y7" s="103"/>
      <c r="Z7" s="137"/>
      <c r="AA7" s="136"/>
      <c r="AB7" s="103"/>
      <c r="AC7" s="103"/>
      <c r="AD7" s="103"/>
      <c r="AE7" s="138"/>
      <c r="AF7" s="139"/>
      <c r="AG7" s="103"/>
      <c r="AH7" s="103"/>
      <c r="AI7" s="103"/>
      <c r="AJ7" s="137"/>
      <c r="AK7" s="136"/>
      <c r="AL7" s="103"/>
      <c r="AM7" s="103"/>
      <c r="AN7" s="103"/>
      <c r="AO7" s="138"/>
      <c r="AP7" s="139"/>
      <c r="AQ7" s="103"/>
      <c r="AR7" s="103"/>
      <c r="AS7" s="103"/>
      <c r="AT7" s="137"/>
      <c r="AU7" s="136"/>
      <c r="AV7" s="103"/>
      <c r="AW7" s="103"/>
      <c r="AX7" s="103"/>
      <c r="AY7" s="138"/>
      <c r="AZ7" s="139"/>
      <c r="BA7" s="103"/>
      <c r="BB7" s="103"/>
      <c r="BC7" s="103"/>
      <c r="BD7" s="137"/>
      <c r="BE7" s="136"/>
      <c r="BF7" s="103"/>
      <c r="BG7" s="103"/>
      <c r="BH7" s="103"/>
      <c r="BI7" s="138"/>
      <c r="BJ7" s="139"/>
      <c r="BK7" s="103"/>
      <c r="BL7" s="103"/>
      <c r="BM7" s="103"/>
      <c r="BN7" s="137"/>
      <c r="BO7" s="136"/>
      <c r="BP7" s="103"/>
      <c r="BQ7" s="103"/>
      <c r="BR7" s="103"/>
      <c r="BS7" s="138"/>
      <c r="BT7" s="139"/>
      <c r="BU7" s="103"/>
      <c r="BV7" s="103"/>
      <c r="BW7" s="103"/>
      <c r="BX7" s="137"/>
      <c r="BY7" s="136"/>
      <c r="BZ7" s="103"/>
      <c r="CA7" s="103"/>
      <c r="CB7" s="103"/>
      <c r="CC7" s="138"/>
      <c r="CD7" s="139"/>
      <c r="CE7" s="103"/>
      <c r="CF7" s="103"/>
      <c r="CG7" s="103"/>
      <c r="CH7" s="138"/>
      <c r="CI7" s="139"/>
      <c r="CJ7" s="215"/>
      <c r="CK7" s="215"/>
      <c r="CL7" s="215"/>
      <c r="CM7" s="216"/>
    </row>
    <row r="8" spans="1:121" s="316" customFormat="1" ht="25.5" customHeight="1" x14ac:dyDescent="0.25">
      <c r="A8" s="701"/>
      <c r="B8" s="704"/>
      <c r="C8" s="704"/>
      <c r="D8" s="704"/>
      <c r="E8" s="704"/>
      <c r="F8" s="704"/>
      <c r="G8" s="704"/>
      <c r="H8" s="707"/>
      <c r="I8" s="262"/>
      <c r="J8" s="712" t="s">
        <v>4</v>
      </c>
      <c r="K8" s="713"/>
      <c r="L8" s="140"/>
      <c r="M8" s="76"/>
      <c r="N8" s="76"/>
      <c r="O8" s="76"/>
      <c r="P8" s="141"/>
      <c r="Q8" s="140"/>
      <c r="R8" s="76"/>
      <c r="S8" s="76"/>
      <c r="T8" s="76"/>
      <c r="U8" s="81"/>
      <c r="V8" s="142"/>
      <c r="W8" s="76"/>
      <c r="X8" s="76"/>
      <c r="Y8" s="76"/>
      <c r="Z8" s="141"/>
      <c r="AA8" s="140"/>
      <c r="AB8" s="76"/>
      <c r="AC8" s="76"/>
      <c r="AD8" s="76"/>
      <c r="AE8" s="81"/>
      <c r="AF8" s="142"/>
      <c r="AG8" s="76"/>
      <c r="AH8" s="76"/>
      <c r="AI8" s="76"/>
      <c r="AJ8" s="141"/>
      <c r="AK8" s="140"/>
      <c r="AL8" s="76"/>
      <c r="AM8" s="76"/>
      <c r="AN8" s="76"/>
      <c r="AO8" s="81"/>
      <c r="AP8" s="142"/>
      <c r="AQ8" s="76"/>
      <c r="AR8" s="76"/>
      <c r="AS8" s="76"/>
      <c r="AT8" s="141"/>
      <c r="AU8" s="140"/>
      <c r="AV8" s="76"/>
      <c r="AW8" s="76"/>
      <c r="AX8" s="76"/>
      <c r="AY8" s="81"/>
      <c r="AZ8" s="142"/>
      <c r="BA8" s="76"/>
      <c r="BB8" s="76"/>
      <c r="BC8" s="76"/>
      <c r="BD8" s="141"/>
      <c r="BE8" s="140"/>
      <c r="BF8" s="76"/>
      <c r="BG8" s="76"/>
      <c r="BH8" s="76"/>
      <c r="BI8" s="81"/>
      <c r="BJ8" s="142"/>
      <c r="BK8" s="76"/>
      <c r="BL8" s="76"/>
      <c r="BM8" s="254"/>
      <c r="BN8" s="265"/>
      <c r="BO8" s="140"/>
      <c r="BP8" s="76"/>
      <c r="BQ8" s="76"/>
      <c r="BR8" s="76"/>
      <c r="BS8" s="81"/>
      <c r="BT8" s="142"/>
      <c r="BU8" s="76"/>
      <c r="BV8" s="76"/>
      <c r="BW8" s="76"/>
      <c r="BX8" s="141"/>
      <c r="BY8" s="140"/>
      <c r="BZ8" s="76"/>
      <c r="CA8" s="76"/>
      <c r="CB8" s="76"/>
      <c r="CC8" s="81"/>
      <c r="CD8" s="142"/>
      <c r="CE8" s="76"/>
      <c r="CF8" s="76"/>
      <c r="CG8" s="76"/>
      <c r="CH8" s="81"/>
      <c r="CI8" s="142"/>
      <c r="CJ8" s="199"/>
      <c r="CK8" s="199"/>
      <c r="CL8" s="199"/>
      <c r="CM8" s="200"/>
    </row>
    <row r="9" spans="1:121" s="316" customFormat="1" ht="25.5" customHeight="1" thickBot="1" x14ac:dyDescent="0.3">
      <c r="A9" s="702"/>
      <c r="B9" s="705"/>
      <c r="C9" s="705"/>
      <c r="D9" s="705"/>
      <c r="E9" s="705"/>
      <c r="F9" s="705"/>
      <c r="G9" s="705"/>
      <c r="H9" s="708"/>
      <c r="I9" s="356"/>
      <c r="J9" s="357"/>
      <c r="K9" s="205" t="s">
        <v>5</v>
      </c>
      <c r="L9" s="266"/>
      <c r="M9" s="255"/>
      <c r="N9" s="255"/>
      <c r="O9" s="255"/>
      <c r="P9" s="267"/>
      <c r="Q9" s="266"/>
      <c r="R9" s="89"/>
      <c r="S9" s="89"/>
      <c r="T9" s="89"/>
      <c r="U9" s="268"/>
      <c r="V9" s="269"/>
      <c r="W9" s="89"/>
      <c r="X9" s="89"/>
      <c r="Y9" s="89"/>
      <c r="Z9" s="270"/>
      <c r="AA9" s="271"/>
      <c r="AB9" s="89"/>
      <c r="AC9" s="89"/>
      <c r="AD9" s="89"/>
      <c r="AE9" s="268"/>
      <c r="AF9" s="269"/>
      <c r="AG9" s="89"/>
      <c r="AH9" s="89"/>
      <c r="AI9" s="89"/>
      <c r="AJ9" s="270"/>
      <c r="AK9" s="271"/>
      <c r="AL9" s="89" t="s">
        <v>910</v>
      </c>
      <c r="AM9" s="89">
        <v>18</v>
      </c>
      <c r="AN9" s="89">
        <v>1</v>
      </c>
      <c r="AO9" s="268">
        <v>19</v>
      </c>
      <c r="AP9" s="269">
        <v>1</v>
      </c>
      <c r="AQ9" s="89">
        <v>19</v>
      </c>
      <c r="AR9" s="89"/>
      <c r="AS9" s="89"/>
      <c r="AT9" s="270"/>
      <c r="AU9" s="271">
        <v>2</v>
      </c>
      <c r="AV9" s="89">
        <v>2</v>
      </c>
      <c r="AW9" s="89"/>
      <c r="AX9" s="89"/>
      <c r="AY9" s="268"/>
      <c r="AZ9" s="269"/>
      <c r="BA9" s="89">
        <v>1</v>
      </c>
      <c r="BB9" s="89">
        <v>20</v>
      </c>
      <c r="BC9" s="89">
        <v>1</v>
      </c>
      <c r="BD9" s="270">
        <v>20</v>
      </c>
      <c r="BE9" s="271"/>
      <c r="BF9" s="89"/>
      <c r="BG9" s="89">
        <v>2</v>
      </c>
      <c r="BH9" s="89">
        <v>2</v>
      </c>
      <c r="BI9" s="268"/>
      <c r="BJ9" s="269"/>
      <c r="BK9" s="89"/>
      <c r="BL9" s="89"/>
      <c r="BM9" s="89">
        <v>1</v>
      </c>
      <c r="BN9" s="270">
        <v>20</v>
      </c>
      <c r="BO9" s="271">
        <v>1</v>
      </c>
      <c r="BP9" s="89">
        <v>20</v>
      </c>
      <c r="BQ9" s="89"/>
      <c r="BR9" s="89"/>
      <c r="BS9" s="268"/>
      <c r="BT9" s="269"/>
      <c r="BU9" s="89"/>
      <c r="BV9" s="255">
        <v>2</v>
      </c>
      <c r="BW9" s="255" t="s">
        <v>250</v>
      </c>
      <c r="BX9" s="270">
        <v>2</v>
      </c>
      <c r="BY9" s="266" t="s">
        <v>250</v>
      </c>
      <c r="BZ9" s="89"/>
      <c r="CA9" s="89"/>
      <c r="CB9" s="89"/>
      <c r="CC9" s="268"/>
      <c r="CD9" s="269"/>
      <c r="CE9" s="89"/>
      <c r="CF9" s="89"/>
      <c r="CG9" s="89"/>
      <c r="CH9" s="268"/>
      <c r="CI9" s="269"/>
      <c r="CJ9" s="204"/>
      <c r="CK9" s="204"/>
      <c r="CL9" s="204"/>
      <c r="CM9" s="205"/>
    </row>
    <row r="10" spans="1:121" ht="25.5" customHeight="1" x14ac:dyDescent="0.25">
      <c r="A10" s="318">
        <v>1</v>
      </c>
      <c r="B10" s="75">
        <v>0</v>
      </c>
      <c r="C10" s="319" t="s">
        <v>1044</v>
      </c>
      <c r="D10" s="320" t="s">
        <v>1044</v>
      </c>
      <c r="E10" s="321" t="s">
        <v>130</v>
      </c>
      <c r="F10" s="320"/>
      <c r="G10" s="322"/>
      <c r="H10" s="323" t="s">
        <v>125</v>
      </c>
      <c r="I10" s="259">
        <v>1</v>
      </c>
      <c r="J10" s="130"/>
      <c r="K10" s="260"/>
      <c r="L10" s="358" t="s">
        <v>122</v>
      </c>
      <c r="M10" s="304"/>
      <c r="N10" s="304"/>
      <c r="O10" s="304"/>
      <c r="P10" s="359"/>
      <c r="Q10" s="272"/>
      <c r="R10" s="92"/>
      <c r="S10" s="304"/>
      <c r="T10" s="360" t="s">
        <v>120</v>
      </c>
      <c r="U10" s="361"/>
      <c r="V10" s="362"/>
      <c r="W10" s="360" t="s">
        <v>120</v>
      </c>
      <c r="X10" s="360" t="s">
        <v>120</v>
      </c>
      <c r="Y10" s="304"/>
      <c r="Z10" s="359"/>
      <c r="AA10" s="308"/>
      <c r="AB10" s="304"/>
      <c r="AC10" s="304"/>
      <c r="AD10" s="304"/>
      <c r="AE10" s="363" t="s">
        <v>120</v>
      </c>
      <c r="AF10" s="364" t="s">
        <v>120</v>
      </c>
      <c r="AG10" s="360" t="s">
        <v>120</v>
      </c>
      <c r="AH10" s="360" t="s">
        <v>120</v>
      </c>
      <c r="AI10" s="304"/>
      <c r="AJ10" s="273"/>
      <c r="AK10" s="272"/>
      <c r="AL10" s="304"/>
      <c r="AM10" s="304"/>
      <c r="AN10" s="304"/>
      <c r="AO10" s="363" t="s">
        <v>121</v>
      </c>
      <c r="AP10" s="362"/>
      <c r="AQ10" s="360" t="s">
        <v>121</v>
      </c>
      <c r="AR10" s="304"/>
      <c r="AS10" s="92"/>
      <c r="AT10" s="273"/>
      <c r="AU10" s="308"/>
      <c r="AV10" s="304"/>
      <c r="AW10" s="304"/>
      <c r="AX10" s="360" t="s">
        <v>120</v>
      </c>
      <c r="AY10" s="361"/>
      <c r="AZ10" s="362"/>
      <c r="BA10" s="304"/>
      <c r="BB10" s="360" t="s">
        <v>121</v>
      </c>
      <c r="BC10" s="304"/>
      <c r="BD10" s="365" t="s">
        <v>121</v>
      </c>
      <c r="BE10" s="272"/>
      <c r="BF10" s="92"/>
      <c r="BG10" s="304"/>
      <c r="BH10" s="304"/>
      <c r="BI10" s="361"/>
      <c r="BJ10" s="364" t="s">
        <v>120</v>
      </c>
      <c r="BK10" s="304"/>
      <c r="BL10" s="304"/>
      <c r="BM10" s="304"/>
      <c r="BN10" s="365" t="s">
        <v>121</v>
      </c>
      <c r="BO10" s="308"/>
      <c r="BP10" s="360" t="s">
        <v>121</v>
      </c>
      <c r="BQ10" s="92"/>
      <c r="BR10" s="92"/>
      <c r="BS10" s="363" t="s">
        <v>120</v>
      </c>
      <c r="BT10" s="258"/>
      <c r="BU10" s="92"/>
      <c r="BV10" s="304"/>
      <c r="BW10" s="304"/>
      <c r="BX10" s="359"/>
      <c r="BY10" s="308"/>
      <c r="BZ10" s="92"/>
      <c r="CA10" s="92"/>
      <c r="CB10" s="360" t="s">
        <v>122</v>
      </c>
      <c r="CC10" s="361"/>
      <c r="CD10" s="362"/>
      <c r="CE10" s="92"/>
      <c r="CF10" s="92"/>
      <c r="CG10" s="304"/>
      <c r="CH10" s="363" t="s">
        <v>40</v>
      </c>
      <c r="CI10" s="364" t="s">
        <v>40</v>
      </c>
      <c r="CJ10" s="210"/>
      <c r="CK10" s="210"/>
      <c r="CL10" s="210"/>
      <c r="CM10" s="211"/>
      <c r="CN10" s="366"/>
      <c r="CO10" s="366"/>
      <c r="CP10" s="366"/>
      <c r="CQ10" s="366"/>
      <c r="CR10" s="366"/>
      <c r="CS10" s="366"/>
      <c r="CT10" s="366"/>
      <c r="CU10" s="366"/>
      <c r="CV10" s="366"/>
      <c r="CW10" s="366"/>
      <c r="CX10" s="366"/>
      <c r="CY10" s="366"/>
      <c r="CZ10" s="366"/>
      <c r="DA10" s="366"/>
      <c r="DB10" s="366"/>
      <c r="DC10" s="366"/>
      <c r="DD10" s="366"/>
      <c r="DE10" s="366"/>
      <c r="DF10" s="366"/>
      <c r="DG10" s="366"/>
      <c r="DH10" s="366"/>
      <c r="DI10" s="366"/>
      <c r="DJ10" s="366"/>
      <c r="DK10" s="366"/>
      <c r="DL10" s="366"/>
      <c r="DM10" s="366"/>
      <c r="DN10" s="366"/>
    </row>
    <row r="11" spans="1:121" ht="25.5" customHeight="1" x14ac:dyDescent="0.25">
      <c r="A11" s="324">
        <v>2</v>
      </c>
      <c r="B11" s="72">
        <v>0</v>
      </c>
      <c r="C11" s="290" t="s">
        <v>1044</v>
      </c>
      <c r="D11" s="289" t="s">
        <v>1044</v>
      </c>
      <c r="E11" s="291" t="s">
        <v>131</v>
      </c>
      <c r="F11" s="289"/>
      <c r="G11" s="292"/>
      <c r="H11" s="293" t="s">
        <v>126</v>
      </c>
      <c r="I11" s="142">
        <v>2</v>
      </c>
      <c r="J11" s="76"/>
      <c r="K11" s="141"/>
      <c r="L11" s="367"/>
      <c r="M11" s="368" t="s">
        <v>122</v>
      </c>
      <c r="N11" s="307"/>
      <c r="O11" s="307"/>
      <c r="P11" s="369"/>
      <c r="Q11" s="274"/>
      <c r="R11" s="79"/>
      <c r="S11" s="307"/>
      <c r="T11" s="307"/>
      <c r="U11" s="370"/>
      <c r="V11" s="306"/>
      <c r="W11" s="307"/>
      <c r="X11" s="307"/>
      <c r="Y11" s="307"/>
      <c r="Z11" s="369"/>
      <c r="AA11" s="367"/>
      <c r="AB11" s="307"/>
      <c r="AC11" s="307"/>
      <c r="AD11" s="307"/>
      <c r="AE11" s="370"/>
      <c r="AF11" s="306"/>
      <c r="AG11" s="307"/>
      <c r="AH11" s="307"/>
      <c r="AI11" s="307"/>
      <c r="AJ11" s="178"/>
      <c r="AK11" s="274"/>
      <c r="AL11" s="307"/>
      <c r="AM11" s="307"/>
      <c r="AN11" s="307"/>
      <c r="AO11" s="370"/>
      <c r="AP11" s="306"/>
      <c r="AQ11" s="307"/>
      <c r="AR11" s="307"/>
      <c r="AS11" s="79"/>
      <c r="AT11" s="178"/>
      <c r="AU11" s="367"/>
      <c r="AV11" s="307"/>
      <c r="AW11" s="307"/>
      <c r="AX11" s="371" t="s">
        <v>120</v>
      </c>
      <c r="AY11" s="370"/>
      <c r="AZ11" s="306"/>
      <c r="BA11" s="307"/>
      <c r="BB11" s="307"/>
      <c r="BC11" s="307"/>
      <c r="BD11" s="372" t="s">
        <v>121</v>
      </c>
      <c r="BE11" s="274"/>
      <c r="BF11" s="79"/>
      <c r="BG11" s="307"/>
      <c r="BH11" s="307"/>
      <c r="BI11" s="370"/>
      <c r="BJ11" s="373" t="s">
        <v>120</v>
      </c>
      <c r="BK11" s="307"/>
      <c r="BL11" s="307"/>
      <c r="BM11" s="307"/>
      <c r="BN11" s="369"/>
      <c r="BO11" s="367"/>
      <c r="BP11" s="371" t="s">
        <v>121</v>
      </c>
      <c r="BQ11" s="79"/>
      <c r="BR11" s="79"/>
      <c r="BS11" s="370"/>
      <c r="BT11" s="261"/>
      <c r="BU11" s="79"/>
      <c r="BV11" s="307"/>
      <c r="BW11" s="307"/>
      <c r="BX11" s="369"/>
      <c r="BY11" s="367"/>
      <c r="BZ11" s="79"/>
      <c r="CA11" s="79"/>
      <c r="CB11" s="307"/>
      <c r="CC11" s="370"/>
      <c r="CD11" s="306"/>
      <c r="CE11" s="79"/>
      <c r="CF11" s="79"/>
      <c r="CG11" s="307"/>
      <c r="CH11" s="374" t="s">
        <v>40</v>
      </c>
      <c r="CI11" s="373" t="s">
        <v>40</v>
      </c>
      <c r="CJ11" s="202"/>
      <c r="CK11" s="202"/>
      <c r="CL11" s="202"/>
      <c r="CM11" s="203"/>
      <c r="CN11" s="366"/>
      <c r="CO11" s="366"/>
      <c r="CP11" s="366"/>
      <c r="CQ11" s="366"/>
      <c r="CR11" s="366"/>
      <c r="CS11" s="366"/>
      <c r="CT11" s="366"/>
      <c r="CU11" s="366"/>
      <c r="CV11" s="366"/>
      <c r="CW11" s="366"/>
      <c r="CX11" s="366"/>
      <c r="CY11" s="366"/>
      <c r="CZ11" s="366"/>
      <c r="DA11" s="366"/>
      <c r="DB11" s="375"/>
      <c r="DC11" s="366"/>
      <c r="DD11" s="366"/>
      <c r="DE11" s="366"/>
      <c r="DF11" s="366"/>
      <c r="DG11" s="366"/>
      <c r="DH11" s="366"/>
      <c r="DI11" s="366"/>
      <c r="DJ11" s="366"/>
      <c r="DK11" s="366"/>
      <c r="DL11" s="366"/>
      <c r="DM11" s="366"/>
      <c r="DN11" s="366"/>
    </row>
    <row r="12" spans="1:121" ht="25.5" customHeight="1" x14ac:dyDescent="0.25">
      <c r="A12" s="324">
        <v>3</v>
      </c>
      <c r="B12" s="72">
        <v>0</v>
      </c>
      <c r="C12" s="290" t="s">
        <v>1044</v>
      </c>
      <c r="D12" s="289" t="s">
        <v>1044</v>
      </c>
      <c r="E12" s="291" t="s">
        <v>132</v>
      </c>
      <c r="F12" s="289"/>
      <c r="G12" s="292"/>
      <c r="H12" s="293" t="s">
        <v>127</v>
      </c>
      <c r="I12" s="142">
        <v>3</v>
      </c>
      <c r="J12" s="76"/>
      <c r="K12" s="141"/>
      <c r="L12" s="367"/>
      <c r="M12" s="307"/>
      <c r="N12" s="368" t="s">
        <v>122</v>
      </c>
      <c r="O12" s="307"/>
      <c r="P12" s="369"/>
      <c r="Q12" s="274"/>
      <c r="R12" s="79"/>
      <c r="S12" s="307"/>
      <c r="T12" s="371" t="s">
        <v>120</v>
      </c>
      <c r="U12" s="370"/>
      <c r="V12" s="306"/>
      <c r="W12" s="371" t="s">
        <v>120</v>
      </c>
      <c r="X12" s="371" t="s">
        <v>120</v>
      </c>
      <c r="Y12" s="307"/>
      <c r="Z12" s="369"/>
      <c r="AA12" s="367"/>
      <c r="AB12" s="307"/>
      <c r="AC12" s="307"/>
      <c r="AD12" s="307"/>
      <c r="AE12" s="374" t="s">
        <v>120</v>
      </c>
      <c r="AF12" s="373" t="s">
        <v>120</v>
      </c>
      <c r="AG12" s="371" t="s">
        <v>120</v>
      </c>
      <c r="AH12" s="371" t="s">
        <v>120</v>
      </c>
      <c r="AI12" s="307"/>
      <c r="AJ12" s="178"/>
      <c r="AK12" s="274"/>
      <c r="AL12" s="307"/>
      <c r="AM12" s="307"/>
      <c r="AN12" s="307"/>
      <c r="AO12" s="370"/>
      <c r="AP12" s="306"/>
      <c r="AQ12" s="307"/>
      <c r="AR12" s="307"/>
      <c r="AS12" s="79"/>
      <c r="AT12" s="178"/>
      <c r="AU12" s="367"/>
      <c r="AV12" s="307"/>
      <c r="AW12" s="307"/>
      <c r="AX12" s="307"/>
      <c r="AY12" s="370"/>
      <c r="AZ12" s="306"/>
      <c r="BA12" s="307"/>
      <c r="BB12" s="307"/>
      <c r="BC12" s="307"/>
      <c r="BD12" s="369"/>
      <c r="BE12" s="274"/>
      <c r="BF12" s="79"/>
      <c r="BG12" s="307"/>
      <c r="BH12" s="307"/>
      <c r="BI12" s="370"/>
      <c r="BJ12" s="306"/>
      <c r="BK12" s="307"/>
      <c r="BL12" s="307"/>
      <c r="BM12" s="307"/>
      <c r="BN12" s="369"/>
      <c r="BO12" s="367"/>
      <c r="BP12" s="307"/>
      <c r="BQ12" s="79"/>
      <c r="BR12" s="79"/>
      <c r="BS12" s="374" t="s">
        <v>120</v>
      </c>
      <c r="BT12" s="261"/>
      <c r="BU12" s="79"/>
      <c r="BV12" s="307"/>
      <c r="BW12" s="307"/>
      <c r="BX12" s="369"/>
      <c r="BY12" s="367"/>
      <c r="BZ12" s="79"/>
      <c r="CA12" s="79"/>
      <c r="CB12" s="307"/>
      <c r="CC12" s="370"/>
      <c r="CD12" s="306"/>
      <c r="CE12" s="79"/>
      <c r="CF12" s="79"/>
      <c r="CG12" s="307"/>
      <c r="CH12" s="374" t="s">
        <v>40</v>
      </c>
      <c r="CI12" s="373" t="s">
        <v>40</v>
      </c>
      <c r="CJ12" s="202"/>
      <c r="CK12" s="202"/>
      <c r="CL12" s="202"/>
      <c r="CM12" s="203"/>
      <c r="CN12" s="366"/>
      <c r="CO12" s="366"/>
      <c r="CP12" s="366"/>
      <c r="CQ12" s="366"/>
      <c r="CR12" s="366"/>
      <c r="CS12" s="366"/>
      <c r="CT12" s="366"/>
      <c r="CU12" s="366"/>
      <c r="CV12" s="366"/>
      <c r="CW12" s="366"/>
      <c r="CX12" s="366"/>
      <c r="CY12" s="366"/>
      <c r="CZ12" s="366"/>
      <c r="DA12" s="366"/>
      <c r="DB12" s="366"/>
      <c r="DC12" s="366"/>
      <c r="DD12" s="366"/>
      <c r="DE12" s="366"/>
      <c r="DF12" s="366"/>
      <c r="DG12" s="366"/>
      <c r="DH12" s="366"/>
      <c r="DI12" s="366"/>
      <c r="DJ12" s="366"/>
      <c r="DK12" s="366"/>
      <c r="DL12" s="366"/>
      <c r="DM12" s="366"/>
      <c r="DN12" s="366"/>
    </row>
    <row r="13" spans="1:121" ht="25.5" customHeight="1" x14ac:dyDescent="0.25">
      <c r="A13" s="324">
        <v>4</v>
      </c>
      <c r="B13" s="72">
        <v>0</v>
      </c>
      <c r="C13" s="290" t="s">
        <v>1044</v>
      </c>
      <c r="D13" s="289" t="s">
        <v>1044</v>
      </c>
      <c r="E13" s="291" t="s">
        <v>133</v>
      </c>
      <c r="F13" s="289"/>
      <c r="G13" s="292"/>
      <c r="H13" s="293" t="s">
        <v>128</v>
      </c>
      <c r="I13" s="142">
        <v>4</v>
      </c>
      <c r="J13" s="76"/>
      <c r="K13" s="141"/>
      <c r="L13" s="367"/>
      <c r="M13" s="307"/>
      <c r="N13" s="307"/>
      <c r="O13" s="368" t="s">
        <v>122</v>
      </c>
      <c r="P13" s="369"/>
      <c r="Q13" s="274"/>
      <c r="R13" s="79"/>
      <c r="S13" s="307"/>
      <c r="T13" s="307"/>
      <c r="U13" s="370"/>
      <c r="V13" s="306"/>
      <c r="W13" s="307"/>
      <c r="X13" s="307"/>
      <c r="Y13" s="307"/>
      <c r="Z13" s="369"/>
      <c r="AA13" s="367"/>
      <c r="AB13" s="307"/>
      <c r="AC13" s="307"/>
      <c r="AD13" s="307"/>
      <c r="AE13" s="370"/>
      <c r="AF13" s="306"/>
      <c r="AG13" s="307"/>
      <c r="AH13" s="307"/>
      <c r="AI13" s="307"/>
      <c r="AJ13" s="178"/>
      <c r="AK13" s="274"/>
      <c r="AL13" s="307"/>
      <c r="AM13" s="307"/>
      <c r="AN13" s="307"/>
      <c r="AO13" s="370"/>
      <c r="AP13" s="306"/>
      <c r="AQ13" s="307"/>
      <c r="AR13" s="307"/>
      <c r="AS13" s="79"/>
      <c r="AT13" s="178"/>
      <c r="AU13" s="367"/>
      <c r="AV13" s="307"/>
      <c r="AW13" s="307"/>
      <c r="AX13" s="371" t="s">
        <v>120</v>
      </c>
      <c r="AY13" s="370"/>
      <c r="AZ13" s="306"/>
      <c r="BA13" s="307"/>
      <c r="BB13" s="307"/>
      <c r="BC13" s="307"/>
      <c r="BD13" s="372" t="s">
        <v>121</v>
      </c>
      <c r="BE13" s="274"/>
      <c r="BF13" s="79"/>
      <c r="BG13" s="307"/>
      <c r="BH13" s="307"/>
      <c r="BI13" s="370"/>
      <c r="BJ13" s="306"/>
      <c r="BK13" s="307"/>
      <c r="BL13" s="307"/>
      <c r="BM13" s="307"/>
      <c r="BN13" s="369"/>
      <c r="BO13" s="367"/>
      <c r="BP13" s="307"/>
      <c r="BQ13" s="79"/>
      <c r="BR13" s="79"/>
      <c r="BS13" s="370"/>
      <c r="BT13" s="261"/>
      <c r="BU13" s="79"/>
      <c r="BV13" s="307"/>
      <c r="BW13" s="307"/>
      <c r="BX13" s="369"/>
      <c r="BY13" s="367"/>
      <c r="BZ13" s="79"/>
      <c r="CA13" s="79"/>
      <c r="CB13" s="307"/>
      <c r="CC13" s="370"/>
      <c r="CD13" s="306"/>
      <c r="CE13" s="79"/>
      <c r="CF13" s="79"/>
      <c r="CG13" s="307"/>
      <c r="CH13" s="374" t="s">
        <v>40</v>
      </c>
      <c r="CI13" s="373" t="s">
        <v>40</v>
      </c>
      <c r="CJ13" s="202"/>
      <c r="CK13" s="202"/>
      <c r="CL13" s="202"/>
      <c r="CM13" s="203"/>
      <c r="CN13" s="366"/>
      <c r="CO13" s="366"/>
      <c r="CP13" s="366"/>
      <c r="CQ13" s="366"/>
      <c r="CR13" s="366"/>
      <c r="CS13" s="366"/>
      <c r="CT13" s="366"/>
      <c r="CU13" s="366"/>
      <c r="CV13" s="366"/>
      <c r="CW13" s="366"/>
      <c r="CX13" s="366"/>
      <c r="CY13" s="366"/>
      <c r="CZ13" s="366"/>
      <c r="DA13" s="366"/>
      <c r="DB13" s="366"/>
      <c r="DC13" s="366"/>
      <c r="DD13" s="366"/>
      <c r="DE13" s="366"/>
      <c r="DF13" s="366"/>
      <c r="DG13" s="366"/>
      <c r="DH13" s="366"/>
      <c r="DI13" s="366"/>
      <c r="DJ13" s="366"/>
      <c r="DK13" s="366"/>
      <c r="DL13" s="366"/>
      <c r="DM13" s="366"/>
      <c r="DN13" s="366"/>
    </row>
    <row r="14" spans="1:121" ht="25.5" customHeight="1" thickBot="1" x14ac:dyDescent="0.3">
      <c r="A14" s="325">
        <v>5</v>
      </c>
      <c r="B14" s="73">
        <v>0</v>
      </c>
      <c r="C14" s="326" t="s">
        <v>1044</v>
      </c>
      <c r="D14" s="327" t="s">
        <v>1044</v>
      </c>
      <c r="E14" s="328" t="s">
        <v>134</v>
      </c>
      <c r="F14" s="327"/>
      <c r="G14" s="329"/>
      <c r="H14" s="330" t="s">
        <v>129</v>
      </c>
      <c r="I14" s="269">
        <v>5</v>
      </c>
      <c r="J14" s="89"/>
      <c r="K14" s="270"/>
      <c r="L14" s="376"/>
      <c r="M14" s="377"/>
      <c r="N14" s="377"/>
      <c r="O14" s="377"/>
      <c r="P14" s="378" t="s">
        <v>122</v>
      </c>
      <c r="Q14" s="275"/>
      <c r="R14" s="74"/>
      <c r="S14" s="379"/>
      <c r="T14" s="379"/>
      <c r="U14" s="380"/>
      <c r="V14" s="381"/>
      <c r="W14" s="379"/>
      <c r="X14" s="379"/>
      <c r="Y14" s="379"/>
      <c r="Z14" s="382"/>
      <c r="AA14" s="383"/>
      <c r="AB14" s="379"/>
      <c r="AC14" s="379"/>
      <c r="AD14" s="379"/>
      <c r="AE14" s="380"/>
      <c r="AF14" s="381"/>
      <c r="AG14" s="379"/>
      <c r="AH14" s="379"/>
      <c r="AI14" s="379"/>
      <c r="AJ14" s="276"/>
      <c r="AK14" s="275"/>
      <c r="AL14" s="379"/>
      <c r="AM14" s="379"/>
      <c r="AN14" s="379"/>
      <c r="AO14" s="380"/>
      <c r="AP14" s="381"/>
      <c r="AQ14" s="379"/>
      <c r="AR14" s="379"/>
      <c r="AS14" s="74"/>
      <c r="AT14" s="276"/>
      <c r="AU14" s="383"/>
      <c r="AV14" s="379"/>
      <c r="AW14" s="379"/>
      <c r="AX14" s="379"/>
      <c r="AY14" s="380"/>
      <c r="AZ14" s="381"/>
      <c r="BA14" s="379"/>
      <c r="BB14" s="379"/>
      <c r="BC14" s="379"/>
      <c r="BD14" s="382"/>
      <c r="BE14" s="275"/>
      <c r="BF14" s="74"/>
      <c r="BG14" s="379"/>
      <c r="BH14" s="379"/>
      <c r="BI14" s="380"/>
      <c r="BJ14" s="384" t="s">
        <v>120</v>
      </c>
      <c r="BK14" s="379"/>
      <c r="BL14" s="379"/>
      <c r="BM14" s="379"/>
      <c r="BN14" s="382"/>
      <c r="BO14" s="383"/>
      <c r="BP14" s="385" t="s">
        <v>121</v>
      </c>
      <c r="BQ14" s="74"/>
      <c r="BR14" s="74"/>
      <c r="BS14" s="380"/>
      <c r="BT14" s="277"/>
      <c r="BU14" s="74"/>
      <c r="BV14" s="379"/>
      <c r="BW14" s="379"/>
      <c r="BX14" s="382"/>
      <c r="BY14" s="383"/>
      <c r="BZ14" s="74"/>
      <c r="CA14" s="74"/>
      <c r="CB14" s="379"/>
      <c r="CC14" s="380"/>
      <c r="CD14" s="381"/>
      <c r="CE14" s="74"/>
      <c r="CF14" s="74"/>
      <c r="CG14" s="379"/>
      <c r="CH14" s="386" t="s">
        <v>40</v>
      </c>
      <c r="CI14" s="384" t="s">
        <v>40</v>
      </c>
      <c r="CJ14" s="206"/>
      <c r="CK14" s="206"/>
      <c r="CL14" s="206"/>
      <c r="CM14" s="207"/>
      <c r="CN14" s="366"/>
      <c r="CO14" s="366"/>
      <c r="CP14" s="366"/>
      <c r="CQ14" s="366"/>
      <c r="CR14" s="366"/>
      <c r="CS14" s="366"/>
      <c r="CT14" s="366"/>
      <c r="CU14" s="366"/>
      <c r="CV14" s="366"/>
      <c r="CW14" s="366"/>
      <c r="CX14" s="366"/>
      <c r="CY14" s="366"/>
      <c r="CZ14" s="366"/>
      <c r="DA14" s="366"/>
      <c r="DB14" s="366"/>
      <c r="DC14" s="366"/>
      <c r="DD14" s="366"/>
      <c r="DE14" s="366"/>
      <c r="DF14" s="366"/>
      <c r="DG14" s="366"/>
      <c r="DH14" s="366"/>
      <c r="DI14" s="366"/>
      <c r="DJ14" s="366"/>
      <c r="DK14" s="366"/>
      <c r="DL14" s="366"/>
      <c r="DM14" s="366"/>
      <c r="DN14" s="366"/>
    </row>
    <row r="15" spans="1:121" ht="25.5" customHeight="1" x14ac:dyDescent="0.25">
      <c r="A15" s="318">
        <v>6</v>
      </c>
      <c r="B15" s="75"/>
      <c r="C15" s="319"/>
      <c r="D15" s="320"/>
      <c r="E15" s="321"/>
      <c r="F15" s="320"/>
      <c r="G15" s="322"/>
      <c r="H15" s="323"/>
      <c r="I15" s="259"/>
      <c r="J15" s="130"/>
      <c r="K15" s="260"/>
      <c r="L15" s="272"/>
      <c r="M15" s="92"/>
      <c r="N15" s="92"/>
      <c r="O15" s="92"/>
      <c r="P15" s="273"/>
      <c r="Q15" s="272"/>
      <c r="R15" s="92"/>
      <c r="S15" s="92"/>
      <c r="T15" s="92"/>
      <c r="U15" s="113"/>
      <c r="V15" s="258"/>
      <c r="W15" s="92"/>
      <c r="X15" s="92"/>
      <c r="Y15" s="92"/>
      <c r="Z15" s="273"/>
      <c r="AA15" s="272"/>
      <c r="AB15" s="92"/>
      <c r="AC15" s="92"/>
      <c r="AD15" s="92"/>
      <c r="AE15" s="113"/>
      <c r="AF15" s="258"/>
      <c r="AG15" s="92"/>
      <c r="AH15" s="92"/>
      <c r="AI15" s="92"/>
      <c r="AJ15" s="273"/>
      <c r="AK15" s="272"/>
      <c r="AL15" s="92"/>
      <c r="AM15" s="92"/>
      <c r="AN15" s="92"/>
      <c r="AO15" s="113"/>
      <c r="AP15" s="258"/>
      <c r="AQ15" s="92"/>
      <c r="AR15" s="92"/>
      <c r="AS15" s="92"/>
      <c r="AT15" s="273"/>
      <c r="AU15" s="272"/>
      <c r="AV15" s="92"/>
      <c r="AW15" s="92"/>
      <c r="AX15" s="92"/>
      <c r="AY15" s="113"/>
      <c r="AZ15" s="258"/>
      <c r="BA15" s="92"/>
      <c r="BB15" s="92"/>
      <c r="BC15" s="92"/>
      <c r="BD15" s="273"/>
      <c r="BE15" s="272"/>
      <c r="BF15" s="92"/>
      <c r="BG15" s="92"/>
      <c r="BH15" s="92"/>
      <c r="BI15" s="113"/>
      <c r="BJ15" s="258"/>
      <c r="BK15" s="92"/>
      <c r="BL15" s="92"/>
      <c r="BM15" s="92"/>
      <c r="BN15" s="273"/>
      <c r="BO15" s="272"/>
      <c r="BP15" s="92"/>
      <c r="BQ15" s="92"/>
      <c r="BR15" s="92"/>
      <c r="BS15" s="113"/>
      <c r="BT15" s="258"/>
      <c r="BU15" s="92"/>
      <c r="BV15" s="92"/>
      <c r="BW15" s="92"/>
      <c r="BX15" s="273"/>
      <c r="BY15" s="272"/>
      <c r="BZ15" s="92"/>
      <c r="CA15" s="92"/>
      <c r="CB15" s="92"/>
      <c r="CC15" s="113"/>
      <c r="CD15" s="258"/>
      <c r="CE15" s="92"/>
      <c r="CF15" s="92"/>
      <c r="CG15" s="92"/>
      <c r="CH15" s="113"/>
      <c r="CI15" s="258"/>
      <c r="CJ15" s="210"/>
      <c r="CK15" s="210"/>
      <c r="CL15" s="210"/>
      <c r="CM15" s="211"/>
      <c r="CN15" s="366"/>
      <c r="CO15" s="366"/>
      <c r="CP15" s="366"/>
      <c r="CQ15" s="366"/>
      <c r="CR15" s="366"/>
      <c r="CS15" s="366"/>
      <c r="CT15" s="366"/>
      <c r="CU15" s="366"/>
      <c r="CV15" s="366"/>
      <c r="CW15" s="366"/>
      <c r="CX15" s="366"/>
      <c r="CY15" s="366"/>
      <c r="CZ15" s="366"/>
      <c r="DA15" s="366"/>
      <c r="DB15" s="366"/>
      <c r="DC15" s="366"/>
      <c r="DD15" s="366"/>
      <c r="DE15" s="366"/>
      <c r="DF15" s="366"/>
      <c r="DG15" s="366"/>
      <c r="DH15" s="366"/>
      <c r="DI15" s="366"/>
      <c r="DJ15" s="366"/>
      <c r="DK15" s="366"/>
      <c r="DL15" s="366"/>
      <c r="DM15" s="366"/>
      <c r="DN15" s="366"/>
    </row>
    <row r="16" spans="1:121" ht="25.5" customHeight="1" x14ac:dyDescent="0.25">
      <c r="A16" s="324">
        <v>7</v>
      </c>
      <c r="B16" s="72">
        <v>0</v>
      </c>
      <c r="C16" s="76" t="s">
        <v>135</v>
      </c>
      <c r="D16" s="76" t="s">
        <v>251</v>
      </c>
      <c r="E16" s="77" t="s">
        <v>252</v>
      </c>
      <c r="F16" s="72"/>
      <c r="G16" s="72" t="s">
        <v>253</v>
      </c>
      <c r="H16" s="78" t="s">
        <v>911</v>
      </c>
      <c r="I16" s="142"/>
      <c r="J16" s="76"/>
      <c r="K16" s="141"/>
      <c r="L16" s="367"/>
      <c r="M16" s="307"/>
      <c r="N16" s="307"/>
      <c r="O16" s="307"/>
      <c r="P16" s="369"/>
      <c r="Q16" s="274"/>
      <c r="R16" s="79"/>
      <c r="S16" s="307"/>
      <c r="T16" s="371" t="s">
        <v>118</v>
      </c>
      <c r="U16" s="370"/>
      <c r="V16" s="306"/>
      <c r="W16" s="371" t="s">
        <v>118</v>
      </c>
      <c r="X16" s="371" t="s">
        <v>118</v>
      </c>
      <c r="Y16" s="307"/>
      <c r="Z16" s="369"/>
      <c r="AA16" s="367"/>
      <c r="AB16" s="307"/>
      <c r="AC16" s="307"/>
      <c r="AD16" s="307"/>
      <c r="AE16" s="374" t="s">
        <v>118</v>
      </c>
      <c r="AF16" s="373" t="s">
        <v>118</v>
      </c>
      <c r="AG16" s="371" t="s">
        <v>118</v>
      </c>
      <c r="AH16" s="371" t="s">
        <v>118</v>
      </c>
      <c r="AI16" s="307"/>
      <c r="AJ16" s="178"/>
      <c r="AK16" s="274"/>
      <c r="AL16" s="307"/>
      <c r="AM16" s="307"/>
      <c r="AN16" s="371" t="s">
        <v>118</v>
      </c>
      <c r="AO16" s="370"/>
      <c r="AP16" s="373" t="s">
        <v>118</v>
      </c>
      <c r="AQ16" s="307"/>
      <c r="AR16" s="307"/>
      <c r="AS16" s="79"/>
      <c r="AT16" s="178"/>
      <c r="AU16" s="367"/>
      <c r="AV16" s="371" t="s">
        <v>581</v>
      </c>
      <c r="AW16" s="387" t="s">
        <v>118</v>
      </c>
      <c r="AX16" s="307"/>
      <c r="AY16" s="370"/>
      <c r="AZ16" s="306"/>
      <c r="BA16" s="371" t="s">
        <v>118</v>
      </c>
      <c r="BB16" s="307"/>
      <c r="BC16" s="307"/>
      <c r="BD16" s="369"/>
      <c r="BE16" s="274"/>
      <c r="BF16" s="79"/>
      <c r="BG16" s="307"/>
      <c r="BH16" s="371" t="s">
        <v>581</v>
      </c>
      <c r="BI16" s="374" t="s">
        <v>118</v>
      </c>
      <c r="BJ16" s="306"/>
      <c r="BK16" s="307"/>
      <c r="BL16" s="307"/>
      <c r="BM16" s="371" t="s">
        <v>118</v>
      </c>
      <c r="BN16" s="369"/>
      <c r="BO16" s="367"/>
      <c r="BP16" s="307"/>
      <c r="BQ16" s="79"/>
      <c r="BR16" s="79"/>
      <c r="BS16" s="374" t="s">
        <v>118</v>
      </c>
      <c r="BT16" s="261"/>
      <c r="BU16" s="79"/>
      <c r="BV16" s="307"/>
      <c r="BW16" s="371" t="s">
        <v>118</v>
      </c>
      <c r="BX16" s="369"/>
      <c r="BY16" s="388" t="s">
        <v>118</v>
      </c>
      <c r="BZ16" s="79"/>
      <c r="CA16" s="79"/>
      <c r="CB16" s="307"/>
      <c r="CC16" s="370"/>
      <c r="CD16" s="306"/>
      <c r="CE16" s="79"/>
      <c r="CF16" s="79"/>
      <c r="CG16" s="371" t="s">
        <v>119</v>
      </c>
      <c r="CH16" s="374" t="s">
        <v>119</v>
      </c>
      <c r="CI16" s="373" t="s">
        <v>119</v>
      </c>
      <c r="CJ16" s="202"/>
      <c r="CK16" s="202"/>
      <c r="CL16" s="202"/>
      <c r="CM16" s="203"/>
      <c r="CN16" s="366"/>
      <c r="CO16" s="366"/>
      <c r="CP16" s="366"/>
      <c r="CQ16" s="366"/>
      <c r="CR16" s="366"/>
      <c r="CS16" s="366"/>
      <c r="CT16" s="366"/>
      <c r="CU16" s="366"/>
      <c r="CV16" s="366"/>
      <c r="CW16" s="366"/>
      <c r="CX16" s="366"/>
      <c r="CY16" s="366"/>
      <c r="CZ16" s="366"/>
      <c r="DA16" s="366"/>
      <c r="DB16" s="366"/>
      <c r="DC16" s="366"/>
      <c r="DD16" s="366"/>
      <c r="DE16" s="366"/>
      <c r="DF16" s="366"/>
      <c r="DG16" s="366"/>
      <c r="DH16" s="366"/>
      <c r="DI16" s="366"/>
      <c r="DJ16" s="366"/>
      <c r="DK16" s="366"/>
      <c r="DL16" s="366"/>
      <c r="DM16" s="366"/>
      <c r="DN16" s="366"/>
    </row>
    <row r="17" spans="1:118" ht="25.5" customHeight="1" x14ac:dyDescent="0.25">
      <c r="A17" s="324">
        <v>8</v>
      </c>
      <c r="B17" s="72"/>
      <c r="C17" s="72"/>
      <c r="D17" s="72"/>
      <c r="E17" s="77"/>
      <c r="F17" s="72"/>
      <c r="G17" s="72"/>
      <c r="H17" s="78"/>
      <c r="I17" s="142" t="s">
        <v>785</v>
      </c>
      <c r="J17" s="76"/>
      <c r="K17" s="141"/>
      <c r="L17" s="274"/>
      <c r="M17" s="79"/>
      <c r="N17" s="79"/>
      <c r="O17" s="79"/>
      <c r="P17" s="178"/>
      <c r="Q17" s="274"/>
      <c r="R17" s="79"/>
      <c r="S17" s="79"/>
      <c r="T17" s="79"/>
      <c r="U17" s="134"/>
      <c r="V17" s="261"/>
      <c r="W17" s="79"/>
      <c r="X17" s="79"/>
      <c r="Y17" s="79"/>
      <c r="Z17" s="178"/>
      <c r="AA17" s="274"/>
      <c r="AB17" s="79"/>
      <c r="AC17" s="79"/>
      <c r="AD17" s="79"/>
      <c r="AE17" s="134"/>
      <c r="AF17" s="261"/>
      <c r="AG17" s="79"/>
      <c r="AH17" s="79"/>
      <c r="AI17" s="79"/>
      <c r="AJ17" s="178"/>
      <c r="AK17" s="274"/>
      <c r="AL17" s="79"/>
      <c r="AM17" s="79"/>
      <c r="AN17" s="79"/>
      <c r="AO17" s="134"/>
      <c r="AP17" s="261"/>
      <c r="AQ17" s="79"/>
      <c r="AR17" s="79"/>
      <c r="AS17" s="79"/>
      <c r="AT17" s="178"/>
      <c r="AU17" s="274"/>
      <c r="AV17" s="79"/>
      <c r="AW17" s="79"/>
      <c r="AX17" s="79"/>
      <c r="AY17" s="134"/>
      <c r="AZ17" s="261"/>
      <c r="BA17" s="79"/>
      <c r="BB17" s="79"/>
      <c r="BC17" s="79"/>
      <c r="BD17" s="178"/>
      <c r="BE17" s="274"/>
      <c r="BF17" s="79"/>
      <c r="BG17" s="79"/>
      <c r="BH17" s="79"/>
      <c r="BI17" s="134"/>
      <c r="BJ17" s="261"/>
      <c r="BK17" s="79"/>
      <c r="BL17" s="79"/>
      <c r="BM17" s="79"/>
      <c r="BN17" s="178"/>
      <c r="BO17" s="274"/>
      <c r="BP17" s="79"/>
      <c r="BQ17" s="79"/>
      <c r="BR17" s="79"/>
      <c r="BS17" s="134"/>
      <c r="BT17" s="261"/>
      <c r="BU17" s="79"/>
      <c r="BV17" s="79"/>
      <c r="BW17" s="79"/>
      <c r="BX17" s="178"/>
      <c r="BY17" s="274"/>
      <c r="BZ17" s="79"/>
      <c r="CA17" s="79"/>
      <c r="CB17" s="79"/>
      <c r="CC17" s="134"/>
      <c r="CD17" s="261"/>
      <c r="CE17" s="79"/>
      <c r="CF17" s="79"/>
      <c r="CG17" s="79"/>
      <c r="CH17" s="134" t="s">
        <v>785</v>
      </c>
      <c r="CI17" s="261" t="s">
        <v>785</v>
      </c>
      <c r="CJ17" s="202"/>
      <c r="CK17" s="202"/>
      <c r="CL17" s="202"/>
      <c r="CM17" s="203"/>
      <c r="CN17" s="366"/>
      <c r="CO17" s="366"/>
      <c r="CP17" s="366"/>
      <c r="CQ17" s="366"/>
      <c r="CR17" s="366"/>
      <c r="CS17" s="366"/>
      <c r="CT17" s="366"/>
      <c r="CU17" s="366"/>
      <c r="CV17" s="366"/>
      <c r="CW17" s="366"/>
      <c r="CX17" s="366"/>
      <c r="CY17" s="366"/>
      <c r="CZ17" s="366"/>
      <c r="DA17" s="366"/>
      <c r="DB17" s="366"/>
      <c r="DC17" s="366"/>
      <c r="DD17" s="366"/>
      <c r="DE17" s="366"/>
      <c r="DF17" s="366"/>
      <c r="DG17" s="366"/>
      <c r="DH17" s="366"/>
      <c r="DI17" s="366"/>
      <c r="DJ17" s="366"/>
      <c r="DK17" s="366"/>
      <c r="DL17" s="366"/>
      <c r="DM17" s="366"/>
      <c r="DN17" s="366"/>
    </row>
    <row r="18" spans="1:118" ht="25.5" customHeight="1" x14ac:dyDescent="0.25">
      <c r="A18" s="324">
        <v>9</v>
      </c>
      <c r="B18" s="72">
        <v>0</v>
      </c>
      <c r="C18" s="76" t="s">
        <v>1044</v>
      </c>
      <c r="D18" s="76" t="s">
        <v>41</v>
      </c>
      <c r="E18" s="80" t="s">
        <v>649</v>
      </c>
      <c r="F18" s="76"/>
      <c r="G18" s="76" t="s">
        <v>650</v>
      </c>
      <c r="H18" s="81" t="s">
        <v>584</v>
      </c>
      <c r="I18" s="142">
        <v>2</v>
      </c>
      <c r="J18" s="76"/>
      <c r="K18" s="141">
        <v>7</v>
      </c>
      <c r="L18" s="367"/>
      <c r="M18" s="368" t="s">
        <v>122</v>
      </c>
      <c r="N18" s="307"/>
      <c r="O18" s="307"/>
      <c r="P18" s="369"/>
      <c r="Q18" s="274"/>
      <c r="R18" s="79"/>
      <c r="S18" s="307"/>
      <c r="T18" s="307"/>
      <c r="U18" s="370"/>
      <c r="V18" s="306"/>
      <c r="W18" s="307"/>
      <c r="X18" s="307"/>
      <c r="Y18" s="307"/>
      <c r="Z18" s="369"/>
      <c r="AA18" s="367"/>
      <c r="AB18" s="307"/>
      <c r="AC18" s="307"/>
      <c r="AD18" s="307"/>
      <c r="AE18" s="370"/>
      <c r="AF18" s="306"/>
      <c r="AG18" s="307"/>
      <c r="AH18" s="307"/>
      <c r="AI18" s="307"/>
      <c r="AJ18" s="178"/>
      <c r="AK18" s="274"/>
      <c r="AL18" s="307"/>
      <c r="AM18" s="307"/>
      <c r="AN18" s="307"/>
      <c r="AO18" s="370"/>
      <c r="AP18" s="306"/>
      <c r="AQ18" s="307"/>
      <c r="AR18" s="307"/>
      <c r="AS18" s="79"/>
      <c r="AT18" s="178"/>
      <c r="AU18" s="367"/>
      <c r="AV18" s="307"/>
      <c r="AW18" s="307"/>
      <c r="AX18" s="371" t="s">
        <v>120</v>
      </c>
      <c r="AY18" s="370"/>
      <c r="AZ18" s="306"/>
      <c r="BA18" s="307"/>
      <c r="BB18" s="307"/>
      <c r="BC18" s="307"/>
      <c r="BD18" s="372" t="s">
        <v>121</v>
      </c>
      <c r="BE18" s="274"/>
      <c r="BF18" s="79"/>
      <c r="BG18" s="307"/>
      <c r="BH18" s="307"/>
      <c r="BI18" s="370"/>
      <c r="BJ18" s="373" t="s">
        <v>120</v>
      </c>
      <c r="BK18" s="307"/>
      <c r="BL18" s="307"/>
      <c r="BM18" s="307"/>
      <c r="BN18" s="369"/>
      <c r="BO18" s="367"/>
      <c r="BP18" s="371" t="s">
        <v>121</v>
      </c>
      <c r="BQ18" s="79"/>
      <c r="BR18" s="79"/>
      <c r="BS18" s="370"/>
      <c r="BT18" s="261"/>
      <c r="BU18" s="79"/>
      <c r="BV18" s="307"/>
      <c r="BW18" s="307"/>
      <c r="BX18" s="369"/>
      <c r="BY18" s="367"/>
      <c r="BZ18" s="79"/>
      <c r="CA18" s="79"/>
      <c r="CB18" s="307"/>
      <c r="CC18" s="370"/>
      <c r="CD18" s="306"/>
      <c r="CE18" s="79"/>
      <c r="CF18" s="79"/>
      <c r="CG18" s="307"/>
      <c r="CH18" s="374" t="s">
        <v>40</v>
      </c>
      <c r="CI18" s="373" t="s">
        <v>40</v>
      </c>
      <c r="CJ18" s="202"/>
      <c r="CK18" s="202"/>
      <c r="CL18" s="202"/>
      <c r="CM18" s="203"/>
      <c r="CN18" s="366"/>
      <c r="CO18" s="366"/>
      <c r="CP18" s="366"/>
      <c r="CQ18" s="366"/>
      <c r="CR18" s="366"/>
      <c r="CS18" s="366"/>
      <c r="CT18" s="366"/>
      <c r="CU18" s="366"/>
      <c r="CV18" s="366"/>
      <c r="CW18" s="366"/>
      <c r="CX18" s="366"/>
      <c r="CY18" s="366"/>
      <c r="CZ18" s="366"/>
      <c r="DA18" s="366"/>
      <c r="DB18" s="366"/>
      <c r="DC18" s="366"/>
      <c r="DD18" s="366"/>
      <c r="DE18" s="366"/>
      <c r="DF18" s="366"/>
      <c r="DG18" s="366"/>
      <c r="DH18" s="366"/>
      <c r="DI18" s="366"/>
      <c r="DJ18" s="366"/>
      <c r="DK18" s="366"/>
      <c r="DL18" s="366"/>
      <c r="DM18" s="366"/>
      <c r="DN18" s="366"/>
    </row>
    <row r="19" spans="1:118" ht="25.5" customHeight="1" thickBot="1" x14ac:dyDescent="0.3">
      <c r="A19" s="331">
        <v>10</v>
      </c>
      <c r="B19" s="82">
        <v>0</v>
      </c>
      <c r="C19" s="82" t="s">
        <v>1044</v>
      </c>
      <c r="D19" s="82" t="s">
        <v>41</v>
      </c>
      <c r="E19" s="83" t="s">
        <v>63</v>
      </c>
      <c r="F19" s="82"/>
      <c r="G19" s="82" t="s">
        <v>651</v>
      </c>
      <c r="H19" s="84" t="s">
        <v>786</v>
      </c>
      <c r="I19" s="257">
        <v>1</v>
      </c>
      <c r="J19" s="99" t="s">
        <v>64</v>
      </c>
      <c r="K19" s="264">
        <v>13</v>
      </c>
      <c r="L19" s="389" t="s">
        <v>122</v>
      </c>
      <c r="M19" s="390"/>
      <c r="N19" s="390"/>
      <c r="O19" s="390"/>
      <c r="P19" s="391"/>
      <c r="Q19" s="278"/>
      <c r="R19" s="190"/>
      <c r="S19" s="390"/>
      <c r="T19" s="392" t="s">
        <v>120</v>
      </c>
      <c r="U19" s="393"/>
      <c r="V19" s="394"/>
      <c r="W19" s="392" t="s">
        <v>120</v>
      </c>
      <c r="X19" s="392" t="s">
        <v>120</v>
      </c>
      <c r="Y19" s="390"/>
      <c r="Z19" s="391"/>
      <c r="AA19" s="395"/>
      <c r="AB19" s="390"/>
      <c r="AC19" s="390"/>
      <c r="AD19" s="390"/>
      <c r="AE19" s="396" t="s">
        <v>120</v>
      </c>
      <c r="AF19" s="397" t="s">
        <v>120</v>
      </c>
      <c r="AG19" s="392" t="s">
        <v>120</v>
      </c>
      <c r="AH19" s="392" t="s">
        <v>120</v>
      </c>
      <c r="AI19" s="390"/>
      <c r="AJ19" s="279"/>
      <c r="AK19" s="278"/>
      <c r="AL19" s="390"/>
      <c r="AM19" s="390"/>
      <c r="AN19" s="390"/>
      <c r="AO19" s="396" t="s">
        <v>121</v>
      </c>
      <c r="AP19" s="394"/>
      <c r="AQ19" s="392" t="s">
        <v>121</v>
      </c>
      <c r="AR19" s="390"/>
      <c r="AS19" s="190"/>
      <c r="AT19" s="279"/>
      <c r="AU19" s="395"/>
      <c r="AV19" s="390"/>
      <c r="AW19" s="390"/>
      <c r="AX19" s="392" t="s">
        <v>120</v>
      </c>
      <c r="AY19" s="393"/>
      <c r="AZ19" s="394"/>
      <c r="BA19" s="390"/>
      <c r="BB19" s="392" t="s">
        <v>121</v>
      </c>
      <c r="BC19" s="390"/>
      <c r="BD19" s="398" t="s">
        <v>121</v>
      </c>
      <c r="BE19" s="278"/>
      <c r="BF19" s="190"/>
      <c r="BG19" s="390"/>
      <c r="BH19" s="390"/>
      <c r="BI19" s="393"/>
      <c r="BJ19" s="397" t="s">
        <v>120</v>
      </c>
      <c r="BK19" s="390"/>
      <c r="BL19" s="390"/>
      <c r="BM19" s="390"/>
      <c r="BN19" s="398" t="s">
        <v>121</v>
      </c>
      <c r="BO19" s="395"/>
      <c r="BP19" s="392" t="s">
        <v>121</v>
      </c>
      <c r="BQ19" s="190"/>
      <c r="BR19" s="190"/>
      <c r="BS19" s="396" t="s">
        <v>120</v>
      </c>
      <c r="BT19" s="280"/>
      <c r="BU19" s="190"/>
      <c r="BV19" s="390"/>
      <c r="BW19" s="390"/>
      <c r="BX19" s="391"/>
      <c r="BY19" s="395"/>
      <c r="BZ19" s="190"/>
      <c r="CA19" s="190"/>
      <c r="CB19" s="392" t="s">
        <v>122</v>
      </c>
      <c r="CC19" s="393"/>
      <c r="CD19" s="394"/>
      <c r="CE19" s="190"/>
      <c r="CF19" s="190"/>
      <c r="CG19" s="390"/>
      <c r="CH19" s="396" t="s">
        <v>40</v>
      </c>
      <c r="CI19" s="397" t="s">
        <v>40</v>
      </c>
      <c r="CJ19" s="213"/>
      <c r="CK19" s="213"/>
      <c r="CL19" s="213"/>
      <c r="CM19" s="214"/>
      <c r="CN19" s="366"/>
      <c r="CO19" s="366"/>
      <c r="CP19" s="366"/>
      <c r="CQ19" s="366"/>
      <c r="CR19" s="366"/>
      <c r="CS19" s="366"/>
      <c r="CT19" s="366"/>
      <c r="CU19" s="366"/>
      <c r="CV19" s="366"/>
      <c r="CW19" s="366"/>
      <c r="CX19" s="366"/>
      <c r="CY19" s="366"/>
      <c r="CZ19" s="366"/>
      <c r="DA19" s="366"/>
      <c r="DB19" s="366"/>
      <c r="DC19" s="366"/>
      <c r="DD19" s="366"/>
      <c r="DE19" s="366"/>
      <c r="DF19" s="366"/>
      <c r="DG19" s="366"/>
      <c r="DH19" s="366"/>
      <c r="DI19" s="366"/>
      <c r="DJ19" s="366"/>
      <c r="DK19" s="366"/>
      <c r="DL19" s="366"/>
      <c r="DM19" s="366"/>
      <c r="DN19" s="366"/>
    </row>
    <row r="20" spans="1:118" ht="25.5" customHeight="1" x14ac:dyDescent="0.25">
      <c r="A20" s="332">
        <v>11</v>
      </c>
      <c r="B20" s="85"/>
      <c r="C20" s="85"/>
      <c r="D20" s="85"/>
      <c r="E20" s="85"/>
      <c r="F20" s="85"/>
      <c r="G20" s="85"/>
      <c r="H20" s="86"/>
      <c r="I20" s="139"/>
      <c r="J20" s="103"/>
      <c r="K20" s="137"/>
      <c r="L20" s="281"/>
      <c r="M20" s="87"/>
      <c r="N20" s="87"/>
      <c r="O20" s="87"/>
      <c r="P20" s="282"/>
      <c r="Q20" s="281"/>
      <c r="R20" s="87"/>
      <c r="S20" s="87"/>
      <c r="T20" s="87"/>
      <c r="U20" s="194"/>
      <c r="V20" s="283"/>
      <c r="W20" s="87"/>
      <c r="X20" s="87"/>
      <c r="Y20" s="87"/>
      <c r="Z20" s="282"/>
      <c r="AA20" s="281"/>
      <c r="AB20" s="87"/>
      <c r="AC20" s="87"/>
      <c r="AD20" s="87"/>
      <c r="AE20" s="194"/>
      <c r="AF20" s="283"/>
      <c r="AG20" s="87"/>
      <c r="AH20" s="87"/>
      <c r="AI20" s="87"/>
      <c r="AJ20" s="282"/>
      <c r="AK20" s="281"/>
      <c r="AL20" s="87"/>
      <c r="AM20" s="87"/>
      <c r="AN20" s="87"/>
      <c r="AO20" s="194"/>
      <c r="AP20" s="283"/>
      <c r="AQ20" s="87"/>
      <c r="AR20" s="87"/>
      <c r="AS20" s="87"/>
      <c r="AT20" s="282"/>
      <c r="AU20" s="281"/>
      <c r="AV20" s="87"/>
      <c r="AW20" s="103"/>
      <c r="AX20" s="87"/>
      <c r="AY20" s="194"/>
      <c r="AZ20" s="283"/>
      <c r="BA20" s="87"/>
      <c r="BB20" s="87"/>
      <c r="BC20" s="87"/>
      <c r="BD20" s="282"/>
      <c r="BE20" s="281"/>
      <c r="BF20" s="87"/>
      <c r="BG20" s="87"/>
      <c r="BH20" s="87"/>
      <c r="BI20" s="194"/>
      <c r="BJ20" s="283"/>
      <c r="BK20" s="87"/>
      <c r="BL20" s="87"/>
      <c r="BM20" s="87"/>
      <c r="BN20" s="282"/>
      <c r="BO20" s="281"/>
      <c r="BP20" s="87"/>
      <c r="BQ20" s="87"/>
      <c r="BR20" s="87"/>
      <c r="BS20" s="194"/>
      <c r="BT20" s="283"/>
      <c r="BU20" s="87"/>
      <c r="BV20" s="87"/>
      <c r="BW20" s="87"/>
      <c r="BX20" s="282"/>
      <c r="BY20" s="281"/>
      <c r="BZ20" s="87"/>
      <c r="CA20" s="87"/>
      <c r="CB20" s="87"/>
      <c r="CC20" s="194"/>
      <c r="CD20" s="283"/>
      <c r="CE20" s="87"/>
      <c r="CF20" s="87"/>
      <c r="CG20" s="87"/>
      <c r="CH20" s="194"/>
      <c r="CI20" s="283"/>
      <c r="CJ20" s="217"/>
      <c r="CK20" s="217"/>
      <c r="CL20" s="217"/>
      <c r="CM20" s="218"/>
      <c r="CN20" s="366"/>
      <c r="CO20" s="366"/>
      <c r="CP20" s="366"/>
      <c r="CQ20" s="366"/>
      <c r="CR20" s="366"/>
      <c r="CS20" s="366"/>
      <c r="CT20" s="366"/>
      <c r="CU20" s="366"/>
      <c r="CV20" s="366"/>
      <c r="CW20" s="366"/>
      <c r="CX20" s="366"/>
      <c r="CY20" s="366"/>
      <c r="CZ20" s="366"/>
      <c r="DA20" s="366"/>
      <c r="DB20" s="366"/>
      <c r="DC20" s="366"/>
      <c r="DD20" s="366"/>
      <c r="DE20" s="366"/>
      <c r="DF20" s="366"/>
      <c r="DG20" s="366"/>
      <c r="DH20" s="366"/>
      <c r="DI20" s="366"/>
      <c r="DJ20" s="366"/>
      <c r="DK20" s="366"/>
      <c r="DL20" s="366"/>
      <c r="DM20" s="366"/>
      <c r="DN20" s="366"/>
    </row>
    <row r="21" spans="1:118" ht="25.5" customHeight="1" x14ac:dyDescent="0.2">
      <c r="A21" s="324">
        <v>12</v>
      </c>
      <c r="B21" s="72">
        <v>0</v>
      </c>
      <c r="C21" s="76" t="s">
        <v>135</v>
      </c>
      <c r="D21" s="76" t="s">
        <v>254</v>
      </c>
      <c r="E21" s="77" t="s">
        <v>255</v>
      </c>
      <c r="F21" s="72"/>
      <c r="G21" s="72" t="s">
        <v>256</v>
      </c>
      <c r="H21" s="78" t="s">
        <v>787</v>
      </c>
      <c r="I21" s="142">
        <v>1</v>
      </c>
      <c r="J21" s="76" t="s">
        <v>64</v>
      </c>
      <c r="K21" s="141">
        <v>13</v>
      </c>
      <c r="L21" s="399" t="s">
        <v>122</v>
      </c>
      <c r="M21" s="307"/>
      <c r="N21" s="307"/>
      <c r="O21" s="307"/>
      <c r="P21" s="369"/>
      <c r="Q21" s="274"/>
      <c r="R21" s="79"/>
      <c r="S21" s="307"/>
      <c r="T21" s="371" t="s">
        <v>120</v>
      </c>
      <c r="U21" s="370"/>
      <c r="V21" s="306"/>
      <c r="W21" s="371" t="s">
        <v>120</v>
      </c>
      <c r="X21" s="371" t="s">
        <v>120</v>
      </c>
      <c r="Y21" s="307"/>
      <c r="Z21" s="369"/>
      <c r="AA21" s="367"/>
      <c r="AB21" s="307"/>
      <c r="AC21" s="307"/>
      <c r="AD21" s="307"/>
      <c r="AE21" s="374" t="s">
        <v>120</v>
      </c>
      <c r="AF21" s="373" t="s">
        <v>120</v>
      </c>
      <c r="AG21" s="371" t="s">
        <v>120</v>
      </c>
      <c r="AH21" s="371" t="s">
        <v>120</v>
      </c>
      <c r="AI21" s="307"/>
      <c r="AJ21" s="178"/>
      <c r="AK21" s="274"/>
      <c r="AL21" s="307"/>
      <c r="AM21" s="307"/>
      <c r="AN21" s="307"/>
      <c r="AO21" s="374" t="s">
        <v>121</v>
      </c>
      <c r="AP21" s="306"/>
      <c r="AQ21" s="371" t="s">
        <v>121</v>
      </c>
      <c r="AR21" s="307"/>
      <c r="AS21" s="79"/>
      <c r="AT21" s="178"/>
      <c r="AU21" s="367"/>
      <c r="AV21" s="307"/>
      <c r="AW21" s="307"/>
      <c r="AX21" s="371" t="s">
        <v>120</v>
      </c>
      <c r="AY21" s="370"/>
      <c r="AZ21" s="306"/>
      <c r="BA21" s="307"/>
      <c r="BB21" s="371" t="s">
        <v>121</v>
      </c>
      <c r="BC21" s="307"/>
      <c r="BD21" s="372" t="s">
        <v>121</v>
      </c>
      <c r="BE21" s="274"/>
      <c r="BF21" s="79"/>
      <c r="BG21" s="307"/>
      <c r="BH21" s="307"/>
      <c r="BI21" s="370"/>
      <c r="BJ21" s="373" t="s">
        <v>120</v>
      </c>
      <c r="BK21" s="307"/>
      <c r="BL21" s="307"/>
      <c r="BM21" s="307"/>
      <c r="BN21" s="372" t="s">
        <v>121</v>
      </c>
      <c r="BO21" s="367"/>
      <c r="BP21" s="371" t="s">
        <v>121</v>
      </c>
      <c r="BQ21" s="79"/>
      <c r="BR21" s="79"/>
      <c r="BS21" s="374" t="s">
        <v>120</v>
      </c>
      <c r="BT21" s="261"/>
      <c r="BU21" s="79"/>
      <c r="BV21" s="307"/>
      <c r="BW21" s="307"/>
      <c r="BX21" s="369"/>
      <c r="BY21" s="367"/>
      <c r="BZ21" s="79"/>
      <c r="CA21" s="79"/>
      <c r="CB21" s="371" t="s">
        <v>122</v>
      </c>
      <c r="CC21" s="370"/>
      <c r="CD21" s="306"/>
      <c r="CE21" s="79"/>
      <c r="CF21" s="79"/>
      <c r="CG21" s="307"/>
      <c r="CH21" s="374" t="s">
        <v>40</v>
      </c>
      <c r="CI21" s="373" t="s">
        <v>40</v>
      </c>
      <c r="CJ21" s="202"/>
      <c r="CK21" s="202"/>
      <c r="CL21" s="202"/>
      <c r="CM21" s="203"/>
    </row>
    <row r="22" spans="1:118" ht="25.5" customHeight="1" x14ac:dyDescent="0.2">
      <c r="A22" s="324">
        <v>13</v>
      </c>
      <c r="B22" s="72"/>
      <c r="C22" s="72"/>
      <c r="D22" s="72"/>
      <c r="E22" s="80"/>
      <c r="F22" s="72"/>
      <c r="G22" s="72"/>
      <c r="H22" s="78"/>
      <c r="I22" s="142"/>
      <c r="J22" s="76"/>
      <c r="K22" s="141"/>
      <c r="L22" s="274"/>
      <c r="M22" s="79"/>
      <c r="N22" s="79"/>
      <c r="O22" s="79"/>
      <c r="P22" s="178"/>
      <c r="Q22" s="274"/>
      <c r="R22" s="79"/>
      <c r="S22" s="79"/>
      <c r="T22" s="79"/>
      <c r="U22" s="134"/>
      <c r="V22" s="261"/>
      <c r="W22" s="79"/>
      <c r="X22" s="79"/>
      <c r="Y22" s="79"/>
      <c r="Z22" s="178"/>
      <c r="AA22" s="274"/>
      <c r="AB22" s="79"/>
      <c r="AC22" s="79"/>
      <c r="AD22" s="79"/>
      <c r="AE22" s="134"/>
      <c r="AF22" s="261"/>
      <c r="AG22" s="79"/>
      <c r="AH22" s="79"/>
      <c r="AI22" s="79"/>
      <c r="AJ22" s="178"/>
      <c r="AK22" s="274"/>
      <c r="AL22" s="79"/>
      <c r="AM22" s="79"/>
      <c r="AN22" s="79"/>
      <c r="AO22" s="134"/>
      <c r="AP22" s="261"/>
      <c r="AQ22" s="79"/>
      <c r="AR22" s="79"/>
      <c r="AS22" s="79"/>
      <c r="AT22" s="178"/>
      <c r="AU22" s="274"/>
      <c r="AV22" s="79"/>
      <c r="AW22" s="79"/>
      <c r="AX22" s="79"/>
      <c r="AY22" s="134"/>
      <c r="AZ22" s="261"/>
      <c r="BA22" s="79"/>
      <c r="BB22" s="79"/>
      <c r="BC22" s="79"/>
      <c r="BD22" s="178"/>
      <c r="BE22" s="274"/>
      <c r="BF22" s="79"/>
      <c r="BG22" s="79"/>
      <c r="BH22" s="79"/>
      <c r="BI22" s="134"/>
      <c r="BJ22" s="261"/>
      <c r="BK22" s="79"/>
      <c r="BL22" s="79"/>
      <c r="BM22" s="79"/>
      <c r="BN22" s="178"/>
      <c r="BO22" s="274"/>
      <c r="BP22" s="79"/>
      <c r="BQ22" s="79"/>
      <c r="BR22" s="79"/>
      <c r="BS22" s="134"/>
      <c r="BT22" s="261"/>
      <c r="BU22" s="79"/>
      <c r="BV22" s="79"/>
      <c r="BW22" s="79"/>
      <c r="BX22" s="178"/>
      <c r="BY22" s="274"/>
      <c r="BZ22" s="79"/>
      <c r="CA22" s="79"/>
      <c r="CB22" s="79"/>
      <c r="CC22" s="134"/>
      <c r="CD22" s="261"/>
      <c r="CE22" s="79"/>
      <c r="CF22" s="79"/>
      <c r="CG22" s="79"/>
      <c r="CH22" s="134"/>
      <c r="CI22" s="261"/>
      <c r="CJ22" s="202"/>
      <c r="CK22" s="202"/>
      <c r="CL22" s="202"/>
      <c r="CM22" s="203"/>
    </row>
    <row r="23" spans="1:118" ht="25.5" customHeight="1" x14ac:dyDescent="0.2">
      <c r="A23" s="324">
        <v>14</v>
      </c>
      <c r="B23" s="72">
        <v>0</v>
      </c>
      <c r="C23" s="72">
        <v>5</v>
      </c>
      <c r="D23" s="76" t="s">
        <v>257</v>
      </c>
      <c r="E23" s="80" t="s">
        <v>258</v>
      </c>
      <c r="F23" s="88"/>
      <c r="G23" s="72" t="s">
        <v>259</v>
      </c>
      <c r="H23" s="78" t="s">
        <v>788</v>
      </c>
      <c r="I23" s="142">
        <v>1</v>
      </c>
      <c r="J23" s="76" t="s">
        <v>64</v>
      </c>
      <c r="K23" s="141">
        <v>13</v>
      </c>
      <c r="L23" s="399" t="s">
        <v>122</v>
      </c>
      <c r="M23" s="307"/>
      <c r="N23" s="307"/>
      <c r="O23" s="307"/>
      <c r="P23" s="369"/>
      <c r="Q23" s="274"/>
      <c r="R23" s="79"/>
      <c r="S23" s="307"/>
      <c r="T23" s="371" t="s">
        <v>120</v>
      </c>
      <c r="U23" s="370"/>
      <c r="V23" s="306"/>
      <c r="W23" s="371" t="s">
        <v>120</v>
      </c>
      <c r="X23" s="371" t="s">
        <v>120</v>
      </c>
      <c r="Y23" s="307"/>
      <c r="Z23" s="369"/>
      <c r="AA23" s="367"/>
      <c r="AB23" s="307"/>
      <c r="AC23" s="307"/>
      <c r="AD23" s="307"/>
      <c r="AE23" s="374" t="s">
        <v>120</v>
      </c>
      <c r="AF23" s="373" t="s">
        <v>120</v>
      </c>
      <c r="AG23" s="371" t="s">
        <v>120</v>
      </c>
      <c r="AH23" s="371" t="s">
        <v>120</v>
      </c>
      <c r="AI23" s="307"/>
      <c r="AJ23" s="178"/>
      <c r="AK23" s="274"/>
      <c r="AL23" s="307"/>
      <c r="AM23" s="307"/>
      <c r="AN23" s="307"/>
      <c r="AO23" s="374" t="s">
        <v>121</v>
      </c>
      <c r="AP23" s="306"/>
      <c r="AQ23" s="371" t="s">
        <v>121</v>
      </c>
      <c r="AR23" s="307"/>
      <c r="AS23" s="79"/>
      <c r="AT23" s="178"/>
      <c r="AU23" s="367"/>
      <c r="AV23" s="307"/>
      <c r="AW23" s="307"/>
      <c r="AX23" s="371" t="s">
        <v>120</v>
      </c>
      <c r="AY23" s="370"/>
      <c r="AZ23" s="306"/>
      <c r="BA23" s="307"/>
      <c r="BB23" s="371" t="s">
        <v>121</v>
      </c>
      <c r="BC23" s="307"/>
      <c r="BD23" s="372" t="s">
        <v>121</v>
      </c>
      <c r="BE23" s="274"/>
      <c r="BF23" s="79"/>
      <c r="BG23" s="307"/>
      <c r="BH23" s="307"/>
      <c r="BI23" s="370"/>
      <c r="BJ23" s="373" t="s">
        <v>120</v>
      </c>
      <c r="BK23" s="307"/>
      <c r="BL23" s="307"/>
      <c r="BM23" s="307"/>
      <c r="BN23" s="372" t="s">
        <v>121</v>
      </c>
      <c r="BO23" s="367"/>
      <c r="BP23" s="371" t="s">
        <v>121</v>
      </c>
      <c r="BQ23" s="79"/>
      <c r="BR23" s="79"/>
      <c r="BS23" s="374" t="s">
        <v>120</v>
      </c>
      <c r="BT23" s="261"/>
      <c r="BU23" s="79"/>
      <c r="BV23" s="307"/>
      <c r="BW23" s="307"/>
      <c r="BX23" s="369"/>
      <c r="BY23" s="367"/>
      <c r="BZ23" s="79"/>
      <c r="CA23" s="79"/>
      <c r="CB23" s="371" t="s">
        <v>122</v>
      </c>
      <c r="CC23" s="370"/>
      <c r="CD23" s="306"/>
      <c r="CE23" s="79"/>
      <c r="CF23" s="79"/>
      <c r="CG23" s="307"/>
      <c r="CH23" s="374" t="s">
        <v>40</v>
      </c>
      <c r="CI23" s="373" t="s">
        <v>40</v>
      </c>
      <c r="CJ23" s="202"/>
      <c r="CK23" s="202"/>
      <c r="CL23" s="202"/>
      <c r="CM23" s="203"/>
    </row>
    <row r="24" spans="1:118" ht="25.5" customHeight="1" thickBot="1" x14ac:dyDescent="0.25">
      <c r="A24" s="325">
        <v>15</v>
      </c>
      <c r="B24" s="73">
        <v>0</v>
      </c>
      <c r="C24" s="73">
        <v>5</v>
      </c>
      <c r="D24" s="89" t="s">
        <v>652</v>
      </c>
      <c r="E24" s="90" t="s">
        <v>260</v>
      </c>
      <c r="F24" s="73"/>
      <c r="G24" s="73" t="s">
        <v>653</v>
      </c>
      <c r="H24" s="91" t="s">
        <v>789</v>
      </c>
      <c r="I24" s="269">
        <v>1</v>
      </c>
      <c r="J24" s="89" t="s">
        <v>64</v>
      </c>
      <c r="K24" s="270">
        <v>13</v>
      </c>
      <c r="L24" s="400" t="s">
        <v>122</v>
      </c>
      <c r="M24" s="379"/>
      <c r="N24" s="379"/>
      <c r="O24" s="379"/>
      <c r="P24" s="382"/>
      <c r="Q24" s="275"/>
      <c r="R24" s="74"/>
      <c r="S24" s="379"/>
      <c r="T24" s="385" t="s">
        <v>120</v>
      </c>
      <c r="U24" s="380"/>
      <c r="V24" s="381"/>
      <c r="W24" s="385" t="s">
        <v>120</v>
      </c>
      <c r="X24" s="385" t="s">
        <v>120</v>
      </c>
      <c r="Y24" s="379"/>
      <c r="Z24" s="382"/>
      <c r="AA24" s="383"/>
      <c r="AB24" s="379"/>
      <c r="AC24" s="379"/>
      <c r="AD24" s="379"/>
      <c r="AE24" s="386" t="s">
        <v>120</v>
      </c>
      <c r="AF24" s="384" t="s">
        <v>120</v>
      </c>
      <c r="AG24" s="385" t="s">
        <v>120</v>
      </c>
      <c r="AH24" s="385" t="s">
        <v>120</v>
      </c>
      <c r="AI24" s="379"/>
      <c r="AJ24" s="276"/>
      <c r="AK24" s="275"/>
      <c r="AL24" s="379"/>
      <c r="AM24" s="379"/>
      <c r="AN24" s="379"/>
      <c r="AO24" s="386" t="s">
        <v>121</v>
      </c>
      <c r="AP24" s="381"/>
      <c r="AQ24" s="385" t="s">
        <v>121</v>
      </c>
      <c r="AR24" s="379"/>
      <c r="AS24" s="74"/>
      <c r="AT24" s="276"/>
      <c r="AU24" s="383"/>
      <c r="AV24" s="379"/>
      <c r="AW24" s="379"/>
      <c r="AX24" s="385" t="s">
        <v>120</v>
      </c>
      <c r="AY24" s="380"/>
      <c r="AZ24" s="381"/>
      <c r="BA24" s="379"/>
      <c r="BB24" s="385" t="s">
        <v>121</v>
      </c>
      <c r="BC24" s="379"/>
      <c r="BD24" s="378" t="s">
        <v>121</v>
      </c>
      <c r="BE24" s="275"/>
      <c r="BF24" s="74"/>
      <c r="BG24" s="379"/>
      <c r="BH24" s="379"/>
      <c r="BI24" s="380"/>
      <c r="BJ24" s="384" t="s">
        <v>120</v>
      </c>
      <c r="BK24" s="379"/>
      <c r="BL24" s="379"/>
      <c r="BM24" s="379"/>
      <c r="BN24" s="378" t="s">
        <v>121</v>
      </c>
      <c r="BO24" s="383"/>
      <c r="BP24" s="385" t="s">
        <v>121</v>
      </c>
      <c r="BQ24" s="74"/>
      <c r="BR24" s="74"/>
      <c r="BS24" s="386" t="s">
        <v>120</v>
      </c>
      <c r="BT24" s="277"/>
      <c r="BU24" s="74"/>
      <c r="BV24" s="379"/>
      <c r="BW24" s="379"/>
      <c r="BX24" s="382"/>
      <c r="BY24" s="383"/>
      <c r="BZ24" s="74"/>
      <c r="CA24" s="74"/>
      <c r="CB24" s="385" t="s">
        <v>122</v>
      </c>
      <c r="CC24" s="380"/>
      <c r="CD24" s="381"/>
      <c r="CE24" s="74"/>
      <c r="CF24" s="74"/>
      <c r="CG24" s="379"/>
      <c r="CH24" s="386" t="s">
        <v>40</v>
      </c>
      <c r="CI24" s="384" t="s">
        <v>40</v>
      </c>
      <c r="CJ24" s="206"/>
      <c r="CK24" s="206"/>
      <c r="CL24" s="206"/>
      <c r="CM24" s="207"/>
    </row>
    <row r="25" spans="1:118" ht="25.5" customHeight="1" x14ac:dyDescent="0.2">
      <c r="A25" s="318">
        <v>16</v>
      </c>
      <c r="B25" s="75"/>
      <c r="C25" s="92"/>
      <c r="D25" s="92"/>
      <c r="E25" s="93"/>
      <c r="F25" s="92"/>
      <c r="G25" s="92"/>
      <c r="H25" s="94"/>
      <c r="I25" s="259"/>
      <c r="J25" s="130"/>
      <c r="K25" s="260"/>
      <c r="L25" s="272"/>
      <c r="M25" s="92"/>
      <c r="N25" s="92"/>
      <c r="O25" s="92"/>
      <c r="P25" s="273"/>
      <c r="Q25" s="272"/>
      <c r="R25" s="92"/>
      <c r="S25" s="92"/>
      <c r="T25" s="92"/>
      <c r="U25" s="113"/>
      <c r="V25" s="258"/>
      <c r="W25" s="92"/>
      <c r="X25" s="92"/>
      <c r="Y25" s="92"/>
      <c r="Z25" s="273"/>
      <c r="AA25" s="272"/>
      <c r="AB25" s="92"/>
      <c r="AC25" s="92"/>
      <c r="AD25" s="92"/>
      <c r="AE25" s="113"/>
      <c r="AF25" s="258"/>
      <c r="AG25" s="92"/>
      <c r="AH25" s="92"/>
      <c r="AI25" s="92"/>
      <c r="AJ25" s="273"/>
      <c r="AK25" s="272"/>
      <c r="AL25" s="92"/>
      <c r="AM25" s="92"/>
      <c r="AN25" s="92"/>
      <c r="AO25" s="113"/>
      <c r="AP25" s="258"/>
      <c r="AQ25" s="92"/>
      <c r="AR25" s="92"/>
      <c r="AS25" s="92"/>
      <c r="AT25" s="273"/>
      <c r="AU25" s="272"/>
      <c r="AV25" s="92"/>
      <c r="AW25" s="92"/>
      <c r="AX25" s="92"/>
      <c r="AY25" s="113"/>
      <c r="AZ25" s="258"/>
      <c r="BA25" s="92"/>
      <c r="BB25" s="92"/>
      <c r="BC25" s="92"/>
      <c r="BD25" s="273"/>
      <c r="BE25" s="272"/>
      <c r="BF25" s="92"/>
      <c r="BG25" s="92"/>
      <c r="BH25" s="92"/>
      <c r="BI25" s="113"/>
      <c r="BJ25" s="258"/>
      <c r="BK25" s="92"/>
      <c r="BL25" s="92"/>
      <c r="BM25" s="92"/>
      <c r="BN25" s="273"/>
      <c r="BO25" s="272"/>
      <c r="BP25" s="92"/>
      <c r="BQ25" s="92"/>
      <c r="BR25" s="92"/>
      <c r="BS25" s="113"/>
      <c r="BT25" s="258"/>
      <c r="BU25" s="92"/>
      <c r="BV25" s="92"/>
      <c r="BW25" s="92"/>
      <c r="BX25" s="273"/>
      <c r="BY25" s="272"/>
      <c r="BZ25" s="92"/>
      <c r="CA25" s="92"/>
      <c r="CB25" s="92"/>
      <c r="CC25" s="113"/>
      <c r="CD25" s="258"/>
      <c r="CE25" s="92"/>
      <c r="CF25" s="92"/>
      <c r="CG25" s="92"/>
      <c r="CH25" s="113"/>
      <c r="CI25" s="258"/>
      <c r="CJ25" s="210"/>
      <c r="CK25" s="210"/>
      <c r="CL25" s="210"/>
      <c r="CM25" s="211"/>
    </row>
    <row r="26" spans="1:118" ht="25.5" customHeight="1" x14ac:dyDescent="0.2">
      <c r="A26" s="324">
        <v>17</v>
      </c>
      <c r="B26" s="72">
        <v>0</v>
      </c>
      <c r="C26" s="95"/>
      <c r="D26" s="95"/>
      <c r="E26" s="96" t="s">
        <v>1059</v>
      </c>
      <c r="F26" s="95"/>
      <c r="G26" s="95"/>
      <c r="H26" s="97"/>
      <c r="I26" s="142"/>
      <c r="J26" s="76"/>
      <c r="K26" s="141"/>
      <c r="L26" s="274"/>
      <c r="M26" s="79"/>
      <c r="N26" s="79"/>
      <c r="O26" s="79"/>
      <c r="P26" s="178"/>
      <c r="Q26" s="274"/>
      <c r="R26" s="79"/>
      <c r="S26" s="79"/>
      <c r="T26" s="79"/>
      <c r="U26" s="134"/>
      <c r="V26" s="261"/>
      <c r="W26" s="79"/>
      <c r="X26" s="79"/>
      <c r="Y26" s="79"/>
      <c r="Z26" s="178"/>
      <c r="AA26" s="274"/>
      <c r="AB26" s="79"/>
      <c r="AC26" s="79"/>
      <c r="AD26" s="79"/>
      <c r="AE26" s="134"/>
      <c r="AF26" s="261"/>
      <c r="AG26" s="79"/>
      <c r="AH26" s="79"/>
      <c r="AI26" s="79"/>
      <c r="AJ26" s="178"/>
      <c r="AK26" s="274"/>
      <c r="AL26" s="79"/>
      <c r="AM26" s="79"/>
      <c r="AN26" s="79"/>
      <c r="AO26" s="134"/>
      <c r="AP26" s="261"/>
      <c r="AQ26" s="79"/>
      <c r="AR26" s="79"/>
      <c r="AS26" s="79"/>
      <c r="AT26" s="178"/>
      <c r="AU26" s="274"/>
      <c r="AV26" s="79"/>
      <c r="AW26" s="79"/>
      <c r="AX26" s="79"/>
      <c r="AY26" s="134"/>
      <c r="AZ26" s="261"/>
      <c r="BA26" s="79"/>
      <c r="BB26" s="79"/>
      <c r="BC26" s="79"/>
      <c r="BD26" s="178"/>
      <c r="BE26" s="274"/>
      <c r="BF26" s="79"/>
      <c r="BG26" s="79"/>
      <c r="BH26" s="79"/>
      <c r="BI26" s="134"/>
      <c r="BJ26" s="261"/>
      <c r="BK26" s="79"/>
      <c r="BL26" s="79"/>
      <c r="BM26" s="79"/>
      <c r="BN26" s="178"/>
      <c r="BO26" s="274"/>
      <c r="BP26" s="79"/>
      <c r="BQ26" s="79"/>
      <c r="BR26" s="79"/>
      <c r="BS26" s="134"/>
      <c r="BT26" s="261"/>
      <c r="BU26" s="79"/>
      <c r="BV26" s="79"/>
      <c r="BW26" s="79"/>
      <c r="BX26" s="178"/>
      <c r="BY26" s="274"/>
      <c r="BZ26" s="79"/>
      <c r="CA26" s="79"/>
      <c r="CB26" s="79"/>
      <c r="CC26" s="134"/>
      <c r="CD26" s="261"/>
      <c r="CE26" s="79"/>
      <c r="CF26" s="79"/>
      <c r="CG26" s="79"/>
      <c r="CH26" s="284" t="s">
        <v>40</v>
      </c>
      <c r="CI26" s="285" t="s">
        <v>40</v>
      </c>
      <c r="CJ26" s="202"/>
      <c r="CK26" s="202"/>
      <c r="CL26" s="202"/>
      <c r="CM26" s="203"/>
    </row>
    <row r="27" spans="1:118" ht="25.5" customHeight="1" x14ac:dyDescent="0.2">
      <c r="A27" s="324">
        <v>18</v>
      </c>
      <c r="B27" s="72"/>
      <c r="C27" s="79"/>
      <c r="D27" s="79"/>
      <c r="E27" s="77"/>
      <c r="F27" s="79"/>
      <c r="G27" s="79"/>
      <c r="H27" s="78"/>
      <c r="I27" s="142"/>
      <c r="J27" s="76"/>
      <c r="K27" s="141"/>
      <c r="L27" s="274"/>
      <c r="M27" s="79"/>
      <c r="N27" s="79"/>
      <c r="O27" s="79"/>
      <c r="P27" s="178"/>
      <c r="Q27" s="274"/>
      <c r="R27" s="79"/>
      <c r="S27" s="79"/>
      <c r="T27" s="79"/>
      <c r="U27" s="134"/>
      <c r="V27" s="261"/>
      <c r="W27" s="79"/>
      <c r="X27" s="79"/>
      <c r="Y27" s="79"/>
      <c r="Z27" s="178"/>
      <c r="AA27" s="274"/>
      <c r="AB27" s="79"/>
      <c r="AC27" s="79"/>
      <c r="AD27" s="79"/>
      <c r="AE27" s="134"/>
      <c r="AF27" s="261"/>
      <c r="AG27" s="79"/>
      <c r="AH27" s="79"/>
      <c r="AI27" s="79"/>
      <c r="AJ27" s="178"/>
      <c r="AK27" s="274"/>
      <c r="AL27" s="79"/>
      <c r="AM27" s="79"/>
      <c r="AN27" s="79"/>
      <c r="AO27" s="134"/>
      <c r="AP27" s="261"/>
      <c r="AQ27" s="79"/>
      <c r="AR27" s="79"/>
      <c r="AS27" s="79"/>
      <c r="AT27" s="178"/>
      <c r="AU27" s="274"/>
      <c r="AV27" s="79"/>
      <c r="AW27" s="79"/>
      <c r="AX27" s="79"/>
      <c r="AY27" s="134"/>
      <c r="AZ27" s="261"/>
      <c r="BA27" s="79"/>
      <c r="BB27" s="79"/>
      <c r="BC27" s="79"/>
      <c r="BD27" s="178"/>
      <c r="BE27" s="274"/>
      <c r="BF27" s="79"/>
      <c r="BG27" s="79"/>
      <c r="BH27" s="79"/>
      <c r="BI27" s="134"/>
      <c r="BJ27" s="261"/>
      <c r="BK27" s="79"/>
      <c r="BL27" s="79"/>
      <c r="BM27" s="79"/>
      <c r="BN27" s="178"/>
      <c r="BO27" s="274"/>
      <c r="BP27" s="79"/>
      <c r="BQ27" s="79"/>
      <c r="BR27" s="79"/>
      <c r="BS27" s="134"/>
      <c r="BT27" s="261"/>
      <c r="BU27" s="79"/>
      <c r="BV27" s="79"/>
      <c r="BW27" s="79"/>
      <c r="BX27" s="178"/>
      <c r="BY27" s="274"/>
      <c r="BZ27" s="79"/>
      <c r="CA27" s="79"/>
      <c r="CB27" s="79"/>
      <c r="CC27" s="134"/>
      <c r="CD27" s="261"/>
      <c r="CE27" s="79"/>
      <c r="CF27" s="79"/>
      <c r="CG27" s="79"/>
      <c r="CH27" s="134"/>
      <c r="CI27" s="261"/>
      <c r="CJ27" s="202"/>
      <c r="CK27" s="202"/>
      <c r="CL27" s="202"/>
      <c r="CM27" s="203"/>
    </row>
    <row r="28" spans="1:118" ht="25.5" customHeight="1" x14ac:dyDescent="0.2">
      <c r="A28" s="324">
        <v>19</v>
      </c>
      <c r="B28" s="72"/>
      <c r="C28" s="79"/>
      <c r="D28" s="79"/>
      <c r="E28" s="98" t="s">
        <v>654</v>
      </c>
      <c r="F28" s="79"/>
      <c r="G28" s="79"/>
      <c r="H28" s="78"/>
      <c r="I28" s="142"/>
      <c r="J28" s="76"/>
      <c r="K28" s="141"/>
      <c r="L28" s="274"/>
      <c r="M28" s="79"/>
      <c r="N28" s="79"/>
      <c r="O28" s="79"/>
      <c r="P28" s="178"/>
      <c r="Q28" s="274"/>
      <c r="R28" s="79"/>
      <c r="S28" s="79"/>
      <c r="T28" s="79"/>
      <c r="U28" s="134"/>
      <c r="V28" s="261"/>
      <c r="W28" s="79"/>
      <c r="X28" s="79"/>
      <c r="Y28" s="79"/>
      <c r="Z28" s="178"/>
      <c r="AA28" s="274"/>
      <c r="AB28" s="79"/>
      <c r="AC28" s="79"/>
      <c r="AD28" s="79"/>
      <c r="AE28" s="134"/>
      <c r="AF28" s="261"/>
      <c r="AG28" s="79"/>
      <c r="AH28" s="79"/>
      <c r="AI28" s="79"/>
      <c r="AJ28" s="178"/>
      <c r="AK28" s="274"/>
      <c r="AL28" s="79"/>
      <c r="AM28" s="79"/>
      <c r="AN28" s="79"/>
      <c r="AO28" s="134"/>
      <c r="AP28" s="261"/>
      <c r="AQ28" s="79"/>
      <c r="AR28" s="79"/>
      <c r="AS28" s="79"/>
      <c r="AT28" s="178"/>
      <c r="AU28" s="274"/>
      <c r="AV28" s="79"/>
      <c r="AW28" s="79"/>
      <c r="AX28" s="79"/>
      <c r="AY28" s="134"/>
      <c r="AZ28" s="261"/>
      <c r="BA28" s="79"/>
      <c r="BB28" s="79"/>
      <c r="BC28" s="79"/>
      <c r="BD28" s="178"/>
      <c r="BE28" s="274"/>
      <c r="BF28" s="79"/>
      <c r="BG28" s="79"/>
      <c r="BH28" s="79"/>
      <c r="BI28" s="134"/>
      <c r="BJ28" s="261"/>
      <c r="BK28" s="79"/>
      <c r="BL28" s="79"/>
      <c r="BM28" s="79"/>
      <c r="BN28" s="178"/>
      <c r="BO28" s="274"/>
      <c r="BP28" s="79"/>
      <c r="BQ28" s="79"/>
      <c r="BR28" s="79"/>
      <c r="BS28" s="134"/>
      <c r="BT28" s="261"/>
      <c r="BU28" s="79"/>
      <c r="BV28" s="79"/>
      <c r="BW28" s="79"/>
      <c r="BX28" s="178"/>
      <c r="BY28" s="274"/>
      <c r="BZ28" s="79"/>
      <c r="CA28" s="79"/>
      <c r="CB28" s="79"/>
      <c r="CC28" s="134"/>
      <c r="CD28" s="261"/>
      <c r="CE28" s="79"/>
      <c r="CF28" s="79"/>
      <c r="CG28" s="79"/>
      <c r="CH28" s="134"/>
      <c r="CI28" s="261"/>
      <c r="CJ28" s="202"/>
      <c r="CK28" s="202"/>
      <c r="CL28" s="202"/>
      <c r="CM28" s="203"/>
    </row>
    <row r="29" spans="1:118" ht="25.5" customHeight="1" thickBot="1" x14ac:dyDescent="0.25">
      <c r="A29" s="331">
        <v>20</v>
      </c>
      <c r="B29" s="82">
        <v>0</v>
      </c>
      <c r="C29" s="82">
        <v>5</v>
      </c>
      <c r="D29" s="99" t="s">
        <v>261</v>
      </c>
      <c r="E29" s="100" t="s">
        <v>262</v>
      </c>
      <c r="F29" s="100"/>
      <c r="G29" s="101" t="s">
        <v>263</v>
      </c>
      <c r="H29" s="102" t="s">
        <v>790</v>
      </c>
      <c r="I29" s="257">
        <v>1</v>
      </c>
      <c r="J29" s="99" t="s">
        <v>64</v>
      </c>
      <c r="K29" s="264">
        <v>13</v>
      </c>
      <c r="L29" s="389" t="s">
        <v>122</v>
      </c>
      <c r="M29" s="390"/>
      <c r="N29" s="390"/>
      <c r="O29" s="390"/>
      <c r="P29" s="391"/>
      <c r="Q29" s="278"/>
      <c r="R29" s="190"/>
      <c r="S29" s="390"/>
      <c r="T29" s="392" t="s">
        <v>120</v>
      </c>
      <c r="U29" s="393"/>
      <c r="V29" s="394"/>
      <c r="W29" s="392" t="s">
        <v>120</v>
      </c>
      <c r="X29" s="392" t="s">
        <v>120</v>
      </c>
      <c r="Y29" s="390"/>
      <c r="Z29" s="391"/>
      <c r="AA29" s="395"/>
      <c r="AB29" s="390"/>
      <c r="AC29" s="390"/>
      <c r="AD29" s="390"/>
      <c r="AE29" s="396" t="s">
        <v>120</v>
      </c>
      <c r="AF29" s="397" t="s">
        <v>120</v>
      </c>
      <c r="AG29" s="392" t="s">
        <v>120</v>
      </c>
      <c r="AH29" s="392" t="s">
        <v>120</v>
      </c>
      <c r="AI29" s="390"/>
      <c r="AJ29" s="279"/>
      <c r="AK29" s="278"/>
      <c r="AL29" s="390"/>
      <c r="AM29" s="390"/>
      <c r="AN29" s="390"/>
      <c r="AO29" s="396" t="s">
        <v>121</v>
      </c>
      <c r="AP29" s="394"/>
      <c r="AQ29" s="392" t="s">
        <v>121</v>
      </c>
      <c r="AR29" s="390"/>
      <c r="AS29" s="190"/>
      <c r="AT29" s="279"/>
      <c r="AU29" s="395"/>
      <c r="AV29" s="390"/>
      <c r="AW29" s="390"/>
      <c r="AX29" s="392" t="s">
        <v>120</v>
      </c>
      <c r="AY29" s="393"/>
      <c r="AZ29" s="394"/>
      <c r="BA29" s="390"/>
      <c r="BB29" s="392" t="s">
        <v>121</v>
      </c>
      <c r="BC29" s="390"/>
      <c r="BD29" s="398" t="s">
        <v>121</v>
      </c>
      <c r="BE29" s="278"/>
      <c r="BF29" s="190"/>
      <c r="BG29" s="390"/>
      <c r="BH29" s="390"/>
      <c r="BI29" s="393"/>
      <c r="BJ29" s="397" t="s">
        <v>120</v>
      </c>
      <c r="BK29" s="390"/>
      <c r="BL29" s="390"/>
      <c r="BM29" s="390"/>
      <c r="BN29" s="398" t="s">
        <v>121</v>
      </c>
      <c r="BO29" s="395"/>
      <c r="BP29" s="392" t="s">
        <v>121</v>
      </c>
      <c r="BQ29" s="190"/>
      <c r="BR29" s="190"/>
      <c r="BS29" s="396" t="s">
        <v>120</v>
      </c>
      <c r="BT29" s="280"/>
      <c r="BU29" s="190"/>
      <c r="BV29" s="390"/>
      <c r="BW29" s="390"/>
      <c r="BX29" s="391"/>
      <c r="BY29" s="395"/>
      <c r="BZ29" s="190"/>
      <c r="CA29" s="190"/>
      <c r="CB29" s="392" t="s">
        <v>122</v>
      </c>
      <c r="CC29" s="393"/>
      <c r="CD29" s="394"/>
      <c r="CE29" s="190"/>
      <c r="CF29" s="190"/>
      <c r="CG29" s="390"/>
      <c r="CH29" s="396" t="s">
        <v>40</v>
      </c>
      <c r="CI29" s="397" t="s">
        <v>40</v>
      </c>
      <c r="CJ29" s="213"/>
      <c r="CK29" s="213"/>
      <c r="CL29" s="213"/>
      <c r="CM29" s="214"/>
    </row>
    <row r="30" spans="1:118" ht="25.5" customHeight="1" x14ac:dyDescent="0.2">
      <c r="A30" s="332">
        <v>21</v>
      </c>
      <c r="B30" s="85">
        <v>0</v>
      </c>
      <c r="C30" s="85">
        <v>5</v>
      </c>
      <c r="D30" s="103" t="s">
        <v>655</v>
      </c>
      <c r="E30" s="104" t="s">
        <v>264</v>
      </c>
      <c r="F30" s="104"/>
      <c r="G30" s="105" t="s">
        <v>656</v>
      </c>
      <c r="H30" s="106" t="s">
        <v>791</v>
      </c>
      <c r="I30" s="139">
        <v>1</v>
      </c>
      <c r="J30" s="103" t="s">
        <v>64</v>
      </c>
      <c r="K30" s="137" t="s">
        <v>265</v>
      </c>
      <c r="L30" s="401" t="s">
        <v>122</v>
      </c>
      <c r="M30" s="402"/>
      <c r="N30" s="402"/>
      <c r="O30" s="402"/>
      <c r="P30" s="403"/>
      <c r="Q30" s="281"/>
      <c r="R30" s="87"/>
      <c r="S30" s="402"/>
      <c r="T30" s="404" t="s">
        <v>120</v>
      </c>
      <c r="U30" s="405"/>
      <c r="V30" s="406"/>
      <c r="W30" s="404" t="s">
        <v>120</v>
      </c>
      <c r="X30" s="404" t="s">
        <v>120</v>
      </c>
      <c r="Y30" s="402"/>
      <c r="Z30" s="403"/>
      <c r="AA30" s="407"/>
      <c r="AB30" s="402"/>
      <c r="AC30" s="402"/>
      <c r="AD30" s="402"/>
      <c r="AE30" s="408" t="s">
        <v>120</v>
      </c>
      <c r="AF30" s="409" t="s">
        <v>120</v>
      </c>
      <c r="AG30" s="404" t="s">
        <v>120</v>
      </c>
      <c r="AH30" s="404" t="s">
        <v>120</v>
      </c>
      <c r="AI30" s="402"/>
      <c r="AJ30" s="282"/>
      <c r="AK30" s="281"/>
      <c r="AL30" s="402"/>
      <c r="AM30" s="402"/>
      <c r="AN30" s="402"/>
      <c r="AO30" s="408" t="s">
        <v>121</v>
      </c>
      <c r="AP30" s="406"/>
      <c r="AQ30" s="404" t="s">
        <v>121</v>
      </c>
      <c r="AR30" s="402"/>
      <c r="AS30" s="87"/>
      <c r="AT30" s="282"/>
      <c r="AU30" s="407"/>
      <c r="AV30" s="402"/>
      <c r="AW30" s="402"/>
      <c r="AX30" s="404" t="s">
        <v>120</v>
      </c>
      <c r="AY30" s="405"/>
      <c r="AZ30" s="406"/>
      <c r="BA30" s="402"/>
      <c r="BB30" s="404" t="s">
        <v>121</v>
      </c>
      <c r="BC30" s="402"/>
      <c r="BD30" s="410" t="s">
        <v>121</v>
      </c>
      <c r="BE30" s="281"/>
      <c r="BF30" s="87"/>
      <c r="BG30" s="402"/>
      <c r="BH30" s="402"/>
      <c r="BI30" s="405"/>
      <c r="BJ30" s="409" t="s">
        <v>120</v>
      </c>
      <c r="BK30" s="402"/>
      <c r="BL30" s="402"/>
      <c r="BM30" s="402"/>
      <c r="BN30" s="410" t="s">
        <v>121</v>
      </c>
      <c r="BO30" s="407"/>
      <c r="BP30" s="404" t="s">
        <v>121</v>
      </c>
      <c r="BQ30" s="87"/>
      <c r="BR30" s="87"/>
      <c r="BS30" s="408" t="s">
        <v>120</v>
      </c>
      <c r="BT30" s="283"/>
      <c r="BU30" s="87"/>
      <c r="BV30" s="402"/>
      <c r="BW30" s="402"/>
      <c r="BX30" s="403"/>
      <c r="BY30" s="407"/>
      <c r="BZ30" s="87"/>
      <c r="CA30" s="87"/>
      <c r="CB30" s="404" t="s">
        <v>122</v>
      </c>
      <c r="CC30" s="405"/>
      <c r="CD30" s="406"/>
      <c r="CE30" s="87"/>
      <c r="CF30" s="87"/>
      <c r="CG30" s="402"/>
      <c r="CH30" s="408" t="s">
        <v>40</v>
      </c>
      <c r="CI30" s="409" t="s">
        <v>40</v>
      </c>
      <c r="CJ30" s="217"/>
      <c r="CK30" s="217"/>
      <c r="CL30" s="217"/>
      <c r="CM30" s="218"/>
    </row>
    <row r="31" spans="1:118" ht="25.5" customHeight="1" x14ac:dyDescent="0.2">
      <c r="A31" s="324">
        <v>22</v>
      </c>
      <c r="B31" s="72">
        <v>0</v>
      </c>
      <c r="C31" s="72">
        <v>5</v>
      </c>
      <c r="D31" s="76" t="s">
        <v>657</v>
      </c>
      <c r="E31" s="96" t="s">
        <v>264</v>
      </c>
      <c r="F31" s="96"/>
      <c r="G31" s="95" t="s">
        <v>658</v>
      </c>
      <c r="H31" s="97" t="s">
        <v>792</v>
      </c>
      <c r="I31" s="142">
        <v>1</v>
      </c>
      <c r="J31" s="76" t="s">
        <v>64</v>
      </c>
      <c r="K31" s="141" t="s">
        <v>265</v>
      </c>
      <c r="L31" s="399" t="s">
        <v>122</v>
      </c>
      <c r="M31" s="307"/>
      <c r="N31" s="307"/>
      <c r="O31" s="307"/>
      <c r="P31" s="369"/>
      <c r="Q31" s="274"/>
      <c r="R31" s="79"/>
      <c r="S31" s="307"/>
      <c r="T31" s="371" t="s">
        <v>120</v>
      </c>
      <c r="U31" s="370"/>
      <c r="V31" s="306"/>
      <c r="W31" s="371" t="s">
        <v>120</v>
      </c>
      <c r="X31" s="371" t="s">
        <v>120</v>
      </c>
      <c r="Y31" s="307"/>
      <c r="Z31" s="369"/>
      <c r="AA31" s="367"/>
      <c r="AB31" s="307"/>
      <c r="AC31" s="307"/>
      <c r="AD31" s="307"/>
      <c r="AE31" s="374" t="s">
        <v>120</v>
      </c>
      <c r="AF31" s="373" t="s">
        <v>120</v>
      </c>
      <c r="AG31" s="371" t="s">
        <v>120</v>
      </c>
      <c r="AH31" s="371" t="s">
        <v>120</v>
      </c>
      <c r="AI31" s="307"/>
      <c r="AJ31" s="178"/>
      <c r="AK31" s="274"/>
      <c r="AL31" s="307"/>
      <c r="AM31" s="307"/>
      <c r="AN31" s="307"/>
      <c r="AO31" s="374" t="s">
        <v>121</v>
      </c>
      <c r="AP31" s="306"/>
      <c r="AQ31" s="371" t="s">
        <v>121</v>
      </c>
      <c r="AR31" s="307"/>
      <c r="AS31" s="79"/>
      <c r="AT31" s="178"/>
      <c r="AU31" s="367"/>
      <c r="AV31" s="307"/>
      <c r="AW31" s="307"/>
      <c r="AX31" s="371" t="s">
        <v>120</v>
      </c>
      <c r="AY31" s="370"/>
      <c r="AZ31" s="306"/>
      <c r="BA31" s="307"/>
      <c r="BB31" s="371" t="s">
        <v>121</v>
      </c>
      <c r="BC31" s="307"/>
      <c r="BD31" s="372" t="s">
        <v>121</v>
      </c>
      <c r="BE31" s="274"/>
      <c r="BF31" s="79"/>
      <c r="BG31" s="307"/>
      <c r="BH31" s="307"/>
      <c r="BI31" s="370"/>
      <c r="BJ31" s="373" t="s">
        <v>120</v>
      </c>
      <c r="BK31" s="307"/>
      <c r="BL31" s="307"/>
      <c r="BM31" s="307"/>
      <c r="BN31" s="372" t="s">
        <v>121</v>
      </c>
      <c r="BO31" s="367"/>
      <c r="BP31" s="371" t="s">
        <v>121</v>
      </c>
      <c r="BQ31" s="79"/>
      <c r="BR31" s="79"/>
      <c r="BS31" s="374" t="s">
        <v>120</v>
      </c>
      <c r="BT31" s="261"/>
      <c r="BU31" s="79"/>
      <c r="BV31" s="307"/>
      <c r="BW31" s="307"/>
      <c r="BX31" s="369"/>
      <c r="BY31" s="367"/>
      <c r="BZ31" s="79"/>
      <c r="CA31" s="79"/>
      <c r="CB31" s="371" t="s">
        <v>122</v>
      </c>
      <c r="CC31" s="370"/>
      <c r="CD31" s="306"/>
      <c r="CE31" s="79"/>
      <c r="CF31" s="79"/>
      <c r="CG31" s="307"/>
      <c r="CH31" s="374" t="s">
        <v>40</v>
      </c>
      <c r="CI31" s="373" t="s">
        <v>40</v>
      </c>
      <c r="CJ31" s="202"/>
      <c r="CK31" s="202"/>
      <c r="CL31" s="202"/>
      <c r="CM31" s="203"/>
    </row>
    <row r="32" spans="1:118" ht="25.5" customHeight="1" x14ac:dyDescent="0.2">
      <c r="A32" s="324">
        <v>23</v>
      </c>
      <c r="B32" s="72">
        <v>0</v>
      </c>
      <c r="C32" s="72">
        <v>5</v>
      </c>
      <c r="D32" s="76" t="s">
        <v>659</v>
      </c>
      <c r="E32" s="96" t="s">
        <v>266</v>
      </c>
      <c r="F32" s="107"/>
      <c r="G32" s="95" t="s">
        <v>660</v>
      </c>
      <c r="H32" s="97" t="s">
        <v>793</v>
      </c>
      <c r="I32" s="142">
        <v>1</v>
      </c>
      <c r="J32" s="76" t="s">
        <v>64</v>
      </c>
      <c r="K32" s="141" t="s">
        <v>265</v>
      </c>
      <c r="L32" s="399" t="s">
        <v>122</v>
      </c>
      <c r="M32" s="307"/>
      <c r="N32" s="307"/>
      <c r="O32" s="307"/>
      <c r="P32" s="369"/>
      <c r="Q32" s="274"/>
      <c r="R32" s="79"/>
      <c r="S32" s="307"/>
      <c r="T32" s="371" t="s">
        <v>120</v>
      </c>
      <c r="U32" s="370"/>
      <c r="V32" s="306"/>
      <c r="W32" s="371" t="s">
        <v>120</v>
      </c>
      <c r="X32" s="371" t="s">
        <v>120</v>
      </c>
      <c r="Y32" s="307"/>
      <c r="Z32" s="369"/>
      <c r="AA32" s="367"/>
      <c r="AB32" s="307"/>
      <c r="AC32" s="307"/>
      <c r="AD32" s="307"/>
      <c r="AE32" s="374" t="s">
        <v>120</v>
      </c>
      <c r="AF32" s="373" t="s">
        <v>120</v>
      </c>
      <c r="AG32" s="371" t="s">
        <v>120</v>
      </c>
      <c r="AH32" s="371" t="s">
        <v>120</v>
      </c>
      <c r="AI32" s="307"/>
      <c r="AJ32" s="178"/>
      <c r="AK32" s="274"/>
      <c r="AL32" s="307"/>
      <c r="AM32" s="307"/>
      <c r="AN32" s="307"/>
      <c r="AO32" s="374" t="s">
        <v>121</v>
      </c>
      <c r="AP32" s="306"/>
      <c r="AQ32" s="371" t="s">
        <v>121</v>
      </c>
      <c r="AR32" s="307"/>
      <c r="AS32" s="79"/>
      <c r="AT32" s="178"/>
      <c r="AU32" s="367"/>
      <c r="AV32" s="307"/>
      <c r="AW32" s="307"/>
      <c r="AX32" s="371" t="s">
        <v>120</v>
      </c>
      <c r="AY32" s="370"/>
      <c r="AZ32" s="306"/>
      <c r="BA32" s="307"/>
      <c r="BB32" s="371" t="s">
        <v>121</v>
      </c>
      <c r="BC32" s="307"/>
      <c r="BD32" s="372" t="s">
        <v>121</v>
      </c>
      <c r="BE32" s="274"/>
      <c r="BF32" s="79"/>
      <c r="BG32" s="307"/>
      <c r="BH32" s="307"/>
      <c r="BI32" s="370"/>
      <c r="BJ32" s="373" t="s">
        <v>120</v>
      </c>
      <c r="BK32" s="307"/>
      <c r="BL32" s="307"/>
      <c r="BM32" s="307"/>
      <c r="BN32" s="372" t="s">
        <v>121</v>
      </c>
      <c r="BO32" s="367"/>
      <c r="BP32" s="371" t="s">
        <v>121</v>
      </c>
      <c r="BQ32" s="79"/>
      <c r="BR32" s="79"/>
      <c r="BS32" s="374" t="s">
        <v>120</v>
      </c>
      <c r="BT32" s="261"/>
      <c r="BU32" s="79"/>
      <c r="BV32" s="307"/>
      <c r="BW32" s="307"/>
      <c r="BX32" s="369"/>
      <c r="BY32" s="367"/>
      <c r="BZ32" s="79"/>
      <c r="CA32" s="79"/>
      <c r="CB32" s="371" t="s">
        <v>122</v>
      </c>
      <c r="CC32" s="370"/>
      <c r="CD32" s="306"/>
      <c r="CE32" s="79"/>
      <c r="CF32" s="79"/>
      <c r="CG32" s="307"/>
      <c r="CH32" s="374" t="s">
        <v>40</v>
      </c>
      <c r="CI32" s="373" t="s">
        <v>40</v>
      </c>
      <c r="CJ32" s="202"/>
      <c r="CK32" s="202"/>
      <c r="CL32" s="202"/>
      <c r="CM32" s="203"/>
    </row>
    <row r="33" spans="1:91" ht="25.5" customHeight="1" x14ac:dyDescent="0.2">
      <c r="A33" s="324">
        <v>24</v>
      </c>
      <c r="B33" s="72">
        <v>0</v>
      </c>
      <c r="C33" s="72">
        <v>5</v>
      </c>
      <c r="D33" s="76" t="s">
        <v>661</v>
      </c>
      <c r="E33" s="96" t="s">
        <v>266</v>
      </c>
      <c r="F33" s="107"/>
      <c r="G33" s="95" t="s">
        <v>662</v>
      </c>
      <c r="H33" s="97" t="s">
        <v>794</v>
      </c>
      <c r="I33" s="142">
        <v>1</v>
      </c>
      <c r="J33" s="76" t="s">
        <v>64</v>
      </c>
      <c r="K33" s="141" t="s">
        <v>265</v>
      </c>
      <c r="L33" s="399" t="s">
        <v>122</v>
      </c>
      <c r="M33" s="307"/>
      <c r="N33" s="307"/>
      <c r="O33" s="307"/>
      <c r="P33" s="369"/>
      <c r="Q33" s="274"/>
      <c r="R33" s="79"/>
      <c r="S33" s="307"/>
      <c r="T33" s="371" t="s">
        <v>120</v>
      </c>
      <c r="U33" s="370"/>
      <c r="V33" s="306"/>
      <c r="W33" s="371" t="s">
        <v>120</v>
      </c>
      <c r="X33" s="371" t="s">
        <v>120</v>
      </c>
      <c r="Y33" s="307"/>
      <c r="Z33" s="369"/>
      <c r="AA33" s="367"/>
      <c r="AB33" s="307"/>
      <c r="AC33" s="307"/>
      <c r="AD33" s="307"/>
      <c r="AE33" s="374" t="s">
        <v>120</v>
      </c>
      <c r="AF33" s="373" t="s">
        <v>120</v>
      </c>
      <c r="AG33" s="371" t="s">
        <v>120</v>
      </c>
      <c r="AH33" s="371" t="s">
        <v>120</v>
      </c>
      <c r="AI33" s="307"/>
      <c r="AJ33" s="178"/>
      <c r="AK33" s="274"/>
      <c r="AL33" s="307"/>
      <c r="AM33" s="307"/>
      <c r="AN33" s="307"/>
      <c r="AO33" s="374" t="s">
        <v>121</v>
      </c>
      <c r="AP33" s="306"/>
      <c r="AQ33" s="371" t="s">
        <v>121</v>
      </c>
      <c r="AR33" s="307"/>
      <c r="AS33" s="79"/>
      <c r="AT33" s="178"/>
      <c r="AU33" s="367"/>
      <c r="AV33" s="307"/>
      <c r="AW33" s="307"/>
      <c r="AX33" s="371" t="s">
        <v>120</v>
      </c>
      <c r="AY33" s="370"/>
      <c r="AZ33" s="306"/>
      <c r="BA33" s="307"/>
      <c r="BB33" s="371" t="s">
        <v>121</v>
      </c>
      <c r="BC33" s="307"/>
      <c r="BD33" s="372" t="s">
        <v>121</v>
      </c>
      <c r="BE33" s="274"/>
      <c r="BF33" s="79"/>
      <c r="BG33" s="307"/>
      <c r="BH33" s="307"/>
      <c r="BI33" s="370"/>
      <c r="BJ33" s="373" t="s">
        <v>120</v>
      </c>
      <c r="BK33" s="307"/>
      <c r="BL33" s="307"/>
      <c r="BM33" s="307"/>
      <c r="BN33" s="372" t="s">
        <v>121</v>
      </c>
      <c r="BO33" s="367"/>
      <c r="BP33" s="371" t="s">
        <v>121</v>
      </c>
      <c r="BQ33" s="79"/>
      <c r="BR33" s="79"/>
      <c r="BS33" s="374" t="s">
        <v>120</v>
      </c>
      <c r="BT33" s="261"/>
      <c r="BU33" s="79"/>
      <c r="BV33" s="307"/>
      <c r="BW33" s="307"/>
      <c r="BX33" s="369"/>
      <c r="BY33" s="367"/>
      <c r="BZ33" s="79"/>
      <c r="CA33" s="79"/>
      <c r="CB33" s="371" t="s">
        <v>122</v>
      </c>
      <c r="CC33" s="370"/>
      <c r="CD33" s="306"/>
      <c r="CE33" s="79"/>
      <c r="CF33" s="79"/>
      <c r="CG33" s="307"/>
      <c r="CH33" s="374" t="s">
        <v>40</v>
      </c>
      <c r="CI33" s="373" t="s">
        <v>40</v>
      </c>
      <c r="CJ33" s="202"/>
      <c r="CK33" s="202"/>
      <c r="CL33" s="202"/>
      <c r="CM33" s="203"/>
    </row>
    <row r="34" spans="1:91" ht="25.5" customHeight="1" thickBot="1" x14ac:dyDescent="0.25">
      <c r="A34" s="325">
        <v>25</v>
      </c>
      <c r="B34" s="73">
        <v>0</v>
      </c>
      <c r="C34" s="73">
        <v>5</v>
      </c>
      <c r="D34" s="73" t="s">
        <v>267</v>
      </c>
      <c r="E34" s="108" t="s">
        <v>663</v>
      </c>
      <c r="F34" s="109" t="s">
        <v>268</v>
      </c>
      <c r="G34" s="109" t="s">
        <v>65</v>
      </c>
      <c r="H34" s="110" t="s">
        <v>795</v>
      </c>
      <c r="I34" s="269">
        <v>1</v>
      </c>
      <c r="J34" s="89" t="s">
        <v>64</v>
      </c>
      <c r="K34" s="270">
        <v>13</v>
      </c>
      <c r="L34" s="400" t="s">
        <v>122</v>
      </c>
      <c r="M34" s="379"/>
      <c r="N34" s="379"/>
      <c r="O34" s="379"/>
      <c r="P34" s="382"/>
      <c r="Q34" s="275"/>
      <c r="R34" s="74"/>
      <c r="S34" s="379"/>
      <c r="T34" s="385" t="s">
        <v>120</v>
      </c>
      <c r="U34" s="380"/>
      <c r="V34" s="381"/>
      <c r="W34" s="385" t="s">
        <v>120</v>
      </c>
      <c r="X34" s="385" t="s">
        <v>120</v>
      </c>
      <c r="Y34" s="379"/>
      <c r="Z34" s="382"/>
      <c r="AA34" s="383"/>
      <c r="AB34" s="379"/>
      <c r="AC34" s="379"/>
      <c r="AD34" s="379"/>
      <c r="AE34" s="386" t="s">
        <v>120</v>
      </c>
      <c r="AF34" s="384" t="s">
        <v>120</v>
      </c>
      <c r="AG34" s="385" t="s">
        <v>120</v>
      </c>
      <c r="AH34" s="385" t="s">
        <v>120</v>
      </c>
      <c r="AI34" s="379"/>
      <c r="AJ34" s="276"/>
      <c r="AK34" s="275"/>
      <c r="AL34" s="379"/>
      <c r="AM34" s="379"/>
      <c r="AN34" s="379"/>
      <c r="AO34" s="386" t="s">
        <v>121</v>
      </c>
      <c r="AP34" s="381"/>
      <c r="AQ34" s="385" t="s">
        <v>121</v>
      </c>
      <c r="AR34" s="379"/>
      <c r="AS34" s="74"/>
      <c r="AT34" s="276"/>
      <c r="AU34" s="383"/>
      <c r="AV34" s="379"/>
      <c r="AW34" s="379"/>
      <c r="AX34" s="385" t="s">
        <v>120</v>
      </c>
      <c r="AY34" s="380"/>
      <c r="AZ34" s="381"/>
      <c r="BA34" s="379"/>
      <c r="BB34" s="385" t="s">
        <v>121</v>
      </c>
      <c r="BC34" s="379"/>
      <c r="BD34" s="378" t="s">
        <v>121</v>
      </c>
      <c r="BE34" s="275"/>
      <c r="BF34" s="74"/>
      <c r="BG34" s="379"/>
      <c r="BH34" s="379"/>
      <c r="BI34" s="380"/>
      <c r="BJ34" s="384" t="s">
        <v>120</v>
      </c>
      <c r="BK34" s="379"/>
      <c r="BL34" s="379"/>
      <c r="BM34" s="379"/>
      <c r="BN34" s="378" t="s">
        <v>121</v>
      </c>
      <c r="BO34" s="383"/>
      <c r="BP34" s="385" t="s">
        <v>121</v>
      </c>
      <c r="BQ34" s="74"/>
      <c r="BR34" s="74"/>
      <c r="BS34" s="386" t="s">
        <v>120</v>
      </c>
      <c r="BT34" s="277"/>
      <c r="BU34" s="74"/>
      <c r="BV34" s="379"/>
      <c r="BW34" s="379"/>
      <c r="BX34" s="382"/>
      <c r="BY34" s="383"/>
      <c r="BZ34" s="74"/>
      <c r="CA34" s="74"/>
      <c r="CB34" s="385" t="s">
        <v>122</v>
      </c>
      <c r="CC34" s="380"/>
      <c r="CD34" s="381"/>
      <c r="CE34" s="74"/>
      <c r="CF34" s="74"/>
      <c r="CG34" s="379"/>
      <c r="CH34" s="386" t="s">
        <v>40</v>
      </c>
      <c r="CI34" s="384" t="s">
        <v>40</v>
      </c>
      <c r="CJ34" s="206"/>
      <c r="CK34" s="206"/>
      <c r="CL34" s="206"/>
      <c r="CM34" s="207"/>
    </row>
    <row r="35" spans="1:91" ht="25.5" customHeight="1" x14ac:dyDescent="0.2">
      <c r="A35" s="318">
        <v>26</v>
      </c>
      <c r="B35" s="75">
        <v>0</v>
      </c>
      <c r="C35" s="75">
        <v>5</v>
      </c>
      <c r="D35" s="75" t="s">
        <v>269</v>
      </c>
      <c r="E35" s="111" t="s">
        <v>664</v>
      </c>
      <c r="F35" s="112" t="s">
        <v>268</v>
      </c>
      <c r="G35" s="92" t="s">
        <v>66</v>
      </c>
      <c r="H35" s="113" t="s">
        <v>796</v>
      </c>
      <c r="I35" s="259">
        <v>1</v>
      </c>
      <c r="J35" s="130" t="s">
        <v>64</v>
      </c>
      <c r="K35" s="260">
        <v>13</v>
      </c>
      <c r="L35" s="358" t="s">
        <v>122</v>
      </c>
      <c r="M35" s="304"/>
      <c r="N35" s="304"/>
      <c r="O35" s="304"/>
      <c r="P35" s="359"/>
      <c r="Q35" s="272"/>
      <c r="R35" s="92"/>
      <c r="S35" s="304"/>
      <c r="T35" s="360" t="s">
        <v>120</v>
      </c>
      <c r="U35" s="361"/>
      <c r="V35" s="362"/>
      <c r="W35" s="360" t="s">
        <v>120</v>
      </c>
      <c r="X35" s="360" t="s">
        <v>120</v>
      </c>
      <c r="Y35" s="304"/>
      <c r="Z35" s="359"/>
      <c r="AA35" s="308"/>
      <c r="AB35" s="304"/>
      <c r="AC35" s="304"/>
      <c r="AD35" s="304"/>
      <c r="AE35" s="363" t="s">
        <v>120</v>
      </c>
      <c r="AF35" s="364" t="s">
        <v>120</v>
      </c>
      <c r="AG35" s="360" t="s">
        <v>120</v>
      </c>
      <c r="AH35" s="360" t="s">
        <v>120</v>
      </c>
      <c r="AI35" s="304"/>
      <c r="AJ35" s="273"/>
      <c r="AK35" s="272"/>
      <c r="AL35" s="304"/>
      <c r="AM35" s="304"/>
      <c r="AN35" s="304"/>
      <c r="AO35" s="363" t="s">
        <v>121</v>
      </c>
      <c r="AP35" s="362"/>
      <c r="AQ35" s="360" t="s">
        <v>121</v>
      </c>
      <c r="AR35" s="304"/>
      <c r="AS35" s="92"/>
      <c r="AT35" s="273"/>
      <c r="AU35" s="308"/>
      <c r="AV35" s="304"/>
      <c r="AW35" s="304"/>
      <c r="AX35" s="360" t="s">
        <v>120</v>
      </c>
      <c r="AY35" s="361"/>
      <c r="AZ35" s="362"/>
      <c r="BA35" s="304"/>
      <c r="BB35" s="360" t="s">
        <v>121</v>
      </c>
      <c r="BC35" s="304"/>
      <c r="BD35" s="365" t="s">
        <v>121</v>
      </c>
      <c r="BE35" s="272"/>
      <c r="BF35" s="92"/>
      <c r="BG35" s="304"/>
      <c r="BH35" s="304"/>
      <c r="BI35" s="361"/>
      <c r="BJ35" s="364" t="s">
        <v>120</v>
      </c>
      <c r="BK35" s="304"/>
      <c r="BL35" s="304"/>
      <c r="BM35" s="304"/>
      <c r="BN35" s="365" t="s">
        <v>121</v>
      </c>
      <c r="BO35" s="308"/>
      <c r="BP35" s="360" t="s">
        <v>121</v>
      </c>
      <c r="BQ35" s="92"/>
      <c r="BR35" s="92"/>
      <c r="BS35" s="363" t="s">
        <v>120</v>
      </c>
      <c r="BT35" s="258"/>
      <c r="BU35" s="92"/>
      <c r="BV35" s="304"/>
      <c r="BW35" s="304"/>
      <c r="BX35" s="359"/>
      <c r="BY35" s="308"/>
      <c r="BZ35" s="92"/>
      <c r="CA35" s="92"/>
      <c r="CB35" s="360" t="s">
        <v>122</v>
      </c>
      <c r="CC35" s="361"/>
      <c r="CD35" s="362"/>
      <c r="CE35" s="92"/>
      <c r="CF35" s="92"/>
      <c r="CG35" s="304"/>
      <c r="CH35" s="363" t="s">
        <v>40</v>
      </c>
      <c r="CI35" s="364" t="s">
        <v>40</v>
      </c>
      <c r="CJ35" s="210"/>
      <c r="CK35" s="210"/>
      <c r="CL35" s="210"/>
      <c r="CM35" s="211"/>
    </row>
    <row r="36" spans="1:91" ht="25.5" customHeight="1" x14ac:dyDescent="0.2">
      <c r="A36" s="324">
        <v>27</v>
      </c>
      <c r="B36" s="96"/>
      <c r="C36" s="72"/>
      <c r="D36" s="76"/>
      <c r="E36" s="114"/>
      <c r="F36" s="107"/>
      <c r="G36" s="115"/>
      <c r="H36" s="116"/>
      <c r="I36" s="142"/>
      <c r="J36" s="76"/>
      <c r="K36" s="141"/>
      <c r="L36" s="274"/>
      <c r="M36" s="79"/>
      <c r="N36" s="79"/>
      <c r="O36" s="79"/>
      <c r="P36" s="178"/>
      <c r="Q36" s="274"/>
      <c r="R36" s="76"/>
      <c r="S36" s="76"/>
      <c r="T36" s="79"/>
      <c r="U36" s="134"/>
      <c r="V36" s="261"/>
      <c r="W36" s="76"/>
      <c r="X36" s="76"/>
      <c r="Y36" s="76"/>
      <c r="Z36" s="141"/>
      <c r="AA36" s="274"/>
      <c r="AB36" s="79"/>
      <c r="AC36" s="76"/>
      <c r="AD36" s="76"/>
      <c r="AE36" s="81"/>
      <c r="AF36" s="142"/>
      <c r="AG36" s="76"/>
      <c r="AH36" s="76"/>
      <c r="AI36" s="76"/>
      <c r="AJ36" s="141"/>
      <c r="AK36" s="274"/>
      <c r="AL36" s="76"/>
      <c r="AM36" s="76"/>
      <c r="AN36" s="76"/>
      <c r="AO36" s="134"/>
      <c r="AP36" s="142"/>
      <c r="AQ36" s="79"/>
      <c r="AR36" s="79"/>
      <c r="AS36" s="79"/>
      <c r="AT36" s="178"/>
      <c r="AU36" s="274"/>
      <c r="AV36" s="79"/>
      <c r="AW36" s="79"/>
      <c r="AX36" s="79"/>
      <c r="AY36" s="134"/>
      <c r="AZ36" s="261"/>
      <c r="BA36" s="79"/>
      <c r="BB36" s="79"/>
      <c r="BC36" s="79"/>
      <c r="BD36" s="178"/>
      <c r="BE36" s="274"/>
      <c r="BF36" s="79"/>
      <c r="BG36" s="79"/>
      <c r="BH36" s="79"/>
      <c r="BI36" s="134"/>
      <c r="BJ36" s="261"/>
      <c r="BK36" s="79"/>
      <c r="BL36" s="79"/>
      <c r="BM36" s="79"/>
      <c r="BN36" s="178"/>
      <c r="BO36" s="274"/>
      <c r="BP36" s="79"/>
      <c r="BQ36" s="79"/>
      <c r="BR36" s="76"/>
      <c r="BS36" s="81"/>
      <c r="BT36" s="142"/>
      <c r="BU36" s="79"/>
      <c r="BV36" s="79"/>
      <c r="BW36" s="79"/>
      <c r="BX36" s="178"/>
      <c r="BY36" s="274"/>
      <c r="BZ36" s="79"/>
      <c r="CA36" s="76"/>
      <c r="CB36" s="79"/>
      <c r="CC36" s="134"/>
      <c r="CD36" s="261"/>
      <c r="CE36" s="79"/>
      <c r="CF36" s="79"/>
      <c r="CG36" s="79"/>
      <c r="CH36" s="134"/>
      <c r="CI36" s="261"/>
      <c r="CJ36" s="202"/>
      <c r="CK36" s="202"/>
      <c r="CL36" s="202"/>
      <c r="CM36" s="203"/>
    </row>
    <row r="37" spans="1:91" ht="25.5" customHeight="1" x14ac:dyDescent="0.2">
      <c r="A37" s="324">
        <v>28</v>
      </c>
      <c r="B37" s="95">
        <v>0</v>
      </c>
      <c r="C37" s="72">
        <v>5</v>
      </c>
      <c r="D37" s="76" t="s">
        <v>270</v>
      </c>
      <c r="E37" s="77" t="s">
        <v>271</v>
      </c>
      <c r="F37" s="107"/>
      <c r="G37" s="115" t="s">
        <v>272</v>
      </c>
      <c r="H37" s="116" t="s">
        <v>665</v>
      </c>
      <c r="I37" s="142"/>
      <c r="J37" s="76"/>
      <c r="K37" s="141"/>
      <c r="L37" s="367"/>
      <c r="M37" s="307"/>
      <c r="N37" s="307"/>
      <c r="O37" s="307"/>
      <c r="P37" s="369"/>
      <c r="Q37" s="274"/>
      <c r="R37" s="76"/>
      <c r="S37" s="310"/>
      <c r="T37" s="307"/>
      <c r="U37" s="370"/>
      <c r="V37" s="306"/>
      <c r="W37" s="310"/>
      <c r="X37" s="310"/>
      <c r="Y37" s="310"/>
      <c r="Z37" s="411"/>
      <c r="AA37" s="367"/>
      <c r="AB37" s="307"/>
      <c r="AC37" s="310"/>
      <c r="AD37" s="310"/>
      <c r="AE37" s="412"/>
      <c r="AF37" s="413"/>
      <c r="AG37" s="310"/>
      <c r="AH37" s="310"/>
      <c r="AI37" s="310"/>
      <c r="AJ37" s="141"/>
      <c r="AK37" s="274"/>
      <c r="AL37" s="310"/>
      <c r="AM37" s="310"/>
      <c r="AN37" s="310"/>
      <c r="AO37" s="370"/>
      <c r="AP37" s="413"/>
      <c r="AQ37" s="307"/>
      <c r="AR37" s="307"/>
      <c r="AS37" s="79"/>
      <c r="AT37" s="178"/>
      <c r="AU37" s="367"/>
      <c r="AV37" s="307"/>
      <c r="AW37" s="307"/>
      <c r="AX37" s="307"/>
      <c r="AY37" s="370"/>
      <c r="AZ37" s="306"/>
      <c r="BA37" s="307"/>
      <c r="BB37" s="307"/>
      <c r="BC37" s="307"/>
      <c r="BD37" s="369"/>
      <c r="BE37" s="274"/>
      <c r="BF37" s="79"/>
      <c r="BG37" s="307"/>
      <c r="BH37" s="307"/>
      <c r="BI37" s="370"/>
      <c r="BJ37" s="306"/>
      <c r="BK37" s="307"/>
      <c r="BL37" s="307"/>
      <c r="BM37" s="307"/>
      <c r="BN37" s="369"/>
      <c r="BO37" s="367"/>
      <c r="BP37" s="307"/>
      <c r="BQ37" s="79"/>
      <c r="BR37" s="76"/>
      <c r="BS37" s="412"/>
      <c r="BT37" s="142"/>
      <c r="BU37" s="79"/>
      <c r="BV37" s="307"/>
      <c r="BW37" s="307"/>
      <c r="BX37" s="369"/>
      <c r="BY37" s="367"/>
      <c r="BZ37" s="79"/>
      <c r="CA37" s="76"/>
      <c r="CB37" s="307"/>
      <c r="CC37" s="370"/>
      <c r="CD37" s="306"/>
      <c r="CE37" s="79"/>
      <c r="CF37" s="79"/>
      <c r="CG37" s="307"/>
      <c r="CH37" s="374" t="s">
        <v>40</v>
      </c>
      <c r="CI37" s="373" t="s">
        <v>40</v>
      </c>
      <c r="CJ37" s="202"/>
      <c r="CK37" s="202"/>
      <c r="CL37" s="202"/>
      <c r="CM37" s="203"/>
    </row>
    <row r="38" spans="1:91" ht="25.5" customHeight="1" x14ac:dyDescent="0.2">
      <c r="A38" s="324">
        <v>29</v>
      </c>
      <c r="B38" s="95">
        <v>0</v>
      </c>
      <c r="C38" s="72">
        <v>5</v>
      </c>
      <c r="D38" s="76" t="s">
        <v>273</v>
      </c>
      <c r="E38" s="77" t="s">
        <v>666</v>
      </c>
      <c r="F38" s="107"/>
      <c r="G38" s="115" t="s">
        <v>274</v>
      </c>
      <c r="H38" s="116" t="s">
        <v>667</v>
      </c>
      <c r="I38" s="142"/>
      <c r="J38" s="76"/>
      <c r="K38" s="141"/>
      <c r="L38" s="367"/>
      <c r="M38" s="307"/>
      <c r="N38" s="307"/>
      <c r="O38" s="307"/>
      <c r="P38" s="369"/>
      <c r="Q38" s="274"/>
      <c r="R38" s="76"/>
      <c r="S38" s="310"/>
      <c r="T38" s="307"/>
      <c r="U38" s="370"/>
      <c r="V38" s="306"/>
      <c r="W38" s="310"/>
      <c r="X38" s="310"/>
      <c r="Y38" s="310"/>
      <c r="Z38" s="411"/>
      <c r="AA38" s="367"/>
      <c r="AB38" s="307"/>
      <c r="AC38" s="310"/>
      <c r="AD38" s="310"/>
      <c r="AE38" s="412"/>
      <c r="AF38" s="413"/>
      <c r="AG38" s="310"/>
      <c r="AH38" s="310"/>
      <c r="AI38" s="310"/>
      <c r="AJ38" s="141"/>
      <c r="AK38" s="274"/>
      <c r="AL38" s="310"/>
      <c r="AM38" s="310"/>
      <c r="AN38" s="310"/>
      <c r="AO38" s="370"/>
      <c r="AP38" s="413"/>
      <c r="AQ38" s="307"/>
      <c r="AR38" s="307"/>
      <c r="AS38" s="79"/>
      <c r="AT38" s="178"/>
      <c r="AU38" s="367"/>
      <c r="AV38" s="307"/>
      <c r="AW38" s="307"/>
      <c r="AX38" s="307"/>
      <c r="AY38" s="370"/>
      <c r="AZ38" s="306"/>
      <c r="BA38" s="307"/>
      <c r="BB38" s="307"/>
      <c r="BC38" s="307"/>
      <c r="BD38" s="369"/>
      <c r="BE38" s="274"/>
      <c r="BF38" s="79"/>
      <c r="BG38" s="307"/>
      <c r="BH38" s="307"/>
      <c r="BI38" s="370"/>
      <c r="BJ38" s="306"/>
      <c r="BK38" s="307"/>
      <c r="BL38" s="307"/>
      <c r="BM38" s="307"/>
      <c r="BN38" s="369"/>
      <c r="BO38" s="367"/>
      <c r="BP38" s="307"/>
      <c r="BQ38" s="79"/>
      <c r="BR38" s="76"/>
      <c r="BS38" s="412"/>
      <c r="BT38" s="142"/>
      <c r="BU38" s="79"/>
      <c r="BV38" s="307"/>
      <c r="BW38" s="307"/>
      <c r="BX38" s="369"/>
      <c r="BY38" s="367"/>
      <c r="BZ38" s="79"/>
      <c r="CA38" s="76"/>
      <c r="CB38" s="307"/>
      <c r="CC38" s="370"/>
      <c r="CD38" s="306"/>
      <c r="CE38" s="79"/>
      <c r="CF38" s="79"/>
      <c r="CG38" s="307"/>
      <c r="CH38" s="374" t="s">
        <v>40</v>
      </c>
      <c r="CI38" s="373" t="s">
        <v>40</v>
      </c>
      <c r="CJ38" s="202"/>
      <c r="CK38" s="202"/>
      <c r="CL38" s="202"/>
      <c r="CM38" s="203"/>
    </row>
    <row r="39" spans="1:91" ht="25.5" customHeight="1" thickBot="1" x14ac:dyDescent="0.25">
      <c r="A39" s="331">
        <v>30</v>
      </c>
      <c r="B39" s="101"/>
      <c r="C39" s="82"/>
      <c r="D39" s="99"/>
      <c r="E39" s="117"/>
      <c r="F39" s="118"/>
      <c r="G39" s="119"/>
      <c r="H39" s="120"/>
      <c r="I39" s="257"/>
      <c r="J39" s="99"/>
      <c r="K39" s="264"/>
      <c r="L39" s="278"/>
      <c r="M39" s="190"/>
      <c r="N39" s="190"/>
      <c r="O39" s="190"/>
      <c r="P39" s="279"/>
      <c r="Q39" s="278"/>
      <c r="R39" s="99"/>
      <c r="S39" s="99"/>
      <c r="T39" s="190"/>
      <c r="U39" s="195"/>
      <c r="V39" s="280"/>
      <c r="W39" s="99"/>
      <c r="X39" s="99"/>
      <c r="Y39" s="99"/>
      <c r="Z39" s="264"/>
      <c r="AA39" s="278"/>
      <c r="AB39" s="190"/>
      <c r="AC39" s="99"/>
      <c r="AD39" s="99"/>
      <c r="AE39" s="286"/>
      <c r="AF39" s="257"/>
      <c r="AG39" s="99"/>
      <c r="AH39" s="99"/>
      <c r="AI39" s="99"/>
      <c r="AJ39" s="264"/>
      <c r="AK39" s="278"/>
      <c r="AL39" s="99"/>
      <c r="AM39" s="99"/>
      <c r="AN39" s="99"/>
      <c r="AO39" s="195"/>
      <c r="AP39" s="257"/>
      <c r="AQ39" s="190"/>
      <c r="AR39" s="190"/>
      <c r="AS39" s="190"/>
      <c r="AT39" s="279"/>
      <c r="AU39" s="278"/>
      <c r="AV39" s="190"/>
      <c r="AW39" s="190"/>
      <c r="AX39" s="190"/>
      <c r="AY39" s="195"/>
      <c r="AZ39" s="280"/>
      <c r="BA39" s="190"/>
      <c r="BB39" s="190"/>
      <c r="BC39" s="190"/>
      <c r="BD39" s="279"/>
      <c r="BE39" s="278"/>
      <c r="BF39" s="190"/>
      <c r="BG39" s="190"/>
      <c r="BH39" s="190"/>
      <c r="BI39" s="195"/>
      <c r="BJ39" s="280"/>
      <c r="BK39" s="190"/>
      <c r="BL39" s="190"/>
      <c r="BM39" s="190"/>
      <c r="BN39" s="279"/>
      <c r="BO39" s="278"/>
      <c r="BP39" s="190"/>
      <c r="BQ39" s="190"/>
      <c r="BR39" s="99"/>
      <c r="BS39" s="286"/>
      <c r="BT39" s="257"/>
      <c r="BU39" s="190"/>
      <c r="BV39" s="190"/>
      <c r="BW39" s="190"/>
      <c r="BX39" s="279"/>
      <c r="BY39" s="278"/>
      <c r="BZ39" s="190"/>
      <c r="CA39" s="99"/>
      <c r="CB39" s="190"/>
      <c r="CC39" s="195"/>
      <c r="CD39" s="280"/>
      <c r="CE39" s="190"/>
      <c r="CF39" s="190"/>
      <c r="CG39" s="190"/>
      <c r="CH39" s="195"/>
      <c r="CI39" s="280"/>
      <c r="CJ39" s="213"/>
      <c r="CK39" s="213"/>
      <c r="CL39" s="213"/>
      <c r="CM39" s="214"/>
    </row>
    <row r="40" spans="1:91" ht="25.5" customHeight="1" x14ac:dyDescent="0.2">
      <c r="A40" s="332">
        <v>31</v>
      </c>
      <c r="B40" s="105"/>
      <c r="C40" s="85"/>
      <c r="D40" s="103"/>
      <c r="E40" s="121" t="s">
        <v>43</v>
      </c>
      <c r="F40" s="122"/>
      <c r="G40" s="123"/>
      <c r="H40" s="124"/>
      <c r="I40" s="139"/>
      <c r="J40" s="103"/>
      <c r="K40" s="137"/>
      <c r="L40" s="281"/>
      <c r="M40" s="87"/>
      <c r="N40" s="87"/>
      <c r="O40" s="87"/>
      <c r="P40" s="282"/>
      <c r="Q40" s="281"/>
      <c r="R40" s="103"/>
      <c r="S40" s="103"/>
      <c r="T40" s="87"/>
      <c r="U40" s="194"/>
      <c r="V40" s="283"/>
      <c r="W40" s="103"/>
      <c r="X40" s="103"/>
      <c r="Y40" s="103"/>
      <c r="Z40" s="137"/>
      <c r="AA40" s="281"/>
      <c r="AB40" s="87"/>
      <c r="AC40" s="103"/>
      <c r="AD40" s="103"/>
      <c r="AE40" s="138"/>
      <c r="AF40" s="139"/>
      <c r="AG40" s="103"/>
      <c r="AH40" s="103"/>
      <c r="AI40" s="103"/>
      <c r="AJ40" s="137"/>
      <c r="AK40" s="281"/>
      <c r="AL40" s="103"/>
      <c r="AM40" s="103"/>
      <c r="AN40" s="103"/>
      <c r="AO40" s="194"/>
      <c r="AP40" s="139"/>
      <c r="AQ40" s="87"/>
      <c r="AR40" s="87"/>
      <c r="AS40" s="87"/>
      <c r="AT40" s="282"/>
      <c r="AU40" s="281"/>
      <c r="AV40" s="87"/>
      <c r="AW40" s="87"/>
      <c r="AX40" s="87"/>
      <c r="AY40" s="194"/>
      <c r="AZ40" s="283"/>
      <c r="BA40" s="87"/>
      <c r="BB40" s="87"/>
      <c r="BC40" s="87"/>
      <c r="BD40" s="282"/>
      <c r="BE40" s="281"/>
      <c r="BF40" s="87"/>
      <c r="BG40" s="87"/>
      <c r="BH40" s="87"/>
      <c r="BI40" s="194"/>
      <c r="BJ40" s="283"/>
      <c r="BK40" s="87"/>
      <c r="BL40" s="87"/>
      <c r="BM40" s="87"/>
      <c r="BN40" s="282"/>
      <c r="BO40" s="281"/>
      <c r="BP40" s="87"/>
      <c r="BQ40" s="87"/>
      <c r="BR40" s="103"/>
      <c r="BS40" s="138"/>
      <c r="BT40" s="139"/>
      <c r="BU40" s="87"/>
      <c r="BV40" s="87"/>
      <c r="BW40" s="87"/>
      <c r="BX40" s="282"/>
      <c r="BY40" s="281"/>
      <c r="BZ40" s="87"/>
      <c r="CA40" s="103"/>
      <c r="CB40" s="87"/>
      <c r="CC40" s="194"/>
      <c r="CD40" s="283"/>
      <c r="CE40" s="87"/>
      <c r="CF40" s="87"/>
      <c r="CG40" s="87"/>
      <c r="CH40" s="194"/>
      <c r="CI40" s="283"/>
      <c r="CJ40" s="217"/>
      <c r="CK40" s="217"/>
      <c r="CL40" s="217"/>
      <c r="CM40" s="218"/>
    </row>
    <row r="41" spans="1:91" ht="25.5" customHeight="1" x14ac:dyDescent="0.2">
      <c r="A41" s="324">
        <v>32</v>
      </c>
      <c r="B41" s="95">
        <v>0</v>
      </c>
      <c r="C41" s="72">
        <v>5</v>
      </c>
      <c r="D41" s="76" t="s">
        <v>1045</v>
      </c>
      <c r="E41" s="77" t="s">
        <v>668</v>
      </c>
      <c r="F41" s="295"/>
      <c r="G41" s="115" t="s">
        <v>275</v>
      </c>
      <c r="H41" s="116" t="s">
        <v>669</v>
      </c>
      <c r="I41" s="142"/>
      <c r="J41" s="76"/>
      <c r="K41" s="141"/>
      <c r="L41" s="367"/>
      <c r="M41" s="307"/>
      <c r="N41" s="307"/>
      <c r="O41" s="307"/>
      <c r="P41" s="369"/>
      <c r="Q41" s="274"/>
      <c r="R41" s="76"/>
      <c r="S41" s="310"/>
      <c r="T41" s="307"/>
      <c r="U41" s="370"/>
      <c r="V41" s="306"/>
      <c r="W41" s="310"/>
      <c r="X41" s="310"/>
      <c r="Y41" s="310"/>
      <c r="Z41" s="411"/>
      <c r="AA41" s="367"/>
      <c r="AB41" s="307"/>
      <c r="AC41" s="310"/>
      <c r="AD41" s="310"/>
      <c r="AE41" s="412"/>
      <c r="AF41" s="413"/>
      <c r="AG41" s="310"/>
      <c r="AH41" s="310"/>
      <c r="AI41" s="310"/>
      <c r="AJ41" s="141"/>
      <c r="AK41" s="274"/>
      <c r="AL41" s="310"/>
      <c r="AM41" s="310"/>
      <c r="AN41" s="310"/>
      <c r="AO41" s="370"/>
      <c r="AP41" s="413"/>
      <c r="AQ41" s="307"/>
      <c r="AR41" s="307"/>
      <c r="AS41" s="79"/>
      <c r="AT41" s="178"/>
      <c r="AU41" s="367"/>
      <c r="AV41" s="307"/>
      <c r="AW41" s="307"/>
      <c r="AX41" s="307"/>
      <c r="AY41" s="370"/>
      <c r="AZ41" s="306"/>
      <c r="BA41" s="307"/>
      <c r="BB41" s="307"/>
      <c r="BC41" s="307"/>
      <c r="BD41" s="369"/>
      <c r="BE41" s="274"/>
      <c r="BF41" s="79"/>
      <c r="BG41" s="307"/>
      <c r="BH41" s="307"/>
      <c r="BI41" s="370"/>
      <c r="BJ41" s="306"/>
      <c r="BK41" s="307"/>
      <c r="BL41" s="307"/>
      <c r="BM41" s="307"/>
      <c r="BN41" s="369"/>
      <c r="BO41" s="367"/>
      <c r="BP41" s="307"/>
      <c r="BQ41" s="79"/>
      <c r="BR41" s="76"/>
      <c r="BS41" s="412"/>
      <c r="BT41" s="142"/>
      <c r="BU41" s="79"/>
      <c r="BV41" s="307"/>
      <c r="BW41" s="307"/>
      <c r="BX41" s="369"/>
      <c r="BY41" s="367"/>
      <c r="BZ41" s="79"/>
      <c r="CA41" s="76"/>
      <c r="CB41" s="307"/>
      <c r="CC41" s="370"/>
      <c r="CD41" s="306"/>
      <c r="CE41" s="79"/>
      <c r="CF41" s="79"/>
      <c r="CG41" s="307"/>
      <c r="CH41" s="374" t="s">
        <v>40</v>
      </c>
      <c r="CI41" s="373" t="s">
        <v>40</v>
      </c>
      <c r="CJ41" s="202"/>
      <c r="CK41" s="202"/>
      <c r="CL41" s="202"/>
      <c r="CM41" s="203"/>
    </row>
    <row r="42" spans="1:91" ht="25.5" customHeight="1" x14ac:dyDescent="0.2">
      <c r="A42" s="324">
        <v>33</v>
      </c>
      <c r="B42" s="95">
        <v>0</v>
      </c>
      <c r="C42" s="72">
        <v>5</v>
      </c>
      <c r="D42" s="76" t="s">
        <v>276</v>
      </c>
      <c r="E42" s="77" t="s">
        <v>670</v>
      </c>
      <c r="F42" s="107"/>
      <c r="G42" s="115" t="s">
        <v>277</v>
      </c>
      <c r="H42" s="116" t="s">
        <v>612</v>
      </c>
      <c r="I42" s="142"/>
      <c r="J42" s="76"/>
      <c r="K42" s="141"/>
      <c r="L42" s="367"/>
      <c r="M42" s="307"/>
      <c r="N42" s="307"/>
      <c r="O42" s="307"/>
      <c r="P42" s="369"/>
      <c r="Q42" s="274"/>
      <c r="R42" s="76"/>
      <c r="S42" s="310"/>
      <c r="T42" s="307"/>
      <c r="U42" s="370"/>
      <c r="V42" s="306"/>
      <c r="W42" s="310"/>
      <c r="X42" s="310"/>
      <c r="Y42" s="310"/>
      <c r="Z42" s="411"/>
      <c r="AA42" s="367"/>
      <c r="AB42" s="307"/>
      <c r="AC42" s="310"/>
      <c r="AD42" s="310"/>
      <c r="AE42" s="412"/>
      <c r="AF42" s="413"/>
      <c r="AG42" s="310"/>
      <c r="AH42" s="310"/>
      <c r="AI42" s="310"/>
      <c r="AJ42" s="141"/>
      <c r="AK42" s="274"/>
      <c r="AL42" s="310"/>
      <c r="AM42" s="310"/>
      <c r="AN42" s="310"/>
      <c r="AO42" s="370"/>
      <c r="AP42" s="413"/>
      <c r="AQ42" s="307"/>
      <c r="AR42" s="307"/>
      <c r="AS42" s="79"/>
      <c r="AT42" s="178"/>
      <c r="AU42" s="367"/>
      <c r="AV42" s="307"/>
      <c r="AW42" s="307"/>
      <c r="AX42" s="307"/>
      <c r="AY42" s="370"/>
      <c r="AZ42" s="306"/>
      <c r="BA42" s="307"/>
      <c r="BB42" s="307"/>
      <c r="BC42" s="307"/>
      <c r="BD42" s="369"/>
      <c r="BE42" s="274"/>
      <c r="BF42" s="79"/>
      <c r="BG42" s="307"/>
      <c r="BH42" s="307"/>
      <c r="BI42" s="370"/>
      <c r="BJ42" s="306"/>
      <c r="BK42" s="307"/>
      <c r="BL42" s="307"/>
      <c r="BM42" s="307"/>
      <c r="BN42" s="369"/>
      <c r="BO42" s="367"/>
      <c r="BP42" s="307"/>
      <c r="BQ42" s="79"/>
      <c r="BR42" s="76"/>
      <c r="BS42" s="412"/>
      <c r="BT42" s="142"/>
      <c r="BU42" s="79"/>
      <c r="BV42" s="307"/>
      <c r="BW42" s="307"/>
      <c r="BX42" s="369"/>
      <c r="BY42" s="367"/>
      <c r="BZ42" s="79"/>
      <c r="CA42" s="76"/>
      <c r="CB42" s="307"/>
      <c r="CC42" s="370"/>
      <c r="CD42" s="306"/>
      <c r="CE42" s="79"/>
      <c r="CF42" s="79"/>
      <c r="CG42" s="307"/>
      <c r="CH42" s="370"/>
      <c r="CI42" s="306"/>
      <c r="CJ42" s="202"/>
      <c r="CK42" s="202"/>
      <c r="CL42" s="202"/>
      <c r="CM42" s="203"/>
    </row>
    <row r="43" spans="1:91" ht="25.5" customHeight="1" x14ac:dyDescent="0.2">
      <c r="A43" s="324">
        <v>34</v>
      </c>
      <c r="B43" s="95">
        <v>0</v>
      </c>
      <c r="C43" s="72">
        <v>5</v>
      </c>
      <c r="D43" s="76" t="s">
        <v>278</v>
      </c>
      <c r="E43" s="77" t="s">
        <v>671</v>
      </c>
      <c r="F43" s="107"/>
      <c r="G43" s="115" t="s">
        <v>279</v>
      </c>
      <c r="H43" s="116" t="s">
        <v>613</v>
      </c>
      <c r="I43" s="142"/>
      <c r="J43" s="76"/>
      <c r="K43" s="141"/>
      <c r="L43" s="367"/>
      <c r="M43" s="307"/>
      <c r="N43" s="307"/>
      <c r="O43" s="307"/>
      <c r="P43" s="369"/>
      <c r="Q43" s="274"/>
      <c r="R43" s="76"/>
      <c r="S43" s="310"/>
      <c r="T43" s="307"/>
      <c r="U43" s="370"/>
      <c r="V43" s="306"/>
      <c r="W43" s="310"/>
      <c r="X43" s="310"/>
      <c r="Y43" s="310"/>
      <c r="Z43" s="411"/>
      <c r="AA43" s="367"/>
      <c r="AB43" s="307"/>
      <c r="AC43" s="310"/>
      <c r="AD43" s="310"/>
      <c r="AE43" s="412"/>
      <c r="AF43" s="413"/>
      <c r="AG43" s="310"/>
      <c r="AH43" s="310"/>
      <c r="AI43" s="310"/>
      <c r="AJ43" s="141"/>
      <c r="AK43" s="274"/>
      <c r="AL43" s="310"/>
      <c r="AM43" s="310"/>
      <c r="AN43" s="310"/>
      <c r="AO43" s="370"/>
      <c r="AP43" s="413"/>
      <c r="AQ43" s="307"/>
      <c r="AR43" s="307"/>
      <c r="AS43" s="79"/>
      <c r="AT43" s="178"/>
      <c r="AU43" s="367"/>
      <c r="AV43" s="307"/>
      <c r="AW43" s="307"/>
      <c r="AX43" s="307"/>
      <c r="AY43" s="370"/>
      <c r="AZ43" s="306"/>
      <c r="BA43" s="307"/>
      <c r="BB43" s="307"/>
      <c r="BC43" s="307"/>
      <c r="BD43" s="369"/>
      <c r="BE43" s="274"/>
      <c r="BF43" s="79"/>
      <c r="BG43" s="307"/>
      <c r="BH43" s="307"/>
      <c r="BI43" s="370"/>
      <c r="BJ43" s="306"/>
      <c r="BK43" s="307"/>
      <c r="BL43" s="307"/>
      <c r="BM43" s="307"/>
      <c r="BN43" s="369"/>
      <c r="BO43" s="367"/>
      <c r="BP43" s="307"/>
      <c r="BQ43" s="79"/>
      <c r="BR43" s="76"/>
      <c r="BS43" s="412"/>
      <c r="BT43" s="142"/>
      <c r="BU43" s="79"/>
      <c r="BV43" s="307"/>
      <c r="BW43" s="307"/>
      <c r="BX43" s="369"/>
      <c r="BY43" s="367"/>
      <c r="BZ43" s="79"/>
      <c r="CA43" s="76"/>
      <c r="CB43" s="307"/>
      <c r="CC43" s="370"/>
      <c r="CD43" s="306"/>
      <c r="CE43" s="79"/>
      <c r="CF43" s="79"/>
      <c r="CG43" s="307"/>
      <c r="CH43" s="374" t="s">
        <v>40</v>
      </c>
      <c r="CI43" s="373" t="s">
        <v>40</v>
      </c>
      <c r="CJ43" s="202"/>
      <c r="CK43" s="202"/>
      <c r="CL43" s="202"/>
      <c r="CM43" s="203"/>
    </row>
    <row r="44" spans="1:91" ht="25.5" customHeight="1" thickBot="1" x14ac:dyDescent="0.25">
      <c r="A44" s="325">
        <v>35</v>
      </c>
      <c r="B44" s="125">
        <v>0</v>
      </c>
      <c r="C44" s="73">
        <v>5</v>
      </c>
      <c r="D44" s="89" t="s">
        <v>280</v>
      </c>
      <c r="E44" s="126" t="s">
        <v>672</v>
      </c>
      <c r="F44" s="109"/>
      <c r="G44" s="127" t="s">
        <v>673</v>
      </c>
      <c r="H44" s="128" t="s">
        <v>614</v>
      </c>
      <c r="I44" s="269"/>
      <c r="J44" s="89"/>
      <c r="K44" s="270"/>
      <c r="L44" s="383"/>
      <c r="M44" s="379"/>
      <c r="N44" s="379"/>
      <c r="O44" s="379"/>
      <c r="P44" s="382"/>
      <c r="Q44" s="275"/>
      <c r="R44" s="89"/>
      <c r="S44" s="414"/>
      <c r="T44" s="379"/>
      <c r="U44" s="380"/>
      <c r="V44" s="381"/>
      <c r="W44" s="414"/>
      <c r="X44" s="414"/>
      <c r="Y44" s="414"/>
      <c r="Z44" s="415"/>
      <c r="AA44" s="383"/>
      <c r="AB44" s="379"/>
      <c r="AC44" s="414"/>
      <c r="AD44" s="414"/>
      <c r="AE44" s="416"/>
      <c r="AF44" s="417"/>
      <c r="AG44" s="414"/>
      <c r="AH44" s="414"/>
      <c r="AI44" s="414"/>
      <c r="AJ44" s="270"/>
      <c r="AK44" s="275"/>
      <c r="AL44" s="414"/>
      <c r="AM44" s="414"/>
      <c r="AN44" s="414"/>
      <c r="AO44" s="380"/>
      <c r="AP44" s="417"/>
      <c r="AQ44" s="379"/>
      <c r="AR44" s="379"/>
      <c r="AS44" s="74"/>
      <c r="AT44" s="276"/>
      <c r="AU44" s="383"/>
      <c r="AV44" s="379"/>
      <c r="AW44" s="379"/>
      <c r="AX44" s="379"/>
      <c r="AY44" s="380"/>
      <c r="AZ44" s="381"/>
      <c r="BA44" s="379"/>
      <c r="BB44" s="379"/>
      <c r="BC44" s="379"/>
      <c r="BD44" s="382"/>
      <c r="BE44" s="275"/>
      <c r="BF44" s="74"/>
      <c r="BG44" s="379"/>
      <c r="BH44" s="379"/>
      <c r="BI44" s="380"/>
      <c r="BJ44" s="381"/>
      <c r="BK44" s="379"/>
      <c r="BL44" s="379"/>
      <c r="BM44" s="379"/>
      <c r="BN44" s="382"/>
      <c r="BO44" s="383"/>
      <c r="BP44" s="379"/>
      <c r="BQ44" s="74"/>
      <c r="BR44" s="89"/>
      <c r="BS44" s="416"/>
      <c r="BT44" s="269"/>
      <c r="BU44" s="74"/>
      <c r="BV44" s="379"/>
      <c r="BW44" s="379"/>
      <c r="BX44" s="382"/>
      <c r="BY44" s="383"/>
      <c r="BZ44" s="74"/>
      <c r="CA44" s="89"/>
      <c r="CB44" s="379"/>
      <c r="CC44" s="380"/>
      <c r="CD44" s="381"/>
      <c r="CE44" s="74"/>
      <c r="CF44" s="74"/>
      <c r="CG44" s="379"/>
      <c r="CH44" s="380"/>
      <c r="CI44" s="381"/>
      <c r="CJ44" s="206"/>
      <c r="CK44" s="206"/>
      <c r="CL44" s="206"/>
      <c r="CM44" s="207"/>
    </row>
    <row r="45" spans="1:91" ht="25.5" customHeight="1" x14ac:dyDescent="0.2">
      <c r="A45" s="318">
        <v>36</v>
      </c>
      <c r="B45" s="129">
        <v>0</v>
      </c>
      <c r="C45" s="75">
        <v>5</v>
      </c>
      <c r="D45" s="130" t="s">
        <v>1046</v>
      </c>
      <c r="E45" s="93" t="s">
        <v>674</v>
      </c>
      <c r="F45" s="333"/>
      <c r="G45" s="131" t="s">
        <v>281</v>
      </c>
      <c r="H45" s="132" t="s">
        <v>675</v>
      </c>
      <c r="I45" s="259"/>
      <c r="J45" s="130"/>
      <c r="K45" s="260"/>
      <c r="L45" s="308"/>
      <c r="M45" s="304"/>
      <c r="N45" s="304"/>
      <c r="O45" s="304"/>
      <c r="P45" s="359"/>
      <c r="Q45" s="272"/>
      <c r="R45" s="130"/>
      <c r="S45" s="418"/>
      <c r="T45" s="304"/>
      <c r="U45" s="361"/>
      <c r="V45" s="362"/>
      <c r="W45" s="418"/>
      <c r="X45" s="418"/>
      <c r="Y45" s="418"/>
      <c r="Z45" s="419"/>
      <c r="AA45" s="308"/>
      <c r="AB45" s="304"/>
      <c r="AC45" s="418"/>
      <c r="AD45" s="418"/>
      <c r="AE45" s="420"/>
      <c r="AF45" s="421"/>
      <c r="AG45" s="418"/>
      <c r="AH45" s="418"/>
      <c r="AI45" s="418"/>
      <c r="AJ45" s="260"/>
      <c r="AK45" s="272"/>
      <c r="AL45" s="418"/>
      <c r="AM45" s="418"/>
      <c r="AN45" s="418"/>
      <c r="AO45" s="361"/>
      <c r="AP45" s="421"/>
      <c r="AQ45" s="304"/>
      <c r="AR45" s="304"/>
      <c r="AS45" s="92"/>
      <c r="AT45" s="273"/>
      <c r="AU45" s="308"/>
      <c r="AV45" s="304"/>
      <c r="AW45" s="304"/>
      <c r="AX45" s="304"/>
      <c r="AY45" s="361"/>
      <c r="AZ45" s="362"/>
      <c r="BA45" s="304"/>
      <c r="BB45" s="304"/>
      <c r="BC45" s="304"/>
      <c r="BD45" s="359"/>
      <c r="BE45" s="272"/>
      <c r="BF45" s="92"/>
      <c r="BG45" s="304"/>
      <c r="BH45" s="304"/>
      <c r="BI45" s="361"/>
      <c r="BJ45" s="362"/>
      <c r="BK45" s="304"/>
      <c r="BL45" s="304"/>
      <c r="BM45" s="304"/>
      <c r="BN45" s="359"/>
      <c r="BO45" s="308"/>
      <c r="BP45" s="304"/>
      <c r="BQ45" s="92"/>
      <c r="BR45" s="130"/>
      <c r="BS45" s="420"/>
      <c r="BT45" s="259"/>
      <c r="BU45" s="92"/>
      <c r="BV45" s="304"/>
      <c r="BW45" s="304"/>
      <c r="BX45" s="359"/>
      <c r="BY45" s="308"/>
      <c r="BZ45" s="92"/>
      <c r="CA45" s="130"/>
      <c r="CB45" s="304"/>
      <c r="CC45" s="361"/>
      <c r="CD45" s="362"/>
      <c r="CE45" s="92"/>
      <c r="CF45" s="92"/>
      <c r="CG45" s="304"/>
      <c r="CH45" s="363" t="s">
        <v>40</v>
      </c>
      <c r="CI45" s="364" t="s">
        <v>40</v>
      </c>
      <c r="CJ45" s="210"/>
      <c r="CK45" s="210"/>
      <c r="CL45" s="210"/>
      <c r="CM45" s="211"/>
    </row>
    <row r="46" spans="1:91" ht="25.5" customHeight="1" x14ac:dyDescent="0.2">
      <c r="A46" s="324">
        <v>37</v>
      </c>
      <c r="B46" s="95">
        <v>0</v>
      </c>
      <c r="C46" s="72">
        <v>5</v>
      </c>
      <c r="D46" s="76" t="s">
        <v>282</v>
      </c>
      <c r="E46" s="77" t="s">
        <v>676</v>
      </c>
      <c r="F46" s="107"/>
      <c r="G46" s="115" t="s">
        <v>283</v>
      </c>
      <c r="H46" s="116" t="s">
        <v>677</v>
      </c>
      <c r="I46" s="142"/>
      <c r="J46" s="76"/>
      <c r="K46" s="141"/>
      <c r="L46" s="367"/>
      <c r="M46" s="307"/>
      <c r="N46" s="307"/>
      <c r="O46" s="307"/>
      <c r="P46" s="369"/>
      <c r="Q46" s="274"/>
      <c r="R46" s="76"/>
      <c r="S46" s="310"/>
      <c r="T46" s="307"/>
      <c r="U46" s="370"/>
      <c r="V46" s="306"/>
      <c r="W46" s="310"/>
      <c r="X46" s="310"/>
      <c r="Y46" s="310"/>
      <c r="Z46" s="411"/>
      <c r="AA46" s="367"/>
      <c r="AB46" s="307"/>
      <c r="AC46" s="310"/>
      <c r="AD46" s="310"/>
      <c r="AE46" s="412"/>
      <c r="AF46" s="413"/>
      <c r="AG46" s="310"/>
      <c r="AH46" s="310"/>
      <c r="AI46" s="310"/>
      <c r="AJ46" s="141"/>
      <c r="AK46" s="274"/>
      <c r="AL46" s="310"/>
      <c r="AM46" s="310"/>
      <c r="AN46" s="310"/>
      <c r="AO46" s="370"/>
      <c r="AP46" s="413"/>
      <c r="AQ46" s="307"/>
      <c r="AR46" s="307"/>
      <c r="AS46" s="79"/>
      <c r="AT46" s="178"/>
      <c r="AU46" s="367"/>
      <c r="AV46" s="307"/>
      <c r="AW46" s="307"/>
      <c r="AX46" s="307"/>
      <c r="AY46" s="370"/>
      <c r="AZ46" s="306"/>
      <c r="BA46" s="307"/>
      <c r="BB46" s="307"/>
      <c r="BC46" s="307"/>
      <c r="BD46" s="369"/>
      <c r="BE46" s="274"/>
      <c r="BF46" s="79"/>
      <c r="BG46" s="307"/>
      <c r="BH46" s="307"/>
      <c r="BI46" s="370"/>
      <c r="BJ46" s="306"/>
      <c r="BK46" s="307"/>
      <c r="BL46" s="307"/>
      <c r="BM46" s="307"/>
      <c r="BN46" s="369"/>
      <c r="BO46" s="367"/>
      <c r="BP46" s="307"/>
      <c r="BQ46" s="79"/>
      <c r="BR46" s="76"/>
      <c r="BS46" s="412"/>
      <c r="BT46" s="142"/>
      <c r="BU46" s="79"/>
      <c r="BV46" s="307"/>
      <c r="BW46" s="307"/>
      <c r="BX46" s="369"/>
      <c r="BY46" s="367"/>
      <c r="BZ46" s="79"/>
      <c r="CA46" s="76"/>
      <c r="CB46" s="307"/>
      <c r="CC46" s="370"/>
      <c r="CD46" s="306"/>
      <c r="CE46" s="79"/>
      <c r="CF46" s="79"/>
      <c r="CG46" s="307"/>
      <c r="CH46" s="370"/>
      <c r="CI46" s="306"/>
      <c r="CJ46" s="202"/>
      <c r="CK46" s="202"/>
      <c r="CL46" s="202"/>
      <c r="CM46" s="203"/>
    </row>
    <row r="47" spans="1:91" ht="25.5" customHeight="1" x14ac:dyDescent="0.2">
      <c r="A47" s="324">
        <v>38</v>
      </c>
      <c r="B47" s="95">
        <v>0</v>
      </c>
      <c r="C47" s="72">
        <v>5</v>
      </c>
      <c r="D47" s="76" t="s">
        <v>284</v>
      </c>
      <c r="E47" s="77" t="s">
        <v>678</v>
      </c>
      <c r="F47" s="107"/>
      <c r="G47" s="115" t="s">
        <v>285</v>
      </c>
      <c r="H47" s="116" t="s">
        <v>679</v>
      </c>
      <c r="I47" s="142"/>
      <c r="J47" s="76"/>
      <c r="K47" s="141"/>
      <c r="L47" s="367"/>
      <c r="M47" s="307"/>
      <c r="N47" s="307"/>
      <c r="O47" s="307"/>
      <c r="P47" s="369"/>
      <c r="Q47" s="274"/>
      <c r="R47" s="76"/>
      <c r="S47" s="310"/>
      <c r="T47" s="307"/>
      <c r="U47" s="370"/>
      <c r="V47" s="306"/>
      <c r="W47" s="310"/>
      <c r="X47" s="310"/>
      <c r="Y47" s="310"/>
      <c r="Z47" s="411"/>
      <c r="AA47" s="367"/>
      <c r="AB47" s="307"/>
      <c r="AC47" s="310"/>
      <c r="AD47" s="310"/>
      <c r="AE47" s="412"/>
      <c r="AF47" s="413"/>
      <c r="AG47" s="310"/>
      <c r="AH47" s="310"/>
      <c r="AI47" s="310"/>
      <c r="AJ47" s="141"/>
      <c r="AK47" s="274"/>
      <c r="AL47" s="310"/>
      <c r="AM47" s="310"/>
      <c r="AN47" s="310"/>
      <c r="AO47" s="370"/>
      <c r="AP47" s="413"/>
      <c r="AQ47" s="307"/>
      <c r="AR47" s="307"/>
      <c r="AS47" s="79"/>
      <c r="AT47" s="178"/>
      <c r="AU47" s="367"/>
      <c r="AV47" s="307"/>
      <c r="AW47" s="307"/>
      <c r="AX47" s="307"/>
      <c r="AY47" s="370"/>
      <c r="AZ47" s="306"/>
      <c r="BA47" s="307"/>
      <c r="BB47" s="307"/>
      <c r="BC47" s="307"/>
      <c r="BD47" s="369"/>
      <c r="BE47" s="274"/>
      <c r="BF47" s="79"/>
      <c r="BG47" s="307"/>
      <c r="BH47" s="307"/>
      <c r="BI47" s="370"/>
      <c r="BJ47" s="306"/>
      <c r="BK47" s="307"/>
      <c r="BL47" s="307"/>
      <c r="BM47" s="307"/>
      <c r="BN47" s="369"/>
      <c r="BO47" s="367"/>
      <c r="BP47" s="307"/>
      <c r="BQ47" s="79"/>
      <c r="BR47" s="76"/>
      <c r="BS47" s="412"/>
      <c r="BT47" s="142"/>
      <c r="BU47" s="79"/>
      <c r="BV47" s="307"/>
      <c r="BW47" s="307"/>
      <c r="BX47" s="369"/>
      <c r="BY47" s="367"/>
      <c r="BZ47" s="79"/>
      <c r="CA47" s="76"/>
      <c r="CB47" s="307"/>
      <c r="CC47" s="370"/>
      <c r="CD47" s="306"/>
      <c r="CE47" s="79"/>
      <c r="CF47" s="79"/>
      <c r="CG47" s="307"/>
      <c r="CH47" s="374" t="s">
        <v>40</v>
      </c>
      <c r="CI47" s="373" t="s">
        <v>40</v>
      </c>
      <c r="CJ47" s="202"/>
      <c r="CK47" s="202"/>
      <c r="CL47" s="202"/>
      <c r="CM47" s="203"/>
    </row>
    <row r="48" spans="1:91" ht="25.5" customHeight="1" x14ac:dyDescent="0.2">
      <c r="A48" s="324">
        <v>39</v>
      </c>
      <c r="B48" s="95">
        <v>0</v>
      </c>
      <c r="C48" s="72">
        <v>5</v>
      </c>
      <c r="D48" s="76" t="s">
        <v>680</v>
      </c>
      <c r="E48" s="77" t="s">
        <v>681</v>
      </c>
      <c r="F48" s="107"/>
      <c r="G48" s="115" t="s">
        <v>286</v>
      </c>
      <c r="H48" s="116" t="s">
        <v>682</v>
      </c>
      <c r="I48" s="142"/>
      <c r="J48" s="76"/>
      <c r="K48" s="141"/>
      <c r="L48" s="367"/>
      <c r="M48" s="307"/>
      <c r="N48" s="307"/>
      <c r="O48" s="307"/>
      <c r="P48" s="369"/>
      <c r="Q48" s="274"/>
      <c r="R48" s="76"/>
      <c r="S48" s="310"/>
      <c r="T48" s="307"/>
      <c r="U48" s="370"/>
      <c r="V48" s="306"/>
      <c r="W48" s="310"/>
      <c r="X48" s="310"/>
      <c r="Y48" s="310"/>
      <c r="Z48" s="411"/>
      <c r="AA48" s="367"/>
      <c r="AB48" s="307"/>
      <c r="AC48" s="310"/>
      <c r="AD48" s="310"/>
      <c r="AE48" s="412"/>
      <c r="AF48" s="413"/>
      <c r="AG48" s="310"/>
      <c r="AH48" s="310"/>
      <c r="AI48" s="310"/>
      <c r="AJ48" s="141"/>
      <c r="AK48" s="274"/>
      <c r="AL48" s="310"/>
      <c r="AM48" s="310"/>
      <c r="AN48" s="310"/>
      <c r="AO48" s="370"/>
      <c r="AP48" s="413"/>
      <c r="AQ48" s="307"/>
      <c r="AR48" s="307"/>
      <c r="AS48" s="79"/>
      <c r="AT48" s="178"/>
      <c r="AU48" s="367"/>
      <c r="AV48" s="307"/>
      <c r="AW48" s="307"/>
      <c r="AX48" s="307"/>
      <c r="AY48" s="370"/>
      <c r="AZ48" s="306"/>
      <c r="BA48" s="307"/>
      <c r="BB48" s="307"/>
      <c r="BC48" s="307"/>
      <c r="BD48" s="369"/>
      <c r="BE48" s="274"/>
      <c r="BF48" s="79"/>
      <c r="BG48" s="307"/>
      <c r="BH48" s="307"/>
      <c r="BI48" s="370"/>
      <c r="BJ48" s="306"/>
      <c r="BK48" s="307"/>
      <c r="BL48" s="307"/>
      <c r="BM48" s="307"/>
      <c r="BN48" s="369"/>
      <c r="BO48" s="367"/>
      <c r="BP48" s="307"/>
      <c r="BQ48" s="79"/>
      <c r="BR48" s="76"/>
      <c r="BS48" s="412"/>
      <c r="BT48" s="142"/>
      <c r="BU48" s="79"/>
      <c r="BV48" s="307"/>
      <c r="BW48" s="307"/>
      <c r="BX48" s="369"/>
      <c r="BY48" s="367"/>
      <c r="BZ48" s="79"/>
      <c r="CA48" s="76"/>
      <c r="CB48" s="307"/>
      <c r="CC48" s="370"/>
      <c r="CD48" s="306"/>
      <c r="CE48" s="79"/>
      <c r="CF48" s="79"/>
      <c r="CG48" s="307"/>
      <c r="CH48" s="370"/>
      <c r="CI48" s="306"/>
      <c r="CJ48" s="202"/>
      <c r="CK48" s="202"/>
      <c r="CL48" s="202"/>
      <c r="CM48" s="203"/>
    </row>
    <row r="49" spans="1:91" ht="25.5" customHeight="1" thickBot="1" x14ac:dyDescent="0.25">
      <c r="A49" s="331">
        <v>40</v>
      </c>
      <c r="B49" s="101">
        <v>0</v>
      </c>
      <c r="C49" s="82" t="s">
        <v>1044</v>
      </c>
      <c r="D49" s="99" t="s">
        <v>1060</v>
      </c>
      <c r="E49" s="117" t="s">
        <v>1061</v>
      </c>
      <c r="F49" s="118"/>
      <c r="G49" s="119" t="s">
        <v>1062</v>
      </c>
      <c r="H49" s="120" t="s">
        <v>1063</v>
      </c>
      <c r="I49" s="257"/>
      <c r="J49" s="99"/>
      <c r="K49" s="264"/>
      <c r="L49" s="395"/>
      <c r="M49" s="390"/>
      <c r="N49" s="390"/>
      <c r="O49" s="390"/>
      <c r="P49" s="391"/>
      <c r="Q49" s="278"/>
      <c r="R49" s="99"/>
      <c r="S49" s="422"/>
      <c r="T49" s="390"/>
      <c r="U49" s="393"/>
      <c r="V49" s="394"/>
      <c r="W49" s="422"/>
      <c r="X49" s="422"/>
      <c r="Y49" s="422"/>
      <c r="Z49" s="423"/>
      <c r="AA49" s="395"/>
      <c r="AB49" s="390"/>
      <c r="AC49" s="422"/>
      <c r="AD49" s="422"/>
      <c r="AE49" s="424"/>
      <c r="AF49" s="425"/>
      <c r="AG49" s="422"/>
      <c r="AH49" s="422"/>
      <c r="AI49" s="422"/>
      <c r="AJ49" s="264"/>
      <c r="AK49" s="278"/>
      <c r="AL49" s="422"/>
      <c r="AM49" s="422"/>
      <c r="AN49" s="422"/>
      <c r="AO49" s="393"/>
      <c r="AP49" s="425"/>
      <c r="AQ49" s="390"/>
      <c r="AR49" s="390"/>
      <c r="AS49" s="190"/>
      <c r="AT49" s="279"/>
      <c r="AU49" s="395"/>
      <c r="AV49" s="390"/>
      <c r="AW49" s="390"/>
      <c r="AX49" s="390"/>
      <c r="AY49" s="393"/>
      <c r="AZ49" s="394"/>
      <c r="BA49" s="390"/>
      <c r="BB49" s="390"/>
      <c r="BC49" s="390"/>
      <c r="BD49" s="391"/>
      <c r="BE49" s="278"/>
      <c r="BF49" s="190"/>
      <c r="BG49" s="390"/>
      <c r="BH49" s="390"/>
      <c r="BI49" s="393"/>
      <c r="BJ49" s="394"/>
      <c r="BK49" s="390"/>
      <c r="BL49" s="390"/>
      <c r="BM49" s="390"/>
      <c r="BN49" s="391"/>
      <c r="BO49" s="395"/>
      <c r="BP49" s="390"/>
      <c r="BQ49" s="190"/>
      <c r="BR49" s="99"/>
      <c r="BS49" s="424"/>
      <c r="BT49" s="257"/>
      <c r="BU49" s="190"/>
      <c r="BV49" s="390"/>
      <c r="BW49" s="390"/>
      <c r="BX49" s="391"/>
      <c r="BY49" s="395"/>
      <c r="BZ49" s="190"/>
      <c r="CA49" s="99"/>
      <c r="CB49" s="390"/>
      <c r="CC49" s="393"/>
      <c r="CD49" s="394"/>
      <c r="CE49" s="190"/>
      <c r="CF49" s="190"/>
      <c r="CG49" s="390"/>
      <c r="CH49" s="393"/>
      <c r="CI49" s="394"/>
      <c r="CJ49" s="213"/>
      <c r="CK49" s="213"/>
      <c r="CL49" s="213"/>
      <c r="CM49" s="214"/>
    </row>
    <row r="50" spans="1:91" ht="25.5" customHeight="1" x14ac:dyDescent="0.2">
      <c r="A50" s="332">
        <v>41</v>
      </c>
      <c r="B50" s="105">
        <v>0</v>
      </c>
      <c r="C50" s="85" t="s">
        <v>1044</v>
      </c>
      <c r="D50" s="103" t="s">
        <v>1072</v>
      </c>
      <c r="E50" s="133" t="s">
        <v>1073</v>
      </c>
      <c r="F50" s="122"/>
      <c r="G50" s="123" t="s">
        <v>1074</v>
      </c>
      <c r="H50" s="124" t="s">
        <v>1075</v>
      </c>
      <c r="I50" s="139"/>
      <c r="J50" s="103"/>
      <c r="K50" s="137"/>
      <c r="L50" s="407"/>
      <c r="M50" s="402"/>
      <c r="N50" s="402"/>
      <c r="O50" s="402"/>
      <c r="P50" s="403"/>
      <c r="Q50" s="281"/>
      <c r="R50" s="103"/>
      <c r="S50" s="426"/>
      <c r="T50" s="402"/>
      <c r="U50" s="405"/>
      <c r="V50" s="406"/>
      <c r="W50" s="426"/>
      <c r="X50" s="426"/>
      <c r="Y50" s="426"/>
      <c r="Z50" s="427"/>
      <c r="AA50" s="407"/>
      <c r="AB50" s="402"/>
      <c r="AC50" s="426"/>
      <c r="AD50" s="426"/>
      <c r="AE50" s="428"/>
      <c r="AF50" s="429"/>
      <c r="AG50" s="426"/>
      <c r="AH50" s="426"/>
      <c r="AI50" s="426"/>
      <c r="AJ50" s="137"/>
      <c r="AK50" s="281"/>
      <c r="AL50" s="426"/>
      <c r="AM50" s="426"/>
      <c r="AN50" s="426"/>
      <c r="AO50" s="405"/>
      <c r="AP50" s="429"/>
      <c r="AQ50" s="402"/>
      <c r="AR50" s="402"/>
      <c r="AS50" s="87"/>
      <c r="AT50" s="282"/>
      <c r="AU50" s="407"/>
      <c r="AV50" s="402"/>
      <c r="AW50" s="402"/>
      <c r="AX50" s="402"/>
      <c r="AY50" s="405"/>
      <c r="AZ50" s="406"/>
      <c r="BA50" s="402"/>
      <c r="BB50" s="402"/>
      <c r="BC50" s="402"/>
      <c r="BD50" s="403"/>
      <c r="BE50" s="281"/>
      <c r="BF50" s="87"/>
      <c r="BG50" s="402"/>
      <c r="BH50" s="402"/>
      <c r="BI50" s="405"/>
      <c r="BJ50" s="406"/>
      <c r="BK50" s="402"/>
      <c r="BL50" s="402"/>
      <c r="BM50" s="402"/>
      <c r="BN50" s="403"/>
      <c r="BO50" s="407"/>
      <c r="BP50" s="402"/>
      <c r="BQ50" s="87"/>
      <c r="BR50" s="103"/>
      <c r="BS50" s="428"/>
      <c r="BT50" s="139"/>
      <c r="BU50" s="87"/>
      <c r="BV50" s="402"/>
      <c r="BW50" s="402"/>
      <c r="BX50" s="403"/>
      <c r="BY50" s="407"/>
      <c r="BZ50" s="87"/>
      <c r="CA50" s="103"/>
      <c r="CB50" s="402"/>
      <c r="CC50" s="405"/>
      <c r="CD50" s="406"/>
      <c r="CE50" s="87"/>
      <c r="CF50" s="87"/>
      <c r="CG50" s="402"/>
      <c r="CH50" s="405"/>
      <c r="CI50" s="406"/>
      <c r="CJ50" s="217"/>
      <c r="CK50" s="217"/>
      <c r="CL50" s="217"/>
      <c r="CM50" s="218"/>
    </row>
    <row r="51" spans="1:91" ht="25.5" customHeight="1" x14ac:dyDescent="0.2">
      <c r="A51" s="324">
        <v>42</v>
      </c>
      <c r="B51" s="95">
        <v>0</v>
      </c>
      <c r="C51" s="72">
        <v>5</v>
      </c>
      <c r="D51" s="76" t="s">
        <v>287</v>
      </c>
      <c r="E51" s="77" t="s">
        <v>683</v>
      </c>
      <c r="F51" s="107"/>
      <c r="G51" s="115" t="s">
        <v>684</v>
      </c>
      <c r="H51" s="116" t="s">
        <v>615</v>
      </c>
      <c r="I51" s="142"/>
      <c r="J51" s="76"/>
      <c r="K51" s="141"/>
      <c r="L51" s="367"/>
      <c r="M51" s="307"/>
      <c r="N51" s="307"/>
      <c r="O51" s="307"/>
      <c r="P51" s="369"/>
      <c r="Q51" s="274"/>
      <c r="R51" s="76"/>
      <c r="S51" s="310"/>
      <c r="T51" s="307"/>
      <c r="U51" s="370"/>
      <c r="V51" s="306"/>
      <c r="W51" s="310"/>
      <c r="X51" s="310"/>
      <c r="Y51" s="310"/>
      <c r="Z51" s="411"/>
      <c r="AA51" s="367"/>
      <c r="AB51" s="307"/>
      <c r="AC51" s="310"/>
      <c r="AD51" s="310"/>
      <c r="AE51" s="412"/>
      <c r="AF51" s="413"/>
      <c r="AG51" s="310"/>
      <c r="AH51" s="310"/>
      <c r="AI51" s="310"/>
      <c r="AJ51" s="141"/>
      <c r="AK51" s="274"/>
      <c r="AL51" s="310"/>
      <c r="AM51" s="310"/>
      <c r="AN51" s="310"/>
      <c r="AO51" s="370"/>
      <c r="AP51" s="413"/>
      <c r="AQ51" s="307"/>
      <c r="AR51" s="307"/>
      <c r="AS51" s="79"/>
      <c r="AT51" s="178"/>
      <c r="AU51" s="367"/>
      <c r="AV51" s="307"/>
      <c r="AW51" s="307"/>
      <c r="AX51" s="307"/>
      <c r="AY51" s="370"/>
      <c r="AZ51" s="306"/>
      <c r="BA51" s="307"/>
      <c r="BB51" s="307"/>
      <c r="BC51" s="307"/>
      <c r="BD51" s="369"/>
      <c r="BE51" s="274"/>
      <c r="BF51" s="79"/>
      <c r="BG51" s="307"/>
      <c r="BH51" s="307"/>
      <c r="BI51" s="370"/>
      <c r="BJ51" s="306"/>
      <c r="BK51" s="307"/>
      <c r="BL51" s="307"/>
      <c r="BM51" s="307"/>
      <c r="BN51" s="369"/>
      <c r="BO51" s="367"/>
      <c r="BP51" s="307"/>
      <c r="BQ51" s="79"/>
      <c r="BR51" s="76"/>
      <c r="BS51" s="412"/>
      <c r="BT51" s="142"/>
      <c r="BU51" s="79"/>
      <c r="BV51" s="307"/>
      <c r="BW51" s="307"/>
      <c r="BX51" s="369"/>
      <c r="BY51" s="367"/>
      <c r="BZ51" s="79"/>
      <c r="CA51" s="76"/>
      <c r="CB51" s="307"/>
      <c r="CC51" s="370"/>
      <c r="CD51" s="306"/>
      <c r="CE51" s="79"/>
      <c r="CF51" s="79"/>
      <c r="CG51" s="307"/>
      <c r="CH51" s="370"/>
      <c r="CI51" s="306"/>
      <c r="CJ51" s="202"/>
      <c r="CK51" s="202"/>
      <c r="CL51" s="202"/>
      <c r="CM51" s="203"/>
    </row>
    <row r="52" spans="1:91" ht="25.5" customHeight="1" x14ac:dyDescent="0.2">
      <c r="A52" s="324">
        <v>43</v>
      </c>
      <c r="B52" s="95">
        <v>0</v>
      </c>
      <c r="C52" s="72">
        <v>5</v>
      </c>
      <c r="D52" s="76" t="s">
        <v>288</v>
      </c>
      <c r="E52" s="77" t="s">
        <v>685</v>
      </c>
      <c r="F52" s="107"/>
      <c r="G52" s="115" t="s">
        <v>686</v>
      </c>
      <c r="H52" s="116" t="s">
        <v>616</v>
      </c>
      <c r="I52" s="142"/>
      <c r="J52" s="76"/>
      <c r="K52" s="141"/>
      <c r="L52" s="367"/>
      <c r="M52" s="307"/>
      <c r="N52" s="307"/>
      <c r="O52" s="307"/>
      <c r="P52" s="369"/>
      <c r="Q52" s="274"/>
      <c r="R52" s="76"/>
      <c r="S52" s="310"/>
      <c r="T52" s="307"/>
      <c r="U52" s="370"/>
      <c r="V52" s="306"/>
      <c r="W52" s="310"/>
      <c r="X52" s="310"/>
      <c r="Y52" s="310"/>
      <c r="Z52" s="411"/>
      <c r="AA52" s="367"/>
      <c r="AB52" s="307"/>
      <c r="AC52" s="310"/>
      <c r="AD52" s="310"/>
      <c r="AE52" s="412"/>
      <c r="AF52" s="413"/>
      <c r="AG52" s="310"/>
      <c r="AH52" s="310"/>
      <c r="AI52" s="310"/>
      <c r="AJ52" s="141"/>
      <c r="AK52" s="274"/>
      <c r="AL52" s="310"/>
      <c r="AM52" s="310"/>
      <c r="AN52" s="310"/>
      <c r="AO52" s="370"/>
      <c r="AP52" s="413"/>
      <c r="AQ52" s="307"/>
      <c r="AR52" s="307"/>
      <c r="AS52" s="79"/>
      <c r="AT52" s="178"/>
      <c r="AU52" s="367"/>
      <c r="AV52" s="307"/>
      <c r="AW52" s="307"/>
      <c r="AX52" s="307"/>
      <c r="AY52" s="370"/>
      <c r="AZ52" s="306"/>
      <c r="BA52" s="307"/>
      <c r="BB52" s="307"/>
      <c r="BC52" s="307"/>
      <c r="BD52" s="369"/>
      <c r="BE52" s="274"/>
      <c r="BF52" s="79"/>
      <c r="BG52" s="307"/>
      <c r="BH52" s="307"/>
      <c r="BI52" s="370"/>
      <c r="BJ52" s="306"/>
      <c r="BK52" s="307"/>
      <c r="BL52" s="307"/>
      <c r="BM52" s="307"/>
      <c r="BN52" s="369"/>
      <c r="BO52" s="367"/>
      <c r="BP52" s="307"/>
      <c r="BQ52" s="79"/>
      <c r="BR52" s="76"/>
      <c r="BS52" s="412"/>
      <c r="BT52" s="142"/>
      <c r="BU52" s="79"/>
      <c r="BV52" s="307"/>
      <c r="BW52" s="307"/>
      <c r="BX52" s="369"/>
      <c r="BY52" s="367"/>
      <c r="BZ52" s="79"/>
      <c r="CA52" s="76"/>
      <c r="CB52" s="307"/>
      <c r="CC52" s="370"/>
      <c r="CD52" s="306"/>
      <c r="CE52" s="79"/>
      <c r="CF52" s="79"/>
      <c r="CG52" s="307"/>
      <c r="CH52" s="370"/>
      <c r="CI52" s="306"/>
      <c r="CJ52" s="202"/>
      <c r="CK52" s="202"/>
      <c r="CL52" s="202"/>
      <c r="CM52" s="203"/>
    </row>
    <row r="53" spans="1:91" ht="25.5" customHeight="1" x14ac:dyDescent="0.2">
      <c r="A53" s="324">
        <v>44</v>
      </c>
      <c r="B53" s="95">
        <v>0</v>
      </c>
      <c r="C53" s="72">
        <v>5</v>
      </c>
      <c r="D53" s="76" t="s">
        <v>289</v>
      </c>
      <c r="E53" s="77" t="s">
        <v>687</v>
      </c>
      <c r="F53" s="107"/>
      <c r="G53" s="115" t="s">
        <v>688</v>
      </c>
      <c r="H53" s="116" t="s">
        <v>617</v>
      </c>
      <c r="I53" s="142"/>
      <c r="J53" s="76"/>
      <c r="K53" s="141"/>
      <c r="L53" s="367"/>
      <c r="M53" s="307"/>
      <c r="N53" s="307"/>
      <c r="O53" s="307"/>
      <c r="P53" s="369"/>
      <c r="Q53" s="274"/>
      <c r="R53" s="76"/>
      <c r="S53" s="310"/>
      <c r="T53" s="307"/>
      <c r="U53" s="370"/>
      <c r="V53" s="306"/>
      <c r="W53" s="310"/>
      <c r="X53" s="310"/>
      <c r="Y53" s="310"/>
      <c r="Z53" s="411"/>
      <c r="AA53" s="367"/>
      <c r="AB53" s="307"/>
      <c r="AC53" s="310"/>
      <c r="AD53" s="310"/>
      <c r="AE53" s="412"/>
      <c r="AF53" s="413"/>
      <c r="AG53" s="310"/>
      <c r="AH53" s="310"/>
      <c r="AI53" s="310"/>
      <c r="AJ53" s="141"/>
      <c r="AK53" s="274"/>
      <c r="AL53" s="310"/>
      <c r="AM53" s="310"/>
      <c r="AN53" s="310"/>
      <c r="AO53" s="370"/>
      <c r="AP53" s="413"/>
      <c r="AQ53" s="307"/>
      <c r="AR53" s="307"/>
      <c r="AS53" s="79"/>
      <c r="AT53" s="178"/>
      <c r="AU53" s="367"/>
      <c r="AV53" s="307"/>
      <c r="AW53" s="307"/>
      <c r="AX53" s="307"/>
      <c r="AY53" s="370"/>
      <c r="AZ53" s="306"/>
      <c r="BA53" s="307"/>
      <c r="BB53" s="307"/>
      <c r="BC53" s="307"/>
      <c r="BD53" s="369"/>
      <c r="BE53" s="274"/>
      <c r="BF53" s="79"/>
      <c r="BG53" s="307"/>
      <c r="BH53" s="307"/>
      <c r="BI53" s="370"/>
      <c r="BJ53" s="306"/>
      <c r="BK53" s="307"/>
      <c r="BL53" s="307"/>
      <c r="BM53" s="307"/>
      <c r="BN53" s="369"/>
      <c r="BO53" s="367"/>
      <c r="BP53" s="307"/>
      <c r="BQ53" s="79"/>
      <c r="BR53" s="76"/>
      <c r="BS53" s="412"/>
      <c r="BT53" s="142"/>
      <c r="BU53" s="79"/>
      <c r="BV53" s="307"/>
      <c r="BW53" s="307"/>
      <c r="BX53" s="369"/>
      <c r="BY53" s="367"/>
      <c r="BZ53" s="79"/>
      <c r="CA53" s="76"/>
      <c r="CB53" s="307"/>
      <c r="CC53" s="370"/>
      <c r="CD53" s="306"/>
      <c r="CE53" s="79"/>
      <c r="CF53" s="79"/>
      <c r="CG53" s="307"/>
      <c r="CH53" s="370"/>
      <c r="CI53" s="306"/>
      <c r="CJ53" s="202"/>
      <c r="CK53" s="202"/>
      <c r="CL53" s="202"/>
      <c r="CM53" s="203"/>
    </row>
    <row r="54" spans="1:91" ht="25.5" customHeight="1" thickBot="1" x14ac:dyDescent="0.25">
      <c r="A54" s="325">
        <v>45</v>
      </c>
      <c r="B54" s="125">
        <v>0</v>
      </c>
      <c r="C54" s="73" t="s">
        <v>1044</v>
      </c>
      <c r="D54" s="89" t="s">
        <v>1052</v>
      </c>
      <c r="E54" s="126" t="s">
        <v>1051</v>
      </c>
      <c r="F54" s="109"/>
      <c r="G54" s="127" t="s">
        <v>1050</v>
      </c>
      <c r="H54" s="128" t="s">
        <v>1050</v>
      </c>
      <c r="I54" s="269"/>
      <c r="J54" s="89"/>
      <c r="K54" s="270"/>
      <c r="L54" s="275"/>
      <c r="M54" s="74"/>
      <c r="N54" s="74"/>
      <c r="O54" s="74"/>
      <c r="P54" s="276"/>
      <c r="Q54" s="275"/>
      <c r="R54" s="89"/>
      <c r="S54" s="89"/>
      <c r="T54" s="74"/>
      <c r="U54" s="135"/>
      <c r="V54" s="277"/>
      <c r="W54" s="89"/>
      <c r="X54" s="89"/>
      <c r="Y54" s="89"/>
      <c r="Z54" s="270"/>
      <c r="AA54" s="275"/>
      <c r="AB54" s="74"/>
      <c r="AC54" s="89"/>
      <c r="AD54" s="89"/>
      <c r="AE54" s="268"/>
      <c r="AF54" s="269"/>
      <c r="AG54" s="89"/>
      <c r="AH54" s="89"/>
      <c r="AI54" s="89"/>
      <c r="AJ54" s="270"/>
      <c r="AK54" s="275"/>
      <c r="AL54" s="89"/>
      <c r="AM54" s="89"/>
      <c r="AN54" s="89"/>
      <c r="AO54" s="135"/>
      <c r="AP54" s="269"/>
      <c r="AQ54" s="74"/>
      <c r="AR54" s="74"/>
      <c r="AS54" s="74"/>
      <c r="AT54" s="276"/>
      <c r="AU54" s="275"/>
      <c r="AV54" s="74"/>
      <c r="AW54" s="74"/>
      <c r="AX54" s="74"/>
      <c r="AY54" s="135"/>
      <c r="AZ54" s="277"/>
      <c r="BA54" s="74"/>
      <c r="BB54" s="74"/>
      <c r="BC54" s="74"/>
      <c r="BD54" s="276"/>
      <c r="BE54" s="275"/>
      <c r="BF54" s="74"/>
      <c r="BG54" s="74"/>
      <c r="BH54" s="74"/>
      <c r="BI54" s="135"/>
      <c r="BJ54" s="277"/>
      <c r="BK54" s="74"/>
      <c r="BL54" s="74"/>
      <c r="BM54" s="74"/>
      <c r="BN54" s="276"/>
      <c r="BO54" s="275"/>
      <c r="BP54" s="74"/>
      <c r="BQ54" s="74"/>
      <c r="BR54" s="89"/>
      <c r="BS54" s="268"/>
      <c r="BT54" s="269"/>
      <c r="BU54" s="74"/>
      <c r="BV54" s="74"/>
      <c r="BW54" s="74"/>
      <c r="BX54" s="276"/>
      <c r="BY54" s="275"/>
      <c r="BZ54" s="74"/>
      <c r="CA54" s="89"/>
      <c r="CB54" s="74"/>
      <c r="CC54" s="135"/>
      <c r="CD54" s="277"/>
      <c r="CE54" s="74"/>
      <c r="CF54" s="74"/>
      <c r="CG54" s="74"/>
      <c r="CH54" s="135"/>
      <c r="CI54" s="277"/>
      <c r="CJ54" s="206"/>
      <c r="CK54" s="206"/>
      <c r="CL54" s="206"/>
      <c r="CM54" s="207"/>
    </row>
    <row r="55" spans="1:91" ht="25.5" customHeight="1" x14ac:dyDescent="0.2">
      <c r="A55" s="318">
        <v>46</v>
      </c>
      <c r="B55" s="129">
        <v>0</v>
      </c>
      <c r="C55" s="75">
        <v>5</v>
      </c>
      <c r="D55" s="130" t="s">
        <v>290</v>
      </c>
      <c r="E55" s="93" t="s">
        <v>689</v>
      </c>
      <c r="F55" s="112"/>
      <c r="G55" s="131" t="s">
        <v>690</v>
      </c>
      <c r="H55" s="132" t="s">
        <v>618</v>
      </c>
      <c r="I55" s="259"/>
      <c r="J55" s="130"/>
      <c r="K55" s="260"/>
      <c r="L55" s="308"/>
      <c r="M55" s="304"/>
      <c r="N55" s="304"/>
      <c r="O55" s="304"/>
      <c r="P55" s="359"/>
      <c r="Q55" s="272"/>
      <c r="R55" s="130"/>
      <c r="S55" s="418"/>
      <c r="T55" s="304"/>
      <c r="U55" s="361"/>
      <c r="V55" s="362"/>
      <c r="W55" s="418"/>
      <c r="X55" s="418"/>
      <c r="Y55" s="418"/>
      <c r="Z55" s="419"/>
      <c r="AA55" s="308"/>
      <c r="AB55" s="304"/>
      <c r="AC55" s="418"/>
      <c r="AD55" s="418"/>
      <c r="AE55" s="420"/>
      <c r="AF55" s="421"/>
      <c r="AG55" s="418"/>
      <c r="AH55" s="418"/>
      <c r="AI55" s="418"/>
      <c r="AJ55" s="260"/>
      <c r="AK55" s="272"/>
      <c r="AL55" s="418"/>
      <c r="AM55" s="418"/>
      <c r="AN55" s="418"/>
      <c r="AO55" s="361"/>
      <c r="AP55" s="421"/>
      <c r="AQ55" s="304"/>
      <c r="AR55" s="304"/>
      <c r="AS55" s="92"/>
      <c r="AT55" s="273"/>
      <c r="AU55" s="308"/>
      <c r="AV55" s="304"/>
      <c r="AW55" s="304"/>
      <c r="AX55" s="304"/>
      <c r="AY55" s="361"/>
      <c r="AZ55" s="362"/>
      <c r="BA55" s="304"/>
      <c r="BB55" s="304"/>
      <c r="BC55" s="304"/>
      <c r="BD55" s="359"/>
      <c r="BE55" s="272"/>
      <c r="BF55" s="92"/>
      <c r="BG55" s="304"/>
      <c r="BH55" s="304"/>
      <c r="BI55" s="361"/>
      <c r="BJ55" s="362"/>
      <c r="BK55" s="304"/>
      <c r="BL55" s="304"/>
      <c r="BM55" s="304"/>
      <c r="BN55" s="359"/>
      <c r="BO55" s="308"/>
      <c r="BP55" s="304"/>
      <c r="BQ55" s="92"/>
      <c r="BR55" s="130"/>
      <c r="BS55" s="420"/>
      <c r="BT55" s="259"/>
      <c r="BU55" s="92"/>
      <c r="BV55" s="304"/>
      <c r="BW55" s="304"/>
      <c r="BX55" s="359"/>
      <c r="BY55" s="308"/>
      <c r="BZ55" s="92"/>
      <c r="CA55" s="130"/>
      <c r="CB55" s="304"/>
      <c r="CC55" s="361"/>
      <c r="CD55" s="362"/>
      <c r="CE55" s="92"/>
      <c r="CF55" s="92"/>
      <c r="CG55" s="304"/>
      <c r="CH55" s="361"/>
      <c r="CI55" s="362"/>
      <c r="CJ55" s="210"/>
      <c r="CK55" s="210"/>
      <c r="CL55" s="210"/>
      <c r="CM55" s="211"/>
    </row>
    <row r="56" spans="1:91" ht="25.5" customHeight="1" x14ac:dyDescent="0.2">
      <c r="A56" s="324">
        <v>47</v>
      </c>
      <c r="B56" s="95">
        <v>0</v>
      </c>
      <c r="C56" s="72">
        <v>5</v>
      </c>
      <c r="D56" s="76" t="s">
        <v>291</v>
      </c>
      <c r="E56" s="77" t="s">
        <v>691</v>
      </c>
      <c r="F56" s="107"/>
      <c r="G56" s="115" t="s">
        <v>692</v>
      </c>
      <c r="H56" s="116" t="s">
        <v>619</v>
      </c>
      <c r="I56" s="142"/>
      <c r="J56" s="76"/>
      <c r="K56" s="141"/>
      <c r="L56" s="367"/>
      <c r="M56" s="307"/>
      <c r="N56" s="307"/>
      <c r="O56" s="307"/>
      <c r="P56" s="369"/>
      <c r="Q56" s="274"/>
      <c r="R56" s="76"/>
      <c r="S56" s="310"/>
      <c r="T56" s="307"/>
      <c r="U56" s="370"/>
      <c r="V56" s="306"/>
      <c r="W56" s="310"/>
      <c r="X56" s="310"/>
      <c r="Y56" s="310"/>
      <c r="Z56" s="411"/>
      <c r="AA56" s="367"/>
      <c r="AB56" s="307"/>
      <c r="AC56" s="310"/>
      <c r="AD56" s="310"/>
      <c r="AE56" s="412"/>
      <c r="AF56" s="413"/>
      <c r="AG56" s="310"/>
      <c r="AH56" s="310"/>
      <c r="AI56" s="310"/>
      <c r="AJ56" s="141"/>
      <c r="AK56" s="274"/>
      <c r="AL56" s="310"/>
      <c r="AM56" s="310"/>
      <c r="AN56" s="310"/>
      <c r="AO56" s="370"/>
      <c r="AP56" s="413"/>
      <c r="AQ56" s="307"/>
      <c r="AR56" s="307"/>
      <c r="AS56" s="79"/>
      <c r="AT56" s="178"/>
      <c r="AU56" s="367"/>
      <c r="AV56" s="307"/>
      <c r="AW56" s="307"/>
      <c r="AX56" s="307"/>
      <c r="AY56" s="370"/>
      <c r="AZ56" s="306"/>
      <c r="BA56" s="307"/>
      <c r="BB56" s="307"/>
      <c r="BC56" s="307"/>
      <c r="BD56" s="369"/>
      <c r="BE56" s="274"/>
      <c r="BF56" s="79"/>
      <c r="BG56" s="307"/>
      <c r="BH56" s="307"/>
      <c r="BI56" s="370"/>
      <c r="BJ56" s="306"/>
      <c r="BK56" s="307"/>
      <c r="BL56" s="307"/>
      <c r="BM56" s="307"/>
      <c r="BN56" s="369"/>
      <c r="BO56" s="367"/>
      <c r="BP56" s="307"/>
      <c r="BQ56" s="79"/>
      <c r="BR56" s="76"/>
      <c r="BS56" s="412"/>
      <c r="BT56" s="142"/>
      <c r="BU56" s="79"/>
      <c r="BV56" s="307"/>
      <c r="BW56" s="307"/>
      <c r="BX56" s="369"/>
      <c r="BY56" s="367"/>
      <c r="BZ56" s="79"/>
      <c r="CA56" s="76"/>
      <c r="CB56" s="307"/>
      <c r="CC56" s="370"/>
      <c r="CD56" s="306"/>
      <c r="CE56" s="79"/>
      <c r="CF56" s="79"/>
      <c r="CG56" s="307"/>
      <c r="CH56" s="370"/>
      <c r="CI56" s="306"/>
      <c r="CJ56" s="202"/>
      <c r="CK56" s="202"/>
      <c r="CL56" s="202"/>
      <c r="CM56" s="203"/>
    </row>
    <row r="57" spans="1:91" ht="25.5" customHeight="1" x14ac:dyDescent="0.2">
      <c r="A57" s="324">
        <v>48</v>
      </c>
      <c r="B57" s="95">
        <v>0</v>
      </c>
      <c r="C57" s="72">
        <v>5</v>
      </c>
      <c r="D57" s="76" t="s">
        <v>955</v>
      </c>
      <c r="E57" s="77" t="s">
        <v>956</v>
      </c>
      <c r="F57" s="295"/>
      <c r="G57" s="115" t="s">
        <v>957</v>
      </c>
      <c r="H57" s="116" t="s">
        <v>958</v>
      </c>
      <c r="I57" s="142"/>
      <c r="J57" s="76"/>
      <c r="K57" s="141"/>
      <c r="L57" s="367"/>
      <c r="M57" s="307"/>
      <c r="N57" s="307"/>
      <c r="O57" s="307"/>
      <c r="P57" s="369"/>
      <c r="Q57" s="274"/>
      <c r="R57" s="76"/>
      <c r="S57" s="310"/>
      <c r="T57" s="307"/>
      <c r="U57" s="370"/>
      <c r="V57" s="306"/>
      <c r="W57" s="310"/>
      <c r="X57" s="310"/>
      <c r="Y57" s="310"/>
      <c r="Z57" s="411"/>
      <c r="AA57" s="367"/>
      <c r="AB57" s="307"/>
      <c r="AC57" s="310"/>
      <c r="AD57" s="310"/>
      <c r="AE57" s="412"/>
      <c r="AF57" s="413"/>
      <c r="AG57" s="310"/>
      <c r="AH57" s="310"/>
      <c r="AI57" s="310"/>
      <c r="AJ57" s="141"/>
      <c r="AK57" s="140"/>
      <c r="AL57" s="307"/>
      <c r="AM57" s="310"/>
      <c r="AN57" s="310"/>
      <c r="AO57" s="412"/>
      <c r="AP57" s="306"/>
      <c r="AQ57" s="310"/>
      <c r="AR57" s="307"/>
      <c r="AS57" s="79"/>
      <c r="AT57" s="178"/>
      <c r="AU57" s="367"/>
      <c r="AV57" s="307"/>
      <c r="AW57" s="307"/>
      <c r="AX57" s="307"/>
      <c r="AY57" s="370"/>
      <c r="AZ57" s="306"/>
      <c r="BA57" s="307"/>
      <c r="BB57" s="307"/>
      <c r="BC57" s="307"/>
      <c r="BD57" s="369"/>
      <c r="BE57" s="274"/>
      <c r="BF57" s="79"/>
      <c r="BG57" s="307"/>
      <c r="BH57" s="307"/>
      <c r="BI57" s="370"/>
      <c r="BJ57" s="306"/>
      <c r="BK57" s="307"/>
      <c r="BL57" s="307"/>
      <c r="BM57" s="307"/>
      <c r="BN57" s="369"/>
      <c r="BO57" s="367"/>
      <c r="BP57" s="307"/>
      <c r="BQ57" s="79"/>
      <c r="BR57" s="79"/>
      <c r="BS57" s="412"/>
      <c r="BT57" s="142"/>
      <c r="BU57" s="76"/>
      <c r="BV57" s="307"/>
      <c r="BW57" s="307"/>
      <c r="BX57" s="369"/>
      <c r="BY57" s="367"/>
      <c r="BZ57" s="79"/>
      <c r="CA57" s="79"/>
      <c r="CB57" s="310"/>
      <c r="CC57" s="370"/>
      <c r="CD57" s="306"/>
      <c r="CE57" s="79"/>
      <c r="CF57" s="79"/>
      <c r="CG57" s="307"/>
      <c r="CH57" s="370"/>
      <c r="CI57" s="306"/>
      <c r="CJ57" s="202"/>
      <c r="CK57" s="202"/>
      <c r="CL57" s="202"/>
      <c r="CM57" s="203"/>
    </row>
    <row r="58" spans="1:91" ht="25.5" customHeight="1" x14ac:dyDescent="0.2">
      <c r="A58" s="324">
        <v>49</v>
      </c>
      <c r="B58" s="95">
        <v>0</v>
      </c>
      <c r="C58" s="72">
        <v>5</v>
      </c>
      <c r="D58" s="76" t="s">
        <v>959</v>
      </c>
      <c r="E58" s="77" t="s">
        <v>681</v>
      </c>
      <c r="F58" s="107"/>
      <c r="G58" s="115" t="s">
        <v>960</v>
      </c>
      <c r="H58" s="116" t="s">
        <v>961</v>
      </c>
      <c r="I58" s="142"/>
      <c r="J58" s="76"/>
      <c r="K58" s="141"/>
      <c r="L58" s="367"/>
      <c r="M58" s="307"/>
      <c r="N58" s="307"/>
      <c r="O58" s="307"/>
      <c r="P58" s="369"/>
      <c r="Q58" s="274"/>
      <c r="R58" s="76"/>
      <c r="S58" s="310"/>
      <c r="T58" s="307"/>
      <c r="U58" s="370"/>
      <c r="V58" s="306"/>
      <c r="W58" s="310"/>
      <c r="X58" s="310"/>
      <c r="Y58" s="310"/>
      <c r="Z58" s="411"/>
      <c r="AA58" s="367"/>
      <c r="AB58" s="307"/>
      <c r="AC58" s="310"/>
      <c r="AD58" s="310"/>
      <c r="AE58" s="412"/>
      <c r="AF58" s="413"/>
      <c r="AG58" s="310"/>
      <c r="AH58" s="310"/>
      <c r="AI58" s="310"/>
      <c r="AJ58" s="141"/>
      <c r="AK58" s="140"/>
      <c r="AL58" s="307"/>
      <c r="AM58" s="310"/>
      <c r="AN58" s="310"/>
      <c r="AO58" s="412"/>
      <c r="AP58" s="306"/>
      <c r="AQ58" s="310"/>
      <c r="AR58" s="307"/>
      <c r="AS58" s="79"/>
      <c r="AT58" s="178"/>
      <c r="AU58" s="367"/>
      <c r="AV58" s="307"/>
      <c r="AW58" s="307"/>
      <c r="AX58" s="307"/>
      <c r="AY58" s="370"/>
      <c r="AZ58" s="306"/>
      <c r="BA58" s="307"/>
      <c r="BB58" s="307"/>
      <c r="BC58" s="307"/>
      <c r="BD58" s="369"/>
      <c r="BE58" s="274"/>
      <c r="BF58" s="79"/>
      <c r="BG58" s="307"/>
      <c r="BH58" s="307"/>
      <c r="BI58" s="370"/>
      <c r="BJ58" s="306"/>
      <c r="BK58" s="307"/>
      <c r="BL58" s="307"/>
      <c r="BM58" s="307"/>
      <c r="BN58" s="369"/>
      <c r="BO58" s="367"/>
      <c r="BP58" s="307"/>
      <c r="BQ58" s="79"/>
      <c r="BR58" s="79"/>
      <c r="BS58" s="412"/>
      <c r="BT58" s="142"/>
      <c r="BU58" s="76"/>
      <c r="BV58" s="307"/>
      <c r="BW58" s="307"/>
      <c r="BX58" s="369"/>
      <c r="BY58" s="367"/>
      <c r="BZ58" s="79"/>
      <c r="CA58" s="79"/>
      <c r="CB58" s="310"/>
      <c r="CC58" s="370"/>
      <c r="CD58" s="306"/>
      <c r="CE58" s="79"/>
      <c r="CF58" s="79"/>
      <c r="CG58" s="307"/>
      <c r="CH58" s="370"/>
      <c r="CI58" s="306"/>
      <c r="CJ58" s="202"/>
      <c r="CK58" s="202"/>
      <c r="CL58" s="202"/>
      <c r="CM58" s="203"/>
    </row>
    <row r="59" spans="1:91" ht="25.5" customHeight="1" thickBot="1" x14ac:dyDescent="0.25">
      <c r="A59" s="325">
        <v>50</v>
      </c>
      <c r="B59" s="125"/>
      <c r="C59" s="73"/>
      <c r="D59" s="89"/>
      <c r="E59" s="126"/>
      <c r="F59" s="109"/>
      <c r="G59" s="127"/>
      <c r="H59" s="128"/>
      <c r="I59" s="269"/>
      <c r="J59" s="89"/>
      <c r="K59" s="270"/>
      <c r="L59" s="275"/>
      <c r="M59" s="74"/>
      <c r="N59" s="74"/>
      <c r="O59" s="74"/>
      <c r="P59" s="276"/>
      <c r="Q59" s="275"/>
      <c r="R59" s="89"/>
      <c r="S59" s="89"/>
      <c r="T59" s="74"/>
      <c r="U59" s="135"/>
      <c r="V59" s="277"/>
      <c r="W59" s="89"/>
      <c r="X59" s="89"/>
      <c r="Y59" s="89"/>
      <c r="Z59" s="270"/>
      <c r="AA59" s="275"/>
      <c r="AB59" s="74"/>
      <c r="AC59" s="89"/>
      <c r="AD59" s="89"/>
      <c r="AE59" s="268"/>
      <c r="AF59" s="269"/>
      <c r="AG59" s="89"/>
      <c r="AH59" s="89"/>
      <c r="AI59" s="89"/>
      <c r="AJ59" s="270"/>
      <c r="AK59" s="271"/>
      <c r="AL59" s="74"/>
      <c r="AM59" s="89"/>
      <c r="AN59" s="89"/>
      <c r="AO59" s="268"/>
      <c r="AP59" s="277"/>
      <c r="AQ59" s="89"/>
      <c r="AR59" s="74"/>
      <c r="AS59" s="74"/>
      <c r="AT59" s="276"/>
      <c r="AU59" s="275"/>
      <c r="AV59" s="74"/>
      <c r="AW59" s="74"/>
      <c r="AX59" s="74"/>
      <c r="AY59" s="135"/>
      <c r="AZ59" s="277"/>
      <c r="BA59" s="74"/>
      <c r="BB59" s="74"/>
      <c r="BC59" s="74"/>
      <c r="BD59" s="276"/>
      <c r="BE59" s="275"/>
      <c r="BF59" s="74"/>
      <c r="BG59" s="74"/>
      <c r="BH59" s="74"/>
      <c r="BI59" s="135"/>
      <c r="BJ59" s="277"/>
      <c r="BK59" s="74"/>
      <c r="BL59" s="74"/>
      <c r="BM59" s="74"/>
      <c r="BN59" s="276"/>
      <c r="BO59" s="275"/>
      <c r="BP59" s="74"/>
      <c r="BQ59" s="74"/>
      <c r="BR59" s="74"/>
      <c r="BS59" s="268"/>
      <c r="BT59" s="269"/>
      <c r="BU59" s="89"/>
      <c r="BV59" s="74"/>
      <c r="BW59" s="74"/>
      <c r="BX59" s="276"/>
      <c r="BY59" s="275"/>
      <c r="BZ59" s="74"/>
      <c r="CA59" s="74"/>
      <c r="CB59" s="89"/>
      <c r="CC59" s="135"/>
      <c r="CD59" s="277"/>
      <c r="CE59" s="74"/>
      <c r="CF59" s="74"/>
      <c r="CG59" s="74"/>
      <c r="CH59" s="135"/>
      <c r="CI59" s="277"/>
      <c r="CJ59" s="206"/>
      <c r="CK59" s="206"/>
      <c r="CL59" s="206"/>
      <c r="CM59" s="207"/>
    </row>
    <row r="60" spans="1:91" ht="15" customHeight="1" thickBot="1" x14ac:dyDescent="0.25">
      <c r="A60" s="430"/>
      <c r="B60" s="222"/>
      <c r="C60" s="315"/>
      <c r="D60" s="221"/>
      <c r="F60" s="431"/>
      <c r="G60" s="431"/>
      <c r="H60" s="431"/>
      <c r="I60" s="431"/>
      <c r="J60" s="431"/>
      <c r="K60" s="431"/>
      <c r="L60" s="431"/>
      <c r="M60" s="431"/>
      <c r="N60" s="431"/>
      <c r="O60" s="431"/>
      <c r="P60" s="220"/>
      <c r="Q60" s="220"/>
      <c r="R60" s="220"/>
      <c r="S60" s="220"/>
      <c r="T60" s="220"/>
      <c r="U60" s="220"/>
      <c r="V60" s="220"/>
      <c r="W60" s="220"/>
      <c r="X60" s="220"/>
      <c r="Y60" s="220"/>
      <c r="Z60" s="220"/>
      <c r="AA60" s="220"/>
      <c r="AB60" s="220"/>
      <c r="AC60" s="220"/>
      <c r="AD60" s="220"/>
      <c r="AE60" s="220"/>
      <c r="AF60" s="220"/>
      <c r="AG60" s="220"/>
      <c r="AH60" s="220"/>
      <c r="AI60" s="220"/>
      <c r="AJ60" s="220"/>
      <c r="AK60" s="220"/>
      <c r="AL60" s="220"/>
      <c r="AM60" s="220"/>
      <c r="AN60" s="220"/>
      <c r="AO60" s="220"/>
      <c r="AP60" s="220"/>
      <c r="AQ60" s="220"/>
      <c r="AR60" s="220"/>
      <c r="AS60" s="220"/>
      <c r="AT60" s="220"/>
      <c r="AU60" s="220"/>
      <c r="AV60" s="220"/>
      <c r="AW60" s="220"/>
      <c r="AX60" s="220"/>
      <c r="AY60" s="220"/>
      <c r="AZ60" s="220"/>
      <c r="BA60" s="220"/>
      <c r="BB60" s="220"/>
      <c r="BC60" s="220"/>
      <c r="BD60" s="220"/>
      <c r="BE60" s="220"/>
      <c r="BF60" s="220"/>
      <c r="BG60" s="220"/>
      <c r="BH60" s="220"/>
      <c r="BI60" s="220"/>
      <c r="BJ60" s="220"/>
      <c r="BK60" s="220"/>
      <c r="BL60" s="220"/>
      <c r="BM60" s="220"/>
      <c r="BN60" s="220"/>
      <c r="BO60" s="220"/>
      <c r="BP60" s="220"/>
      <c r="BQ60" s="220"/>
      <c r="BR60" s="220"/>
      <c r="BS60" s="220"/>
      <c r="BT60" s="220"/>
      <c r="BU60" s="220"/>
      <c r="BV60" s="220"/>
      <c r="BW60" s="220"/>
      <c r="BX60" s="220"/>
      <c r="BY60" s="220"/>
      <c r="BZ60" s="220"/>
      <c r="CA60" s="220"/>
      <c r="CB60" s="220"/>
      <c r="CC60" s="220"/>
      <c r="CD60" s="220"/>
      <c r="CE60" s="220"/>
      <c r="CF60" s="220"/>
      <c r="CG60" s="231"/>
      <c r="CH60" s="231"/>
      <c r="CI60" s="231"/>
      <c r="CJ60" s="231"/>
      <c r="CK60" s="231"/>
      <c r="CL60" s="231"/>
      <c r="CM60" s="432"/>
    </row>
    <row r="61" spans="1:91" ht="25.5" customHeight="1" thickBot="1" x14ac:dyDescent="0.25">
      <c r="A61" s="682" t="s">
        <v>19</v>
      </c>
      <c r="B61" s="683"/>
      <c r="C61" s="684"/>
      <c r="D61" s="433"/>
      <c r="E61" s="685" t="s">
        <v>16</v>
      </c>
      <c r="F61" s="683"/>
      <c r="G61" s="684"/>
      <c r="H61" s="434" t="s">
        <v>7</v>
      </c>
      <c r="I61" s="435" t="s">
        <v>6</v>
      </c>
      <c r="J61" s="435" t="s">
        <v>1088</v>
      </c>
      <c r="K61" s="435" t="s">
        <v>15</v>
      </c>
      <c r="L61" s="672"/>
      <c r="M61" s="686"/>
      <c r="N61" s="686"/>
      <c r="O61" s="686"/>
      <c r="P61" s="686"/>
      <c r="Q61" s="686"/>
      <c r="R61" s="686"/>
      <c r="S61" s="686"/>
      <c r="T61" s="686"/>
      <c r="U61" s="686"/>
      <c r="V61" s="686"/>
      <c r="W61" s="686"/>
      <c r="X61" s="686"/>
      <c r="Y61" s="686"/>
      <c r="Z61" s="686"/>
      <c r="AA61" s="686"/>
      <c r="AB61" s="686"/>
      <c r="AC61" s="686"/>
      <c r="AD61" s="686"/>
      <c r="AE61" s="686"/>
      <c r="AF61" s="686"/>
      <c r="AG61" s="686"/>
      <c r="AH61" s="686"/>
      <c r="AI61" s="686"/>
      <c r="AJ61" s="686"/>
      <c r="AK61" s="686"/>
      <c r="AL61" s="686"/>
      <c r="AM61" s="686"/>
      <c r="AN61" s="686"/>
      <c r="AO61" s="686"/>
      <c r="AP61" s="686"/>
      <c r="AQ61" s="686"/>
      <c r="AR61" s="686"/>
      <c r="AS61" s="686"/>
      <c r="AT61" s="686"/>
      <c r="AU61" s="686"/>
      <c r="AV61" s="686"/>
      <c r="AW61" s="686"/>
      <c r="AX61" s="686"/>
      <c r="AY61" s="686"/>
      <c r="AZ61" s="686"/>
      <c r="BA61" s="686"/>
      <c r="BB61" s="686"/>
      <c r="BC61" s="686"/>
      <c r="BD61" s="686"/>
      <c r="BE61" s="687"/>
      <c r="BF61" s="676"/>
      <c r="BG61" s="676"/>
      <c r="BH61" s="676"/>
      <c r="BI61" s="676"/>
      <c r="BJ61" s="676"/>
      <c r="BK61" s="676"/>
      <c r="BL61" s="676"/>
      <c r="BM61" s="676"/>
      <c r="BN61" s="676"/>
      <c r="BO61" s="676"/>
      <c r="BP61" s="676"/>
      <c r="BQ61" s="676"/>
      <c r="BR61" s="676"/>
      <c r="BS61" s="676"/>
      <c r="BT61" s="676"/>
      <c r="BU61" s="677"/>
      <c r="BV61" s="672"/>
      <c r="BW61" s="668"/>
      <c r="BX61" s="668"/>
      <c r="BY61" s="668"/>
      <c r="BZ61" s="668"/>
      <c r="CA61" s="668"/>
      <c r="CB61" s="668"/>
      <c r="CC61" s="668"/>
      <c r="CD61" s="668"/>
      <c r="CE61" s="668"/>
      <c r="CF61" s="668"/>
      <c r="CG61" s="668"/>
      <c r="CH61" s="668"/>
      <c r="CI61" s="668"/>
      <c r="CJ61" s="668"/>
      <c r="CK61" s="668"/>
      <c r="CL61" s="668"/>
      <c r="CM61" s="669"/>
    </row>
    <row r="62" spans="1:91" ht="25.5" customHeight="1" x14ac:dyDescent="0.2">
      <c r="A62" s="674">
        <f>IF('Title Page'!K22&lt;&gt;"",'Title Page'!K22,"")</f>
        <v>0</v>
      </c>
      <c r="B62" s="675"/>
      <c r="C62" s="675"/>
      <c r="D62" s="130"/>
      <c r="E62" s="656" t="str">
        <f>IF('Title Page'!L22&lt;&gt;"",'Title Page'!L22,"")</f>
        <v>Issued For Construction, Concise Job # PEM029-001</v>
      </c>
      <c r="F62" s="656"/>
      <c r="G62" s="656"/>
      <c r="H62" s="436">
        <f>IF('Title Page'!R22&lt;&gt;"",'Title Page'!R22,"")</f>
        <v>41520</v>
      </c>
      <c r="I62" s="436" t="str">
        <f>IF('Title Page'!S22&lt;&gt;"",'Title Page'!S22,"")</f>
        <v>MHS</v>
      </c>
      <c r="J62" s="436" t="str">
        <f>IF('Title Page'!T22&lt;&gt;"",'Title Page'!T22,"")</f>
        <v>TJG</v>
      </c>
      <c r="K62" s="437" t="str">
        <f>IF('Title Page'!V22&lt;&gt;"",'Title Page'!V22,"")</f>
        <v/>
      </c>
      <c r="L62" s="688"/>
      <c r="M62" s="689"/>
      <c r="N62" s="689"/>
      <c r="O62" s="689"/>
      <c r="P62" s="689"/>
      <c r="Q62" s="689"/>
      <c r="R62" s="689"/>
      <c r="S62" s="689"/>
      <c r="T62" s="689"/>
      <c r="U62" s="689"/>
      <c r="V62" s="689"/>
      <c r="W62" s="689"/>
      <c r="X62" s="689"/>
      <c r="Y62" s="689"/>
      <c r="Z62" s="689"/>
      <c r="AA62" s="689"/>
      <c r="AB62" s="689"/>
      <c r="AC62" s="689"/>
      <c r="AD62" s="689"/>
      <c r="AE62" s="689"/>
      <c r="AF62" s="689"/>
      <c r="AG62" s="689"/>
      <c r="AH62" s="689"/>
      <c r="AI62" s="689"/>
      <c r="AJ62" s="689"/>
      <c r="AK62" s="689"/>
      <c r="AL62" s="689"/>
      <c r="AM62" s="689"/>
      <c r="AN62" s="689"/>
      <c r="AO62" s="689"/>
      <c r="AP62" s="689"/>
      <c r="AQ62" s="689"/>
      <c r="AR62" s="689"/>
      <c r="AS62" s="689"/>
      <c r="AT62" s="689"/>
      <c r="AU62" s="689"/>
      <c r="AV62" s="689"/>
      <c r="AW62" s="689"/>
      <c r="AX62" s="689"/>
      <c r="AY62" s="689"/>
      <c r="AZ62" s="689"/>
      <c r="BA62" s="689"/>
      <c r="BB62" s="689"/>
      <c r="BC62" s="689"/>
      <c r="BD62" s="689"/>
      <c r="BE62" s="690"/>
      <c r="BF62" s="678"/>
      <c r="BG62" s="678"/>
      <c r="BH62" s="678"/>
      <c r="BI62" s="678"/>
      <c r="BJ62" s="678"/>
      <c r="BK62" s="678"/>
      <c r="BL62" s="678"/>
      <c r="BM62" s="678"/>
      <c r="BN62" s="678"/>
      <c r="BO62" s="678"/>
      <c r="BP62" s="678"/>
      <c r="BQ62" s="678"/>
      <c r="BR62" s="678"/>
      <c r="BS62" s="678"/>
      <c r="BT62" s="678"/>
      <c r="BU62" s="679"/>
      <c r="BV62" s="673"/>
      <c r="BW62" s="670"/>
      <c r="BX62" s="670"/>
      <c r="BY62" s="670"/>
      <c r="BZ62" s="670"/>
      <c r="CA62" s="670"/>
      <c r="CB62" s="670"/>
      <c r="CC62" s="670"/>
      <c r="CD62" s="670"/>
      <c r="CE62" s="670"/>
      <c r="CF62" s="670"/>
      <c r="CG62" s="670"/>
      <c r="CH62" s="670"/>
      <c r="CI62" s="670"/>
      <c r="CJ62" s="670"/>
      <c r="CK62" s="670"/>
      <c r="CL62" s="670"/>
      <c r="CM62" s="671"/>
    </row>
    <row r="63" spans="1:91" ht="25.5" customHeight="1" thickBot="1" x14ac:dyDescent="0.25">
      <c r="A63" s="654" t="str">
        <f>IF('Title Page'!K23&lt;&gt;"",'Title Page'!K23,"")</f>
        <v/>
      </c>
      <c r="B63" s="655"/>
      <c r="C63" s="655"/>
      <c r="D63" s="130"/>
      <c r="E63" s="656" t="str">
        <f>IF('Title Page'!L23&lt;&gt;"",'Title Page'!L23,"")</f>
        <v/>
      </c>
      <c r="F63" s="656"/>
      <c r="G63" s="656"/>
      <c r="H63" s="436" t="str">
        <f>IF('Title Page'!R23&lt;&gt;"",'Title Page'!R23,"")</f>
        <v/>
      </c>
      <c r="I63" s="436" t="str">
        <f>IF('Title Page'!S23&lt;&gt;"",'Title Page'!S23,"")</f>
        <v/>
      </c>
      <c r="J63" s="436" t="str">
        <f>IF('Title Page'!T23&lt;&gt;"",'Title Page'!T23,"")</f>
        <v/>
      </c>
      <c r="K63" s="437" t="str">
        <f>IF('Title Page'!V23&lt;&gt;"",'Title Page'!V23,"")</f>
        <v/>
      </c>
      <c r="L63" s="688"/>
      <c r="M63" s="689"/>
      <c r="N63" s="689"/>
      <c r="O63" s="689"/>
      <c r="P63" s="689"/>
      <c r="Q63" s="689"/>
      <c r="R63" s="689"/>
      <c r="S63" s="689"/>
      <c r="T63" s="689"/>
      <c r="U63" s="689"/>
      <c r="V63" s="689"/>
      <c r="W63" s="689"/>
      <c r="X63" s="689"/>
      <c r="Y63" s="689"/>
      <c r="Z63" s="689"/>
      <c r="AA63" s="689"/>
      <c r="AB63" s="689"/>
      <c r="AC63" s="689"/>
      <c r="AD63" s="689"/>
      <c r="AE63" s="689"/>
      <c r="AF63" s="689"/>
      <c r="AG63" s="689"/>
      <c r="AH63" s="689"/>
      <c r="AI63" s="689"/>
      <c r="AJ63" s="689"/>
      <c r="AK63" s="689"/>
      <c r="AL63" s="689"/>
      <c r="AM63" s="689"/>
      <c r="AN63" s="689"/>
      <c r="AO63" s="689"/>
      <c r="AP63" s="689"/>
      <c r="AQ63" s="689"/>
      <c r="AR63" s="689"/>
      <c r="AS63" s="689"/>
      <c r="AT63" s="689"/>
      <c r="AU63" s="689"/>
      <c r="AV63" s="689"/>
      <c r="AW63" s="689"/>
      <c r="AX63" s="689"/>
      <c r="AY63" s="689"/>
      <c r="AZ63" s="689"/>
      <c r="BA63" s="689"/>
      <c r="BB63" s="689"/>
      <c r="BC63" s="689"/>
      <c r="BD63" s="689"/>
      <c r="BE63" s="690"/>
      <c r="BF63" s="680"/>
      <c r="BG63" s="680"/>
      <c r="BH63" s="680"/>
      <c r="BI63" s="680"/>
      <c r="BJ63" s="680"/>
      <c r="BK63" s="680"/>
      <c r="BL63" s="680"/>
      <c r="BM63" s="680"/>
      <c r="BN63" s="680"/>
      <c r="BO63" s="680"/>
      <c r="BP63" s="680"/>
      <c r="BQ63" s="680"/>
      <c r="BR63" s="680"/>
      <c r="BS63" s="680"/>
      <c r="BT63" s="680"/>
      <c r="BU63" s="681"/>
      <c r="BV63" s="666"/>
      <c r="BW63" s="663"/>
      <c r="BX63" s="663"/>
      <c r="BY63" s="663"/>
      <c r="BZ63" s="663"/>
      <c r="CA63" s="663"/>
      <c r="CB63" s="663"/>
      <c r="CC63" s="663"/>
      <c r="CD63" s="663"/>
      <c r="CE63" s="663"/>
      <c r="CF63" s="663"/>
      <c r="CG63" s="663"/>
      <c r="CH63" s="663"/>
      <c r="CI63" s="663"/>
      <c r="CJ63" s="663"/>
      <c r="CK63" s="663"/>
      <c r="CL63" s="663"/>
      <c r="CM63" s="653"/>
    </row>
    <row r="64" spans="1:91" ht="27" customHeight="1" x14ac:dyDescent="0.2">
      <c r="A64" s="654" t="str">
        <f>IF('Title Page'!K24&lt;&gt;"",'Title Page'!K24,"")</f>
        <v/>
      </c>
      <c r="B64" s="655"/>
      <c r="C64" s="655"/>
      <c r="D64" s="130"/>
      <c r="E64" s="656" t="str">
        <f>IF('Title Page'!L24&lt;&gt;"",'Title Page'!L24,"")</f>
        <v/>
      </c>
      <c r="F64" s="656"/>
      <c r="G64" s="656"/>
      <c r="H64" s="436" t="str">
        <f>IF('Title Page'!R24&lt;&gt;"",'Title Page'!R24,"")</f>
        <v/>
      </c>
      <c r="I64" s="436" t="str">
        <f>IF('Title Page'!S24&lt;&gt;"",'Title Page'!S24,"")</f>
        <v/>
      </c>
      <c r="J64" s="436" t="str">
        <f>IF('Title Page'!T24&lt;&gt;"",'Title Page'!T24,"")</f>
        <v/>
      </c>
      <c r="K64" s="437" t="str">
        <f>IF('Title Page'!V24&lt;&gt;"",'Title Page'!V24,"")</f>
        <v/>
      </c>
      <c r="L64" s="688"/>
      <c r="M64" s="689"/>
      <c r="N64" s="689"/>
      <c r="O64" s="689"/>
      <c r="P64" s="689"/>
      <c r="Q64" s="689"/>
      <c r="R64" s="689"/>
      <c r="S64" s="689"/>
      <c r="T64" s="689"/>
      <c r="U64" s="689"/>
      <c r="V64" s="689"/>
      <c r="W64" s="689"/>
      <c r="X64" s="689"/>
      <c r="Y64" s="689"/>
      <c r="Z64" s="689"/>
      <c r="AA64" s="689"/>
      <c r="AB64" s="689"/>
      <c r="AC64" s="689"/>
      <c r="AD64" s="689"/>
      <c r="AE64" s="689"/>
      <c r="AF64" s="689"/>
      <c r="AG64" s="689"/>
      <c r="AH64" s="689"/>
      <c r="AI64" s="689"/>
      <c r="AJ64" s="689"/>
      <c r="AK64" s="689"/>
      <c r="AL64" s="689"/>
      <c r="AM64" s="689"/>
      <c r="AN64" s="689"/>
      <c r="AO64" s="689"/>
      <c r="AP64" s="689"/>
      <c r="AQ64" s="689"/>
      <c r="AR64" s="689"/>
      <c r="AS64" s="689"/>
      <c r="AT64" s="689"/>
      <c r="AU64" s="689"/>
      <c r="AV64" s="689"/>
      <c r="AW64" s="689"/>
      <c r="AX64" s="689"/>
      <c r="AY64" s="689"/>
      <c r="AZ64" s="689"/>
      <c r="BA64" s="689"/>
      <c r="BB64" s="689"/>
      <c r="BC64" s="689"/>
      <c r="BD64" s="689"/>
      <c r="BE64" s="690"/>
      <c r="BF64" s="668"/>
      <c r="BG64" s="668"/>
      <c r="BH64" s="668"/>
      <c r="BI64" s="668"/>
      <c r="BJ64" s="668"/>
      <c r="BK64" s="668"/>
      <c r="BL64" s="668"/>
      <c r="BM64" s="668"/>
      <c r="BN64" s="668"/>
      <c r="BO64" s="668"/>
      <c r="BP64" s="668"/>
      <c r="BQ64" s="668"/>
      <c r="BR64" s="668"/>
      <c r="BS64" s="668"/>
      <c r="BT64" s="668"/>
      <c r="BU64" s="669"/>
      <c r="BV64" s="635" t="str">
        <f>'Title Page'!AA6</f>
        <v>Chickadee Creek Pump Station 04-22-061-15 W5M
Pembina Pipeline Corporation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SHUTDOWN KEY</v>
      </c>
      <c r="BW64" s="636"/>
      <c r="BX64" s="636"/>
      <c r="BY64" s="636"/>
      <c r="BZ64" s="636"/>
      <c r="CA64" s="636"/>
      <c r="CB64" s="636"/>
      <c r="CC64" s="636"/>
      <c r="CD64" s="636"/>
      <c r="CE64" s="636"/>
      <c r="CF64" s="636"/>
      <c r="CG64" s="636"/>
      <c r="CH64" s="636"/>
      <c r="CI64" s="636"/>
      <c r="CJ64" s="636"/>
      <c r="CK64" s="636"/>
      <c r="CL64" s="636"/>
      <c r="CM64" s="637"/>
    </row>
    <row r="65" spans="1:91" ht="25.5" customHeight="1" x14ac:dyDescent="0.2">
      <c r="A65" s="654" t="str">
        <f>IF('Title Page'!K25&lt;&gt;"",'Title Page'!K25,"")</f>
        <v/>
      </c>
      <c r="B65" s="655"/>
      <c r="C65" s="655"/>
      <c r="D65" s="130"/>
      <c r="E65" s="656" t="str">
        <f>IF('Title Page'!L25&lt;&gt;"",'Title Page'!L25,"")</f>
        <v/>
      </c>
      <c r="F65" s="656"/>
      <c r="G65" s="656"/>
      <c r="H65" s="436" t="str">
        <f>IF('Title Page'!R25&lt;&gt;"",'Title Page'!R25,"")</f>
        <v/>
      </c>
      <c r="I65" s="436" t="str">
        <f>IF('Title Page'!S25&lt;&gt;"",'Title Page'!S25,"")</f>
        <v/>
      </c>
      <c r="J65" s="436" t="str">
        <f>IF('Title Page'!T25&lt;&gt;"",'Title Page'!T25,"")</f>
        <v/>
      </c>
      <c r="K65" s="437" t="str">
        <f>IF('Title Page'!V25&lt;&gt;"",'Title Page'!V25,"")</f>
        <v/>
      </c>
      <c r="L65" s="688"/>
      <c r="M65" s="689"/>
      <c r="N65" s="689"/>
      <c r="O65" s="689"/>
      <c r="P65" s="689"/>
      <c r="Q65" s="689"/>
      <c r="R65" s="689"/>
      <c r="S65" s="689"/>
      <c r="T65" s="689"/>
      <c r="U65" s="689"/>
      <c r="V65" s="689"/>
      <c r="W65" s="689"/>
      <c r="X65" s="689"/>
      <c r="Y65" s="689"/>
      <c r="Z65" s="689"/>
      <c r="AA65" s="689"/>
      <c r="AB65" s="689"/>
      <c r="AC65" s="689"/>
      <c r="AD65" s="689"/>
      <c r="AE65" s="689"/>
      <c r="AF65" s="689"/>
      <c r="AG65" s="689"/>
      <c r="AH65" s="689"/>
      <c r="AI65" s="689"/>
      <c r="AJ65" s="689"/>
      <c r="AK65" s="689"/>
      <c r="AL65" s="689"/>
      <c r="AM65" s="689"/>
      <c r="AN65" s="689"/>
      <c r="AO65" s="689"/>
      <c r="AP65" s="689"/>
      <c r="AQ65" s="689"/>
      <c r="AR65" s="689"/>
      <c r="AS65" s="689"/>
      <c r="AT65" s="689"/>
      <c r="AU65" s="689"/>
      <c r="AV65" s="689"/>
      <c r="AW65" s="689"/>
      <c r="AX65" s="689"/>
      <c r="AY65" s="689"/>
      <c r="AZ65" s="689"/>
      <c r="BA65" s="689"/>
      <c r="BB65" s="689"/>
      <c r="BC65" s="689"/>
      <c r="BD65" s="689"/>
      <c r="BE65" s="690"/>
      <c r="BF65" s="670"/>
      <c r="BG65" s="670"/>
      <c r="BH65" s="670"/>
      <c r="BI65" s="670"/>
      <c r="BJ65" s="670"/>
      <c r="BK65" s="670"/>
      <c r="BL65" s="670"/>
      <c r="BM65" s="670"/>
      <c r="BN65" s="670"/>
      <c r="BO65" s="670"/>
      <c r="BP65" s="670"/>
      <c r="BQ65" s="670"/>
      <c r="BR65" s="670"/>
      <c r="BS65" s="670"/>
      <c r="BT65" s="670"/>
      <c r="BU65" s="671"/>
      <c r="BV65" s="638"/>
      <c r="BW65" s="639"/>
      <c r="BX65" s="639"/>
      <c r="BY65" s="639"/>
      <c r="BZ65" s="639"/>
      <c r="CA65" s="639"/>
      <c r="CB65" s="639"/>
      <c r="CC65" s="639"/>
      <c r="CD65" s="639"/>
      <c r="CE65" s="639"/>
      <c r="CF65" s="639"/>
      <c r="CG65" s="639"/>
      <c r="CH65" s="639"/>
      <c r="CI65" s="639"/>
      <c r="CJ65" s="639"/>
      <c r="CK65" s="639"/>
      <c r="CL65" s="639"/>
      <c r="CM65" s="640"/>
    </row>
    <row r="66" spans="1:91" ht="25.5" customHeight="1" thickBot="1" x14ac:dyDescent="0.25">
      <c r="A66" s="654" t="str">
        <f>IF('Title Page'!K26&lt;&gt;"",'Title Page'!K26,"")</f>
        <v/>
      </c>
      <c r="B66" s="655"/>
      <c r="C66" s="655"/>
      <c r="D66" s="130"/>
      <c r="E66" s="656" t="str">
        <f>IF('Title Page'!L26&lt;&gt;"",'Title Page'!L26,"")</f>
        <v/>
      </c>
      <c r="F66" s="656"/>
      <c r="G66" s="656"/>
      <c r="H66" s="436" t="str">
        <f>IF('Title Page'!R26&lt;&gt;"",'Title Page'!R26,"")</f>
        <v/>
      </c>
      <c r="I66" s="436" t="str">
        <f>IF('Title Page'!S26&lt;&gt;"",'Title Page'!S26,"")</f>
        <v/>
      </c>
      <c r="J66" s="436" t="str">
        <f>IF('Title Page'!T26&lt;&gt;"",'Title Page'!T26,"")</f>
        <v/>
      </c>
      <c r="K66" s="437" t="str">
        <f>IF('Title Page'!V26&lt;&gt;"",'Title Page'!V26,"")</f>
        <v/>
      </c>
      <c r="L66" s="688"/>
      <c r="M66" s="689"/>
      <c r="N66" s="689"/>
      <c r="O66" s="689"/>
      <c r="P66" s="689"/>
      <c r="Q66" s="689"/>
      <c r="R66" s="689"/>
      <c r="S66" s="689"/>
      <c r="T66" s="689"/>
      <c r="U66" s="689"/>
      <c r="V66" s="689"/>
      <c r="W66" s="689"/>
      <c r="X66" s="689"/>
      <c r="Y66" s="689"/>
      <c r="Z66" s="689"/>
      <c r="AA66" s="689"/>
      <c r="AB66" s="689"/>
      <c r="AC66" s="689"/>
      <c r="AD66" s="689"/>
      <c r="AE66" s="689"/>
      <c r="AF66" s="689"/>
      <c r="AG66" s="689"/>
      <c r="AH66" s="689"/>
      <c r="AI66" s="689"/>
      <c r="AJ66" s="689"/>
      <c r="AK66" s="689"/>
      <c r="AL66" s="689"/>
      <c r="AM66" s="689"/>
      <c r="AN66" s="689"/>
      <c r="AO66" s="689"/>
      <c r="AP66" s="689"/>
      <c r="AQ66" s="689"/>
      <c r="AR66" s="689"/>
      <c r="AS66" s="689"/>
      <c r="AT66" s="689"/>
      <c r="AU66" s="689"/>
      <c r="AV66" s="689"/>
      <c r="AW66" s="689"/>
      <c r="AX66" s="689"/>
      <c r="AY66" s="689"/>
      <c r="AZ66" s="689"/>
      <c r="BA66" s="689"/>
      <c r="BB66" s="689"/>
      <c r="BC66" s="689"/>
      <c r="BD66" s="689"/>
      <c r="BE66" s="690"/>
      <c r="BF66" s="663"/>
      <c r="BG66" s="663"/>
      <c r="BH66" s="663"/>
      <c r="BI66" s="663"/>
      <c r="BJ66" s="663"/>
      <c r="BK66" s="663"/>
      <c r="BL66" s="663"/>
      <c r="BM66" s="663"/>
      <c r="BN66" s="663"/>
      <c r="BO66" s="663"/>
      <c r="BP66" s="663"/>
      <c r="BQ66" s="663"/>
      <c r="BR66" s="663"/>
      <c r="BS66" s="663"/>
      <c r="BT66" s="663"/>
      <c r="BU66" s="653"/>
      <c r="BV66" s="641"/>
      <c r="BW66" s="642"/>
      <c r="BX66" s="642"/>
      <c r="BY66" s="642"/>
      <c r="BZ66" s="642"/>
      <c r="CA66" s="642"/>
      <c r="CB66" s="642"/>
      <c r="CC66" s="642"/>
      <c r="CD66" s="642"/>
      <c r="CE66" s="642"/>
      <c r="CF66" s="642"/>
      <c r="CG66" s="642"/>
      <c r="CH66" s="642"/>
      <c r="CI66" s="642"/>
      <c r="CJ66" s="642"/>
      <c r="CK66" s="642"/>
      <c r="CL66" s="642"/>
      <c r="CM66" s="643"/>
    </row>
    <row r="67" spans="1:91" ht="25.5" customHeight="1" x14ac:dyDescent="0.2">
      <c r="A67" s="654" t="str">
        <f>IF('Title Page'!K27&lt;&gt;"",'Title Page'!K27,"")</f>
        <v/>
      </c>
      <c r="B67" s="655"/>
      <c r="C67" s="655"/>
      <c r="D67" s="130"/>
      <c r="E67" s="656" t="str">
        <f>IF('Title Page'!L27&lt;&gt;"",'Title Page'!L27,"")</f>
        <v/>
      </c>
      <c r="F67" s="656"/>
      <c r="G67" s="656"/>
      <c r="H67" s="436" t="str">
        <f>IF('Title Page'!R27&lt;&gt;"",'Title Page'!R27,"")</f>
        <v/>
      </c>
      <c r="I67" s="436" t="str">
        <f>IF('Title Page'!S27&lt;&gt;"",'Title Page'!S27,"")</f>
        <v/>
      </c>
      <c r="J67" s="436" t="str">
        <f>IF('Title Page'!T27&lt;&gt;"",'Title Page'!T27,"")</f>
        <v/>
      </c>
      <c r="K67" s="437" t="str">
        <f>IF('Title Page'!V27&lt;&gt;"",'Title Page'!V27,"")</f>
        <v/>
      </c>
      <c r="L67" s="688"/>
      <c r="M67" s="689"/>
      <c r="N67" s="689"/>
      <c r="O67" s="689"/>
      <c r="P67" s="689"/>
      <c r="Q67" s="689"/>
      <c r="R67" s="689"/>
      <c r="S67" s="689"/>
      <c r="T67" s="689"/>
      <c r="U67" s="689"/>
      <c r="V67" s="689"/>
      <c r="W67" s="689"/>
      <c r="X67" s="689"/>
      <c r="Y67" s="689"/>
      <c r="Z67" s="689"/>
      <c r="AA67" s="689"/>
      <c r="AB67" s="689"/>
      <c r="AC67" s="689"/>
      <c r="AD67" s="689"/>
      <c r="AE67" s="689"/>
      <c r="AF67" s="689"/>
      <c r="AG67" s="689"/>
      <c r="AH67" s="689"/>
      <c r="AI67" s="689"/>
      <c r="AJ67" s="689"/>
      <c r="AK67" s="689"/>
      <c r="AL67" s="689"/>
      <c r="AM67" s="689"/>
      <c r="AN67" s="689"/>
      <c r="AO67" s="689"/>
      <c r="AP67" s="689"/>
      <c r="AQ67" s="689"/>
      <c r="AR67" s="689"/>
      <c r="AS67" s="689"/>
      <c r="AT67" s="689"/>
      <c r="AU67" s="689"/>
      <c r="AV67" s="689"/>
      <c r="AW67" s="689"/>
      <c r="AX67" s="689"/>
      <c r="AY67" s="689"/>
      <c r="AZ67" s="689"/>
      <c r="BA67" s="689"/>
      <c r="BB67" s="689"/>
      <c r="BC67" s="689"/>
      <c r="BD67" s="689"/>
      <c r="BE67" s="690"/>
      <c r="BF67" s="657" t="s">
        <v>26</v>
      </c>
      <c r="BG67" s="657"/>
      <c r="BH67" s="657"/>
      <c r="BI67" s="657"/>
      <c r="BJ67" s="657"/>
      <c r="BK67" s="657"/>
      <c r="BL67" s="657"/>
      <c r="BM67" s="657"/>
      <c r="BN67" s="657"/>
      <c r="BO67" s="657"/>
      <c r="BP67" s="657"/>
      <c r="BQ67" s="657"/>
      <c r="BR67" s="657"/>
      <c r="BS67" s="657"/>
      <c r="BT67" s="657"/>
      <c r="BU67" s="658"/>
      <c r="BV67" s="659" t="s">
        <v>8</v>
      </c>
      <c r="BW67" s="657"/>
      <c r="BX67" s="660"/>
      <c r="BY67" s="661" t="s">
        <v>9</v>
      </c>
      <c r="BZ67" s="657"/>
      <c r="CA67" s="657"/>
      <c r="CB67" s="657"/>
      <c r="CC67" s="657"/>
      <c r="CD67" s="657"/>
      <c r="CE67" s="657"/>
      <c r="CF67" s="657"/>
      <c r="CG67" s="657"/>
      <c r="CH67" s="657"/>
      <c r="CI67" s="657"/>
      <c r="CJ67" s="657"/>
      <c r="CK67" s="660"/>
      <c r="CL67" s="661" t="s">
        <v>10</v>
      </c>
      <c r="CM67" s="658"/>
    </row>
    <row r="68" spans="1:91" ht="25.5" customHeight="1" x14ac:dyDescent="0.2">
      <c r="A68" s="654" t="str">
        <f>IF('Title Page'!K28&lt;&gt;"",'Title Page'!K28,"")</f>
        <v/>
      </c>
      <c r="B68" s="655"/>
      <c r="C68" s="655"/>
      <c r="D68" s="130"/>
      <c r="E68" s="656" t="str">
        <f>IF('Title Page'!L28&lt;&gt;"",'Title Page'!L28,"")</f>
        <v/>
      </c>
      <c r="F68" s="656"/>
      <c r="G68" s="656"/>
      <c r="H68" s="436" t="str">
        <f>IF('Title Page'!R28&lt;&gt;"",'Title Page'!R28,"")</f>
        <v/>
      </c>
      <c r="I68" s="436" t="str">
        <f>IF('Title Page'!S28&lt;&gt;"",'Title Page'!S28,"")</f>
        <v/>
      </c>
      <c r="J68" s="436" t="str">
        <f>IF('Title Page'!T28&lt;&gt;"",'Title Page'!T28,"")</f>
        <v/>
      </c>
      <c r="K68" s="437" t="str">
        <f>IF('Title Page'!V28&lt;&gt;"",'Title Page'!V28,"")</f>
        <v/>
      </c>
      <c r="L68" s="688"/>
      <c r="M68" s="689"/>
      <c r="N68" s="689"/>
      <c r="O68" s="689"/>
      <c r="P68" s="689"/>
      <c r="Q68" s="689"/>
      <c r="R68" s="689"/>
      <c r="S68" s="689"/>
      <c r="T68" s="689"/>
      <c r="U68" s="689"/>
      <c r="V68" s="689"/>
      <c r="W68" s="689"/>
      <c r="X68" s="689"/>
      <c r="Y68" s="689"/>
      <c r="Z68" s="689"/>
      <c r="AA68" s="689"/>
      <c r="AB68" s="689"/>
      <c r="AC68" s="689"/>
      <c r="AD68" s="689"/>
      <c r="AE68" s="689"/>
      <c r="AF68" s="689"/>
      <c r="AG68" s="689"/>
      <c r="AH68" s="689"/>
      <c r="AI68" s="689"/>
      <c r="AJ68" s="689"/>
      <c r="AK68" s="689"/>
      <c r="AL68" s="689"/>
      <c r="AM68" s="689"/>
      <c r="AN68" s="689"/>
      <c r="AO68" s="689"/>
      <c r="AP68" s="689"/>
      <c r="AQ68" s="689"/>
      <c r="AR68" s="689"/>
      <c r="AS68" s="689"/>
      <c r="AT68" s="689"/>
      <c r="AU68" s="689"/>
      <c r="AV68" s="689"/>
      <c r="AW68" s="689"/>
      <c r="AX68" s="689"/>
      <c r="AY68" s="689"/>
      <c r="AZ68" s="689"/>
      <c r="BA68" s="689"/>
      <c r="BB68" s="689"/>
      <c r="BC68" s="689"/>
      <c r="BD68" s="689"/>
      <c r="BE68" s="690"/>
      <c r="BF68" s="662" t="str">
        <f>'Title Page'!Z21</f>
        <v>PEM029-001</v>
      </c>
      <c r="BG68" s="662"/>
      <c r="BH68" s="662"/>
      <c r="BI68" s="662"/>
      <c r="BJ68" s="662"/>
      <c r="BK68" s="662"/>
      <c r="BL68" s="662"/>
      <c r="BM68" s="662"/>
      <c r="BN68" s="662"/>
      <c r="BO68" s="662"/>
      <c r="BP68" s="662"/>
      <c r="BQ68" s="662"/>
      <c r="BR68" s="662"/>
      <c r="BS68" s="662"/>
      <c r="BT68" s="662"/>
      <c r="BU68" s="651"/>
      <c r="BV68" s="664" t="str">
        <f>'Title Page'!AA21</f>
        <v>None</v>
      </c>
      <c r="BW68" s="662"/>
      <c r="BX68" s="665"/>
      <c r="BY68" s="650" t="str">
        <f ca="1">BF68&amp;"-SDK-"&amp;RIGHT(RIGHT(CELL("filename",H7),LEN(CELL("filename",H7))-FIND("]",CELL("filename",H7))),LEN(RIGHT(CELL("filename",H7),LEN(CELL("filename",H7))-FIND("]",CELL("filename",H7))))-12)</f>
        <v>PEM029-001-SDK-1</v>
      </c>
      <c r="BZ68" s="662"/>
      <c r="CA68" s="662"/>
      <c r="CB68" s="662"/>
      <c r="CC68" s="662"/>
      <c r="CD68" s="662"/>
      <c r="CE68" s="662"/>
      <c r="CF68" s="662"/>
      <c r="CG68" s="662"/>
      <c r="CH68" s="662"/>
      <c r="CI68" s="662"/>
      <c r="CJ68" s="662"/>
      <c r="CK68" s="665"/>
      <c r="CL68" s="650">
        <f>'Title Page'!X21</f>
        <v>0</v>
      </c>
      <c r="CM68" s="651"/>
    </row>
    <row r="69" spans="1:91" ht="25.5" customHeight="1" thickBot="1" x14ac:dyDescent="0.25">
      <c r="A69" s="654" t="str">
        <f>IF('Title Page'!K29&lt;&gt;"",'Title Page'!K29,"")</f>
        <v/>
      </c>
      <c r="B69" s="655"/>
      <c r="C69" s="655"/>
      <c r="D69" s="130"/>
      <c r="E69" s="656" t="str">
        <f>IF('Title Page'!L29&lt;&gt;"",'Title Page'!L29,"")</f>
        <v/>
      </c>
      <c r="F69" s="656"/>
      <c r="G69" s="656"/>
      <c r="H69" s="436" t="str">
        <f>IF('Title Page'!R29&lt;&gt;"",'Title Page'!R29,"")</f>
        <v/>
      </c>
      <c r="I69" s="436" t="str">
        <f>IF('Title Page'!S29&lt;&gt;"",'Title Page'!S29,"")</f>
        <v/>
      </c>
      <c r="J69" s="436" t="str">
        <f>IF('Title Page'!T29&lt;&gt;"",'Title Page'!T29,"")</f>
        <v/>
      </c>
      <c r="K69" s="437" t="str">
        <f>IF('Title Page'!V29&lt;&gt;"",'Title Page'!V29,"")</f>
        <v/>
      </c>
      <c r="L69" s="691"/>
      <c r="M69" s="692"/>
      <c r="N69" s="692"/>
      <c r="O69" s="692"/>
      <c r="P69" s="692"/>
      <c r="Q69" s="692"/>
      <c r="R69" s="692"/>
      <c r="S69" s="692"/>
      <c r="T69" s="692"/>
      <c r="U69" s="692"/>
      <c r="V69" s="692"/>
      <c r="W69" s="692"/>
      <c r="X69" s="692"/>
      <c r="Y69" s="692"/>
      <c r="Z69" s="692"/>
      <c r="AA69" s="692"/>
      <c r="AB69" s="692"/>
      <c r="AC69" s="692"/>
      <c r="AD69" s="692"/>
      <c r="AE69" s="692"/>
      <c r="AF69" s="692"/>
      <c r="AG69" s="692"/>
      <c r="AH69" s="692"/>
      <c r="AI69" s="692"/>
      <c r="AJ69" s="692"/>
      <c r="AK69" s="692"/>
      <c r="AL69" s="692"/>
      <c r="AM69" s="692"/>
      <c r="AN69" s="692"/>
      <c r="AO69" s="692"/>
      <c r="AP69" s="692"/>
      <c r="AQ69" s="692"/>
      <c r="AR69" s="692"/>
      <c r="AS69" s="692"/>
      <c r="AT69" s="692"/>
      <c r="AU69" s="692"/>
      <c r="AV69" s="692"/>
      <c r="AW69" s="692"/>
      <c r="AX69" s="692"/>
      <c r="AY69" s="692"/>
      <c r="AZ69" s="692"/>
      <c r="BA69" s="692"/>
      <c r="BB69" s="692"/>
      <c r="BC69" s="692"/>
      <c r="BD69" s="692"/>
      <c r="BE69" s="693"/>
      <c r="BF69" s="663"/>
      <c r="BG69" s="663"/>
      <c r="BH69" s="663"/>
      <c r="BI69" s="663"/>
      <c r="BJ69" s="663"/>
      <c r="BK69" s="663"/>
      <c r="BL69" s="663"/>
      <c r="BM69" s="663"/>
      <c r="BN69" s="663"/>
      <c r="BO69" s="663"/>
      <c r="BP69" s="663"/>
      <c r="BQ69" s="663"/>
      <c r="BR69" s="663"/>
      <c r="BS69" s="663"/>
      <c r="BT69" s="663"/>
      <c r="BU69" s="653"/>
      <c r="BV69" s="666"/>
      <c r="BW69" s="663"/>
      <c r="BX69" s="667"/>
      <c r="BY69" s="652"/>
      <c r="BZ69" s="663"/>
      <c r="CA69" s="663"/>
      <c r="CB69" s="663"/>
      <c r="CC69" s="663"/>
      <c r="CD69" s="663"/>
      <c r="CE69" s="663"/>
      <c r="CF69" s="663"/>
      <c r="CG69" s="663"/>
      <c r="CH69" s="663"/>
      <c r="CI69" s="663"/>
      <c r="CJ69" s="663"/>
      <c r="CK69" s="667"/>
      <c r="CL69" s="652"/>
      <c r="CM69" s="653"/>
    </row>
    <row r="70" spans="1:91" ht="12" customHeight="1" x14ac:dyDescent="0.25">
      <c r="A70" s="438"/>
      <c r="B70" s="439"/>
      <c r="C70" s="439"/>
      <c r="D70" s="439"/>
      <c r="E70" s="228"/>
      <c r="F70" s="440"/>
      <c r="G70" s="440"/>
      <c r="H70" s="440"/>
      <c r="I70" s="441"/>
      <c r="BL70" s="305"/>
      <c r="BM70" s="305"/>
      <c r="BN70" s="305"/>
      <c r="BO70" s="305"/>
      <c r="BP70" s="305"/>
      <c r="BQ70" s="305"/>
      <c r="BR70" s="305"/>
      <c r="BS70" s="305"/>
      <c r="BT70" s="443"/>
      <c r="CD70" s="228"/>
      <c r="CE70" s="228"/>
      <c r="CF70" s="228"/>
      <c r="CG70" s="228"/>
      <c r="CH70" s="228"/>
      <c r="CI70" s="228"/>
      <c r="CJ70" s="228"/>
      <c r="CK70" s="228"/>
      <c r="CL70" s="228"/>
      <c r="CM70" s="228"/>
    </row>
  </sheetData>
  <mergeCells count="45">
    <mergeCell ref="E64:G64"/>
    <mergeCell ref="I5:K5"/>
    <mergeCell ref="I6:K6"/>
    <mergeCell ref="A7:A9"/>
    <mergeCell ref="B7:B9"/>
    <mergeCell ref="C7:C9"/>
    <mergeCell ref="D7:D9"/>
    <mergeCell ref="E7:E9"/>
    <mergeCell ref="F7:F9"/>
    <mergeCell ref="G7:G9"/>
    <mergeCell ref="H7:H9"/>
    <mergeCell ref="I7:K7"/>
    <mergeCell ref="J8:K8"/>
    <mergeCell ref="BV64:CM66"/>
    <mergeCell ref="A65:C65"/>
    <mergeCell ref="BV61:CM63"/>
    <mergeCell ref="A62:C62"/>
    <mergeCell ref="E62:G62"/>
    <mergeCell ref="A63:C63"/>
    <mergeCell ref="E63:G63"/>
    <mergeCell ref="BF61:BU63"/>
    <mergeCell ref="A61:C61"/>
    <mergeCell ref="E61:G61"/>
    <mergeCell ref="L61:BE69"/>
    <mergeCell ref="E65:G65"/>
    <mergeCell ref="A66:C66"/>
    <mergeCell ref="E66:G66"/>
    <mergeCell ref="A67:C67"/>
    <mergeCell ref="A64:C64"/>
    <mergeCell ref="I3:K3"/>
    <mergeCell ref="I4:K4"/>
    <mergeCell ref="CL68:CM69"/>
    <mergeCell ref="A69:C69"/>
    <mergeCell ref="E69:G69"/>
    <mergeCell ref="E67:G67"/>
    <mergeCell ref="BF67:BU67"/>
    <mergeCell ref="BV67:BX67"/>
    <mergeCell ref="BY67:CK67"/>
    <mergeCell ref="CL67:CM67"/>
    <mergeCell ref="A68:C68"/>
    <mergeCell ref="E68:G68"/>
    <mergeCell ref="BF68:BU69"/>
    <mergeCell ref="BV68:BX69"/>
    <mergeCell ref="BY68:CK69"/>
    <mergeCell ref="BF64:BU66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18" orientation="landscape" r:id="rId1"/>
  <headerFooter alignWithMargins="0">
    <oddFooter xml:space="preserve">&amp;L&amp;F&amp;C&amp;D&amp;RLauren Concise Design Shutdown Key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DQ70"/>
  <sheetViews>
    <sheetView showGridLines="0" view="pageBreakPreview" zoomScale="50" zoomScaleNormal="50" zoomScaleSheetLayoutView="50" zoomScalePageLayoutView="50" workbookViewId="0">
      <selection activeCell="S11" sqref="S11"/>
    </sheetView>
  </sheetViews>
  <sheetFormatPr defaultColWidth="12.7109375" defaultRowHeight="12" customHeight="1" x14ac:dyDescent="0.25"/>
  <cols>
    <col min="1" max="1" width="8.7109375" style="220" bestFit="1" customWidth="1"/>
    <col min="2" max="2" width="7.42578125" style="220" customWidth="1"/>
    <col min="3" max="3" width="10.5703125" style="220" bestFit="1" customWidth="1"/>
    <col min="4" max="4" width="36.7109375" style="220" bestFit="1" customWidth="1"/>
    <col min="5" max="5" width="95.85546875" style="222" bestFit="1" customWidth="1"/>
    <col min="6" max="6" width="18.42578125" style="221" bestFit="1" customWidth="1"/>
    <col min="7" max="7" width="31.5703125" style="221" bestFit="1" customWidth="1"/>
    <col min="8" max="8" width="33" style="221" bestFit="1" customWidth="1"/>
    <col min="9" max="10" width="8.42578125" style="316" customWidth="1"/>
    <col min="11" max="11" width="10.85546875" style="316" bestFit="1" customWidth="1"/>
    <col min="12" max="12" width="6.140625" style="442" customWidth="1"/>
    <col min="13" max="21" width="6.140625" style="222" customWidth="1"/>
    <col min="22" max="22" width="6.140625" style="442" customWidth="1"/>
    <col min="23" max="31" width="6.140625" style="222" customWidth="1"/>
    <col min="32" max="32" width="6.140625" style="442" customWidth="1"/>
    <col min="33" max="41" width="6.140625" style="222" customWidth="1"/>
    <col min="42" max="42" width="6.140625" style="442" customWidth="1"/>
    <col min="43" max="51" width="6.140625" style="222" customWidth="1"/>
    <col min="52" max="52" width="6.140625" style="442" customWidth="1"/>
    <col min="53" max="61" width="6.140625" style="222" customWidth="1"/>
    <col min="62" max="62" width="6.140625" style="442" customWidth="1"/>
    <col min="63" max="71" width="6.140625" style="222" customWidth="1"/>
    <col min="72" max="72" width="6.140625" style="442" customWidth="1"/>
    <col min="73" max="80" width="6.140625" style="222" customWidth="1"/>
    <col min="81" max="81" width="6.140625" style="444" customWidth="1"/>
    <col min="82" max="91" width="6.140625" style="222" customWidth="1"/>
    <col min="92" max="16384" width="12.7109375" style="222"/>
  </cols>
  <sheetData>
    <row r="1" spans="1:121" s="339" customFormat="1" ht="20.25" customHeight="1" x14ac:dyDescent="0.25">
      <c r="A1" s="256"/>
      <c r="B1" s="334"/>
      <c r="C1" s="334"/>
      <c r="D1" s="334"/>
      <c r="E1" s="305"/>
      <c r="F1" s="335"/>
      <c r="G1" s="335"/>
      <c r="H1" s="335"/>
      <c r="I1" s="336"/>
      <c r="J1" s="337" t="s">
        <v>0</v>
      </c>
      <c r="K1" s="338"/>
      <c r="L1" s="136">
        <v>1</v>
      </c>
      <c r="M1" s="103">
        <v>2</v>
      </c>
      <c r="N1" s="103">
        <v>3</v>
      </c>
      <c r="O1" s="103">
        <v>4</v>
      </c>
      <c r="P1" s="137">
        <v>5</v>
      </c>
      <c r="Q1" s="136">
        <v>6</v>
      </c>
      <c r="R1" s="103">
        <v>7</v>
      </c>
      <c r="S1" s="103">
        <v>8</v>
      </c>
      <c r="T1" s="103">
        <v>9</v>
      </c>
      <c r="U1" s="138">
        <v>10</v>
      </c>
      <c r="V1" s="139">
        <v>11</v>
      </c>
      <c r="W1" s="103">
        <v>12</v>
      </c>
      <c r="X1" s="103">
        <v>13</v>
      </c>
      <c r="Y1" s="103">
        <v>14</v>
      </c>
      <c r="Z1" s="137">
        <v>15</v>
      </c>
      <c r="AA1" s="136">
        <v>16</v>
      </c>
      <c r="AB1" s="103">
        <v>17</v>
      </c>
      <c r="AC1" s="103">
        <v>18</v>
      </c>
      <c r="AD1" s="103">
        <v>19</v>
      </c>
      <c r="AE1" s="138">
        <v>20</v>
      </c>
      <c r="AF1" s="139">
        <v>21</v>
      </c>
      <c r="AG1" s="103">
        <v>22</v>
      </c>
      <c r="AH1" s="103">
        <v>23</v>
      </c>
      <c r="AI1" s="103">
        <v>24</v>
      </c>
      <c r="AJ1" s="137">
        <v>25</v>
      </c>
      <c r="AK1" s="136">
        <v>26</v>
      </c>
      <c r="AL1" s="103">
        <v>27</v>
      </c>
      <c r="AM1" s="103">
        <v>28</v>
      </c>
      <c r="AN1" s="103">
        <v>29</v>
      </c>
      <c r="AO1" s="138">
        <v>30</v>
      </c>
      <c r="AP1" s="139">
        <v>31</v>
      </c>
      <c r="AQ1" s="103">
        <v>32</v>
      </c>
      <c r="AR1" s="103">
        <v>33</v>
      </c>
      <c r="AS1" s="103">
        <v>34</v>
      </c>
      <c r="AT1" s="137">
        <v>35</v>
      </c>
      <c r="AU1" s="136">
        <v>36</v>
      </c>
      <c r="AV1" s="103">
        <v>37</v>
      </c>
      <c r="AW1" s="103">
        <v>38</v>
      </c>
      <c r="AX1" s="103">
        <v>39</v>
      </c>
      <c r="AY1" s="138">
        <v>40</v>
      </c>
      <c r="AZ1" s="139">
        <v>41</v>
      </c>
      <c r="BA1" s="103">
        <v>42</v>
      </c>
      <c r="BB1" s="103">
        <v>43</v>
      </c>
      <c r="BC1" s="103">
        <v>44</v>
      </c>
      <c r="BD1" s="137">
        <v>45</v>
      </c>
      <c r="BE1" s="136">
        <v>46</v>
      </c>
      <c r="BF1" s="103">
        <v>47</v>
      </c>
      <c r="BG1" s="103">
        <v>48</v>
      </c>
      <c r="BH1" s="103">
        <v>49</v>
      </c>
      <c r="BI1" s="138">
        <v>50</v>
      </c>
      <c r="BJ1" s="139">
        <v>51</v>
      </c>
      <c r="BK1" s="103">
        <v>52</v>
      </c>
      <c r="BL1" s="103">
        <v>53</v>
      </c>
      <c r="BM1" s="103">
        <v>54</v>
      </c>
      <c r="BN1" s="137">
        <v>55</v>
      </c>
      <c r="BO1" s="136">
        <v>56</v>
      </c>
      <c r="BP1" s="103">
        <v>57</v>
      </c>
      <c r="BQ1" s="103">
        <v>58</v>
      </c>
      <c r="BR1" s="103">
        <v>59</v>
      </c>
      <c r="BS1" s="138">
        <v>60</v>
      </c>
      <c r="BT1" s="139">
        <v>61</v>
      </c>
      <c r="BU1" s="103">
        <v>62</v>
      </c>
      <c r="BV1" s="103">
        <v>63</v>
      </c>
      <c r="BW1" s="103">
        <v>64</v>
      </c>
      <c r="BX1" s="137">
        <v>65</v>
      </c>
      <c r="BY1" s="136">
        <v>66</v>
      </c>
      <c r="BZ1" s="103">
        <v>67</v>
      </c>
      <c r="CA1" s="103">
        <v>68</v>
      </c>
      <c r="CB1" s="103">
        <v>69</v>
      </c>
      <c r="CC1" s="138">
        <v>70</v>
      </c>
      <c r="CD1" s="139">
        <v>71</v>
      </c>
      <c r="CE1" s="103">
        <v>72</v>
      </c>
      <c r="CF1" s="103">
        <v>73</v>
      </c>
      <c r="CG1" s="103">
        <v>74</v>
      </c>
      <c r="CH1" s="138">
        <v>75</v>
      </c>
      <c r="CI1" s="139">
        <v>76</v>
      </c>
      <c r="CJ1" s="103">
        <v>77</v>
      </c>
      <c r="CK1" s="103">
        <v>78</v>
      </c>
      <c r="CL1" s="103">
        <v>79</v>
      </c>
      <c r="CM1" s="137">
        <v>80</v>
      </c>
      <c r="CN1" s="220"/>
      <c r="CO1" s="220"/>
      <c r="CP1" s="220"/>
      <c r="CQ1" s="220"/>
      <c r="CR1" s="220"/>
      <c r="CS1" s="220"/>
      <c r="CT1" s="220"/>
      <c r="CU1" s="220"/>
      <c r="CV1" s="220"/>
      <c r="CW1" s="220"/>
      <c r="CX1" s="220"/>
      <c r="CY1" s="220"/>
      <c r="CZ1" s="220"/>
      <c r="DA1" s="220"/>
      <c r="DB1" s="220"/>
      <c r="DC1" s="220"/>
      <c r="DD1" s="220"/>
      <c r="DE1" s="220"/>
      <c r="DF1" s="220"/>
      <c r="DG1" s="220"/>
      <c r="DH1" s="220"/>
      <c r="DI1" s="220"/>
      <c r="DJ1" s="220"/>
      <c r="DK1" s="220"/>
      <c r="DL1" s="220"/>
      <c r="DM1" s="220"/>
      <c r="DN1" s="220"/>
      <c r="DO1" s="220"/>
      <c r="DP1" s="220"/>
      <c r="DQ1" s="220"/>
    </row>
    <row r="2" spans="1:121" s="339" customFormat="1" ht="24" customHeight="1" thickBot="1" x14ac:dyDescent="0.25">
      <c r="A2" s="184"/>
      <c r="B2" s="220"/>
      <c r="C2" s="220"/>
      <c r="D2" s="220"/>
      <c r="F2" s="221"/>
      <c r="G2" s="221"/>
      <c r="H2" s="221"/>
      <c r="I2" s="340"/>
      <c r="J2" s="341" t="s">
        <v>38</v>
      </c>
      <c r="K2" s="342"/>
      <c r="L2" s="140">
        <v>0</v>
      </c>
      <c r="M2" s="76">
        <v>0</v>
      </c>
      <c r="N2" s="76">
        <v>0</v>
      </c>
      <c r="O2" s="76">
        <v>0</v>
      </c>
      <c r="P2" s="141">
        <v>0</v>
      </c>
      <c r="Q2" s="140"/>
      <c r="R2" s="76"/>
      <c r="S2" s="76">
        <v>0</v>
      </c>
      <c r="T2" s="76">
        <v>0</v>
      </c>
      <c r="U2" s="81">
        <v>0</v>
      </c>
      <c r="V2" s="142">
        <v>0</v>
      </c>
      <c r="W2" s="76">
        <v>0</v>
      </c>
      <c r="X2" s="76">
        <v>0</v>
      </c>
      <c r="Y2" s="76">
        <v>0</v>
      </c>
      <c r="Z2" s="141">
        <v>0</v>
      </c>
      <c r="AA2" s="140">
        <v>0</v>
      </c>
      <c r="AB2" s="76">
        <v>0</v>
      </c>
      <c r="AC2" s="76">
        <v>0</v>
      </c>
      <c r="AD2" s="76">
        <v>0</v>
      </c>
      <c r="AE2" s="81">
        <v>0</v>
      </c>
      <c r="AF2" s="142">
        <v>0</v>
      </c>
      <c r="AG2" s="76">
        <v>0</v>
      </c>
      <c r="AH2" s="76">
        <v>0</v>
      </c>
      <c r="AI2" s="76">
        <v>0</v>
      </c>
      <c r="AJ2" s="141"/>
      <c r="AK2" s="140"/>
      <c r="AL2" s="76">
        <v>0</v>
      </c>
      <c r="AM2" s="76">
        <v>0</v>
      </c>
      <c r="AN2" s="76">
        <v>0</v>
      </c>
      <c r="AO2" s="81">
        <v>0</v>
      </c>
      <c r="AP2" s="142">
        <v>0</v>
      </c>
      <c r="AQ2" s="76">
        <v>0</v>
      </c>
      <c r="AR2" s="76">
        <v>0</v>
      </c>
      <c r="AS2" s="76"/>
      <c r="AT2" s="141"/>
      <c r="AU2" s="140">
        <v>0</v>
      </c>
      <c r="AV2" s="76">
        <v>0</v>
      </c>
      <c r="AW2" s="76">
        <v>0</v>
      </c>
      <c r="AX2" s="76">
        <v>0</v>
      </c>
      <c r="AY2" s="81">
        <v>0</v>
      </c>
      <c r="AZ2" s="142">
        <v>0</v>
      </c>
      <c r="BA2" s="76">
        <v>0</v>
      </c>
      <c r="BB2" s="76">
        <v>0</v>
      </c>
      <c r="BC2" s="76">
        <v>0</v>
      </c>
      <c r="BD2" s="141">
        <v>0</v>
      </c>
      <c r="BE2" s="140"/>
      <c r="BF2" s="76"/>
      <c r="BG2" s="76">
        <v>0</v>
      </c>
      <c r="BH2" s="76">
        <v>0</v>
      </c>
      <c r="BI2" s="81">
        <v>0</v>
      </c>
      <c r="BJ2" s="142">
        <v>0</v>
      </c>
      <c r="BK2" s="76">
        <v>0</v>
      </c>
      <c r="BL2" s="76">
        <v>0</v>
      </c>
      <c r="BM2" s="76">
        <v>0</v>
      </c>
      <c r="BN2" s="141">
        <v>0</v>
      </c>
      <c r="BO2" s="140">
        <v>0</v>
      </c>
      <c r="BP2" s="76">
        <v>0</v>
      </c>
      <c r="BQ2" s="76"/>
      <c r="BR2" s="76"/>
      <c r="BS2" s="81">
        <v>0</v>
      </c>
      <c r="BT2" s="142"/>
      <c r="BU2" s="76"/>
      <c r="BV2" s="76">
        <v>0</v>
      </c>
      <c r="BW2" s="76">
        <v>0</v>
      </c>
      <c r="BX2" s="141">
        <v>0</v>
      </c>
      <c r="BY2" s="140">
        <v>0</v>
      </c>
      <c r="BZ2" s="76"/>
      <c r="CA2" s="76"/>
      <c r="CB2" s="76">
        <v>0</v>
      </c>
      <c r="CC2" s="81">
        <v>0</v>
      </c>
      <c r="CD2" s="142">
        <v>0</v>
      </c>
      <c r="CE2" s="76"/>
      <c r="CF2" s="76"/>
      <c r="CG2" s="76">
        <v>0</v>
      </c>
      <c r="CH2" s="81">
        <v>0</v>
      </c>
      <c r="CI2" s="142">
        <v>0</v>
      </c>
      <c r="CJ2" s="76"/>
      <c r="CK2" s="76"/>
      <c r="CL2" s="76"/>
      <c r="CM2" s="141"/>
      <c r="CN2" s="234"/>
      <c r="CO2" s="234"/>
      <c r="CP2" s="234"/>
      <c r="CQ2" s="234"/>
      <c r="CR2" s="234"/>
      <c r="CS2" s="234"/>
      <c r="CT2" s="234"/>
      <c r="CU2" s="234"/>
      <c r="CV2" s="234"/>
      <c r="CW2" s="234"/>
      <c r="CX2" s="234"/>
      <c r="CY2" s="234"/>
      <c r="CZ2" s="234"/>
      <c r="DA2" s="234"/>
      <c r="DB2" s="234"/>
      <c r="DC2" s="234"/>
      <c r="DD2" s="234"/>
      <c r="DE2" s="234"/>
      <c r="DF2" s="234"/>
      <c r="DG2" s="234"/>
      <c r="DH2" s="234"/>
      <c r="DI2" s="234"/>
      <c r="DJ2" s="234"/>
      <c r="DK2" s="234"/>
      <c r="DL2" s="234"/>
      <c r="DM2" s="234"/>
      <c r="DN2" s="234"/>
      <c r="DO2" s="234"/>
      <c r="DP2" s="234"/>
      <c r="DQ2" s="220"/>
    </row>
    <row r="3" spans="1:121" ht="111" customHeight="1" x14ac:dyDescent="0.2">
      <c r="A3" s="184"/>
      <c r="I3" s="644" t="s">
        <v>35</v>
      </c>
      <c r="J3" s="645"/>
      <c r="K3" s="646"/>
      <c r="L3" s="143" t="s">
        <v>1044</v>
      </c>
      <c r="M3" s="144" t="s">
        <v>1044</v>
      </c>
      <c r="N3" s="144" t="s">
        <v>1044</v>
      </c>
      <c r="O3" s="144" t="s">
        <v>1044</v>
      </c>
      <c r="P3" s="145" t="s">
        <v>1044</v>
      </c>
      <c r="Q3" s="143"/>
      <c r="R3" s="146"/>
      <c r="S3" s="288" t="s">
        <v>1044</v>
      </c>
      <c r="T3" s="146">
        <v>5</v>
      </c>
      <c r="U3" s="317" t="s">
        <v>1044</v>
      </c>
      <c r="V3" s="147">
        <v>5</v>
      </c>
      <c r="W3" s="146">
        <v>5</v>
      </c>
      <c r="X3" s="146">
        <v>5</v>
      </c>
      <c r="Y3" s="288" t="s">
        <v>1044</v>
      </c>
      <c r="Z3" s="148">
        <v>5</v>
      </c>
      <c r="AA3" s="149">
        <v>5</v>
      </c>
      <c r="AB3" s="146">
        <v>5</v>
      </c>
      <c r="AC3" s="146">
        <v>5</v>
      </c>
      <c r="AD3" s="146">
        <v>5</v>
      </c>
      <c r="AE3" s="150" t="s">
        <v>135</v>
      </c>
      <c r="AF3" s="147" t="s">
        <v>135</v>
      </c>
      <c r="AG3" s="146">
        <v>5</v>
      </c>
      <c r="AH3" s="146">
        <v>5</v>
      </c>
      <c r="AI3" s="146" t="s">
        <v>1044</v>
      </c>
      <c r="AJ3" s="148"/>
      <c r="AK3" s="149"/>
      <c r="AL3" s="146">
        <v>1</v>
      </c>
      <c r="AM3" s="146">
        <v>1</v>
      </c>
      <c r="AN3" s="146">
        <v>1</v>
      </c>
      <c r="AO3" s="150">
        <v>1</v>
      </c>
      <c r="AP3" s="147">
        <v>1</v>
      </c>
      <c r="AQ3" s="146">
        <v>1</v>
      </c>
      <c r="AR3" s="146">
        <v>1</v>
      </c>
      <c r="AS3" s="151"/>
      <c r="AT3" s="148"/>
      <c r="AU3" s="149" t="s">
        <v>135</v>
      </c>
      <c r="AV3" s="146" t="s">
        <v>135</v>
      </c>
      <c r="AW3" s="146" t="s">
        <v>135</v>
      </c>
      <c r="AX3" s="146" t="s">
        <v>135</v>
      </c>
      <c r="AY3" s="150" t="s">
        <v>135</v>
      </c>
      <c r="AZ3" s="147">
        <v>4</v>
      </c>
      <c r="BA3" s="146">
        <v>2</v>
      </c>
      <c r="BB3" s="146">
        <v>2</v>
      </c>
      <c r="BC3" s="146">
        <v>2</v>
      </c>
      <c r="BD3" s="148">
        <v>2</v>
      </c>
      <c r="BE3" s="149"/>
      <c r="BF3" s="146"/>
      <c r="BG3" s="146" t="s">
        <v>135</v>
      </c>
      <c r="BH3" s="146" t="s">
        <v>135</v>
      </c>
      <c r="BI3" s="150" t="s">
        <v>135</v>
      </c>
      <c r="BJ3" s="147" t="s">
        <v>135</v>
      </c>
      <c r="BK3" s="146" t="s">
        <v>135</v>
      </c>
      <c r="BL3" s="146">
        <v>4</v>
      </c>
      <c r="BM3" s="146">
        <v>2</v>
      </c>
      <c r="BN3" s="148">
        <v>2</v>
      </c>
      <c r="BO3" s="149">
        <v>2</v>
      </c>
      <c r="BP3" s="146">
        <v>2</v>
      </c>
      <c r="BQ3" s="146"/>
      <c r="BR3" s="146"/>
      <c r="BS3" s="150">
        <v>3</v>
      </c>
      <c r="BT3" s="147"/>
      <c r="BU3" s="146"/>
      <c r="BV3" s="146" t="s">
        <v>135</v>
      </c>
      <c r="BW3" s="146" t="s">
        <v>135</v>
      </c>
      <c r="BX3" s="148" t="s">
        <v>135</v>
      </c>
      <c r="BY3" s="149" t="s">
        <v>135</v>
      </c>
      <c r="BZ3" s="146"/>
      <c r="CA3" s="146"/>
      <c r="CB3" s="146" t="s">
        <v>135</v>
      </c>
      <c r="CC3" s="150" t="s">
        <v>135</v>
      </c>
      <c r="CD3" s="147" t="s">
        <v>135</v>
      </c>
      <c r="CE3" s="146"/>
      <c r="CF3" s="146"/>
      <c r="CG3" s="146">
        <v>5</v>
      </c>
      <c r="CH3" s="150" t="s">
        <v>1044</v>
      </c>
      <c r="CI3" s="147" t="s">
        <v>1044</v>
      </c>
      <c r="CJ3" s="144"/>
      <c r="CK3" s="144"/>
      <c r="CL3" s="144"/>
      <c r="CM3" s="145"/>
      <c r="CN3" s="343"/>
      <c r="CO3" s="343"/>
      <c r="CP3" s="343"/>
      <c r="CQ3" s="343"/>
      <c r="CR3" s="343"/>
      <c r="CS3" s="343"/>
      <c r="CT3" s="343"/>
      <c r="CU3" s="343"/>
      <c r="CV3" s="343"/>
      <c r="CW3" s="343"/>
      <c r="CX3" s="343"/>
      <c r="CY3" s="343"/>
      <c r="CZ3" s="343"/>
      <c r="DA3" s="343"/>
      <c r="DB3" s="343"/>
      <c r="DC3" s="343"/>
      <c r="DD3" s="343"/>
      <c r="DE3" s="343"/>
      <c r="DF3" s="343"/>
      <c r="DG3" s="343"/>
      <c r="DH3" s="343"/>
      <c r="DI3" s="343"/>
      <c r="DJ3" s="343"/>
      <c r="DK3" s="343"/>
      <c r="DL3" s="343"/>
      <c r="DM3" s="343"/>
      <c r="DN3" s="343"/>
      <c r="DO3" s="343"/>
      <c r="DP3" s="343"/>
      <c r="DQ3" s="343"/>
    </row>
    <row r="4" spans="1:121" s="344" customFormat="1" ht="156.75" customHeight="1" x14ac:dyDescent="0.2">
      <c r="A4" s="184"/>
      <c r="B4" s="220"/>
      <c r="C4" s="220"/>
      <c r="D4" s="220"/>
      <c r="F4" s="220"/>
      <c r="G4" s="220"/>
      <c r="H4" s="227"/>
      <c r="I4" s="647" t="s">
        <v>36</v>
      </c>
      <c r="J4" s="648"/>
      <c r="K4" s="649"/>
      <c r="L4" s="143" t="s">
        <v>1044</v>
      </c>
      <c r="M4" s="144" t="s">
        <v>1044</v>
      </c>
      <c r="N4" s="144" t="s">
        <v>1044</v>
      </c>
      <c r="O4" s="144" t="s">
        <v>1044</v>
      </c>
      <c r="P4" s="145" t="s">
        <v>1044</v>
      </c>
      <c r="Q4" s="143"/>
      <c r="R4" s="146"/>
      <c r="S4" s="146" t="s">
        <v>136</v>
      </c>
      <c r="T4" s="146" t="s">
        <v>137</v>
      </c>
      <c r="U4" s="150" t="s">
        <v>138</v>
      </c>
      <c r="V4" s="147" t="s">
        <v>139</v>
      </c>
      <c r="W4" s="146" t="s">
        <v>140</v>
      </c>
      <c r="X4" s="146" t="s">
        <v>141</v>
      </c>
      <c r="Y4" s="146" t="s">
        <v>142</v>
      </c>
      <c r="Z4" s="148" t="s">
        <v>143</v>
      </c>
      <c r="AA4" s="149" t="s">
        <v>144</v>
      </c>
      <c r="AB4" s="146" t="s">
        <v>145</v>
      </c>
      <c r="AC4" s="146" t="s">
        <v>146</v>
      </c>
      <c r="AD4" s="146" t="s">
        <v>147</v>
      </c>
      <c r="AE4" s="150" t="s">
        <v>148</v>
      </c>
      <c r="AF4" s="147" t="s">
        <v>149</v>
      </c>
      <c r="AG4" s="146" t="s">
        <v>922</v>
      </c>
      <c r="AH4" s="146" t="s">
        <v>921</v>
      </c>
      <c r="AI4" s="146" t="s">
        <v>1049</v>
      </c>
      <c r="AJ4" s="148"/>
      <c r="AK4" s="149"/>
      <c r="AL4" s="146" t="s">
        <v>150</v>
      </c>
      <c r="AM4" s="146" t="s">
        <v>151</v>
      </c>
      <c r="AN4" s="146" t="s">
        <v>152</v>
      </c>
      <c r="AO4" s="150" t="s">
        <v>153</v>
      </c>
      <c r="AP4" s="147" t="s">
        <v>154</v>
      </c>
      <c r="AQ4" s="146" t="s">
        <v>155</v>
      </c>
      <c r="AR4" s="146" t="s">
        <v>156</v>
      </c>
      <c r="AS4" s="151"/>
      <c r="AT4" s="148"/>
      <c r="AU4" s="149" t="s">
        <v>157</v>
      </c>
      <c r="AV4" s="146" t="s">
        <v>158</v>
      </c>
      <c r="AW4" s="146" t="s">
        <v>159</v>
      </c>
      <c r="AX4" s="146" t="s">
        <v>160</v>
      </c>
      <c r="AY4" s="150" t="s">
        <v>161</v>
      </c>
      <c r="AZ4" s="147" t="s">
        <v>162</v>
      </c>
      <c r="BA4" s="146" t="s">
        <v>163</v>
      </c>
      <c r="BB4" s="146" t="s">
        <v>164</v>
      </c>
      <c r="BC4" s="146" t="s">
        <v>165</v>
      </c>
      <c r="BD4" s="148" t="s">
        <v>166</v>
      </c>
      <c r="BE4" s="149"/>
      <c r="BF4" s="146"/>
      <c r="BG4" s="146" t="s">
        <v>167</v>
      </c>
      <c r="BH4" s="146" t="s">
        <v>168</v>
      </c>
      <c r="BI4" s="150" t="s">
        <v>169</v>
      </c>
      <c r="BJ4" s="147" t="s">
        <v>170</v>
      </c>
      <c r="BK4" s="146" t="s">
        <v>171</v>
      </c>
      <c r="BL4" s="146" t="s">
        <v>172</v>
      </c>
      <c r="BM4" s="146" t="s">
        <v>173</v>
      </c>
      <c r="BN4" s="148" t="s">
        <v>174</v>
      </c>
      <c r="BO4" s="149" t="s">
        <v>175</v>
      </c>
      <c r="BP4" s="146" t="s">
        <v>176</v>
      </c>
      <c r="BQ4" s="146"/>
      <c r="BR4" s="146"/>
      <c r="BS4" s="150" t="s">
        <v>177</v>
      </c>
      <c r="BT4" s="147"/>
      <c r="BU4" s="146"/>
      <c r="BV4" s="146" t="s">
        <v>178</v>
      </c>
      <c r="BW4" s="146" t="s">
        <v>179</v>
      </c>
      <c r="BX4" s="148" t="s">
        <v>180</v>
      </c>
      <c r="BY4" s="149" t="s">
        <v>181</v>
      </c>
      <c r="BZ4" s="146"/>
      <c r="CA4" s="146"/>
      <c r="CB4" s="146" t="s">
        <v>182</v>
      </c>
      <c r="CC4" s="150" t="s">
        <v>183</v>
      </c>
      <c r="CD4" s="147" t="s">
        <v>622</v>
      </c>
      <c r="CE4" s="146"/>
      <c r="CF4" s="146"/>
      <c r="CG4" s="146" t="s">
        <v>623</v>
      </c>
      <c r="CH4" s="150" t="s">
        <v>41</v>
      </c>
      <c r="CI4" s="147" t="s">
        <v>42</v>
      </c>
      <c r="CJ4" s="144"/>
      <c r="CK4" s="144"/>
      <c r="CL4" s="144"/>
      <c r="CM4" s="145"/>
      <c r="CN4" s="343"/>
      <c r="CO4" s="343"/>
      <c r="CP4" s="343"/>
      <c r="CQ4" s="343"/>
      <c r="CR4" s="343"/>
      <c r="CS4" s="343"/>
      <c r="CT4" s="343"/>
      <c r="CU4" s="343"/>
      <c r="CV4" s="343"/>
      <c r="CW4" s="343"/>
      <c r="CX4" s="343"/>
      <c r="CY4" s="343"/>
      <c r="CZ4" s="343"/>
      <c r="DA4" s="343"/>
      <c r="DB4" s="343"/>
      <c r="DC4" s="343"/>
      <c r="DD4" s="343"/>
      <c r="DE4" s="234"/>
      <c r="DF4" s="343"/>
      <c r="DG4" s="234"/>
      <c r="DH4" s="343"/>
      <c r="DI4" s="234"/>
      <c r="DJ4" s="343"/>
      <c r="DK4" s="234"/>
      <c r="DL4" s="343"/>
      <c r="DM4" s="234"/>
      <c r="DN4" s="343"/>
      <c r="DO4" s="234"/>
      <c r="DP4" s="343"/>
      <c r="DQ4" s="343"/>
    </row>
    <row r="5" spans="1:121" s="220" customFormat="1" ht="409.5" customHeight="1" x14ac:dyDescent="0.2">
      <c r="A5" s="184"/>
      <c r="H5" s="345" t="s">
        <v>25</v>
      </c>
      <c r="I5" s="694" t="s">
        <v>11</v>
      </c>
      <c r="J5" s="695"/>
      <c r="K5" s="696"/>
      <c r="L5" s="143" t="s">
        <v>130</v>
      </c>
      <c r="M5" s="144" t="s">
        <v>131</v>
      </c>
      <c r="N5" s="144" t="s">
        <v>132</v>
      </c>
      <c r="O5" s="144" t="s">
        <v>133</v>
      </c>
      <c r="P5" s="145" t="s">
        <v>134</v>
      </c>
      <c r="Q5" s="143"/>
      <c r="R5" s="152" t="s">
        <v>43</v>
      </c>
      <c r="S5" s="151" t="s">
        <v>184</v>
      </c>
      <c r="T5" s="151" t="s">
        <v>185</v>
      </c>
      <c r="U5" s="153" t="s">
        <v>624</v>
      </c>
      <c r="V5" s="154" t="s">
        <v>186</v>
      </c>
      <c r="W5" s="151" t="s">
        <v>187</v>
      </c>
      <c r="X5" s="151" t="s">
        <v>188</v>
      </c>
      <c r="Y5" s="151" t="s">
        <v>625</v>
      </c>
      <c r="Z5" s="155" t="s">
        <v>189</v>
      </c>
      <c r="AA5" s="156" t="s">
        <v>190</v>
      </c>
      <c r="AB5" s="151" t="s">
        <v>191</v>
      </c>
      <c r="AC5" s="151" t="s">
        <v>192</v>
      </c>
      <c r="AD5" s="151" t="s">
        <v>193</v>
      </c>
      <c r="AE5" s="157" t="s">
        <v>627</v>
      </c>
      <c r="AF5" s="154" t="s">
        <v>626</v>
      </c>
      <c r="AG5" s="158" t="s">
        <v>952</v>
      </c>
      <c r="AH5" s="159" t="s">
        <v>953</v>
      </c>
      <c r="AI5" s="159" t="s">
        <v>1048</v>
      </c>
      <c r="AJ5" s="155"/>
      <c r="AK5" s="160" t="s">
        <v>628</v>
      </c>
      <c r="AL5" s="151" t="s">
        <v>194</v>
      </c>
      <c r="AM5" s="151" t="s">
        <v>195</v>
      </c>
      <c r="AN5" s="151" t="s">
        <v>196</v>
      </c>
      <c r="AO5" s="153" t="s">
        <v>197</v>
      </c>
      <c r="AP5" s="154" t="s">
        <v>198</v>
      </c>
      <c r="AQ5" s="151" t="s">
        <v>199</v>
      </c>
      <c r="AR5" s="151" t="s">
        <v>200</v>
      </c>
      <c r="AS5" s="151"/>
      <c r="AT5" s="161" t="s">
        <v>629</v>
      </c>
      <c r="AU5" s="156" t="s">
        <v>201</v>
      </c>
      <c r="AV5" s="151" t="s">
        <v>202</v>
      </c>
      <c r="AW5" s="151" t="s">
        <v>203</v>
      </c>
      <c r="AX5" s="151" t="s">
        <v>204</v>
      </c>
      <c r="AY5" s="153" t="s">
        <v>205</v>
      </c>
      <c r="AZ5" s="154" t="s">
        <v>206</v>
      </c>
      <c r="BA5" s="151" t="s">
        <v>630</v>
      </c>
      <c r="BB5" s="151" t="s">
        <v>631</v>
      </c>
      <c r="BC5" s="151" t="s">
        <v>632</v>
      </c>
      <c r="BD5" s="155" t="s">
        <v>633</v>
      </c>
      <c r="BE5" s="156"/>
      <c r="BF5" s="152" t="s">
        <v>634</v>
      </c>
      <c r="BG5" s="151" t="s">
        <v>207</v>
      </c>
      <c r="BH5" s="151" t="s">
        <v>208</v>
      </c>
      <c r="BI5" s="153" t="s">
        <v>209</v>
      </c>
      <c r="BJ5" s="154" t="s">
        <v>210</v>
      </c>
      <c r="BK5" s="151" t="s">
        <v>635</v>
      </c>
      <c r="BL5" s="151" t="s">
        <v>211</v>
      </c>
      <c r="BM5" s="158" t="s">
        <v>636</v>
      </c>
      <c r="BN5" s="162" t="s">
        <v>637</v>
      </c>
      <c r="BO5" s="156" t="s">
        <v>638</v>
      </c>
      <c r="BP5" s="151" t="s">
        <v>639</v>
      </c>
      <c r="BQ5" s="151"/>
      <c r="BR5" s="152" t="s">
        <v>44</v>
      </c>
      <c r="BS5" s="157" t="s">
        <v>212</v>
      </c>
      <c r="BT5" s="163"/>
      <c r="BU5" s="152" t="s">
        <v>640</v>
      </c>
      <c r="BV5" s="158" t="s">
        <v>213</v>
      </c>
      <c r="BW5" s="151" t="s">
        <v>214</v>
      </c>
      <c r="BX5" s="162" t="s">
        <v>215</v>
      </c>
      <c r="BY5" s="164" t="s">
        <v>216</v>
      </c>
      <c r="BZ5" s="151"/>
      <c r="CA5" s="152" t="s">
        <v>641</v>
      </c>
      <c r="CB5" s="151" t="s">
        <v>217</v>
      </c>
      <c r="CC5" s="153" t="s">
        <v>218</v>
      </c>
      <c r="CD5" s="165" t="s">
        <v>219</v>
      </c>
      <c r="CE5" s="151"/>
      <c r="CF5" s="151"/>
      <c r="CG5" s="151" t="s">
        <v>642</v>
      </c>
      <c r="CH5" s="153" t="s">
        <v>45</v>
      </c>
      <c r="CI5" s="154" t="s">
        <v>643</v>
      </c>
      <c r="CJ5" s="144"/>
      <c r="CK5" s="144"/>
      <c r="CL5" s="144"/>
      <c r="CM5" s="145"/>
      <c r="CN5" s="346"/>
      <c r="CO5" s="347"/>
      <c r="CP5" s="346"/>
      <c r="CQ5" s="347"/>
      <c r="CR5" s="346"/>
      <c r="CS5" s="347"/>
      <c r="CT5" s="346"/>
      <c r="CU5" s="347"/>
      <c r="CV5" s="346"/>
      <c r="CW5" s="348"/>
      <c r="CX5" s="346"/>
      <c r="CY5" s="348"/>
      <c r="CZ5" s="346"/>
      <c r="DA5" s="346"/>
      <c r="DB5" s="346"/>
      <c r="DC5" s="347"/>
      <c r="DD5" s="346"/>
      <c r="DE5" s="346"/>
      <c r="DF5" s="346"/>
      <c r="DG5" s="346"/>
      <c r="DH5" s="346"/>
      <c r="DI5" s="346"/>
      <c r="DJ5" s="346"/>
      <c r="DK5" s="347"/>
      <c r="DL5" s="346"/>
      <c r="DM5" s="348"/>
      <c r="DN5" s="346"/>
      <c r="DO5" s="346"/>
      <c r="DP5" s="346"/>
      <c r="DQ5" s="348"/>
    </row>
    <row r="6" spans="1:121" s="220" customFormat="1" ht="140.25" customHeight="1" thickBot="1" x14ac:dyDescent="0.3">
      <c r="A6" s="184"/>
      <c r="D6" s="224"/>
      <c r="E6" s="226" t="s">
        <v>24</v>
      </c>
      <c r="I6" s="697" t="s">
        <v>37</v>
      </c>
      <c r="J6" s="698"/>
      <c r="K6" s="699"/>
      <c r="L6" s="166" t="s">
        <v>1044</v>
      </c>
      <c r="M6" s="167" t="s">
        <v>1044</v>
      </c>
      <c r="N6" s="167" t="s">
        <v>1044</v>
      </c>
      <c r="O6" s="167" t="s">
        <v>1044</v>
      </c>
      <c r="P6" s="168" t="s">
        <v>1044</v>
      </c>
      <c r="Q6" s="166"/>
      <c r="R6" s="169"/>
      <c r="S6" s="169" t="s">
        <v>220</v>
      </c>
      <c r="T6" s="169" t="s">
        <v>221</v>
      </c>
      <c r="U6" s="170" t="s">
        <v>222</v>
      </c>
      <c r="V6" s="171" t="s">
        <v>223</v>
      </c>
      <c r="W6" s="169" t="s">
        <v>224</v>
      </c>
      <c r="X6" s="169" t="s">
        <v>225</v>
      </c>
      <c r="Y6" s="169" t="s">
        <v>226</v>
      </c>
      <c r="Z6" s="172" t="s">
        <v>227</v>
      </c>
      <c r="AA6" s="173" t="s">
        <v>228</v>
      </c>
      <c r="AB6" s="169" t="s">
        <v>229</v>
      </c>
      <c r="AC6" s="169" t="s">
        <v>230</v>
      </c>
      <c r="AD6" s="169" t="s">
        <v>231</v>
      </c>
      <c r="AE6" s="170" t="s">
        <v>232</v>
      </c>
      <c r="AF6" s="171" t="s">
        <v>233</v>
      </c>
      <c r="AG6" s="169" t="s">
        <v>919</v>
      </c>
      <c r="AH6" s="169" t="s">
        <v>920</v>
      </c>
      <c r="AI6" s="169" t="s">
        <v>1047</v>
      </c>
      <c r="AJ6" s="172"/>
      <c r="AK6" s="173"/>
      <c r="AL6" s="169" t="s">
        <v>46</v>
      </c>
      <c r="AM6" s="169" t="s">
        <v>47</v>
      </c>
      <c r="AN6" s="169" t="s">
        <v>48</v>
      </c>
      <c r="AO6" s="170" t="s">
        <v>49</v>
      </c>
      <c r="AP6" s="171" t="s">
        <v>50</v>
      </c>
      <c r="AQ6" s="169" t="s">
        <v>234</v>
      </c>
      <c r="AR6" s="169" t="s">
        <v>51</v>
      </c>
      <c r="AS6" s="174"/>
      <c r="AT6" s="172"/>
      <c r="AU6" s="173" t="s">
        <v>235</v>
      </c>
      <c r="AV6" s="169" t="s">
        <v>236</v>
      </c>
      <c r="AW6" s="169" t="s">
        <v>237</v>
      </c>
      <c r="AX6" s="169" t="s">
        <v>238</v>
      </c>
      <c r="AY6" s="170" t="s">
        <v>239</v>
      </c>
      <c r="AZ6" s="171" t="s">
        <v>240</v>
      </c>
      <c r="BA6" s="169" t="s">
        <v>52</v>
      </c>
      <c r="BB6" s="169" t="s">
        <v>53</v>
      </c>
      <c r="BC6" s="169" t="s">
        <v>54</v>
      </c>
      <c r="BD6" s="172" t="s">
        <v>55</v>
      </c>
      <c r="BE6" s="173"/>
      <c r="BF6" s="169"/>
      <c r="BG6" s="169" t="s">
        <v>241</v>
      </c>
      <c r="BH6" s="169" t="s">
        <v>242</v>
      </c>
      <c r="BI6" s="170" t="s">
        <v>243</v>
      </c>
      <c r="BJ6" s="171" t="s">
        <v>244</v>
      </c>
      <c r="BK6" s="169" t="s">
        <v>245</v>
      </c>
      <c r="BL6" s="169" t="s">
        <v>246</v>
      </c>
      <c r="BM6" s="169" t="s">
        <v>56</v>
      </c>
      <c r="BN6" s="172" t="s">
        <v>57</v>
      </c>
      <c r="BO6" s="173" t="s">
        <v>58</v>
      </c>
      <c r="BP6" s="169" t="s">
        <v>59</v>
      </c>
      <c r="BQ6" s="169"/>
      <c r="BR6" s="169"/>
      <c r="BS6" s="170" t="s">
        <v>247</v>
      </c>
      <c r="BT6" s="171"/>
      <c r="BU6" s="169"/>
      <c r="BV6" s="169" t="s">
        <v>644</v>
      </c>
      <c r="BW6" s="169" t="s">
        <v>645</v>
      </c>
      <c r="BX6" s="172" t="s">
        <v>646</v>
      </c>
      <c r="BY6" s="173" t="s">
        <v>647</v>
      </c>
      <c r="BZ6" s="169"/>
      <c r="CA6" s="169"/>
      <c r="CB6" s="169" t="s">
        <v>60</v>
      </c>
      <c r="CC6" s="170" t="s">
        <v>61</v>
      </c>
      <c r="CD6" s="171" t="s">
        <v>249</v>
      </c>
      <c r="CE6" s="169"/>
      <c r="CF6" s="169"/>
      <c r="CG6" s="169" t="s">
        <v>648</v>
      </c>
      <c r="CH6" s="170" t="s">
        <v>62</v>
      </c>
      <c r="CI6" s="171" t="s">
        <v>62</v>
      </c>
      <c r="CJ6" s="167"/>
      <c r="CK6" s="167"/>
      <c r="CL6" s="167"/>
      <c r="CM6" s="168"/>
      <c r="CN6" s="343"/>
      <c r="CO6" s="343"/>
      <c r="CP6" s="343"/>
      <c r="CQ6" s="349"/>
      <c r="CR6" s="348"/>
      <c r="CS6" s="348"/>
      <c r="CT6" s="349"/>
      <c r="CU6" s="350"/>
      <c r="CV6" s="351"/>
      <c r="CW6" s="352"/>
      <c r="CX6" s="352"/>
      <c r="CY6" s="352"/>
      <c r="CZ6" s="353"/>
      <c r="DA6" s="354"/>
      <c r="DB6" s="354"/>
      <c r="DC6" s="354"/>
      <c r="DD6" s="343"/>
      <c r="DE6" s="354"/>
      <c r="DF6" s="355"/>
      <c r="DG6" s="354"/>
      <c r="DH6" s="355"/>
      <c r="DI6" s="354"/>
      <c r="DJ6" s="355"/>
      <c r="DK6" s="354"/>
      <c r="DL6" s="355"/>
      <c r="DM6" s="354"/>
      <c r="DN6" s="355"/>
      <c r="DO6" s="354"/>
      <c r="DP6" s="355"/>
      <c r="DQ6" s="355"/>
    </row>
    <row r="7" spans="1:121" s="316" customFormat="1" ht="25.5" customHeight="1" x14ac:dyDescent="0.25">
      <c r="A7" s="700" t="s">
        <v>3</v>
      </c>
      <c r="B7" s="703" t="s">
        <v>13</v>
      </c>
      <c r="C7" s="703" t="s">
        <v>1</v>
      </c>
      <c r="D7" s="703" t="s">
        <v>23</v>
      </c>
      <c r="E7" s="703" t="s">
        <v>11</v>
      </c>
      <c r="F7" s="703" t="s">
        <v>22</v>
      </c>
      <c r="G7" s="703" t="s">
        <v>37</v>
      </c>
      <c r="H7" s="706" t="s">
        <v>12</v>
      </c>
      <c r="I7" s="709" t="s">
        <v>2</v>
      </c>
      <c r="J7" s="710"/>
      <c r="K7" s="711"/>
      <c r="L7" s="136">
        <v>1</v>
      </c>
      <c r="M7" s="103">
        <v>2</v>
      </c>
      <c r="N7" s="103">
        <v>3</v>
      </c>
      <c r="O7" s="103">
        <v>4</v>
      </c>
      <c r="P7" s="137">
        <v>5</v>
      </c>
      <c r="Q7" s="136"/>
      <c r="R7" s="103"/>
      <c r="S7" s="103"/>
      <c r="T7" s="103"/>
      <c r="U7" s="138"/>
      <c r="V7" s="139"/>
      <c r="W7" s="103"/>
      <c r="X7" s="103"/>
      <c r="Y7" s="103"/>
      <c r="Z7" s="137"/>
      <c r="AA7" s="136"/>
      <c r="AB7" s="103"/>
      <c r="AC7" s="103"/>
      <c r="AD7" s="103"/>
      <c r="AE7" s="138"/>
      <c r="AF7" s="139"/>
      <c r="AG7" s="103"/>
      <c r="AH7" s="103"/>
      <c r="AI7" s="103"/>
      <c r="AJ7" s="137"/>
      <c r="AK7" s="136"/>
      <c r="AL7" s="103"/>
      <c r="AM7" s="103"/>
      <c r="AN7" s="103"/>
      <c r="AO7" s="138"/>
      <c r="AP7" s="139"/>
      <c r="AQ7" s="103"/>
      <c r="AR7" s="103"/>
      <c r="AS7" s="103"/>
      <c r="AT7" s="137"/>
      <c r="AU7" s="136"/>
      <c r="AV7" s="103"/>
      <c r="AW7" s="103"/>
      <c r="AX7" s="103"/>
      <c r="AY7" s="138"/>
      <c r="AZ7" s="139"/>
      <c r="BA7" s="103"/>
      <c r="BB7" s="103"/>
      <c r="BC7" s="103"/>
      <c r="BD7" s="137"/>
      <c r="BE7" s="136"/>
      <c r="BF7" s="103"/>
      <c r="BG7" s="103"/>
      <c r="BH7" s="103"/>
      <c r="BI7" s="138"/>
      <c r="BJ7" s="139"/>
      <c r="BK7" s="103"/>
      <c r="BL7" s="103"/>
      <c r="BM7" s="103"/>
      <c r="BN7" s="137"/>
      <c r="BO7" s="136"/>
      <c r="BP7" s="103"/>
      <c r="BQ7" s="103"/>
      <c r="BR7" s="103"/>
      <c r="BS7" s="138"/>
      <c r="BT7" s="139"/>
      <c r="BU7" s="103"/>
      <c r="BV7" s="103"/>
      <c r="BW7" s="103"/>
      <c r="BX7" s="137"/>
      <c r="BY7" s="136"/>
      <c r="BZ7" s="103"/>
      <c r="CA7" s="103"/>
      <c r="CB7" s="103"/>
      <c r="CC7" s="138"/>
      <c r="CD7" s="139"/>
      <c r="CE7" s="103"/>
      <c r="CF7" s="103"/>
      <c r="CG7" s="103"/>
      <c r="CH7" s="138"/>
      <c r="CI7" s="139"/>
      <c r="CJ7" s="215"/>
      <c r="CK7" s="215"/>
      <c r="CL7" s="215"/>
      <c r="CM7" s="216"/>
    </row>
    <row r="8" spans="1:121" s="316" customFormat="1" ht="25.5" customHeight="1" x14ac:dyDescent="0.25">
      <c r="A8" s="701"/>
      <c r="B8" s="704"/>
      <c r="C8" s="704"/>
      <c r="D8" s="704"/>
      <c r="E8" s="704"/>
      <c r="F8" s="704"/>
      <c r="G8" s="704"/>
      <c r="H8" s="707"/>
      <c r="I8" s="262"/>
      <c r="J8" s="712" t="s">
        <v>4</v>
      </c>
      <c r="K8" s="713"/>
      <c r="L8" s="140"/>
      <c r="M8" s="76"/>
      <c r="N8" s="76"/>
      <c r="O8" s="76"/>
      <c r="P8" s="141"/>
      <c r="Q8" s="140"/>
      <c r="R8" s="76"/>
      <c r="S8" s="76"/>
      <c r="T8" s="76"/>
      <c r="U8" s="81"/>
      <c r="V8" s="142"/>
      <c r="W8" s="76"/>
      <c r="X8" s="76"/>
      <c r="Y8" s="76"/>
      <c r="Z8" s="141"/>
      <c r="AA8" s="140"/>
      <c r="AB8" s="76"/>
      <c r="AC8" s="76"/>
      <c r="AD8" s="76"/>
      <c r="AE8" s="81"/>
      <c r="AF8" s="142"/>
      <c r="AG8" s="76"/>
      <c r="AH8" s="76"/>
      <c r="AI8" s="76"/>
      <c r="AJ8" s="141"/>
      <c r="AK8" s="140"/>
      <c r="AL8" s="76"/>
      <c r="AM8" s="76"/>
      <c r="AN8" s="76"/>
      <c r="AO8" s="81"/>
      <c r="AP8" s="142"/>
      <c r="AQ8" s="76"/>
      <c r="AR8" s="76"/>
      <c r="AS8" s="76"/>
      <c r="AT8" s="141"/>
      <c r="AU8" s="140"/>
      <c r="AV8" s="76"/>
      <c r="AW8" s="76"/>
      <c r="AX8" s="76"/>
      <c r="AY8" s="81"/>
      <c r="AZ8" s="142"/>
      <c r="BA8" s="76"/>
      <c r="BB8" s="76"/>
      <c r="BC8" s="76"/>
      <c r="BD8" s="141"/>
      <c r="BE8" s="140"/>
      <c r="BF8" s="76"/>
      <c r="BG8" s="76"/>
      <c r="BH8" s="76"/>
      <c r="BI8" s="81"/>
      <c r="BJ8" s="142"/>
      <c r="BK8" s="76"/>
      <c r="BL8" s="76"/>
      <c r="BM8" s="254"/>
      <c r="BN8" s="265"/>
      <c r="BO8" s="140"/>
      <c r="BP8" s="76"/>
      <c r="BQ8" s="76"/>
      <c r="BR8" s="76"/>
      <c r="BS8" s="81"/>
      <c r="BT8" s="142"/>
      <c r="BU8" s="76"/>
      <c r="BV8" s="76"/>
      <c r="BW8" s="76"/>
      <c r="BX8" s="141"/>
      <c r="BY8" s="140"/>
      <c r="BZ8" s="76"/>
      <c r="CA8" s="76"/>
      <c r="CB8" s="76"/>
      <c r="CC8" s="81"/>
      <c r="CD8" s="142"/>
      <c r="CE8" s="76"/>
      <c r="CF8" s="76"/>
      <c r="CG8" s="76"/>
      <c r="CH8" s="81"/>
      <c r="CI8" s="142"/>
      <c r="CJ8" s="199"/>
      <c r="CK8" s="199"/>
      <c r="CL8" s="199"/>
      <c r="CM8" s="200"/>
    </row>
    <row r="9" spans="1:121" s="316" customFormat="1" ht="25.5" customHeight="1" thickBot="1" x14ac:dyDescent="0.3">
      <c r="A9" s="702"/>
      <c r="B9" s="705"/>
      <c r="C9" s="705"/>
      <c r="D9" s="705"/>
      <c r="E9" s="705"/>
      <c r="F9" s="705"/>
      <c r="G9" s="705"/>
      <c r="H9" s="708"/>
      <c r="I9" s="356"/>
      <c r="J9" s="357"/>
      <c r="K9" s="205" t="s">
        <v>5</v>
      </c>
      <c r="L9" s="266"/>
      <c r="M9" s="255"/>
      <c r="N9" s="255"/>
      <c r="O9" s="255"/>
      <c r="P9" s="267"/>
      <c r="Q9" s="266"/>
      <c r="R9" s="89"/>
      <c r="S9" s="89"/>
      <c r="T9" s="89"/>
      <c r="U9" s="268"/>
      <c r="V9" s="269"/>
      <c r="W9" s="89"/>
      <c r="X9" s="89"/>
      <c r="Y9" s="89"/>
      <c r="Z9" s="270"/>
      <c r="AA9" s="271"/>
      <c r="AB9" s="89"/>
      <c r="AC9" s="89"/>
      <c r="AD9" s="89"/>
      <c r="AE9" s="268"/>
      <c r="AF9" s="269"/>
      <c r="AG9" s="89"/>
      <c r="AH9" s="89"/>
      <c r="AI9" s="89"/>
      <c r="AJ9" s="270"/>
      <c r="AK9" s="271"/>
      <c r="AL9" s="89" t="s">
        <v>910</v>
      </c>
      <c r="AM9" s="89">
        <v>18</v>
      </c>
      <c r="AN9" s="89">
        <v>1</v>
      </c>
      <c r="AO9" s="268">
        <v>19</v>
      </c>
      <c r="AP9" s="269">
        <v>1</v>
      </c>
      <c r="AQ9" s="89">
        <v>19</v>
      </c>
      <c r="AR9" s="89"/>
      <c r="AS9" s="89"/>
      <c r="AT9" s="270"/>
      <c r="AU9" s="271">
        <v>2</v>
      </c>
      <c r="AV9" s="89">
        <v>2</v>
      </c>
      <c r="AW9" s="89"/>
      <c r="AX9" s="89"/>
      <c r="AY9" s="268"/>
      <c r="AZ9" s="269"/>
      <c r="BA9" s="89">
        <v>1</v>
      </c>
      <c r="BB9" s="89">
        <v>20</v>
      </c>
      <c r="BC9" s="89">
        <v>1</v>
      </c>
      <c r="BD9" s="270">
        <v>20</v>
      </c>
      <c r="BE9" s="271"/>
      <c r="BF9" s="89"/>
      <c r="BG9" s="89">
        <v>2</v>
      </c>
      <c r="BH9" s="89">
        <v>2</v>
      </c>
      <c r="BI9" s="268"/>
      <c r="BJ9" s="269"/>
      <c r="BK9" s="89"/>
      <c r="BL9" s="89"/>
      <c r="BM9" s="89">
        <v>1</v>
      </c>
      <c r="BN9" s="270">
        <v>20</v>
      </c>
      <c r="BO9" s="271">
        <v>1</v>
      </c>
      <c r="BP9" s="89">
        <v>20</v>
      </c>
      <c r="BQ9" s="89"/>
      <c r="BR9" s="89"/>
      <c r="BS9" s="268"/>
      <c r="BT9" s="269"/>
      <c r="BU9" s="89"/>
      <c r="BV9" s="255">
        <v>2</v>
      </c>
      <c r="BW9" s="255" t="s">
        <v>250</v>
      </c>
      <c r="BX9" s="270">
        <v>2</v>
      </c>
      <c r="BY9" s="266" t="s">
        <v>250</v>
      </c>
      <c r="BZ9" s="89"/>
      <c r="CA9" s="89"/>
      <c r="CB9" s="89"/>
      <c r="CC9" s="268"/>
      <c r="CD9" s="269"/>
      <c r="CE9" s="89"/>
      <c r="CF9" s="89"/>
      <c r="CG9" s="89"/>
      <c r="CH9" s="268"/>
      <c r="CI9" s="269"/>
      <c r="CJ9" s="204"/>
      <c r="CK9" s="204"/>
      <c r="CL9" s="204"/>
      <c r="CM9" s="205"/>
    </row>
    <row r="10" spans="1:121" ht="25.5" customHeight="1" x14ac:dyDescent="0.25">
      <c r="A10" s="318">
        <v>51</v>
      </c>
      <c r="B10" s="75"/>
      <c r="C10" s="129"/>
      <c r="D10" s="92"/>
      <c r="E10" s="191" t="s">
        <v>628</v>
      </c>
      <c r="F10" s="75"/>
      <c r="G10" s="92"/>
      <c r="H10" s="113"/>
      <c r="I10" s="259"/>
      <c r="J10" s="130"/>
      <c r="K10" s="260"/>
      <c r="L10" s="272"/>
      <c r="M10" s="92"/>
      <c r="N10" s="92"/>
      <c r="O10" s="92"/>
      <c r="P10" s="273"/>
      <c r="Q10" s="272"/>
      <c r="R10" s="130"/>
      <c r="S10" s="130"/>
      <c r="T10" s="92"/>
      <c r="U10" s="113"/>
      <c r="V10" s="258"/>
      <c r="W10" s="130"/>
      <c r="X10" s="130"/>
      <c r="Y10" s="130"/>
      <c r="Z10" s="260"/>
      <c r="AA10" s="272"/>
      <c r="AB10" s="92"/>
      <c r="AC10" s="130"/>
      <c r="AD10" s="130"/>
      <c r="AE10" s="449"/>
      <c r="AF10" s="259"/>
      <c r="AG10" s="130"/>
      <c r="AH10" s="130"/>
      <c r="AI10" s="130"/>
      <c r="AJ10" s="260"/>
      <c r="AK10" s="272"/>
      <c r="AL10" s="130"/>
      <c r="AM10" s="130"/>
      <c r="AN10" s="130"/>
      <c r="AO10" s="113"/>
      <c r="AP10" s="259"/>
      <c r="AQ10" s="92"/>
      <c r="AR10" s="92"/>
      <c r="AS10" s="92"/>
      <c r="AT10" s="273"/>
      <c r="AU10" s="272"/>
      <c r="AV10" s="92"/>
      <c r="AW10" s="92"/>
      <c r="AX10" s="92"/>
      <c r="AY10" s="113"/>
      <c r="AZ10" s="258"/>
      <c r="BA10" s="92"/>
      <c r="BB10" s="92"/>
      <c r="BC10" s="92"/>
      <c r="BD10" s="273"/>
      <c r="BE10" s="272"/>
      <c r="BF10" s="92"/>
      <c r="BG10" s="92"/>
      <c r="BH10" s="92"/>
      <c r="BI10" s="113"/>
      <c r="BJ10" s="258"/>
      <c r="BK10" s="92"/>
      <c r="BL10" s="92"/>
      <c r="BM10" s="92"/>
      <c r="BN10" s="273"/>
      <c r="BO10" s="272"/>
      <c r="BP10" s="92"/>
      <c r="BQ10" s="92"/>
      <c r="BR10" s="130"/>
      <c r="BS10" s="449"/>
      <c r="BT10" s="259"/>
      <c r="BU10" s="92"/>
      <c r="BV10" s="92"/>
      <c r="BW10" s="92"/>
      <c r="BX10" s="273"/>
      <c r="BY10" s="272"/>
      <c r="BZ10" s="92"/>
      <c r="CA10" s="130"/>
      <c r="CB10" s="92"/>
      <c r="CC10" s="113"/>
      <c r="CD10" s="258"/>
      <c r="CE10" s="92"/>
      <c r="CF10" s="92"/>
      <c r="CG10" s="92"/>
      <c r="CH10" s="113"/>
      <c r="CI10" s="258"/>
      <c r="CJ10" s="210"/>
      <c r="CK10" s="210"/>
      <c r="CL10" s="210"/>
      <c r="CM10" s="211"/>
      <c r="CN10" s="366"/>
      <c r="CO10" s="366"/>
      <c r="CP10" s="366"/>
      <c r="CQ10" s="366"/>
      <c r="CR10" s="366"/>
      <c r="CS10" s="366"/>
      <c r="CT10" s="366"/>
      <c r="CU10" s="366"/>
      <c r="CV10" s="366"/>
      <c r="CW10" s="366"/>
      <c r="CX10" s="366"/>
      <c r="CY10" s="366"/>
      <c r="CZ10" s="366"/>
      <c r="DA10" s="366"/>
      <c r="DB10" s="366"/>
      <c r="DC10" s="366"/>
      <c r="DD10" s="366"/>
      <c r="DE10" s="366"/>
      <c r="DF10" s="366"/>
      <c r="DG10" s="366"/>
      <c r="DH10" s="366"/>
      <c r="DI10" s="366"/>
      <c r="DJ10" s="366"/>
      <c r="DK10" s="366"/>
      <c r="DL10" s="366"/>
      <c r="DM10" s="366"/>
      <c r="DN10" s="366"/>
    </row>
    <row r="11" spans="1:121" ht="25.5" customHeight="1" x14ac:dyDescent="0.25">
      <c r="A11" s="324">
        <v>52</v>
      </c>
      <c r="B11" s="72">
        <v>0</v>
      </c>
      <c r="C11" s="95">
        <v>1</v>
      </c>
      <c r="D11" s="79" t="s">
        <v>1064</v>
      </c>
      <c r="E11" s="77" t="s">
        <v>1065</v>
      </c>
      <c r="F11" s="72"/>
      <c r="G11" s="79" t="s">
        <v>1066</v>
      </c>
      <c r="H11" s="134" t="s">
        <v>1067</v>
      </c>
      <c r="I11" s="142"/>
      <c r="J11" s="76"/>
      <c r="K11" s="141"/>
      <c r="L11" s="367"/>
      <c r="M11" s="307"/>
      <c r="N11" s="307"/>
      <c r="O11" s="307"/>
      <c r="P11" s="369"/>
      <c r="Q11" s="274"/>
      <c r="R11" s="76"/>
      <c r="S11" s="310"/>
      <c r="T11" s="307"/>
      <c r="U11" s="370"/>
      <c r="V11" s="306"/>
      <c r="W11" s="310"/>
      <c r="X11" s="310"/>
      <c r="Y11" s="310"/>
      <c r="Z11" s="411"/>
      <c r="AA11" s="367"/>
      <c r="AB11" s="307"/>
      <c r="AC11" s="310"/>
      <c r="AD11" s="310"/>
      <c r="AE11" s="412"/>
      <c r="AF11" s="413"/>
      <c r="AG11" s="310"/>
      <c r="AH11" s="310"/>
      <c r="AI11" s="310"/>
      <c r="AJ11" s="141"/>
      <c r="AK11" s="274"/>
      <c r="AL11" s="310"/>
      <c r="AM11" s="310"/>
      <c r="AN11" s="310"/>
      <c r="AO11" s="370"/>
      <c r="AP11" s="413"/>
      <c r="AQ11" s="307"/>
      <c r="AR11" s="307"/>
      <c r="AS11" s="79"/>
      <c r="AT11" s="178"/>
      <c r="AU11" s="367"/>
      <c r="AV11" s="307"/>
      <c r="AW11" s="307"/>
      <c r="AX11" s="307"/>
      <c r="AY11" s="370"/>
      <c r="AZ11" s="306"/>
      <c r="BA11" s="307"/>
      <c r="BB11" s="307"/>
      <c r="BC11" s="307"/>
      <c r="BD11" s="369"/>
      <c r="BE11" s="274"/>
      <c r="BF11" s="79"/>
      <c r="BG11" s="307"/>
      <c r="BH11" s="307"/>
      <c r="BI11" s="370"/>
      <c r="BJ11" s="306"/>
      <c r="BK11" s="307"/>
      <c r="BL11" s="307"/>
      <c r="BM11" s="307"/>
      <c r="BN11" s="369"/>
      <c r="BO11" s="367"/>
      <c r="BP11" s="307"/>
      <c r="BQ11" s="79"/>
      <c r="BR11" s="76"/>
      <c r="BS11" s="412"/>
      <c r="BT11" s="142"/>
      <c r="BU11" s="79"/>
      <c r="BV11" s="307"/>
      <c r="BW11" s="307"/>
      <c r="BX11" s="369"/>
      <c r="BY11" s="367"/>
      <c r="BZ11" s="79"/>
      <c r="CA11" s="76"/>
      <c r="CB11" s="307"/>
      <c r="CC11" s="370"/>
      <c r="CD11" s="306"/>
      <c r="CE11" s="79"/>
      <c r="CF11" s="79"/>
      <c r="CG11" s="307"/>
      <c r="CH11" s="370"/>
      <c r="CI11" s="306"/>
      <c r="CJ11" s="202"/>
      <c r="CK11" s="202"/>
      <c r="CL11" s="202"/>
      <c r="CM11" s="203"/>
      <c r="CN11" s="366"/>
      <c r="CO11" s="366"/>
      <c r="CP11" s="366"/>
      <c r="CQ11" s="366"/>
      <c r="CR11" s="366"/>
      <c r="CS11" s="366"/>
      <c r="CT11" s="366"/>
      <c r="CU11" s="366"/>
      <c r="CV11" s="366"/>
      <c r="CW11" s="366"/>
      <c r="CX11" s="366"/>
      <c r="CY11" s="366"/>
      <c r="CZ11" s="366"/>
      <c r="DA11" s="366"/>
      <c r="DB11" s="375"/>
      <c r="DC11" s="366"/>
      <c r="DD11" s="366"/>
      <c r="DE11" s="366"/>
      <c r="DF11" s="366"/>
      <c r="DG11" s="366"/>
      <c r="DH11" s="366"/>
      <c r="DI11" s="366"/>
      <c r="DJ11" s="366"/>
      <c r="DK11" s="366"/>
      <c r="DL11" s="366"/>
      <c r="DM11" s="366"/>
      <c r="DN11" s="366"/>
    </row>
    <row r="12" spans="1:121" ht="25.5" customHeight="1" x14ac:dyDescent="0.25">
      <c r="A12" s="324">
        <v>53</v>
      </c>
      <c r="B12" s="72">
        <v>0</v>
      </c>
      <c r="C12" s="95">
        <v>1</v>
      </c>
      <c r="D12" s="79" t="s">
        <v>1068</v>
      </c>
      <c r="E12" s="77" t="s">
        <v>1069</v>
      </c>
      <c r="F12" s="72"/>
      <c r="G12" s="79" t="s">
        <v>1070</v>
      </c>
      <c r="H12" s="134" t="s">
        <v>1071</v>
      </c>
      <c r="I12" s="142"/>
      <c r="J12" s="76"/>
      <c r="K12" s="141"/>
      <c r="L12" s="367"/>
      <c r="M12" s="307"/>
      <c r="N12" s="307"/>
      <c r="O12" s="307"/>
      <c r="P12" s="369"/>
      <c r="Q12" s="274"/>
      <c r="R12" s="76"/>
      <c r="S12" s="310"/>
      <c r="T12" s="307"/>
      <c r="U12" s="370"/>
      <c r="V12" s="306"/>
      <c r="W12" s="310"/>
      <c r="X12" s="310"/>
      <c r="Y12" s="310"/>
      <c r="Z12" s="411"/>
      <c r="AA12" s="367"/>
      <c r="AB12" s="307"/>
      <c r="AC12" s="310"/>
      <c r="AD12" s="310"/>
      <c r="AE12" s="412"/>
      <c r="AF12" s="413"/>
      <c r="AG12" s="310"/>
      <c r="AH12" s="310"/>
      <c r="AI12" s="310"/>
      <c r="AJ12" s="141"/>
      <c r="AK12" s="274"/>
      <c r="AL12" s="310"/>
      <c r="AM12" s="310"/>
      <c r="AN12" s="310"/>
      <c r="AO12" s="370"/>
      <c r="AP12" s="413"/>
      <c r="AQ12" s="307"/>
      <c r="AR12" s="307"/>
      <c r="AS12" s="79"/>
      <c r="AT12" s="178"/>
      <c r="AU12" s="367"/>
      <c r="AV12" s="307"/>
      <c r="AW12" s="307"/>
      <c r="AX12" s="307"/>
      <c r="AY12" s="370"/>
      <c r="AZ12" s="306"/>
      <c r="BA12" s="307"/>
      <c r="BB12" s="307"/>
      <c r="BC12" s="307"/>
      <c r="BD12" s="369"/>
      <c r="BE12" s="274"/>
      <c r="BF12" s="79"/>
      <c r="BG12" s="307"/>
      <c r="BH12" s="307"/>
      <c r="BI12" s="370"/>
      <c r="BJ12" s="306"/>
      <c r="BK12" s="307"/>
      <c r="BL12" s="307"/>
      <c r="BM12" s="307"/>
      <c r="BN12" s="369"/>
      <c r="BO12" s="367"/>
      <c r="BP12" s="307"/>
      <c r="BQ12" s="79"/>
      <c r="BR12" s="76"/>
      <c r="BS12" s="412"/>
      <c r="BT12" s="142"/>
      <c r="BU12" s="79"/>
      <c r="BV12" s="307"/>
      <c r="BW12" s="307"/>
      <c r="BX12" s="369"/>
      <c r="BY12" s="367"/>
      <c r="BZ12" s="79"/>
      <c r="CA12" s="76"/>
      <c r="CB12" s="307"/>
      <c r="CC12" s="370"/>
      <c r="CD12" s="306"/>
      <c r="CE12" s="79"/>
      <c r="CF12" s="79"/>
      <c r="CG12" s="307"/>
      <c r="CH12" s="370"/>
      <c r="CI12" s="306"/>
      <c r="CJ12" s="202"/>
      <c r="CK12" s="202"/>
      <c r="CL12" s="202"/>
      <c r="CM12" s="203"/>
      <c r="CN12" s="366"/>
      <c r="CO12" s="366"/>
      <c r="CP12" s="366"/>
      <c r="CQ12" s="366"/>
      <c r="CR12" s="366"/>
      <c r="CS12" s="366"/>
      <c r="CT12" s="366"/>
      <c r="CU12" s="366"/>
      <c r="CV12" s="366"/>
      <c r="CW12" s="366"/>
      <c r="CX12" s="366"/>
      <c r="CY12" s="366"/>
      <c r="CZ12" s="366"/>
      <c r="DA12" s="366"/>
      <c r="DB12" s="366"/>
      <c r="DC12" s="366"/>
      <c r="DD12" s="366"/>
      <c r="DE12" s="366"/>
      <c r="DF12" s="366"/>
      <c r="DG12" s="366"/>
      <c r="DH12" s="366"/>
      <c r="DI12" s="366"/>
      <c r="DJ12" s="366"/>
      <c r="DK12" s="366"/>
      <c r="DL12" s="366"/>
      <c r="DM12" s="366"/>
      <c r="DN12" s="366"/>
    </row>
    <row r="13" spans="1:121" ht="25.5" customHeight="1" x14ac:dyDescent="0.25">
      <c r="A13" s="324">
        <v>54</v>
      </c>
      <c r="B13" s="72">
        <v>0</v>
      </c>
      <c r="C13" s="95">
        <v>1</v>
      </c>
      <c r="D13" s="79" t="s">
        <v>292</v>
      </c>
      <c r="E13" s="77" t="s">
        <v>1092</v>
      </c>
      <c r="F13" s="76" t="s">
        <v>693</v>
      </c>
      <c r="G13" s="79" t="s">
        <v>67</v>
      </c>
      <c r="H13" s="134" t="s">
        <v>585</v>
      </c>
      <c r="I13" s="142"/>
      <c r="J13" s="76"/>
      <c r="K13" s="141">
        <v>22</v>
      </c>
      <c r="L13" s="367"/>
      <c r="M13" s="307"/>
      <c r="N13" s="307"/>
      <c r="O13" s="307"/>
      <c r="P13" s="369"/>
      <c r="Q13" s="274"/>
      <c r="R13" s="76"/>
      <c r="S13" s="310"/>
      <c r="T13" s="307"/>
      <c r="U13" s="370"/>
      <c r="V13" s="306"/>
      <c r="W13" s="310"/>
      <c r="X13" s="310"/>
      <c r="Y13" s="310"/>
      <c r="Z13" s="411"/>
      <c r="AA13" s="367"/>
      <c r="AB13" s="307"/>
      <c r="AC13" s="310"/>
      <c r="AD13" s="310"/>
      <c r="AE13" s="412"/>
      <c r="AF13" s="413"/>
      <c r="AG13" s="310"/>
      <c r="AH13" s="310"/>
      <c r="AI13" s="310"/>
      <c r="AJ13" s="141"/>
      <c r="AK13" s="274"/>
      <c r="AL13" s="310"/>
      <c r="AM13" s="310"/>
      <c r="AN13" s="310"/>
      <c r="AO13" s="370"/>
      <c r="AP13" s="413"/>
      <c r="AQ13" s="307"/>
      <c r="AR13" s="307"/>
      <c r="AS13" s="79"/>
      <c r="AT13" s="178"/>
      <c r="AU13" s="367"/>
      <c r="AV13" s="307"/>
      <c r="AW13" s="307"/>
      <c r="AX13" s="307"/>
      <c r="AY13" s="370"/>
      <c r="AZ13" s="373" t="s">
        <v>1040</v>
      </c>
      <c r="BA13" s="307"/>
      <c r="BB13" s="307"/>
      <c r="BC13" s="307"/>
      <c r="BD13" s="369"/>
      <c r="BE13" s="274"/>
      <c r="BF13" s="79"/>
      <c r="BG13" s="307"/>
      <c r="BH13" s="307"/>
      <c r="BI13" s="370"/>
      <c r="BJ13" s="306"/>
      <c r="BK13" s="307"/>
      <c r="BL13" s="371" t="s">
        <v>1040</v>
      </c>
      <c r="BM13" s="307"/>
      <c r="BN13" s="369"/>
      <c r="BO13" s="367"/>
      <c r="BP13" s="307"/>
      <c r="BQ13" s="79"/>
      <c r="BR13" s="76"/>
      <c r="BS13" s="412"/>
      <c r="BT13" s="142"/>
      <c r="BU13" s="79"/>
      <c r="BV13" s="307"/>
      <c r="BW13" s="307"/>
      <c r="BX13" s="369"/>
      <c r="BY13" s="367"/>
      <c r="BZ13" s="79"/>
      <c r="CA13" s="76"/>
      <c r="CB13" s="307"/>
      <c r="CC13" s="370"/>
      <c r="CD13" s="306"/>
      <c r="CE13" s="79"/>
      <c r="CF13" s="79"/>
      <c r="CG13" s="307"/>
      <c r="CH13" s="370"/>
      <c r="CI13" s="306"/>
      <c r="CJ13" s="202"/>
      <c r="CK13" s="202"/>
      <c r="CL13" s="202"/>
      <c r="CM13" s="203"/>
      <c r="CN13" s="366"/>
      <c r="CO13" s="366"/>
      <c r="CP13" s="366"/>
      <c r="CQ13" s="366"/>
      <c r="CR13" s="366"/>
      <c r="CS13" s="366"/>
      <c r="CT13" s="366"/>
      <c r="CU13" s="366"/>
      <c r="CV13" s="366"/>
      <c r="CW13" s="366"/>
      <c r="CX13" s="366"/>
      <c r="CY13" s="366"/>
      <c r="CZ13" s="366"/>
      <c r="DA13" s="366"/>
      <c r="DB13" s="366"/>
      <c r="DC13" s="366"/>
      <c r="DD13" s="366"/>
      <c r="DE13" s="366"/>
      <c r="DF13" s="366"/>
      <c r="DG13" s="366"/>
      <c r="DH13" s="366"/>
      <c r="DI13" s="366"/>
      <c r="DJ13" s="366"/>
      <c r="DK13" s="366"/>
      <c r="DL13" s="366"/>
      <c r="DM13" s="366"/>
      <c r="DN13" s="366"/>
    </row>
    <row r="14" spans="1:121" ht="25.5" customHeight="1" thickBot="1" x14ac:dyDescent="0.3">
      <c r="A14" s="325">
        <v>55</v>
      </c>
      <c r="B14" s="73">
        <v>0</v>
      </c>
      <c r="C14" s="125">
        <v>1</v>
      </c>
      <c r="D14" s="74" t="s">
        <v>292</v>
      </c>
      <c r="E14" s="126" t="s">
        <v>1093</v>
      </c>
      <c r="F14" s="476" t="s">
        <v>694</v>
      </c>
      <c r="G14" s="74" t="s">
        <v>67</v>
      </c>
      <c r="H14" s="135" t="s">
        <v>797</v>
      </c>
      <c r="I14" s="269">
        <v>2</v>
      </c>
      <c r="J14" s="89"/>
      <c r="K14" s="270"/>
      <c r="L14" s="383"/>
      <c r="M14" s="454" t="s">
        <v>122</v>
      </c>
      <c r="N14" s="379"/>
      <c r="O14" s="379"/>
      <c r="P14" s="382"/>
      <c r="Q14" s="275"/>
      <c r="R14" s="89"/>
      <c r="S14" s="414"/>
      <c r="T14" s="379"/>
      <c r="U14" s="380"/>
      <c r="V14" s="381"/>
      <c r="W14" s="414"/>
      <c r="X14" s="414"/>
      <c r="Y14" s="414"/>
      <c r="Z14" s="415"/>
      <c r="AA14" s="383"/>
      <c r="AB14" s="379"/>
      <c r="AC14" s="414"/>
      <c r="AD14" s="414"/>
      <c r="AE14" s="416"/>
      <c r="AF14" s="417"/>
      <c r="AG14" s="414"/>
      <c r="AH14" s="414"/>
      <c r="AI14" s="414"/>
      <c r="AJ14" s="270"/>
      <c r="AK14" s="275"/>
      <c r="AL14" s="414"/>
      <c r="AM14" s="414"/>
      <c r="AN14" s="414"/>
      <c r="AO14" s="380"/>
      <c r="AP14" s="417"/>
      <c r="AQ14" s="379"/>
      <c r="AR14" s="379"/>
      <c r="AS14" s="74"/>
      <c r="AT14" s="276"/>
      <c r="AU14" s="383"/>
      <c r="AV14" s="379"/>
      <c r="AW14" s="379"/>
      <c r="AX14" s="385" t="s">
        <v>120</v>
      </c>
      <c r="AY14" s="380"/>
      <c r="AZ14" s="381"/>
      <c r="BA14" s="379"/>
      <c r="BB14" s="379"/>
      <c r="BC14" s="379"/>
      <c r="BD14" s="378" t="s">
        <v>121</v>
      </c>
      <c r="BE14" s="275"/>
      <c r="BF14" s="74"/>
      <c r="BG14" s="379"/>
      <c r="BH14" s="379"/>
      <c r="BI14" s="380"/>
      <c r="BJ14" s="384" t="s">
        <v>120</v>
      </c>
      <c r="BK14" s="379"/>
      <c r="BL14" s="379"/>
      <c r="BM14" s="379"/>
      <c r="BN14" s="382"/>
      <c r="BO14" s="383"/>
      <c r="BP14" s="385" t="s">
        <v>121</v>
      </c>
      <c r="BQ14" s="74"/>
      <c r="BR14" s="89"/>
      <c r="BS14" s="416"/>
      <c r="BT14" s="269"/>
      <c r="BU14" s="74"/>
      <c r="BV14" s="379"/>
      <c r="BW14" s="379"/>
      <c r="BX14" s="382"/>
      <c r="BY14" s="383"/>
      <c r="BZ14" s="74"/>
      <c r="CA14" s="89"/>
      <c r="CB14" s="379"/>
      <c r="CC14" s="380"/>
      <c r="CD14" s="381"/>
      <c r="CE14" s="74"/>
      <c r="CF14" s="74"/>
      <c r="CG14" s="379"/>
      <c r="CH14" s="386" t="s">
        <v>40</v>
      </c>
      <c r="CI14" s="384" t="s">
        <v>40</v>
      </c>
      <c r="CJ14" s="206"/>
      <c r="CK14" s="206"/>
      <c r="CL14" s="206"/>
      <c r="CM14" s="207"/>
      <c r="CN14" s="366"/>
      <c r="CO14" s="366"/>
      <c r="CP14" s="366"/>
      <c r="CQ14" s="366"/>
      <c r="CR14" s="366"/>
      <c r="CS14" s="366"/>
      <c r="CT14" s="366"/>
      <c r="CU14" s="366"/>
      <c r="CV14" s="366"/>
      <c r="CW14" s="366"/>
      <c r="CX14" s="366"/>
      <c r="CY14" s="366"/>
      <c r="CZ14" s="366"/>
      <c r="DA14" s="366"/>
      <c r="DB14" s="366"/>
      <c r="DC14" s="366"/>
      <c r="DD14" s="366"/>
      <c r="DE14" s="366"/>
      <c r="DF14" s="366"/>
      <c r="DG14" s="366"/>
      <c r="DH14" s="366"/>
      <c r="DI14" s="366"/>
      <c r="DJ14" s="366"/>
      <c r="DK14" s="366"/>
      <c r="DL14" s="366"/>
      <c r="DM14" s="366"/>
      <c r="DN14" s="366"/>
    </row>
    <row r="15" spans="1:121" ht="25.5" customHeight="1" x14ac:dyDescent="0.25">
      <c r="A15" s="318">
        <v>56</v>
      </c>
      <c r="B15" s="75">
        <v>0</v>
      </c>
      <c r="C15" s="129">
        <v>1</v>
      </c>
      <c r="D15" s="92" t="s">
        <v>292</v>
      </c>
      <c r="E15" s="93" t="s">
        <v>1094</v>
      </c>
      <c r="F15" s="475" t="s">
        <v>695</v>
      </c>
      <c r="G15" s="92" t="s">
        <v>67</v>
      </c>
      <c r="H15" s="113" t="s">
        <v>798</v>
      </c>
      <c r="I15" s="259"/>
      <c r="J15" s="130"/>
      <c r="K15" s="260"/>
      <c r="L15" s="308"/>
      <c r="M15" s="304"/>
      <c r="N15" s="304"/>
      <c r="O15" s="304"/>
      <c r="P15" s="359"/>
      <c r="Q15" s="272"/>
      <c r="R15" s="130"/>
      <c r="S15" s="418"/>
      <c r="T15" s="304"/>
      <c r="U15" s="361"/>
      <c r="V15" s="362"/>
      <c r="W15" s="418"/>
      <c r="X15" s="418"/>
      <c r="Y15" s="418"/>
      <c r="Z15" s="419"/>
      <c r="AA15" s="308"/>
      <c r="AB15" s="304"/>
      <c r="AC15" s="418"/>
      <c r="AD15" s="418"/>
      <c r="AE15" s="420"/>
      <c r="AF15" s="421"/>
      <c r="AG15" s="418"/>
      <c r="AH15" s="418"/>
      <c r="AI15" s="418"/>
      <c r="AJ15" s="260"/>
      <c r="AK15" s="272"/>
      <c r="AL15" s="418"/>
      <c r="AM15" s="418"/>
      <c r="AN15" s="418"/>
      <c r="AO15" s="361"/>
      <c r="AP15" s="421"/>
      <c r="AQ15" s="304"/>
      <c r="AR15" s="304"/>
      <c r="AS15" s="92"/>
      <c r="AT15" s="273"/>
      <c r="AU15" s="308"/>
      <c r="AV15" s="304"/>
      <c r="AW15" s="304"/>
      <c r="AX15" s="304"/>
      <c r="AY15" s="361"/>
      <c r="AZ15" s="362"/>
      <c r="BA15" s="304"/>
      <c r="BB15" s="304"/>
      <c r="BC15" s="304"/>
      <c r="BD15" s="359"/>
      <c r="BE15" s="272"/>
      <c r="BF15" s="92"/>
      <c r="BG15" s="304"/>
      <c r="BH15" s="304"/>
      <c r="BI15" s="361"/>
      <c r="BJ15" s="362"/>
      <c r="BK15" s="304"/>
      <c r="BL15" s="304"/>
      <c r="BM15" s="304"/>
      <c r="BN15" s="359"/>
      <c r="BO15" s="308"/>
      <c r="BP15" s="304"/>
      <c r="BQ15" s="92"/>
      <c r="BR15" s="130"/>
      <c r="BS15" s="420"/>
      <c r="BT15" s="259"/>
      <c r="BU15" s="92"/>
      <c r="BV15" s="304"/>
      <c r="BW15" s="304"/>
      <c r="BX15" s="359"/>
      <c r="BY15" s="308"/>
      <c r="BZ15" s="92"/>
      <c r="CA15" s="130"/>
      <c r="CB15" s="304"/>
      <c r="CC15" s="361"/>
      <c r="CD15" s="362"/>
      <c r="CE15" s="92"/>
      <c r="CF15" s="92"/>
      <c r="CG15" s="304"/>
      <c r="CH15" s="363" t="s">
        <v>40</v>
      </c>
      <c r="CI15" s="364" t="s">
        <v>40</v>
      </c>
      <c r="CJ15" s="210"/>
      <c r="CK15" s="210"/>
      <c r="CL15" s="210"/>
      <c r="CM15" s="211"/>
      <c r="CN15" s="366"/>
      <c r="CO15" s="366"/>
      <c r="CP15" s="366"/>
      <c r="CQ15" s="366"/>
      <c r="CR15" s="366"/>
      <c r="CS15" s="366"/>
      <c r="CT15" s="366"/>
      <c r="CU15" s="366"/>
      <c r="CV15" s="366"/>
      <c r="CW15" s="366"/>
      <c r="CX15" s="366"/>
      <c r="CY15" s="366"/>
      <c r="CZ15" s="366"/>
      <c r="DA15" s="366"/>
      <c r="DB15" s="366"/>
      <c r="DC15" s="366"/>
      <c r="DD15" s="366"/>
      <c r="DE15" s="366"/>
      <c r="DF15" s="366"/>
      <c r="DG15" s="366"/>
      <c r="DH15" s="366"/>
      <c r="DI15" s="366"/>
      <c r="DJ15" s="366"/>
      <c r="DK15" s="366"/>
      <c r="DL15" s="366"/>
      <c r="DM15" s="366"/>
      <c r="DN15" s="366"/>
    </row>
    <row r="16" spans="1:121" ht="25.5" customHeight="1" x14ac:dyDescent="0.25">
      <c r="A16" s="324">
        <v>57</v>
      </c>
      <c r="B16" s="72">
        <v>0</v>
      </c>
      <c r="C16" s="95">
        <v>1</v>
      </c>
      <c r="D16" s="79" t="s">
        <v>292</v>
      </c>
      <c r="E16" s="77" t="s">
        <v>1095</v>
      </c>
      <c r="F16" s="287" t="s">
        <v>1103</v>
      </c>
      <c r="G16" s="79" t="s">
        <v>67</v>
      </c>
      <c r="H16" s="134" t="s">
        <v>799</v>
      </c>
      <c r="I16" s="142">
        <v>2</v>
      </c>
      <c r="J16" s="76"/>
      <c r="K16" s="141"/>
      <c r="L16" s="367"/>
      <c r="M16" s="368" t="s">
        <v>122</v>
      </c>
      <c r="N16" s="307"/>
      <c r="O16" s="307"/>
      <c r="P16" s="369"/>
      <c r="Q16" s="274"/>
      <c r="R16" s="79"/>
      <c r="S16" s="307"/>
      <c r="T16" s="307"/>
      <c r="U16" s="370"/>
      <c r="V16" s="306"/>
      <c r="W16" s="307"/>
      <c r="X16" s="307"/>
      <c r="Y16" s="307"/>
      <c r="Z16" s="369"/>
      <c r="AA16" s="367"/>
      <c r="AB16" s="307"/>
      <c r="AC16" s="307"/>
      <c r="AD16" s="307"/>
      <c r="AE16" s="370"/>
      <c r="AF16" s="306"/>
      <c r="AG16" s="307"/>
      <c r="AH16" s="307"/>
      <c r="AI16" s="307"/>
      <c r="AJ16" s="178"/>
      <c r="AK16" s="274"/>
      <c r="AL16" s="307"/>
      <c r="AM16" s="307"/>
      <c r="AN16" s="307"/>
      <c r="AO16" s="370"/>
      <c r="AP16" s="306"/>
      <c r="AQ16" s="307"/>
      <c r="AR16" s="307"/>
      <c r="AS16" s="79"/>
      <c r="AT16" s="178"/>
      <c r="AU16" s="367"/>
      <c r="AV16" s="307"/>
      <c r="AW16" s="307"/>
      <c r="AX16" s="371" t="s">
        <v>120</v>
      </c>
      <c r="AY16" s="370"/>
      <c r="AZ16" s="306"/>
      <c r="BA16" s="307"/>
      <c r="BB16" s="307"/>
      <c r="BC16" s="307"/>
      <c r="BD16" s="372" t="s">
        <v>121</v>
      </c>
      <c r="BE16" s="274"/>
      <c r="BF16" s="79"/>
      <c r="BG16" s="307"/>
      <c r="BH16" s="307"/>
      <c r="BI16" s="370"/>
      <c r="BJ16" s="373" t="s">
        <v>120</v>
      </c>
      <c r="BK16" s="307"/>
      <c r="BL16" s="307"/>
      <c r="BM16" s="307"/>
      <c r="BN16" s="369"/>
      <c r="BO16" s="367"/>
      <c r="BP16" s="371" t="s">
        <v>121</v>
      </c>
      <c r="BQ16" s="79"/>
      <c r="BR16" s="79"/>
      <c r="BS16" s="370"/>
      <c r="BT16" s="261"/>
      <c r="BU16" s="79"/>
      <c r="BV16" s="307"/>
      <c r="BW16" s="307"/>
      <c r="BX16" s="369"/>
      <c r="BY16" s="367"/>
      <c r="BZ16" s="79"/>
      <c r="CA16" s="79"/>
      <c r="CB16" s="307"/>
      <c r="CC16" s="370"/>
      <c r="CD16" s="306"/>
      <c r="CE16" s="79"/>
      <c r="CF16" s="79"/>
      <c r="CG16" s="307"/>
      <c r="CH16" s="374" t="s">
        <v>40</v>
      </c>
      <c r="CI16" s="373" t="s">
        <v>40</v>
      </c>
      <c r="CJ16" s="202"/>
      <c r="CK16" s="202"/>
      <c r="CL16" s="202"/>
      <c r="CM16" s="203"/>
      <c r="CN16" s="366"/>
      <c r="CO16" s="366"/>
      <c r="CP16" s="366"/>
      <c r="CQ16" s="366"/>
      <c r="CR16" s="366"/>
      <c r="CS16" s="366"/>
      <c r="CT16" s="366"/>
      <c r="CU16" s="366"/>
      <c r="CV16" s="366"/>
      <c r="CW16" s="366"/>
      <c r="CX16" s="366"/>
      <c r="CY16" s="366"/>
      <c r="CZ16" s="366"/>
      <c r="DA16" s="366"/>
      <c r="DB16" s="366"/>
      <c r="DC16" s="366"/>
      <c r="DD16" s="366"/>
      <c r="DE16" s="366"/>
      <c r="DF16" s="366"/>
      <c r="DG16" s="366"/>
      <c r="DH16" s="366"/>
      <c r="DI16" s="366"/>
      <c r="DJ16" s="366"/>
      <c r="DK16" s="366"/>
      <c r="DL16" s="366"/>
      <c r="DM16" s="366"/>
      <c r="DN16" s="366"/>
    </row>
    <row r="17" spans="1:118" ht="25.5" customHeight="1" x14ac:dyDescent="0.25">
      <c r="A17" s="324">
        <v>58</v>
      </c>
      <c r="B17" s="72">
        <v>0</v>
      </c>
      <c r="C17" s="95">
        <v>1</v>
      </c>
      <c r="D17" s="79" t="s">
        <v>293</v>
      </c>
      <c r="E17" s="77" t="s">
        <v>1096</v>
      </c>
      <c r="F17" s="287" t="s">
        <v>696</v>
      </c>
      <c r="G17" s="79" t="s">
        <v>68</v>
      </c>
      <c r="H17" s="134" t="s">
        <v>586</v>
      </c>
      <c r="I17" s="142"/>
      <c r="J17" s="76"/>
      <c r="K17" s="141">
        <v>22</v>
      </c>
      <c r="L17" s="367"/>
      <c r="M17" s="307"/>
      <c r="N17" s="307"/>
      <c r="O17" s="307"/>
      <c r="P17" s="369"/>
      <c r="Q17" s="274"/>
      <c r="R17" s="79"/>
      <c r="S17" s="307"/>
      <c r="T17" s="307"/>
      <c r="U17" s="370"/>
      <c r="V17" s="306"/>
      <c r="W17" s="307"/>
      <c r="X17" s="307"/>
      <c r="Y17" s="307"/>
      <c r="Z17" s="369"/>
      <c r="AA17" s="367"/>
      <c r="AB17" s="307"/>
      <c r="AC17" s="307"/>
      <c r="AD17" s="307"/>
      <c r="AE17" s="370"/>
      <c r="AF17" s="306"/>
      <c r="AG17" s="307"/>
      <c r="AH17" s="307"/>
      <c r="AI17" s="307"/>
      <c r="AJ17" s="178"/>
      <c r="AK17" s="274"/>
      <c r="AL17" s="307"/>
      <c r="AM17" s="307"/>
      <c r="AN17" s="307"/>
      <c r="AO17" s="370"/>
      <c r="AP17" s="306"/>
      <c r="AQ17" s="307"/>
      <c r="AR17" s="307"/>
      <c r="AS17" s="79"/>
      <c r="AT17" s="178"/>
      <c r="AU17" s="367"/>
      <c r="AV17" s="307"/>
      <c r="AW17" s="307"/>
      <c r="AX17" s="307"/>
      <c r="AY17" s="370"/>
      <c r="AZ17" s="373" t="s">
        <v>1040</v>
      </c>
      <c r="BA17" s="307"/>
      <c r="BB17" s="307"/>
      <c r="BC17" s="307"/>
      <c r="BD17" s="369"/>
      <c r="BE17" s="274"/>
      <c r="BF17" s="79"/>
      <c r="BG17" s="307"/>
      <c r="BH17" s="307"/>
      <c r="BI17" s="370"/>
      <c r="BJ17" s="306"/>
      <c r="BK17" s="307"/>
      <c r="BL17" s="371" t="s">
        <v>1040</v>
      </c>
      <c r="BM17" s="307"/>
      <c r="BN17" s="369"/>
      <c r="BO17" s="367"/>
      <c r="BP17" s="307"/>
      <c r="BQ17" s="79"/>
      <c r="BR17" s="79"/>
      <c r="BS17" s="370"/>
      <c r="BT17" s="261"/>
      <c r="BU17" s="79"/>
      <c r="BV17" s="307"/>
      <c r="BW17" s="307"/>
      <c r="BX17" s="369"/>
      <c r="BY17" s="367"/>
      <c r="BZ17" s="79"/>
      <c r="CA17" s="79"/>
      <c r="CB17" s="307"/>
      <c r="CC17" s="370"/>
      <c r="CD17" s="306"/>
      <c r="CE17" s="79"/>
      <c r="CF17" s="79"/>
      <c r="CG17" s="307"/>
      <c r="CH17" s="370"/>
      <c r="CI17" s="306"/>
      <c r="CJ17" s="202"/>
      <c r="CK17" s="202"/>
      <c r="CL17" s="202"/>
      <c r="CM17" s="203"/>
      <c r="CN17" s="366"/>
      <c r="CO17" s="366"/>
      <c r="CP17" s="366"/>
      <c r="CQ17" s="366"/>
      <c r="CR17" s="366"/>
      <c r="CS17" s="366"/>
      <c r="CT17" s="366"/>
      <c r="CU17" s="366"/>
      <c r="CV17" s="366"/>
      <c r="CW17" s="366"/>
      <c r="CX17" s="366"/>
      <c r="CY17" s="366"/>
      <c r="CZ17" s="366"/>
      <c r="DA17" s="366"/>
      <c r="DB17" s="366"/>
      <c r="DC17" s="366"/>
      <c r="DD17" s="366"/>
      <c r="DE17" s="366"/>
      <c r="DF17" s="366"/>
      <c r="DG17" s="366"/>
      <c r="DH17" s="366"/>
      <c r="DI17" s="366"/>
      <c r="DJ17" s="366"/>
      <c r="DK17" s="366"/>
      <c r="DL17" s="366"/>
      <c r="DM17" s="366"/>
      <c r="DN17" s="366"/>
    </row>
    <row r="18" spans="1:118" ht="25.5" customHeight="1" x14ac:dyDescent="0.25">
      <c r="A18" s="324">
        <v>59</v>
      </c>
      <c r="B18" s="72">
        <v>0</v>
      </c>
      <c r="C18" s="95">
        <v>1</v>
      </c>
      <c r="D18" s="79" t="s">
        <v>293</v>
      </c>
      <c r="E18" s="77" t="s">
        <v>1097</v>
      </c>
      <c r="F18" s="287" t="s">
        <v>697</v>
      </c>
      <c r="G18" s="79" t="s">
        <v>68</v>
      </c>
      <c r="H18" s="134" t="s">
        <v>800</v>
      </c>
      <c r="I18" s="142">
        <v>2</v>
      </c>
      <c r="J18" s="76"/>
      <c r="K18" s="141"/>
      <c r="L18" s="367"/>
      <c r="M18" s="368" t="s">
        <v>122</v>
      </c>
      <c r="N18" s="307"/>
      <c r="O18" s="307"/>
      <c r="P18" s="369"/>
      <c r="Q18" s="274"/>
      <c r="R18" s="79"/>
      <c r="S18" s="307"/>
      <c r="T18" s="307"/>
      <c r="U18" s="370"/>
      <c r="V18" s="306"/>
      <c r="W18" s="307"/>
      <c r="X18" s="307"/>
      <c r="Y18" s="307"/>
      <c r="Z18" s="369"/>
      <c r="AA18" s="367"/>
      <c r="AB18" s="307"/>
      <c r="AC18" s="307"/>
      <c r="AD18" s="307"/>
      <c r="AE18" s="370"/>
      <c r="AF18" s="306"/>
      <c r="AG18" s="307"/>
      <c r="AH18" s="307"/>
      <c r="AI18" s="307"/>
      <c r="AJ18" s="178"/>
      <c r="AK18" s="274"/>
      <c r="AL18" s="307"/>
      <c r="AM18" s="307"/>
      <c r="AN18" s="307"/>
      <c r="AO18" s="370"/>
      <c r="AP18" s="306"/>
      <c r="AQ18" s="307"/>
      <c r="AR18" s="307"/>
      <c r="AS18" s="79"/>
      <c r="AT18" s="178"/>
      <c r="AU18" s="367"/>
      <c r="AV18" s="307"/>
      <c r="AW18" s="307"/>
      <c r="AX18" s="371" t="s">
        <v>120</v>
      </c>
      <c r="AY18" s="370"/>
      <c r="AZ18" s="306"/>
      <c r="BA18" s="307"/>
      <c r="BB18" s="307"/>
      <c r="BC18" s="307"/>
      <c r="BD18" s="372" t="s">
        <v>121</v>
      </c>
      <c r="BE18" s="274"/>
      <c r="BF18" s="79"/>
      <c r="BG18" s="307"/>
      <c r="BH18" s="307"/>
      <c r="BI18" s="370"/>
      <c r="BJ18" s="373" t="s">
        <v>120</v>
      </c>
      <c r="BK18" s="307"/>
      <c r="BL18" s="307"/>
      <c r="BM18" s="307"/>
      <c r="BN18" s="369"/>
      <c r="BO18" s="367"/>
      <c r="BP18" s="371" t="s">
        <v>121</v>
      </c>
      <c r="BQ18" s="79"/>
      <c r="BR18" s="79"/>
      <c r="BS18" s="370"/>
      <c r="BT18" s="261"/>
      <c r="BU18" s="79"/>
      <c r="BV18" s="307"/>
      <c r="BW18" s="307"/>
      <c r="BX18" s="369"/>
      <c r="BY18" s="367"/>
      <c r="BZ18" s="79"/>
      <c r="CA18" s="79"/>
      <c r="CB18" s="307"/>
      <c r="CC18" s="370"/>
      <c r="CD18" s="306"/>
      <c r="CE18" s="79"/>
      <c r="CF18" s="79"/>
      <c r="CG18" s="307"/>
      <c r="CH18" s="374" t="s">
        <v>40</v>
      </c>
      <c r="CI18" s="373" t="s">
        <v>40</v>
      </c>
      <c r="CJ18" s="202"/>
      <c r="CK18" s="202"/>
      <c r="CL18" s="202"/>
      <c r="CM18" s="203"/>
      <c r="CN18" s="366"/>
      <c r="CO18" s="366"/>
      <c r="CP18" s="366"/>
      <c r="CQ18" s="366"/>
      <c r="CR18" s="366"/>
      <c r="CS18" s="366"/>
      <c r="CT18" s="366"/>
      <c r="CU18" s="366"/>
      <c r="CV18" s="366"/>
      <c r="CW18" s="366"/>
      <c r="CX18" s="366"/>
      <c r="CY18" s="366"/>
      <c r="CZ18" s="366"/>
      <c r="DA18" s="366"/>
      <c r="DB18" s="366"/>
      <c r="DC18" s="366"/>
      <c r="DD18" s="366"/>
      <c r="DE18" s="366"/>
      <c r="DF18" s="366"/>
      <c r="DG18" s="366"/>
      <c r="DH18" s="366"/>
      <c r="DI18" s="366"/>
      <c r="DJ18" s="366"/>
      <c r="DK18" s="366"/>
      <c r="DL18" s="366"/>
      <c r="DM18" s="366"/>
      <c r="DN18" s="366"/>
    </row>
    <row r="19" spans="1:118" ht="25.5" customHeight="1" thickBot="1" x14ac:dyDescent="0.3">
      <c r="A19" s="331">
        <v>60</v>
      </c>
      <c r="B19" s="82">
        <v>0</v>
      </c>
      <c r="C19" s="101">
        <v>1</v>
      </c>
      <c r="D19" s="190" t="s">
        <v>293</v>
      </c>
      <c r="E19" s="117" t="s">
        <v>1098</v>
      </c>
      <c r="F19" s="477" t="s">
        <v>696</v>
      </c>
      <c r="G19" s="190" t="s">
        <v>68</v>
      </c>
      <c r="H19" s="195" t="s">
        <v>801</v>
      </c>
      <c r="I19" s="257"/>
      <c r="J19" s="99"/>
      <c r="K19" s="264"/>
      <c r="L19" s="395"/>
      <c r="M19" s="390"/>
      <c r="N19" s="390"/>
      <c r="O19" s="390"/>
      <c r="P19" s="391"/>
      <c r="Q19" s="278"/>
      <c r="R19" s="99"/>
      <c r="S19" s="422"/>
      <c r="T19" s="390"/>
      <c r="U19" s="393"/>
      <c r="V19" s="394"/>
      <c r="W19" s="422"/>
      <c r="X19" s="422"/>
      <c r="Y19" s="422"/>
      <c r="Z19" s="423"/>
      <c r="AA19" s="395"/>
      <c r="AB19" s="390"/>
      <c r="AC19" s="422"/>
      <c r="AD19" s="422"/>
      <c r="AE19" s="424"/>
      <c r="AF19" s="425"/>
      <c r="AG19" s="422"/>
      <c r="AH19" s="422"/>
      <c r="AI19" s="422"/>
      <c r="AJ19" s="264"/>
      <c r="AK19" s="278"/>
      <c r="AL19" s="422"/>
      <c r="AM19" s="422"/>
      <c r="AN19" s="422"/>
      <c r="AO19" s="393"/>
      <c r="AP19" s="425"/>
      <c r="AQ19" s="390"/>
      <c r="AR19" s="390"/>
      <c r="AS19" s="190"/>
      <c r="AT19" s="279"/>
      <c r="AU19" s="395"/>
      <c r="AV19" s="390"/>
      <c r="AW19" s="390"/>
      <c r="AX19" s="390"/>
      <c r="AY19" s="393"/>
      <c r="AZ19" s="394"/>
      <c r="BA19" s="390"/>
      <c r="BB19" s="390"/>
      <c r="BC19" s="390"/>
      <c r="BD19" s="391"/>
      <c r="BE19" s="278"/>
      <c r="BF19" s="190"/>
      <c r="BG19" s="390"/>
      <c r="BH19" s="390"/>
      <c r="BI19" s="393"/>
      <c r="BJ19" s="394"/>
      <c r="BK19" s="390"/>
      <c r="BL19" s="390"/>
      <c r="BM19" s="390"/>
      <c r="BN19" s="391"/>
      <c r="BO19" s="395"/>
      <c r="BP19" s="390"/>
      <c r="BQ19" s="190"/>
      <c r="BR19" s="99"/>
      <c r="BS19" s="424"/>
      <c r="BT19" s="257"/>
      <c r="BU19" s="190"/>
      <c r="BV19" s="390"/>
      <c r="BW19" s="390"/>
      <c r="BX19" s="391"/>
      <c r="BY19" s="395"/>
      <c r="BZ19" s="190"/>
      <c r="CA19" s="99"/>
      <c r="CB19" s="390"/>
      <c r="CC19" s="393"/>
      <c r="CD19" s="394"/>
      <c r="CE19" s="190"/>
      <c r="CF19" s="190"/>
      <c r="CG19" s="390"/>
      <c r="CH19" s="396" t="s">
        <v>40</v>
      </c>
      <c r="CI19" s="397" t="s">
        <v>40</v>
      </c>
      <c r="CJ19" s="213"/>
      <c r="CK19" s="213"/>
      <c r="CL19" s="213"/>
      <c r="CM19" s="214"/>
      <c r="CN19" s="366"/>
      <c r="CO19" s="366"/>
      <c r="CP19" s="366"/>
      <c r="CQ19" s="366"/>
      <c r="CR19" s="366"/>
      <c r="CS19" s="366"/>
      <c r="CT19" s="366"/>
      <c r="CU19" s="366"/>
      <c r="CV19" s="366"/>
      <c r="CW19" s="366"/>
      <c r="CX19" s="366"/>
      <c r="CY19" s="366"/>
      <c r="CZ19" s="366"/>
      <c r="DA19" s="366"/>
      <c r="DB19" s="366"/>
      <c r="DC19" s="366"/>
      <c r="DD19" s="366"/>
      <c r="DE19" s="366"/>
      <c r="DF19" s="366"/>
      <c r="DG19" s="366"/>
      <c r="DH19" s="366"/>
      <c r="DI19" s="366"/>
      <c r="DJ19" s="366"/>
      <c r="DK19" s="366"/>
      <c r="DL19" s="366"/>
      <c r="DM19" s="366"/>
      <c r="DN19" s="366"/>
    </row>
    <row r="20" spans="1:118" ht="25.5" customHeight="1" x14ac:dyDescent="0.25">
      <c r="A20" s="332">
        <v>61</v>
      </c>
      <c r="B20" s="85">
        <v>0</v>
      </c>
      <c r="C20" s="105">
        <v>1</v>
      </c>
      <c r="D20" s="87" t="s">
        <v>294</v>
      </c>
      <c r="E20" s="133" t="s">
        <v>1099</v>
      </c>
      <c r="F20" s="478"/>
      <c r="G20" s="87" t="s">
        <v>69</v>
      </c>
      <c r="H20" s="194" t="s">
        <v>587</v>
      </c>
      <c r="I20" s="139"/>
      <c r="J20" s="103"/>
      <c r="K20" s="137"/>
      <c r="L20" s="407"/>
      <c r="M20" s="402"/>
      <c r="N20" s="402"/>
      <c r="O20" s="402"/>
      <c r="P20" s="403"/>
      <c r="Q20" s="281"/>
      <c r="R20" s="103"/>
      <c r="S20" s="426"/>
      <c r="T20" s="402"/>
      <c r="U20" s="405"/>
      <c r="V20" s="406"/>
      <c r="W20" s="426"/>
      <c r="X20" s="426"/>
      <c r="Y20" s="426"/>
      <c r="Z20" s="427"/>
      <c r="AA20" s="407"/>
      <c r="AB20" s="402"/>
      <c r="AC20" s="426"/>
      <c r="AD20" s="426"/>
      <c r="AE20" s="428"/>
      <c r="AF20" s="429"/>
      <c r="AG20" s="426"/>
      <c r="AH20" s="426"/>
      <c r="AI20" s="426"/>
      <c r="AJ20" s="137"/>
      <c r="AK20" s="281"/>
      <c r="AL20" s="426"/>
      <c r="AM20" s="426"/>
      <c r="AN20" s="426"/>
      <c r="AO20" s="405"/>
      <c r="AP20" s="429"/>
      <c r="AQ20" s="402"/>
      <c r="AR20" s="404" t="s">
        <v>1040</v>
      </c>
      <c r="AS20" s="87"/>
      <c r="AT20" s="282"/>
      <c r="AU20" s="407"/>
      <c r="AV20" s="402"/>
      <c r="AW20" s="402"/>
      <c r="AX20" s="402"/>
      <c r="AY20" s="405"/>
      <c r="AZ20" s="406"/>
      <c r="BA20" s="402"/>
      <c r="BB20" s="402"/>
      <c r="BC20" s="402"/>
      <c r="BD20" s="403"/>
      <c r="BE20" s="281"/>
      <c r="BF20" s="87"/>
      <c r="BG20" s="402"/>
      <c r="BH20" s="402"/>
      <c r="BI20" s="405"/>
      <c r="BJ20" s="406"/>
      <c r="BK20" s="402"/>
      <c r="BL20" s="402"/>
      <c r="BM20" s="402"/>
      <c r="BN20" s="403"/>
      <c r="BO20" s="407"/>
      <c r="BP20" s="402"/>
      <c r="BQ20" s="87"/>
      <c r="BR20" s="103"/>
      <c r="BS20" s="428"/>
      <c r="BT20" s="139"/>
      <c r="BU20" s="87"/>
      <c r="BV20" s="402"/>
      <c r="BW20" s="402"/>
      <c r="BX20" s="403"/>
      <c r="BY20" s="407"/>
      <c r="BZ20" s="87"/>
      <c r="CA20" s="103"/>
      <c r="CB20" s="402"/>
      <c r="CC20" s="405"/>
      <c r="CD20" s="406"/>
      <c r="CE20" s="87"/>
      <c r="CF20" s="87"/>
      <c r="CG20" s="402"/>
      <c r="CH20" s="405"/>
      <c r="CI20" s="406"/>
      <c r="CJ20" s="217"/>
      <c r="CK20" s="217"/>
      <c r="CL20" s="217"/>
      <c r="CM20" s="218"/>
      <c r="CN20" s="366"/>
      <c r="CO20" s="366"/>
      <c r="CP20" s="366"/>
      <c r="CQ20" s="366"/>
      <c r="CR20" s="366"/>
      <c r="CS20" s="366"/>
      <c r="CT20" s="366"/>
      <c r="CU20" s="366"/>
      <c r="CV20" s="366"/>
      <c r="CW20" s="366"/>
      <c r="CX20" s="366"/>
      <c r="CY20" s="366"/>
      <c r="CZ20" s="366"/>
      <c r="DA20" s="366"/>
      <c r="DB20" s="366"/>
      <c r="DC20" s="366"/>
      <c r="DD20" s="366"/>
      <c r="DE20" s="366"/>
      <c r="DF20" s="366"/>
      <c r="DG20" s="366"/>
      <c r="DH20" s="366"/>
      <c r="DI20" s="366"/>
      <c r="DJ20" s="366"/>
      <c r="DK20" s="366"/>
      <c r="DL20" s="366"/>
      <c r="DM20" s="366"/>
      <c r="DN20" s="366"/>
    </row>
    <row r="21" spans="1:118" ht="25.5" customHeight="1" x14ac:dyDescent="0.2">
      <c r="A21" s="324">
        <v>62</v>
      </c>
      <c r="B21" s="72">
        <v>0</v>
      </c>
      <c r="C21" s="95">
        <v>1</v>
      </c>
      <c r="D21" s="79" t="s">
        <v>294</v>
      </c>
      <c r="E21" s="77" t="s">
        <v>1100</v>
      </c>
      <c r="F21" s="76" t="s">
        <v>697</v>
      </c>
      <c r="G21" s="79" t="s">
        <v>69</v>
      </c>
      <c r="H21" s="134" t="s">
        <v>802</v>
      </c>
      <c r="I21" s="142">
        <v>2</v>
      </c>
      <c r="J21" s="76"/>
      <c r="K21" s="141"/>
      <c r="L21" s="367"/>
      <c r="M21" s="368" t="s">
        <v>122</v>
      </c>
      <c r="N21" s="307"/>
      <c r="O21" s="307"/>
      <c r="P21" s="369"/>
      <c r="Q21" s="274"/>
      <c r="R21" s="79"/>
      <c r="S21" s="307"/>
      <c r="T21" s="307"/>
      <c r="U21" s="370"/>
      <c r="V21" s="306"/>
      <c r="W21" s="307"/>
      <c r="X21" s="307"/>
      <c r="Y21" s="307"/>
      <c r="Z21" s="369"/>
      <c r="AA21" s="367"/>
      <c r="AB21" s="307"/>
      <c r="AC21" s="307"/>
      <c r="AD21" s="307"/>
      <c r="AE21" s="370"/>
      <c r="AF21" s="306"/>
      <c r="AG21" s="307"/>
      <c r="AH21" s="307"/>
      <c r="AI21" s="307"/>
      <c r="AJ21" s="178"/>
      <c r="AK21" s="274"/>
      <c r="AL21" s="307"/>
      <c r="AM21" s="307"/>
      <c r="AN21" s="307"/>
      <c r="AO21" s="370"/>
      <c r="AP21" s="306"/>
      <c r="AQ21" s="307"/>
      <c r="AR21" s="307"/>
      <c r="AS21" s="79"/>
      <c r="AT21" s="178"/>
      <c r="AU21" s="367"/>
      <c r="AV21" s="307"/>
      <c r="AW21" s="307"/>
      <c r="AX21" s="371" t="s">
        <v>120</v>
      </c>
      <c r="AY21" s="370"/>
      <c r="AZ21" s="306"/>
      <c r="BA21" s="307"/>
      <c r="BB21" s="307"/>
      <c r="BC21" s="307"/>
      <c r="BD21" s="372" t="s">
        <v>121</v>
      </c>
      <c r="BE21" s="274"/>
      <c r="BF21" s="79"/>
      <c r="BG21" s="307"/>
      <c r="BH21" s="307"/>
      <c r="BI21" s="370"/>
      <c r="BJ21" s="373" t="s">
        <v>120</v>
      </c>
      <c r="BK21" s="307"/>
      <c r="BL21" s="307"/>
      <c r="BM21" s="307"/>
      <c r="BN21" s="369"/>
      <c r="BO21" s="367"/>
      <c r="BP21" s="371" t="s">
        <v>121</v>
      </c>
      <c r="BQ21" s="79"/>
      <c r="BR21" s="79"/>
      <c r="BS21" s="370"/>
      <c r="BT21" s="261"/>
      <c r="BU21" s="79"/>
      <c r="BV21" s="307"/>
      <c r="BW21" s="307"/>
      <c r="BX21" s="369"/>
      <c r="BY21" s="367"/>
      <c r="BZ21" s="79"/>
      <c r="CA21" s="79"/>
      <c r="CB21" s="307"/>
      <c r="CC21" s="370"/>
      <c r="CD21" s="306"/>
      <c r="CE21" s="79"/>
      <c r="CF21" s="79"/>
      <c r="CG21" s="307"/>
      <c r="CH21" s="374" t="s">
        <v>40</v>
      </c>
      <c r="CI21" s="373" t="s">
        <v>40</v>
      </c>
      <c r="CJ21" s="202"/>
      <c r="CK21" s="202"/>
      <c r="CL21" s="202"/>
      <c r="CM21" s="203"/>
    </row>
    <row r="22" spans="1:118" ht="25.5" customHeight="1" x14ac:dyDescent="0.2">
      <c r="A22" s="324">
        <v>63</v>
      </c>
      <c r="B22" s="72">
        <v>0</v>
      </c>
      <c r="C22" s="95">
        <v>1</v>
      </c>
      <c r="D22" s="79" t="s">
        <v>294</v>
      </c>
      <c r="E22" s="77" t="s">
        <v>1101</v>
      </c>
      <c r="F22" s="76" t="s">
        <v>696</v>
      </c>
      <c r="G22" s="79" t="s">
        <v>69</v>
      </c>
      <c r="H22" s="134" t="s">
        <v>803</v>
      </c>
      <c r="I22" s="142"/>
      <c r="J22" s="76"/>
      <c r="K22" s="141"/>
      <c r="L22" s="367"/>
      <c r="M22" s="307"/>
      <c r="N22" s="307"/>
      <c r="O22" s="307"/>
      <c r="P22" s="369"/>
      <c r="Q22" s="274"/>
      <c r="R22" s="76"/>
      <c r="S22" s="310"/>
      <c r="T22" s="307"/>
      <c r="U22" s="370"/>
      <c r="V22" s="306"/>
      <c r="W22" s="310"/>
      <c r="X22" s="310"/>
      <c r="Y22" s="310"/>
      <c r="Z22" s="411"/>
      <c r="AA22" s="367"/>
      <c r="AB22" s="307"/>
      <c r="AC22" s="310"/>
      <c r="AD22" s="310"/>
      <c r="AE22" s="412"/>
      <c r="AF22" s="413"/>
      <c r="AG22" s="310"/>
      <c r="AH22" s="310"/>
      <c r="AI22" s="310"/>
      <c r="AJ22" s="141"/>
      <c r="AK22" s="274"/>
      <c r="AL22" s="310"/>
      <c r="AM22" s="310"/>
      <c r="AN22" s="310"/>
      <c r="AO22" s="370"/>
      <c r="AP22" s="413"/>
      <c r="AQ22" s="307"/>
      <c r="AR22" s="307"/>
      <c r="AS22" s="79"/>
      <c r="AT22" s="178"/>
      <c r="AU22" s="367"/>
      <c r="AV22" s="307"/>
      <c r="AW22" s="307"/>
      <c r="AX22" s="307"/>
      <c r="AY22" s="370"/>
      <c r="AZ22" s="306"/>
      <c r="BA22" s="307"/>
      <c r="BB22" s="307"/>
      <c r="BC22" s="307"/>
      <c r="BD22" s="369"/>
      <c r="BE22" s="274"/>
      <c r="BF22" s="79"/>
      <c r="BG22" s="307"/>
      <c r="BH22" s="307"/>
      <c r="BI22" s="370"/>
      <c r="BJ22" s="306"/>
      <c r="BK22" s="307"/>
      <c r="BL22" s="307"/>
      <c r="BM22" s="307"/>
      <c r="BN22" s="369"/>
      <c r="BO22" s="367"/>
      <c r="BP22" s="307"/>
      <c r="BQ22" s="79"/>
      <c r="BR22" s="76"/>
      <c r="BS22" s="412"/>
      <c r="BT22" s="142"/>
      <c r="BU22" s="79"/>
      <c r="BV22" s="307"/>
      <c r="BW22" s="307"/>
      <c r="BX22" s="369"/>
      <c r="BY22" s="367"/>
      <c r="BZ22" s="79"/>
      <c r="CA22" s="76"/>
      <c r="CB22" s="307"/>
      <c r="CC22" s="370"/>
      <c r="CD22" s="306"/>
      <c r="CE22" s="79"/>
      <c r="CF22" s="79"/>
      <c r="CG22" s="307"/>
      <c r="CH22" s="374" t="s">
        <v>40</v>
      </c>
      <c r="CI22" s="373" t="s">
        <v>40</v>
      </c>
      <c r="CJ22" s="202"/>
      <c r="CK22" s="202"/>
      <c r="CL22" s="202"/>
      <c r="CM22" s="203"/>
    </row>
    <row r="23" spans="1:118" ht="25.5" customHeight="1" x14ac:dyDescent="0.2">
      <c r="A23" s="324">
        <v>64</v>
      </c>
      <c r="B23" s="72">
        <v>0</v>
      </c>
      <c r="C23" s="95">
        <v>1</v>
      </c>
      <c r="D23" s="79" t="s">
        <v>294</v>
      </c>
      <c r="E23" s="77" t="s">
        <v>1102</v>
      </c>
      <c r="F23" s="76" t="s">
        <v>698</v>
      </c>
      <c r="G23" s="79" t="s">
        <v>69</v>
      </c>
      <c r="H23" s="134" t="s">
        <v>804</v>
      </c>
      <c r="I23" s="142"/>
      <c r="J23" s="76"/>
      <c r="K23" s="141"/>
      <c r="L23" s="367"/>
      <c r="M23" s="307"/>
      <c r="N23" s="307"/>
      <c r="O23" s="307"/>
      <c r="P23" s="369"/>
      <c r="Q23" s="274"/>
      <c r="R23" s="76"/>
      <c r="S23" s="310"/>
      <c r="T23" s="307"/>
      <c r="U23" s="370"/>
      <c r="V23" s="306"/>
      <c r="W23" s="310"/>
      <c r="X23" s="310"/>
      <c r="Y23" s="310"/>
      <c r="Z23" s="411"/>
      <c r="AA23" s="367"/>
      <c r="AB23" s="307"/>
      <c r="AC23" s="310"/>
      <c r="AD23" s="310"/>
      <c r="AE23" s="412"/>
      <c r="AF23" s="413"/>
      <c r="AG23" s="310"/>
      <c r="AH23" s="310"/>
      <c r="AI23" s="310"/>
      <c r="AJ23" s="141"/>
      <c r="AK23" s="274"/>
      <c r="AL23" s="310"/>
      <c r="AM23" s="310"/>
      <c r="AN23" s="310"/>
      <c r="AO23" s="370"/>
      <c r="AP23" s="413"/>
      <c r="AQ23" s="307"/>
      <c r="AR23" s="307"/>
      <c r="AS23" s="79"/>
      <c r="AT23" s="178"/>
      <c r="AU23" s="367"/>
      <c r="AV23" s="307"/>
      <c r="AW23" s="307"/>
      <c r="AX23" s="307"/>
      <c r="AY23" s="370"/>
      <c r="AZ23" s="306"/>
      <c r="BA23" s="307"/>
      <c r="BB23" s="307"/>
      <c r="BC23" s="307"/>
      <c r="BD23" s="369"/>
      <c r="BE23" s="274"/>
      <c r="BF23" s="79"/>
      <c r="BG23" s="307"/>
      <c r="BH23" s="307"/>
      <c r="BI23" s="370"/>
      <c r="BJ23" s="306"/>
      <c r="BK23" s="307"/>
      <c r="BL23" s="307"/>
      <c r="BM23" s="307"/>
      <c r="BN23" s="369"/>
      <c r="BO23" s="367"/>
      <c r="BP23" s="307"/>
      <c r="BQ23" s="79"/>
      <c r="BR23" s="76"/>
      <c r="BS23" s="412"/>
      <c r="BT23" s="142"/>
      <c r="BU23" s="79"/>
      <c r="BV23" s="307"/>
      <c r="BW23" s="307"/>
      <c r="BX23" s="369"/>
      <c r="BY23" s="367"/>
      <c r="BZ23" s="79"/>
      <c r="CA23" s="76"/>
      <c r="CB23" s="307"/>
      <c r="CC23" s="370"/>
      <c r="CD23" s="306"/>
      <c r="CE23" s="79"/>
      <c r="CF23" s="79"/>
      <c r="CG23" s="307"/>
      <c r="CH23" s="374" t="s">
        <v>40</v>
      </c>
      <c r="CI23" s="373" t="s">
        <v>40</v>
      </c>
      <c r="CJ23" s="202"/>
      <c r="CK23" s="202"/>
      <c r="CL23" s="202"/>
      <c r="CM23" s="203"/>
    </row>
    <row r="24" spans="1:118" ht="25.5" customHeight="1" thickBot="1" x14ac:dyDescent="0.25">
      <c r="A24" s="325">
        <v>65</v>
      </c>
      <c r="B24" s="73">
        <v>0</v>
      </c>
      <c r="C24" s="125">
        <v>1</v>
      </c>
      <c r="D24" s="74" t="s">
        <v>962</v>
      </c>
      <c r="E24" s="126" t="s">
        <v>1115</v>
      </c>
      <c r="F24" s="479"/>
      <c r="G24" s="74" t="s">
        <v>963</v>
      </c>
      <c r="H24" s="135" t="s">
        <v>964</v>
      </c>
      <c r="I24" s="269"/>
      <c r="J24" s="89"/>
      <c r="K24" s="270"/>
      <c r="L24" s="383"/>
      <c r="M24" s="379"/>
      <c r="N24" s="379"/>
      <c r="O24" s="379"/>
      <c r="P24" s="382"/>
      <c r="Q24" s="275"/>
      <c r="R24" s="89"/>
      <c r="S24" s="414"/>
      <c r="T24" s="379"/>
      <c r="U24" s="380"/>
      <c r="V24" s="381"/>
      <c r="W24" s="414"/>
      <c r="X24" s="414"/>
      <c r="Y24" s="414"/>
      <c r="Z24" s="415"/>
      <c r="AA24" s="383"/>
      <c r="AB24" s="379"/>
      <c r="AC24" s="414"/>
      <c r="AD24" s="414"/>
      <c r="AE24" s="416"/>
      <c r="AF24" s="417"/>
      <c r="AG24" s="414"/>
      <c r="AH24" s="414"/>
      <c r="AI24" s="414"/>
      <c r="AJ24" s="270"/>
      <c r="AK24" s="275"/>
      <c r="AL24" s="414"/>
      <c r="AM24" s="414"/>
      <c r="AN24" s="414"/>
      <c r="AO24" s="380"/>
      <c r="AP24" s="417"/>
      <c r="AQ24" s="379"/>
      <c r="AR24" s="379"/>
      <c r="AS24" s="74"/>
      <c r="AT24" s="276"/>
      <c r="AU24" s="383"/>
      <c r="AV24" s="379"/>
      <c r="AW24" s="379"/>
      <c r="AX24" s="379"/>
      <c r="AY24" s="380"/>
      <c r="AZ24" s="381"/>
      <c r="BA24" s="379"/>
      <c r="BB24" s="379"/>
      <c r="BC24" s="379"/>
      <c r="BD24" s="382"/>
      <c r="BE24" s="275"/>
      <c r="BF24" s="74"/>
      <c r="BG24" s="379"/>
      <c r="BH24" s="379"/>
      <c r="BI24" s="380"/>
      <c r="BJ24" s="381"/>
      <c r="BK24" s="379"/>
      <c r="BL24" s="379"/>
      <c r="BM24" s="379"/>
      <c r="BN24" s="382"/>
      <c r="BO24" s="383"/>
      <c r="BP24" s="379"/>
      <c r="BQ24" s="74"/>
      <c r="BR24" s="89"/>
      <c r="BS24" s="416"/>
      <c r="BT24" s="269"/>
      <c r="BU24" s="74"/>
      <c r="BV24" s="379"/>
      <c r="BW24" s="379"/>
      <c r="BX24" s="382"/>
      <c r="BY24" s="383"/>
      <c r="BZ24" s="74"/>
      <c r="CA24" s="89"/>
      <c r="CB24" s="379"/>
      <c r="CC24" s="380"/>
      <c r="CD24" s="381"/>
      <c r="CE24" s="74"/>
      <c r="CF24" s="74"/>
      <c r="CG24" s="379"/>
      <c r="CH24" s="380"/>
      <c r="CI24" s="381"/>
      <c r="CJ24" s="206"/>
      <c r="CK24" s="206"/>
      <c r="CL24" s="206"/>
      <c r="CM24" s="207"/>
    </row>
    <row r="25" spans="1:118" ht="25.5" customHeight="1" x14ac:dyDescent="0.2">
      <c r="A25" s="318">
        <v>66</v>
      </c>
      <c r="B25" s="75">
        <v>0</v>
      </c>
      <c r="C25" s="129">
        <v>1</v>
      </c>
      <c r="D25" s="92" t="s">
        <v>699</v>
      </c>
      <c r="E25" s="93" t="s">
        <v>1116</v>
      </c>
      <c r="F25" s="130"/>
      <c r="G25" s="92" t="s">
        <v>700</v>
      </c>
      <c r="H25" s="113" t="s">
        <v>588</v>
      </c>
      <c r="I25" s="259"/>
      <c r="J25" s="130"/>
      <c r="K25" s="260">
        <v>21</v>
      </c>
      <c r="L25" s="308"/>
      <c r="M25" s="304"/>
      <c r="N25" s="304"/>
      <c r="O25" s="304"/>
      <c r="P25" s="359"/>
      <c r="Q25" s="272"/>
      <c r="R25" s="130"/>
      <c r="S25" s="418"/>
      <c r="T25" s="304"/>
      <c r="U25" s="361"/>
      <c r="V25" s="362"/>
      <c r="W25" s="418"/>
      <c r="X25" s="418"/>
      <c r="Y25" s="418"/>
      <c r="Z25" s="419"/>
      <c r="AA25" s="308"/>
      <c r="AB25" s="304"/>
      <c r="AC25" s="418"/>
      <c r="AD25" s="418"/>
      <c r="AE25" s="420"/>
      <c r="AF25" s="421"/>
      <c r="AG25" s="418"/>
      <c r="AH25" s="418"/>
      <c r="AI25" s="418"/>
      <c r="AJ25" s="260"/>
      <c r="AK25" s="272"/>
      <c r="AL25" s="418"/>
      <c r="AM25" s="418"/>
      <c r="AN25" s="418"/>
      <c r="AO25" s="361"/>
      <c r="AP25" s="421"/>
      <c r="AQ25" s="304"/>
      <c r="AR25" s="304"/>
      <c r="AS25" s="92"/>
      <c r="AT25" s="273"/>
      <c r="AU25" s="308"/>
      <c r="AV25" s="304"/>
      <c r="AW25" s="304"/>
      <c r="AX25" s="304"/>
      <c r="AY25" s="361"/>
      <c r="AZ25" s="362"/>
      <c r="BA25" s="304"/>
      <c r="BB25" s="304"/>
      <c r="BC25" s="304"/>
      <c r="BD25" s="359"/>
      <c r="BE25" s="272"/>
      <c r="BF25" s="92"/>
      <c r="BG25" s="304"/>
      <c r="BH25" s="304"/>
      <c r="BI25" s="361"/>
      <c r="BJ25" s="362"/>
      <c r="BK25" s="304"/>
      <c r="BL25" s="304"/>
      <c r="BM25" s="304"/>
      <c r="BN25" s="359"/>
      <c r="BO25" s="308"/>
      <c r="BP25" s="304"/>
      <c r="BQ25" s="92"/>
      <c r="BR25" s="130"/>
      <c r="BS25" s="420"/>
      <c r="BT25" s="259"/>
      <c r="BU25" s="92"/>
      <c r="BV25" s="304"/>
      <c r="BW25" s="304"/>
      <c r="BX25" s="359"/>
      <c r="BY25" s="308"/>
      <c r="BZ25" s="92"/>
      <c r="CA25" s="130"/>
      <c r="CB25" s="304"/>
      <c r="CC25" s="361"/>
      <c r="CD25" s="362"/>
      <c r="CE25" s="92"/>
      <c r="CF25" s="92"/>
      <c r="CG25" s="304"/>
      <c r="CH25" s="363" t="s">
        <v>40</v>
      </c>
      <c r="CI25" s="364" t="s">
        <v>40</v>
      </c>
      <c r="CJ25" s="210"/>
      <c r="CK25" s="210"/>
      <c r="CL25" s="210"/>
      <c r="CM25" s="211"/>
    </row>
    <row r="26" spans="1:118" ht="25.5" customHeight="1" x14ac:dyDescent="0.2">
      <c r="A26" s="324">
        <v>67</v>
      </c>
      <c r="B26" s="72">
        <v>0</v>
      </c>
      <c r="C26" s="95">
        <v>1</v>
      </c>
      <c r="D26" s="79" t="s">
        <v>965</v>
      </c>
      <c r="E26" s="77" t="s">
        <v>966</v>
      </c>
      <c r="F26" s="76"/>
      <c r="G26" s="79" t="s">
        <v>967</v>
      </c>
      <c r="H26" s="134" t="s">
        <v>968</v>
      </c>
      <c r="I26" s="142"/>
      <c r="J26" s="76"/>
      <c r="K26" s="141"/>
      <c r="L26" s="367"/>
      <c r="M26" s="307"/>
      <c r="N26" s="307"/>
      <c r="O26" s="307"/>
      <c r="P26" s="369"/>
      <c r="Q26" s="274"/>
      <c r="R26" s="76"/>
      <c r="S26" s="310"/>
      <c r="T26" s="307"/>
      <c r="U26" s="370"/>
      <c r="V26" s="306"/>
      <c r="W26" s="310"/>
      <c r="X26" s="310"/>
      <c r="Y26" s="310"/>
      <c r="Z26" s="411"/>
      <c r="AA26" s="367"/>
      <c r="AB26" s="307"/>
      <c r="AC26" s="310"/>
      <c r="AD26" s="310"/>
      <c r="AE26" s="412"/>
      <c r="AF26" s="413"/>
      <c r="AG26" s="310"/>
      <c r="AH26" s="310"/>
      <c r="AI26" s="310"/>
      <c r="AJ26" s="141"/>
      <c r="AK26" s="274"/>
      <c r="AL26" s="310"/>
      <c r="AM26" s="310"/>
      <c r="AN26" s="310"/>
      <c r="AO26" s="370"/>
      <c r="AP26" s="413"/>
      <c r="AQ26" s="307"/>
      <c r="AR26" s="307"/>
      <c r="AS26" s="79"/>
      <c r="AT26" s="178"/>
      <c r="AU26" s="367"/>
      <c r="AV26" s="307"/>
      <c r="AW26" s="307"/>
      <c r="AX26" s="307"/>
      <c r="AY26" s="370"/>
      <c r="AZ26" s="306"/>
      <c r="BA26" s="307"/>
      <c r="BB26" s="307"/>
      <c r="BC26" s="307"/>
      <c r="BD26" s="369"/>
      <c r="BE26" s="274"/>
      <c r="BF26" s="79"/>
      <c r="BG26" s="307"/>
      <c r="BH26" s="307"/>
      <c r="BI26" s="370"/>
      <c r="BJ26" s="306"/>
      <c r="BK26" s="307"/>
      <c r="BL26" s="307"/>
      <c r="BM26" s="307"/>
      <c r="BN26" s="369"/>
      <c r="BO26" s="367"/>
      <c r="BP26" s="307"/>
      <c r="BQ26" s="79"/>
      <c r="BR26" s="76"/>
      <c r="BS26" s="412"/>
      <c r="BT26" s="142"/>
      <c r="BU26" s="79"/>
      <c r="BV26" s="307"/>
      <c r="BW26" s="307"/>
      <c r="BX26" s="369"/>
      <c r="BY26" s="367"/>
      <c r="BZ26" s="79"/>
      <c r="CA26" s="76"/>
      <c r="CB26" s="307"/>
      <c r="CC26" s="370"/>
      <c r="CD26" s="306"/>
      <c r="CE26" s="79"/>
      <c r="CF26" s="79"/>
      <c r="CG26" s="307"/>
      <c r="CH26" s="370"/>
      <c r="CI26" s="306"/>
      <c r="CJ26" s="202"/>
      <c r="CK26" s="202"/>
      <c r="CL26" s="202"/>
      <c r="CM26" s="203"/>
    </row>
    <row r="27" spans="1:118" ht="25.5" customHeight="1" x14ac:dyDescent="0.2">
      <c r="A27" s="324">
        <v>68</v>
      </c>
      <c r="B27" s="72">
        <v>0</v>
      </c>
      <c r="C27" s="95">
        <v>1</v>
      </c>
      <c r="D27" s="79" t="s">
        <v>295</v>
      </c>
      <c r="E27" s="77" t="s">
        <v>296</v>
      </c>
      <c r="F27" s="76"/>
      <c r="G27" s="79" t="s">
        <v>70</v>
      </c>
      <c r="H27" s="134" t="s">
        <v>701</v>
      </c>
      <c r="I27" s="142">
        <v>2</v>
      </c>
      <c r="J27" s="76"/>
      <c r="K27" s="141">
        <v>5</v>
      </c>
      <c r="L27" s="367"/>
      <c r="M27" s="368" t="s">
        <v>122</v>
      </c>
      <c r="N27" s="307"/>
      <c r="O27" s="307"/>
      <c r="P27" s="369"/>
      <c r="Q27" s="274"/>
      <c r="R27" s="76"/>
      <c r="S27" s="310"/>
      <c r="T27" s="307"/>
      <c r="U27" s="370"/>
      <c r="V27" s="306"/>
      <c r="W27" s="310"/>
      <c r="X27" s="310"/>
      <c r="Y27" s="310"/>
      <c r="Z27" s="411"/>
      <c r="AA27" s="367"/>
      <c r="AB27" s="307"/>
      <c r="AC27" s="310"/>
      <c r="AD27" s="310"/>
      <c r="AE27" s="412"/>
      <c r="AF27" s="413"/>
      <c r="AG27" s="310"/>
      <c r="AH27" s="310"/>
      <c r="AI27" s="310"/>
      <c r="AJ27" s="141"/>
      <c r="AK27" s="274"/>
      <c r="AL27" s="310"/>
      <c r="AM27" s="310"/>
      <c r="AN27" s="310"/>
      <c r="AO27" s="370"/>
      <c r="AP27" s="413"/>
      <c r="AQ27" s="307"/>
      <c r="AR27" s="307"/>
      <c r="AS27" s="79"/>
      <c r="AT27" s="178"/>
      <c r="AU27" s="367"/>
      <c r="AV27" s="307"/>
      <c r="AW27" s="307"/>
      <c r="AX27" s="371" t="s">
        <v>120</v>
      </c>
      <c r="AY27" s="370"/>
      <c r="AZ27" s="306"/>
      <c r="BA27" s="307"/>
      <c r="BB27" s="307"/>
      <c r="BC27" s="307"/>
      <c r="BD27" s="372" t="s">
        <v>121</v>
      </c>
      <c r="BE27" s="274"/>
      <c r="BF27" s="79"/>
      <c r="BG27" s="307"/>
      <c r="BH27" s="307"/>
      <c r="BI27" s="370"/>
      <c r="BJ27" s="373" t="s">
        <v>120</v>
      </c>
      <c r="BK27" s="307"/>
      <c r="BL27" s="307"/>
      <c r="BM27" s="307"/>
      <c r="BN27" s="369"/>
      <c r="BO27" s="367"/>
      <c r="BP27" s="371" t="s">
        <v>121</v>
      </c>
      <c r="BQ27" s="79"/>
      <c r="BR27" s="76"/>
      <c r="BS27" s="412"/>
      <c r="BT27" s="142"/>
      <c r="BU27" s="79"/>
      <c r="BV27" s="307"/>
      <c r="BW27" s="307"/>
      <c r="BX27" s="369"/>
      <c r="BY27" s="367"/>
      <c r="BZ27" s="79"/>
      <c r="CA27" s="76"/>
      <c r="CB27" s="307"/>
      <c r="CC27" s="370"/>
      <c r="CD27" s="306"/>
      <c r="CE27" s="79"/>
      <c r="CF27" s="79"/>
      <c r="CG27" s="307"/>
      <c r="CH27" s="374" t="s">
        <v>40</v>
      </c>
      <c r="CI27" s="373" t="s">
        <v>40</v>
      </c>
      <c r="CJ27" s="202"/>
      <c r="CK27" s="202"/>
      <c r="CL27" s="202"/>
      <c r="CM27" s="203"/>
    </row>
    <row r="28" spans="1:118" ht="25.5" customHeight="1" x14ac:dyDescent="0.2">
      <c r="A28" s="324">
        <v>69</v>
      </c>
      <c r="B28" s="72">
        <v>0</v>
      </c>
      <c r="C28" s="95">
        <v>1</v>
      </c>
      <c r="D28" s="79" t="s">
        <v>969</v>
      </c>
      <c r="E28" s="77" t="s">
        <v>970</v>
      </c>
      <c r="F28" s="76"/>
      <c r="G28" s="79" t="s">
        <v>971</v>
      </c>
      <c r="H28" s="134" t="s">
        <v>972</v>
      </c>
      <c r="I28" s="142"/>
      <c r="J28" s="76"/>
      <c r="K28" s="141"/>
      <c r="L28" s="367"/>
      <c r="M28" s="307"/>
      <c r="N28" s="307"/>
      <c r="O28" s="307"/>
      <c r="P28" s="369"/>
      <c r="Q28" s="274"/>
      <c r="R28" s="76"/>
      <c r="S28" s="310"/>
      <c r="T28" s="307"/>
      <c r="U28" s="370"/>
      <c r="V28" s="306"/>
      <c r="W28" s="310"/>
      <c r="X28" s="310"/>
      <c r="Y28" s="310"/>
      <c r="Z28" s="411"/>
      <c r="AA28" s="367"/>
      <c r="AB28" s="307"/>
      <c r="AC28" s="310"/>
      <c r="AD28" s="310"/>
      <c r="AE28" s="412"/>
      <c r="AF28" s="413"/>
      <c r="AG28" s="310"/>
      <c r="AH28" s="310"/>
      <c r="AI28" s="310"/>
      <c r="AJ28" s="141"/>
      <c r="AK28" s="274"/>
      <c r="AL28" s="310"/>
      <c r="AM28" s="310"/>
      <c r="AN28" s="310"/>
      <c r="AO28" s="370"/>
      <c r="AP28" s="413"/>
      <c r="AQ28" s="307"/>
      <c r="AR28" s="307"/>
      <c r="AS28" s="79"/>
      <c r="AT28" s="178"/>
      <c r="AU28" s="367"/>
      <c r="AV28" s="307"/>
      <c r="AW28" s="307"/>
      <c r="AX28" s="307"/>
      <c r="AY28" s="370"/>
      <c r="AZ28" s="306"/>
      <c r="BA28" s="307"/>
      <c r="BB28" s="307"/>
      <c r="BC28" s="307"/>
      <c r="BD28" s="369"/>
      <c r="BE28" s="274"/>
      <c r="BF28" s="79"/>
      <c r="BG28" s="307"/>
      <c r="BH28" s="307"/>
      <c r="BI28" s="370"/>
      <c r="BJ28" s="306"/>
      <c r="BK28" s="307"/>
      <c r="BL28" s="307"/>
      <c r="BM28" s="307"/>
      <c r="BN28" s="369"/>
      <c r="BO28" s="367"/>
      <c r="BP28" s="307"/>
      <c r="BQ28" s="79"/>
      <c r="BR28" s="76"/>
      <c r="BS28" s="412"/>
      <c r="BT28" s="142"/>
      <c r="BU28" s="79"/>
      <c r="BV28" s="307"/>
      <c r="BW28" s="307"/>
      <c r="BX28" s="369"/>
      <c r="BY28" s="367"/>
      <c r="BZ28" s="79"/>
      <c r="CA28" s="76"/>
      <c r="CB28" s="307"/>
      <c r="CC28" s="370"/>
      <c r="CD28" s="306"/>
      <c r="CE28" s="79"/>
      <c r="CF28" s="79"/>
      <c r="CG28" s="307"/>
      <c r="CH28" s="370"/>
      <c r="CI28" s="306"/>
      <c r="CJ28" s="202"/>
      <c r="CK28" s="202"/>
      <c r="CL28" s="202"/>
      <c r="CM28" s="203"/>
    </row>
    <row r="29" spans="1:118" ht="25.5" customHeight="1" thickBot="1" x14ac:dyDescent="0.25">
      <c r="A29" s="331">
        <v>70</v>
      </c>
      <c r="B29" s="82">
        <v>0</v>
      </c>
      <c r="C29" s="101">
        <v>1</v>
      </c>
      <c r="D29" s="190" t="s">
        <v>297</v>
      </c>
      <c r="E29" s="117" t="s">
        <v>702</v>
      </c>
      <c r="F29" s="99"/>
      <c r="G29" s="190" t="s">
        <v>71</v>
      </c>
      <c r="H29" s="195" t="s">
        <v>703</v>
      </c>
      <c r="I29" s="257">
        <v>2</v>
      </c>
      <c r="J29" s="99"/>
      <c r="K29" s="264">
        <v>5</v>
      </c>
      <c r="L29" s="395"/>
      <c r="M29" s="453" t="s">
        <v>122</v>
      </c>
      <c r="N29" s="390"/>
      <c r="O29" s="390"/>
      <c r="P29" s="391"/>
      <c r="Q29" s="278"/>
      <c r="R29" s="99"/>
      <c r="S29" s="390"/>
      <c r="T29" s="390"/>
      <c r="U29" s="393"/>
      <c r="V29" s="394"/>
      <c r="W29" s="390"/>
      <c r="X29" s="422"/>
      <c r="Y29" s="390"/>
      <c r="Z29" s="423"/>
      <c r="AA29" s="395"/>
      <c r="AB29" s="390"/>
      <c r="AC29" s="422"/>
      <c r="AD29" s="422"/>
      <c r="AE29" s="393"/>
      <c r="AF29" s="394"/>
      <c r="AG29" s="390"/>
      <c r="AH29" s="390"/>
      <c r="AI29" s="390"/>
      <c r="AJ29" s="279"/>
      <c r="AK29" s="278"/>
      <c r="AL29" s="422"/>
      <c r="AM29" s="422"/>
      <c r="AN29" s="422"/>
      <c r="AO29" s="393"/>
      <c r="AP29" s="394"/>
      <c r="AQ29" s="390"/>
      <c r="AR29" s="390"/>
      <c r="AS29" s="190"/>
      <c r="AT29" s="279"/>
      <c r="AU29" s="395"/>
      <c r="AV29" s="390"/>
      <c r="AW29" s="390"/>
      <c r="AX29" s="392" t="s">
        <v>120</v>
      </c>
      <c r="AY29" s="393"/>
      <c r="AZ29" s="394"/>
      <c r="BA29" s="390"/>
      <c r="BB29" s="390"/>
      <c r="BC29" s="390"/>
      <c r="BD29" s="398" t="s">
        <v>121</v>
      </c>
      <c r="BE29" s="278"/>
      <c r="BF29" s="190"/>
      <c r="BG29" s="390"/>
      <c r="BH29" s="390"/>
      <c r="BI29" s="393"/>
      <c r="BJ29" s="397" t="s">
        <v>120</v>
      </c>
      <c r="BK29" s="390"/>
      <c r="BL29" s="390"/>
      <c r="BM29" s="390"/>
      <c r="BN29" s="391"/>
      <c r="BO29" s="395"/>
      <c r="BP29" s="392" t="s">
        <v>121</v>
      </c>
      <c r="BQ29" s="190"/>
      <c r="BR29" s="99"/>
      <c r="BS29" s="424"/>
      <c r="BT29" s="257"/>
      <c r="BU29" s="190"/>
      <c r="BV29" s="390"/>
      <c r="BW29" s="390"/>
      <c r="BX29" s="391"/>
      <c r="BY29" s="395"/>
      <c r="BZ29" s="190"/>
      <c r="CA29" s="99"/>
      <c r="CB29" s="390"/>
      <c r="CC29" s="393"/>
      <c r="CD29" s="394"/>
      <c r="CE29" s="190"/>
      <c r="CF29" s="190"/>
      <c r="CG29" s="390"/>
      <c r="CH29" s="396" t="s">
        <v>40</v>
      </c>
      <c r="CI29" s="397" t="s">
        <v>40</v>
      </c>
      <c r="CJ29" s="213"/>
      <c r="CK29" s="213"/>
      <c r="CL29" s="213"/>
      <c r="CM29" s="214"/>
    </row>
    <row r="30" spans="1:118" ht="25.5" customHeight="1" x14ac:dyDescent="0.2">
      <c r="A30" s="332">
        <v>71</v>
      </c>
      <c r="B30" s="85">
        <v>0</v>
      </c>
      <c r="C30" s="105">
        <v>1</v>
      </c>
      <c r="D30" s="87" t="s">
        <v>973</v>
      </c>
      <c r="E30" s="133" t="s">
        <v>974</v>
      </c>
      <c r="F30" s="103"/>
      <c r="G30" s="87" t="s">
        <v>975</v>
      </c>
      <c r="H30" s="194" t="s">
        <v>976</v>
      </c>
      <c r="I30" s="139"/>
      <c r="J30" s="103"/>
      <c r="K30" s="137"/>
      <c r="L30" s="407"/>
      <c r="M30" s="402"/>
      <c r="N30" s="402"/>
      <c r="O30" s="402"/>
      <c r="P30" s="403"/>
      <c r="Q30" s="281"/>
      <c r="R30" s="103"/>
      <c r="S30" s="426"/>
      <c r="T30" s="402"/>
      <c r="U30" s="405"/>
      <c r="V30" s="406"/>
      <c r="W30" s="426"/>
      <c r="X30" s="426"/>
      <c r="Y30" s="426"/>
      <c r="Z30" s="427"/>
      <c r="AA30" s="407"/>
      <c r="AB30" s="402"/>
      <c r="AC30" s="426"/>
      <c r="AD30" s="426"/>
      <c r="AE30" s="428"/>
      <c r="AF30" s="429"/>
      <c r="AG30" s="426"/>
      <c r="AH30" s="426"/>
      <c r="AI30" s="426"/>
      <c r="AJ30" s="137"/>
      <c r="AK30" s="281"/>
      <c r="AL30" s="426"/>
      <c r="AM30" s="426"/>
      <c r="AN30" s="426"/>
      <c r="AO30" s="405"/>
      <c r="AP30" s="406"/>
      <c r="AQ30" s="402"/>
      <c r="AR30" s="402"/>
      <c r="AS30" s="87"/>
      <c r="AT30" s="282"/>
      <c r="AU30" s="407"/>
      <c r="AV30" s="402"/>
      <c r="AW30" s="402"/>
      <c r="AX30" s="402"/>
      <c r="AY30" s="405"/>
      <c r="AZ30" s="406"/>
      <c r="BA30" s="402"/>
      <c r="BB30" s="402"/>
      <c r="BC30" s="402"/>
      <c r="BD30" s="403"/>
      <c r="BE30" s="281"/>
      <c r="BF30" s="87"/>
      <c r="BG30" s="402"/>
      <c r="BH30" s="402"/>
      <c r="BI30" s="405"/>
      <c r="BJ30" s="406"/>
      <c r="BK30" s="402"/>
      <c r="BL30" s="402"/>
      <c r="BM30" s="402"/>
      <c r="BN30" s="403"/>
      <c r="BO30" s="407"/>
      <c r="BP30" s="402"/>
      <c r="BQ30" s="87"/>
      <c r="BR30" s="103"/>
      <c r="BS30" s="428"/>
      <c r="BT30" s="139"/>
      <c r="BU30" s="87"/>
      <c r="BV30" s="402"/>
      <c r="BW30" s="402"/>
      <c r="BX30" s="403"/>
      <c r="BY30" s="407"/>
      <c r="BZ30" s="87"/>
      <c r="CA30" s="103"/>
      <c r="CB30" s="402"/>
      <c r="CC30" s="405"/>
      <c r="CD30" s="406"/>
      <c r="CE30" s="87"/>
      <c r="CF30" s="87"/>
      <c r="CG30" s="402"/>
      <c r="CH30" s="405"/>
      <c r="CI30" s="406"/>
      <c r="CJ30" s="217"/>
      <c r="CK30" s="217"/>
      <c r="CL30" s="217"/>
      <c r="CM30" s="218"/>
    </row>
    <row r="31" spans="1:118" ht="25.5" customHeight="1" x14ac:dyDescent="0.2">
      <c r="A31" s="324">
        <v>72</v>
      </c>
      <c r="B31" s="72">
        <v>0</v>
      </c>
      <c r="C31" s="95">
        <v>1</v>
      </c>
      <c r="D31" s="79" t="s">
        <v>298</v>
      </c>
      <c r="E31" s="77" t="s">
        <v>704</v>
      </c>
      <c r="F31" s="76"/>
      <c r="G31" s="79" t="s">
        <v>72</v>
      </c>
      <c r="H31" s="134" t="s">
        <v>705</v>
      </c>
      <c r="I31" s="142">
        <v>2</v>
      </c>
      <c r="J31" s="76"/>
      <c r="K31" s="141">
        <v>5</v>
      </c>
      <c r="L31" s="367"/>
      <c r="M31" s="368" t="s">
        <v>122</v>
      </c>
      <c r="N31" s="307"/>
      <c r="O31" s="307"/>
      <c r="P31" s="369"/>
      <c r="Q31" s="274"/>
      <c r="R31" s="76"/>
      <c r="S31" s="307"/>
      <c r="T31" s="307"/>
      <c r="U31" s="370"/>
      <c r="V31" s="306"/>
      <c r="W31" s="307"/>
      <c r="X31" s="310"/>
      <c r="Y31" s="307"/>
      <c r="Z31" s="411"/>
      <c r="AA31" s="367"/>
      <c r="AB31" s="307"/>
      <c r="AC31" s="310"/>
      <c r="AD31" s="310"/>
      <c r="AE31" s="370"/>
      <c r="AF31" s="306"/>
      <c r="AG31" s="307"/>
      <c r="AH31" s="307"/>
      <c r="AI31" s="307"/>
      <c r="AJ31" s="178"/>
      <c r="AK31" s="274"/>
      <c r="AL31" s="310"/>
      <c r="AM31" s="310"/>
      <c r="AN31" s="310"/>
      <c r="AO31" s="370"/>
      <c r="AP31" s="306"/>
      <c r="AQ31" s="307"/>
      <c r="AR31" s="307"/>
      <c r="AS31" s="79"/>
      <c r="AT31" s="178"/>
      <c r="AU31" s="367"/>
      <c r="AV31" s="307"/>
      <c r="AW31" s="307"/>
      <c r="AX31" s="371" t="s">
        <v>120</v>
      </c>
      <c r="AY31" s="370"/>
      <c r="AZ31" s="306"/>
      <c r="BA31" s="307"/>
      <c r="BB31" s="307"/>
      <c r="BC31" s="307"/>
      <c r="BD31" s="372" t="s">
        <v>121</v>
      </c>
      <c r="BE31" s="274"/>
      <c r="BF31" s="79"/>
      <c r="BG31" s="307"/>
      <c r="BH31" s="307"/>
      <c r="BI31" s="370"/>
      <c r="BJ31" s="373" t="s">
        <v>120</v>
      </c>
      <c r="BK31" s="307"/>
      <c r="BL31" s="307"/>
      <c r="BM31" s="307"/>
      <c r="BN31" s="369"/>
      <c r="BO31" s="367"/>
      <c r="BP31" s="371" t="s">
        <v>121</v>
      </c>
      <c r="BQ31" s="79"/>
      <c r="BR31" s="76"/>
      <c r="BS31" s="412"/>
      <c r="BT31" s="142"/>
      <c r="BU31" s="79"/>
      <c r="BV31" s="307"/>
      <c r="BW31" s="307"/>
      <c r="BX31" s="369"/>
      <c r="BY31" s="367"/>
      <c r="BZ31" s="79"/>
      <c r="CA31" s="76"/>
      <c r="CB31" s="307"/>
      <c r="CC31" s="370"/>
      <c r="CD31" s="306"/>
      <c r="CE31" s="79"/>
      <c r="CF31" s="79"/>
      <c r="CG31" s="307"/>
      <c r="CH31" s="374" t="s">
        <v>40</v>
      </c>
      <c r="CI31" s="373" t="s">
        <v>40</v>
      </c>
      <c r="CJ31" s="202"/>
      <c r="CK31" s="202"/>
      <c r="CL31" s="202"/>
      <c r="CM31" s="203"/>
    </row>
    <row r="32" spans="1:118" ht="25.5" customHeight="1" x14ac:dyDescent="0.2">
      <c r="A32" s="324">
        <v>73</v>
      </c>
      <c r="B32" s="72"/>
      <c r="C32" s="79"/>
      <c r="D32" s="79"/>
      <c r="E32" s="77"/>
      <c r="F32" s="72"/>
      <c r="G32" s="79"/>
      <c r="H32" s="134"/>
      <c r="I32" s="142"/>
      <c r="J32" s="76"/>
      <c r="K32" s="141"/>
      <c r="L32" s="274"/>
      <c r="M32" s="79"/>
      <c r="N32" s="79"/>
      <c r="O32" s="79"/>
      <c r="P32" s="178"/>
      <c r="Q32" s="274"/>
      <c r="R32" s="76"/>
      <c r="S32" s="76"/>
      <c r="T32" s="79"/>
      <c r="U32" s="134"/>
      <c r="V32" s="261"/>
      <c r="W32" s="76"/>
      <c r="X32" s="76"/>
      <c r="Y32" s="76"/>
      <c r="Z32" s="141"/>
      <c r="AA32" s="274"/>
      <c r="AB32" s="79"/>
      <c r="AC32" s="76"/>
      <c r="AD32" s="76"/>
      <c r="AE32" s="81"/>
      <c r="AF32" s="142"/>
      <c r="AG32" s="76"/>
      <c r="AH32" s="76"/>
      <c r="AI32" s="76"/>
      <c r="AJ32" s="141"/>
      <c r="AK32" s="274"/>
      <c r="AL32" s="76"/>
      <c r="AM32" s="76"/>
      <c r="AN32" s="76"/>
      <c r="AO32" s="134"/>
      <c r="AP32" s="142"/>
      <c r="AQ32" s="79"/>
      <c r="AR32" s="79"/>
      <c r="AS32" s="79"/>
      <c r="AT32" s="178"/>
      <c r="AU32" s="274"/>
      <c r="AV32" s="79"/>
      <c r="AW32" s="79"/>
      <c r="AX32" s="79"/>
      <c r="AY32" s="134"/>
      <c r="AZ32" s="261"/>
      <c r="BA32" s="79"/>
      <c r="BB32" s="79"/>
      <c r="BC32" s="79"/>
      <c r="BD32" s="178"/>
      <c r="BE32" s="274"/>
      <c r="BF32" s="79"/>
      <c r="BG32" s="79"/>
      <c r="BH32" s="79"/>
      <c r="BI32" s="134"/>
      <c r="BJ32" s="261"/>
      <c r="BK32" s="79"/>
      <c r="BL32" s="79"/>
      <c r="BM32" s="79"/>
      <c r="BN32" s="178"/>
      <c r="BO32" s="274"/>
      <c r="BP32" s="79"/>
      <c r="BQ32" s="79"/>
      <c r="BR32" s="76"/>
      <c r="BS32" s="81"/>
      <c r="BT32" s="142"/>
      <c r="BU32" s="79"/>
      <c r="BV32" s="79"/>
      <c r="BW32" s="79"/>
      <c r="BX32" s="178"/>
      <c r="BY32" s="274"/>
      <c r="BZ32" s="79"/>
      <c r="CA32" s="76"/>
      <c r="CB32" s="79"/>
      <c r="CC32" s="134"/>
      <c r="CD32" s="261"/>
      <c r="CE32" s="79"/>
      <c r="CF32" s="79"/>
      <c r="CG32" s="79"/>
      <c r="CH32" s="134"/>
      <c r="CI32" s="261"/>
      <c r="CJ32" s="202"/>
      <c r="CK32" s="202"/>
      <c r="CL32" s="202"/>
      <c r="CM32" s="203"/>
    </row>
    <row r="33" spans="1:91" ht="25.5" customHeight="1" x14ac:dyDescent="0.2">
      <c r="A33" s="324">
        <v>74</v>
      </c>
      <c r="B33" s="72"/>
      <c r="C33" s="79"/>
      <c r="D33" s="79"/>
      <c r="E33" s="98" t="s">
        <v>629</v>
      </c>
      <c r="F33" s="79"/>
      <c r="G33" s="79"/>
      <c r="H33" s="78"/>
      <c r="I33" s="142"/>
      <c r="J33" s="76"/>
      <c r="K33" s="141"/>
      <c r="L33" s="274"/>
      <c r="M33" s="79"/>
      <c r="N33" s="79"/>
      <c r="O33" s="79"/>
      <c r="P33" s="178"/>
      <c r="Q33" s="274"/>
      <c r="R33" s="79"/>
      <c r="S33" s="79"/>
      <c r="T33" s="79"/>
      <c r="U33" s="134"/>
      <c r="V33" s="261"/>
      <c r="W33" s="79"/>
      <c r="X33" s="79"/>
      <c r="Y33" s="79"/>
      <c r="Z33" s="178"/>
      <c r="AA33" s="274"/>
      <c r="AB33" s="79"/>
      <c r="AC33" s="79"/>
      <c r="AD33" s="79"/>
      <c r="AE33" s="134"/>
      <c r="AF33" s="261"/>
      <c r="AG33" s="79"/>
      <c r="AH33" s="79"/>
      <c r="AI33" s="79"/>
      <c r="AJ33" s="178"/>
      <c r="AK33" s="274"/>
      <c r="AL33" s="79"/>
      <c r="AM33" s="79"/>
      <c r="AN33" s="79"/>
      <c r="AO33" s="134"/>
      <c r="AP33" s="261"/>
      <c r="AQ33" s="79"/>
      <c r="AR33" s="79"/>
      <c r="AS33" s="79"/>
      <c r="AT33" s="178"/>
      <c r="AU33" s="274"/>
      <c r="AV33" s="79"/>
      <c r="AW33" s="79"/>
      <c r="AX33" s="79"/>
      <c r="AY33" s="134"/>
      <c r="AZ33" s="261"/>
      <c r="BA33" s="79"/>
      <c r="BB33" s="79"/>
      <c r="BC33" s="79"/>
      <c r="BD33" s="178"/>
      <c r="BE33" s="274"/>
      <c r="BF33" s="79"/>
      <c r="BG33" s="79"/>
      <c r="BH33" s="79"/>
      <c r="BI33" s="134"/>
      <c r="BJ33" s="261"/>
      <c r="BK33" s="79"/>
      <c r="BL33" s="79"/>
      <c r="BM33" s="79"/>
      <c r="BN33" s="178"/>
      <c r="BO33" s="274"/>
      <c r="BP33" s="79"/>
      <c r="BQ33" s="79"/>
      <c r="BR33" s="79"/>
      <c r="BS33" s="134"/>
      <c r="BT33" s="261"/>
      <c r="BU33" s="79"/>
      <c r="BV33" s="79"/>
      <c r="BW33" s="79"/>
      <c r="BX33" s="178"/>
      <c r="BY33" s="274"/>
      <c r="BZ33" s="79"/>
      <c r="CA33" s="79"/>
      <c r="CB33" s="79"/>
      <c r="CC33" s="134"/>
      <c r="CD33" s="261"/>
      <c r="CE33" s="79"/>
      <c r="CF33" s="79"/>
      <c r="CG33" s="79"/>
      <c r="CH33" s="134"/>
      <c r="CI33" s="261"/>
      <c r="CJ33" s="202"/>
      <c r="CK33" s="202"/>
      <c r="CL33" s="202"/>
      <c r="CM33" s="203"/>
    </row>
    <row r="34" spans="1:91" ht="25.5" customHeight="1" thickBot="1" x14ac:dyDescent="0.25">
      <c r="A34" s="325">
        <v>75</v>
      </c>
      <c r="B34" s="73">
        <v>0</v>
      </c>
      <c r="C34" s="73">
        <v>2</v>
      </c>
      <c r="D34" s="73" t="s">
        <v>977</v>
      </c>
      <c r="E34" s="90" t="s">
        <v>978</v>
      </c>
      <c r="F34" s="73"/>
      <c r="G34" s="73" t="s">
        <v>979</v>
      </c>
      <c r="H34" s="91" t="s">
        <v>980</v>
      </c>
      <c r="I34" s="269"/>
      <c r="J34" s="89"/>
      <c r="K34" s="270"/>
      <c r="L34" s="383"/>
      <c r="M34" s="379"/>
      <c r="N34" s="379"/>
      <c r="O34" s="379"/>
      <c r="P34" s="382"/>
      <c r="Q34" s="275"/>
      <c r="R34" s="74"/>
      <c r="S34" s="379"/>
      <c r="T34" s="379"/>
      <c r="U34" s="380"/>
      <c r="V34" s="381"/>
      <c r="W34" s="379"/>
      <c r="X34" s="379"/>
      <c r="Y34" s="379"/>
      <c r="Z34" s="382"/>
      <c r="AA34" s="383"/>
      <c r="AB34" s="379"/>
      <c r="AC34" s="379"/>
      <c r="AD34" s="379"/>
      <c r="AE34" s="380"/>
      <c r="AF34" s="381"/>
      <c r="AG34" s="379"/>
      <c r="AH34" s="379"/>
      <c r="AI34" s="379"/>
      <c r="AJ34" s="276"/>
      <c r="AK34" s="275"/>
      <c r="AL34" s="379"/>
      <c r="AM34" s="379"/>
      <c r="AN34" s="379"/>
      <c r="AO34" s="380"/>
      <c r="AP34" s="381"/>
      <c r="AQ34" s="379"/>
      <c r="AR34" s="379"/>
      <c r="AS34" s="74"/>
      <c r="AT34" s="276"/>
      <c r="AU34" s="383"/>
      <c r="AV34" s="379"/>
      <c r="AW34" s="379"/>
      <c r="AX34" s="379"/>
      <c r="AY34" s="380"/>
      <c r="AZ34" s="381"/>
      <c r="BA34" s="379"/>
      <c r="BB34" s="379"/>
      <c r="BC34" s="379"/>
      <c r="BD34" s="382"/>
      <c r="BE34" s="275"/>
      <c r="BF34" s="74"/>
      <c r="BG34" s="379"/>
      <c r="BH34" s="379"/>
      <c r="BI34" s="380"/>
      <c r="BJ34" s="381"/>
      <c r="BK34" s="379"/>
      <c r="BL34" s="379"/>
      <c r="BM34" s="379"/>
      <c r="BN34" s="382"/>
      <c r="BO34" s="383"/>
      <c r="BP34" s="379"/>
      <c r="BQ34" s="74"/>
      <c r="BR34" s="74"/>
      <c r="BS34" s="380"/>
      <c r="BT34" s="277"/>
      <c r="BU34" s="74"/>
      <c r="BV34" s="379"/>
      <c r="BW34" s="379"/>
      <c r="BX34" s="382"/>
      <c r="BY34" s="383"/>
      <c r="BZ34" s="74"/>
      <c r="CA34" s="74"/>
      <c r="CB34" s="379"/>
      <c r="CC34" s="380"/>
      <c r="CD34" s="381"/>
      <c r="CE34" s="74"/>
      <c r="CF34" s="74"/>
      <c r="CG34" s="379"/>
      <c r="CH34" s="380"/>
      <c r="CI34" s="381"/>
      <c r="CJ34" s="206"/>
      <c r="CK34" s="206"/>
      <c r="CL34" s="206"/>
      <c r="CM34" s="207"/>
    </row>
    <row r="35" spans="1:91" ht="25.5" customHeight="1" x14ac:dyDescent="0.2">
      <c r="A35" s="318">
        <v>76</v>
      </c>
      <c r="B35" s="75">
        <v>0</v>
      </c>
      <c r="C35" s="75">
        <v>2</v>
      </c>
      <c r="D35" s="75" t="s">
        <v>299</v>
      </c>
      <c r="E35" s="192" t="s">
        <v>706</v>
      </c>
      <c r="F35" s="75"/>
      <c r="G35" s="75" t="s">
        <v>73</v>
      </c>
      <c r="H35" s="94" t="s">
        <v>707</v>
      </c>
      <c r="I35" s="259">
        <v>4</v>
      </c>
      <c r="J35" s="130"/>
      <c r="K35" s="260">
        <v>5</v>
      </c>
      <c r="L35" s="308"/>
      <c r="M35" s="304"/>
      <c r="N35" s="304"/>
      <c r="O35" s="455" t="s">
        <v>122</v>
      </c>
      <c r="P35" s="359"/>
      <c r="Q35" s="272"/>
      <c r="R35" s="92"/>
      <c r="S35" s="304"/>
      <c r="T35" s="304"/>
      <c r="U35" s="361"/>
      <c r="V35" s="362"/>
      <c r="W35" s="304"/>
      <c r="X35" s="304"/>
      <c r="Y35" s="304"/>
      <c r="Z35" s="359"/>
      <c r="AA35" s="308"/>
      <c r="AB35" s="304"/>
      <c r="AC35" s="304"/>
      <c r="AD35" s="304"/>
      <c r="AE35" s="361"/>
      <c r="AF35" s="362"/>
      <c r="AG35" s="304"/>
      <c r="AH35" s="304"/>
      <c r="AI35" s="304"/>
      <c r="AJ35" s="273"/>
      <c r="AK35" s="272"/>
      <c r="AL35" s="304"/>
      <c r="AM35" s="304"/>
      <c r="AN35" s="304"/>
      <c r="AO35" s="361"/>
      <c r="AP35" s="362"/>
      <c r="AQ35" s="304"/>
      <c r="AR35" s="304"/>
      <c r="AS35" s="92"/>
      <c r="AT35" s="273"/>
      <c r="AU35" s="308"/>
      <c r="AV35" s="304"/>
      <c r="AW35" s="304"/>
      <c r="AX35" s="360" t="s">
        <v>120</v>
      </c>
      <c r="AY35" s="361"/>
      <c r="AZ35" s="362"/>
      <c r="BA35" s="304"/>
      <c r="BB35" s="304"/>
      <c r="BC35" s="304"/>
      <c r="BD35" s="365" t="s">
        <v>121</v>
      </c>
      <c r="BE35" s="272"/>
      <c r="BF35" s="92"/>
      <c r="BG35" s="304"/>
      <c r="BH35" s="304"/>
      <c r="BI35" s="361"/>
      <c r="BJ35" s="362"/>
      <c r="BK35" s="304"/>
      <c r="BL35" s="304"/>
      <c r="BM35" s="304"/>
      <c r="BN35" s="359"/>
      <c r="BO35" s="308"/>
      <c r="BP35" s="304"/>
      <c r="BQ35" s="92"/>
      <c r="BR35" s="92"/>
      <c r="BS35" s="361"/>
      <c r="BT35" s="258"/>
      <c r="BU35" s="92"/>
      <c r="BV35" s="304"/>
      <c r="BW35" s="304"/>
      <c r="BX35" s="359"/>
      <c r="BY35" s="308"/>
      <c r="BZ35" s="92"/>
      <c r="CA35" s="92"/>
      <c r="CB35" s="304"/>
      <c r="CC35" s="361"/>
      <c r="CD35" s="362"/>
      <c r="CE35" s="92"/>
      <c r="CF35" s="92"/>
      <c r="CG35" s="304"/>
      <c r="CH35" s="363" t="s">
        <v>40</v>
      </c>
      <c r="CI35" s="364" t="s">
        <v>40</v>
      </c>
      <c r="CJ35" s="210"/>
      <c r="CK35" s="210"/>
      <c r="CL35" s="210"/>
      <c r="CM35" s="211"/>
    </row>
    <row r="36" spans="1:91" ht="25.5" customHeight="1" x14ac:dyDescent="0.2">
      <c r="A36" s="324">
        <v>77</v>
      </c>
      <c r="B36" s="72">
        <v>0</v>
      </c>
      <c r="C36" s="72">
        <v>2</v>
      </c>
      <c r="D36" s="72" t="s">
        <v>300</v>
      </c>
      <c r="E36" s="80" t="s">
        <v>708</v>
      </c>
      <c r="F36" s="72"/>
      <c r="G36" s="72" t="s">
        <v>74</v>
      </c>
      <c r="H36" s="78" t="s">
        <v>589</v>
      </c>
      <c r="I36" s="142"/>
      <c r="J36" s="76"/>
      <c r="K36" s="141"/>
      <c r="L36" s="367"/>
      <c r="M36" s="307"/>
      <c r="N36" s="307"/>
      <c r="O36" s="307"/>
      <c r="P36" s="369"/>
      <c r="Q36" s="274"/>
      <c r="R36" s="79"/>
      <c r="S36" s="307"/>
      <c r="T36" s="307"/>
      <c r="U36" s="370"/>
      <c r="V36" s="306"/>
      <c r="W36" s="307"/>
      <c r="X36" s="307"/>
      <c r="Y36" s="307"/>
      <c r="Z36" s="369"/>
      <c r="AA36" s="367"/>
      <c r="AB36" s="307"/>
      <c r="AC36" s="307"/>
      <c r="AD36" s="307"/>
      <c r="AE36" s="370"/>
      <c r="AF36" s="306"/>
      <c r="AG36" s="307"/>
      <c r="AH36" s="307"/>
      <c r="AI36" s="307"/>
      <c r="AJ36" s="178"/>
      <c r="AK36" s="274"/>
      <c r="AL36" s="307"/>
      <c r="AM36" s="307"/>
      <c r="AN36" s="307"/>
      <c r="AO36" s="370"/>
      <c r="AP36" s="306"/>
      <c r="AQ36" s="307"/>
      <c r="AR36" s="307"/>
      <c r="AS36" s="79"/>
      <c r="AT36" s="178"/>
      <c r="AU36" s="367"/>
      <c r="AV36" s="307"/>
      <c r="AW36" s="307"/>
      <c r="AX36" s="307"/>
      <c r="AY36" s="370"/>
      <c r="AZ36" s="306"/>
      <c r="BA36" s="307"/>
      <c r="BB36" s="307"/>
      <c r="BC36" s="307"/>
      <c r="BD36" s="369"/>
      <c r="BE36" s="274"/>
      <c r="BF36" s="79"/>
      <c r="BG36" s="307"/>
      <c r="BH36" s="307"/>
      <c r="BI36" s="370"/>
      <c r="BJ36" s="306"/>
      <c r="BK36" s="307"/>
      <c r="BL36" s="307"/>
      <c r="BM36" s="307"/>
      <c r="BN36" s="369"/>
      <c r="BO36" s="367"/>
      <c r="BP36" s="307"/>
      <c r="BQ36" s="79"/>
      <c r="BR36" s="79"/>
      <c r="BS36" s="370"/>
      <c r="BT36" s="261"/>
      <c r="BU36" s="79"/>
      <c r="BV36" s="307"/>
      <c r="BW36" s="307"/>
      <c r="BX36" s="369"/>
      <c r="BY36" s="367"/>
      <c r="BZ36" s="79"/>
      <c r="CA36" s="79"/>
      <c r="CB36" s="307"/>
      <c r="CC36" s="370"/>
      <c r="CD36" s="306"/>
      <c r="CE36" s="79"/>
      <c r="CF36" s="79"/>
      <c r="CG36" s="307"/>
      <c r="CH36" s="370"/>
      <c r="CI36" s="306"/>
      <c r="CJ36" s="202"/>
      <c r="CK36" s="202"/>
      <c r="CL36" s="202"/>
      <c r="CM36" s="203"/>
    </row>
    <row r="37" spans="1:91" ht="25.5" customHeight="1" x14ac:dyDescent="0.2">
      <c r="A37" s="324">
        <v>78</v>
      </c>
      <c r="B37" s="72">
        <v>0</v>
      </c>
      <c r="C37" s="72">
        <v>2</v>
      </c>
      <c r="D37" s="72" t="s">
        <v>301</v>
      </c>
      <c r="E37" s="80" t="s">
        <v>709</v>
      </c>
      <c r="F37" s="72"/>
      <c r="G37" s="72" t="s">
        <v>75</v>
      </c>
      <c r="H37" s="78" t="s">
        <v>710</v>
      </c>
      <c r="I37" s="142">
        <v>4</v>
      </c>
      <c r="J37" s="76"/>
      <c r="K37" s="141">
        <v>5</v>
      </c>
      <c r="L37" s="367"/>
      <c r="M37" s="307"/>
      <c r="N37" s="307"/>
      <c r="O37" s="368" t="s">
        <v>122</v>
      </c>
      <c r="P37" s="369"/>
      <c r="Q37" s="274"/>
      <c r="R37" s="79"/>
      <c r="S37" s="307"/>
      <c r="T37" s="307"/>
      <c r="U37" s="370"/>
      <c r="V37" s="306"/>
      <c r="W37" s="307"/>
      <c r="X37" s="307"/>
      <c r="Y37" s="307"/>
      <c r="Z37" s="369"/>
      <c r="AA37" s="367"/>
      <c r="AB37" s="307"/>
      <c r="AC37" s="307"/>
      <c r="AD37" s="307"/>
      <c r="AE37" s="370"/>
      <c r="AF37" s="306"/>
      <c r="AG37" s="307"/>
      <c r="AH37" s="307"/>
      <c r="AI37" s="307"/>
      <c r="AJ37" s="178"/>
      <c r="AK37" s="274"/>
      <c r="AL37" s="307"/>
      <c r="AM37" s="307"/>
      <c r="AN37" s="307"/>
      <c r="AO37" s="370"/>
      <c r="AP37" s="306"/>
      <c r="AQ37" s="307"/>
      <c r="AR37" s="307"/>
      <c r="AS37" s="79"/>
      <c r="AT37" s="178"/>
      <c r="AU37" s="367"/>
      <c r="AV37" s="307"/>
      <c r="AW37" s="307"/>
      <c r="AX37" s="371" t="s">
        <v>120</v>
      </c>
      <c r="AY37" s="370"/>
      <c r="AZ37" s="306"/>
      <c r="BA37" s="307"/>
      <c r="BB37" s="307"/>
      <c r="BC37" s="307"/>
      <c r="BD37" s="372" t="s">
        <v>121</v>
      </c>
      <c r="BE37" s="274"/>
      <c r="BF37" s="79"/>
      <c r="BG37" s="307"/>
      <c r="BH37" s="307"/>
      <c r="BI37" s="370"/>
      <c r="BJ37" s="306"/>
      <c r="BK37" s="307"/>
      <c r="BL37" s="307"/>
      <c r="BM37" s="307"/>
      <c r="BN37" s="369"/>
      <c r="BO37" s="367"/>
      <c r="BP37" s="307"/>
      <c r="BQ37" s="79"/>
      <c r="BR37" s="79"/>
      <c r="BS37" s="370"/>
      <c r="BT37" s="261"/>
      <c r="BU37" s="79"/>
      <c r="BV37" s="307"/>
      <c r="BW37" s="307"/>
      <c r="BX37" s="369"/>
      <c r="BY37" s="367"/>
      <c r="BZ37" s="79"/>
      <c r="CA37" s="79"/>
      <c r="CB37" s="307"/>
      <c r="CC37" s="370"/>
      <c r="CD37" s="306"/>
      <c r="CE37" s="79"/>
      <c r="CF37" s="79"/>
      <c r="CG37" s="307"/>
      <c r="CH37" s="374" t="s">
        <v>40</v>
      </c>
      <c r="CI37" s="373" t="s">
        <v>40</v>
      </c>
      <c r="CJ37" s="202"/>
      <c r="CK37" s="202"/>
      <c r="CL37" s="202"/>
      <c r="CM37" s="203"/>
    </row>
    <row r="38" spans="1:91" ht="25.5" customHeight="1" x14ac:dyDescent="0.2">
      <c r="A38" s="324">
        <v>79</v>
      </c>
      <c r="B38" s="72">
        <v>0</v>
      </c>
      <c r="C38" s="79">
        <v>2</v>
      </c>
      <c r="D38" s="79" t="s">
        <v>302</v>
      </c>
      <c r="E38" s="80" t="s">
        <v>711</v>
      </c>
      <c r="F38" s="76" t="s">
        <v>1104</v>
      </c>
      <c r="G38" s="79" t="s">
        <v>76</v>
      </c>
      <c r="H38" s="134" t="s">
        <v>805</v>
      </c>
      <c r="I38" s="142"/>
      <c r="J38" s="76"/>
      <c r="K38" s="141"/>
      <c r="L38" s="367"/>
      <c r="M38" s="307"/>
      <c r="N38" s="307"/>
      <c r="O38" s="307"/>
      <c r="P38" s="369"/>
      <c r="Q38" s="274"/>
      <c r="R38" s="79"/>
      <c r="S38" s="307"/>
      <c r="T38" s="307"/>
      <c r="U38" s="370"/>
      <c r="V38" s="306"/>
      <c r="W38" s="307"/>
      <c r="X38" s="307"/>
      <c r="Y38" s="307"/>
      <c r="Z38" s="369"/>
      <c r="AA38" s="367"/>
      <c r="AB38" s="307"/>
      <c r="AC38" s="307"/>
      <c r="AD38" s="307"/>
      <c r="AE38" s="370"/>
      <c r="AF38" s="306"/>
      <c r="AG38" s="307"/>
      <c r="AH38" s="307"/>
      <c r="AI38" s="307"/>
      <c r="AJ38" s="178"/>
      <c r="AK38" s="274"/>
      <c r="AL38" s="307"/>
      <c r="AM38" s="307"/>
      <c r="AN38" s="307"/>
      <c r="AO38" s="370"/>
      <c r="AP38" s="306"/>
      <c r="AQ38" s="307"/>
      <c r="AR38" s="307"/>
      <c r="AS38" s="79"/>
      <c r="AT38" s="178"/>
      <c r="AU38" s="367"/>
      <c r="AV38" s="307"/>
      <c r="AW38" s="307"/>
      <c r="AX38" s="307"/>
      <c r="AY38" s="370"/>
      <c r="AZ38" s="306"/>
      <c r="BA38" s="307"/>
      <c r="BB38" s="307"/>
      <c r="BC38" s="307"/>
      <c r="BD38" s="369"/>
      <c r="BE38" s="274"/>
      <c r="BF38" s="79"/>
      <c r="BG38" s="307"/>
      <c r="BH38" s="307"/>
      <c r="BI38" s="370"/>
      <c r="BJ38" s="306"/>
      <c r="BK38" s="307"/>
      <c r="BL38" s="307"/>
      <c r="BM38" s="307"/>
      <c r="BN38" s="369"/>
      <c r="BO38" s="367"/>
      <c r="BP38" s="307"/>
      <c r="BQ38" s="79"/>
      <c r="BR38" s="79"/>
      <c r="BS38" s="370"/>
      <c r="BT38" s="261"/>
      <c r="BU38" s="79"/>
      <c r="BV38" s="307"/>
      <c r="BW38" s="307"/>
      <c r="BX38" s="369"/>
      <c r="BY38" s="367"/>
      <c r="BZ38" s="79"/>
      <c r="CA38" s="79"/>
      <c r="CB38" s="307"/>
      <c r="CC38" s="370"/>
      <c r="CD38" s="306"/>
      <c r="CE38" s="79"/>
      <c r="CF38" s="79"/>
      <c r="CG38" s="307"/>
      <c r="CH38" s="374" t="s">
        <v>40</v>
      </c>
      <c r="CI38" s="373" t="s">
        <v>40</v>
      </c>
      <c r="CJ38" s="202"/>
      <c r="CK38" s="202"/>
      <c r="CL38" s="202"/>
      <c r="CM38" s="203"/>
    </row>
    <row r="39" spans="1:91" ht="25.5" customHeight="1" thickBot="1" x14ac:dyDescent="0.25">
      <c r="A39" s="331">
        <v>80</v>
      </c>
      <c r="B39" s="82">
        <v>0</v>
      </c>
      <c r="C39" s="190">
        <v>2</v>
      </c>
      <c r="D39" s="190" t="s">
        <v>302</v>
      </c>
      <c r="E39" s="83" t="s">
        <v>712</v>
      </c>
      <c r="F39" s="99" t="s">
        <v>1103</v>
      </c>
      <c r="G39" s="190" t="s">
        <v>76</v>
      </c>
      <c r="H39" s="195" t="s">
        <v>806</v>
      </c>
      <c r="I39" s="257">
        <v>4</v>
      </c>
      <c r="J39" s="99"/>
      <c r="K39" s="264"/>
      <c r="L39" s="395"/>
      <c r="M39" s="390"/>
      <c r="N39" s="390"/>
      <c r="O39" s="453" t="s">
        <v>122</v>
      </c>
      <c r="P39" s="391"/>
      <c r="Q39" s="278"/>
      <c r="R39" s="190"/>
      <c r="S39" s="390"/>
      <c r="T39" s="390"/>
      <c r="U39" s="393"/>
      <c r="V39" s="394"/>
      <c r="W39" s="390"/>
      <c r="X39" s="390"/>
      <c r="Y39" s="390"/>
      <c r="Z39" s="391"/>
      <c r="AA39" s="395"/>
      <c r="AB39" s="390"/>
      <c r="AC39" s="390"/>
      <c r="AD39" s="390"/>
      <c r="AE39" s="393"/>
      <c r="AF39" s="394"/>
      <c r="AG39" s="390"/>
      <c r="AH39" s="390"/>
      <c r="AI39" s="390"/>
      <c r="AJ39" s="279"/>
      <c r="AK39" s="278"/>
      <c r="AL39" s="390"/>
      <c r="AM39" s="390"/>
      <c r="AN39" s="390"/>
      <c r="AO39" s="393"/>
      <c r="AP39" s="394"/>
      <c r="AQ39" s="390"/>
      <c r="AR39" s="390"/>
      <c r="AS39" s="190"/>
      <c r="AT39" s="279"/>
      <c r="AU39" s="395"/>
      <c r="AV39" s="390"/>
      <c r="AW39" s="390"/>
      <c r="AX39" s="392" t="s">
        <v>120</v>
      </c>
      <c r="AY39" s="393"/>
      <c r="AZ39" s="394"/>
      <c r="BA39" s="390"/>
      <c r="BB39" s="390"/>
      <c r="BC39" s="390"/>
      <c r="BD39" s="398" t="s">
        <v>121</v>
      </c>
      <c r="BE39" s="278"/>
      <c r="BF39" s="190"/>
      <c r="BG39" s="390"/>
      <c r="BH39" s="390"/>
      <c r="BI39" s="393"/>
      <c r="BJ39" s="394"/>
      <c r="BK39" s="390"/>
      <c r="BL39" s="390"/>
      <c r="BM39" s="390"/>
      <c r="BN39" s="391"/>
      <c r="BO39" s="395"/>
      <c r="BP39" s="390"/>
      <c r="BQ39" s="190"/>
      <c r="BR39" s="190"/>
      <c r="BS39" s="393"/>
      <c r="BT39" s="280"/>
      <c r="BU39" s="190"/>
      <c r="BV39" s="390"/>
      <c r="BW39" s="390"/>
      <c r="BX39" s="391"/>
      <c r="BY39" s="395"/>
      <c r="BZ39" s="190"/>
      <c r="CA39" s="190"/>
      <c r="CB39" s="390"/>
      <c r="CC39" s="393"/>
      <c r="CD39" s="394"/>
      <c r="CE39" s="190"/>
      <c r="CF39" s="190"/>
      <c r="CG39" s="390"/>
      <c r="CH39" s="396" t="s">
        <v>40</v>
      </c>
      <c r="CI39" s="397" t="s">
        <v>40</v>
      </c>
      <c r="CJ39" s="213"/>
      <c r="CK39" s="213"/>
      <c r="CL39" s="213"/>
      <c r="CM39" s="214"/>
    </row>
    <row r="40" spans="1:91" ht="25.5" customHeight="1" x14ac:dyDescent="0.2">
      <c r="A40" s="332">
        <v>81</v>
      </c>
      <c r="B40" s="85">
        <v>0</v>
      </c>
      <c r="C40" s="87">
        <v>2</v>
      </c>
      <c r="D40" s="87" t="s">
        <v>302</v>
      </c>
      <c r="E40" s="193" t="s">
        <v>713</v>
      </c>
      <c r="F40" s="103" t="s">
        <v>714</v>
      </c>
      <c r="G40" s="87" t="s">
        <v>76</v>
      </c>
      <c r="H40" s="194" t="s">
        <v>926</v>
      </c>
      <c r="I40" s="139"/>
      <c r="J40" s="103"/>
      <c r="K40" s="137"/>
      <c r="L40" s="407"/>
      <c r="M40" s="402"/>
      <c r="N40" s="402"/>
      <c r="O40" s="402"/>
      <c r="P40" s="403"/>
      <c r="Q40" s="281"/>
      <c r="R40" s="87"/>
      <c r="S40" s="402"/>
      <c r="T40" s="402"/>
      <c r="U40" s="405"/>
      <c r="V40" s="406"/>
      <c r="W40" s="402"/>
      <c r="X40" s="402"/>
      <c r="Y40" s="402"/>
      <c r="Z40" s="403"/>
      <c r="AA40" s="407"/>
      <c r="AB40" s="402"/>
      <c r="AC40" s="402"/>
      <c r="AD40" s="402"/>
      <c r="AE40" s="405"/>
      <c r="AF40" s="406"/>
      <c r="AG40" s="402"/>
      <c r="AH40" s="402"/>
      <c r="AI40" s="402"/>
      <c r="AJ40" s="282"/>
      <c r="AK40" s="281"/>
      <c r="AL40" s="402"/>
      <c r="AM40" s="402"/>
      <c r="AN40" s="402"/>
      <c r="AO40" s="405"/>
      <c r="AP40" s="406"/>
      <c r="AQ40" s="402"/>
      <c r="AR40" s="402"/>
      <c r="AS40" s="87"/>
      <c r="AT40" s="282"/>
      <c r="AU40" s="407"/>
      <c r="AV40" s="402"/>
      <c r="AW40" s="402"/>
      <c r="AX40" s="402"/>
      <c r="AY40" s="405"/>
      <c r="AZ40" s="406"/>
      <c r="BA40" s="402"/>
      <c r="BB40" s="402"/>
      <c r="BC40" s="402"/>
      <c r="BD40" s="403"/>
      <c r="BE40" s="281"/>
      <c r="BF40" s="87"/>
      <c r="BG40" s="402"/>
      <c r="BH40" s="402"/>
      <c r="BI40" s="405"/>
      <c r="BJ40" s="406"/>
      <c r="BK40" s="402"/>
      <c r="BL40" s="402"/>
      <c r="BM40" s="402"/>
      <c r="BN40" s="403"/>
      <c r="BO40" s="407"/>
      <c r="BP40" s="402"/>
      <c r="BQ40" s="87"/>
      <c r="BR40" s="87"/>
      <c r="BS40" s="405"/>
      <c r="BT40" s="283"/>
      <c r="BU40" s="87"/>
      <c r="BV40" s="402"/>
      <c r="BW40" s="402"/>
      <c r="BX40" s="403"/>
      <c r="BY40" s="407"/>
      <c r="BZ40" s="87"/>
      <c r="CA40" s="87"/>
      <c r="CB40" s="402"/>
      <c r="CC40" s="405"/>
      <c r="CD40" s="406"/>
      <c r="CE40" s="87"/>
      <c r="CF40" s="87"/>
      <c r="CG40" s="402"/>
      <c r="CH40" s="408" t="s">
        <v>40</v>
      </c>
      <c r="CI40" s="409" t="s">
        <v>40</v>
      </c>
      <c r="CJ40" s="217"/>
      <c r="CK40" s="217"/>
      <c r="CL40" s="217"/>
      <c r="CM40" s="218"/>
    </row>
    <row r="41" spans="1:91" ht="25.5" customHeight="1" x14ac:dyDescent="0.2">
      <c r="A41" s="324">
        <v>82</v>
      </c>
      <c r="B41" s="72">
        <v>0</v>
      </c>
      <c r="C41" s="79">
        <v>2</v>
      </c>
      <c r="D41" s="79" t="s">
        <v>303</v>
      </c>
      <c r="E41" s="80" t="s">
        <v>715</v>
      </c>
      <c r="F41" s="76" t="s">
        <v>716</v>
      </c>
      <c r="G41" s="79" t="s">
        <v>77</v>
      </c>
      <c r="H41" s="134" t="s">
        <v>807</v>
      </c>
      <c r="I41" s="142">
        <v>4</v>
      </c>
      <c r="J41" s="76"/>
      <c r="K41" s="141"/>
      <c r="L41" s="367"/>
      <c r="M41" s="307"/>
      <c r="N41" s="307"/>
      <c r="O41" s="368" t="s">
        <v>122</v>
      </c>
      <c r="P41" s="369"/>
      <c r="Q41" s="274"/>
      <c r="R41" s="79"/>
      <c r="S41" s="307"/>
      <c r="T41" s="307"/>
      <c r="U41" s="370"/>
      <c r="V41" s="306"/>
      <c r="W41" s="307"/>
      <c r="X41" s="307"/>
      <c r="Y41" s="307"/>
      <c r="Z41" s="369"/>
      <c r="AA41" s="367"/>
      <c r="AB41" s="307"/>
      <c r="AC41" s="307"/>
      <c r="AD41" s="307"/>
      <c r="AE41" s="370"/>
      <c r="AF41" s="306"/>
      <c r="AG41" s="307"/>
      <c r="AH41" s="307"/>
      <c r="AI41" s="307"/>
      <c r="AJ41" s="178"/>
      <c r="AK41" s="274"/>
      <c r="AL41" s="307"/>
      <c r="AM41" s="307"/>
      <c r="AN41" s="307"/>
      <c r="AO41" s="370"/>
      <c r="AP41" s="306"/>
      <c r="AQ41" s="307"/>
      <c r="AR41" s="307"/>
      <c r="AS41" s="79"/>
      <c r="AT41" s="178"/>
      <c r="AU41" s="367"/>
      <c r="AV41" s="307"/>
      <c r="AW41" s="307"/>
      <c r="AX41" s="371" t="s">
        <v>120</v>
      </c>
      <c r="AY41" s="370"/>
      <c r="AZ41" s="306"/>
      <c r="BA41" s="307"/>
      <c r="BB41" s="307"/>
      <c r="BC41" s="307"/>
      <c r="BD41" s="372" t="s">
        <v>121</v>
      </c>
      <c r="BE41" s="274"/>
      <c r="BF41" s="79"/>
      <c r="BG41" s="307"/>
      <c r="BH41" s="307"/>
      <c r="BI41" s="370"/>
      <c r="BJ41" s="306"/>
      <c r="BK41" s="307"/>
      <c r="BL41" s="307"/>
      <c r="BM41" s="307"/>
      <c r="BN41" s="369"/>
      <c r="BO41" s="367"/>
      <c r="BP41" s="307"/>
      <c r="BQ41" s="79"/>
      <c r="BR41" s="79"/>
      <c r="BS41" s="370"/>
      <c r="BT41" s="261"/>
      <c r="BU41" s="79"/>
      <c r="BV41" s="307"/>
      <c r="BW41" s="307"/>
      <c r="BX41" s="369"/>
      <c r="BY41" s="367"/>
      <c r="BZ41" s="79"/>
      <c r="CA41" s="79"/>
      <c r="CB41" s="307"/>
      <c r="CC41" s="370"/>
      <c r="CD41" s="306"/>
      <c r="CE41" s="79"/>
      <c r="CF41" s="79"/>
      <c r="CG41" s="307"/>
      <c r="CH41" s="374" t="s">
        <v>40</v>
      </c>
      <c r="CI41" s="373" t="s">
        <v>40</v>
      </c>
      <c r="CJ41" s="202"/>
      <c r="CK41" s="202"/>
      <c r="CL41" s="202"/>
      <c r="CM41" s="203"/>
    </row>
    <row r="42" spans="1:91" ht="25.5" customHeight="1" x14ac:dyDescent="0.2">
      <c r="A42" s="324">
        <v>83</v>
      </c>
      <c r="B42" s="72">
        <v>0</v>
      </c>
      <c r="C42" s="79">
        <v>2</v>
      </c>
      <c r="D42" s="79" t="s">
        <v>303</v>
      </c>
      <c r="E42" s="80" t="s">
        <v>717</v>
      </c>
      <c r="F42" s="76" t="s">
        <v>718</v>
      </c>
      <c r="G42" s="79" t="s">
        <v>77</v>
      </c>
      <c r="H42" s="134" t="s">
        <v>808</v>
      </c>
      <c r="I42" s="142"/>
      <c r="J42" s="76"/>
      <c r="K42" s="141"/>
      <c r="L42" s="367"/>
      <c r="M42" s="307"/>
      <c r="N42" s="307"/>
      <c r="O42" s="307"/>
      <c r="P42" s="369"/>
      <c r="Q42" s="274"/>
      <c r="R42" s="79"/>
      <c r="S42" s="307"/>
      <c r="T42" s="307"/>
      <c r="U42" s="370"/>
      <c r="V42" s="306"/>
      <c r="W42" s="307"/>
      <c r="X42" s="307"/>
      <c r="Y42" s="307"/>
      <c r="Z42" s="369"/>
      <c r="AA42" s="367"/>
      <c r="AB42" s="307"/>
      <c r="AC42" s="307"/>
      <c r="AD42" s="307"/>
      <c r="AE42" s="370"/>
      <c r="AF42" s="306"/>
      <c r="AG42" s="307"/>
      <c r="AH42" s="307"/>
      <c r="AI42" s="307"/>
      <c r="AJ42" s="178"/>
      <c r="AK42" s="274"/>
      <c r="AL42" s="307"/>
      <c r="AM42" s="307"/>
      <c r="AN42" s="307"/>
      <c r="AO42" s="370"/>
      <c r="AP42" s="306"/>
      <c r="AQ42" s="307"/>
      <c r="AR42" s="307"/>
      <c r="AS42" s="79"/>
      <c r="AT42" s="178"/>
      <c r="AU42" s="367"/>
      <c r="AV42" s="307"/>
      <c r="AW42" s="307"/>
      <c r="AX42" s="307"/>
      <c r="AY42" s="370"/>
      <c r="AZ42" s="306"/>
      <c r="BA42" s="307"/>
      <c r="BB42" s="307"/>
      <c r="BC42" s="307"/>
      <c r="BD42" s="369"/>
      <c r="BE42" s="274"/>
      <c r="BF42" s="79"/>
      <c r="BG42" s="307"/>
      <c r="BH42" s="307"/>
      <c r="BI42" s="370"/>
      <c r="BJ42" s="306"/>
      <c r="BK42" s="307"/>
      <c r="BL42" s="307"/>
      <c r="BM42" s="307"/>
      <c r="BN42" s="369"/>
      <c r="BO42" s="367"/>
      <c r="BP42" s="307"/>
      <c r="BQ42" s="79"/>
      <c r="BR42" s="79"/>
      <c r="BS42" s="370"/>
      <c r="BT42" s="261"/>
      <c r="BU42" s="79"/>
      <c r="BV42" s="307"/>
      <c r="BW42" s="307"/>
      <c r="BX42" s="369"/>
      <c r="BY42" s="367"/>
      <c r="BZ42" s="79"/>
      <c r="CA42" s="79"/>
      <c r="CB42" s="307"/>
      <c r="CC42" s="370"/>
      <c r="CD42" s="306"/>
      <c r="CE42" s="79"/>
      <c r="CF42" s="79"/>
      <c r="CG42" s="307"/>
      <c r="CH42" s="374" t="s">
        <v>40</v>
      </c>
      <c r="CI42" s="373" t="s">
        <v>40</v>
      </c>
      <c r="CJ42" s="202"/>
      <c r="CK42" s="202"/>
      <c r="CL42" s="202"/>
      <c r="CM42" s="203"/>
    </row>
    <row r="43" spans="1:91" ht="25.5" customHeight="1" x14ac:dyDescent="0.2">
      <c r="A43" s="324">
        <v>84</v>
      </c>
      <c r="B43" s="72">
        <v>0</v>
      </c>
      <c r="C43" s="79">
        <v>2</v>
      </c>
      <c r="D43" s="79" t="s">
        <v>303</v>
      </c>
      <c r="E43" s="80" t="s">
        <v>713</v>
      </c>
      <c r="F43" s="76" t="s">
        <v>714</v>
      </c>
      <c r="G43" s="79" t="s">
        <v>77</v>
      </c>
      <c r="H43" s="134" t="s">
        <v>927</v>
      </c>
      <c r="I43" s="142"/>
      <c r="J43" s="76"/>
      <c r="K43" s="141"/>
      <c r="L43" s="367"/>
      <c r="M43" s="307"/>
      <c r="N43" s="307"/>
      <c r="O43" s="307"/>
      <c r="P43" s="369"/>
      <c r="Q43" s="274"/>
      <c r="R43" s="79"/>
      <c r="S43" s="307"/>
      <c r="T43" s="307"/>
      <c r="U43" s="370"/>
      <c r="V43" s="306"/>
      <c r="W43" s="307"/>
      <c r="X43" s="307"/>
      <c r="Y43" s="307"/>
      <c r="Z43" s="369"/>
      <c r="AA43" s="367"/>
      <c r="AB43" s="307"/>
      <c r="AC43" s="307"/>
      <c r="AD43" s="307"/>
      <c r="AE43" s="370"/>
      <c r="AF43" s="306"/>
      <c r="AG43" s="307"/>
      <c r="AH43" s="307"/>
      <c r="AI43" s="307"/>
      <c r="AJ43" s="178"/>
      <c r="AK43" s="274"/>
      <c r="AL43" s="307"/>
      <c r="AM43" s="307"/>
      <c r="AN43" s="307"/>
      <c r="AO43" s="370"/>
      <c r="AP43" s="306"/>
      <c r="AQ43" s="307"/>
      <c r="AR43" s="307"/>
      <c r="AS43" s="79"/>
      <c r="AT43" s="178"/>
      <c r="AU43" s="367"/>
      <c r="AV43" s="307"/>
      <c r="AW43" s="307"/>
      <c r="AX43" s="307"/>
      <c r="AY43" s="370"/>
      <c r="AZ43" s="306"/>
      <c r="BA43" s="307"/>
      <c r="BB43" s="307"/>
      <c r="BC43" s="307"/>
      <c r="BD43" s="369"/>
      <c r="BE43" s="274"/>
      <c r="BF43" s="79"/>
      <c r="BG43" s="307"/>
      <c r="BH43" s="307"/>
      <c r="BI43" s="370"/>
      <c r="BJ43" s="306"/>
      <c r="BK43" s="307"/>
      <c r="BL43" s="307"/>
      <c r="BM43" s="307"/>
      <c r="BN43" s="369"/>
      <c r="BO43" s="367"/>
      <c r="BP43" s="307"/>
      <c r="BQ43" s="79"/>
      <c r="BR43" s="79"/>
      <c r="BS43" s="370"/>
      <c r="BT43" s="261"/>
      <c r="BU43" s="79"/>
      <c r="BV43" s="307"/>
      <c r="BW43" s="307"/>
      <c r="BX43" s="369"/>
      <c r="BY43" s="367"/>
      <c r="BZ43" s="79"/>
      <c r="CA43" s="79"/>
      <c r="CB43" s="307"/>
      <c r="CC43" s="370"/>
      <c r="CD43" s="306"/>
      <c r="CE43" s="79"/>
      <c r="CF43" s="79"/>
      <c r="CG43" s="307"/>
      <c r="CH43" s="374" t="s">
        <v>40</v>
      </c>
      <c r="CI43" s="373" t="s">
        <v>40</v>
      </c>
      <c r="CJ43" s="202"/>
      <c r="CK43" s="202"/>
      <c r="CL43" s="202"/>
      <c r="CM43" s="203"/>
    </row>
    <row r="44" spans="1:91" ht="25.5" customHeight="1" thickBot="1" x14ac:dyDescent="0.25">
      <c r="A44" s="325">
        <v>85</v>
      </c>
      <c r="B44" s="73">
        <v>0</v>
      </c>
      <c r="C44" s="74">
        <v>4</v>
      </c>
      <c r="D44" s="74" t="s">
        <v>304</v>
      </c>
      <c r="E44" s="126" t="s">
        <v>719</v>
      </c>
      <c r="F44" s="479" t="s">
        <v>1105</v>
      </c>
      <c r="G44" s="74" t="s">
        <v>78</v>
      </c>
      <c r="H44" s="135" t="s">
        <v>809</v>
      </c>
      <c r="I44" s="269">
        <v>4</v>
      </c>
      <c r="J44" s="89"/>
      <c r="K44" s="270"/>
      <c r="L44" s="383"/>
      <c r="M44" s="379"/>
      <c r="N44" s="379"/>
      <c r="O44" s="454" t="s">
        <v>122</v>
      </c>
      <c r="P44" s="382"/>
      <c r="Q44" s="275"/>
      <c r="R44" s="89"/>
      <c r="S44" s="379"/>
      <c r="T44" s="414"/>
      <c r="U44" s="416"/>
      <c r="V44" s="417"/>
      <c r="W44" s="379"/>
      <c r="X44" s="379"/>
      <c r="Y44" s="379"/>
      <c r="Z44" s="382"/>
      <c r="AA44" s="482"/>
      <c r="AB44" s="414"/>
      <c r="AC44" s="379"/>
      <c r="AD44" s="379"/>
      <c r="AE44" s="416"/>
      <c r="AF44" s="417"/>
      <c r="AG44" s="414"/>
      <c r="AH44" s="379"/>
      <c r="AI44" s="379"/>
      <c r="AJ44" s="270"/>
      <c r="AK44" s="271"/>
      <c r="AL44" s="414"/>
      <c r="AM44" s="414"/>
      <c r="AN44" s="414"/>
      <c r="AO44" s="416"/>
      <c r="AP44" s="417"/>
      <c r="AQ44" s="414"/>
      <c r="AR44" s="414"/>
      <c r="AS44" s="89"/>
      <c r="AT44" s="270"/>
      <c r="AU44" s="482"/>
      <c r="AV44" s="414"/>
      <c r="AW44" s="414"/>
      <c r="AX44" s="385" t="s">
        <v>120</v>
      </c>
      <c r="AY44" s="380"/>
      <c r="AZ44" s="381"/>
      <c r="BA44" s="379"/>
      <c r="BB44" s="379"/>
      <c r="BC44" s="414"/>
      <c r="BD44" s="378" t="s">
        <v>121</v>
      </c>
      <c r="BE44" s="271"/>
      <c r="BF44" s="89"/>
      <c r="BG44" s="414"/>
      <c r="BH44" s="414"/>
      <c r="BI44" s="416"/>
      <c r="BJ44" s="417"/>
      <c r="BK44" s="379"/>
      <c r="BL44" s="414"/>
      <c r="BM44" s="414"/>
      <c r="BN44" s="415"/>
      <c r="BO44" s="482"/>
      <c r="BP44" s="414"/>
      <c r="BQ44" s="89"/>
      <c r="BR44" s="89"/>
      <c r="BS44" s="416"/>
      <c r="BT44" s="269"/>
      <c r="BU44" s="89"/>
      <c r="BV44" s="414"/>
      <c r="BW44" s="414"/>
      <c r="BX44" s="415"/>
      <c r="BY44" s="482"/>
      <c r="BZ44" s="89"/>
      <c r="CA44" s="89"/>
      <c r="CB44" s="414"/>
      <c r="CC44" s="416"/>
      <c r="CD44" s="417"/>
      <c r="CE44" s="89"/>
      <c r="CF44" s="74"/>
      <c r="CG44" s="414"/>
      <c r="CH44" s="386" t="s">
        <v>40</v>
      </c>
      <c r="CI44" s="384" t="s">
        <v>40</v>
      </c>
      <c r="CJ44" s="206"/>
      <c r="CK44" s="206"/>
      <c r="CL44" s="206"/>
      <c r="CM44" s="207"/>
    </row>
    <row r="45" spans="1:91" ht="25.5" customHeight="1" x14ac:dyDescent="0.2">
      <c r="A45" s="318">
        <v>86</v>
      </c>
      <c r="B45" s="75">
        <v>0</v>
      </c>
      <c r="C45" s="92">
        <v>4</v>
      </c>
      <c r="D45" s="92" t="s">
        <v>304</v>
      </c>
      <c r="E45" s="93" t="s">
        <v>720</v>
      </c>
      <c r="F45" s="480" t="s">
        <v>1106</v>
      </c>
      <c r="G45" s="92" t="s">
        <v>78</v>
      </c>
      <c r="H45" s="113" t="s">
        <v>810</v>
      </c>
      <c r="I45" s="259"/>
      <c r="J45" s="130"/>
      <c r="K45" s="260"/>
      <c r="L45" s="308"/>
      <c r="M45" s="304"/>
      <c r="N45" s="304"/>
      <c r="O45" s="304"/>
      <c r="P45" s="359"/>
      <c r="Q45" s="272"/>
      <c r="R45" s="130"/>
      <c r="S45" s="418"/>
      <c r="T45" s="418"/>
      <c r="U45" s="420"/>
      <c r="V45" s="421"/>
      <c r="W45" s="418"/>
      <c r="X45" s="418"/>
      <c r="Y45" s="418"/>
      <c r="Z45" s="419"/>
      <c r="AA45" s="483"/>
      <c r="AB45" s="418"/>
      <c r="AC45" s="418"/>
      <c r="AD45" s="418"/>
      <c r="AE45" s="420"/>
      <c r="AF45" s="421"/>
      <c r="AG45" s="418"/>
      <c r="AH45" s="418"/>
      <c r="AI45" s="418"/>
      <c r="AJ45" s="260"/>
      <c r="AK45" s="448"/>
      <c r="AL45" s="418"/>
      <c r="AM45" s="418"/>
      <c r="AN45" s="418"/>
      <c r="AO45" s="420"/>
      <c r="AP45" s="421"/>
      <c r="AQ45" s="418"/>
      <c r="AR45" s="418"/>
      <c r="AS45" s="130"/>
      <c r="AT45" s="260"/>
      <c r="AU45" s="483"/>
      <c r="AV45" s="418"/>
      <c r="AW45" s="418"/>
      <c r="AX45" s="418"/>
      <c r="AY45" s="420"/>
      <c r="AZ45" s="421"/>
      <c r="BA45" s="418"/>
      <c r="BB45" s="418"/>
      <c r="BC45" s="418"/>
      <c r="BD45" s="419"/>
      <c r="BE45" s="448"/>
      <c r="BF45" s="130"/>
      <c r="BG45" s="418"/>
      <c r="BH45" s="418"/>
      <c r="BI45" s="420"/>
      <c r="BJ45" s="421"/>
      <c r="BK45" s="418"/>
      <c r="BL45" s="418"/>
      <c r="BM45" s="418"/>
      <c r="BN45" s="419"/>
      <c r="BO45" s="483"/>
      <c r="BP45" s="418"/>
      <c r="BQ45" s="130"/>
      <c r="BR45" s="130"/>
      <c r="BS45" s="420"/>
      <c r="BT45" s="259"/>
      <c r="BU45" s="130"/>
      <c r="BV45" s="418"/>
      <c r="BW45" s="418"/>
      <c r="BX45" s="419"/>
      <c r="BY45" s="483"/>
      <c r="BZ45" s="130"/>
      <c r="CA45" s="130"/>
      <c r="CB45" s="418"/>
      <c r="CC45" s="420"/>
      <c r="CD45" s="421"/>
      <c r="CE45" s="130"/>
      <c r="CF45" s="92"/>
      <c r="CG45" s="418"/>
      <c r="CH45" s="363" t="s">
        <v>40</v>
      </c>
      <c r="CI45" s="364" t="s">
        <v>40</v>
      </c>
      <c r="CJ45" s="210"/>
      <c r="CK45" s="210"/>
      <c r="CL45" s="210"/>
      <c r="CM45" s="211"/>
    </row>
    <row r="46" spans="1:91" ht="25.5" customHeight="1" x14ac:dyDescent="0.2">
      <c r="A46" s="324">
        <v>87</v>
      </c>
      <c r="B46" s="72">
        <v>0</v>
      </c>
      <c r="C46" s="79">
        <v>4</v>
      </c>
      <c r="D46" s="79" t="s">
        <v>304</v>
      </c>
      <c r="E46" s="77" t="s">
        <v>928</v>
      </c>
      <c r="F46" s="76" t="s">
        <v>714</v>
      </c>
      <c r="G46" s="79" t="s">
        <v>78</v>
      </c>
      <c r="H46" s="134" t="s">
        <v>929</v>
      </c>
      <c r="I46" s="142"/>
      <c r="J46" s="76"/>
      <c r="K46" s="141"/>
      <c r="L46" s="367"/>
      <c r="M46" s="307"/>
      <c r="N46" s="307"/>
      <c r="O46" s="307"/>
      <c r="P46" s="369"/>
      <c r="Q46" s="274"/>
      <c r="R46" s="76"/>
      <c r="S46" s="310"/>
      <c r="T46" s="307"/>
      <c r="U46" s="370"/>
      <c r="V46" s="306"/>
      <c r="W46" s="310"/>
      <c r="X46" s="310"/>
      <c r="Y46" s="310"/>
      <c r="Z46" s="411"/>
      <c r="AA46" s="367"/>
      <c r="AB46" s="307"/>
      <c r="AC46" s="310"/>
      <c r="AD46" s="310"/>
      <c r="AE46" s="412"/>
      <c r="AF46" s="413"/>
      <c r="AG46" s="310"/>
      <c r="AH46" s="310"/>
      <c r="AI46" s="310"/>
      <c r="AJ46" s="141"/>
      <c r="AK46" s="140"/>
      <c r="AL46" s="310"/>
      <c r="AM46" s="310"/>
      <c r="AN46" s="310"/>
      <c r="AO46" s="412"/>
      <c r="AP46" s="413"/>
      <c r="AQ46" s="307"/>
      <c r="AR46" s="307"/>
      <c r="AS46" s="79"/>
      <c r="AT46" s="141"/>
      <c r="AU46" s="367"/>
      <c r="AV46" s="307"/>
      <c r="AW46" s="307"/>
      <c r="AX46" s="307"/>
      <c r="AY46" s="370"/>
      <c r="AZ46" s="306"/>
      <c r="BA46" s="307"/>
      <c r="BB46" s="307"/>
      <c r="BC46" s="307"/>
      <c r="BD46" s="369"/>
      <c r="BE46" s="274"/>
      <c r="BF46" s="76"/>
      <c r="BG46" s="307"/>
      <c r="BH46" s="307"/>
      <c r="BI46" s="370"/>
      <c r="BJ46" s="306"/>
      <c r="BK46" s="307"/>
      <c r="BL46" s="307"/>
      <c r="BM46" s="307"/>
      <c r="BN46" s="369"/>
      <c r="BO46" s="367"/>
      <c r="BP46" s="307"/>
      <c r="BQ46" s="79"/>
      <c r="BR46" s="76"/>
      <c r="BS46" s="412"/>
      <c r="BT46" s="142"/>
      <c r="BU46" s="76"/>
      <c r="BV46" s="307"/>
      <c r="BW46" s="310"/>
      <c r="BX46" s="369"/>
      <c r="BY46" s="367"/>
      <c r="BZ46" s="76"/>
      <c r="CA46" s="76"/>
      <c r="CB46" s="310"/>
      <c r="CC46" s="412"/>
      <c r="CD46" s="413"/>
      <c r="CE46" s="76"/>
      <c r="CF46" s="79"/>
      <c r="CG46" s="307"/>
      <c r="CH46" s="374" t="s">
        <v>40</v>
      </c>
      <c r="CI46" s="373" t="s">
        <v>40</v>
      </c>
      <c r="CJ46" s="202"/>
      <c r="CK46" s="202"/>
      <c r="CL46" s="202"/>
      <c r="CM46" s="203"/>
    </row>
    <row r="47" spans="1:91" ht="25.5" customHeight="1" x14ac:dyDescent="0.2">
      <c r="A47" s="324">
        <v>88</v>
      </c>
      <c r="B47" s="72">
        <v>0</v>
      </c>
      <c r="C47" s="79">
        <v>4</v>
      </c>
      <c r="D47" s="79" t="s">
        <v>305</v>
      </c>
      <c r="E47" s="77" t="s">
        <v>721</v>
      </c>
      <c r="F47" s="296" t="s">
        <v>1107</v>
      </c>
      <c r="G47" s="79" t="s">
        <v>79</v>
      </c>
      <c r="H47" s="134" t="s">
        <v>811</v>
      </c>
      <c r="I47" s="142">
        <v>4</v>
      </c>
      <c r="J47" s="76" t="s">
        <v>64</v>
      </c>
      <c r="K47" s="141">
        <v>16</v>
      </c>
      <c r="L47" s="367"/>
      <c r="M47" s="307"/>
      <c r="N47" s="307"/>
      <c r="O47" s="368" t="s">
        <v>122</v>
      </c>
      <c r="P47" s="369"/>
      <c r="Q47" s="274"/>
      <c r="R47" s="76"/>
      <c r="S47" s="310"/>
      <c r="T47" s="307"/>
      <c r="U47" s="370"/>
      <c r="V47" s="306"/>
      <c r="W47" s="310"/>
      <c r="X47" s="310"/>
      <c r="Y47" s="310"/>
      <c r="Z47" s="411"/>
      <c r="AA47" s="367"/>
      <c r="AB47" s="307"/>
      <c r="AC47" s="310"/>
      <c r="AD47" s="310"/>
      <c r="AE47" s="412"/>
      <c r="AF47" s="413"/>
      <c r="AG47" s="310"/>
      <c r="AH47" s="310"/>
      <c r="AI47" s="310"/>
      <c r="AJ47" s="141"/>
      <c r="AK47" s="140"/>
      <c r="AL47" s="310"/>
      <c r="AM47" s="310"/>
      <c r="AN47" s="310"/>
      <c r="AO47" s="412"/>
      <c r="AP47" s="413"/>
      <c r="AQ47" s="307"/>
      <c r="AR47" s="307"/>
      <c r="AS47" s="79"/>
      <c r="AT47" s="141"/>
      <c r="AU47" s="367"/>
      <c r="AV47" s="307"/>
      <c r="AW47" s="307"/>
      <c r="AX47" s="371" t="s">
        <v>120</v>
      </c>
      <c r="AY47" s="370"/>
      <c r="AZ47" s="306"/>
      <c r="BA47" s="307"/>
      <c r="BB47" s="307"/>
      <c r="BC47" s="307"/>
      <c r="BD47" s="372" t="s">
        <v>121</v>
      </c>
      <c r="BE47" s="274"/>
      <c r="BF47" s="76"/>
      <c r="BG47" s="307"/>
      <c r="BH47" s="307"/>
      <c r="BI47" s="370"/>
      <c r="BJ47" s="306"/>
      <c r="BK47" s="307"/>
      <c r="BL47" s="307"/>
      <c r="BM47" s="307"/>
      <c r="BN47" s="369"/>
      <c r="BO47" s="367"/>
      <c r="BP47" s="307"/>
      <c r="BQ47" s="79"/>
      <c r="BR47" s="76"/>
      <c r="BS47" s="412"/>
      <c r="BT47" s="142"/>
      <c r="BU47" s="76"/>
      <c r="BV47" s="307"/>
      <c r="BW47" s="310"/>
      <c r="BX47" s="369"/>
      <c r="BY47" s="367"/>
      <c r="BZ47" s="76"/>
      <c r="CA47" s="76"/>
      <c r="CB47" s="310"/>
      <c r="CC47" s="412"/>
      <c r="CD47" s="413"/>
      <c r="CE47" s="76"/>
      <c r="CF47" s="79"/>
      <c r="CG47" s="310"/>
      <c r="CH47" s="470" t="s">
        <v>40</v>
      </c>
      <c r="CI47" s="471" t="s">
        <v>40</v>
      </c>
      <c r="CJ47" s="202"/>
      <c r="CK47" s="202"/>
      <c r="CL47" s="202"/>
      <c r="CM47" s="203"/>
    </row>
    <row r="48" spans="1:91" ht="25.5" customHeight="1" x14ac:dyDescent="0.2">
      <c r="A48" s="324">
        <v>89</v>
      </c>
      <c r="B48" s="72">
        <v>0</v>
      </c>
      <c r="C48" s="79">
        <v>4</v>
      </c>
      <c r="D48" s="79" t="s">
        <v>305</v>
      </c>
      <c r="E48" s="77" t="s">
        <v>722</v>
      </c>
      <c r="F48" s="296" t="s">
        <v>1108</v>
      </c>
      <c r="G48" s="79" t="s">
        <v>79</v>
      </c>
      <c r="H48" s="134" t="s">
        <v>812</v>
      </c>
      <c r="I48" s="142"/>
      <c r="J48" s="76"/>
      <c r="K48" s="141"/>
      <c r="L48" s="367"/>
      <c r="M48" s="307"/>
      <c r="N48" s="307"/>
      <c r="O48" s="307"/>
      <c r="P48" s="369"/>
      <c r="Q48" s="274"/>
      <c r="R48" s="76"/>
      <c r="S48" s="310"/>
      <c r="T48" s="307"/>
      <c r="U48" s="370"/>
      <c r="V48" s="306"/>
      <c r="W48" s="310"/>
      <c r="X48" s="310"/>
      <c r="Y48" s="310"/>
      <c r="Z48" s="411"/>
      <c r="AA48" s="367"/>
      <c r="AB48" s="307"/>
      <c r="AC48" s="310"/>
      <c r="AD48" s="310"/>
      <c r="AE48" s="370"/>
      <c r="AF48" s="306"/>
      <c r="AG48" s="307"/>
      <c r="AH48" s="310"/>
      <c r="AI48" s="310"/>
      <c r="AJ48" s="178"/>
      <c r="AK48" s="140"/>
      <c r="AL48" s="310"/>
      <c r="AM48" s="310"/>
      <c r="AN48" s="310"/>
      <c r="AO48" s="412"/>
      <c r="AP48" s="413"/>
      <c r="AQ48" s="307"/>
      <c r="AR48" s="307"/>
      <c r="AS48" s="79"/>
      <c r="AT48" s="141"/>
      <c r="AU48" s="367"/>
      <c r="AV48" s="307"/>
      <c r="AW48" s="307"/>
      <c r="AX48" s="307"/>
      <c r="AY48" s="370"/>
      <c r="AZ48" s="306"/>
      <c r="BA48" s="307"/>
      <c r="BB48" s="307"/>
      <c r="BC48" s="307"/>
      <c r="BD48" s="369"/>
      <c r="BE48" s="274"/>
      <c r="BF48" s="76"/>
      <c r="BG48" s="307"/>
      <c r="BH48" s="307"/>
      <c r="BI48" s="370"/>
      <c r="BJ48" s="306"/>
      <c r="BK48" s="307"/>
      <c r="BL48" s="307"/>
      <c r="BM48" s="307"/>
      <c r="BN48" s="369"/>
      <c r="BO48" s="367"/>
      <c r="BP48" s="307"/>
      <c r="BQ48" s="79"/>
      <c r="BR48" s="76"/>
      <c r="BS48" s="412"/>
      <c r="BT48" s="142"/>
      <c r="BU48" s="76"/>
      <c r="BV48" s="307"/>
      <c r="BW48" s="310"/>
      <c r="BX48" s="369"/>
      <c r="BY48" s="367"/>
      <c r="BZ48" s="76"/>
      <c r="CA48" s="76"/>
      <c r="CB48" s="307"/>
      <c r="CC48" s="412"/>
      <c r="CD48" s="413"/>
      <c r="CE48" s="76"/>
      <c r="CF48" s="79"/>
      <c r="CG48" s="310"/>
      <c r="CH48" s="470" t="s">
        <v>40</v>
      </c>
      <c r="CI48" s="471" t="s">
        <v>40</v>
      </c>
      <c r="CJ48" s="202"/>
      <c r="CK48" s="202"/>
      <c r="CL48" s="202"/>
      <c r="CM48" s="203"/>
    </row>
    <row r="49" spans="1:91" ht="25.5" customHeight="1" thickBot="1" x14ac:dyDescent="0.25">
      <c r="A49" s="331">
        <v>90</v>
      </c>
      <c r="B49" s="82">
        <v>0</v>
      </c>
      <c r="C49" s="190">
        <v>4</v>
      </c>
      <c r="D49" s="190" t="s">
        <v>305</v>
      </c>
      <c r="E49" s="117" t="s">
        <v>930</v>
      </c>
      <c r="F49" s="99" t="s">
        <v>714</v>
      </c>
      <c r="G49" s="190" t="s">
        <v>79</v>
      </c>
      <c r="H49" s="195" t="s">
        <v>931</v>
      </c>
      <c r="I49" s="257"/>
      <c r="J49" s="99"/>
      <c r="K49" s="264"/>
      <c r="L49" s="395"/>
      <c r="M49" s="390"/>
      <c r="N49" s="390"/>
      <c r="O49" s="390"/>
      <c r="P49" s="391"/>
      <c r="Q49" s="278"/>
      <c r="R49" s="190"/>
      <c r="S49" s="390"/>
      <c r="T49" s="390"/>
      <c r="U49" s="393"/>
      <c r="V49" s="394"/>
      <c r="W49" s="390"/>
      <c r="X49" s="390"/>
      <c r="Y49" s="390"/>
      <c r="Z49" s="391"/>
      <c r="AA49" s="395"/>
      <c r="AB49" s="390"/>
      <c r="AC49" s="390"/>
      <c r="AD49" s="390"/>
      <c r="AE49" s="424"/>
      <c r="AF49" s="425"/>
      <c r="AG49" s="422"/>
      <c r="AH49" s="390"/>
      <c r="AI49" s="390"/>
      <c r="AJ49" s="264"/>
      <c r="AK49" s="450"/>
      <c r="AL49" s="422"/>
      <c r="AM49" s="422"/>
      <c r="AN49" s="422"/>
      <c r="AO49" s="424"/>
      <c r="AP49" s="394"/>
      <c r="AQ49" s="390"/>
      <c r="AR49" s="390"/>
      <c r="AS49" s="190"/>
      <c r="AT49" s="264"/>
      <c r="AU49" s="395"/>
      <c r="AV49" s="390"/>
      <c r="AW49" s="390"/>
      <c r="AX49" s="390"/>
      <c r="AY49" s="393"/>
      <c r="AZ49" s="394"/>
      <c r="BA49" s="390"/>
      <c r="BB49" s="390"/>
      <c r="BC49" s="390"/>
      <c r="BD49" s="391"/>
      <c r="BE49" s="278"/>
      <c r="BF49" s="99"/>
      <c r="BG49" s="390"/>
      <c r="BH49" s="390"/>
      <c r="BI49" s="393"/>
      <c r="BJ49" s="394"/>
      <c r="BK49" s="390"/>
      <c r="BL49" s="390"/>
      <c r="BM49" s="390"/>
      <c r="BN49" s="391"/>
      <c r="BO49" s="395"/>
      <c r="BP49" s="390"/>
      <c r="BQ49" s="190"/>
      <c r="BR49" s="190"/>
      <c r="BS49" s="393"/>
      <c r="BT49" s="280"/>
      <c r="BU49" s="99"/>
      <c r="BV49" s="390"/>
      <c r="BW49" s="422"/>
      <c r="BX49" s="391"/>
      <c r="BY49" s="395"/>
      <c r="BZ49" s="99"/>
      <c r="CA49" s="190"/>
      <c r="CB49" s="422"/>
      <c r="CC49" s="424"/>
      <c r="CD49" s="425"/>
      <c r="CE49" s="99"/>
      <c r="CF49" s="190"/>
      <c r="CG49" s="422"/>
      <c r="CH49" s="488" t="s">
        <v>40</v>
      </c>
      <c r="CI49" s="486" t="s">
        <v>40</v>
      </c>
      <c r="CJ49" s="213"/>
      <c r="CK49" s="213"/>
      <c r="CL49" s="213"/>
      <c r="CM49" s="214"/>
    </row>
    <row r="50" spans="1:91" ht="25.5" customHeight="1" x14ac:dyDescent="0.2">
      <c r="A50" s="332">
        <v>91</v>
      </c>
      <c r="B50" s="85">
        <v>0</v>
      </c>
      <c r="C50" s="87">
        <v>4</v>
      </c>
      <c r="D50" s="85" t="s">
        <v>306</v>
      </c>
      <c r="E50" s="193" t="s">
        <v>723</v>
      </c>
      <c r="F50" s="481" t="s">
        <v>1107</v>
      </c>
      <c r="G50" s="85" t="s">
        <v>80</v>
      </c>
      <c r="H50" s="194" t="s">
        <v>813</v>
      </c>
      <c r="I50" s="139">
        <v>4</v>
      </c>
      <c r="J50" s="103" t="s">
        <v>64</v>
      </c>
      <c r="K50" s="137">
        <v>16</v>
      </c>
      <c r="L50" s="407"/>
      <c r="M50" s="402"/>
      <c r="N50" s="402"/>
      <c r="O50" s="452" t="s">
        <v>122</v>
      </c>
      <c r="P50" s="403"/>
      <c r="Q50" s="281"/>
      <c r="R50" s="103"/>
      <c r="S50" s="426"/>
      <c r="T50" s="426"/>
      <c r="U50" s="428"/>
      <c r="V50" s="429"/>
      <c r="W50" s="426"/>
      <c r="X50" s="426"/>
      <c r="Y50" s="426"/>
      <c r="Z50" s="427"/>
      <c r="AA50" s="484"/>
      <c r="AB50" s="426"/>
      <c r="AC50" s="426"/>
      <c r="AD50" s="426"/>
      <c r="AE50" s="428"/>
      <c r="AF50" s="429"/>
      <c r="AG50" s="426"/>
      <c r="AH50" s="426"/>
      <c r="AI50" s="426"/>
      <c r="AJ50" s="137"/>
      <c r="AK50" s="136"/>
      <c r="AL50" s="426"/>
      <c r="AM50" s="426"/>
      <c r="AN50" s="426"/>
      <c r="AO50" s="428"/>
      <c r="AP50" s="429"/>
      <c r="AQ50" s="426"/>
      <c r="AR50" s="426"/>
      <c r="AS50" s="103"/>
      <c r="AT50" s="137"/>
      <c r="AU50" s="484"/>
      <c r="AV50" s="426"/>
      <c r="AW50" s="426"/>
      <c r="AX50" s="404" t="s">
        <v>120</v>
      </c>
      <c r="AY50" s="405"/>
      <c r="AZ50" s="406"/>
      <c r="BA50" s="402"/>
      <c r="BB50" s="402"/>
      <c r="BC50" s="426"/>
      <c r="BD50" s="410" t="s">
        <v>121</v>
      </c>
      <c r="BE50" s="136"/>
      <c r="BF50" s="103"/>
      <c r="BG50" s="426"/>
      <c r="BH50" s="426"/>
      <c r="BI50" s="428"/>
      <c r="BJ50" s="429"/>
      <c r="BK50" s="402"/>
      <c r="BL50" s="426"/>
      <c r="BM50" s="426"/>
      <c r="BN50" s="427"/>
      <c r="BO50" s="484"/>
      <c r="BP50" s="426"/>
      <c r="BQ50" s="103"/>
      <c r="BR50" s="103"/>
      <c r="BS50" s="428"/>
      <c r="BT50" s="139"/>
      <c r="BU50" s="103"/>
      <c r="BV50" s="426"/>
      <c r="BW50" s="426"/>
      <c r="BX50" s="427"/>
      <c r="BY50" s="484"/>
      <c r="BZ50" s="103"/>
      <c r="CA50" s="103"/>
      <c r="CB50" s="426"/>
      <c r="CC50" s="428"/>
      <c r="CD50" s="429"/>
      <c r="CE50" s="103"/>
      <c r="CF50" s="87"/>
      <c r="CG50" s="426"/>
      <c r="CH50" s="489" t="s">
        <v>40</v>
      </c>
      <c r="CI50" s="487" t="s">
        <v>40</v>
      </c>
      <c r="CJ50" s="217"/>
      <c r="CK50" s="217"/>
      <c r="CL50" s="217"/>
      <c r="CM50" s="218"/>
    </row>
    <row r="51" spans="1:91" ht="25.5" customHeight="1" x14ac:dyDescent="0.2">
      <c r="A51" s="324">
        <v>92</v>
      </c>
      <c r="B51" s="72">
        <v>0</v>
      </c>
      <c r="C51" s="79">
        <v>4</v>
      </c>
      <c r="D51" s="72" t="s">
        <v>306</v>
      </c>
      <c r="E51" s="80" t="s">
        <v>724</v>
      </c>
      <c r="F51" s="296" t="s">
        <v>1108</v>
      </c>
      <c r="G51" s="72" t="s">
        <v>80</v>
      </c>
      <c r="H51" s="134" t="s">
        <v>814</v>
      </c>
      <c r="I51" s="142"/>
      <c r="J51" s="76"/>
      <c r="K51" s="141"/>
      <c r="L51" s="367"/>
      <c r="M51" s="307"/>
      <c r="N51" s="307"/>
      <c r="O51" s="307"/>
      <c r="P51" s="369"/>
      <c r="Q51" s="274"/>
      <c r="R51" s="76"/>
      <c r="S51" s="310"/>
      <c r="T51" s="310"/>
      <c r="U51" s="412"/>
      <c r="V51" s="413"/>
      <c r="W51" s="310"/>
      <c r="X51" s="310"/>
      <c r="Y51" s="310"/>
      <c r="Z51" s="411"/>
      <c r="AA51" s="485"/>
      <c r="AB51" s="310"/>
      <c r="AC51" s="310"/>
      <c r="AD51" s="310"/>
      <c r="AE51" s="412"/>
      <c r="AF51" s="413"/>
      <c r="AG51" s="310"/>
      <c r="AH51" s="310"/>
      <c r="AI51" s="310"/>
      <c r="AJ51" s="141"/>
      <c r="AK51" s="140"/>
      <c r="AL51" s="310"/>
      <c r="AM51" s="310"/>
      <c r="AN51" s="310"/>
      <c r="AO51" s="412"/>
      <c r="AP51" s="413"/>
      <c r="AQ51" s="310"/>
      <c r="AR51" s="310"/>
      <c r="AS51" s="76"/>
      <c r="AT51" s="141"/>
      <c r="AU51" s="485"/>
      <c r="AV51" s="310"/>
      <c r="AW51" s="310"/>
      <c r="AX51" s="310"/>
      <c r="AY51" s="412"/>
      <c r="AZ51" s="413"/>
      <c r="BA51" s="310"/>
      <c r="BB51" s="310"/>
      <c r="BC51" s="310"/>
      <c r="BD51" s="411"/>
      <c r="BE51" s="140"/>
      <c r="BF51" s="76"/>
      <c r="BG51" s="310"/>
      <c r="BH51" s="310"/>
      <c r="BI51" s="412"/>
      <c r="BJ51" s="413"/>
      <c r="BK51" s="310"/>
      <c r="BL51" s="310"/>
      <c r="BM51" s="310"/>
      <c r="BN51" s="411"/>
      <c r="BO51" s="485"/>
      <c r="BP51" s="310"/>
      <c r="BQ51" s="76"/>
      <c r="BR51" s="76"/>
      <c r="BS51" s="412"/>
      <c r="BT51" s="142"/>
      <c r="BU51" s="76"/>
      <c r="BV51" s="310"/>
      <c r="BW51" s="310"/>
      <c r="BX51" s="411"/>
      <c r="BY51" s="485"/>
      <c r="BZ51" s="76"/>
      <c r="CA51" s="76"/>
      <c r="CB51" s="310"/>
      <c r="CC51" s="412"/>
      <c r="CD51" s="413"/>
      <c r="CE51" s="76"/>
      <c r="CF51" s="79"/>
      <c r="CG51" s="310"/>
      <c r="CH51" s="470" t="s">
        <v>40</v>
      </c>
      <c r="CI51" s="471" t="s">
        <v>40</v>
      </c>
      <c r="CJ51" s="202"/>
      <c r="CK51" s="202"/>
      <c r="CL51" s="202"/>
      <c r="CM51" s="203"/>
    </row>
    <row r="52" spans="1:91" ht="25.5" customHeight="1" x14ac:dyDescent="0.2">
      <c r="A52" s="324">
        <v>93</v>
      </c>
      <c r="B52" s="72">
        <v>0</v>
      </c>
      <c r="C52" s="79">
        <v>4</v>
      </c>
      <c r="D52" s="72" t="s">
        <v>306</v>
      </c>
      <c r="E52" s="80" t="s">
        <v>932</v>
      </c>
      <c r="F52" s="76" t="s">
        <v>714</v>
      </c>
      <c r="G52" s="72" t="s">
        <v>80</v>
      </c>
      <c r="H52" s="134" t="s">
        <v>933</v>
      </c>
      <c r="I52" s="142"/>
      <c r="J52" s="76"/>
      <c r="K52" s="141"/>
      <c r="L52" s="367"/>
      <c r="M52" s="307"/>
      <c r="N52" s="307"/>
      <c r="O52" s="307"/>
      <c r="P52" s="369"/>
      <c r="Q52" s="274"/>
      <c r="R52" s="76"/>
      <c r="S52" s="310"/>
      <c r="T52" s="310"/>
      <c r="U52" s="412"/>
      <c r="V52" s="413"/>
      <c r="W52" s="310"/>
      <c r="X52" s="310"/>
      <c r="Y52" s="310"/>
      <c r="Z52" s="411"/>
      <c r="AA52" s="485"/>
      <c r="AB52" s="310"/>
      <c r="AC52" s="310"/>
      <c r="AD52" s="310"/>
      <c r="AE52" s="412"/>
      <c r="AF52" s="413"/>
      <c r="AG52" s="310"/>
      <c r="AH52" s="310"/>
      <c r="AI52" s="310"/>
      <c r="AJ52" s="141"/>
      <c r="AK52" s="140"/>
      <c r="AL52" s="310"/>
      <c r="AM52" s="310"/>
      <c r="AN52" s="310"/>
      <c r="AO52" s="412"/>
      <c r="AP52" s="413"/>
      <c r="AQ52" s="310"/>
      <c r="AR52" s="310"/>
      <c r="AS52" s="76"/>
      <c r="AT52" s="141"/>
      <c r="AU52" s="485"/>
      <c r="AV52" s="310"/>
      <c r="AW52" s="310"/>
      <c r="AX52" s="307"/>
      <c r="AY52" s="370"/>
      <c r="AZ52" s="306"/>
      <c r="BA52" s="307"/>
      <c r="BB52" s="307"/>
      <c r="BC52" s="310"/>
      <c r="BD52" s="369"/>
      <c r="BE52" s="140"/>
      <c r="BF52" s="76"/>
      <c r="BG52" s="310"/>
      <c r="BH52" s="310"/>
      <c r="BI52" s="412"/>
      <c r="BJ52" s="413"/>
      <c r="BK52" s="307"/>
      <c r="BL52" s="310"/>
      <c r="BM52" s="310"/>
      <c r="BN52" s="411"/>
      <c r="BO52" s="485"/>
      <c r="BP52" s="310"/>
      <c r="BQ52" s="76"/>
      <c r="BR52" s="76"/>
      <c r="BS52" s="412"/>
      <c r="BT52" s="142"/>
      <c r="BU52" s="76"/>
      <c r="BV52" s="310"/>
      <c r="BW52" s="310"/>
      <c r="BX52" s="411"/>
      <c r="BY52" s="485"/>
      <c r="BZ52" s="76"/>
      <c r="CA52" s="76"/>
      <c r="CB52" s="310"/>
      <c r="CC52" s="412"/>
      <c r="CD52" s="413"/>
      <c r="CE52" s="76"/>
      <c r="CF52" s="79"/>
      <c r="CG52" s="310"/>
      <c r="CH52" s="470" t="s">
        <v>40</v>
      </c>
      <c r="CI52" s="471" t="s">
        <v>40</v>
      </c>
      <c r="CJ52" s="202"/>
      <c r="CK52" s="202"/>
      <c r="CL52" s="202"/>
      <c r="CM52" s="203"/>
    </row>
    <row r="53" spans="1:91" ht="25.5" customHeight="1" x14ac:dyDescent="0.2">
      <c r="A53" s="324">
        <v>94</v>
      </c>
      <c r="B53" s="72">
        <v>0</v>
      </c>
      <c r="C53" s="79">
        <v>4</v>
      </c>
      <c r="D53" s="72" t="s">
        <v>307</v>
      </c>
      <c r="E53" s="80" t="s">
        <v>725</v>
      </c>
      <c r="F53" s="296" t="s">
        <v>1109</v>
      </c>
      <c r="G53" s="72" t="s">
        <v>81</v>
      </c>
      <c r="H53" s="134" t="s">
        <v>815</v>
      </c>
      <c r="I53" s="142">
        <v>4</v>
      </c>
      <c r="J53" s="76" t="s">
        <v>64</v>
      </c>
      <c r="K53" s="141">
        <v>16</v>
      </c>
      <c r="L53" s="367"/>
      <c r="M53" s="307"/>
      <c r="N53" s="307"/>
      <c r="O53" s="368" t="s">
        <v>122</v>
      </c>
      <c r="P53" s="369"/>
      <c r="Q53" s="274"/>
      <c r="R53" s="76"/>
      <c r="S53" s="310"/>
      <c r="T53" s="310"/>
      <c r="U53" s="412"/>
      <c r="V53" s="413"/>
      <c r="W53" s="310"/>
      <c r="X53" s="310"/>
      <c r="Y53" s="310"/>
      <c r="Z53" s="411"/>
      <c r="AA53" s="485"/>
      <c r="AB53" s="310"/>
      <c r="AC53" s="310"/>
      <c r="AD53" s="310"/>
      <c r="AE53" s="412"/>
      <c r="AF53" s="413"/>
      <c r="AG53" s="310"/>
      <c r="AH53" s="310"/>
      <c r="AI53" s="310"/>
      <c r="AJ53" s="141"/>
      <c r="AK53" s="140"/>
      <c r="AL53" s="310"/>
      <c r="AM53" s="310"/>
      <c r="AN53" s="310"/>
      <c r="AO53" s="412"/>
      <c r="AP53" s="413"/>
      <c r="AQ53" s="310"/>
      <c r="AR53" s="310"/>
      <c r="AS53" s="76"/>
      <c r="AT53" s="141"/>
      <c r="AU53" s="485"/>
      <c r="AV53" s="310"/>
      <c r="AW53" s="310"/>
      <c r="AX53" s="371" t="s">
        <v>120</v>
      </c>
      <c r="AY53" s="370"/>
      <c r="AZ53" s="306"/>
      <c r="BA53" s="307"/>
      <c r="BB53" s="307"/>
      <c r="BC53" s="310"/>
      <c r="BD53" s="372" t="s">
        <v>121</v>
      </c>
      <c r="BE53" s="140"/>
      <c r="BF53" s="76"/>
      <c r="BG53" s="310"/>
      <c r="BH53" s="310"/>
      <c r="BI53" s="412"/>
      <c r="BJ53" s="413"/>
      <c r="BK53" s="307"/>
      <c r="BL53" s="310"/>
      <c r="BM53" s="310"/>
      <c r="BN53" s="411"/>
      <c r="BO53" s="485"/>
      <c r="BP53" s="310"/>
      <c r="BQ53" s="76"/>
      <c r="BR53" s="76"/>
      <c r="BS53" s="412"/>
      <c r="BT53" s="142"/>
      <c r="BU53" s="76"/>
      <c r="BV53" s="310"/>
      <c r="BW53" s="310"/>
      <c r="BX53" s="411"/>
      <c r="BY53" s="485"/>
      <c r="BZ53" s="76"/>
      <c r="CA53" s="76"/>
      <c r="CB53" s="310"/>
      <c r="CC53" s="412"/>
      <c r="CD53" s="413"/>
      <c r="CE53" s="76"/>
      <c r="CF53" s="79"/>
      <c r="CG53" s="310"/>
      <c r="CH53" s="470" t="s">
        <v>40</v>
      </c>
      <c r="CI53" s="471" t="s">
        <v>40</v>
      </c>
      <c r="CJ53" s="202"/>
      <c r="CK53" s="202"/>
      <c r="CL53" s="202"/>
      <c r="CM53" s="203"/>
    </row>
    <row r="54" spans="1:91" ht="25.5" customHeight="1" thickBot="1" x14ac:dyDescent="0.25">
      <c r="A54" s="325">
        <v>95</v>
      </c>
      <c r="B54" s="73">
        <v>0</v>
      </c>
      <c r="C54" s="74">
        <v>4</v>
      </c>
      <c r="D54" s="73" t="s">
        <v>307</v>
      </c>
      <c r="E54" s="90" t="s">
        <v>726</v>
      </c>
      <c r="F54" s="479" t="s">
        <v>1110</v>
      </c>
      <c r="G54" s="73" t="s">
        <v>81</v>
      </c>
      <c r="H54" s="135" t="s">
        <v>816</v>
      </c>
      <c r="I54" s="269"/>
      <c r="J54" s="89"/>
      <c r="K54" s="270"/>
      <c r="L54" s="383"/>
      <c r="M54" s="379"/>
      <c r="N54" s="379"/>
      <c r="O54" s="379"/>
      <c r="P54" s="382"/>
      <c r="Q54" s="275"/>
      <c r="R54" s="89"/>
      <c r="S54" s="414"/>
      <c r="T54" s="414"/>
      <c r="U54" s="416"/>
      <c r="V54" s="417"/>
      <c r="W54" s="414"/>
      <c r="X54" s="414"/>
      <c r="Y54" s="414"/>
      <c r="Z54" s="415"/>
      <c r="AA54" s="482"/>
      <c r="AB54" s="414"/>
      <c r="AC54" s="414"/>
      <c r="AD54" s="414"/>
      <c r="AE54" s="416"/>
      <c r="AF54" s="417"/>
      <c r="AG54" s="414"/>
      <c r="AH54" s="414"/>
      <c r="AI54" s="414"/>
      <c r="AJ54" s="270"/>
      <c r="AK54" s="271"/>
      <c r="AL54" s="414"/>
      <c r="AM54" s="414"/>
      <c r="AN54" s="414"/>
      <c r="AO54" s="416"/>
      <c r="AP54" s="417"/>
      <c r="AQ54" s="414"/>
      <c r="AR54" s="414"/>
      <c r="AS54" s="89"/>
      <c r="AT54" s="270"/>
      <c r="AU54" s="482"/>
      <c r="AV54" s="414"/>
      <c r="AW54" s="414"/>
      <c r="AX54" s="414"/>
      <c r="AY54" s="416"/>
      <c r="AZ54" s="417"/>
      <c r="BA54" s="414"/>
      <c r="BB54" s="414"/>
      <c r="BC54" s="414"/>
      <c r="BD54" s="415"/>
      <c r="BE54" s="271"/>
      <c r="BF54" s="89"/>
      <c r="BG54" s="414"/>
      <c r="BH54" s="414"/>
      <c r="BI54" s="416"/>
      <c r="BJ54" s="417"/>
      <c r="BK54" s="414"/>
      <c r="BL54" s="414"/>
      <c r="BM54" s="414"/>
      <c r="BN54" s="415"/>
      <c r="BO54" s="482"/>
      <c r="BP54" s="414"/>
      <c r="BQ54" s="89"/>
      <c r="BR54" s="89"/>
      <c r="BS54" s="416"/>
      <c r="BT54" s="269"/>
      <c r="BU54" s="89"/>
      <c r="BV54" s="414"/>
      <c r="BW54" s="414"/>
      <c r="BX54" s="415"/>
      <c r="BY54" s="482"/>
      <c r="BZ54" s="89"/>
      <c r="CA54" s="89"/>
      <c r="CB54" s="414"/>
      <c r="CC54" s="416"/>
      <c r="CD54" s="417"/>
      <c r="CE54" s="89"/>
      <c r="CF54" s="74"/>
      <c r="CG54" s="414"/>
      <c r="CH54" s="465" t="s">
        <v>40</v>
      </c>
      <c r="CI54" s="466" t="s">
        <v>40</v>
      </c>
      <c r="CJ54" s="206"/>
      <c r="CK54" s="206"/>
      <c r="CL54" s="206"/>
      <c r="CM54" s="207"/>
    </row>
    <row r="55" spans="1:91" ht="25.5" customHeight="1" x14ac:dyDescent="0.2">
      <c r="A55" s="318">
        <v>96</v>
      </c>
      <c r="B55" s="75">
        <v>0</v>
      </c>
      <c r="C55" s="92">
        <v>4</v>
      </c>
      <c r="D55" s="75" t="s">
        <v>307</v>
      </c>
      <c r="E55" s="93" t="s">
        <v>934</v>
      </c>
      <c r="F55" s="130" t="s">
        <v>714</v>
      </c>
      <c r="G55" s="75" t="s">
        <v>81</v>
      </c>
      <c r="H55" s="113" t="s">
        <v>935</v>
      </c>
      <c r="I55" s="259"/>
      <c r="J55" s="130"/>
      <c r="K55" s="260"/>
      <c r="L55" s="308"/>
      <c r="M55" s="304"/>
      <c r="N55" s="304"/>
      <c r="O55" s="304"/>
      <c r="P55" s="359"/>
      <c r="Q55" s="272"/>
      <c r="R55" s="92"/>
      <c r="S55" s="304"/>
      <c r="T55" s="304"/>
      <c r="U55" s="361"/>
      <c r="V55" s="362"/>
      <c r="W55" s="304"/>
      <c r="X55" s="304"/>
      <c r="Y55" s="304"/>
      <c r="Z55" s="359"/>
      <c r="AA55" s="308"/>
      <c r="AB55" s="304"/>
      <c r="AC55" s="304"/>
      <c r="AD55" s="304"/>
      <c r="AE55" s="361"/>
      <c r="AF55" s="362"/>
      <c r="AG55" s="304"/>
      <c r="AH55" s="304"/>
      <c r="AI55" s="304"/>
      <c r="AJ55" s="273"/>
      <c r="AK55" s="272"/>
      <c r="AL55" s="304"/>
      <c r="AM55" s="304"/>
      <c r="AN55" s="304"/>
      <c r="AO55" s="361"/>
      <c r="AP55" s="362"/>
      <c r="AQ55" s="304"/>
      <c r="AR55" s="304"/>
      <c r="AS55" s="92"/>
      <c r="AT55" s="273"/>
      <c r="AU55" s="308"/>
      <c r="AV55" s="304"/>
      <c r="AW55" s="304"/>
      <c r="AX55" s="304"/>
      <c r="AY55" s="361"/>
      <c r="AZ55" s="362"/>
      <c r="BA55" s="304"/>
      <c r="BB55" s="304"/>
      <c r="BC55" s="304"/>
      <c r="BD55" s="359"/>
      <c r="BE55" s="272"/>
      <c r="BF55" s="92"/>
      <c r="BG55" s="304"/>
      <c r="BH55" s="304"/>
      <c r="BI55" s="361"/>
      <c r="BJ55" s="362"/>
      <c r="BK55" s="304"/>
      <c r="BL55" s="304"/>
      <c r="BM55" s="304"/>
      <c r="BN55" s="359"/>
      <c r="BO55" s="308"/>
      <c r="BP55" s="304"/>
      <c r="BQ55" s="92"/>
      <c r="BR55" s="92"/>
      <c r="BS55" s="361"/>
      <c r="BT55" s="258"/>
      <c r="BU55" s="92"/>
      <c r="BV55" s="304"/>
      <c r="BW55" s="304"/>
      <c r="BX55" s="359"/>
      <c r="BY55" s="308"/>
      <c r="BZ55" s="92"/>
      <c r="CA55" s="92"/>
      <c r="CB55" s="304"/>
      <c r="CC55" s="361"/>
      <c r="CD55" s="362"/>
      <c r="CE55" s="92"/>
      <c r="CF55" s="92"/>
      <c r="CG55" s="304"/>
      <c r="CH55" s="363" t="s">
        <v>40</v>
      </c>
      <c r="CI55" s="364" t="s">
        <v>40</v>
      </c>
      <c r="CJ55" s="210"/>
      <c r="CK55" s="210"/>
      <c r="CL55" s="210"/>
      <c r="CM55" s="211"/>
    </row>
    <row r="56" spans="1:91" ht="25.5" customHeight="1" x14ac:dyDescent="0.2">
      <c r="A56" s="324">
        <v>97</v>
      </c>
      <c r="B56" s="72">
        <v>0</v>
      </c>
      <c r="C56" s="79">
        <v>4</v>
      </c>
      <c r="D56" s="72" t="s">
        <v>308</v>
      </c>
      <c r="E56" s="77" t="s">
        <v>727</v>
      </c>
      <c r="F56" s="296" t="s">
        <v>1107</v>
      </c>
      <c r="G56" s="72" t="s">
        <v>82</v>
      </c>
      <c r="H56" s="134" t="s">
        <v>817</v>
      </c>
      <c r="I56" s="142">
        <v>4</v>
      </c>
      <c r="J56" s="76" t="s">
        <v>64</v>
      </c>
      <c r="K56" s="141">
        <v>16</v>
      </c>
      <c r="L56" s="367"/>
      <c r="M56" s="307"/>
      <c r="N56" s="307"/>
      <c r="O56" s="368" t="s">
        <v>122</v>
      </c>
      <c r="P56" s="369"/>
      <c r="Q56" s="274"/>
      <c r="R56" s="79"/>
      <c r="S56" s="307"/>
      <c r="T56" s="307"/>
      <c r="U56" s="370"/>
      <c r="V56" s="306"/>
      <c r="W56" s="307"/>
      <c r="X56" s="307"/>
      <c r="Y56" s="307"/>
      <c r="Z56" s="369"/>
      <c r="AA56" s="367"/>
      <c r="AB56" s="307"/>
      <c r="AC56" s="307"/>
      <c r="AD56" s="307"/>
      <c r="AE56" s="370"/>
      <c r="AF56" s="306"/>
      <c r="AG56" s="307"/>
      <c r="AH56" s="307"/>
      <c r="AI56" s="307"/>
      <c r="AJ56" s="178"/>
      <c r="AK56" s="274"/>
      <c r="AL56" s="307"/>
      <c r="AM56" s="307"/>
      <c r="AN56" s="307"/>
      <c r="AO56" s="370"/>
      <c r="AP56" s="306"/>
      <c r="AQ56" s="307"/>
      <c r="AR56" s="307"/>
      <c r="AS56" s="79"/>
      <c r="AT56" s="178"/>
      <c r="AU56" s="367"/>
      <c r="AV56" s="307"/>
      <c r="AW56" s="307"/>
      <c r="AX56" s="371" t="s">
        <v>120</v>
      </c>
      <c r="AY56" s="370"/>
      <c r="AZ56" s="306"/>
      <c r="BA56" s="307"/>
      <c r="BB56" s="307"/>
      <c r="BC56" s="307"/>
      <c r="BD56" s="372" t="s">
        <v>121</v>
      </c>
      <c r="BE56" s="274"/>
      <c r="BF56" s="79"/>
      <c r="BG56" s="307"/>
      <c r="BH56" s="307"/>
      <c r="BI56" s="370"/>
      <c r="BJ56" s="306"/>
      <c r="BK56" s="307"/>
      <c r="BL56" s="307"/>
      <c r="BM56" s="307"/>
      <c r="BN56" s="369"/>
      <c r="BO56" s="367"/>
      <c r="BP56" s="307"/>
      <c r="BQ56" s="79"/>
      <c r="BR56" s="79"/>
      <c r="BS56" s="370"/>
      <c r="BT56" s="261"/>
      <c r="BU56" s="79"/>
      <c r="BV56" s="307"/>
      <c r="BW56" s="307"/>
      <c r="BX56" s="369"/>
      <c r="BY56" s="367"/>
      <c r="BZ56" s="79"/>
      <c r="CA56" s="79"/>
      <c r="CB56" s="307"/>
      <c r="CC56" s="370"/>
      <c r="CD56" s="306"/>
      <c r="CE56" s="79"/>
      <c r="CF56" s="79"/>
      <c r="CG56" s="307"/>
      <c r="CH56" s="374" t="s">
        <v>40</v>
      </c>
      <c r="CI56" s="373" t="s">
        <v>40</v>
      </c>
      <c r="CJ56" s="202"/>
      <c r="CK56" s="202"/>
      <c r="CL56" s="202"/>
      <c r="CM56" s="203"/>
    </row>
    <row r="57" spans="1:91" ht="25.5" customHeight="1" x14ac:dyDescent="0.2">
      <c r="A57" s="324">
        <v>98</v>
      </c>
      <c r="B57" s="72">
        <v>0</v>
      </c>
      <c r="C57" s="79">
        <v>4</v>
      </c>
      <c r="D57" s="72" t="s">
        <v>308</v>
      </c>
      <c r="E57" s="77" t="s">
        <v>728</v>
      </c>
      <c r="F57" s="296" t="s">
        <v>1109</v>
      </c>
      <c r="G57" s="79" t="s">
        <v>82</v>
      </c>
      <c r="H57" s="134" t="s">
        <v>818</v>
      </c>
      <c r="I57" s="142"/>
      <c r="J57" s="76"/>
      <c r="K57" s="141"/>
      <c r="L57" s="367"/>
      <c r="M57" s="307"/>
      <c r="N57" s="307"/>
      <c r="O57" s="307"/>
      <c r="P57" s="369"/>
      <c r="Q57" s="274"/>
      <c r="R57" s="79"/>
      <c r="S57" s="307"/>
      <c r="T57" s="307"/>
      <c r="U57" s="370"/>
      <c r="V57" s="306"/>
      <c r="W57" s="307"/>
      <c r="X57" s="307"/>
      <c r="Y57" s="307"/>
      <c r="Z57" s="369"/>
      <c r="AA57" s="367"/>
      <c r="AB57" s="307"/>
      <c r="AC57" s="307"/>
      <c r="AD57" s="307"/>
      <c r="AE57" s="370"/>
      <c r="AF57" s="306"/>
      <c r="AG57" s="307"/>
      <c r="AH57" s="307"/>
      <c r="AI57" s="307"/>
      <c r="AJ57" s="178"/>
      <c r="AK57" s="274"/>
      <c r="AL57" s="307"/>
      <c r="AM57" s="307"/>
      <c r="AN57" s="307"/>
      <c r="AO57" s="370"/>
      <c r="AP57" s="306"/>
      <c r="AQ57" s="307"/>
      <c r="AR57" s="307"/>
      <c r="AS57" s="79"/>
      <c r="AT57" s="178"/>
      <c r="AU57" s="367"/>
      <c r="AV57" s="307"/>
      <c r="AW57" s="307"/>
      <c r="AX57" s="307"/>
      <c r="AY57" s="370"/>
      <c r="AZ57" s="306"/>
      <c r="BA57" s="307"/>
      <c r="BB57" s="307"/>
      <c r="BC57" s="307"/>
      <c r="BD57" s="369"/>
      <c r="BE57" s="274"/>
      <c r="BF57" s="79"/>
      <c r="BG57" s="307"/>
      <c r="BH57" s="307"/>
      <c r="BI57" s="370"/>
      <c r="BJ57" s="306"/>
      <c r="BK57" s="307"/>
      <c r="BL57" s="307"/>
      <c r="BM57" s="307"/>
      <c r="BN57" s="369"/>
      <c r="BO57" s="367"/>
      <c r="BP57" s="307"/>
      <c r="BQ57" s="79"/>
      <c r="BR57" s="79"/>
      <c r="BS57" s="370"/>
      <c r="BT57" s="261"/>
      <c r="BU57" s="79"/>
      <c r="BV57" s="307"/>
      <c r="BW57" s="307"/>
      <c r="BX57" s="369"/>
      <c r="BY57" s="367"/>
      <c r="BZ57" s="79"/>
      <c r="CA57" s="79"/>
      <c r="CB57" s="307"/>
      <c r="CC57" s="370"/>
      <c r="CD57" s="306"/>
      <c r="CE57" s="79"/>
      <c r="CF57" s="79"/>
      <c r="CG57" s="307"/>
      <c r="CH57" s="374" t="s">
        <v>40</v>
      </c>
      <c r="CI57" s="373" t="s">
        <v>40</v>
      </c>
      <c r="CJ57" s="202"/>
      <c r="CK57" s="202"/>
      <c r="CL57" s="202"/>
      <c r="CM57" s="203"/>
    </row>
    <row r="58" spans="1:91" ht="25.5" customHeight="1" x14ac:dyDescent="0.2">
      <c r="A58" s="324">
        <v>99</v>
      </c>
      <c r="B58" s="72">
        <v>0</v>
      </c>
      <c r="C58" s="79">
        <v>4</v>
      </c>
      <c r="D58" s="72" t="s">
        <v>308</v>
      </c>
      <c r="E58" s="77" t="s">
        <v>936</v>
      </c>
      <c r="F58" s="296" t="s">
        <v>1110</v>
      </c>
      <c r="G58" s="79" t="s">
        <v>82</v>
      </c>
      <c r="H58" s="134" t="s">
        <v>937</v>
      </c>
      <c r="I58" s="142"/>
      <c r="J58" s="76"/>
      <c r="K58" s="141"/>
      <c r="L58" s="367"/>
      <c r="M58" s="307"/>
      <c r="N58" s="307"/>
      <c r="O58" s="307"/>
      <c r="P58" s="369"/>
      <c r="Q58" s="274"/>
      <c r="R58" s="79"/>
      <c r="S58" s="307"/>
      <c r="T58" s="307"/>
      <c r="U58" s="370"/>
      <c r="V58" s="306"/>
      <c r="W58" s="307"/>
      <c r="X58" s="307"/>
      <c r="Y58" s="307"/>
      <c r="Z58" s="369"/>
      <c r="AA58" s="367"/>
      <c r="AB58" s="307"/>
      <c r="AC58" s="307"/>
      <c r="AD58" s="307"/>
      <c r="AE58" s="370"/>
      <c r="AF58" s="306"/>
      <c r="AG58" s="307"/>
      <c r="AH58" s="307"/>
      <c r="AI58" s="307"/>
      <c r="AJ58" s="178"/>
      <c r="AK58" s="274"/>
      <c r="AL58" s="307"/>
      <c r="AM58" s="307"/>
      <c r="AN58" s="307"/>
      <c r="AO58" s="370"/>
      <c r="AP58" s="306"/>
      <c r="AQ58" s="307"/>
      <c r="AR58" s="307"/>
      <c r="AS58" s="79"/>
      <c r="AT58" s="178"/>
      <c r="AU58" s="367"/>
      <c r="AV58" s="307"/>
      <c r="AW58" s="307"/>
      <c r="AX58" s="307"/>
      <c r="AY58" s="370"/>
      <c r="AZ58" s="306"/>
      <c r="BA58" s="307"/>
      <c r="BB58" s="307"/>
      <c r="BC58" s="307"/>
      <c r="BD58" s="369"/>
      <c r="BE58" s="274"/>
      <c r="BF58" s="79"/>
      <c r="BG58" s="307"/>
      <c r="BH58" s="307"/>
      <c r="BI58" s="370"/>
      <c r="BJ58" s="306"/>
      <c r="BK58" s="307"/>
      <c r="BL58" s="307"/>
      <c r="BM58" s="307"/>
      <c r="BN58" s="369"/>
      <c r="BO58" s="367"/>
      <c r="BP58" s="307"/>
      <c r="BQ58" s="79"/>
      <c r="BR58" s="79"/>
      <c r="BS58" s="370"/>
      <c r="BT58" s="261"/>
      <c r="BU58" s="79"/>
      <c r="BV58" s="307"/>
      <c r="BW58" s="307"/>
      <c r="BX58" s="369"/>
      <c r="BY58" s="367"/>
      <c r="BZ58" s="79"/>
      <c r="CA58" s="79"/>
      <c r="CB58" s="307"/>
      <c r="CC58" s="370"/>
      <c r="CD58" s="306"/>
      <c r="CE58" s="79"/>
      <c r="CF58" s="79"/>
      <c r="CG58" s="307"/>
      <c r="CH58" s="374" t="s">
        <v>40</v>
      </c>
      <c r="CI58" s="373" t="s">
        <v>40</v>
      </c>
      <c r="CJ58" s="202"/>
      <c r="CK58" s="202"/>
      <c r="CL58" s="202"/>
      <c r="CM58" s="203"/>
    </row>
    <row r="59" spans="1:91" ht="25.5" customHeight="1" thickBot="1" x14ac:dyDescent="0.25">
      <c r="A59" s="325">
        <v>100</v>
      </c>
      <c r="B59" s="73">
        <v>0</v>
      </c>
      <c r="C59" s="74">
        <v>4</v>
      </c>
      <c r="D59" s="73" t="s">
        <v>309</v>
      </c>
      <c r="E59" s="90" t="s">
        <v>729</v>
      </c>
      <c r="F59" s="73"/>
      <c r="G59" s="73" t="s">
        <v>83</v>
      </c>
      <c r="H59" s="91" t="s">
        <v>889</v>
      </c>
      <c r="I59" s="269">
        <v>4</v>
      </c>
      <c r="J59" s="89"/>
      <c r="K59" s="270"/>
      <c r="L59" s="383"/>
      <c r="M59" s="379"/>
      <c r="N59" s="379"/>
      <c r="O59" s="454" t="s">
        <v>122</v>
      </c>
      <c r="P59" s="382"/>
      <c r="Q59" s="275"/>
      <c r="R59" s="74"/>
      <c r="S59" s="379"/>
      <c r="T59" s="379"/>
      <c r="U59" s="380"/>
      <c r="V59" s="381"/>
      <c r="W59" s="379"/>
      <c r="X59" s="379"/>
      <c r="Y59" s="379"/>
      <c r="Z59" s="382"/>
      <c r="AA59" s="383"/>
      <c r="AB59" s="379"/>
      <c r="AC59" s="379"/>
      <c r="AD59" s="379"/>
      <c r="AE59" s="380"/>
      <c r="AF59" s="381"/>
      <c r="AG59" s="379"/>
      <c r="AH59" s="379"/>
      <c r="AI59" s="379"/>
      <c r="AJ59" s="276"/>
      <c r="AK59" s="275"/>
      <c r="AL59" s="379"/>
      <c r="AM59" s="379"/>
      <c r="AN59" s="379"/>
      <c r="AO59" s="380"/>
      <c r="AP59" s="381"/>
      <c r="AQ59" s="379"/>
      <c r="AR59" s="379"/>
      <c r="AS59" s="74"/>
      <c r="AT59" s="276"/>
      <c r="AU59" s="383"/>
      <c r="AV59" s="379"/>
      <c r="AW59" s="379"/>
      <c r="AX59" s="385" t="s">
        <v>120</v>
      </c>
      <c r="AY59" s="380"/>
      <c r="AZ59" s="381"/>
      <c r="BA59" s="379"/>
      <c r="BB59" s="385" t="s">
        <v>121</v>
      </c>
      <c r="BC59" s="379"/>
      <c r="BD59" s="378" t="s">
        <v>121</v>
      </c>
      <c r="BE59" s="275"/>
      <c r="BF59" s="74"/>
      <c r="BG59" s="379"/>
      <c r="BH59" s="379"/>
      <c r="BI59" s="380"/>
      <c r="BJ59" s="381"/>
      <c r="BK59" s="379"/>
      <c r="BL59" s="379"/>
      <c r="BM59" s="379"/>
      <c r="BN59" s="382"/>
      <c r="BO59" s="383"/>
      <c r="BP59" s="379"/>
      <c r="BQ59" s="74"/>
      <c r="BR59" s="74"/>
      <c r="BS59" s="380"/>
      <c r="BT59" s="277"/>
      <c r="BU59" s="74"/>
      <c r="BV59" s="379"/>
      <c r="BW59" s="379"/>
      <c r="BX59" s="382"/>
      <c r="BY59" s="383"/>
      <c r="BZ59" s="74"/>
      <c r="CA59" s="74"/>
      <c r="CB59" s="379"/>
      <c r="CC59" s="380"/>
      <c r="CD59" s="381"/>
      <c r="CE59" s="74"/>
      <c r="CF59" s="74"/>
      <c r="CG59" s="379"/>
      <c r="CH59" s="386" t="s">
        <v>40</v>
      </c>
      <c r="CI59" s="384" t="s">
        <v>40</v>
      </c>
      <c r="CJ59" s="206"/>
      <c r="CK59" s="206"/>
      <c r="CL59" s="206"/>
      <c r="CM59" s="207"/>
    </row>
    <row r="60" spans="1:91" ht="15" customHeight="1" thickBot="1" x14ac:dyDescent="0.25">
      <c r="A60" s="430"/>
      <c r="B60" s="222"/>
      <c r="C60" s="315"/>
      <c r="D60" s="221"/>
      <c r="F60" s="431"/>
      <c r="G60" s="431"/>
      <c r="H60" s="431"/>
      <c r="I60" s="431"/>
      <c r="J60" s="431"/>
      <c r="K60" s="431"/>
      <c r="L60" s="431"/>
      <c r="M60" s="431"/>
      <c r="N60" s="431"/>
      <c r="O60" s="431"/>
      <c r="P60" s="220"/>
      <c r="Q60" s="220"/>
      <c r="R60" s="220"/>
      <c r="S60" s="220"/>
      <c r="T60" s="220"/>
      <c r="U60" s="220"/>
      <c r="V60" s="220"/>
      <c r="W60" s="220"/>
      <c r="X60" s="220"/>
      <c r="Y60" s="220"/>
      <c r="Z60" s="220"/>
      <c r="AA60" s="220"/>
      <c r="AB60" s="220"/>
      <c r="AC60" s="220"/>
      <c r="AD60" s="220"/>
      <c r="AE60" s="220"/>
      <c r="AF60" s="220"/>
      <c r="AG60" s="220"/>
      <c r="AH60" s="220"/>
      <c r="AI60" s="220"/>
      <c r="AJ60" s="220"/>
      <c r="AK60" s="220"/>
      <c r="AL60" s="220"/>
      <c r="AM60" s="220"/>
      <c r="AN60" s="220"/>
      <c r="AO60" s="220"/>
      <c r="AP60" s="220"/>
      <c r="AQ60" s="220"/>
      <c r="AR60" s="220"/>
      <c r="AS60" s="220"/>
      <c r="AT60" s="220"/>
      <c r="AU60" s="220"/>
      <c r="AV60" s="220"/>
      <c r="AW60" s="220"/>
      <c r="AX60" s="220"/>
      <c r="AY60" s="220"/>
      <c r="AZ60" s="220"/>
      <c r="BA60" s="220"/>
      <c r="BB60" s="220"/>
      <c r="BC60" s="220"/>
      <c r="BD60" s="220"/>
      <c r="BE60" s="220"/>
      <c r="BF60" s="220"/>
      <c r="BG60" s="220"/>
      <c r="BH60" s="220"/>
      <c r="BI60" s="220"/>
      <c r="BJ60" s="220"/>
      <c r="BK60" s="220"/>
      <c r="BL60" s="220"/>
      <c r="BM60" s="220"/>
      <c r="BN60" s="220"/>
      <c r="BO60" s="220"/>
      <c r="BP60" s="220"/>
      <c r="BQ60" s="220"/>
      <c r="BR60" s="220"/>
      <c r="BS60" s="220"/>
      <c r="BT60" s="220"/>
      <c r="BU60" s="220"/>
      <c r="BV60" s="220"/>
      <c r="BW60" s="220"/>
      <c r="BX60" s="220"/>
      <c r="BY60" s="220"/>
      <c r="BZ60" s="220"/>
      <c r="CA60" s="220"/>
      <c r="CB60" s="220"/>
      <c r="CC60" s="220"/>
      <c r="CD60" s="220"/>
      <c r="CE60" s="220"/>
      <c r="CF60" s="220"/>
      <c r="CG60" s="231"/>
      <c r="CH60" s="231"/>
      <c r="CI60" s="231"/>
      <c r="CJ60" s="231"/>
      <c r="CK60" s="231"/>
      <c r="CL60" s="231"/>
      <c r="CM60" s="432"/>
    </row>
    <row r="61" spans="1:91" ht="25.5" customHeight="1" thickBot="1" x14ac:dyDescent="0.25">
      <c r="A61" s="682" t="s">
        <v>19</v>
      </c>
      <c r="B61" s="683"/>
      <c r="C61" s="684"/>
      <c r="D61" s="433"/>
      <c r="E61" s="685" t="s">
        <v>16</v>
      </c>
      <c r="F61" s="683"/>
      <c r="G61" s="684"/>
      <c r="H61" s="434" t="s">
        <v>7</v>
      </c>
      <c r="I61" s="435" t="s">
        <v>6</v>
      </c>
      <c r="J61" s="435" t="s">
        <v>1088</v>
      </c>
      <c r="K61" s="435" t="s">
        <v>15</v>
      </c>
      <c r="L61" s="672"/>
      <c r="M61" s="686"/>
      <c r="N61" s="686"/>
      <c r="O61" s="686"/>
      <c r="P61" s="686"/>
      <c r="Q61" s="686"/>
      <c r="R61" s="686"/>
      <c r="S61" s="686"/>
      <c r="T61" s="686"/>
      <c r="U61" s="686"/>
      <c r="V61" s="686"/>
      <c r="W61" s="686"/>
      <c r="X61" s="686"/>
      <c r="Y61" s="686"/>
      <c r="Z61" s="686"/>
      <c r="AA61" s="686"/>
      <c r="AB61" s="686"/>
      <c r="AC61" s="686"/>
      <c r="AD61" s="686"/>
      <c r="AE61" s="686"/>
      <c r="AF61" s="686"/>
      <c r="AG61" s="686"/>
      <c r="AH61" s="686"/>
      <c r="AI61" s="686"/>
      <c r="AJ61" s="686"/>
      <c r="AK61" s="686"/>
      <c r="AL61" s="686"/>
      <c r="AM61" s="686"/>
      <c r="AN61" s="686"/>
      <c r="AO61" s="686"/>
      <c r="AP61" s="686"/>
      <c r="AQ61" s="686"/>
      <c r="AR61" s="686"/>
      <c r="AS61" s="686"/>
      <c r="AT61" s="686"/>
      <c r="AU61" s="686"/>
      <c r="AV61" s="686"/>
      <c r="AW61" s="686"/>
      <c r="AX61" s="686"/>
      <c r="AY61" s="686"/>
      <c r="AZ61" s="686"/>
      <c r="BA61" s="686"/>
      <c r="BB61" s="686"/>
      <c r="BC61" s="686"/>
      <c r="BD61" s="686"/>
      <c r="BE61" s="687"/>
      <c r="BF61" s="676"/>
      <c r="BG61" s="676"/>
      <c r="BH61" s="676"/>
      <c r="BI61" s="676"/>
      <c r="BJ61" s="676"/>
      <c r="BK61" s="676"/>
      <c r="BL61" s="676"/>
      <c r="BM61" s="676"/>
      <c r="BN61" s="676"/>
      <c r="BO61" s="676"/>
      <c r="BP61" s="676"/>
      <c r="BQ61" s="676"/>
      <c r="BR61" s="676"/>
      <c r="BS61" s="676"/>
      <c r="BT61" s="676"/>
      <c r="BU61" s="677"/>
      <c r="BV61" s="672"/>
      <c r="BW61" s="668"/>
      <c r="BX61" s="668"/>
      <c r="BY61" s="668"/>
      <c r="BZ61" s="668"/>
      <c r="CA61" s="668"/>
      <c r="CB61" s="668"/>
      <c r="CC61" s="668"/>
      <c r="CD61" s="668"/>
      <c r="CE61" s="668"/>
      <c r="CF61" s="668"/>
      <c r="CG61" s="668"/>
      <c r="CH61" s="668"/>
      <c r="CI61" s="668"/>
      <c r="CJ61" s="668"/>
      <c r="CK61" s="668"/>
      <c r="CL61" s="668"/>
      <c r="CM61" s="669"/>
    </row>
    <row r="62" spans="1:91" ht="25.5" customHeight="1" x14ac:dyDescent="0.2">
      <c r="A62" s="674">
        <f>IF('Title Page'!K22&lt;&gt;"",'Title Page'!K22,"")</f>
        <v>0</v>
      </c>
      <c r="B62" s="675"/>
      <c r="C62" s="675"/>
      <c r="D62" s="130"/>
      <c r="E62" s="656" t="str">
        <f>IF('Title Page'!L22&lt;&gt;"",'Title Page'!L22,"")</f>
        <v>Issued For Construction, Concise Job # PEM029-001</v>
      </c>
      <c r="F62" s="656"/>
      <c r="G62" s="656"/>
      <c r="H62" s="436">
        <f>IF('Title Page'!R22&lt;&gt;"",'Title Page'!R22,"")</f>
        <v>41520</v>
      </c>
      <c r="I62" s="436" t="str">
        <f>IF('Title Page'!S22&lt;&gt;"",'Title Page'!S22,"")</f>
        <v>MHS</v>
      </c>
      <c r="J62" s="436" t="str">
        <f>IF('Title Page'!T22&lt;&gt;"",'Title Page'!T22,"")</f>
        <v>TJG</v>
      </c>
      <c r="K62" s="437" t="str">
        <f>IF('Title Page'!V22&lt;&gt;"",'Title Page'!V22,"")</f>
        <v/>
      </c>
      <c r="L62" s="688"/>
      <c r="M62" s="689"/>
      <c r="N62" s="689"/>
      <c r="O62" s="689"/>
      <c r="P62" s="689"/>
      <c r="Q62" s="689"/>
      <c r="R62" s="689"/>
      <c r="S62" s="689"/>
      <c r="T62" s="689"/>
      <c r="U62" s="689"/>
      <c r="V62" s="689"/>
      <c r="W62" s="689"/>
      <c r="X62" s="689"/>
      <c r="Y62" s="689"/>
      <c r="Z62" s="689"/>
      <c r="AA62" s="689"/>
      <c r="AB62" s="689"/>
      <c r="AC62" s="689"/>
      <c r="AD62" s="689"/>
      <c r="AE62" s="689"/>
      <c r="AF62" s="689"/>
      <c r="AG62" s="689"/>
      <c r="AH62" s="689"/>
      <c r="AI62" s="689"/>
      <c r="AJ62" s="689"/>
      <c r="AK62" s="689"/>
      <c r="AL62" s="689"/>
      <c r="AM62" s="689"/>
      <c r="AN62" s="689"/>
      <c r="AO62" s="689"/>
      <c r="AP62" s="689"/>
      <c r="AQ62" s="689"/>
      <c r="AR62" s="689"/>
      <c r="AS62" s="689"/>
      <c r="AT62" s="689"/>
      <c r="AU62" s="689"/>
      <c r="AV62" s="689"/>
      <c r="AW62" s="689"/>
      <c r="AX62" s="689"/>
      <c r="AY62" s="689"/>
      <c r="AZ62" s="689"/>
      <c r="BA62" s="689"/>
      <c r="BB62" s="689"/>
      <c r="BC62" s="689"/>
      <c r="BD62" s="689"/>
      <c r="BE62" s="690"/>
      <c r="BF62" s="678"/>
      <c r="BG62" s="678"/>
      <c r="BH62" s="678"/>
      <c r="BI62" s="678"/>
      <c r="BJ62" s="678"/>
      <c r="BK62" s="678"/>
      <c r="BL62" s="678"/>
      <c r="BM62" s="678"/>
      <c r="BN62" s="678"/>
      <c r="BO62" s="678"/>
      <c r="BP62" s="678"/>
      <c r="BQ62" s="678"/>
      <c r="BR62" s="678"/>
      <c r="BS62" s="678"/>
      <c r="BT62" s="678"/>
      <c r="BU62" s="679"/>
      <c r="BV62" s="673"/>
      <c r="BW62" s="670"/>
      <c r="BX62" s="670"/>
      <c r="BY62" s="670"/>
      <c r="BZ62" s="670"/>
      <c r="CA62" s="670"/>
      <c r="CB62" s="670"/>
      <c r="CC62" s="670"/>
      <c r="CD62" s="670"/>
      <c r="CE62" s="670"/>
      <c r="CF62" s="670"/>
      <c r="CG62" s="670"/>
      <c r="CH62" s="670"/>
      <c r="CI62" s="670"/>
      <c r="CJ62" s="670"/>
      <c r="CK62" s="670"/>
      <c r="CL62" s="670"/>
      <c r="CM62" s="671"/>
    </row>
    <row r="63" spans="1:91" ht="25.5" customHeight="1" thickBot="1" x14ac:dyDescent="0.25">
      <c r="A63" s="654" t="str">
        <f>IF('Title Page'!K23&lt;&gt;"",'Title Page'!K23,"")</f>
        <v/>
      </c>
      <c r="B63" s="655"/>
      <c r="C63" s="655"/>
      <c r="D63" s="130"/>
      <c r="E63" s="656" t="str">
        <f>IF('Title Page'!L23&lt;&gt;"",'Title Page'!L23,"")</f>
        <v/>
      </c>
      <c r="F63" s="656"/>
      <c r="G63" s="656"/>
      <c r="H63" s="436" t="str">
        <f>IF('Title Page'!R23&lt;&gt;"",'Title Page'!R23,"")</f>
        <v/>
      </c>
      <c r="I63" s="436" t="str">
        <f>IF('Title Page'!S23&lt;&gt;"",'Title Page'!S23,"")</f>
        <v/>
      </c>
      <c r="J63" s="436" t="str">
        <f>IF('Title Page'!T23&lt;&gt;"",'Title Page'!T23,"")</f>
        <v/>
      </c>
      <c r="K63" s="437" t="str">
        <f>IF('Title Page'!V23&lt;&gt;"",'Title Page'!V23,"")</f>
        <v/>
      </c>
      <c r="L63" s="688"/>
      <c r="M63" s="689"/>
      <c r="N63" s="689"/>
      <c r="O63" s="689"/>
      <c r="P63" s="689"/>
      <c r="Q63" s="689"/>
      <c r="R63" s="689"/>
      <c r="S63" s="689"/>
      <c r="T63" s="689"/>
      <c r="U63" s="689"/>
      <c r="V63" s="689"/>
      <c r="W63" s="689"/>
      <c r="X63" s="689"/>
      <c r="Y63" s="689"/>
      <c r="Z63" s="689"/>
      <c r="AA63" s="689"/>
      <c r="AB63" s="689"/>
      <c r="AC63" s="689"/>
      <c r="AD63" s="689"/>
      <c r="AE63" s="689"/>
      <c r="AF63" s="689"/>
      <c r="AG63" s="689"/>
      <c r="AH63" s="689"/>
      <c r="AI63" s="689"/>
      <c r="AJ63" s="689"/>
      <c r="AK63" s="689"/>
      <c r="AL63" s="689"/>
      <c r="AM63" s="689"/>
      <c r="AN63" s="689"/>
      <c r="AO63" s="689"/>
      <c r="AP63" s="689"/>
      <c r="AQ63" s="689"/>
      <c r="AR63" s="689"/>
      <c r="AS63" s="689"/>
      <c r="AT63" s="689"/>
      <c r="AU63" s="689"/>
      <c r="AV63" s="689"/>
      <c r="AW63" s="689"/>
      <c r="AX63" s="689"/>
      <c r="AY63" s="689"/>
      <c r="AZ63" s="689"/>
      <c r="BA63" s="689"/>
      <c r="BB63" s="689"/>
      <c r="BC63" s="689"/>
      <c r="BD63" s="689"/>
      <c r="BE63" s="690"/>
      <c r="BF63" s="680"/>
      <c r="BG63" s="680"/>
      <c r="BH63" s="680"/>
      <c r="BI63" s="680"/>
      <c r="BJ63" s="680"/>
      <c r="BK63" s="680"/>
      <c r="BL63" s="680"/>
      <c r="BM63" s="680"/>
      <c r="BN63" s="680"/>
      <c r="BO63" s="680"/>
      <c r="BP63" s="680"/>
      <c r="BQ63" s="680"/>
      <c r="BR63" s="680"/>
      <c r="BS63" s="680"/>
      <c r="BT63" s="680"/>
      <c r="BU63" s="681"/>
      <c r="BV63" s="666"/>
      <c r="BW63" s="663"/>
      <c r="BX63" s="663"/>
      <c r="BY63" s="663"/>
      <c r="BZ63" s="663"/>
      <c r="CA63" s="663"/>
      <c r="CB63" s="663"/>
      <c r="CC63" s="663"/>
      <c r="CD63" s="663"/>
      <c r="CE63" s="663"/>
      <c r="CF63" s="663"/>
      <c r="CG63" s="663"/>
      <c r="CH63" s="663"/>
      <c r="CI63" s="663"/>
      <c r="CJ63" s="663"/>
      <c r="CK63" s="663"/>
      <c r="CL63" s="663"/>
      <c r="CM63" s="653"/>
    </row>
    <row r="64" spans="1:91" ht="27" customHeight="1" x14ac:dyDescent="0.2">
      <c r="A64" s="654" t="str">
        <f>IF('Title Page'!K24&lt;&gt;"",'Title Page'!K24,"")</f>
        <v/>
      </c>
      <c r="B64" s="655"/>
      <c r="C64" s="655"/>
      <c r="D64" s="130"/>
      <c r="E64" s="656" t="str">
        <f>IF('Title Page'!L24&lt;&gt;"",'Title Page'!L24,"")</f>
        <v/>
      </c>
      <c r="F64" s="656"/>
      <c r="G64" s="656"/>
      <c r="H64" s="436" t="str">
        <f>IF('Title Page'!R24&lt;&gt;"",'Title Page'!R24,"")</f>
        <v/>
      </c>
      <c r="I64" s="436" t="str">
        <f>IF('Title Page'!S24&lt;&gt;"",'Title Page'!S24,"")</f>
        <v/>
      </c>
      <c r="J64" s="436" t="str">
        <f>IF('Title Page'!T24&lt;&gt;"",'Title Page'!T24,"")</f>
        <v/>
      </c>
      <c r="K64" s="437" t="str">
        <f>IF('Title Page'!V24&lt;&gt;"",'Title Page'!V24,"")</f>
        <v/>
      </c>
      <c r="L64" s="688"/>
      <c r="M64" s="689"/>
      <c r="N64" s="689"/>
      <c r="O64" s="689"/>
      <c r="P64" s="689"/>
      <c r="Q64" s="689"/>
      <c r="R64" s="689"/>
      <c r="S64" s="689"/>
      <c r="T64" s="689"/>
      <c r="U64" s="689"/>
      <c r="V64" s="689"/>
      <c r="W64" s="689"/>
      <c r="X64" s="689"/>
      <c r="Y64" s="689"/>
      <c r="Z64" s="689"/>
      <c r="AA64" s="689"/>
      <c r="AB64" s="689"/>
      <c r="AC64" s="689"/>
      <c r="AD64" s="689"/>
      <c r="AE64" s="689"/>
      <c r="AF64" s="689"/>
      <c r="AG64" s="689"/>
      <c r="AH64" s="689"/>
      <c r="AI64" s="689"/>
      <c r="AJ64" s="689"/>
      <c r="AK64" s="689"/>
      <c r="AL64" s="689"/>
      <c r="AM64" s="689"/>
      <c r="AN64" s="689"/>
      <c r="AO64" s="689"/>
      <c r="AP64" s="689"/>
      <c r="AQ64" s="689"/>
      <c r="AR64" s="689"/>
      <c r="AS64" s="689"/>
      <c r="AT64" s="689"/>
      <c r="AU64" s="689"/>
      <c r="AV64" s="689"/>
      <c r="AW64" s="689"/>
      <c r="AX64" s="689"/>
      <c r="AY64" s="689"/>
      <c r="AZ64" s="689"/>
      <c r="BA64" s="689"/>
      <c r="BB64" s="689"/>
      <c r="BC64" s="689"/>
      <c r="BD64" s="689"/>
      <c r="BE64" s="690"/>
      <c r="BF64" s="668"/>
      <c r="BG64" s="668"/>
      <c r="BH64" s="668"/>
      <c r="BI64" s="668"/>
      <c r="BJ64" s="668"/>
      <c r="BK64" s="668"/>
      <c r="BL64" s="668"/>
      <c r="BM64" s="668"/>
      <c r="BN64" s="668"/>
      <c r="BO64" s="668"/>
      <c r="BP64" s="668"/>
      <c r="BQ64" s="668"/>
      <c r="BR64" s="668"/>
      <c r="BS64" s="668"/>
      <c r="BT64" s="668"/>
      <c r="BU64" s="669"/>
      <c r="BV64" s="635" t="str">
        <f>'Title Page'!AA6</f>
        <v>Chickadee Creek Pump Station 04-22-061-15 W5M
Pembina Pipeline Corporation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SHUTDOWN KEY</v>
      </c>
      <c r="BW64" s="636"/>
      <c r="BX64" s="636"/>
      <c r="BY64" s="636"/>
      <c r="BZ64" s="636"/>
      <c r="CA64" s="636"/>
      <c r="CB64" s="636"/>
      <c r="CC64" s="636"/>
      <c r="CD64" s="636"/>
      <c r="CE64" s="636"/>
      <c r="CF64" s="636"/>
      <c r="CG64" s="636"/>
      <c r="CH64" s="636"/>
      <c r="CI64" s="636"/>
      <c r="CJ64" s="636"/>
      <c r="CK64" s="636"/>
      <c r="CL64" s="636"/>
      <c r="CM64" s="637"/>
    </row>
    <row r="65" spans="1:91" ht="25.5" customHeight="1" x14ac:dyDescent="0.2">
      <c r="A65" s="654" t="str">
        <f>IF('Title Page'!K25&lt;&gt;"",'Title Page'!K25,"")</f>
        <v/>
      </c>
      <c r="B65" s="655"/>
      <c r="C65" s="655"/>
      <c r="D65" s="130"/>
      <c r="E65" s="656" t="str">
        <f>IF('Title Page'!L25&lt;&gt;"",'Title Page'!L25,"")</f>
        <v/>
      </c>
      <c r="F65" s="656"/>
      <c r="G65" s="656"/>
      <c r="H65" s="436" t="str">
        <f>IF('Title Page'!R25&lt;&gt;"",'Title Page'!R25,"")</f>
        <v/>
      </c>
      <c r="I65" s="436" t="str">
        <f>IF('Title Page'!S25&lt;&gt;"",'Title Page'!S25,"")</f>
        <v/>
      </c>
      <c r="J65" s="436" t="str">
        <f>IF('Title Page'!T25&lt;&gt;"",'Title Page'!T25,"")</f>
        <v/>
      </c>
      <c r="K65" s="437" t="str">
        <f>IF('Title Page'!V25&lt;&gt;"",'Title Page'!V25,"")</f>
        <v/>
      </c>
      <c r="L65" s="688"/>
      <c r="M65" s="689"/>
      <c r="N65" s="689"/>
      <c r="O65" s="689"/>
      <c r="P65" s="689"/>
      <c r="Q65" s="689"/>
      <c r="R65" s="689"/>
      <c r="S65" s="689"/>
      <c r="T65" s="689"/>
      <c r="U65" s="689"/>
      <c r="V65" s="689"/>
      <c r="W65" s="689"/>
      <c r="X65" s="689"/>
      <c r="Y65" s="689"/>
      <c r="Z65" s="689"/>
      <c r="AA65" s="689"/>
      <c r="AB65" s="689"/>
      <c r="AC65" s="689"/>
      <c r="AD65" s="689"/>
      <c r="AE65" s="689"/>
      <c r="AF65" s="689"/>
      <c r="AG65" s="689"/>
      <c r="AH65" s="689"/>
      <c r="AI65" s="689"/>
      <c r="AJ65" s="689"/>
      <c r="AK65" s="689"/>
      <c r="AL65" s="689"/>
      <c r="AM65" s="689"/>
      <c r="AN65" s="689"/>
      <c r="AO65" s="689"/>
      <c r="AP65" s="689"/>
      <c r="AQ65" s="689"/>
      <c r="AR65" s="689"/>
      <c r="AS65" s="689"/>
      <c r="AT65" s="689"/>
      <c r="AU65" s="689"/>
      <c r="AV65" s="689"/>
      <c r="AW65" s="689"/>
      <c r="AX65" s="689"/>
      <c r="AY65" s="689"/>
      <c r="AZ65" s="689"/>
      <c r="BA65" s="689"/>
      <c r="BB65" s="689"/>
      <c r="BC65" s="689"/>
      <c r="BD65" s="689"/>
      <c r="BE65" s="690"/>
      <c r="BF65" s="670"/>
      <c r="BG65" s="670"/>
      <c r="BH65" s="670"/>
      <c r="BI65" s="670"/>
      <c r="BJ65" s="670"/>
      <c r="BK65" s="670"/>
      <c r="BL65" s="670"/>
      <c r="BM65" s="670"/>
      <c r="BN65" s="670"/>
      <c r="BO65" s="670"/>
      <c r="BP65" s="670"/>
      <c r="BQ65" s="670"/>
      <c r="BR65" s="670"/>
      <c r="BS65" s="670"/>
      <c r="BT65" s="670"/>
      <c r="BU65" s="671"/>
      <c r="BV65" s="638"/>
      <c r="BW65" s="639"/>
      <c r="BX65" s="639"/>
      <c r="BY65" s="639"/>
      <c r="BZ65" s="639"/>
      <c r="CA65" s="639"/>
      <c r="CB65" s="639"/>
      <c r="CC65" s="639"/>
      <c r="CD65" s="639"/>
      <c r="CE65" s="639"/>
      <c r="CF65" s="639"/>
      <c r="CG65" s="639"/>
      <c r="CH65" s="639"/>
      <c r="CI65" s="639"/>
      <c r="CJ65" s="639"/>
      <c r="CK65" s="639"/>
      <c r="CL65" s="639"/>
      <c r="CM65" s="640"/>
    </row>
    <row r="66" spans="1:91" ht="25.5" customHeight="1" thickBot="1" x14ac:dyDescent="0.25">
      <c r="A66" s="654" t="str">
        <f>IF('Title Page'!K26&lt;&gt;"",'Title Page'!K26,"")</f>
        <v/>
      </c>
      <c r="B66" s="655"/>
      <c r="C66" s="655"/>
      <c r="D66" s="130"/>
      <c r="E66" s="656" t="str">
        <f>IF('Title Page'!L26&lt;&gt;"",'Title Page'!L26,"")</f>
        <v/>
      </c>
      <c r="F66" s="656"/>
      <c r="G66" s="656"/>
      <c r="H66" s="436" t="str">
        <f>IF('Title Page'!R26&lt;&gt;"",'Title Page'!R26,"")</f>
        <v/>
      </c>
      <c r="I66" s="436" t="str">
        <f>IF('Title Page'!S26&lt;&gt;"",'Title Page'!S26,"")</f>
        <v/>
      </c>
      <c r="J66" s="436" t="str">
        <f>IF('Title Page'!T26&lt;&gt;"",'Title Page'!T26,"")</f>
        <v/>
      </c>
      <c r="K66" s="437" t="str">
        <f>IF('Title Page'!V26&lt;&gt;"",'Title Page'!V26,"")</f>
        <v/>
      </c>
      <c r="L66" s="688"/>
      <c r="M66" s="689"/>
      <c r="N66" s="689"/>
      <c r="O66" s="689"/>
      <c r="P66" s="689"/>
      <c r="Q66" s="689"/>
      <c r="R66" s="689"/>
      <c r="S66" s="689"/>
      <c r="T66" s="689"/>
      <c r="U66" s="689"/>
      <c r="V66" s="689"/>
      <c r="W66" s="689"/>
      <c r="X66" s="689"/>
      <c r="Y66" s="689"/>
      <c r="Z66" s="689"/>
      <c r="AA66" s="689"/>
      <c r="AB66" s="689"/>
      <c r="AC66" s="689"/>
      <c r="AD66" s="689"/>
      <c r="AE66" s="689"/>
      <c r="AF66" s="689"/>
      <c r="AG66" s="689"/>
      <c r="AH66" s="689"/>
      <c r="AI66" s="689"/>
      <c r="AJ66" s="689"/>
      <c r="AK66" s="689"/>
      <c r="AL66" s="689"/>
      <c r="AM66" s="689"/>
      <c r="AN66" s="689"/>
      <c r="AO66" s="689"/>
      <c r="AP66" s="689"/>
      <c r="AQ66" s="689"/>
      <c r="AR66" s="689"/>
      <c r="AS66" s="689"/>
      <c r="AT66" s="689"/>
      <c r="AU66" s="689"/>
      <c r="AV66" s="689"/>
      <c r="AW66" s="689"/>
      <c r="AX66" s="689"/>
      <c r="AY66" s="689"/>
      <c r="AZ66" s="689"/>
      <c r="BA66" s="689"/>
      <c r="BB66" s="689"/>
      <c r="BC66" s="689"/>
      <c r="BD66" s="689"/>
      <c r="BE66" s="690"/>
      <c r="BF66" s="663"/>
      <c r="BG66" s="663"/>
      <c r="BH66" s="663"/>
      <c r="BI66" s="663"/>
      <c r="BJ66" s="663"/>
      <c r="BK66" s="663"/>
      <c r="BL66" s="663"/>
      <c r="BM66" s="663"/>
      <c r="BN66" s="663"/>
      <c r="BO66" s="663"/>
      <c r="BP66" s="663"/>
      <c r="BQ66" s="663"/>
      <c r="BR66" s="663"/>
      <c r="BS66" s="663"/>
      <c r="BT66" s="663"/>
      <c r="BU66" s="653"/>
      <c r="BV66" s="641"/>
      <c r="BW66" s="642"/>
      <c r="BX66" s="642"/>
      <c r="BY66" s="642"/>
      <c r="BZ66" s="642"/>
      <c r="CA66" s="642"/>
      <c r="CB66" s="642"/>
      <c r="CC66" s="642"/>
      <c r="CD66" s="642"/>
      <c r="CE66" s="642"/>
      <c r="CF66" s="642"/>
      <c r="CG66" s="642"/>
      <c r="CH66" s="642"/>
      <c r="CI66" s="642"/>
      <c r="CJ66" s="642"/>
      <c r="CK66" s="642"/>
      <c r="CL66" s="642"/>
      <c r="CM66" s="643"/>
    </row>
    <row r="67" spans="1:91" ht="25.5" customHeight="1" x14ac:dyDescent="0.2">
      <c r="A67" s="654" t="str">
        <f>IF('Title Page'!K27&lt;&gt;"",'Title Page'!K27,"")</f>
        <v/>
      </c>
      <c r="B67" s="655"/>
      <c r="C67" s="655"/>
      <c r="D67" s="130"/>
      <c r="E67" s="656" t="str">
        <f>IF('Title Page'!L27&lt;&gt;"",'Title Page'!L27,"")</f>
        <v/>
      </c>
      <c r="F67" s="656"/>
      <c r="G67" s="656"/>
      <c r="H67" s="436" t="str">
        <f>IF('Title Page'!R27&lt;&gt;"",'Title Page'!R27,"")</f>
        <v/>
      </c>
      <c r="I67" s="436" t="str">
        <f>IF('Title Page'!S27&lt;&gt;"",'Title Page'!S27,"")</f>
        <v/>
      </c>
      <c r="J67" s="436" t="str">
        <f>IF('Title Page'!T27&lt;&gt;"",'Title Page'!T27,"")</f>
        <v/>
      </c>
      <c r="K67" s="437" t="str">
        <f>IF('Title Page'!V27&lt;&gt;"",'Title Page'!V27,"")</f>
        <v/>
      </c>
      <c r="L67" s="688"/>
      <c r="M67" s="689"/>
      <c r="N67" s="689"/>
      <c r="O67" s="689"/>
      <c r="P67" s="689"/>
      <c r="Q67" s="689"/>
      <c r="R67" s="689"/>
      <c r="S67" s="689"/>
      <c r="T67" s="689"/>
      <c r="U67" s="689"/>
      <c r="V67" s="689"/>
      <c r="W67" s="689"/>
      <c r="X67" s="689"/>
      <c r="Y67" s="689"/>
      <c r="Z67" s="689"/>
      <c r="AA67" s="689"/>
      <c r="AB67" s="689"/>
      <c r="AC67" s="689"/>
      <c r="AD67" s="689"/>
      <c r="AE67" s="689"/>
      <c r="AF67" s="689"/>
      <c r="AG67" s="689"/>
      <c r="AH67" s="689"/>
      <c r="AI67" s="689"/>
      <c r="AJ67" s="689"/>
      <c r="AK67" s="689"/>
      <c r="AL67" s="689"/>
      <c r="AM67" s="689"/>
      <c r="AN67" s="689"/>
      <c r="AO67" s="689"/>
      <c r="AP67" s="689"/>
      <c r="AQ67" s="689"/>
      <c r="AR67" s="689"/>
      <c r="AS67" s="689"/>
      <c r="AT67" s="689"/>
      <c r="AU67" s="689"/>
      <c r="AV67" s="689"/>
      <c r="AW67" s="689"/>
      <c r="AX67" s="689"/>
      <c r="AY67" s="689"/>
      <c r="AZ67" s="689"/>
      <c r="BA67" s="689"/>
      <c r="BB67" s="689"/>
      <c r="BC67" s="689"/>
      <c r="BD67" s="689"/>
      <c r="BE67" s="690"/>
      <c r="BF67" s="657" t="s">
        <v>26</v>
      </c>
      <c r="BG67" s="657"/>
      <c r="BH67" s="657"/>
      <c r="BI67" s="657"/>
      <c r="BJ67" s="657"/>
      <c r="BK67" s="657"/>
      <c r="BL67" s="657"/>
      <c r="BM67" s="657"/>
      <c r="BN67" s="657"/>
      <c r="BO67" s="657"/>
      <c r="BP67" s="657"/>
      <c r="BQ67" s="657"/>
      <c r="BR67" s="657"/>
      <c r="BS67" s="657"/>
      <c r="BT67" s="657"/>
      <c r="BU67" s="658"/>
      <c r="BV67" s="659" t="s">
        <v>8</v>
      </c>
      <c r="BW67" s="657"/>
      <c r="BX67" s="660"/>
      <c r="BY67" s="661" t="s">
        <v>9</v>
      </c>
      <c r="BZ67" s="657"/>
      <c r="CA67" s="657"/>
      <c r="CB67" s="657"/>
      <c r="CC67" s="657"/>
      <c r="CD67" s="657"/>
      <c r="CE67" s="657"/>
      <c r="CF67" s="657"/>
      <c r="CG67" s="657"/>
      <c r="CH67" s="657"/>
      <c r="CI67" s="657"/>
      <c r="CJ67" s="657"/>
      <c r="CK67" s="660"/>
      <c r="CL67" s="661" t="s">
        <v>10</v>
      </c>
      <c r="CM67" s="658"/>
    </row>
    <row r="68" spans="1:91" ht="25.5" customHeight="1" x14ac:dyDescent="0.2">
      <c r="A68" s="654" t="str">
        <f>IF('Title Page'!K28&lt;&gt;"",'Title Page'!K28,"")</f>
        <v/>
      </c>
      <c r="B68" s="655"/>
      <c r="C68" s="655"/>
      <c r="D68" s="130"/>
      <c r="E68" s="656" t="str">
        <f>IF('Title Page'!L28&lt;&gt;"",'Title Page'!L28,"")</f>
        <v/>
      </c>
      <c r="F68" s="656"/>
      <c r="G68" s="656"/>
      <c r="H68" s="436" t="str">
        <f>IF('Title Page'!R28&lt;&gt;"",'Title Page'!R28,"")</f>
        <v/>
      </c>
      <c r="I68" s="436" t="str">
        <f>IF('Title Page'!S28&lt;&gt;"",'Title Page'!S28,"")</f>
        <v/>
      </c>
      <c r="J68" s="436" t="str">
        <f>IF('Title Page'!T28&lt;&gt;"",'Title Page'!T28,"")</f>
        <v/>
      </c>
      <c r="K68" s="437" t="str">
        <f>IF('Title Page'!V28&lt;&gt;"",'Title Page'!V28,"")</f>
        <v/>
      </c>
      <c r="L68" s="688"/>
      <c r="M68" s="689"/>
      <c r="N68" s="689"/>
      <c r="O68" s="689"/>
      <c r="P68" s="689"/>
      <c r="Q68" s="689"/>
      <c r="R68" s="689"/>
      <c r="S68" s="689"/>
      <c r="T68" s="689"/>
      <c r="U68" s="689"/>
      <c r="V68" s="689"/>
      <c r="W68" s="689"/>
      <c r="X68" s="689"/>
      <c r="Y68" s="689"/>
      <c r="Z68" s="689"/>
      <c r="AA68" s="689"/>
      <c r="AB68" s="689"/>
      <c r="AC68" s="689"/>
      <c r="AD68" s="689"/>
      <c r="AE68" s="689"/>
      <c r="AF68" s="689"/>
      <c r="AG68" s="689"/>
      <c r="AH68" s="689"/>
      <c r="AI68" s="689"/>
      <c r="AJ68" s="689"/>
      <c r="AK68" s="689"/>
      <c r="AL68" s="689"/>
      <c r="AM68" s="689"/>
      <c r="AN68" s="689"/>
      <c r="AO68" s="689"/>
      <c r="AP68" s="689"/>
      <c r="AQ68" s="689"/>
      <c r="AR68" s="689"/>
      <c r="AS68" s="689"/>
      <c r="AT68" s="689"/>
      <c r="AU68" s="689"/>
      <c r="AV68" s="689"/>
      <c r="AW68" s="689"/>
      <c r="AX68" s="689"/>
      <c r="AY68" s="689"/>
      <c r="AZ68" s="689"/>
      <c r="BA68" s="689"/>
      <c r="BB68" s="689"/>
      <c r="BC68" s="689"/>
      <c r="BD68" s="689"/>
      <c r="BE68" s="690"/>
      <c r="BF68" s="662" t="str">
        <f>'Title Page'!Z21</f>
        <v>PEM029-001</v>
      </c>
      <c r="BG68" s="662"/>
      <c r="BH68" s="662"/>
      <c r="BI68" s="662"/>
      <c r="BJ68" s="662"/>
      <c r="BK68" s="662"/>
      <c r="BL68" s="662"/>
      <c r="BM68" s="662"/>
      <c r="BN68" s="662"/>
      <c r="BO68" s="662"/>
      <c r="BP68" s="662"/>
      <c r="BQ68" s="662"/>
      <c r="BR68" s="662"/>
      <c r="BS68" s="662"/>
      <c r="BT68" s="662"/>
      <c r="BU68" s="651"/>
      <c r="BV68" s="664" t="str">
        <f>'Title Page'!AA21</f>
        <v>None</v>
      </c>
      <c r="BW68" s="662"/>
      <c r="BX68" s="665"/>
      <c r="BY68" s="650" t="str">
        <f ca="1">BF68&amp;"-SDK-"&amp;RIGHT(RIGHT(CELL("filename",H7),LEN(CELL("filename",H7))-FIND("]",CELL("filename",H7))),LEN(RIGHT(CELL("filename",H7),LEN(CELL("filename",H7))-FIND("]",CELL("filename",H7))))-12)</f>
        <v>PEM029-001-SDK-2</v>
      </c>
      <c r="BZ68" s="662"/>
      <c r="CA68" s="662"/>
      <c r="CB68" s="662"/>
      <c r="CC68" s="662"/>
      <c r="CD68" s="662"/>
      <c r="CE68" s="662"/>
      <c r="CF68" s="662"/>
      <c r="CG68" s="662"/>
      <c r="CH68" s="662"/>
      <c r="CI68" s="662"/>
      <c r="CJ68" s="662"/>
      <c r="CK68" s="665"/>
      <c r="CL68" s="650">
        <f>'Title Page'!X21</f>
        <v>0</v>
      </c>
      <c r="CM68" s="651"/>
    </row>
    <row r="69" spans="1:91" ht="25.5" customHeight="1" thickBot="1" x14ac:dyDescent="0.25">
      <c r="A69" s="654" t="str">
        <f>IF('Title Page'!K29&lt;&gt;"",'Title Page'!K29,"")</f>
        <v/>
      </c>
      <c r="B69" s="655"/>
      <c r="C69" s="655"/>
      <c r="D69" s="130"/>
      <c r="E69" s="656" t="str">
        <f>IF('Title Page'!L29&lt;&gt;"",'Title Page'!L29,"")</f>
        <v/>
      </c>
      <c r="F69" s="656"/>
      <c r="G69" s="656"/>
      <c r="H69" s="436" t="str">
        <f>IF('Title Page'!R29&lt;&gt;"",'Title Page'!R29,"")</f>
        <v/>
      </c>
      <c r="I69" s="436" t="str">
        <f>IF('Title Page'!S29&lt;&gt;"",'Title Page'!S29,"")</f>
        <v/>
      </c>
      <c r="J69" s="436" t="str">
        <f>IF('Title Page'!T29&lt;&gt;"",'Title Page'!T29,"")</f>
        <v/>
      </c>
      <c r="K69" s="437" t="str">
        <f>IF('Title Page'!V29&lt;&gt;"",'Title Page'!V29,"")</f>
        <v/>
      </c>
      <c r="L69" s="691"/>
      <c r="M69" s="692"/>
      <c r="N69" s="692"/>
      <c r="O69" s="692"/>
      <c r="P69" s="692"/>
      <c r="Q69" s="692"/>
      <c r="R69" s="692"/>
      <c r="S69" s="692"/>
      <c r="T69" s="692"/>
      <c r="U69" s="692"/>
      <c r="V69" s="692"/>
      <c r="W69" s="692"/>
      <c r="X69" s="692"/>
      <c r="Y69" s="692"/>
      <c r="Z69" s="692"/>
      <c r="AA69" s="692"/>
      <c r="AB69" s="692"/>
      <c r="AC69" s="692"/>
      <c r="AD69" s="692"/>
      <c r="AE69" s="692"/>
      <c r="AF69" s="692"/>
      <c r="AG69" s="692"/>
      <c r="AH69" s="692"/>
      <c r="AI69" s="692"/>
      <c r="AJ69" s="692"/>
      <c r="AK69" s="692"/>
      <c r="AL69" s="692"/>
      <c r="AM69" s="692"/>
      <c r="AN69" s="692"/>
      <c r="AO69" s="692"/>
      <c r="AP69" s="692"/>
      <c r="AQ69" s="692"/>
      <c r="AR69" s="692"/>
      <c r="AS69" s="692"/>
      <c r="AT69" s="692"/>
      <c r="AU69" s="692"/>
      <c r="AV69" s="692"/>
      <c r="AW69" s="692"/>
      <c r="AX69" s="692"/>
      <c r="AY69" s="692"/>
      <c r="AZ69" s="692"/>
      <c r="BA69" s="692"/>
      <c r="BB69" s="692"/>
      <c r="BC69" s="692"/>
      <c r="BD69" s="692"/>
      <c r="BE69" s="693"/>
      <c r="BF69" s="663"/>
      <c r="BG69" s="663"/>
      <c r="BH69" s="663"/>
      <c r="BI69" s="663"/>
      <c r="BJ69" s="663"/>
      <c r="BK69" s="663"/>
      <c r="BL69" s="663"/>
      <c r="BM69" s="663"/>
      <c r="BN69" s="663"/>
      <c r="BO69" s="663"/>
      <c r="BP69" s="663"/>
      <c r="BQ69" s="663"/>
      <c r="BR69" s="663"/>
      <c r="BS69" s="663"/>
      <c r="BT69" s="663"/>
      <c r="BU69" s="653"/>
      <c r="BV69" s="666"/>
      <c r="BW69" s="663"/>
      <c r="BX69" s="667"/>
      <c r="BY69" s="652"/>
      <c r="BZ69" s="663"/>
      <c r="CA69" s="663"/>
      <c r="CB69" s="663"/>
      <c r="CC69" s="663"/>
      <c r="CD69" s="663"/>
      <c r="CE69" s="663"/>
      <c r="CF69" s="663"/>
      <c r="CG69" s="663"/>
      <c r="CH69" s="663"/>
      <c r="CI69" s="663"/>
      <c r="CJ69" s="663"/>
      <c r="CK69" s="667"/>
      <c r="CL69" s="652"/>
      <c r="CM69" s="653"/>
    </row>
    <row r="70" spans="1:91" ht="12" customHeight="1" x14ac:dyDescent="0.25">
      <c r="A70" s="438"/>
      <c r="B70" s="439"/>
      <c r="C70" s="439"/>
      <c r="D70" s="439"/>
      <c r="E70" s="228"/>
      <c r="F70" s="440"/>
      <c r="G70" s="440"/>
      <c r="H70" s="440"/>
      <c r="I70" s="441"/>
      <c r="BL70" s="305"/>
      <c r="BM70" s="305"/>
      <c r="BN70" s="305"/>
      <c r="BO70" s="305"/>
      <c r="BP70" s="305"/>
      <c r="BQ70" s="305"/>
      <c r="BR70" s="305"/>
      <c r="BS70" s="305"/>
      <c r="BT70" s="443"/>
      <c r="CD70" s="228"/>
      <c r="CE70" s="228"/>
      <c r="CF70" s="228"/>
      <c r="CG70" s="228"/>
      <c r="CH70" s="228"/>
      <c r="CI70" s="228"/>
      <c r="CJ70" s="228"/>
      <c r="CK70" s="228"/>
      <c r="CL70" s="228"/>
      <c r="CM70" s="228"/>
    </row>
  </sheetData>
  <mergeCells count="45">
    <mergeCell ref="BF64:BU66"/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A67:C67"/>
    <mergeCell ref="E67:G67"/>
    <mergeCell ref="BF67:BU67"/>
    <mergeCell ref="BV67:BX67"/>
    <mergeCell ref="BY67:CK67"/>
    <mergeCell ref="A61:C61"/>
    <mergeCell ref="E61:G61"/>
    <mergeCell ref="BV64:CM66"/>
    <mergeCell ref="A65:C65"/>
    <mergeCell ref="E65:G65"/>
    <mergeCell ref="A66:C66"/>
    <mergeCell ref="E66:G66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  <mergeCell ref="G7:G9"/>
    <mergeCell ref="H7:H9"/>
    <mergeCell ref="I7:K7"/>
    <mergeCell ref="J8:K8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18" orientation="landscape" r:id="rId1"/>
  <headerFooter alignWithMargins="0">
    <oddFooter xml:space="preserve">&amp;L&amp;F&amp;C&amp;D&amp;RLauren Concise Design Shutdown Key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DQ70"/>
  <sheetViews>
    <sheetView showGridLines="0" view="pageBreakPreview" topLeftCell="A4" zoomScale="50" zoomScaleNormal="50" zoomScaleSheetLayoutView="50" zoomScalePageLayoutView="50" workbookViewId="0">
      <selection activeCell="S11" sqref="S11"/>
    </sheetView>
  </sheetViews>
  <sheetFormatPr defaultColWidth="12.7109375" defaultRowHeight="12" customHeight="1" x14ac:dyDescent="0.25"/>
  <cols>
    <col min="1" max="1" width="8.7109375" style="220" bestFit="1" customWidth="1"/>
    <col min="2" max="2" width="7.42578125" style="220" customWidth="1"/>
    <col min="3" max="3" width="10.5703125" style="220" bestFit="1" customWidth="1"/>
    <col min="4" max="4" width="36.7109375" style="220" bestFit="1" customWidth="1"/>
    <col min="5" max="5" width="95.85546875" style="222" bestFit="1" customWidth="1"/>
    <col min="6" max="6" width="18.42578125" style="221" bestFit="1" customWidth="1"/>
    <col min="7" max="7" width="31.5703125" style="221" bestFit="1" customWidth="1"/>
    <col min="8" max="8" width="33" style="221" bestFit="1" customWidth="1"/>
    <col min="9" max="10" width="8.42578125" style="316" customWidth="1"/>
    <col min="11" max="11" width="10.85546875" style="316" bestFit="1" customWidth="1"/>
    <col min="12" max="12" width="6.140625" style="442" customWidth="1"/>
    <col min="13" max="21" width="6.140625" style="222" customWidth="1"/>
    <col min="22" max="22" width="6.140625" style="442" customWidth="1"/>
    <col min="23" max="31" width="6.140625" style="222" customWidth="1"/>
    <col min="32" max="32" width="6.140625" style="442" customWidth="1"/>
    <col min="33" max="41" width="6.140625" style="222" customWidth="1"/>
    <col min="42" max="42" width="6.140625" style="442" customWidth="1"/>
    <col min="43" max="51" width="6.140625" style="222" customWidth="1"/>
    <col min="52" max="52" width="6.140625" style="442" customWidth="1"/>
    <col min="53" max="61" width="6.140625" style="222" customWidth="1"/>
    <col min="62" max="62" width="6.140625" style="442" customWidth="1"/>
    <col min="63" max="71" width="6.140625" style="222" customWidth="1"/>
    <col min="72" max="72" width="6.140625" style="442" customWidth="1"/>
    <col min="73" max="80" width="6.140625" style="222" customWidth="1"/>
    <col min="81" max="81" width="6.140625" style="444" customWidth="1"/>
    <col min="82" max="91" width="6.140625" style="222" customWidth="1"/>
    <col min="92" max="16384" width="12.7109375" style="222"/>
  </cols>
  <sheetData>
    <row r="1" spans="1:121" s="339" customFormat="1" ht="20.25" customHeight="1" x14ac:dyDescent="0.25">
      <c r="A1" s="256"/>
      <c r="B1" s="334"/>
      <c r="C1" s="334"/>
      <c r="D1" s="334"/>
      <c r="E1" s="305"/>
      <c r="F1" s="335"/>
      <c r="G1" s="335"/>
      <c r="H1" s="335"/>
      <c r="I1" s="336"/>
      <c r="J1" s="337" t="s">
        <v>0</v>
      </c>
      <c r="K1" s="338"/>
      <c r="L1" s="136">
        <v>1</v>
      </c>
      <c r="M1" s="103">
        <v>2</v>
      </c>
      <c r="N1" s="103">
        <v>3</v>
      </c>
      <c r="O1" s="103">
        <v>4</v>
      </c>
      <c r="P1" s="137">
        <v>5</v>
      </c>
      <c r="Q1" s="136">
        <v>6</v>
      </c>
      <c r="R1" s="103">
        <v>7</v>
      </c>
      <c r="S1" s="103">
        <v>8</v>
      </c>
      <c r="T1" s="103">
        <v>9</v>
      </c>
      <c r="U1" s="138">
        <v>10</v>
      </c>
      <c r="V1" s="139">
        <v>11</v>
      </c>
      <c r="W1" s="103">
        <v>12</v>
      </c>
      <c r="X1" s="103">
        <v>13</v>
      </c>
      <c r="Y1" s="103">
        <v>14</v>
      </c>
      <c r="Z1" s="137">
        <v>15</v>
      </c>
      <c r="AA1" s="136">
        <v>16</v>
      </c>
      <c r="AB1" s="103">
        <v>17</v>
      </c>
      <c r="AC1" s="103">
        <v>18</v>
      </c>
      <c r="AD1" s="103">
        <v>19</v>
      </c>
      <c r="AE1" s="138">
        <v>20</v>
      </c>
      <c r="AF1" s="139">
        <v>21</v>
      </c>
      <c r="AG1" s="103">
        <v>22</v>
      </c>
      <c r="AH1" s="103">
        <v>23</v>
      </c>
      <c r="AI1" s="103">
        <v>24</v>
      </c>
      <c r="AJ1" s="137">
        <v>25</v>
      </c>
      <c r="AK1" s="136">
        <v>26</v>
      </c>
      <c r="AL1" s="103">
        <v>27</v>
      </c>
      <c r="AM1" s="103">
        <v>28</v>
      </c>
      <c r="AN1" s="103">
        <v>29</v>
      </c>
      <c r="AO1" s="138">
        <v>30</v>
      </c>
      <c r="AP1" s="139">
        <v>31</v>
      </c>
      <c r="AQ1" s="103">
        <v>32</v>
      </c>
      <c r="AR1" s="103">
        <v>33</v>
      </c>
      <c r="AS1" s="103">
        <v>34</v>
      </c>
      <c r="AT1" s="137">
        <v>35</v>
      </c>
      <c r="AU1" s="136">
        <v>36</v>
      </c>
      <c r="AV1" s="103">
        <v>37</v>
      </c>
      <c r="AW1" s="103">
        <v>38</v>
      </c>
      <c r="AX1" s="103">
        <v>39</v>
      </c>
      <c r="AY1" s="138">
        <v>40</v>
      </c>
      <c r="AZ1" s="139">
        <v>41</v>
      </c>
      <c r="BA1" s="103">
        <v>42</v>
      </c>
      <c r="BB1" s="103">
        <v>43</v>
      </c>
      <c r="BC1" s="103">
        <v>44</v>
      </c>
      <c r="BD1" s="137">
        <v>45</v>
      </c>
      <c r="BE1" s="136">
        <v>46</v>
      </c>
      <c r="BF1" s="103">
        <v>47</v>
      </c>
      <c r="BG1" s="103">
        <v>48</v>
      </c>
      <c r="BH1" s="103">
        <v>49</v>
      </c>
      <c r="BI1" s="138">
        <v>50</v>
      </c>
      <c r="BJ1" s="139">
        <v>51</v>
      </c>
      <c r="BK1" s="103">
        <v>52</v>
      </c>
      <c r="BL1" s="103">
        <v>53</v>
      </c>
      <c r="BM1" s="103">
        <v>54</v>
      </c>
      <c r="BN1" s="137">
        <v>55</v>
      </c>
      <c r="BO1" s="136">
        <v>56</v>
      </c>
      <c r="BP1" s="103">
        <v>57</v>
      </c>
      <c r="BQ1" s="103">
        <v>58</v>
      </c>
      <c r="BR1" s="103">
        <v>59</v>
      </c>
      <c r="BS1" s="138">
        <v>60</v>
      </c>
      <c r="BT1" s="139">
        <v>61</v>
      </c>
      <c r="BU1" s="103">
        <v>62</v>
      </c>
      <c r="BV1" s="103">
        <v>63</v>
      </c>
      <c r="BW1" s="103">
        <v>64</v>
      </c>
      <c r="BX1" s="137">
        <v>65</v>
      </c>
      <c r="BY1" s="136">
        <v>66</v>
      </c>
      <c r="BZ1" s="103">
        <v>67</v>
      </c>
      <c r="CA1" s="103">
        <v>68</v>
      </c>
      <c r="CB1" s="103">
        <v>69</v>
      </c>
      <c r="CC1" s="138">
        <v>70</v>
      </c>
      <c r="CD1" s="139">
        <v>71</v>
      </c>
      <c r="CE1" s="103">
        <v>72</v>
      </c>
      <c r="CF1" s="103">
        <v>73</v>
      </c>
      <c r="CG1" s="103">
        <v>74</v>
      </c>
      <c r="CH1" s="138">
        <v>75</v>
      </c>
      <c r="CI1" s="139">
        <v>76</v>
      </c>
      <c r="CJ1" s="103">
        <v>77</v>
      </c>
      <c r="CK1" s="103">
        <v>78</v>
      </c>
      <c r="CL1" s="103">
        <v>79</v>
      </c>
      <c r="CM1" s="137">
        <v>80</v>
      </c>
      <c r="CN1" s="220"/>
      <c r="CO1" s="220"/>
      <c r="CP1" s="220"/>
      <c r="CQ1" s="220"/>
      <c r="CR1" s="220"/>
      <c r="CS1" s="220"/>
      <c r="CT1" s="220"/>
      <c r="CU1" s="220"/>
      <c r="CV1" s="220"/>
      <c r="CW1" s="220"/>
      <c r="CX1" s="220"/>
      <c r="CY1" s="220"/>
      <c r="CZ1" s="220"/>
      <c r="DA1" s="220"/>
      <c r="DB1" s="220"/>
      <c r="DC1" s="220"/>
      <c r="DD1" s="220"/>
      <c r="DE1" s="220"/>
      <c r="DF1" s="220"/>
      <c r="DG1" s="220"/>
      <c r="DH1" s="220"/>
      <c r="DI1" s="220"/>
      <c r="DJ1" s="220"/>
      <c r="DK1" s="220"/>
      <c r="DL1" s="220"/>
      <c r="DM1" s="220"/>
      <c r="DN1" s="220"/>
      <c r="DO1" s="220"/>
      <c r="DP1" s="220"/>
      <c r="DQ1" s="220"/>
    </row>
    <row r="2" spans="1:121" s="339" customFormat="1" ht="24" customHeight="1" thickBot="1" x14ac:dyDescent="0.25">
      <c r="A2" s="184"/>
      <c r="B2" s="220"/>
      <c r="C2" s="220"/>
      <c r="D2" s="220"/>
      <c r="F2" s="221"/>
      <c r="G2" s="221"/>
      <c r="H2" s="221"/>
      <c r="I2" s="340"/>
      <c r="J2" s="341" t="s">
        <v>38</v>
      </c>
      <c r="K2" s="342"/>
      <c r="L2" s="140">
        <v>0</v>
      </c>
      <c r="M2" s="76">
        <v>0</v>
      </c>
      <c r="N2" s="76">
        <v>0</v>
      </c>
      <c r="O2" s="76">
        <v>0</v>
      </c>
      <c r="P2" s="141">
        <v>0</v>
      </c>
      <c r="Q2" s="140"/>
      <c r="R2" s="76"/>
      <c r="S2" s="76">
        <v>0</v>
      </c>
      <c r="T2" s="76">
        <v>0</v>
      </c>
      <c r="U2" s="81">
        <v>0</v>
      </c>
      <c r="V2" s="142">
        <v>0</v>
      </c>
      <c r="W2" s="76">
        <v>0</v>
      </c>
      <c r="X2" s="76">
        <v>0</v>
      </c>
      <c r="Y2" s="76">
        <v>0</v>
      </c>
      <c r="Z2" s="141">
        <v>0</v>
      </c>
      <c r="AA2" s="140">
        <v>0</v>
      </c>
      <c r="AB2" s="76">
        <v>0</v>
      </c>
      <c r="AC2" s="76">
        <v>0</v>
      </c>
      <c r="AD2" s="76">
        <v>0</v>
      </c>
      <c r="AE2" s="81">
        <v>0</v>
      </c>
      <c r="AF2" s="142">
        <v>0</v>
      </c>
      <c r="AG2" s="76">
        <v>0</v>
      </c>
      <c r="AH2" s="76">
        <v>0</v>
      </c>
      <c r="AI2" s="76">
        <v>0</v>
      </c>
      <c r="AJ2" s="141"/>
      <c r="AK2" s="140"/>
      <c r="AL2" s="76">
        <v>0</v>
      </c>
      <c r="AM2" s="76">
        <v>0</v>
      </c>
      <c r="AN2" s="76">
        <v>0</v>
      </c>
      <c r="AO2" s="81">
        <v>0</v>
      </c>
      <c r="AP2" s="142">
        <v>0</v>
      </c>
      <c r="AQ2" s="76">
        <v>0</v>
      </c>
      <c r="AR2" s="76">
        <v>0</v>
      </c>
      <c r="AS2" s="76"/>
      <c r="AT2" s="141"/>
      <c r="AU2" s="140">
        <v>0</v>
      </c>
      <c r="AV2" s="76">
        <v>0</v>
      </c>
      <c r="AW2" s="76">
        <v>0</v>
      </c>
      <c r="AX2" s="76">
        <v>0</v>
      </c>
      <c r="AY2" s="81">
        <v>0</v>
      </c>
      <c r="AZ2" s="142">
        <v>0</v>
      </c>
      <c r="BA2" s="76">
        <v>0</v>
      </c>
      <c r="BB2" s="76">
        <v>0</v>
      </c>
      <c r="BC2" s="76">
        <v>0</v>
      </c>
      <c r="BD2" s="141">
        <v>0</v>
      </c>
      <c r="BE2" s="140"/>
      <c r="BF2" s="76"/>
      <c r="BG2" s="76">
        <v>0</v>
      </c>
      <c r="BH2" s="76">
        <v>0</v>
      </c>
      <c r="BI2" s="81">
        <v>0</v>
      </c>
      <c r="BJ2" s="142">
        <v>0</v>
      </c>
      <c r="BK2" s="76">
        <v>0</v>
      </c>
      <c r="BL2" s="76">
        <v>0</v>
      </c>
      <c r="BM2" s="76">
        <v>0</v>
      </c>
      <c r="BN2" s="141">
        <v>0</v>
      </c>
      <c r="BO2" s="140">
        <v>0</v>
      </c>
      <c r="BP2" s="76">
        <v>0</v>
      </c>
      <c r="BQ2" s="76"/>
      <c r="BR2" s="76"/>
      <c r="BS2" s="81">
        <v>0</v>
      </c>
      <c r="BT2" s="142"/>
      <c r="BU2" s="76"/>
      <c r="BV2" s="76">
        <v>0</v>
      </c>
      <c r="BW2" s="76">
        <v>0</v>
      </c>
      <c r="BX2" s="141">
        <v>0</v>
      </c>
      <c r="BY2" s="140">
        <v>0</v>
      </c>
      <c r="BZ2" s="76"/>
      <c r="CA2" s="76"/>
      <c r="CB2" s="76">
        <v>0</v>
      </c>
      <c r="CC2" s="81">
        <v>0</v>
      </c>
      <c r="CD2" s="142">
        <v>0</v>
      </c>
      <c r="CE2" s="76"/>
      <c r="CF2" s="76"/>
      <c r="CG2" s="76">
        <v>0</v>
      </c>
      <c r="CH2" s="81">
        <v>0</v>
      </c>
      <c r="CI2" s="142">
        <v>0</v>
      </c>
      <c r="CJ2" s="76"/>
      <c r="CK2" s="76"/>
      <c r="CL2" s="76"/>
      <c r="CM2" s="141"/>
      <c r="CN2" s="234"/>
      <c r="CO2" s="234"/>
      <c r="CP2" s="234"/>
      <c r="CQ2" s="234"/>
      <c r="CR2" s="234"/>
      <c r="CS2" s="234"/>
      <c r="CT2" s="234"/>
      <c r="CU2" s="234"/>
      <c r="CV2" s="234"/>
      <c r="CW2" s="234"/>
      <c r="CX2" s="234"/>
      <c r="CY2" s="234"/>
      <c r="CZ2" s="234"/>
      <c r="DA2" s="234"/>
      <c r="DB2" s="234"/>
      <c r="DC2" s="234"/>
      <c r="DD2" s="234"/>
      <c r="DE2" s="234"/>
      <c r="DF2" s="234"/>
      <c r="DG2" s="234"/>
      <c r="DH2" s="234"/>
      <c r="DI2" s="234"/>
      <c r="DJ2" s="234"/>
      <c r="DK2" s="234"/>
      <c r="DL2" s="234"/>
      <c r="DM2" s="234"/>
      <c r="DN2" s="234"/>
      <c r="DO2" s="234"/>
      <c r="DP2" s="234"/>
      <c r="DQ2" s="220"/>
    </row>
    <row r="3" spans="1:121" ht="111" customHeight="1" x14ac:dyDescent="0.2">
      <c r="A3" s="184"/>
      <c r="I3" s="644" t="s">
        <v>35</v>
      </c>
      <c r="J3" s="645"/>
      <c r="K3" s="646"/>
      <c r="L3" s="143" t="s">
        <v>1044</v>
      </c>
      <c r="M3" s="144" t="s">
        <v>1044</v>
      </c>
      <c r="N3" s="144" t="s">
        <v>1044</v>
      </c>
      <c r="O3" s="144" t="s">
        <v>1044</v>
      </c>
      <c r="P3" s="145" t="s">
        <v>1044</v>
      </c>
      <c r="Q3" s="143"/>
      <c r="R3" s="146"/>
      <c r="S3" s="288" t="s">
        <v>1044</v>
      </c>
      <c r="T3" s="146">
        <v>5</v>
      </c>
      <c r="U3" s="317" t="s">
        <v>1044</v>
      </c>
      <c r="V3" s="147">
        <v>5</v>
      </c>
      <c r="W3" s="146">
        <v>5</v>
      </c>
      <c r="X3" s="146">
        <v>5</v>
      </c>
      <c r="Y3" s="288" t="s">
        <v>1044</v>
      </c>
      <c r="Z3" s="148">
        <v>5</v>
      </c>
      <c r="AA3" s="149">
        <v>5</v>
      </c>
      <c r="AB3" s="146">
        <v>5</v>
      </c>
      <c r="AC3" s="146">
        <v>5</v>
      </c>
      <c r="AD3" s="146">
        <v>5</v>
      </c>
      <c r="AE3" s="150" t="s">
        <v>135</v>
      </c>
      <c r="AF3" s="147" t="s">
        <v>135</v>
      </c>
      <c r="AG3" s="146">
        <v>5</v>
      </c>
      <c r="AH3" s="146">
        <v>5</v>
      </c>
      <c r="AI3" s="146" t="s">
        <v>1044</v>
      </c>
      <c r="AJ3" s="148"/>
      <c r="AK3" s="149"/>
      <c r="AL3" s="146">
        <v>1</v>
      </c>
      <c r="AM3" s="146">
        <v>1</v>
      </c>
      <c r="AN3" s="146">
        <v>1</v>
      </c>
      <c r="AO3" s="150">
        <v>1</v>
      </c>
      <c r="AP3" s="147">
        <v>1</v>
      </c>
      <c r="AQ3" s="146">
        <v>1</v>
      </c>
      <c r="AR3" s="146">
        <v>1</v>
      </c>
      <c r="AS3" s="151"/>
      <c r="AT3" s="148"/>
      <c r="AU3" s="149" t="s">
        <v>135</v>
      </c>
      <c r="AV3" s="146" t="s">
        <v>135</v>
      </c>
      <c r="AW3" s="146" t="s">
        <v>135</v>
      </c>
      <c r="AX3" s="146" t="s">
        <v>135</v>
      </c>
      <c r="AY3" s="150" t="s">
        <v>135</v>
      </c>
      <c r="AZ3" s="147">
        <v>4</v>
      </c>
      <c r="BA3" s="146">
        <v>2</v>
      </c>
      <c r="BB3" s="146">
        <v>2</v>
      </c>
      <c r="BC3" s="146">
        <v>2</v>
      </c>
      <c r="BD3" s="148">
        <v>2</v>
      </c>
      <c r="BE3" s="149"/>
      <c r="BF3" s="146"/>
      <c r="BG3" s="146" t="s">
        <v>135</v>
      </c>
      <c r="BH3" s="146" t="s">
        <v>135</v>
      </c>
      <c r="BI3" s="150" t="s">
        <v>135</v>
      </c>
      <c r="BJ3" s="147" t="s">
        <v>135</v>
      </c>
      <c r="BK3" s="146" t="s">
        <v>135</v>
      </c>
      <c r="BL3" s="146">
        <v>4</v>
      </c>
      <c r="BM3" s="146">
        <v>2</v>
      </c>
      <c r="BN3" s="148">
        <v>2</v>
      </c>
      <c r="BO3" s="149">
        <v>2</v>
      </c>
      <c r="BP3" s="146">
        <v>2</v>
      </c>
      <c r="BQ3" s="146"/>
      <c r="BR3" s="146"/>
      <c r="BS3" s="150">
        <v>3</v>
      </c>
      <c r="BT3" s="147"/>
      <c r="BU3" s="146"/>
      <c r="BV3" s="146" t="s">
        <v>135</v>
      </c>
      <c r="BW3" s="146" t="s">
        <v>135</v>
      </c>
      <c r="BX3" s="148" t="s">
        <v>135</v>
      </c>
      <c r="BY3" s="149" t="s">
        <v>135</v>
      </c>
      <c r="BZ3" s="146"/>
      <c r="CA3" s="146"/>
      <c r="CB3" s="146" t="s">
        <v>135</v>
      </c>
      <c r="CC3" s="150" t="s">
        <v>135</v>
      </c>
      <c r="CD3" s="147" t="s">
        <v>135</v>
      </c>
      <c r="CE3" s="146"/>
      <c r="CF3" s="146"/>
      <c r="CG3" s="146">
        <v>5</v>
      </c>
      <c r="CH3" s="150" t="s">
        <v>1044</v>
      </c>
      <c r="CI3" s="147" t="s">
        <v>1044</v>
      </c>
      <c r="CJ3" s="144"/>
      <c r="CK3" s="144"/>
      <c r="CL3" s="144"/>
      <c r="CM3" s="145"/>
      <c r="CN3" s="343"/>
      <c r="CO3" s="343"/>
      <c r="CP3" s="343"/>
      <c r="CQ3" s="343"/>
      <c r="CR3" s="343"/>
      <c r="CS3" s="343"/>
      <c r="CT3" s="343"/>
      <c r="CU3" s="343"/>
      <c r="CV3" s="343"/>
      <c r="CW3" s="343"/>
      <c r="CX3" s="343"/>
      <c r="CY3" s="343"/>
      <c r="CZ3" s="343"/>
      <c r="DA3" s="343"/>
      <c r="DB3" s="343"/>
      <c r="DC3" s="343"/>
      <c r="DD3" s="343"/>
      <c r="DE3" s="343"/>
      <c r="DF3" s="343"/>
      <c r="DG3" s="343"/>
      <c r="DH3" s="343"/>
      <c r="DI3" s="343"/>
      <c r="DJ3" s="343"/>
      <c r="DK3" s="343"/>
      <c r="DL3" s="343"/>
      <c r="DM3" s="343"/>
      <c r="DN3" s="343"/>
      <c r="DO3" s="343"/>
      <c r="DP3" s="343"/>
      <c r="DQ3" s="343"/>
    </row>
    <row r="4" spans="1:121" s="344" customFormat="1" ht="156.75" customHeight="1" x14ac:dyDescent="0.2">
      <c r="A4" s="184"/>
      <c r="B4" s="220"/>
      <c r="C4" s="220"/>
      <c r="D4" s="220"/>
      <c r="F4" s="220"/>
      <c r="G4" s="220"/>
      <c r="H4" s="227"/>
      <c r="I4" s="647" t="s">
        <v>36</v>
      </c>
      <c r="J4" s="648"/>
      <c r="K4" s="649"/>
      <c r="L4" s="143" t="s">
        <v>1044</v>
      </c>
      <c r="M4" s="144" t="s">
        <v>1044</v>
      </c>
      <c r="N4" s="144" t="s">
        <v>1044</v>
      </c>
      <c r="O4" s="144" t="s">
        <v>1044</v>
      </c>
      <c r="P4" s="145" t="s">
        <v>1044</v>
      </c>
      <c r="Q4" s="143"/>
      <c r="R4" s="146"/>
      <c r="S4" s="146" t="s">
        <v>136</v>
      </c>
      <c r="T4" s="146" t="s">
        <v>137</v>
      </c>
      <c r="U4" s="150" t="s">
        <v>138</v>
      </c>
      <c r="V4" s="147" t="s">
        <v>139</v>
      </c>
      <c r="W4" s="146" t="s">
        <v>140</v>
      </c>
      <c r="X4" s="146" t="s">
        <v>141</v>
      </c>
      <c r="Y4" s="146" t="s">
        <v>142</v>
      </c>
      <c r="Z4" s="148" t="s">
        <v>143</v>
      </c>
      <c r="AA4" s="149" t="s">
        <v>144</v>
      </c>
      <c r="AB4" s="146" t="s">
        <v>145</v>
      </c>
      <c r="AC4" s="146" t="s">
        <v>146</v>
      </c>
      <c r="AD4" s="146" t="s">
        <v>147</v>
      </c>
      <c r="AE4" s="150" t="s">
        <v>148</v>
      </c>
      <c r="AF4" s="147" t="s">
        <v>149</v>
      </c>
      <c r="AG4" s="146" t="s">
        <v>922</v>
      </c>
      <c r="AH4" s="146" t="s">
        <v>921</v>
      </c>
      <c r="AI4" s="146" t="s">
        <v>1049</v>
      </c>
      <c r="AJ4" s="148"/>
      <c r="AK4" s="149"/>
      <c r="AL4" s="146" t="s">
        <v>150</v>
      </c>
      <c r="AM4" s="146" t="s">
        <v>151</v>
      </c>
      <c r="AN4" s="146" t="s">
        <v>152</v>
      </c>
      <c r="AO4" s="150" t="s">
        <v>153</v>
      </c>
      <c r="AP4" s="147" t="s">
        <v>154</v>
      </c>
      <c r="AQ4" s="146" t="s">
        <v>155</v>
      </c>
      <c r="AR4" s="146" t="s">
        <v>156</v>
      </c>
      <c r="AS4" s="151"/>
      <c r="AT4" s="148"/>
      <c r="AU4" s="149" t="s">
        <v>157</v>
      </c>
      <c r="AV4" s="146" t="s">
        <v>158</v>
      </c>
      <c r="AW4" s="146" t="s">
        <v>159</v>
      </c>
      <c r="AX4" s="146" t="s">
        <v>160</v>
      </c>
      <c r="AY4" s="150" t="s">
        <v>161</v>
      </c>
      <c r="AZ4" s="147" t="s">
        <v>162</v>
      </c>
      <c r="BA4" s="146" t="s">
        <v>163</v>
      </c>
      <c r="BB4" s="146" t="s">
        <v>164</v>
      </c>
      <c r="BC4" s="146" t="s">
        <v>165</v>
      </c>
      <c r="BD4" s="148" t="s">
        <v>166</v>
      </c>
      <c r="BE4" s="149"/>
      <c r="BF4" s="146"/>
      <c r="BG4" s="146" t="s">
        <v>167</v>
      </c>
      <c r="BH4" s="146" t="s">
        <v>168</v>
      </c>
      <c r="BI4" s="150" t="s">
        <v>169</v>
      </c>
      <c r="BJ4" s="147" t="s">
        <v>170</v>
      </c>
      <c r="BK4" s="146" t="s">
        <v>171</v>
      </c>
      <c r="BL4" s="146" t="s">
        <v>172</v>
      </c>
      <c r="BM4" s="146" t="s">
        <v>173</v>
      </c>
      <c r="BN4" s="148" t="s">
        <v>174</v>
      </c>
      <c r="BO4" s="149" t="s">
        <v>175</v>
      </c>
      <c r="BP4" s="146" t="s">
        <v>176</v>
      </c>
      <c r="BQ4" s="146"/>
      <c r="BR4" s="146"/>
      <c r="BS4" s="150" t="s">
        <v>177</v>
      </c>
      <c r="BT4" s="147"/>
      <c r="BU4" s="146"/>
      <c r="BV4" s="146" t="s">
        <v>178</v>
      </c>
      <c r="BW4" s="146" t="s">
        <v>179</v>
      </c>
      <c r="BX4" s="148" t="s">
        <v>180</v>
      </c>
      <c r="BY4" s="149" t="s">
        <v>181</v>
      </c>
      <c r="BZ4" s="146"/>
      <c r="CA4" s="146"/>
      <c r="CB4" s="146" t="s">
        <v>182</v>
      </c>
      <c r="CC4" s="150" t="s">
        <v>183</v>
      </c>
      <c r="CD4" s="147" t="s">
        <v>622</v>
      </c>
      <c r="CE4" s="146"/>
      <c r="CF4" s="146"/>
      <c r="CG4" s="146" t="s">
        <v>623</v>
      </c>
      <c r="CH4" s="150" t="s">
        <v>41</v>
      </c>
      <c r="CI4" s="147" t="s">
        <v>42</v>
      </c>
      <c r="CJ4" s="144"/>
      <c r="CK4" s="144"/>
      <c r="CL4" s="144"/>
      <c r="CM4" s="145"/>
      <c r="CN4" s="343"/>
      <c r="CO4" s="343"/>
      <c r="CP4" s="343"/>
      <c r="CQ4" s="343"/>
      <c r="CR4" s="343"/>
      <c r="CS4" s="343"/>
      <c r="CT4" s="343"/>
      <c r="CU4" s="343"/>
      <c r="CV4" s="343"/>
      <c r="CW4" s="343"/>
      <c r="CX4" s="343"/>
      <c r="CY4" s="343"/>
      <c r="CZ4" s="343"/>
      <c r="DA4" s="343"/>
      <c r="DB4" s="343"/>
      <c r="DC4" s="343"/>
      <c r="DD4" s="343"/>
      <c r="DE4" s="234"/>
      <c r="DF4" s="343"/>
      <c r="DG4" s="234"/>
      <c r="DH4" s="343"/>
      <c r="DI4" s="234"/>
      <c r="DJ4" s="343"/>
      <c r="DK4" s="234"/>
      <c r="DL4" s="343"/>
      <c r="DM4" s="234"/>
      <c r="DN4" s="343"/>
      <c r="DO4" s="234"/>
      <c r="DP4" s="343"/>
      <c r="DQ4" s="343"/>
    </row>
    <row r="5" spans="1:121" s="220" customFormat="1" ht="409.5" customHeight="1" x14ac:dyDescent="0.2">
      <c r="A5" s="184"/>
      <c r="H5" s="345" t="s">
        <v>25</v>
      </c>
      <c r="I5" s="694" t="s">
        <v>11</v>
      </c>
      <c r="J5" s="695"/>
      <c r="K5" s="696"/>
      <c r="L5" s="143" t="s">
        <v>130</v>
      </c>
      <c r="M5" s="144" t="s">
        <v>131</v>
      </c>
      <c r="N5" s="144" t="s">
        <v>132</v>
      </c>
      <c r="O5" s="144" t="s">
        <v>133</v>
      </c>
      <c r="P5" s="145" t="s">
        <v>134</v>
      </c>
      <c r="Q5" s="143"/>
      <c r="R5" s="152" t="s">
        <v>43</v>
      </c>
      <c r="S5" s="151" t="s">
        <v>184</v>
      </c>
      <c r="T5" s="151" t="s">
        <v>185</v>
      </c>
      <c r="U5" s="153" t="s">
        <v>624</v>
      </c>
      <c r="V5" s="154" t="s">
        <v>186</v>
      </c>
      <c r="W5" s="151" t="s">
        <v>187</v>
      </c>
      <c r="X5" s="151" t="s">
        <v>188</v>
      </c>
      <c r="Y5" s="151" t="s">
        <v>625</v>
      </c>
      <c r="Z5" s="155" t="s">
        <v>189</v>
      </c>
      <c r="AA5" s="156" t="s">
        <v>190</v>
      </c>
      <c r="AB5" s="151" t="s">
        <v>191</v>
      </c>
      <c r="AC5" s="151" t="s">
        <v>192</v>
      </c>
      <c r="AD5" s="151" t="s">
        <v>193</v>
      </c>
      <c r="AE5" s="157" t="s">
        <v>627</v>
      </c>
      <c r="AF5" s="154" t="s">
        <v>626</v>
      </c>
      <c r="AG5" s="158" t="s">
        <v>952</v>
      </c>
      <c r="AH5" s="159" t="s">
        <v>953</v>
      </c>
      <c r="AI5" s="159" t="s">
        <v>1048</v>
      </c>
      <c r="AJ5" s="155"/>
      <c r="AK5" s="160" t="s">
        <v>628</v>
      </c>
      <c r="AL5" s="151" t="s">
        <v>194</v>
      </c>
      <c r="AM5" s="151" t="s">
        <v>195</v>
      </c>
      <c r="AN5" s="151" t="s">
        <v>196</v>
      </c>
      <c r="AO5" s="153" t="s">
        <v>197</v>
      </c>
      <c r="AP5" s="154" t="s">
        <v>198</v>
      </c>
      <c r="AQ5" s="151" t="s">
        <v>199</v>
      </c>
      <c r="AR5" s="151" t="s">
        <v>200</v>
      </c>
      <c r="AS5" s="151"/>
      <c r="AT5" s="161" t="s">
        <v>629</v>
      </c>
      <c r="AU5" s="156" t="s">
        <v>201</v>
      </c>
      <c r="AV5" s="151" t="s">
        <v>202</v>
      </c>
      <c r="AW5" s="151" t="s">
        <v>203</v>
      </c>
      <c r="AX5" s="151" t="s">
        <v>204</v>
      </c>
      <c r="AY5" s="153" t="s">
        <v>205</v>
      </c>
      <c r="AZ5" s="154" t="s">
        <v>206</v>
      </c>
      <c r="BA5" s="151" t="s">
        <v>630</v>
      </c>
      <c r="BB5" s="151" t="s">
        <v>631</v>
      </c>
      <c r="BC5" s="151" t="s">
        <v>632</v>
      </c>
      <c r="BD5" s="155" t="s">
        <v>633</v>
      </c>
      <c r="BE5" s="156"/>
      <c r="BF5" s="152" t="s">
        <v>634</v>
      </c>
      <c r="BG5" s="151" t="s">
        <v>207</v>
      </c>
      <c r="BH5" s="151" t="s">
        <v>208</v>
      </c>
      <c r="BI5" s="153" t="s">
        <v>209</v>
      </c>
      <c r="BJ5" s="154" t="s">
        <v>210</v>
      </c>
      <c r="BK5" s="151" t="s">
        <v>635</v>
      </c>
      <c r="BL5" s="151" t="s">
        <v>211</v>
      </c>
      <c r="BM5" s="158" t="s">
        <v>636</v>
      </c>
      <c r="BN5" s="162" t="s">
        <v>637</v>
      </c>
      <c r="BO5" s="156" t="s">
        <v>638</v>
      </c>
      <c r="BP5" s="151" t="s">
        <v>639</v>
      </c>
      <c r="BQ5" s="151"/>
      <c r="BR5" s="152" t="s">
        <v>44</v>
      </c>
      <c r="BS5" s="157" t="s">
        <v>212</v>
      </c>
      <c r="BT5" s="163"/>
      <c r="BU5" s="152" t="s">
        <v>640</v>
      </c>
      <c r="BV5" s="158" t="s">
        <v>213</v>
      </c>
      <c r="BW5" s="151" t="s">
        <v>214</v>
      </c>
      <c r="BX5" s="162" t="s">
        <v>215</v>
      </c>
      <c r="BY5" s="164" t="s">
        <v>216</v>
      </c>
      <c r="BZ5" s="151"/>
      <c r="CA5" s="152" t="s">
        <v>641</v>
      </c>
      <c r="CB5" s="151" t="s">
        <v>217</v>
      </c>
      <c r="CC5" s="153" t="s">
        <v>218</v>
      </c>
      <c r="CD5" s="165" t="s">
        <v>219</v>
      </c>
      <c r="CE5" s="151"/>
      <c r="CF5" s="151"/>
      <c r="CG5" s="151" t="s">
        <v>642</v>
      </c>
      <c r="CH5" s="153" t="s">
        <v>45</v>
      </c>
      <c r="CI5" s="154" t="s">
        <v>643</v>
      </c>
      <c r="CJ5" s="144"/>
      <c r="CK5" s="144"/>
      <c r="CL5" s="144"/>
      <c r="CM5" s="145"/>
      <c r="CN5" s="346"/>
      <c r="CO5" s="347"/>
      <c r="CP5" s="346"/>
      <c r="CQ5" s="347"/>
      <c r="CR5" s="346"/>
      <c r="CS5" s="347"/>
      <c r="CT5" s="346"/>
      <c r="CU5" s="347"/>
      <c r="CV5" s="346"/>
      <c r="CW5" s="348"/>
      <c r="CX5" s="346"/>
      <c r="CY5" s="348"/>
      <c r="CZ5" s="346"/>
      <c r="DA5" s="346"/>
      <c r="DB5" s="346"/>
      <c r="DC5" s="347"/>
      <c r="DD5" s="346"/>
      <c r="DE5" s="346"/>
      <c r="DF5" s="346"/>
      <c r="DG5" s="346"/>
      <c r="DH5" s="346"/>
      <c r="DI5" s="346"/>
      <c r="DJ5" s="346"/>
      <c r="DK5" s="347"/>
      <c r="DL5" s="346"/>
      <c r="DM5" s="348"/>
      <c r="DN5" s="346"/>
      <c r="DO5" s="346"/>
      <c r="DP5" s="346"/>
      <c r="DQ5" s="348"/>
    </row>
    <row r="6" spans="1:121" s="220" customFormat="1" ht="140.25" customHeight="1" thickBot="1" x14ac:dyDescent="0.3">
      <c r="A6" s="184"/>
      <c r="D6" s="224"/>
      <c r="E6" s="226" t="s">
        <v>24</v>
      </c>
      <c r="I6" s="697" t="s">
        <v>37</v>
      </c>
      <c r="J6" s="698"/>
      <c r="K6" s="699"/>
      <c r="L6" s="166" t="s">
        <v>1044</v>
      </c>
      <c r="M6" s="167" t="s">
        <v>1044</v>
      </c>
      <c r="N6" s="167" t="s">
        <v>1044</v>
      </c>
      <c r="O6" s="167" t="s">
        <v>1044</v>
      </c>
      <c r="P6" s="168" t="s">
        <v>1044</v>
      </c>
      <c r="Q6" s="166"/>
      <c r="R6" s="169"/>
      <c r="S6" s="169" t="s">
        <v>220</v>
      </c>
      <c r="T6" s="169" t="s">
        <v>221</v>
      </c>
      <c r="U6" s="170" t="s">
        <v>222</v>
      </c>
      <c r="V6" s="171" t="s">
        <v>223</v>
      </c>
      <c r="W6" s="169" t="s">
        <v>224</v>
      </c>
      <c r="X6" s="169" t="s">
        <v>225</v>
      </c>
      <c r="Y6" s="169" t="s">
        <v>226</v>
      </c>
      <c r="Z6" s="172" t="s">
        <v>227</v>
      </c>
      <c r="AA6" s="173" t="s">
        <v>228</v>
      </c>
      <c r="AB6" s="169" t="s">
        <v>229</v>
      </c>
      <c r="AC6" s="169" t="s">
        <v>230</v>
      </c>
      <c r="AD6" s="169" t="s">
        <v>231</v>
      </c>
      <c r="AE6" s="170" t="s">
        <v>232</v>
      </c>
      <c r="AF6" s="171" t="s">
        <v>233</v>
      </c>
      <c r="AG6" s="169" t="s">
        <v>919</v>
      </c>
      <c r="AH6" s="169" t="s">
        <v>920</v>
      </c>
      <c r="AI6" s="169" t="s">
        <v>1047</v>
      </c>
      <c r="AJ6" s="172"/>
      <c r="AK6" s="173"/>
      <c r="AL6" s="169" t="s">
        <v>46</v>
      </c>
      <c r="AM6" s="169" t="s">
        <v>47</v>
      </c>
      <c r="AN6" s="169" t="s">
        <v>48</v>
      </c>
      <c r="AO6" s="170" t="s">
        <v>49</v>
      </c>
      <c r="AP6" s="171" t="s">
        <v>50</v>
      </c>
      <c r="AQ6" s="169" t="s">
        <v>234</v>
      </c>
      <c r="AR6" s="169" t="s">
        <v>51</v>
      </c>
      <c r="AS6" s="174"/>
      <c r="AT6" s="172"/>
      <c r="AU6" s="173" t="s">
        <v>235</v>
      </c>
      <c r="AV6" s="169" t="s">
        <v>236</v>
      </c>
      <c r="AW6" s="169" t="s">
        <v>237</v>
      </c>
      <c r="AX6" s="169" t="s">
        <v>238</v>
      </c>
      <c r="AY6" s="170" t="s">
        <v>239</v>
      </c>
      <c r="AZ6" s="171" t="s">
        <v>240</v>
      </c>
      <c r="BA6" s="169" t="s">
        <v>52</v>
      </c>
      <c r="BB6" s="169" t="s">
        <v>53</v>
      </c>
      <c r="BC6" s="169" t="s">
        <v>54</v>
      </c>
      <c r="BD6" s="172" t="s">
        <v>55</v>
      </c>
      <c r="BE6" s="173"/>
      <c r="BF6" s="169"/>
      <c r="BG6" s="169" t="s">
        <v>241</v>
      </c>
      <c r="BH6" s="169" t="s">
        <v>242</v>
      </c>
      <c r="BI6" s="170" t="s">
        <v>243</v>
      </c>
      <c r="BJ6" s="171" t="s">
        <v>244</v>
      </c>
      <c r="BK6" s="169" t="s">
        <v>245</v>
      </c>
      <c r="BL6" s="169" t="s">
        <v>246</v>
      </c>
      <c r="BM6" s="169" t="s">
        <v>56</v>
      </c>
      <c r="BN6" s="172" t="s">
        <v>57</v>
      </c>
      <c r="BO6" s="173" t="s">
        <v>58</v>
      </c>
      <c r="BP6" s="169" t="s">
        <v>59</v>
      </c>
      <c r="BQ6" s="169"/>
      <c r="BR6" s="169"/>
      <c r="BS6" s="170" t="s">
        <v>247</v>
      </c>
      <c r="BT6" s="171"/>
      <c r="BU6" s="169"/>
      <c r="BV6" s="169" t="s">
        <v>644</v>
      </c>
      <c r="BW6" s="169" t="s">
        <v>645</v>
      </c>
      <c r="BX6" s="172" t="s">
        <v>646</v>
      </c>
      <c r="BY6" s="173" t="s">
        <v>647</v>
      </c>
      <c r="BZ6" s="169"/>
      <c r="CA6" s="169"/>
      <c r="CB6" s="169" t="s">
        <v>60</v>
      </c>
      <c r="CC6" s="170" t="s">
        <v>61</v>
      </c>
      <c r="CD6" s="171" t="s">
        <v>249</v>
      </c>
      <c r="CE6" s="169"/>
      <c r="CF6" s="169"/>
      <c r="CG6" s="169" t="s">
        <v>648</v>
      </c>
      <c r="CH6" s="170" t="s">
        <v>62</v>
      </c>
      <c r="CI6" s="171" t="s">
        <v>62</v>
      </c>
      <c r="CJ6" s="167"/>
      <c r="CK6" s="167"/>
      <c r="CL6" s="167"/>
      <c r="CM6" s="168"/>
      <c r="CN6" s="343"/>
      <c r="CO6" s="343"/>
      <c r="CP6" s="343"/>
      <c r="CQ6" s="349"/>
      <c r="CR6" s="348"/>
      <c r="CS6" s="348"/>
      <c r="CT6" s="349"/>
      <c r="CU6" s="350"/>
      <c r="CV6" s="351"/>
      <c r="CW6" s="352"/>
      <c r="CX6" s="352"/>
      <c r="CY6" s="352"/>
      <c r="CZ6" s="353"/>
      <c r="DA6" s="354"/>
      <c r="DB6" s="354"/>
      <c r="DC6" s="354"/>
      <c r="DD6" s="343"/>
      <c r="DE6" s="354"/>
      <c r="DF6" s="355"/>
      <c r="DG6" s="354"/>
      <c r="DH6" s="355"/>
      <c r="DI6" s="354"/>
      <c r="DJ6" s="355"/>
      <c r="DK6" s="354"/>
      <c r="DL6" s="355"/>
      <c r="DM6" s="354"/>
      <c r="DN6" s="355"/>
      <c r="DO6" s="354"/>
      <c r="DP6" s="355"/>
      <c r="DQ6" s="355"/>
    </row>
    <row r="7" spans="1:121" s="316" customFormat="1" ht="25.5" customHeight="1" x14ac:dyDescent="0.25">
      <c r="A7" s="700" t="s">
        <v>3</v>
      </c>
      <c r="B7" s="703" t="s">
        <v>13</v>
      </c>
      <c r="C7" s="703" t="s">
        <v>1</v>
      </c>
      <c r="D7" s="703" t="s">
        <v>23</v>
      </c>
      <c r="E7" s="703" t="s">
        <v>11</v>
      </c>
      <c r="F7" s="703" t="s">
        <v>22</v>
      </c>
      <c r="G7" s="703" t="s">
        <v>37</v>
      </c>
      <c r="H7" s="706" t="s">
        <v>12</v>
      </c>
      <c r="I7" s="709" t="s">
        <v>2</v>
      </c>
      <c r="J7" s="710"/>
      <c r="K7" s="711"/>
      <c r="L7" s="136">
        <v>1</v>
      </c>
      <c r="M7" s="103">
        <v>2</v>
      </c>
      <c r="N7" s="103">
        <v>3</v>
      </c>
      <c r="O7" s="103">
        <v>4</v>
      </c>
      <c r="P7" s="137">
        <v>5</v>
      </c>
      <c r="Q7" s="136"/>
      <c r="R7" s="103"/>
      <c r="S7" s="103"/>
      <c r="T7" s="103"/>
      <c r="U7" s="138"/>
      <c r="V7" s="139"/>
      <c r="W7" s="103"/>
      <c r="X7" s="103"/>
      <c r="Y7" s="103"/>
      <c r="Z7" s="137"/>
      <c r="AA7" s="136"/>
      <c r="AB7" s="103"/>
      <c r="AC7" s="103"/>
      <c r="AD7" s="103"/>
      <c r="AE7" s="138"/>
      <c r="AF7" s="139"/>
      <c r="AG7" s="103"/>
      <c r="AH7" s="103"/>
      <c r="AI7" s="103"/>
      <c r="AJ7" s="137"/>
      <c r="AK7" s="136"/>
      <c r="AL7" s="103"/>
      <c r="AM7" s="103"/>
      <c r="AN7" s="103"/>
      <c r="AO7" s="138"/>
      <c r="AP7" s="139"/>
      <c r="AQ7" s="103"/>
      <c r="AR7" s="103"/>
      <c r="AS7" s="103"/>
      <c r="AT7" s="137"/>
      <c r="AU7" s="136"/>
      <c r="AV7" s="103"/>
      <c r="AW7" s="103"/>
      <c r="AX7" s="103"/>
      <c r="AY7" s="138"/>
      <c r="AZ7" s="139"/>
      <c r="BA7" s="103"/>
      <c r="BB7" s="103"/>
      <c r="BC7" s="103"/>
      <c r="BD7" s="137"/>
      <c r="BE7" s="136"/>
      <c r="BF7" s="103"/>
      <c r="BG7" s="103"/>
      <c r="BH7" s="103"/>
      <c r="BI7" s="138"/>
      <c r="BJ7" s="139"/>
      <c r="BK7" s="103"/>
      <c r="BL7" s="103"/>
      <c r="BM7" s="103"/>
      <c r="BN7" s="137"/>
      <c r="BO7" s="136"/>
      <c r="BP7" s="103"/>
      <c r="BQ7" s="103"/>
      <c r="BR7" s="103"/>
      <c r="BS7" s="138"/>
      <c r="BT7" s="139"/>
      <c r="BU7" s="103"/>
      <c r="BV7" s="103"/>
      <c r="BW7" s="103"/>
      <c r="BX7" s="137"/>
      <c r="BY7" s="136"/>
      <c r="BZ7" s="103"/>
      <c r="CA7" s="103"/>
      <c r="CB7" s="103"/>
      <c r="CC7" s="138"/>
      <c r="CD7" s="139"/>
      <c r="CE7" s="103"/>
      <c r="CF7" s="103"/>
      <c r="CG7" s="103"/>
      <c r="CH7" s="138"/>
      <c r="CI7" s="139"/>
      <c r="CJ7" s="215"/>
      <c r="CK7" s="215"/>
      <c r="CL7" s="215"/>
      <c r="CM7" s="216"/>
    </row>
    <row r="8" spans="1:121" s="316" customFormat="1" ht="25.5" customHeight="1" x14ac:dyDescent="0.25">
      <c r="A8" s="701"/>
      <c r="B8" s="704"/>
      <c r="C8" s="704"/>
      <c r="D8" s="704"/>
      <c r="E8" s="704"/>
      <c r="F8" s="704"/>
      <c r="G8" s="704"/>
      <c r="H8" s="707"/>
      <c r="I8" s="262"/>
      <c r="J8" s="712" t="s">
        <v>4</v>
      </c>
      <c r="K8" s="713"/>
      <c r="L8" s="140"/>
      <c r="M8" s="76"/>
      <c r="N8" s="76"/>
      <c r="O8" s="76"/>
      <c r="P8" s="141"/>
      <c r="Q8" s="140"/>
      <c r="R8" s="76"/>
      <c r="S8" s="76"/>
      <c r="T8" s="76"/>
      <c r="U8" s="81"/>
      <c r="V8" s="142"/>
      <c r="W8" s="76"/>
      <c r="X8" s="76"/>
      <c r="Y8" s="76"/>
      <c r="Z8" s="141"/>
      <c r="AA8" s="140"/>
      <c r="AB8" s="76"/>
      <c r="AC8" s="76"/>
      <c r="AD8" s="76"/>
      <c r="AE8" s="81"/>
      <c r="AF8" s="142"/>
      <c r="AG8" s="76"/>
      <c r="AH8" s="76"/>
      <c r="AI8" s="76"/>
      <c r="AJ8" s="141"/>
      <c r="AK8" s="140"/>
      <c r="AL8" s="76"/>
      <c r="AM8" s="76"/>
      <c r="AN8" s="76"/>
      <c r="AO8" s="81"/>
      <c r="AP8" s="142"/>
      <c r="AQ8" s="76"/>
      <c r="AR8" s="76"/>
      <c r="AS8" s="76"/>
      <c r="AT8" s="141"/>
      <c r="AU8" s="140"/>
      <c r="AV8" s="76"/>
      <c r="AW8" s="76"/>
      <c r="AX8" s="76"/>
      <c r="AY8" s="81"/>
      <c r="AZ8" s="142"/>
      <c r="BA8" s="76"/>
      <c r="BB8" s="76"/>
      <c r="BC8" s="76"/>
      <c r="BD8" s="141"/>
      <c r="BE8" s="140"/>
      <c r="BF8" s="76"/>
      <c r="BG8" s="76"/>
      <c r="BH8" s="76"/>
      <c r="BI8" s="81"/>
      <c r="BJ8" s="142"/>
      <c r="BK8" s="76"/>
      <c r="BL8" s="76"/>
      <c r="BM8" s="254"/>
      <c r="BN8" s="265"/>
      <c r="BO8" s="140"/>
      <c r="BP8" s="76"/>
      <c r="BQ8" s="76"/>
      <c r="BR8" s="76"/>
      <c r="BS8" s="81"/>
      <c r="BT8" s="142"/>
      <c r="BU8" s="76"/>
      <c r="BV8" s="76"/>
      <c r="BW8" s="76"/>
      <c r="BX8" s="141"/>
      <c r="BY8" s="140"/>
      <c r="BZ8" s="76"/>
      <c r="CA8" s="76"/>
      <c r="CB8" s="76"/>
      <c r="CC8" s="81"/>
      <c r="CD8" s="142"/>
      <c r="CE8" s="76"/>
      <c r="CF8" s="76"/>
      <c r="CG8" s="76"/>
      <c r="CH8" s="81"/>
      <c r="CI8" s="142"/>
      <c r="CJ8" s="199"/>
      <c r="CK8" s="199"/>
      <c r="CL8" s="199"/>
      <c r="CM8" s="200"/>
    </row>
    <row r="9" spans="1:121" s="316" customFormat="1" ht="25.5" customHeight="1" thickBot="1" x14ac:dyDescent="0.3">
      <c r="A9" s="702"/>
      <c r="B9" s="705"/>
      <c r="C9" s="705"/>
      <c r="D9" s="705"/>
      <c r="E9" s="705"/>
      <c r="F9" s="705"/>
      <c r="G9" s="705"/>
      <c r="H9" s="708"/>
      <c r="I9" s="356"/>
      <c r="J9" s="357"/>
      <c r="K9" s="205" t="s">
        <v>5</v>
      </c>
      <c r="L9" s="266"/>
      <c r="M9" s="255"/>
      <c r="N9" s="255"/>
      <c r="O9" s="255"/>
      <c r="P9" s="267"/>
      <c r="Q9" s="266"/>
      <c r="R9" s="89"/>
      <c r="S9" s="89"/>
      <c r="T9" s="89"/>
      <c r="U9" s="268"/>
      <c r="V9" s="269"/>
      <c r="W9" s="89"/>
      <c r="X9" s="89"/>
      <c r="Y9" s="89"/>
      <c r="Z9" s="270"/>
      <c r="AA9" s="271"/>
      <c r="AB9" s="89"/>
      <c r="AC9" s="89"/>
      <c r="AD9" s="89"/>
      <c r="AE9" s="268"/>
      <c r="AF9" s="269"/>
      <c r="AG9" s="89"/>
      <c r="AH9" s="89"/>
      <c r="AI9" s="89"/>
      <c r="AJ9" s="270"/>
      <c r="AK9" s="271"/>
      <c r="AL9" s="89" t="s">
        <v>910</v>
      </c>
      <c r="AM9" s="89">
        <v>18</v>
      </c>
      <c r="AN9" s="89">
        <v>1</v>
      </c>
      <c r="AO9" s="268">
        <v>19</v>
      </c>
      <c r="AP9" s="269">
        <v>1</v>
      </c>
      <c r="AQ9" s="89">
        <v>19</v>
      </c>
      <c r="AR9" s="89"/>
      <c r="AS9" s="89"/>
      <c r="AT9" s="270"/>
      <c r="AU9" s="271">
        <v>2</v>
      </c>
      <c r="AV9" s="89">
        <v>2</v>
      </c>
      <c r="AW9" s="89"/>
      <c r="AX9" s="89"/>
      <c r="AY9" s="268"/>
      <c r="AZ9" s="269"/>
      <c r="BA9" s="89">
        <v>1</v>
      </c>
      <c r="BB9" s="89">
        <v>20</v>
      </c>
      <c r="BC9" s="89">
        <v>1</v>
      </c>
      <c r="BD9" s="270">
        <v>20</v>
      </c>
      <c r="BE9" s="271"/>
      <c r="BF9" s="89"/>
      <c r="BG9" s="89">
        <v>2</v>
      </c>
      <c r="BH9" s="89">
        <v>2</v>
      </c>
      <c r="BI9" s="268"/>
      <c r="BJ9" s="269"/>
      <c r="BK9" s="89"/>
      <c r="BL9" s="89"/>
      <c r="BM9" s="89">
        <v>1</v>
      </c>
      <c r="BN9" s="270">
        <v>20</v>
      </c>
      <c r="BO9" s="271">
        <v>1</v>
      </c>
      <c r="BP9" s="89">
        <v>20</v>
      </c>
      <c r="BQ9" s="89"/>
      <c r="BR9" s="89"/>
      <c r="BS9" s="268"/>
      <c r="BT9" s="269"/>
      <c r="BU9" s="89"/>
      <c r="BV9" s="255">
        <v>2</v>
      </c>
      <c r="BW9" s="255" t="s">
        <v>250</v>
      </c>
      <c r="BX9" s="270">
        <v>2</v>
      </c>
      <c r="BY9" s="266" t="s">
        <v>250</v>
      </c>
      <c r="BZ9" s="89"/>
      <c r="CA9" s="89"/>
      <c r="CB9" s="89"/>
      <c r="CC9" s="268"/>
      <c r="CD9" s="269"/>
      <c r="CE9" s="89"/>
      <c r="CF9" s="89"/>
      <c r="CG9" s="89"/>
      <c r="CH9" s="268"/>
      <c r="CI9" s="269"/>
      <c r="CJ9" s="204"/>
      <c r="CK9" s="204"/>
      <c r="CL9" s="204"/>
      <c r="CM9" s="205"/>
    </row>
    <row r="10" spans="1:121" ht="25.5" customHeight="1" x14ac:dyDescent="0.25">
      <c r="A10" s="318">
        <v>101</v>
      </c>
      <c r="B10" s="75">
        <v>0</v>
      </c>
      <c r="C10" s="92">
        <v>4</v>
      </c>
      <c r="D10" s="92" t="s">
        <v>313</v>
      </c>
      <c r="E10" s="93" t="s">
        <v>730</v>
      </c>
      <c r="F10" s="480" t="s">
        <v>1114</v>
      </c>
      <c r="G10" s="92" t="s">
        <v>314</v>
      </c>
      <c r="H10" s="113" t="s">
        <v>819</v>
      </c>
      <c r="I10" s="259"/>
      <c r="J10" s="130"/>
      <c r="K10" s="260">
        <v>11</v>
      </c>
      <c r="L10" s="308"/>
      <c r="M10" s="304"/>
      <c r="N10" s="304"/>
      <c r="O10" s="304"/>
      <c r="P10" s="359"/>
      <c r="Q10" s="272"/>
      <c r="R10" s="130"/>
      <c r="S10" s="304"/>
      <c r="T10" s="418"/>
      <c r="U10" s="420"/>
      <c r="V10" s="421"/>
      <c r="W10" s="304"/>
      <c r="X10" s="304"/>
      <c r="Y10" s="304"/>
      <c r="Z10" s="359"/>
      <c r="AA10" s="483"/>
      <c r="AB10" s="418"/>
      <c r="AC10" s="304"/>
      <c r="AD10" s="304"/>
      <c r="AE10" s="420"/>
      <c r="AF10" s="421"/>
      <c r="AG10" s="418"/>
      <c r="AH10" s="304"/>
      <c r="AI10" s="304"/>
      <c r="AJ10" s="260"/>
      <c r="AK10" s="448"/>
      <c r="AL10" s="418"/>
      <c r="AM10" s="418"/>
      <c r="AN10" s="418"/>
      <c r="AO10" s="420"/>
      <c r="AP10" s="421"/>
      <c r="AQ10" s="418"/>
      <c r="AR10" s="418"/>
      <c r="AS10" s="130"/>
      <c r="AT10" s="260"/>
      <c r="AU10" s="483"/>
      <c r="AV10" s="418"/>
      <c r="AW10" s="418"/>
      <c r="AX10" s="418"/>
      <c r="AY10" s="420"/>
      <c r="AZ10" s="421"/>
      <c r="BA10" s="418"/>
      <c r="BB10" s="418"/>
      <c r="BC10" s="418"/>
      <c r="BD10" s="419"/>
      <c r="BE10" s="448"/>
      <c r="BF10" s="130"/>
      <c r="BG10" s="418"/>
      <c r="BH10" s="418"/>
      <c r="BI10" s="420"/>
      <c r="BJ10" s="421"/>
      <c r="BK10" s="418"/>
      <c r="BL10" s="418"/>
      <c r="BM10" s="418"/>
      <c r="BN10" s="419"/>
      <c r="BO10" s="483"/>
      <c r="BP10" s="418"/>
      <c r="BQ10" s="130"/>
      <c r="BR10" s="130"/>
      <c r="BS10" s="420"/>
      <c r="BT10" s="259"/>
      <c r="BU10" s="130"/>
      <c r="BV10" s="418"/>
      <c r="BW10" s="418"/>
      <c r="BX10" s="419"/>
      <c r="BY10" s="483"/>
      <c r="BZ10" s="130"/>
      <c r="CA10" s="130"/>
      <c r="CB10" s="418"/>
      <c r="CC10" s="420"/>
      <c r="CD10" s="421"/>
      <c r="CE10" s="130"/>
      <c r="CF10" s="92"/>
      <c r="CG10" s="418"/>
      <c r="CH10" s="468" t="s">
        <v>40</v>
      </c>
      <c r="CI10" s="469" t="s">
        <v>40</v>
      </c>
      <c r="CJ10" s="210"/>
      <c r="CK10" s="210"/>
      <c r="CL10" s="210"/>
      <c r="CM10" s="211"/>
      <c r="CN10" s="366"/>
      <c r="CO10" s="366"/>
      <c r="CP10" s="366"/>
      <c r="CQ10" s="366"/>
      <c r="CR10" s="366"/>
      <c r="CS10" s="366"/>
      <c r="CT10" s="366"/>
      <c r="CU10" s="366"/>
      <c r="CV10" s="366"/>
      <c r="CW10" s="366"/>
      <c r="CX10" s="366"/>
      <c r="CY10" s="366"/>
      <c r="CZ10" s="366"/>
      <c r="DA10" s="366"/>
      <c r="DB10" s="366"/>
      <c r="DC10" s="366"/>
      <c r="DD10" s="366"/>
      <c r="DE10" s="366"/>
      <c r="DF10" s="366"/>
      <c r="DG10" s="366"/>
      <c r="DH10" s="366"/>
      <c r="DI10" s="366"/>
      <c r="DJ10" s="366"/>
      <c r="DK10" s="366"/>
      <c r="DL10" s="366"/>
      <c r="DM10" s="366"/>
      <c r="DN10" s="366"/>
    </row>
    <row r="11" spans="1:121" ht="25.5" customHeight="1" x14ac:dyDescent="0.25">
      <c r="A11" s="324">
        <v>102</v>
      </c>
      <c r="B11" s="72">
        <v>0</v>
      </c>
      <c r="C11" s="79">
        <v>4</v>
      </c>
      <c r="D11" s="79" t="s">
        <v>315</v>
      </c>
      <c r="E11" s="77" t="s">
        <v>1091</v>
      </c>
      <c r="F11" s="297" t="s">
        <v>1111</v>
      </c>
      <c r="G11" s="79" t="s">
        <v>84</v>
      </c>
      <c r="H11" s="134" t="s">
        <v>1090</v>
      </c>
      <c r="I11" s="142">
        <v>4</v>
      </c>
      <c r="J11" s="76" t="s">
        <v>64</v>
      </c>
      <c r="K11" s="141">
        <v>16</v>
      </c>
      <c r="L11" s="367"/>
      <c r="M11" s="307"/>
      <c r="N11" s="307"/>
      <c r="O11" s="368" t="s">
        <v>122</v>
      </c>
      <c r="P11" s="369"/>
      <c r="Q11" s="274"/>
      <c r="R11" s="79"/>
      <c r="S11" s="307"/>
      <c r="T11" s="307"/>
      <c r="U11" s="370"/>
      <c r="V11" s="306"/>
      <c r="W11" s="307"/>
      <c r="X11" s="307"/>
      <c r="Y11" s="307"/>
      <c r="Z11" s="369"/>
      <c r="AA11" s="367"/>
      <c r="AB11" s="307"/>
      <c r="AC11" s="307"/>
      <c r="AD11" s="307"/>
      <c r="AE11" s="370"/>
      <c r="AF11" s="306"/>
      <c r="AG11" s="307"/>
      <c r="AH11" s="307"/>
      <c r="AI11" s="307"/>
      <c r="AJ11" s="178"/>
      <c r="AK11" s="274"/>
      <c r="AL11" s="307"/>
      <c r="AM11" s="307"/>
      <c r="AN11" s="307"/>
      <c r="AO11" s="370"/>
      <c r="AP11" s="306"/>
      <c r="AQ11" s="307"/>
      <c r="AR11" s="307"/>
      <c r="AS11" s="79"/>
      <c r="AT11" s="178"/>
      <c r="AU11" s="367"/>
      <c r="AV11" s="307"/>
      <c r="AW11" s="307"/>
      <c r="AX11" s="371" t="s">
        <v>120</v>
      </c>
      <c r="AY11" s="370"/>
      <c r="AZ11" s="306"/>
      <c r="BA11" s="307"/>
      <c r="BB11" s="371" t="s">
        <v>121</v>
      </c>
      <c r="BC11" s="307"/>
      <c r="BD11" s="372" t="s">
        <v>121</v>
      </c>
      <c r="BE11" s="274"/>
      <c r="BF11" s="79"/>
      <c r="BG11" s="307"/>
      <c r="BH11" s="307"/>
      <c r="BI11" s="370"/>
      <c r="BJ11" s="306"/>
      <c r="BK11" s="307"/>
      <c r="BL11" s="307"/>
      <c r="BM11" s="307"/>
      <c r="BN11" s="369"/>
      <c r="BO11" s="367"/>
      <c r="BP11" s="307"/>
      <c r="BQ11" s="79"/>
      <c r="BR11" s="79"/>
      <c r="BS11" s="370"/>
      <c r="BT11" s="261"/>
      <c r="BU11" s="79"/>
      <c r="BV11" s="307"/>
      <c r="BW11" s="307"/>
      <c r="BX11" s="369"/>
      <c r="BY11" s="367"/>
      <c r="BZ11" s="79"/>
      <c r="CA11" s="79"/>
      <c r="CB11" s="307"/>
      <c r="CC11" s="370"/>
      <c r="CD11" s="306"/>
      <c r="CE11" s="79"/>
      <c r="CF11" s="79"/>
      <c r="CG11" s="307"/>
      <c r="CH11" s="470" t="s">
        <v>40</v>
      </c>
      <c r="CI11" s="471" t="s">
        <v>40</v>
      </c>
      <c r="CJ11" s="202"/>
      <c r="CK11" s="202"/>
      <c r="CL11" s="202"/>
      <c r="CM11" s="203"/>
      <c r="CN11" s="366"/>
      <c r="CO11" s="366"/>
      <c r="CP11" s="366"/>
      <c r="CQ11" s="366"/>
      <c r="CR11" s="366"/>
      <c r="CS11" s="366"/>
      <c r="CT11" s="366"/>
      <c r="CU11" s="366"/>
      <c r="CV11" s="366"/>
      <c r="CW11" s="366"/>
      <c r="CX11" s="366"/>
      <c r="CY11" s="366"/>
      <c r="CZ11" s="366"/>
      <c r="DA11" s="366"/>
      <c r="DB11" s="375"/>
      <c r="DC11" s="366"/>
      <c r="DD11" s="366"/>
      <c r="DE11" s="366"/>
      <c r="DF11" s="366"/>
      <c r="DG11" s="366"/>
      <c r="DH11" s="366"/>
      <c r="DI11" s="366"/>
      <c r="DJ11" s="366"/>
      <c r="DK11" s="366"/>
      <c r="DL11" s="366"/>
      <c r="DM11" s="366"/>
      <c r="DN11" s="366"/>
    </row>
    <row r="12" spans="1:121" ht="25.5" customHeight="1" x14ac:dyDescent="0.25">
      <c r="A12" s="324">
        <v>103</v>
      </c>
      <c r="B12" s="72">
        <v>0</v>
      </c>
      <c r="C12" s="79">
        <v>4</v>
      </c>
      <c r="D12" s="79" t="s">
        <v>316</v>
      </c>
      <c r="E12" s="96" t="s">
        <v>731</v>
      </c>
      <c r="F12" s="96"/>
      <c r="G12" s="95" t="s">
        <v>85</v>
      </c>
      <c r="H12" s="97" t="s">
        <v>820</v>
      </c>
      <c r="I12" s="142">
        <v>4</v>
      </c>
      <c r="J12" s="76" t="s">
        <v>64</v>
      </c>
      <c r="K12" s="141">
        <v>16</v>
      </c>
      <c r="L12" s="367"/>
      <c r="M12" s="307"/>
      <c r="N12" s="307"/>
      <c r="O12" s="368" t="s">
        <v>122</v>
      </c>
      <c r="P12" s="369"/>
      <c r="Q12" s="274"/>
      <c r="R12" s="76"/>
      <c r="S12" s="307"/>
      <c r="T12" s="310"/>
      <c r="U12" s="412"/>
      <c r="V12" s="413"/>
      <c r="W12" s="307"/>
      <c r="X12" s="307"/>
      <c r="Y12" s="307"/>
      <c r="Z12" s="369"/>
      <c r="AA12" s="485"/>
      <c r="AB12" s="310"/>
      <c r="AC12" s="307"/>
      <c r="AD12" s="307"/>
      <c r="AE12" s="412"/>
      <c r="AF12" s="413"/>
      <c r="AG12" s="310"/>
      <c r="AH12" s="307"/>
      <c r="AI12" s="307"/>
      <c r="AJ12" s="141"/>
      <c r="AK12" s="140"/>
      <c r="AL12" s="310"/>
      <c r="AM12" s="310"/>
      <c r="AN12" s="310"/>
      <c r="AO12" s="412"/>
      <c r="AP12" s="413"/>
      <c r="AQ12" s="310"/>
      <c r="AR12" s="310"/>
      <c r="AS12" s="76"/>
      <c r="AT12" s="141"/>
      <c r="AU12" s="485"/>
      <c r="AV12" s="310"/>
      <c r="AW12" s="310"/>
      <c r="AX12" s="371" t="s">
        <v>120</v>
      </c>
      <c r="AY12" s="370"/>
      <c r="AZ12" s="306"/>
      <c r="BA12" s="307"/>
      <c r="BB12" s="371" t="s">
        <v>121</v>
      </c>
      <c r="BC12" s="310"/>
      <c r="BD12" s="372" t="s">
        <v>121</v>
      </c>
      <c r="BE12" s="140"/>
      <c r="BF12" s="76"/>
      <c r="BG12" s="310"/>
      <c r="BH12" s="310"/>
      <c r="BI12" s="412"/>
      <c r="BJ12" s="413"/>
      <c r="BK12" s="307"/>
      <c r="BL12" s="310"/>
      <c r="BM12" s="310"/>
      <c r="BN12" s="411"/>
      <c r="BO12" s="485"/>
      <c r="BP12" s="310"/>
      <c r="BQ12" s="76"/>
      <c r="BR12" s="76"/>
      <c r="BS12" s="412"/>
      <c r="BT12" s="142"/>
      <c r="BU12" s="76"/>
      <c r="BV12" s="310"/>
      <c r="BW12" s="310"/>
      <c r="BX12" s="411"/>
      <c r="BY12" s="485"/>
      <c r="BZ12" s="76"/>
      <c r="CA12" s="76"/>
      <c r="CB12" s="310"/>
      <c r="CC12" s="412"/>
      <c r="CD12" s="413"/>
      <c r="CE12" s="76"/>
      <c r="CF12" s="79"/>
      <c r="CG12" s="310"/>
      <c r="CH12" s="470" t="s">
        <v>40</v>
      </c>
      <c r="CI12" s="471" t="s">
        <v>40</v>
      </c>
      <c r="CJ12" s="202"/>
      <c r="CK12" s="202"/>
      <c r="CL12" s="202"/>
      <c r="CM12" s="203"/>
      <c r="CN12" s="366"/>
      <c r="CO12" s="366"/>
      <c r="CP12" s="366"/>
      <c r="CQ12" s="366"/>
      <c r="CR12" s="366"/>
      <c r="CS12" s="366"/>
      <c r="CT12" s="366"/>
      <c r="CU12" s="366"/>
      <c r="CV12" s="366"/>
      <c r="CW12" s="366"/>
      <c r="CX12" s="366"/>
      <c r="CY12" s="366"/>
      <c r="CZ12" s="366"/>
      <c r="DA12" s="366"/>
      <c r="DB12" s="366"/>
      <c r="DC12" s="366"/>
      <c r="DD12" s="366"/>
      <c r="DE12" s="366"/>
      <c r="DF12" s="366"/>
      <c r="DG12" s="366"/>
      <c r="DH12" s="366"/>
      <c r="DI12" s="366"/>
      <c r="DJ12" s="366"/>
      <c r="DK12" s="366"/>
      <c r="DL12" s="366"/>
      <c r="DM12" s="366"/>
      <c r="DN12" s="366"/>
    </row>
    <row r="13" spans="1:121" ht="25.5" customHeight="1" x14ac:dyDescent="0.25">
      <c r="A13" s="324">
        <v>104</v>
      </c>
      <c r="B13" s="72">
        <v>0</v>
      </c>
      <c r="C13" s="79">
        <v>4</v>
      </c>
      <c r="D13" s="79" t="s">
        <v>317</v>
      </c>
      <c r="E13" s="96" t="s">
        <v>732</v>
      </c>
      <c r="F13" s="96"/>
      <c r="G13" s="95" t="s">
        <v>318</v>
      </c>
      <c r="H13" s="97" t="s">
        <v>821</v>
      </c>
      <c r="I13" s="142">
        <v>4</v>
      </c>
      <c r="J13" s="76" t="s">
        <v>64</v>
      </c>
      <c r="K13" s="141">
        <v>16</v>
      </c>
      <c r="L13" s="367"/>
      <c r="M13" s="307"/>
      <c r="N13" s="307"/>
      <c r="O13" s="368" t="s">
        <v>122</v>
      </c>
      <c r="P13" s="369"/>
      <c r="Q13" s="274"/>
      <c r="R13" s="76"/>
      <c r="S13" s="307"/>
      <c r="T13" s="310"/>
      <c r="U13" s="412"/>
      <c r="V13" s="413"/>
      <c r="W13" s="307"/>
      <c r="X13" s="307"/>
      <c r="Y13" s="307"/>
      <c r="Z13" s="369"/>
      <c r="AA13" s="485"/>
      <c r="AB13" s="310"/>
      <c r="AC13" s="307"/>
      <c r="AD13" s="307"/>
      <c r="AE13" s="412"/>
      <c r="AF13" s="413"/>
      <c r="AG13" s="310"/>
      <c r="AH13" s="307"/>
      <c r="AI13" s="307"/>
      <c r="AJ13" s="141"/>
      <c r="AK13" s="140"/>
      <c r="AL13" s="310"/>
      <c r="AM13" s="310"/>
      <c r="AN13" s="310"/>
      <c r="AO13" s="412"/>
      <c r="AP13" s="413"/>
      <c r="AQ13" s="310"/>
      <c r="AR13" s="310"/>
      <c r="AS13" s="76"/>
      <c r="AT13" s="141"/>
      <c r="AU13" s="485"/>
      <c r="AV13" s="310"/>
      <c r="AW13" s="310"/>
      <c r="AX13" s="371" t="s">
        <v>120</v>
      </c>
      <c r="AY13" s="370"/>
      <c r="AZ13" s="306"/>
      <c r="BA13" s="307"/>
      <c r="BB13" s="371" t="s">
        <v>121</v>
      </c>
      <c r="BC13" s="310"/>
      <c r="BD13" s="372" t="s">
        <v>121</v>
      </c>
      <c r="BE13" s="140"/>
      <c r="BF13" s="76"/>
      <c r="BG13" s="310"/>
      <c r="BH13" s="310"/>
      <c r="BI13" s="412"/>
      <c r="BJ13" s="413"/>
      <c r="BK13" s="307"/>
      <c r="BL13" s="310"/>
      <c r="BM13" s="310"/>
      <c r="BN13" s="411"/>
      <c r="BO13" s="485"/>
      <c r="BP13" s="310"/>
      <c r="BQ13" s="76"/>
      <c r="BR13" s="76"/>
      <c r="BS13" s="412"/>
      <c r="BT13" s="142"/>
      <c r="BU13" s="76"/>
      <c r="BV13" s="310"/>
      <c r="BW13" s="310"/>
      <c r="BX13" s="411"/>
      <c r="BY13" s="485"/>
      <c r="BZ13" s="76"/>
      <c r="CA13" s="76"/>
      <c r="CB13" s="310"/>
      <c r="CC13" s="412"/>
      <c r="CD13" s="413"/>
      <c r="CE13" s="76"/>
      <c r="CF13" s="79"/>
      <c r="CG13" s="310"/>
      <c r="CH13" s="470" t="s">
        <v>40</v>
      </c>
      <c r="CI13" s="471" t="s">
        <v>40</v>
      </c>
      <c r="CJ13" s="202"/>
      <c r="CK13" s="202"/>
      <c r="CL13" s="202"/>
      <c r="CM13" s="203"/>
      <c r="CN13" s="366"/>
      <c r="CO13" s="366"/>
      <c r="CP13" s="366"/>
      <c r="CQ13" s="366"/>
      <c r="CR13" s="366"/>
      <c r="CS13" s="366"/>
      <c r="CT13" s="366"/>
      <c r="CU13" s="366"/>
      <c r="CV13" s="366"/>
      <c r="CW13" s="366"/>
      <c r="CX13" s="366"/>
      <c r="CY13" s="366"/>
      <c r="CZ13" s="366"/>
      <c r="DA13" s="366"/>
      <c r="DB13" s="366"/>
      <c r="DC13" s="366"/>
      <c r="DD13" s="366"/>
      <c r="DE13" s="366"/>
      <c r="DF13" s="366"/>
      <c r="DG13" s="366"/>
      <c r="DH13" s="366"/>
      <c r="DI13" s="366"/>
      <c r="DJ13" s="366"/>
      <c r="DK13" s="366"/>
      <c r="DL13" s="366"/>
      <c r="DM13" s="366"/>
      <c r="DN13" s="366"/>
    </row>
    <row r="14" spans="1:121" ht="25.5" customHeight="1" thickBot="1" x14ac:dyDescent="0.3">
      <c r="A14" s="325">
        <v>105</v>
      </c>
      <c r="B14" s="73">
        <v>0</v>
      </c>
      <c r="C14" s="74">
        <v>4</v>
      </c>
      <c r="D14" s="74" t="s">
        <v>319</v>
      </c>
      <c r="E14" s="126" t="s">
        <v>733</v>
      </c>
      <c r="F14" s="377" t="s">
        <v>1111</v>
      </c>
      <c r="G14" s="74" t="s">
        <v>86</v>
      </c>
      <c r="H14" s="135" t="s">
        <v>822</v>
      </c>
      <c r="I14" s="269">
        <v>4</v>
      </c>
      <c r="J14" s="89" t="s">
        <v>64</v>
      </c>
      <c r="K14" s="270">
        <v>16</v>
      </c>
      <c r="L14" s="383"/>
      <c r="M14" s="379"/>
      <c r="N14" s="379"/>
      <c r="O14" s="454" t="s">
        <v>122</v>
      </c>
      <c r="P14" s="382"/>
      <c r="Q14" s="275"/>
      <c r="R14" s="74"/>
      <c r="S14" s="379"/>
      <c r="T14" s="379"/>
      <c r="U14" s="380"/>
      <c r="V14" s="381"/>
      <c r="W14" s="379"/>
      <c r="X14" s="379"/>
      <c r="Y14" s="379"/>
      <c r="Z14" s="382"/>
      <c r="AA14" s="383"/>
      <c r="AB14" s="379"/>
      <c r="AC14" s="379"/>
      <c r="AD14" s="379"/>
      <c r="AE14" s="380"/>
      <c r="AF14" s="381"/>
      <c r="AG14" s="379"/>
      <c r="AH14" s="379"/>
      <c r="AI14" s="379"/>
      <c r="AJ14" s="276"/>
      <c r="AK14" s="275"/>
      <c r="AL14" s="379"/>
      <c r="AM14" s="379"/>
      <c r="AN14" s="379"/>
      <c r="AO14" s="380"/>
      <c r="AP14" s="381"/>
      <c r="AQ14" s="379"/>
      <c r="AR14" s="379"/>
      <c r="AS14" s="74"/>
      <c r="AT14" s="276"/>
      <c r="AU14" s="383"/>
      <c r="AV14" s="379"/>
      <c r="AW14" s="379"/>
      <c r="AX14" s="385" t="s">
        <v>120</v>
      </c>
      <c r="AY14" s="380"/>
      <c r="AZ14" s="381"/>
      <c r="BA14" s="379"/>
      <c r="BB14" s="385" t="s">
        <v>121</v>
      </c>
      <c r="BC14" s="379"/>
      <c r="BD14" s="378" t="s">
        <v>121</v>
      </c>
      <c r="BE14" s="275"/>
      <c r="BF14" s="74"/>
      <c r="BG14" s="379"/>
      <c r="BH14" s="379"/>
      <c r="BI14" s="380"/>
      <c r="BJ14" s="381"/>
      <c r="BK14" s="379"/>
      <c r="BL14" s="379"/>
      <c r="BM14" s="379"/>
      <c r="BN14" s="382"/>
      <c r="BO14" s="383"/>
      <c r="BP14" s="379"/>
      <c r="BQ14" s="74"/>
      <c r="BR14" s="74"/>
      <c r="BS14" s="380"/>
      <c r="BT14" s="277"/>
      <c r="BU14" s="74"/>
      <c r="BV14" s="379"/>
      <c r="BW14" s="379"/>
      <c r="BX14" s="382"/>
      <c r="BY14" s="383"/>
      <c r="BZ14" s="74"/>
      <c r="CA14" s="74"/>
      <c r="CB14" s="379"/>
      <c r="CC14" s="380"/>
      <c r="CD14" s="381"/>
      <c r="CE14" s="74"/>
      <c r="CF14" s="74"/>
      <c r="CG14" s="379"/>
      <c r="CH14" s="465" t="s">
        <v>40</v>
      </c>
      <c r="CI14" s="466" t="s">
        <v>40</v>
      </c>
      <c r="CJ14" s="206"/>
      <c r="CK14" s="206"/>
      <c r="CL14" s="206"/>
      <c r="CM14" s="207"/>
      <c r="CN14" s="366"/>
      <c r="CO14" s="366"/>
      <c r="CP14" s="366"/>
      <c r="CQ14" s="366"/>
      <c r="CR14" s="366"/>
      <c r="CS14" s="366"/>
      <c r="CT14" s="366"/>
      <c r="CU14" s="366"/>
      <c r="CV14" s="366"/>
      <c r="CW14" s="366"/>
      <c r="CX14" s="366"/>
      <c r="CY14" s="366"/>
      <c r="CZ14" s="366"/>
      <c r="DA14" s="366"/>
      <c r="DB14" s="366"/>
      <c r="DC14" s="366"/>
      <c r="DD14" s="366"/>
      <c r="DE14" s="366"/>
      <c r="DF14" s="366"/>
      <c r="DG14" s="366"/>
      <c r="DH14" s="366"/>
      <c r="DI14" s="366"/>
      <c r="DJ14" s="366"/>
      <c r="DK14" s="366"/>
      <c r="DL14" s="366"/>
      <c r="DM14" s="366"/>
      <c r="DN14" s="366"/>
    </row>
    <row r="15" spans="1:121" ht="25.5" customHeight="1" x14ac:dyDescent="0.25">
      <c r="A15" s="318">
        <v>106</v>
      </c>
      <c r="B15" s="75">
        <v>0</v>
      </c>
      <c r="C15" s="92">
        <v>4</v>
      </c>
      <c r="D15" s="92" t="s">
        <v>320</v>
      </c>
      <c r="E15" s="196" t="s">
        <v>734</v>
      </c>
      <c r="F15" s="196"/>
      <c r="G15" s="129" t="s">
        <v>87</v>
      </c>
      <c r="H15" s="181" t="s">
        <v>823</v>
      </c>
      <c r="I15" s="259">
        <v>4</v>
      </c>
      <c r="J15" s="130" t="s">
        <v>64</v>
      </c>
      <c r="K15" s="260">
        <v>16</v>
      </c>
      <c r="L15" s="308"/>
      <c r="M15" s="304"/>
      <c r="N15" s="304"/>
      <c r="O15" s="455" t="s">
        <v>122</v>
      </c>
      <c r="P15" s="359"/>
      <c r="Q15" s="272"/>
      <c r="R15" s="130"/>
      <c r="S15" s="304"/>
      <c r="T15" s="418"/>
      <c r="U15" s="420"/>
      <c r="V15" s="421"/>
      <c r="W15" s="304"/>
      <c r="X15" s="304"/>
      <c r="Y15" s="304"/>
      <c r="Z15" s="359"/>
      <c r="AA15" s="483"/>
      <c r="AB15" s="418"/>
      <c r="AC15" s="304"/>
      <c r="AD15" s="304"/>
      <c r="AE15" s="420"/>
      <c r="AF15" s="421"/>
      <c r="AG15" s="418"/>
      <c r="AH15" s="304"/>
      <c r="AI15" s="304"/>
      <c r="AJ15" s="260"/>
      <c r="AK15" s="448"/>
      <c r="AL15" s="418"/>
      <c r="AM15" s="418"/>
      <c r="AN15" s="418"/>
      <c r="AO15" s="420"/>
      <c r="AP15" s="421"/>
      <c r="AQ15" s="418"/>
      <c r="AR15" s="418"/>
      <c r="AS15" s="130"/>
      <c r="AT15" s="260"/>
      <c r="AU15" s="483"/>
      <c r="AV15" s="418"/>
      <c r="AW15" s="418"/>
      <c r="AX15" s="360" t="s">
        <v>120</v>
      </c>
      <c r="AY15" s="361"/>
      <c r="AZ15" s="362"/>
      <c r="BA15" s="304"/>
      <c r="BB15" s="360" t="s">
        <v>121</v>
      </c>
      <c r="BC15" s="418"/>
      <c r="BD15" s="365" t="s">
        <v>121</v>
      </c>
      <c r="BE15" s="448"/>
      <c r="BF15" s="130"/>
      <c r="BG15" s="418"/>
      <c r="BH15" s="418"/>
      <c r="BI15" s="420"/>
      <c r="BJ15" s="421"/>
      <c r="BK15" s="304"/>
      <c r="BL15" s="418"/>
      <c r="BM15" s="418"/>
      <c r="BN15" s="419"/>
      <c r="BO15" s="483"/>
      <c r="BP15" s="418"/>
      <c r="BQ15" s="130"/>
      <c r="BR15" s="130"/>
      <c r="BS15" s="420"/>
      <c r="BT15" s="259"/>
      <c r="BU15" s="130"/>
      <c r="BV15" s="418"/>
      <c r="BW15" s="418"/>
      <c r="BX15" s="419"/>
      <c r="BY15" s="483"/>
      <c r="BZ15" s="130"/>
      <c r="CA15" s="130"/>
      <c r="CB15" s="418"/>
      <c r="CC15" s="420"/>
      <c r="CD15" s="421"/>
      <c r="CE15" s="130"/>
      <c r="CF15" s="92"/>
      <c r="CG15" s="418"/>
      <c r="CH15" s="468" t="s">
        <v>40</v>
      </c>
      <c r="CI15" s="469" t="s">
        <v>40</v>
      </c>
      <c r="CJ15" s="210"/>
      <c r="CK15" s="210"/>
      <c r="CL15" s="210"/>
      <c r="CM15" s="211"/>
      <c r="CN15" s="366"/>
      <c r="CO15" s="366"/>
      <c r="CP15" s="366"/>
      <c r="CQ15" s="366"/>
      <c r="CR15" s="366"/>
      <c r="CS15" s="366"/>
      <c r="CT15" s="366"/>
      <c r="CU15" s="366"/>
      <c r="CV15" s="366"/>
      <c r="CW15" s="366"/>
      <c r="CX15" s="366"/>
      <c r="CY15" s="366"/>
      <c r="CZ15" s="366"/>
      <c r="DA15" s="366"/>
      <c r="DB15" s="366"/>
      <c r="DC15" s="366"/>
      <c r="DD15" s="366"/>
      <c r="DE15" s="366"/>
      <c r="DF15" s="366"/>
      <c r="DG15" s="366"/>
      <c r="DH15" s="366"/>
      <c r="DI15" s="366"/>
      <c r="DJ15" s="366"/>
      <c r="DK15" s="366"/>
      <c r="DL15" s="366"/>
      <c r="DM15" s="366"/>
      <c r="DN15" s="366"/>
    </row>
    <row r="16" spans="1:121" ht="25.5" customHeight="1" x14ac:dyDescent="0.25">
      <c r="A16" s="324">
        <v>107</v>
      </c>
      <c r="B16" s="72">
        <v>0</v>
      </c>
      <c r="C16" s="79">
        <v>4</v>
      </c>
      <c r="D16" s="79" t="s">
        <v>321</v>
      </c>
      <c r="E16" s="96" t="s">
        <v>735</v>
      </c>
      <c r="F16" s="96"/>
      <c r="G16" s="95" t="s">
        <v>88</v>
      </c>
      <c r="H16" s="97" t="s">
        <v>824</v>
      </c>
      <c r="I16" s="142">
        <v>4</v>
      </c>
      <c r="J16" s="76" t="s">
        <v>64</v>
      </c>
      <c r="K16" s="141">
        <v>16</v>
      </c>
      <c r="L16" s="367"/>
      <c r="M16" s="307"/>
      <c r="N16" s="307"/>
      <c r="O16" s="368" t="s">
        <v>122</v>
      </c>
      <c r="P16" s="369"/>
      <c r="Q16" s="274"/>
      <c r="R16" s="76"/>
      <c r="S16" s="307"/>
      <c r="T16" s="310"/>
      <c r="U16" s="412"/>
      <c r="V16" s="413"/>
      <c r="W16" s="307"/>
      <c r="X16" s="307"/>
      <c r="Y16" s="307"/>
      <c r="Z16" s="369"/>
      <c r="AA16" s="485"/>
      <c r="AB16" s="310"/>
      <c r="AC16" s="307"/>
      <c r="AD16" s="307"/>
      <c r="AE16" s="412"/>
      <c r="AF16" s="413"/>
      <c r="AG16" s="310"/>
      <c r="AH16" s="307"/>
      <c r="AI16" s="307"/>
      <c r="AJ16" s="141"/>
      <c r="AK16" s="140"/>
      <c r="AL16" s="310"/>
      <c r="AM16" s="310"/>
      <c r="AN16" s="310"/>
      <c r="AO16" s="412"/>
      <c r="AP16" s="413"/>
      <c r="AQ16" s="310"/>
      <c r="AR16" s="310"/>
      <c r="AS16" s="76"/>
      <c r="AT16" s="141"/>
      <c r="AU16" s="485"/>
      <c r="AV16" s="310"/>
      <c r="AW16" s="310"/>
      <c r="AX16" s="371" t="s">
        <v>120</v>
      </c>
      <c r="AY16" s="370"/>
      <c r="AZ16" s="306"/>
      <c r="BA16" s="307"/>
      <c r="BB16" s="371" t="s">
        <v>121</v>
      </c>
      <c r="BC16" s="310"/>
      <c r="BD16" s="372" t="s">
        <v>121</v>
      </c>
      <c r="BE16" s="140"/>
      <c r="BF16" s="76"/>
      <c r="BG16" s="310"/>
      <c r="BH16" s="310"/>
      <c r="BI16" s="412"/>
      <c r="BJ16" s="413"/>
      <c r="BK16" s="307"/>
      <c r="BL16" s="310"/>
      <c r="BM16" s="310"/>
      <c r="BN16" s="411"/>
      <c r="BO16" s="485"/>
      <c r="BP16" s="310"/>
      <c r="BQ16" s="76"/>
      <c r="BR16" s="76"/>
      <c r="BS16" s="412"/>
      <c r="BT16" s="142"/>
      <c r="BU16" s="76"/>
      <c r="BV16" s="310"/>
      <c r="BW16" s="310"/>
      <c r="BX16" s="411"/>
      <c r="BY16" s="485"/>
      <c r="BZ16" s="76"/>
      <c r="CA16" s="76"/>
      <c r="CB16" s="310"/>
      <c r="CC16" s="412"/>
      <c r="CD16" s="413"/>
      <c r="CE16" s="76"/>
      <c r="CF16" s="79"/>
      <c r="CG16" s="310"/>
      <c r="CH16" s="470" t="s">
        <v>40</v>
      </c>
      <c r="CI16" s="471" t="s">
        <v>40</v>
      </c>
      <c r="CJ16" s="202"/>
      <c r="CK16" s="202"/>
      <c r="CL16" s="202"/>
      <c r="CM16" s="203"/>
      <c r="CN16" s="366"/>
      <c r="CO16" s="366"/>
      <c r="CP16" s="366"/>
      <c r="CQ16" s="366"/>
      <c r="CR16" s="366"/>
      <c r="CS16" s="366"/>
      <c r="CT16" s="366"/>
      <c r="CU16" s="366"/>
      <c r="CV16" s="366"/>
      <c r="CW16" s="366"/>
      <c r="CX16" s="366"/>
      <c r="CY16" s="366"/>
      <c r="CZ16" s="366"/>
      <c r="DA16" s="366"/>
      <c r="DB16" s="366"/>
      <c r="DC16" s="366"/>
      <c r="DD16" s="366"/>
      <c r="DE16" s="366"/>
      <c r="DF16" s="366"/>
      <c r="DG16" s="366"/>
      <c r="DH16" s="366"/>
      <c r="DI16" s="366"/>
      <c r="DJ16" s="366"/>
      <c r="DK16" s="366"/>
      <c r="DL16" s="366"/>
      <c r="DM16" s="366"/>
      <c r="DN16" s="366"/>
    </row>
    <row r="17" spans="1:118" ht="25.5" customHeight="1" x14ac:dyDescent="0.25">
      <c r="A17" s="324">
        <v>108</v>
      </c>
      <c r="B17" s="72">
        <v>0</v>
      </c>
      <c r="C17" s="79">
        <v>4</v>
      </c>
      <c r="D17" s="79" t="s">
        <v>1076</v>
      </c>
      <c r="E17" s="96" t="s">
        <v>1078</v>
      </c>
      <c r="F17" s="96"/>
      <c r="G17" s="95" t="s">
        <v>240</v>
      </c>
      <c r="H17" s="97" t="s">
        <v>1079</v>
      </c>
      <c r="I17" s="142"/>
      <c r="J17" s="76"/>
      <c r="K17" s="141"/>
      <c r="L17" s="367"/>
      <c r="M17" s="307"/>
      <c r="N17" s="307"/>
      <c r="O17" s="307"/>
      <c r="P17" s="369"/>
      <c r="Q17" s="274"/>
      <c r="R17" s="76"/>
      <c r="S17" s="307"/>
      <c r="T17" s="310"/>
      <c r="U17" s="412"/>
      <c r="V17" s="413"/>
      <c r="W17" s="307"/>
      <c r="X17" s="307"/>
      <c r="Y17" s="307"/>
      <c r="Z17" s="369"/>
      <c r="AA17" s="485"/>
      <c r="AB17" s="310"/>
      <c r="AC17" s="307"/>
      <c r="AD17" s="307"/>
      <c r="AE17" s="412"/>
      <c r="AF17" s="413"/>
      <c r="AG17" s="310"/>
      <c r="AH17" s="307"/>
      <c r="AI17" s="307"/>
      <c r="AJ17" s="141"/>
      <c r="AK17" s="140"/>
      <c r="AL17" s="310"/>
      <c r="AM17" s="310"/>
      <c r="AN17" s="310"/>
      <c r="AO17" s="412"/>
      <c r="AP17" s="413"/>
      <c r="AQ17" s="310"/>
      <c r="AR17" s="310"/>
      <c r="AS17" s="76"/>
      <c r="AT17" s="141"/>
      <c r="AU17" s="485"/>
      <c r="AV17" s="310"/>
      <c r="AW17" s="310"/>
      <c r="AX17" s="307"/>
      <c r="AY17" s="370"/>
      <c r="AZ17" s="306"/>
      <c r="BA17" s="307"/>
      <c r="BB17" s="307"/>
      <c r="BC17" s="310"/>
      <c r="BD17" s="369"/>
      <c r="BE17" s="140"/>
      <c r="BF17" s="76"/>
      <c r="BG17" s="310"/>
      <c r="BH17" s="310"/>
      <c r="BI17" s="412"/>
      <c r="BJ17" s="413"/>
      <c r="BK17" s="307"/>
      <c r="BL17" s="310"/>
      <c r="BM17" s="310"/>
      <c r="BN17" s="411"/>
      <c r="BO17" s="485"/>
      <c r="BP17" s="310"/>
      <c r="BQ17" s="76"/>
      <c r="BR17" s="76"/>
      <c r="BS17" s="412"/>
      <c r="BT17" s="142"/>
      <c r="BU17" s="76"/>
      <c r="BV17" s="310"/>
      <c r="BW17" s="310"/>
      <c r="BX17" s="411"/>
      <c r="BY17" s="485"/>
      <c r="BZ17" s="76"/>
      <c r="CA17" s="76"/>
      <c r="CB17" s="310"/>
      <c r="CC17" s="412"/>
      <c r="CD17" s="413"/>
      <c r="CE17" s="76"/>
      <c r="CF17" s="79"/>
      <c r="CG17" s="310"/>
      <c r="CH17" s="412"/>
      <c r="CI17" s="413"/>
      <c r="CJ17" s="202"/>
      <c r="CK17" s="202"/>
      <c r="CL17" s="202"/>
      <c r="CM17" s="203"/>
      <c r="CN17" s="366"/>
      <c r="CO17" s="366"/>
      <c r="CP17" s="366"/>
      <c r="CQ17" s="366"/>
      <c r="CR17" s="366"/>
      <c r="CS17" s="366"/>
      <c r="CT17" s="366"/>
      <c r="CU17" s="366"/>
      <c r="CV17" s="366"/>
      <c r="CW17" s="366"/>
      <c r="CX17" s="366"/>
      <c r="CY17" s="366"/>
      <c r="CZ17" s="366"/>
      <c r="DA17" s="366"/>
      <c r="DB17" s="366"/>
      <c r="DC17" s="366"/>
      <c r="DD17" s="366"/>
      <c r="DE17" s="366"/>
      <c r="DF17" s="366"/>
      <c r="DG17" s="366"/>
      <c r="DH17" s="366"/>
      <c r="DI17" s="366"/>
      <c r="DJ17" s="366"/>
      <c r="DK17" s="366"/>
      <c r="DL17" s="366"/>
      <c r="DM17" s="366"/>
      <c r="DN17" s="366"/>
    </row>
    <row r="18" spans="1:118" ht="25.5" customHeight="1" x14ac:dyDescent="0.25">
      <c r="A18" s="324">
        <v>109</v>
      </c>
      <c r="B18" s="72">
        <v>0</v>
      </c>
      <c r="C18" s="79">
        <v>4</v>
      </c>
      <c r="D18" s="79" t="s">
        <v>1077</v>
      </c>
      <c r="E18" s="96" t="s">
        <v>1082</v>
      </c>
      <c r="F18" s="79"/>
      <c r="G18" s="79" t="s">
        <v>1080</v>
      </c>
      <c r="H18" s="134" t="s">
        <v>1081</v>
      </c>
      <c r="I18" s="142"/>
      <c r="J18" s="76"/>
      <c r="K18" s="141"/>
      <c r="L18" s="367"/>
      <c r="M18" s="307"/>
      <c r="N18" s="307"/>
      <c r="O18" s="307"/>
      <c r="P18" s="369"/>
      <c r="Q18" s="274"/>
      <c r="R18" s="76"/>
      <c r="S18" s="307"/>
      <c r="T18" s="310"/>
      <c r="U18" s="412"/>
      <c r="V18" s="413"/>
      <c r="W18" s="307"/>
      <c r="X18" s="307"/>
      <c r="Y18" s="307"/>
      <c r="Z18" s="369"/>
      <c r="AA18" s="485"/>
      <c r="AB18" s="310"/>
      <c r="AC18" s="307"/>
      <c r="AD18" s="307"/>
      <c r="AE18" s="412"/>
      <c r="AF18" s="413"/>
      <c r="AG18" s="310"/>
      <c r="AH18" s="307"/>
      <c r="AI18" s="307"/>
      <c r="AJ18" s="141"/>
      <c r="AK18" s="140"/>
      <c r="AL18" s="310"/>
      <c r="AM18" s="310"/>
      <c r="AN18" s="310"/>
      <c r="AO18" s="412"/>
      <c r="AP18" s="413"/>
      <c r="AQ18" s="310"/>
      <c r="AR18" s="310"/>
      <c r="AS18" s="76"/>
      <c r="AT18" s="141"/>
      <c r="AU18" s="485"/>
      <c r="AV18" s="310"/>
      <c r="AW18" s="310"/>
      <c r="AX18" s="310"/>
      <c r="AY18" s="412"/>
      <c r="AZ18" s="413"/>
      <c r="BA18" s="310"/>
      <c r="BB18" s="310"/>
      <c r="BC18" s="310"/>
      <c r="BD18" s="411"/>
      <c r="BE18" s="140"/>
      <c r="BF18" s="76"/>
      <c r="BG18" s="310"/>
      <c r="BH18" s="310"/>
      <c r="BI18" s="412"/>
      <c r="BJ18" s="413"/>
      <c r="BK18" s="310"/>
      <c r="BL18" s="310"/>
      <c r="BM18" s="310"/>
      <c r="BN18" s="411"/>
      <c r="BO18" s="485"/>
      <c r="BP18" s="310"/>
      <c r="BQ18" s="76"/>
      <c r="BR18" s="76"/>
      <c r="BS18" s="412"/>
      <c r="BT18" s="142"/>
      <c r="BU18" s="76"/>
      <c r="BV18" s="310"/>
      <c r="BW18" s="310"/>
      <c r="BX18" s="411"/>
      <c r="BY18" s="485"/>
      <c r="BZ18" s="76"/>
      <c r="CA18" s="76"/>
      <c r="CB18" s="310"/>
      <c r="CC18" s="412"/>
      <c r="CD18" s="413"/>
      <c r="CE18" s="76"/>
      <c r="CF18" s="79"/>
      <c r="CG18" s="310"/>
      <c r="CH18" s="412"/>
      <c r="CI18" s="413"/>
      <c r="CJ18" s="202"/>
      <c r="CK18" s="202"/>
      <c r="CL18" s="202"/>
      <c r="CM18" s="203"/>
      <c r="CN18" s="366"/>
      <c r="CO18" s="366"/>
      <c r="CP18" s="366"/>
      <c r="CQ18" s="366"/>
      <c r="CR18" s="366"/>
      <c r="CS18" s="366"/>
      <c r="CT18" s="366"/>
      <c r="CU18" s="366"/>
      <c r="CV18" s="366"/>
      <c r="CW18" s="366"/>
      <c r="CX18" s="366"/>
      <c r="CY18" s="366"/>
      <c r="CZ18" s="366"/>
      <c r="DA18" s="366"/>
      <c r="DB18" s="366"/>
      <c r="DC18" s="366"/>
      <c r="DD18" s="366"/>
      <c r="DE18" s="366"/>
      <c r="DF18" s="366"/>
      <c r="DG18" s="366"/>
      <c r="DH18" s="366"/>
      <c r="DI18" s="366"/>
      <c r="DJ18" s="366"/>
      <c r="DK18" s="366"/>
      <c r="DL18" s="366"/>
      <c r="DM18" s="366"/>
      <c r="DN18" s="366"/>
    </row>
    <row r="19" spans="1:118" ht="25.5" customHeight="1" thickBot="1" x14ac:dyDescent="0.3">
      <c r="A19" s="331">
        <v>110</v>
      </c>
      <c r="B19" s="82"/>
      <c r="C19" s="190"/>
      <c r="D19" s="190"/>
      <c r="E19" s="190"/>
      <c r="F19" s="190"/>
      <c r="G19" s="190"/>
      <c r="H19" s="195"/>
      <c r="I19" s="257"/>
      <c r="J19" s="99"/>
      <c r="K19" s="264"/>
      <c r="L19" s="278"/>
      <c r="M19" s="190"/>
      <c r="N19" s="190"/>
      <c r="O19" s="190"/>
      <c r="P19" s="279"/>
      <c r="Q19" s="278"/>
      <c r="R19" s="99"/>
      <c r="S19" s="190"/>
      <c r="T19" s="99"/>
      <c r="U19" s="286"/>
      <c r="V19" s="257"/>
      <c r="W19" s="190"/>
      <c r="X19" s="190"/>
      <c r="Y19" s="190"/>
      <c r="Z19" s="279"/>
      <c r="AA19" s="450"/>
      <c r="AB19" s="99"/>
      <c r="AC19" s="190"/>
      <c r="AD19" s="190"/>
      <c r="AE19" s="286"/>
      <c r="AF19" s="257"/>
      <c r="AG19" s="99"/>
      <c r="AH19" s="190"/>
      <c r="AI19" s="190"/>
      <c r="AJ19" s="264"/>
      <c r="AK19" s="450"/>
      <c r="AL19" s="99"/>
      <c r="AM19" s="99"/>
      <c r="AN19" s="99"/>
      <c r="AO19" s="286"/>
      <c r="AP19" s="257"/>
      <c r="AQ19" s="99"/>
      <c r="AR19" s="99"/>
      <c r="AS19" s="99"/>
      <c r="AT19" s="264"/>
      <c r="AU19" s="450"/>
      <c r="AV19" s="99"/>
      <c r="AW19" s="99"/>
      <c r="AX19" s="99"/>
      <c r="AY19" s="286"/>
      <c r="AZ19" s="257"/>
      <c r="BA19" s="99"/>
      <c r="BB19" s="99"/>
      <c r="BC19" s="99"/>
      <c r="BD19" s="264"/>
      <c r="BE19" s="450"/>
      <c r="BF19" s="99"/>
      <c r="BG19" s="99"/>
      <c r="BH19" s="99"/>
      <c r="BI19" s="286"/>
      <c r="BJ19" s="257"/>
      <c r="BK19" s="99"/>
      <c r="BL19" s="99"/>
      <c r="BM19" s="99"/>
      <c r="BN19" s="264"/>
      <c r="BO19" s="450"/>
      <c r="BP19" s="99"/>
      <c r="BQ19" s="99"/>
      <c r="BR19" s="99"/>
      <c r="BS19" s="286"/>
      <c r="BT19" s="257"/>
      <c r="BU19" s="99"/>
      <c r="BV19" s="99"/>
      <c r="BW19" s="99"/>
      <c r="BX19" s="264"/>
      <c r="BY19" s="450"/>
      <c r="BZ19" s="99"/>
      <c r="CA19" s="99"/>
      <c r="CB19" s="99"/>
      <c r="CC19" s="286"/>
      <c r="CD19" s="257"/>
      <c r="CE19" s="99"/>
      <c r="CF19" s="190"/>
      <c r="CG19" s="99"/>
      <c r="CH19" s="286"/>
      <c r="CI19" s="257"/>
      <c r="CJ19" s="213"/>
      <c r="CK19" s="213"/>
      <c r="CL19" s="213"/>
      <c r="CM19" s="214"/>
      <c r="CN19" s="366"/>
      <c r="CO19" s="366"/>
      <c r="CP19" s="366"/>
      <c r="CQ19" s="366"/>
      <c r="CR19" s="366"/>
      <c r="CS19" s="366"/>
      <c r="CT19" s="366"/>
      <c r="CU19" s="366"/>
      <c r="CV19" s="366"/>
      <c r="CW19" s="366"/>
      <c r="CX19" s="366"/>
      <c r="CY19" s="366"/>
      <c r="CZ19" s="366"/>
      <c r="DA19" s="366"/>
      <c r="DB19" s="366"/>
      <c r="DC19" s="366"/>
      <c r="DD19" s="366"/>
      <c r="DE19" s="366"/>
      <c r="DF19" s="366"/>
      <c r="DG19" s="366"/>
      <c r="DH19" s="366"/>
      <c r="DI19" s="366"/>
      <c r="DJ19" s="366"/>
      <c r="DK19" s="366"/>
      <c r="DL19" s="366"/>
      <c r="DM19" s="366"/>
      <c r="DN19" s="366"/>
    </row>
    <row r="20" spans="1:118" ht="25.5" customHeight="1" x14ac:dyDescent="0.25">
      <c r="A20" s="332">
        <v>111</v>
      </c>
      <c r="B20" s="85"/>
      <c r="C20" s="87"/>
      <c r="D20" s="87"/>
      <c r="E20" s="121" t="s">
        <v>634</v>
      </c>
      <c r="F20" s="85"/>
      <c r="G20" s="87"/>
      <c r="H20" s="194"/>
      <c r="I20" s="139" t="s">
        <v>785</v>
      </c>
      <c r="J20" s="103"/>
      <c r="K20" s="137"/>
      <c r="L20" s="281"/>
      <c r="M20" s="87"/>
      <c r="N20" s="87"/>
      <c r="O20" s="87"/>
      <c r="P20" s="282"/>
      <c r="Q20" s="281"/>
      <c r="R20" s="87"/>
      <c r="S20" s="87"/>
      <c r="T20" s="87"/>
      <c r="U20" s="194"/>
      <c r="V20" s="283"/>
      <c r="W20" s="87"/>
      <c r="X20" s="87"/>
      <c r="Y20" s="87"/>
      <c r="Z20" s="282"/>
      <c r="AA20" s="281"/>
      <c r="AB20" s="87"/>
      <c r="AC20" s="87"/>
      <c r="AD20" s="87"/>
      <c r="AE20" s="194"/>
      <c r="AF20" s="283"/>
      <c r="AG20" s="87"/>
      <c r="AH20" s="87"/>
      <c r="AI20" s="87"/>
      <c r="AJ20" s="282"/>
      <c r="AK20" s="281"/>
      <c r="AL20" s="87"/>
      <c r="AM20" s="87"/>
      <c r="AN20" s="87"/>
      <c r="AO20" s="194"/>
      <c r="AP20" s="283"/>
      <c r="AQ20" s="87"/>
      <c r="AR20" s="87"/>
      <c r="AS20" s="87"/>
      <c r="AT20" s="282"/>
      <c r="AU20" s="281"/>
      <c r="AV20" s="87"/>
      <c r="AW20" s="87"/>
      <c r="AX20" s="87"/>
      <c r="AY20" s="194"/>
      <c r="AZ20" s="283"/>
      <c r="BA20" s="87"/>
      <c r="BB20" s="87"/>
      <c r="BC20" s="87"/>
      <c r="BD20" s="282"/>
      <c r="BE20" s="281"/>
      <c r="BF20" s="87"/>
      <c r="BG20" s="87"/>
      <c r="BH20" s="87"/>
      <c r="BI20" s="194"/>
      <c r="BJ20" s="283"/>
      <c r="BK20" s="87"/>
      <c r="BL20" s="87"/>
      <c r="BM20" s="87"/>
      <c r="BN20" s="282"/>
      <c r="BO20" s="281"/>
      <c r="BP20" s="87"/>
      <c r="BQ20" s="87"/>
      <c r="BR20" s="87"/>
      <c r="BS20" s="194"/>
      <c r="BT20" s="283"/>
      <c r="BU20" s="87"/>
      <c r="BV20" s="87"/>
      <c r="BW20" s="87"/>
      <c r="BX20" s="282"/>
      <c r="BY20" s="281"/>
      <c r="BZ20" s="87"/>
      <c r="CA20" s="87"/>
      <c r="CB20" s="87"/>
      <c r="CC20" s="194"/>
      <c r="CD20" s="283"/>
      <c r="CE20" s="87"/>
      <c r="CF20" s="87"/>
      <c r="CG20" s="87"/>
      <c r="CH20" s="194" t="s">
        <v>785</v>
      </c>
      <c r="CI20" s="283" t="s">
        <v>785</v>
      </c>
      <c r="CJ20" s="217"/>
      <c r="CK20" s="217"/>
      <c r="CL20" s="217"/>
      <c r="CM20" s="218"/>
      <c r="CN20" s="366"/>
      <c r="CO20" s="366"/>
      <c r="CP20" s="366"/>
      <c r="CQ20" s="366"/>
      <c r="CR20" s="366"/>
      <c r="CS20" s="366"/>
      <c r="CT20" s="366"/>
      <c r="CU20" s="366"/>
      <c r="CV20" s="366"/>
      <c r="CW20" s="366"/>
      <c r="CX20" s="366"/>
      <c r="CY20" s="366"/>
      <c r="CZ20" s="366"/>
      <c r="DA20" s="366"/>
      <c r="DB20" s="366"/>
      <c r="DC20" s="366"/>
      <c r="DD20" s="366"/>
      <c r="DE20" s="366"/>
      <c r="DF20" s="366"/>
      <c r="DG20" s="366"/>
      <c r="DH20" s="366"/>
      <c r="DI20" s="366"/>
      <c r="DJ20" s="366"/>
      <c r="DK20" s="366"/>
      <c r="DL20" s="366"/>
      <c r="DM20" s="366"/>
      <c r="DN20" s="366"/>
    </row>
    <row r="21" spans="1:118" ht="25.5" customHeight="1" x14ac:dyDescent="0.2">
      <c r="A21" s="324">
        <v>112</v>
      </c>
      <c r="B21" s="72">
        <v>0</v>
      </c>
      <c r="C21" s="72">
        <v>2</v>
      </c>
      <c r="D21" s="72" t="s">
        <v>981</v>
      </c>
      <c r="E21" s="80" t="s">
        <v>982</v>
      </c>
      <c r="F21" s="72"/>
      <c r="G21" s="72" t="s">
        <v>983</v>
      </c>
      <c r="H21" s="78" t="s">
        <v>1089</v>
      </c>
      <c r="I21" s="142"/>
      <c r="J21" s="76"/>
      <c r="K21" s="141"/>
      <c r="L21" s="367"/>
      <c r="M21" s="307"/>
      <c r="N21" s="307"/>
      <c r="O21" s="307"/>
      <c r="P21" s="369"/>
      <c r="Q21" s="274"/>
      <c r="R21" s="79"/>
      <c r="S21" s="307"/>
      <c r="T21" s="307"/>
      <c r="U21" s="370"/>
      <c r="V21" s="306"/>
      <c r="W21" s="307"/>
      <c r="X21" s="307"/>
      <c r="Y21" s="307"/>
      <c r="Z21" s="369"/>
      <c r="AA21" s="367"/>
      <c r="AB21" s="307"/>
      <c r="AC21" s="307"/>
      <c r="AD21" s="307"/>
      <c r="AE21" s="370"/>
      <c r="AF21" s="306"/>
      <c r="AG21" s="307"/>
      <c r="AH21" s="307"/>
      <c r="AI21" s="307"/>
      <c r="AJ21" s="178"/>
      <c r="AK21" s="274"/>
      <c r="AL21" s="307"/>
      <c r="AM21" s="307"/>
      <c r="AN21" s="307"/>
      <c r="AO21" s="370"/>
      <c r="AP21" s="306"/>
      <c r="AQ21" s="307"/>
      <c r="AR21" s="307"/>
      <c r="AS21" s="79"/>
      <c r="AT21" s="178"/>
      <c r="AU21" s="367"/>
      <c r="AV21" s="307"/>
      <c r="AW21" s="307"/>
      <c r="AX21" s="307"/>
      <c r="AY21" s="370"/>
      <c r="AZ21" s="306"/>
      <c r="BA21" s="307"/>
      <c r="BB21" s="307"/>
      <c r="BC21" s="307"/>
      <c r="BD21" s="369"/>
      <c r="BE21" s="274"/>
      <c r="BF21" s="79"/>
      <c r="BG21" s="307"/>
      <c r="BH21" s="307"/>
      <c r="BI21" s="370"/>
      <c r="BJ21" s="306"/>
      <c r="BK21" s="307"/>
      <c r="BL21" s="307"/>
      <c r="BM21" s="307"/>
      <c r="BN21" s="369"/>
      <c r="BO21" s="367"/>
      <c r="BP21" s="307"/>
      <c r="BQ21" s="79"/>
      <c r="BR21" s="79"/>
      <c r="BS21" s="370"/>
      <c r="BT21" s="261"/>
      <c r="BU21" s="79"/>
      <c r="BV21" s="307"/>
      <c r="BW21" s="307"/>
      <c r="BX21" s="369"/>
      <c r="BY21" s="367"/>
      <c r="BZ21" s="79"/>
      <c r="CA21" s="79"/>
      <c r="CB21" s="307"/>
      <c r="CC21" s="370"/>
      <c r="CD21" s="306"/>
      <c r="CE21" s="79"/>
      <c r="CF21" s="79"/>
      <c r="CG21" s="307"/>
      <c r="CH21" s="370"/>
      <c r="CI21" s="306"/>
      <c r="CJ21" s="202"/>
      <c r="CK21" s="202"/>
      <c r="CL21" s="202"/>
      <c r="CM21" s="203"/>
    </row>
    <row r="22" spans="1:118" ht="25.5" customHeight="1" x14ac:dyDescent="0.2">
      <c r="A22" s="324">
        <v>113</v>
      </c>
      <c r="B22" s="72">
        <v>0</v>
      </c>
      <c r="C22" s="72">
        <v>2</v>
      </c>
      <c r="D22" s="72" t="s">
        <v>322</v>
      </c>
      <c r="E22" s="80" t="s">
        <v>736</v>
      </c>
      <c r="F22" s="76"/>
      <c r="G22" s="72" t="s">
        <v>89</v>
      </c>
      <c r="H22" s="78" t="s">
        <v>737</v>
      </c>
      <c r="I22" s="142">
        <v>5</v>
      </c>
      <c r="J22" s="76"/>
      <c r="K22" s="141">
        <v>5</v>
      </c>
      <c r="L22" s="446"/>
      <c r="M22" s="297"/>
      <c r="N22" s="297"/>
      <c r="O22" s="297"/>
      <c r="P22" s="372" t="s">
        <v>122</v>
      </c>
      <c r="Q22" s="274"/>
      <c r="R22" s="79"/>
      <c r="S22" s="307"/>
      <c r="T22" s="307"/>
      <c r="U22" s="370"/>
      <c r="V22" s="306"/>
      <c r="W22" s="307"/>
      <c r="X22" s="307"/>
      <c r="Y22" s="307"/>
      <c r="Z22" s="369"/>
      <c r="AA22" s="367"/>
      <c r="AB22" s="307"/>
      <c r="AC22" s="307"/>
      <c r="AD22" s="307"/>
      <c r="AE22" s="370"/>
      <c r="AF22" s="306"/>
      <c r="AG22" s="307"/>
      <c r="AH22" s="307"/>
      <c r="AI22" s="307"/>
      <c r="AJ22" s="178"/>
      <c r="AK22" s="274"/>
      <c r="AL22" s="307"/>
      <c r="AM22" s="307"/>
      <c r="AN22" s="307"/>
      <c r="AO22" s="370"/>
      <c r="AP22" s="306"/>
      <c r="AQ22" s="307"/>
      <c r="AR22" s="307"/>
      <c r="AS22" s="79"/>
      <c r="AT22" s="178"/>
      <c r="AU22" s="367"/>
      <c r="AV22" s="307"/>
      <c r="AW22" s="307"/>
      <c r="AX22" s="307"/>
      <c r="AY22" s="370"/>
      <c r="AZ22" s="306"/>
      <c r="BA22" s="307"/>
      <c r="BB22" s="307"/>
      <c r="BC22" s="307"/>
      <c r="BD22" s="369"/>
      <c r="BE22" s="274"/>
      <c r="BF22" s="79"/>
      <c r="BG22" s="307"/>
      <c r="BH22" s="307"/>
      <c r="BI22" s="370"/>
      <c r="BJ22" s="373" t="s">
        <v>120</v>
      </c>
      <c r="BK22" s="307"/>
      <c r="BL22" s="307"/>
      <c r="BM22" s="307"/>
      <c r="BN22" s="369"/>
      <c r="BO22" s="367"/>
      <c r="BP22" s="371" t="s">
        <v>121</v>
      </c>
      <c r="BQ22" s="79"/>
      <c r="BR22" s="79"/>
      <c r="BS22" s="370"/>
      <c r="BT22" s="261"/>
      <c r="BU22" s="79"/>
      <c r="BV22" s="307"/>
      <c r="BW22" s="307"/>
      <c r="BX22" s="369"/>
      <c r="BY22" s="367"/>
      <c r="BZ22" s="79"/>
      <c r="CA22" s="79"/>
      <c r="CB22" s="307"/>
      <c r="CC22" s="370"/>
      <c r="CD22" s="306"/>
      <c r="CE22" s="79"/>
      <c r="CF22" s="79"/>
      <c r="CG22" s="307"/>
      <c r="CH22" s="374" t="s">
        <v>40</v>
      </c>
      <c r="CI22" s="373" t="s">
        <v>40</v>
      </c>
      <c r="CJ22" s="202"/>
      <c r="CK22" s="202"/>
      <c r="CL22" s="202"/>
      <c r="CM22" s="203"/>
    </row>
    <row r="23" spans="1:118" ht="25.5" customHeight="1" x14ac:dyDescent="0.2">
      <c r="A23" s="324">
        <v>114</v>
      </c>
      <c r="B23" s="72">
        <v>0</v>
      </c>
      <c r="C23" s="72">
        <v>2</v>
      </c>
      <c r="D23" s="72" t="s">
        <v>323</v>
      </c>
      <c r="E23" s="80" t="s">
        <v>738</v>
      </c>
      <c r="F23" s="76"/>
      <c r="G23" s="72" t="s">
        <v>90</v>
      </c>
      <c r="H23" s="78" t="s">
        <v>590</v>
      </c>
      <c r="I23" s="142"/>
      <c r="J23" s="76"/>
      <c r="K23" s="141"/>
      <c r="L23" s="367"/>
      <c r="M23" s="307"/>
      <c r="N23" s="307"/>
      <c r="O23" s="307"/>
      <c r="P23" s="369"/>
      <c r="Q23" s="274"/>
      <c r="R23" s="79"/>
      <c r="S23" s="307"/>
      <c r="T23" s="307"/>
      <c r="U23" s="370"/>
      <c r="V23" s="306"/>
      <c r="W23" s="307"/>
      <c r="X23" s="307"/>
      <c r="Y23" s="307"/>
      <c r="Z23" s="369"/>
      <c r="AA23" s="367"/>
      <c r="AB23" s="307"/>
      <c r="AC23" s="307"/>
      <c r="AD23" s="307"/>
      <c r="AE23" s="370"/>
      <c r="AF23" s="306"/>
      <c r="AG23" s="307"/>
      <c r="AH23" s="307"/>
      <c r="AI23" s="307"/>
      <c r="AJ23" s="178"/>
      <c r="AK23" s="274"/>
      <c r="AL23" s="307"/>
      <c r="AM23" s="307"/>
      <c r="AN23" s="307"/>
      <c r="AO23" s="370"/>
      <c r="AP23" s="306"/>
      <c r="AQ23" s="307"/>
      <c r="AR23" s="307"/>
      <c r="AS23" s="79"/>
      <c r="AT23" s="178"/>
      <c r="AU23" s="367"/>
      <c r="AV23" s="307"/>
      <c r="AW23" s="307"/>
      <c r="AX23" s="307"/>
      <c r="AY23" s="370"/>
      <c r="AZ23" s="306"/>
      <c r="BA23" s="307"/>
      <c r="BB23" s="307"/>
      <c r="BC23" s="307"/>
      <c r="BD23" s="369"/>
      <c r="BE23" s="274"/>
      <c r="BF23" s="79"/>
      <c r="BG23" s="307"/>
      <c r="BH23" s="307"/>
      <c r="BI23" s="370"/>
      <c r="BJ23" s="306"/>
      <c r="BK23" s="307"/>
      <c r="BL23" s="307"/>
      <c r="BM23" s="307"/>
      <c r="BN23" s="369"/>
      <c r="BO23" s="367"/>
      <c r="BP23" s="307"/>
      <c r="BQ23" s="79"/>
      <c r="BR23" s="79"/>
      <c r="BS23" s="370"/>
      <c r="BT23" s="261"/>
      <c r="BU23" s="79"/>
      <c r="BV23" s="307"/>
      <c r="BW23" s="307"/>
      <c r="BX23" s="369"/>
      <c r="BY23" s="367"/>
      <c r="BZ23" s="79"/>
      <c r="CA23" s="79"/>
      <c r="CB23" s="307"/>
      <c r="CC23" s="370"/>
      <c r="CD23" s="306"/>
      <c r="CE23" s="79"/>
      <c r="CF23" s="79"/>
      <c r="CG23" s="307"/>
      <c r="CH23" s="370"/>
      <c r="CI23" s="306"/>
      <c r="CJ23" s="202"/>
      <c r="CK23" s="202"/>
      <c r="CL23" s="202"/>
      <c r="CM23" s="203"/>
    </row>
    <row r="24" spans="1:118" ht="25.5" customHeight="1" thickBot="1" x14ac:dyDescent="0.25">
      <c r="A24" s="325">
        <v>115</v>
      </c>
      <c r="B24" s="73">
        <v>0</v>
      </c>
      <c r="C24" s="73">
        <v>2</v>
      </c>
      <c r="D24" s="73" t="s">
        <v>324</v>
      </c>
      <c r="E24" s="90" t="s">
        <v>739</v>
      </c>
      <c r="F24" s="73"/>
      <c r="G24" s="73" t="s">
        <v>740</v>
      </c>
      <c r="H24" s="91" t="s">
        <v>741</v>
      </c>
      <c r="I24" s="269">
        <v>5</v>
      </c>
      <c r="J24" s="89"/>
      <c r="K24" s="270">
        <v>5</v>
      </c>
      <c r="L24" s="376"/>
      <c r="M24" s="377"/>
      <c r="N24" s="377"/>
      <c r="O24" s="377"/>
      <c r="P24" s="378" t="s">
        <v>122</v>
      </c>
      <c r="Q24" s="275"/>
      <c r="R24" s="74"/>
      <c r="S24" s="379"/>
      <c r="T24" s="379"/>
      <c r="U24" s="380"/>
      <c r="V24" s="381"/>
      <c r="W24" s="379"/>
      <c r="X24" s="379"/>
      <c r="Y24" s="379"/>
      <c r="Z24" s="382"/>
      <c r="AA24" s="383"/>
      <c r="AB24" s="379"/>
      <c r="AC24" s="379"/>
      <c r="AD24" s="379"/>
      <c r="AE24" s="380"/>
      <c r="AF24" s="381"/>
      <c r="AG24" s="379"/>
      <c r="AH24" s="379"/>
      <c r="AI24" s="379"/>
      <c r="AJ24" s="276"/>
      <c r="AK24" s="275"/>
      <c r="AL24" s="379"/>
      <c r="AM24" s="379"/>
      <c r="AN24" s="379"/>
      <c r="AO24" s="380"/>
      <c r="AP24" s="381"/>
      <c r="AQ24" s="379"/>
      <c r="AR24" s="379"/>
      <c r="AS24" s="74"/>
      <c r="AT24" s="276"/>
      <c r="AU24" s="383"/>
      <c r="AV24" s="379"/>
      <c r="AW24" s="379"/>
      <c r="AX24" s="379"/>
      <c r="AY24" s="380"/>
      <c r="AZ24" s="381"/>
      <c r="BA24" s="379"/>
      <c r="BB24" s="379"/>
      <c r="BC24" s="379"/>
      <c r="BD24" s="382"/>
      <c r="BE24" s="275"/>
      <c r="BF24" s="74"/>
      <c r="BG24" s="379"/>
      <c r="BH24" s="379"/>
      <c r="BI24" s="380"/>
      <c r="BJ24" s="384" t="s">
        <v>120</v>
      </c>
      <c r="BK24" s="379"/>
      <c r="BL24" s="379"/>
      <c r="BM24" s="379"/>
      <c r="BN24" s="382"/>
      <c r="BO24" s="383"/>
      <c r="BP24" s="385" t="s">
        <v>121</v>
      </c>
      <c r="BQ24" s="74"/>
      <c r="BR24" s="74"/>
      <c r="BS24" s="380"/>
      <c r="BT24" s="277"/>
      <c r="BU24" s="74"/>
      <c r="BV24" s="379"/>
      <c r="BW24" s="379"/>
      <c r="BX24" s="382"/>
      <c r="BY24" s="383"/>
      <c r="BZ24" s="74"/>
      <c r="CA24" s="74"/>
      <c r="CB24" s="379"/>
      <c r="CC24" s="380"/>
      <c r="CD24" s="381"/>
      <c r="CE24" s="74"/>
      <c r="CF24" s="74"/>
      <c r="CG24" s="379"/>
      <c r="CH24" s="386" t="s">
        <v>40</v>
      </c>
      <c r="CI24" s="384" t="s">
        <v>40</v>
      </c>
      <c r="CJ24" s="206"/>
      <c r="CK24" s="206"/>
      <c r="CL24" s="206"/>
      <c r="CM24" s="207"/>
    </row>
    <row r="25" spans="1:118" ht="25.5" customHeight="1" x14ac:dyDescent="0.2">
      <c r="A25" s="318">
        <v>116</v>
      </c>
      <c r="B25" s="75">
        <v>0</v>
      </c>
      <c r="C25" s="92">
        <v>2</v>
      </c>
      <c r="D25" s="92" t="s">
        <v>325</v>
      </c>
      <c r="E25" s="93" t="s">
        <v>742</v>
      </c>
      <c r="F25" s="130" t="s">
        <v>1104</v>
      </c>
      <c r="G25" s="92" t="s">
        <v>91</v>
      </c>
      <c r="H25" s="113" t="s">
        <v>825</v>
      </c>
      <c r="I25" s="259"/>
      <c r="J25" s="130"/>
      <c r="K25" s="260"/>
      <c r="L25" s="308"/>
      <c r="M25" s="304"/>
      <c r="N25" s="304"/>
      <c r="O25" s="304"/>
      <c r="P25" s="359"/>
      <c r="Q25" s="272"/>
      <c r="R25" s="130"/>
      <c r="S25" s="304"/>
      <c r="T25" s="418"/>
      <c r="U25" s="420"/>
      <c r="V25" s="421"/>
      <c r="W25" s="304"/>
      <c r="X25" s="304"/>
      <c r="Y25" s="304"/>
      <c r="Z25" s="359"/>
      <c r="AA25" s="483"/>
      <c r="AB25" s="418"/>
      <c r="AC25" s="304"/>
      <c r="AD25" s="304"/>
      <c r="AE25" s="420"/>
      <c r="AF25" s="421"/>
      <c r="AG25" s="418"/>
      <c r="AH25" s="304"/>
      <c r="AI25" s="304"/>
      <c r="AJ25" s="260"/>
      <c r="AK25" s="448"/>
      <c r="AL25" s="418"/>
      <c r="AM25" s="418"/>
      <c r="AN25" s="418"/>
      <c r="AO25" s="420"/>
      <c r="AP25" s="421"/>
      <c r="AQ25" s="418"/>
      <c r="AR25" s="418"/>
      <c r="AS25" s="130"/>
      <c r="AT25" s="260"/>
      <c r="AU25" s="483"/>
      <c r="AV25" s="418"/>
      <c r="AW25" s="418"/>
      <c r="AX25" s="418"/>
      <c r="AY25" s="420"/>
      <c r="AZ25" s="421"/>
      <c r="BA25" s="418"/>
      <c r="BB25" s="418"/>
      <c r="BC25" s="418"/>
      <c r="BD25" s="419"/>
      <c r="BE25" s="448"/>
      <c r="BF25" s="130"/>
      <c r="BG25" s="418"/>
      <c r="BH25" s="418"/>
      <c r="BI25" s="420"/>
      <c r="BJ25" s="362"/>
      <c r="BK25" s="418"/>
      <c r="BL25" s="418"/>
      <c r="BM25" s="304"/>
      <c r="BN25" s="359"/>
      <c r="BO25" s="308"/>
      <c r="BP25" s="304"/>
      <c r="BQ25" s="130"/>
      <c r="BR25" s="130"/>
      <c r="BS25" s="420"/>
      <c r="BT25" s="259"/>
      <c r="BU25" s="130"/>
      <c r="BV25" s="418"/>
      <c r="BW25" s="418"/>
      <c r="BX25" s="419"/>
      <c r="BY25" s="483"/>
      <c r="BZ25" s="130"/>
      <c r="CA25" s="130"/>
      <c r="CB25" s="418"/>
      <c r="CC25" s="420"/>
      <c r="CD25" s="421"/>
      <c r="CE25" s="130"/>
      <c r="CF25" s="92"/>
      <c r="CG25" s="418"/>
      <c r="CH25" s="468" t="s">
        <v>40</v>
      </c>
      <c r="CI25" s="469" t="s">
        <v>40</v>
      </c>
      <c r="CJ25" s="210"/>
      <c r="CK25" s="210"/>
      <c r="CL25" s="210"/>
      <c r="CM25" s="211"/>
    </row>
    <row r="26" spans="1:118" ht="25.5" customHeight="1" x14ac:dyDescent="0.2">
      <c r="A26" s="324">
        <v>117</v>
      </c>
      <c r="B26" s="72">
        <v>0</v>
      </c>
      <c r="C26" s="79">
        <v>2</v>
      </c>
      <c r="D26" s="79" t="s">
        <v>325</v>
      </c>
      <c r="E26" s="77" t="s">
        <v>743</v>
      </c>
      <c r="F26" s="76" t="s">
        <v>1103</v>
      </c>
      <c r="G26" s="79" t="s">
        <v>91</v>
      </c>
      <c r="H26" s="134" t="s">
        <v>826</v>
      </c>
      <c r="I26" s="142">
        <v>5</v>
      </c>
      <c r="J26" s="76"/>
      <c r="K26" s="141"/>
      <c r="L26" s="446"/>
      <c r="M26" s="297"/>
      <c r="N26" s="297"/>
      <c r="O26" s="297"/>
      <c r="P26" s="372" t="s">
        <v>122</v>
      </c>
      <c r="Q26" s="274"/>
      <c r="R26" s="79"/>
      <c r="S26" s="307"/>
      <c r="T26" s="307"/>
      <c r="U26" s="370"/>
      <c r="V26" s="306"/>
      <c r="W26" s="307"/>
      <c r="X26" s="307"/>
      <c r="Y26" s="307"/>
      <c r="Z26" s="369"/>
      <c r="AA26" s="367"/>
      <c r="AB26" s="307"/>
      <c r="AC26" s="307"/>
      <c r="AD26" s="307"/>
      <c r="AE26" s="370"/>
      <c r="AF26" s="306"/>
      <c r="AG26" s="307"/>
      <c r="AH26" s="307"/>
      <c r="AI26" s="307"/>
      <c r="AJ26" s="178"/>
      <c r="AK26" s="274"/>
      <c r="AL26" s="307"/>
      <c r="AM26" s="307"/>
      <c r="AN26" s="307"/>
      <c r="AO26" s="370"/>
      <c r="AP26" s="306"/>
      <c r="AQ26" s="307"/>
      <c r="AR26" s="307"/>
      <c r="AS26" s="79"/>
      <c r="AT26" s="178"/>
      <c r="AU26" s="367"/>
      <c r="AV26" s="307"/>
      <c r="AW26" s="307"/>
      <c r="AX26" s="307"/>
      <c r="AY26" s="370"/>
      <c r="AZ26" s="306"/>
      <c r="BA26" s="307"/>
      <c r="BB26" s="307"/>
      <c r="BC26" s="307"/>
      <c r="BD26" s="369"/>
      <c r="BE26" s="274"/>
      <c r="BF26" s="79"/>
      <c r="BG26" s="307"/>
      <c r="BH26" s="307"/>
      <c r="BI26" s="370"/>
      <c r="BJ26" s="373" t="s">
        <v>120</v>
      </c>
      <c r="BK26" s="307"/>
      <c r="BL26" s="307"/>
      <c r="BM26" s="307"/>
      <c r="BN26" s="369"/>
      <c r="BO26" s="367"/>
      <c r="BP26" s="371" t="s">
        <v>121</v>
      </c>
      <c r="BQ26" s="79"/>
      <c r="BR26" s="79"/>
      <c r="BS26" s="370"/>
      <c r="BT26" s="261"/>
      <c r="BU26" s="79"/>
      <c r="BV26" s="307"/>
      <c r="BW26" s="307"/>
      <c r="BX26" s="369"/>
      <c r="BY26" s="367"/>
      <c r="BZ26" s="79"/>
      <c r="CA26" s="79"/>
      <c r="CB26" s="307"/>
      <c r="CC26" s="370"/>
      <c r="CD26" s="306"/>
      <c r="CE26" s="79"/>
      <c r="CF26" s="79"/>
      <c r="CG26" s="307"/>
      <c r="CH26" s="374" t="s">
        <v>40</v>
      </c>
      <c r="CI26" s="373" t="s">
        <v>40</v>
      </c>
      <c r="CJ26" s="202"/>
      <c r="CK26" s="202"/>
      <c r="CL26" s="202"/>
      <c r="CM26" s="203"/>
    </row>
    <row r="27" spans="1:118" ht="25.5" customHeight="1" x14ac:dyDescent="0.2">
      <c r="A27" s="324">
        <v>118</v>
      </c>
      <c r="B27" s="72">
        <v>0</v>
      </c>
      <c r="C27" s="79">
        <v>2</v>
      </c>
      <c r="D27" s="79" t="s">
        <v>325</v>
      </c>
      <c r="E27" s="77" t="s">
        <v>938</v>
      </c>
      <c r="F27" s="76" t="s">
        <v>714</v>
      </c>
      <c r="G27" s="79" t="s">
        <v>91</v>
      </c>
      <c r="H27" s="134" t="s">
        <v>939</v>
      </c>
      <c r="I27" s="142"/>
      <c r="J27" s="76"/>
      <c r="K27" s="141"/>
      <c r="L27" s="367"/>
      <c r="M27" s="307"/>
      <c r="N27" s="307"/>
      <c r="O27" s="307"/>
      <c r="P27" s="369"/>
      <c r="Q27" s="274"/>
      <c r="R27" s="76"/>
      <c r="S27" s="307"/>
      <c r="T27" s="310"/>
      <c r="U27" s="412"/>
      <c r="V27" s="413"/>
      <c r="W27" s="307"/>
      <c r="X27" s="307"/>
      <c r="Y27" s="307"/>
      <c r="Z27" s="369"/>
      <c r="AA27" s="485"/>
      <c r="AB27" s="310"/>
      <c r="AC27" s="307"/>
      <c r="AD27" s="307"/>
      <c r="AE27" s="412"/>
      <c r="AF27" s="413"/>
      <c r="AG27" s="310"/>
      <c r="AH27" s="307"/>
      <c r="AI27" s="307"/>
      <c r="AJ27" s="141"/>
      <c r="AK27" s="140"/>
      <c r="AL27" s="310"/>
      <c r="AM27" s="310"/>
      <c r="AN27" s="310"/>
      <c r="AO27" s="412"/>
      <c r="AP27" s="413"/>
      <c r="AQ27" s="310"/>
      <c r="AR27" s="310"/>
      <c r="AS27" s="76"/>
      <c r="AT27" s="141"/>
      <c r="AU27" s="485"/>
      <c r="AV27" s="310"/>
      <c r="AW27" s="310"/>
      <c r="AX27" s="310"/>
      <c r="AY27" s="412"/>
      <c r="AZ27" s="413"/>
      <c r="BA27" s="310"/>
      <c r="BB27" s="310"/>
      <c r="BC27" s="310"/>
      <c r="BD27" s="411"/>
      <c r="BE27" s="140"/>
      <c r="BF27" s="76"/>
      <c r="BG27" s="310"/>
      <c r="BH27" s="310"/>
      <c r="BI27" s="412"/>
      <c r="BJ27" s="306"/>
      <c r="BK27" s="310"/>
      <c r="BL27" s="307"/>
      <c r="BM27" s="307"/>
      <c r="BN27" s="369"/>
      <c r="BO27" s="367"/>
      <c r="BP27" s="307"/>
      <c r="BQ27" s="76"/>
      <c r="BR27" s="76"/>
      <c r="BS27" s="412"/>
      <c r="BT27" s="142"/>
      <c r="BU27" s="76"/>
      <c r="BV27" s="310"/>
      <c r="BW27" s="310"/>
      <c r="BX27" s="411"/>
      <c r="BY27" s="485"/>
      <c r="BZ27" s="76"/>
      <c r="CA27" s="76"/>
      <c r="CB27" s="310"/>
      <c r="CC27" s="412"/>
      <c r="CD27" s="413"/>
      <c r="CE27" s="76"/>
      <c r="CF27" s="79"/>
      <c r="CG27" s="310"/>
      <c r="CH27" s="470" t="s">
        <v>40</v>
      </c>
      <c r="CI27" s="471" t="s">
        <v>40</v>
      </c>
      <c r="CJ27" s="202"/>
      <c r="CK27" s="202"/>
      <c r="CL27" s="202"/>
      <c r="CM27" s="203"/>
    </row>
    <row r="28" spans="1:118" ht="25.5" customHeight="1" x14ac:dyDescent="0.2">
      <c r="A28" s="324">
        <v>119</v>
      </c>
      <c r="B28" s="72">
        <v>0</v>
      </c>
      <c r="C28" s="79">
        <v>2</v>
      </c>
      <c r="D28" s="79" t="s">
        <v>326</v>
      </c>
      <c r="E28" s="77" t="s">
        <v>744</v>
      </c>
      <c r="F28" s="76" t="s">
        <v>716</v>
      </c>
      <c r="G28" s="79" t="s">
        <v>92</v>
      </c>
      <c r="H28" s="134" t="s">
        <v>827</v>
      </c>
      <c r="I28" s="142">
        <v>5</v>
      </c>
      <c r="J28" s="76"/>
      <c r="K28" s="141"/>
      <c r="L28" s="446"/>
      <c r="M28" s="297"/>
      <c r="N28" s="297"/>
      <c r="O28" s="297"/>
      <c r="P28" s="372" t="s">
        <v>122</v>
      </c>
      <c r="Q28" s="274"/>
      <c r="R28" s="76"/>
      <c r="S28" s="310"/>
      <c r="T28" s="307"/>
      <c r="U28" s="370"/>
      <c r="V28" s="306"/>
      <c r="W28" s="310"/>
      <c r="X28" s="310"/>
      <c r="Y28" s="310"/>
      <c r="Z28" s="411"/>
      <c r="AA28" s="367"/>
      <c r="AB28" s="307"/>
      <c r="AC28" s="310"/>
      <c r="AD28" s="310"/>
      <c r="AE28" s="412"/>
      <c r="AF28" s="413"/>
      <c r="AG28" s="310"/>
      <c r="AH28" s="310"/>
      <c r="AI28" s="310"/>
      <c r="AJ28" s="141"/>
      <c r="AK28" s="140"/>
      <c r="AL28" s="310"/>
      <c r="AM28" s="310"/>
      <c r="AN28" s="310"/>
      <c r="AO28" s="412"/>
      <c r="AP28" s="413"/>
      <c r="AQ28" s="307"/>
      <c r="AR28" s="307"/>
      <c r="AS28" s="79"/>
      <c r="AT28" s="141"/>
      <c r="AU28" s="367"/>
      <c r="AV28" s="307"/>
      <c r="AW28" s="307"/>
      <c r="AX28" s="307"/>
      <c r="AY28" s="370"/>
      <c r="AZ28" s="306"/>
      <c r="BA28" s="307"/>
      <c r="BB28" s="307"/>
      <c r="BC28" s="307"/>
      <c r="BD28" s="369"/>
      <c r="BE28" s="274"/>
      <c r="BF28" s="76"/>
      <c r="BG28" s="307"/>
      <c r="BH28" s="307"/>
      <c r="BI28" s="370"/>
      <c r="BJ28" s="373" t="s">
        <v>120</v>
      </c>
      <c r="BK28" s="307"/>
      <c r="BL28" s="307"/>
      <c r="BM28" s="307"/>
      <c r="BN28" s="369"/>
      <c r="BO28" s="367"/>
      <c r="BP28" s="371" t="s">
        <v>121</v>
      </c>
      <c r="BQ28" s="79"/>
      <c r="BR28" s="76"/>
      <c r="BS28" s="412"/>
      <c r="BT28" s="142"/>
      <c r="BU28" s="76"/>
      <c r="BV28" s="307"/>
      <c r="BW28" s="310"/>
      <c r="BX28" s="369"/>
      <c r="BY28" s="367"/>
      <c r="BZ28" s="76"/>
      <c r="CA28" s="76"/>
      <c r="CB28" s="310"/>
      <c r="CC28" s="412"/>
      <c r="CD28" s="413"/>
      <c r="CE28" s="76"/>
      <c r="CF28" s="79"/>
      <c r="CG28" s="307"/>
      <c r="CH28" s="374" t="s">
        <v>40</v>
      </c>
      <c r="CI28" s="373" t="s">
        <v>40</v>
      </c>
      <c r="CJ28" s="202"/>
      <c r="CK28" s="202"/>
      <c r="CL28" s="202"/>
      <c r="CM28" s="203"/>
    </row>
    <row r="29" spans="1:118" ht="25.5" customHeight="1" thickBot="1" x14ac:dyDescent="0.25">
      <c r="A29" s="331">
        <v>120</v>
      </c>
      <c r="B29" s="82">
        <v>0</v>
      </c>
      <c r="C29" s="190">
        <v>2</v>
      </c>
      <c r="D29" s="190" t="s">
        <v>326</v>
      </c>
      <c r="E29" s="117" t="s">
        <v>745</v>
      </c>
      <c r="F29" s="99" t="s">
        <v>718</v>
      </c>
      <c r="G29" s="190" t="s">
        <v>92</v>
      </c>
      <c r="H29" s="195" t="s">
        <v>828</v>
      </c>
      <c r="I29" s="257"/>
      <c r="J29" s="99"/>
      <c r="K29" s="264"/>
      <c r="L29" s="395"/>
      <c r="M29" s="390"/>
      <c r="N29" s="390"/>
      <c r="O29" s="390"/>
      <c r="P29" s="391"/>
      <c r="Q29" s="278"/>
      <c r="R29" s="99"/>
      <c r="S29" s="422"/>
      <c r="T29" s="422"/>
      <c r="U29" s="424"/>
      <c r="V29" s="425"/>
      <c r="W29" s="422"/>
      <c r="X29" s="422"/>
      <c r="Y29" s="422"/>
      <c r="Z29" s="423"/>
      <c r="AA29" s="491"/>
      <c r="AB29" s="422"/>
      <c r="AC29" s="422"/>
      <c r="AD29" s="422"/>
      <c r="AE29" s="424"/>
      <c r="AF29" s="425"/>
      <c r="AG29" s="422"/>
      <c r="AH29" s="422"/>
      <c r="AI29" s="422"/>
      <c r="AJ29" s="264"/>
      <c r="AK29" s="450"/>
      <c r="AL29" s="422"/>
      <c r="AM29" s="422"/>
      <c r="AN29" s="422"/>
      <c r="AO29" s="424"/>
      <c r="AP29" s="425"/>
      <c r="AQ29" s="422"/>
      <c r="AR29" s="422"/>
      <c r="AS29" s="99"/>
      <c r="AT29" s="264"/>
      <c r="AU29" s="491"/>
      <c r="AV29" s="422"/>
      <c r="AW29" s="422"/>
      <c r="AX29" s="422"/>
      <c r="AY29" s="424"/>
      <c r="AZ29" s="425"/>
      <c r="BA29" s="422"/>
      <c r="BB29" s="422"/>
      <c r="BC29" s="422"/>
      <c r="BD29" s="423"/>
      <c r="BE29" s="450"/>
      <c r="BF29" s="99"/>
      <c r="BG29" s="422"/>
      <c r="BH29" s="422"/>
      <c r="BI29" s="424"/>
      <c r="BJ29" s="394"/>
      <c r="BK29" s="422"/>
      <c r="BL29" s="422"/>
      <c r="BM29" s="390"/>
      <c r="BN29" s="391"/>
      <c r="BO29" s="395"/>
      <c r="BP29" s="390"/>
      <c r="BQ29" s="99"/>
      <c r="BR29" s="99"/>
      <c r="BS29" s="424"/>
      <c r="BT29" s="257"/>
      <c r="BU29" s="99"/>
      <c r="BV29" s="422"/>
      <c r="BW29" s="422"/>
      <c r="BX29" s="423"/>
      <c r="BY29" s="491"/>
      <c r="BZ29" s="99"/>
      <c r="CA29" s="99"/>
      <c r="CB29" s="422"/>
      <c r="CC29" s="424"/>
      <c r="CD29" s="425"/>
      <c r="CE29" s="99"/>
      <c r="CF29" s="190"/>
      <c r="CG29" s="422"/>
      <c r="CH29" s="488" t="s">
        <v>40</v>
      </c>
      <c r="CI29" s="486" t="s">
        <v>40</v>
      </c>
      <c r="CJ29" s="213"/>
      <c r="CK29" s="213"/>
      <c r="CL29" s="213"/>
      <c r="CM29" s="214"/>
    </row>
    <row r="30" spans="1:118" ht="25.5" customHeight="1" x14ac:dyDescent="0.2">
      <c r="A30" s="332">
        <v>121</v>
      </c>
      <c r="B30" s="85">
        <v>0</v>
      </c>
      <c r="C30" s="87">
        <v>2</v>
      </c>
      <c r="D30" s="87" t="s">
        <v>326</v>
      </c>
      <c r="E30" s="133" t="s">
        <v>938</v>
      </c>
      <c r="F30" s="103" t="s">
        <v>714</v>
      </c>
      <c r="G30" s="87" t="s">
        <v>92</v>
      </c>
      <c r="H30" s="194" t="s">
        <v>940</v>
      </c>
      <c r="I30" s="139"/>
      <c r="J30" s="103"/>
      <c r="K30" s="137"/>
      <c r="L30" s="407"/>
      <c r="M30" s="402"/>
      <c r="N30" s="402"/>
      <c r="O30" s="402"/>
      <c r="P30" s="403"/>
      <c r="Q30" s="281"/>
      <c r="R30" s="103"/>
      <c r="S30" s="402"/>
      <c r="T30" s="426"/>
      <c r="U30" s="428"/>
      <c r="V30" s="429"/>
      <c r="W30" s="402"/>
      <c r="X30" s="402"/>
      <c r="Y30" s="402"/>
      <c r="Z30" s="403"/>
      <c r="AA30" s="484"/>
      <c r="AB30" s="426"/>
      <c r="AC30" s="402"/>
      <c r="AD30" s="402"/>
      <c r="AE30" s="428"/>
      <c r="AF30" s="429"/>
      <c r="AG30" s="426"/>
      <c r="AH30" s="402"/>
      <c r="AI30" s="402"/>
      <c r="AJ30" s="137"/>
      <c r="AK30" s="136"/>
      <c r="AL30" s="426"/>
      <c r="AM30" s="426"/>
      <c r="AN30" s="426"/>
      <c r="AO30" s="428"/>
      <c r="AP30" s="429"/>
      <c r="AQ30" s="426"/>
      <c r="AR30" s="426"/>
      <c r="AS30" s="103"/>
      <c r="AT30" s="137"/>
      <c r="AU30" s="484"/>
      <c r="AV30" s="426"/>
      <c r="AW30" s="426"/>
      <c r="AX30" s="426"/>
      <c r="AY30" s="428"/>
      <c r="AZ30" s="429"/>
      <c r="BA30" s="426"/>
      <c r="BB30" s="426"/>
      <c r="BC30" s="426"/>
      <c r="BD30" s="427"/>
      <c r="BE30" s="136"/>
      <c r="BF30" s="103"/>
      <c r="BG30" s="426"/>
      <c r="BH30" s="426"/>
      <c r="BI30" s="428"/>
      <c r="BJ30" s="406"/>
      <c r="BK30" s="426"/>
      <c r="BL30" s="402"/>
      <c r="BM30" s="402"/>
      <c r="BN30" s="403"/>
      <c r="BO30" s="407"/>
      <c r="BP30" s="402"/>
      <c r="BQ30" s="103"/>
      <c r="BR30" s="103"/>
      <c r="BS30" s="428"/>
      <c r="BT30" s="139"/>
      <c r="BU30" s="103"/>
      <c r="BV30" s="426"/>
      <c r="BW30" s="426"/>
      <c r="BX30" s="427"/>
      <c r="BY30" s="484"/>
      <c r="BZ30" s="103"/>
      <c r="CA30" s="103"/>
      <c r="CB30" s="426"/>
      <c r="CC30" s="428"/>
      <c r="CD30" s="429"/>
      <c r="CE30" s="103"/>
      <c r="CF30" s="87"/>
      <c r="CG30" s="426"/>
      <c r="CH30" s="489" t="s">
        <v>40</v>
      </c>
      <c r="CI30" s="487" t="s">
        <v>40</v>
      </c>
      <c r="CJ30" s="217"/>
      <c r="CK30" s="217"/>
      <c r="CL30" s="217"/>
      <c r="CM30" s="218"/>
    </row>
    <row r="31" spans="1:118" ht="25.5" customHeight="1" x14ac:dyDescent="0.2">
      <c r="A31" s="324">
        <v>122</v>
      </c>
      <c r="B31" s="72">
        <v>0</v>
      </c>
      <c r="C31" s="79">
        <v>4</v>
      </c>
      <c r="D31" s="79" t="s">
        <v>327</v>
      </c>
      <c r="E31" s="77" t="s">
        <v>746</v>
      </c>
      <c r="F31" s="296" t="s">
        <v>1105</v>
      </c>
      <c r="G31" s="79" t="s">
        <v>1112</v>
      </c>
      <c r="H31" s="134" t="s">
        <v>829</v>
      </c>
      <c r="I31" s="142">
        <v>5</v>
      </c>
      <c r="J31" s="76"/>
      <c r="K31" s="141"/>
      <c r="L31" s="446"/>
      <c r="M31" s="297"/>
      <c r="N31" s="297"/>
      <c r="O31" s="297"/>
      <c r="P31" s="372" t="s">
        <v>122</v>
      </c>
      <c r="Q31" s="274"/>
      <c r="R31" s="79"/>
      <c r="S31" s="307"/>
      <c r="T31" s="307"/>
      <c r="U31" s="370"/>
      <c r="V31" s="306"/>
      <c r="W31" s="307"/>
      <c r="X31" s="307"/>
      <c r="Y31" s="307"/>
      <c r="Z31" s="369"/>
      <c r="AA31" s="367"/>
      <c r="AB31" s="307"/>
      <c r="AC31" s="307"/>
      <c r="AD31" s="307"/>
      <c r="AE31" s="370"/>
      <c r="AF31" s="306"/>
      <c r="AG31" s="307"/>
      <c r="AH31" s="307"/>
      <c r="AI31" s="307"/>
      <c r="AJ31" s="178"/>
      <c r="AK31" s="274"/>
      <c r="AL31" s="307"/>
      <c r="AM31" s="307"/>
      <c r="AN31" s="307"/>
      <c r="AO31" s="370"/>
      <c r="AP31" s="306"/>
      <c r="AQ31" s="307"/>
      <c r="AR31" s="307"/>
      <c r="AS31" s="79"/>
      <c r="AT31" s="178"/>
      <c r="AU31" s="367"/>
      <c r="AV31" s="307"/>
      <c r="AW31" s="307"/>
      <c r="AX31" s="307"/>
      <c r="AY31" s="370"/>
      <c r="AZ31" s="306"/>
      <c r="BA31" s="307"/>
      <c r="BB31" s="307"/>
      <c r="BC31" s="307"/>
      <c r="BD31" s="369"/>
      <c r="BE31" s="274"/>
      <c r="BF31" s="79"/>
      <c r="BG31" s="307"/>
      <c r="BH31" s="307"/>
      <c r="BI31" s="370"/>
      <c r="BJ31" s="373" t="s">
        <v>120</v>
      </c>
      <c r="BK31" s="307"/>
      <c r="BL31" s="307"/>
      <c r="BM31" s="307"/>
      <c r="BN31" s="369"/>
      <c r="BO31" s="485"/>
      <c r="BP31" s="371" t="s">
        <v>121</v>
      </c>
      <c r="BQ31" s="79"/>
      <c r="BR31" s="79"/>
      <c r="BS31" s="370"/>
      <c r="BT31" s="261"/>
      <c r="BU31" s="79"/>
      <c r="BV31" s="307"/>
      <c r="BW31" s="307"/>
      <c r="BX31" s="369"/>
      <c r="BY31" s="367"/>
      <c r="BZ31" s="79"/>
      <c r="CA31" s="79"/>
      <c r="CB31" s="307"/>
      <c r="CC31" s="370"/>
      <c r="CD31" s="306"/>
      <c r="CE31" s="79"/>
      <c r="CF31" s="79"/>
      <c r="CG31" s="307"/>
      <c r="CH31" s="374" t="s">
        <v>40</v>
      </c>
      <c r="CI31" s="373" t="s">
        <v>40</v>
      </c>
      <c r="CJ31" s="202"/>
      <c r="CK31" s="202"/>
      <c r="CL31" s="202"/>
      <c r="CM31" s="203"/>
    </row>
    <row r="32" spans="1:118" ht="25.5" customHeight="1" x14ac:dyDescent="0.2">
      <c r="A32" s="324">
        <v>123</v>
      </c>
      <c r="B32" s="72">
        <v>0</v>
      </c>
      <c r="C32" s="79">
        <v>4</v>
      </c>
      <c r="D32" s="79" t="s">
        <v>327</v>
      </c>
      <c r="E32" s="77" t="s">
        <v>747</v>
      </c>
      <c r="F32" s="296" t="s">
        <v>1106</v>
      </c>
      <c r="G32" s="79" t="s">
        <v>1112</v>
      </c>
      <c r="H32" s="134" t="s">
        <v>830</v>
      </c>
      <c r="I32" s="142"/>
      <c r="J32" s="76"/>
      <c r="K32" s="141"/>
      <c r="L32" s="367"/>
      <c r="M32" s="307"/>
      <c r="N32" s="307"/>
      <c r="O32" s="307"/>
      <c r="P32" s="369"/>
      <c r="Q32" s="274"/>
      <c r="R32" s="79"/>
      <c r="S32" s="307"/>
      <c r="T32" s="307"/>
      <c r="U32" s="370"/>
      <c r="V32" s="306"/>
      <c r="W32" s="307"/>
      <c r="X32" s="307"/>
      <c r="Y32" s="307"/>
      <c r="Z32" s="369"/>
      <c r="AA32" s="367"/>
      <c r="AB32" s="307"/>
      <c r="AC32" s="307"/>
      <c r="AD32" s="307"/>
      <c r="AE32" s="370"/>
      <c r="AF32" s="306"/>
      <c r="AG32" s="307"/>
      <c r="AH32" s="307"/>
      <c r="AI32" s="307"/>
      <c r="AJ32" s="178"/>
      <c r="AK32" s="274"/>
      <c r="AL32" s="307"/>
      <c r="AM32" s="307"/>
      <c r="AN32" s="307"/>
      <c r="AO32" s="370"/>
      <c r="AP32" s="306"/>
      <c r="AQ32" s="307"/>
      <c r="AR32" s="307"/>
      <c r="AS32" s="79"/>
      <c r="AT32" s="178"/>
      <c r="AU32" s="367"/>
      <c r="AV32" s="307"/>
      <c r="AW32" s="307"/>
      <c r="AX32" s="307"/>
      <c r="AY32" s="370"/>
      <c r="AZ32" s="306"/>
      <c r="BA32" s="307"/>
      <c r="BB32" s="307"/>
      <c r="BC32" s="307"/>
      <c r="BD32" s="369"/>
      <c r="BE32" s="274"/>
      <c r="BF32" s="79"/>
      <c r="BG32" s="307"/>
      <c r="BH32" s="307"/>
      <c r="BI32" s="370"/>
      <c r="BJ32" s="413"/>
      <c r="BK32" s="307"/>
      <c r="BL32" s="307"/>
      <c r="BM32" s="310"/>
      <c r="BN32" s="411"/>
      <c r="BO32" s="485"/>
      <c r="BP32" s="310"/>
      <c r="BQ32" s="79"/>
      <c r="BR32" s="79"/>
      <c r="BS32" s="370"/>
      <c r="BT32" s="261"/>
      <c r="BU32" s="79"/>
      <c r="BV32" s="307"/>
      <c r="BW32" s="307"/>
      <c r="BX32" s="369"/>
      <c r="BY32" s="367"/>
      <c r="BZ32" s="79"/>
      <c r="CA32" s="79"/>
      <c r="CB32" s="307"/>
      <c r="CC32" s="370"/>
      <c r="CD32" s="306"/>
      <c r="CE32" s="79"/>
      <c r="CF32" s="79"/>
      <c r="CG32" s="307"/>
      <c r="CH32" s="374" t="s">
        <v>40</v>
      </c>
      <c r="CI32" s="373" t="s">
        <v>40</v>
      </c>
      <c r="CJ32" s="202"/>
      <c r="CK32" s="202"/>
      <c r="CL32" s="202"/>
      <c r="CM32" s="203"/>
    </row>
    <row r="33" spans="1:91" ht="25.5" customHeight="1" x14ac:dyDescent="0.2">
      <c r="A33" s="324">
        <v>124</v>
      </c>
      <c r="B33" s="72">
        <v>0</v>
      </c>
      <c r="C33" s="79">
        <v>4</v>
      </c>
      <c r="D33" s="79" t="s">
        <v>327</v>
      </c>
      <c r="E33" s="77" t="s">
        <v>941</v>
      </c>
      <c r="F33" s="76" t="s">
        <v>714</v>
      </c>
      <c r="G33" s="107" t="s">
        <v>1112</v>
      </c>
      <c r="H33" s="134" t="s">
        <v>942</v>
      </c>
      <c r="I33" s="142"/>
      <c r="J33" s="76"/>
      <c r="K33" s="141"/>
      <c r="L33" s="367"/>
      <c r="M33" s="307"/>
      <c r="N33" s="307"/>
      <c r="O33" s="307"/>
      <c r="P33" s="369"/>
      <c r="Q33" s="274"/>
      <c r="R33" s="79"/>
      <c r="S33" s="307"/>
      <c r="T33" s="307"/>
      <c r="U33" s="370"/>
      <c r="V33" s="306"/>
      <c r="W33" s="307"/>
      <c r="X33" s="307"/>
      <c r="Y33" s="307"/>
      <c r="Z33" s="369"/>
      <c r="AA33" s="367"/>
      <c r="AB33" s="307"/>
      <c r="AC33" s="307"/>
      <c r="AD33" s="307"/>
      <c r="AE33" s="370"/>
      <c r="AF33" s="306"/>
      <c r="AG33" s="307"/>
      <c r="AH33" s="307"/>
      <c r="AI33" s="307"/>
      <c r="AJ33" s="178"/>
      <c r="AK33" s="274"/>
      <c r="AL33" s="307"/>
      <c r="AM33" s="307"/>
      <c r="AN33" s="307"/>
      <c r="AO33" s="370"/>
      <c r="AP33" s="306"/>
      <c r="AQ33" s="307"/>
      <c r="AR33" s="307"/>
      <c r="AS33" s="79"/>
      <c r="AT33" s="178"/>
      <c r="AU33" s="367"/>
      <c r="AV33" s="307"/>
      <c r="AW33" s="307"/>
      <c r="AX33" s="307"/>
      <c r="AY33" s="370"/>
      <c r="AZ33" s="306"/>
      <c r="BA33" s="307"/>
      <c r="BB33" s="307"/>
      <c r="BC33" s="307"/>
      <c r="BD33" s="369"/>
      <c r="BE33" s="274"/>
      <c r="BF33" s="79"/>
      <c r="BG33" s="307"/>
      <c r="BH33" s="307"/>
      <c r="BI33" s="370"/>
      <c r="BJ33" s="306"/>
      <c r="BK33" s="307"/>
      <c r="BL33" s="307"/>
      <c r="BM33" s="307"/>
      <c r="BN33" s="369"/>
      <c r="BO33" s="367"/>
      <c r="BP33" s="307"/>
      <c r="BQ33" s="79"/>
      <c r="BR33" s="79"/>
      <c r="BS33" s="370"/>
      <c r="BT33" s="261"/>
      <c r="BU33" s="79"/>
      <c r="BV33" s="307"/>
      <c r="BW33" s="307"/>
      <c r="BX33" s="369"/>
      <c r="BY33" s="367"/>
      <c r="BZ33" s="79"/>
      <c r="CA33" s="79"/>
      <c r="CB33" s="307"/>
      <c r="CC33" s="370"/>
      <c r="CD33" s="306"/>
      <c r="CE33" s="79"/>
      <c r="CF33" s="79"/>
      <c r="CG33" s="307"/>
      <c r="CH33" s="374" t="s">
        <v>40</v>
      </c>
      <c r="CI33" s="373" t="s">
        <v>40</v>
      </c>
      <c r="CJ33" s="202"/>
      <c r="CK33" s="202"/>
      <c r="CL33" s="202"/>
      <c r="CM33" s="203"/>
    </row>
    <row r="34" spans="1:91" ht="25.5" customHeight="1" thickBot="1" x14ac:dyDescent="0.25">
      <c r="A34" s="325">
        <v>125</v>
      </c>
      <c r="B34" s="73">
        <v>0</v>
      </c>
      <c r="C34" s="74">
        <v>4</v>
      </c>
      <c r="D34" s="74" t="s">
        <v>328</v>
      </c>
      <c r="E34" s="126" t="s">
        <v>748</v>
      </c>
      <c r="F34" s="479" t="s">
        <v>1107</v>
      </c>
      <c r="G34" s="74" t="s">
        <v>93</v>
      </c>
      <c r="H34" s="135" t="s">
        <v>831</v>
      </c>
      <c r="I34" s="269">
        <v>5</v>
      </c>
      <c r="J34" s="89" t="s">
        <v>64</v>
      </c>
      <c r="K34" s="270">
        <v>17</v>
      </c>
      <c r="L34" s="376"/>
      <c r="M34" s="377"/>
      <c r="N34" s="377"/>
      <c r="O34" s="377"/>
      <c r="P34" s="378" t="s">
        <v>122</v>
      </c>
      <c r="Q34" s="275"/>
      <c r="R34" s="74"/>
      <c r="S34" s="379"/>
      <c r="T34" s="379"/>
      <c r="U34" s="380"/>
      <c r="V34" s="381"/>
      <c r="W34" s="379"/>
      <c r="X34" s="379"/>
      <c r="Y34" s="379"/>
      <c r="Z34" s="382"/>
      <c r="AA34" s="383"/>
      <c r="AB34" s="379"/>
      <c r="AC34" s="379"/>
      <c r="AD34" s="379"/>
      <c r="AE34" s="380"/>
      <c r="AF34" s="381"/>
      <c r="AG34" s="379"/>
      <c r="AH34" s="379"/>
      <c r="AI34" s="379"/>
      <c r="AJ34" s="276"/>
      <c r="AK34" s="275"/>
      <c r="AL34" s="379"/>
      <c r="AM34" s="379"/>
      <c r="AN34" s="379"/>
      <c r="AO34" s="380"/>
      <c r="AP34" s="381"/>
      <c r="AQ34" s="379"/>
      <c r="AR34" s="379"/>
      <c r="AS34" s="74"/>
      <c r="AT34" s="276"/>
      <c r="AU34" s="383"/>
      <c r="AV34" s="379"/>
      <c r="AW34" s="379"/>
      <c r="AX34" s="379"/>
      <c r="AY34" s="380"/>
      <c r="AZ34" s="381"/>
      <c r="BA34" s="379"/>
      <c r="BB34" s="379"/>
      <c r="BC34" s="379"/>
      <c r="BD34" s="382"/>
      <c r="BE34" s="275"/>
      <c r="BF34" s="74"/>
      <c r="BG34" s="379"/>
      <c r="BH34" s="379"/>
      <c r="BI34" s="380"/>
      <c r="BJ34" s="384" t="s">
        <v>120</v>
      </c>
      <c r="BK34" s="379"/>
      <c r="BL34" s="379"/>
      <c r="BM34" s="379"/>
      <c r="BN34" s="382"/>
      <c r="BO34" s="383"/>
      <c r="BP34" s="385" t="s">
        <v>121</v>
      </c>
      <c r="BQ34" s="74"/>
      <c r="BR34" s="74"/>
      <c r="BS34" s="380"/>
      <c r="BT34" s="277"/>
      <c r="BU34" s="74"/>
      <c r="BV34" s="379"/>
      <c r="BW34" s="379"/>
      <c r="BX34" s="382"/>
      <c r="BY34" s="383"/>
      <c r="BZ34" s="74"/>
      <c r="CA34" s="74"/>
      <c r="CB34" s="379"/>
      <c r="CC34" s="380"/>
      <c r="CD34" s="381"/>
      <c r="CE34" s="74"/>
      <c r="CF34" s="74"/>
      <c r="CG34" s="379"/>
      <c r="CH34" s="386" t="s">
        <v>40</v>
      </c>
      <c r="CI34" s="384" t="s">
        <v>40</v>
      </c>
      <c r="CJ34" s="206"/>
      <c r="CK34" s="206"/>
      <c r="CL34" s="206"/>
      <c r="CM34" s="207"/>
    </row>
    <row r="35" spans="1:91" ht="25.5" customHeight="1" x14ac:dyDescent="0.2">
      <c r="A35" s="318">
        <v>126</v>
      </c>
      <c r="B35" s="75">
        <v>0</v>
      </c>
      <c r="C35" s="92">
        <v>4</v>
      </c>
      <c r="D35" s="92" t="s">
        <v>328</v>
      </c>
      <c r="E35" s="93" t="s">
        <v>749</v>
      </c>
      <c r="F35" s="490" t="s">
        <v>1108</v>
      </c>
      <c r="G35" s="92" t="s">
        <v>93</v>
      </c>
      <c r="H35" s="113" t="s">
        <v>832</v>
      </c>
      <c r="I35" s="259"/>
      <c r="J35" s="130"/>
      <c r="K35" s="260"/>
      <c r="L35" s="308"/>
      <c r="M35" s="304"/>
      <c r="N35" s="304"/>
      <c r="O35" s="304"/>
      <c r="P35" s="359"/>
      <c r="Q35" s="272"/>
      <c r="R35" s="92"/>
      <c r="S35" s="304"/>
      <c r="T35" s="304"/>
      <c r="U35" s="361"/>
      <c r="V35" s="362"/>
      <c r="W35" s="304"/>
      <c r="X35" s="304"/>
      <c r="Y35" s="304"/>
      <c r="Z35" s="359"/>
      <c r="AA35" s="308"/>
      <c r="AB35" s="304"/>
      <c r="AC35" s="304"/>
      <c r="AD35" s="304"/>
      <c r="AE35" s="361"/>
      <c r="AF35" s="362"/>
      <c r="AG35" s="304"/>
      <c r="AH35" s="304"/>
      <c r="AI35" s="304"/>
      <c r="AJ35" s="273"/>
      <c r="AK35" s="272"/>
      <c r="AL35" s="304"/>
      <c r="AM35" s="304"/>
      <c r="AN35" s="304"/>
      <c r="AO35" s="361"/>
      <c r="AP35" s="362"/>
      <c r="AQ35" s="304"/>
      <c r="AR35" s="304"/>
      <c r="AS35" s="92"/>
      <c r="AT35" s="273"/>
      <c r="AU35" s="308"/>
      <c r="AV35" s="304"/>
      <c r="AW35" s="304"/>
      <c r="AX35" s="304"/>
      <c r="AY35" s="361"/>
      <c r="AZ35" s="362"/>
      <c r="BA35" s="304"/>
      <c r="BB35" s="304"/>
      <c r="BC35" s="304"/>
      <c r="BD35" s="359"/>
      <c r="BE35" s="272"/>
      <c r="BF35" s="92"/>
      <c r="BG35" s="304"/>
      <c r="BH35" s="304"/>
      <c r="BI35" s="361"/>
      <c r="BJ35" s="362"/>
      <c r="BK35" s="304"/>
      <c r="BL35" s="304"/>
      <c r="BM35" s="304"/>
      <c r="BN35" s="359"/>
      <c r="BO35" s="308"/>
      <c r="BP35" s="304"/>
      <c r="BQ35" s="92"/>
      <c r="BR35" s="92"/>
      <c r="BS35" s="361"/>
      <c r="BT35" s="258"/>
      <c r="BU35" s="92"/>
      <c r="BV35" s="304"/>
      <c r="BW35" s="304"/>
      <c r="BX35" s="359"/>
      <c r="BY35" s="308"/>
      <c r="BZ35" s="92"/>
      <c r="CA35" s="92"/>
      <c r="CB35" s="304"/>
      <c r="CC35" s="361"/>
      <c r="CD35" s="362"/>
      <c r="CE35" s="92"/>
      <c r="CF35" s="92"/>
      <c r="CG35" s="304"/>
      <c r="CH35" s="363" t="s">
        <v>40</v>
      </c>
      <c r="CI35" s="364" t="s">
        <v>40</v>
      </c>
      <c r="CJ35" s="210"/>
      <c r="CK35" s="210"/>
      <c r="CL35" s="210"/>
      <c r="CM35" s="211"/>
    </row>
    <row r="36" spans="1:91" ht="25.5" customHeight="1" x14ac:dyDescent="0.2">
      <c r="A36" s="324">
        <v>127</v>
      </c>
      <c r="B36" s="72">
        <v>0</v>
      </c>
      <c r="C36" s="79">
        <v>4</v>
      </c>
      <c r="D36" s="79" t="s">
        <v>328</v>
      </c>
      <c r="E36" s="77" t="s">
        <v>943</v>
      </c>
      <c r="F36" s="76" t="s">
        <v>714</v>
      </c>
      <c r="G36" s="79" t="s">
        <v>93</v>
      </c>
      <c r="H36" s="134" t="s">
        <v>944</v>
      </c>
      <c r="I36" s="142"/>
      <c r="J36" s="76"/>
      <c r="K36" s="141"/>
      <c r="L36" s="367"/>
      <c r="M36" s="307"/>
      <c r="N36" s="307"/>
      <c r="O36" s="307"/>
      <c r="P36" s="369"/>
      <c r="Q36" s="274"/>
      <c r="R36" s="79"/>
      <c r="S36" s="307"/>
      <c r="T36" s="307"/>
      <c r="U36" s="370"/>
      <c r="V36" s="306"/>
      <c r="W36" s="307"/>
      <c r="X36" s="307"/>
      <c r="Y36" s="307"/>
      <c r="Z36" s="369"/>
      <c r="AA36" s="367"/>
      <c r="AB36" s="307"/>
      <c r="AC36" s="307"/>
      <c r="AD36" s="307"/>
      <c r="AE36" s="370"/>
      <c r="AF36" s="306"/>
      <c r="AG36" s="307"/>
      <c r="AH36" s="307"/>
      <c r="AI36" s="307"/>
      <c r="AJ36" s="178"/>
      <c r="AK36" s="274"/>
      <c r="AL36" s="307"/>
      <c r="AM36" s="307"/>
      <c r="AN36" s="307"/>
      <c r="AO36" s="370"/>
      <c r="AP36" s="306"/>
      <c r="AQ36" s="307"/>
      <c r="AR36" s="307"/>
      <c r="AS36" s="79"/>
      <c r="AT36" s="178"/>
      <c r="AU36" s="367"/>
      <c r="AV36" s="307"/>
      <c r="AW36" s="307"/>
      <c r="AX36" s="307"/>
      <c r="AY36" s="370"/>
      <c r="AZ36" s="306"/>
      <c r="BA36" s="307"/>
      <c r="BB36" s="307"/>
      <c r="BC36" s="307"/>
      <c r="BD36" s="369"/>
      <c r="BE36" s="274"/>
      <c r="BF36" s="79"/>
      <c r="BG36" s="307"/>
      <c r="BH36" s="307"/>
      <c r="BI36" s="370"/>
      <c r="BJ36" s="306"/>
      <c r="BK36" s="307"/>
      <c r="BL36" s="307"/>
      <c r="BM36" s="307"/>
      <c r="BN36" s="369"/>
      <c r="BO36" s="367"/>
      <c r="BP36" s="307"/>
      <c r="BQ36" s="79"/>
      <c r="BR36" s="79"/>
      <c r="BS36" s="370"/>
      <c r="BT36" s="261"/>
      <c r="BU36" s="79"/>
      <c r="BV36" s="307"/>
      <c r="BW36" s="307"/>
      <c r="BX36" s="369"/>
      <c r="BY36" s="367"/>
      <c r="BZ36" s="79"/>
      <c r="CA36" s="79"/>
      <c r="CB36" s="307"/>
      <c r="CC36" s="370"/>
      <c r="CD36" s="306"/>
      <c r="CE36" s="79"/>
      <c r="CF36" s="79"/>
      <c r="CG36" s="307"/>
      <c r="CH36" s="374" t="s">
        <v>40</v>
      </c>
      <c r="CI36" s="373" t="s">
        <v>40</v>
      </c>
      <c r="CJ36" s="202"/>
      <c r="CK36" s="202"/>
      <c r="CL36" s="202"/>
      <c r="CM36" s="203"/>
    </row>
    <row r="37" spans="1:91" ht="25.5" customHeight="1" x14ac:dyDescent="0.2">
      <c r="A37" s="324">
        <v>128</v>
      </c>
      <c r="B37" s="72">
        <v>0</v>
      </c>
      <c r="C37" s="79">
        <v>4</v>
      </c>
      <c r="D37" s="79" t="s">
        <v>329</v>
      </c>
      <c r="E37" s="77" t="s">
        <v>750</v>
      </c>
      <c r="F37" s="296" t="s">
        <v>1107</v>
      </c>
      <c r="G37" s="79" t="s">
        <v>94</v>
      </c>
      <c r="H37" s="134" t="s">
        <v>833</v>
      </c>
      <c r="I37" s="142">
        <v>5</v>
      </c>
      <c r="J37" s="76" t="s">
        <v>64</v>
      </c>
      <c r="K37" s="141">
        <v>17</v>
      </c>
      <c r="L37" s="446"/>
      <c r="M37" s="297"/>
      <c r="N37" s="297"/>
      <c r="O37" s="297"/>
      <c r="P37" s="372" t="s">
        <v>122</v>
      </c>
      <c r="Q37" s="274"/>
      <c r="R37" s="79"/>
      <c r="S37" s="307"/>
      <c r="T37" s="307"/>
      <c r="U37" s="370"/>
      <c r="V37" s="306"/>
      <c r="W37" s="307"/>
      <c r="X37" s="307"/>
      <c r="Y37" s="307"/>
      <c r="Z37" s="369"/>
      <c r="AA37" s="367"/>
      <c r="AB37" s="307"/>
      <c r="AC37" s="307"/>
      <c r="AD37" s="307"/>
      <c r="AE37" s="370"/>
      <c r="AF37" s="306"/>
      <c r="AG37" s="307"/>
      <c r="AH37" s="307"/>
      <c r="AI37" s="307"/>
      <c r="AJ37" s="178"/>
      <c r="AK37" s="274"/>
      <c r="AL37" s="307"/>
      <c r="AM37" s="307"/>
      <c r="AN37" s="307"/>
      <c r="AO37" s="370"/>
      <c r="AP37" s="306"/>
      <c r="AQ37" s="307"/>
      <c r="AR37" s="307"/>
      <c r="AS37" s="79"/>
      <c r="AT37" s="178"/>
      <c r="AU37" s="367"/>
      <c r="AV37" s="307"/>
      <c r="AW37" s="307"/>
      <c r="AX37" s="307"/>
      <c r="AY37" s="370"/>
      <c r="AZ37" s="306"/>
      <c r="BA37" s="307"/>
      <c r="BB37" s="307"/>
      <c r="BC37" s="307"/>
      <c r="BD37" s="369"/>
      <c r="BE37" s="274"/>
      <c r="BF37" s="79"/>
      <c r="BG37" s="307"/>
      <c r="BH37" s="307"/>
      <c r="BI37" s="370"/>
      <c r="BJ37" s="373" t="s">
        <v>120</v>
      </c>
      <c r="BK37" s="307"/>
      <c r="BL37" s="307"/>
      <c r="BM37" s="307"/>
      <c r="BN37" s="369"/>
      <c r="BO37" s="485"/>
      <c r="BP37" s="371" t="s">
        <v>121</v>
      </c>
      <c r="BQ37" s="79"/>
      <c r="BR37" s="79"/>
      <c r="BS37" s="370"/>
      <c r="BT37" s="261"/>
      <c r="BU37" s="79"/>
      <c r="BV37" s="307"/>
      <c r="BW37" s="307"/>
      <c r="BX37" s="369"/>
      <c r="BY37" s="367"/>
      <c r="BZ37" s="79"/>
      <c r="CA37" s="79"/>
      <c r="CB37" s="307"/>
      <c r="CC37" s="370"/>
      <c r="CD37" s="306"/>
      <c r="CE37" s="79"/>
      <c r="CF37" s="79"/>
      <c r="CG37" s="307"/>
      <c r="CH37" s="374" t="s">
        <v>40</v>
      </c>
      <c r="CI37" s="373" t="s">
        <v>40</v>
      </c>
      <c r="CJ37" s="202"/>
      <c r="CK37" s="202"/>
      <c r="CL37" s="202"/>
      <c r="CM37" s="203"/>
    </row>
    <row r="38" spans="1:91" ht="25.5" customHeight="1" x14ac:dyDescent="0.2">
      <c r="A38" s="324">
        <v>129</v>
      </c>
      <c r="B38" s="72">
        <v>0</v>
      </c>
      <c r="C38" s="79">
        <v>4</v>
      </c>
      <c r="D38" s="79" t="s">
        <v>329</v>
      </c>
      <c r="E38" s="77" t="s">
        <v>751</v>
      </c>
      <c r="F38" s="88" t="s">
        <v>1108</v>
      </c>
      <c r="G38" s="79" t="s">
        <v>94</v>
      </c>
      <c r="H38" s="134" t="s">
        <v>834</v>
      </c>
      <c r="I38" s="142"/>
      <c r="J38" s="76"/>
      <c r="K38" s="141"/>
      <c r="L38" s="367"/>
      <c r="M38" s="307"/>
      <c r="N38" s="307"/>
      <c r="O38" s="307"/>
      <c r="P38" s="369"/>
      <c r="Q38" s="274"/>
      <c r="R38" s="79"/>
      <c r="S38" s="307"/>
      <c r="T38" s="307"/>
      <c r="U38" s="370"/>
      <c r="V38" s="306"/>
      <c r="W38" s="307"/>
      <c r="X38" s="307"/>
      <c r="Y38" s="307"/>
      <c r="Z38" s="369"/>
      <c r="AA38" s="367"/>
      <c r="AB38" s="307"/>
      <c r="AC38" s="307"/>
      <c r="AD38" s="307"/>
      <c r="AE38" s="370"/>
      <c r="AF38" s="306"/>
      <c r="AG38" s="307"/>
      <c r="AH38" s="307"/>
      <c r="AI38" s="307"/>
      <c r="AJ38" s="178"/>
      <c r="AK38" s="274"/>
      <c r="AL38" s="307"/>
      <c r="AM38" s="307"/>
      <c r="AN38" s="307"/>
      <c r="AO38" s="370"/>
      <c r="AP38" s="306"/>
      <c r="AQ38" s="307"/>
      <c r="AR38" s="307"/>
      <c r="AS38" s="79"/>
      <c r="AT38" s="178"/>
      <c r="AU38" s="367"/>
      <c r="AV38" s="307"/>
      <c r="AW38" s="307"/>
      <c r="AX38" s="307"/>
      <c r="AY38" s="370"/>
      <c r="AZ38" s="306"/>
      <c r="BA38" s="307"/>
      <c r="BB38" s="307"/>
      <c r="BC38" s="307"/>
      <c r="BD38" s="369"/>
      <c r="BE38" s="274"/>
      <c r="BF38" s="79"/>
      <c r="BG38" s="307"/>
      <c r="BH38" s="307"/>
      <c r="BI38" s="370"/>
      <c r="BJ38" s="413"/>
      <c r="BK38" s="307"/>
      <c r="BL38" s="307"/>
      <c r="BM38" s="310"/>
      <c r="BN38" s="411"/>
      <c r="BO38" s="485"/>
      <c r="BP38" s="310"/>
      <c r="BQ38" s="79"/>
      <c r="BR38" s="79"/>
      <c r="BS38" s="370"/>
      <c r="BT38" s="261"/>
      <c r="BU38" s="79"/>
      <c r="BV38" s="307"/>
      <c r="BW38" s="307"/>
      <c r="BX38" s="369"/>
      <c r="BY38" s="367"/>
      <c r="BZ38" s="79"/>
      <c r="CA38" s="79"/>
      <c r="CB38" s="307"/>
      <c r="CC38" s="370"/>
      <c r="CD38" s="306"/>
      <c r="CE38" s="79"/>
      <c r="CF38" s="79"/>
      <c r="CG38" s="307"/>
      <c r="CH38" s="374" t="s">
        <v>40</v>
      </c>
      <c r="CI38" s="373" t="s">
        <v>40</v>
      </c>
      <c r="CJ38" s="202"/>
      <c r="CK38" s="202"/>
      <c r="CL38" s="202"/>
      <c r="CM38" s="203"/>
    </row>
    <row r="39" spans="1:91" ht="25.5" customHeight="1" thickBot="1" x14ac:dyDescent="0.25">
      <c r="A39" s="331">
        <v>130</v>
      </c>
      <c r="B39" s="82">
        <v>0</v>
      </c>
      <c r="C39" s="190">
        <v>4</v>
      </c>
      <c r="D39" s="190" t="s">
        <v>329</v>
      </c>
      <c r="E39" s="117" t="s">
        <v>945</v>
      </c>
      <c r="F39" s="99" t="s">
        <v>714</v>
      </c>
      <c r="G39" s="190" t="s">
        <v>94</v>
      </c>
      <c r="H39" s="195" t="s">
        <v>946</v>
      </c>
      <c r="I39" s="257"/>
      <c r="J39" s="99"/>
      <c r="K39" s="264"/>
      <c r="L39" s="395"/>
      <c r="M39" s="390"/>
      <c r="N39" s="390"/>
      <c r="O39" s="390"/>
      <c r="P39" s="391"/>
      <c r="Q39" s="278"/>
      <c r="R39" s="99"/>
      <c r="S39" s="422"/>
      <c r="T39" s="390"/>
      <c r="U39" s="393"/>
      <c r="V39" s="394"/>
      <c r="W39" s="422"/>
      <c r="X39" s="422"/>
      <c r="Y39" s="422"/>
      <c r="Z39" s="423"/>
      <c r="AA39" s="395"/>
      <c r="AB39" s="390"/>
      <c r="AC39" s="422"/>
      <c r="AD39" s="422"/>
      <c r="AE39" s="424"/>
      <c r="AF39" s="425"/>
      <c r="AG39" s="422"/>
      <c r="AH39" s="422"/>
      <c r="AI39" s="422"/>
      <c r="AJ39" s="264"/>
      <c r="AK39" s="278"/>
      <c r="AL39" s="422"/>
      <c r="AM39" s="422"/>
      <c r="AN39" s="422"/>
      <c r="AO39" s="393"/>
      <c r="AP39" s="425"/>
      <c r="AQ39" s="390"/>
      <c r="AR39" s="390"/>
      <c r="AS39" s="190"/>
      <c r="AT39" s="279"/>
      <c r="AU39" s="395"/>
      <c r="AV39" s="390"/>
      <c r="AW39" s="390"/>
      <c r="AX39" s="390"/>
      <c r="AY39" s="393"/>
      <c r="AZ39" s="394"/>
      <c r="BA39" s="390"/>
      <c r="BB39" s="390"/>
      <c r="BC39" s="390"/>
      <c r="BD39" s="391"/>
      <c r="BE39" s="278"/>
      <c r="BF39" s="190"/>
      <c r="BG39" s="390"/>
      <c r="BH39" s="390"/>
      <c r="BI39" s="393"/>
      <c r="BJ39" s="394"/>
      <c r="BK39" s="390"/>
      <c r="BL39" s="390"/>
      <c r="BM39" s="390"/>
      <c r="BN39" s="391"/>
      <c r="BO39" s="491"/>
      <c r="BP39" s="390"/>
      <c r="BQ39" s="190"/>
      <c r="BR39" s="99"/>
      <c r="BS39" s="424"/>
      <c r="BT39" s="257"/>
      <c r="BU39" s="190"/>
      <c r="BV39" s="390"/>
      <c r="BW39" s="390"/>
      <c r="BX39" s="391"/>
      <c r="BY39" s="395"/>
      <c r="BZ39" s="190"/>
      <c r="CA39" s="99"/>
      <c r="CB39" s="390"/>
      <c r="CC39" s="393"/>
      <c r="CD39" s="394"/>
      <c r="CE39" s="190"/>
      <c r="CF39" s="190"/>
      <c r="CG39" s="390"/>
      <c r="CH39" s="396" t="s">
        <v>40</v>
      </c>
      <c r="CI39" s="397" t="s">
        <v>40</v>
      </c>
      <c r="CJ39" s="213"/>
      <c r="CK39" s="213"/>
      <c r="CL39" s="213"/>
      <c r="CM39" s="214"/>
    </row>
    <row r="40" spans="1:91" ht="25.5" customHeight="1" x14ac:dyDescent="0.2">
      <c r="A40" s="332">
        <v>131</v>
      </c>
      <c r="B40" s="85">
        <v>0</v>
      </c>
      <c r="C40" s="87">
        <v>4</v>
      </c>
      <c r="D40" s="87" t="s">
        <v>330</v>
      </c>
      <c r="E40" s="133" t="s">
        <v>752</v>
      </c>
      <c r="F40" s="481" t="s">
        <v>1109</v>
      </c>
      <c r="G40" s="87" t="s">
        <v>95</v>
      </c>
      <c r="H40" s="194" t="s">
        <v>835</v>
      </c>
      <c r="I40" s="139">
        <v>5</v>
      </c>
      <c r="J40" s="103" t="s">
        <v>64</v>
      </c>
      <c r="K40" s="137">
        <v>17</v>
      </c>
      <c r="L40" s="447"/>
      <c r="M40" s="462"/>
      <c r="N40" s="462"/>
      <c r="O40" s="462"/>
      <c r="P40" s="410" t="s">
        <v>122</v>
      </c>
      <c r="Q40" s="281"/>
      <c r="R40" s="103"/>
      <c r="S40" s="426"/>
      <c r="T40" s="402"/>
      <c r="U40" s="405"/>
      <c r="V40" s="406"/>
      <c r="W40" s="426"/>
      <c r="X40" s="426"/>
      <c r="Y40" s="426"/>
      <c r="Z40" s="427"/>
      <c r="AA40" s="407"/>
      <c r="AB40" s="402"/>
      <c r="AC40" s="426"/>
      <c r="AD40" s="426"/>
      <c r="AE40" s="428"/>
      <c r="AF40" s="429"/>
      <c r="AG40" s="426"/>
      <c r="AH40" s="426"/>
      <c r="AI40" s="426"/>
      <c r="AJ40" s="137"/>
      <c r="AK40" s="281"/>
      <c r="AL40" s="426"/>
      <c r="AM40" s="426"/>
      <c r="AN40" s="426"/>
      <c r="AO40" s="405"/>
      <c r="AP40" s="429"/>
      <c r="AQ40" s="402"/>
      <c r="AR40" s="402"/>
      <c r="AS40" s="87"/>
      <c r="AT40" s="282"/>
      <c r="AU40" s="407"/>
      <c r="AV40" s="402"/>
      <c r="AW40" s="402"/>
      <c r="AX40" s="402"/>
      <c r="AY40" s="405"/>
      <c r="AZ40" s="406"/>
      <c r="BA40" s="402"/>
      <c r="BB40" s="402"/>
      <c r="BC40" s="402"/>
      <c r="BD40" s="403"/>
      <c r="BE40" s="281"/>
      <c r="BF40" s="87"/>
      <c r="BG40" s="402"/>
      <c r="BH40" s="402"/>
      <c r="BI40" s="405"/>
      <c r="BJ40" s="409" t="s">
        <v>120</v>
      </c>
      <c r="BK40" s="402"/>
      <c r="BL40" s="402"/>
      <c r="BM40" s="402"/>
      <c r="BN40" s="403"/>
      <c r="BO40" s="484"/>
      <c r="BP40" s="404" t="s">
        <v>121</v>
      </c>
      <c r="BQ40" s="87"/>
      <c r="BR40" s="103"/>
      <c r="BS40" s="428"/>
      <c r="BT40" s="139"/>
      <c r="BU40" s="87"/>
      <c r="BV40" s="402"/>
      <c r="BW40" s="402"/>
      <c r="BX40" s="403"/>
      <c r="BY40" s="407"/>
      <c r="BZ40" s="87"/>
      <c r="CA40" s="103"/>
      <c r="CB40" s="402"/>
      <c r="CC40" s="405"/>
      <c r="CD40" s="406"/>
      <c r="CE40" s="87"/>
      <c r="CF40" s="87"/>
      <c r="CG40" s="402"/>
      <c r="CH40" s="408" t="s">
        <v>40</v>
      </c>
      <c r="CI40" s="409" t="s">
        <v>40</v>
      </c>
      <c r="CJ40" s="217"/>
      <c r="CK40" s="217"/>
      <c r="CL40" s="217"/>
      <c r="CM40" s="218"/>
    </row>
    <row r="41" spans="1:91" ht="25.5" customHeight="1" x14ac:dyDescent="0.2">
      <c r="A41" s="324">
        <v>132</v>
      </c>
      <c r="B41" s="72">
        <v>0</v>
      </c>
      <c r="C41" s="79">
        <v>4</v>
      </c>
      <c r="D41" s="79" t="s">
        <v>330</v>
      </c>
      <c r="E41" s="77" t="s">
        <v>753</v>
      </c>
      <c r="F41" s="296" t="s">
        <v>1110</v>
      </c>
      <c r="G41" s="79" t="s">
        <v>95</v>
      </c>
      <c r="H41" s="134" t="s">
        <v>836</v>
      </c>
      <c r="I41" s="142"/>
      <c r="J41" s="76"/>
      <c r="K41" s="141"/>
      <c r="L41" s="367"/>
      <c r="M41" s="307"/>
      <c r="N41" s="307"/>
      <c r="O41" s="307"/>
      <c r="P41" s="369"/>
      <c r="Q41" s="274"/>
      <c r="R41" s="79"/>
      <c r="S41" s="307"/>
      <c r="T41" s="307"/>
      <c r="U41" s="370"/>
      <c r="V41" s="306"/>
      <c r="W41" s="307"/>
      <c r="X41" s="307"/>
      <c r="Y41" s="307"/>
      <c r="Z41" s="369"/>
      <c r="AA41" s="367"/>
      <c r="AB41" s="307"/>
      <c r="AC41" s="307"/>
      <c r="AD41" s="307"/>
      <c r="AE41" s="370"/>
      <c r="AF41" s="306"/>
      <c r="AG41" s="307"/>
      <c r="AH41" s="307"/>
      <c r="AI41" s="307"/>
      <c r="AJ41" s="178"/>
      <c r="AK41" s="274"/>
      <c r="AL41" s="307"/>
      <c r="AM41" s="307"/>
      <c r="AN41" s="307"/>
      <c r="AO41" s="370"/>
      <c r="AP41" s="306"/>
      <c r="AQ41" s="307"/>
      <c r="AR41" s="307"/>
      <c r="AS41" s="79"/>
      <c r="AT41" s="178"/>
      <c r="AU41" s="367"/>
      <c r="AV41" s="307"/>
      <c r="AW41" s="307"/>
      <c r="AX41" s="307"/>
      <c r="AY41" s="370"/>
      <c r="AZ41" s="306"/>
      <c r="BA41" s="307"/>
      <c r="BB41" s="307"/>
      <c r="BC41" s="307"/>
      <c r="BD41" s="369"/>
      <c r="BE41" s="274"/>
      <c r="BF41" s="79"/>
      <c r="BG41" s="307"/>
      <c r="BH41" s="307"/>
      <c r="BI41" s="370"/>
      <c r="BJ41" s="413"/>
      <c r="BK41" s="307"/>
      <c r="BL41" s="307"/>
      <c r="BM41" s="310"/>
      <c r="BN41" s="411"/>
      <c r="BO41" s="485"/>
      <c r="BP41" s="310"/>
      <c r="BQ41" s="79"/>
      <c r="BR41" s="79"/>
      <c r="BS41" s="370"/>
      <c r="BT41" s="261"/>
      <c r="BU41" s="79"/>
      <c r="BV41" s="307"/>
      <c r="BW41" s="307"/>
      <c r="BX41" s="369"/>
      <c r="BY41" s="367"/>
      <c r="BZ41" s="79"/>
      <c r="CA41" s="79"/>
      <c r="CB41" s="307"/>
      <c r="CC41" s="370"/>
      <c r="CD41" s="306"/>
      <c r="CE41" s="79"/>
      <c r="CF41" s="79"/>
      <c r="CG41" s="307"/>
      <c r="CH41" s="374" t="s">
        <v>40</v>
      </c>
      <c r="CI41" s="373" t="s">
        <v>40</v>
      </c>
      <c r="CJ41" s="202"/>
      <c r="CK41" s="202"/>
      <c r="CL41" s="202"/>
      <c r="CM41" s="203"/>
    </row>
    <row r="42" spans="1:91" ht="25.5" customHeight="1" x14ac:dyDescent="0.2">
      <c r="A42" s="324">
        <v>133</v>
      </c>
      <c r="B42" s="72">
        <v>0</v>
      </c>
      <c r="C42" s="79">
        <v>4</v>
      </c>
      <c r="D42" s="79" t="s">
        <v>330</v>
      </c>
      <c r="E42" s="177" t="s">
        <v>947</v>
      </c>
      <c r="F42" s="76" t="s">
        <v>714</v>
      </c>
      <c r="G42" s="107" t="s">
        <v>95</v>
      </c>
      <c r="H42" s="134" t="s">
        <v>948</v>
      </c>
      <c r="I42" s="142"/>
      <c r="J42" s="76"/>
      <c r="K42" s="141"/>
      <c r="L42" s="367"/>
      <c r="M42" s="307"/>
      <c r="N42" s="307"/>
      <c r="O42" s="307"/>
      <c r="P42" s="369"/>
      <c r="Q42" s="274"/>
      <c r="R42" s="79"/>
      <c r="S42" s="307"/>
      <c r="T42" s="307"/>
      <c r="U42" s="370"/>
      <c r="V42" s="306"/>
      <c r="W42" s="307"/>
      <c r="X42" s="307"/>
      <c r="Y42" s="307"/>
      <c r="Z42" s="369"/>
      <c r="AA42" s="367"/>
      <c r="AB42" s="307"/>
      <c r="AC42" s="307"/>
      <c r="AD42" s="307"/>
      <c r="AE42" s="370"/>
      <c r="AF42" s="306"/>
      <c r="AG42" s="307"/>
      <c r="AH42" s="307"/>
      <c r="AI42" s="307"/>
      <c r="AJ42" s="178"/>
      <c r="AK42" s="274"/>
      <c r="AL42" s="307"/>
      <c r="AM42" s="307"/>
      <c r="AN42" s="307"/>
      <c r="AO42" s="370"/>
      <c r="AP42" s="306"/>
      <c r="AQ42" s="307"/>
      <c r="AR42" s="307"/>
      <c r="AS42" s="79"/>
      <c r="AT42" s="178"/>
      <c r="AU42" s="367"/>
      <c r="AV42" s="307"/>
      <c r="AW42" s="307"/>
      <c r="AX42" s="307"/>
      <c r="AY42" s="370"/>
      <c r="AZ42" s="306"/>
      <c r="BA42" s="307"/>
      <c r="BB42" s="307"/>
      <c r="BC42" s="307"/>
      <c r="BD42" s="369"/>
      <c r="BE42" s="274"/>
      <c r="BF42" s="79"/>
      <c r="BG42" s="307"/>
      <c r="BH42" s="307"/>
      <c r="BI42" s="370"/>
      <c r="BJ42" s="306"/>
      <c r="BK42" s="307"/>
      <c r="BL42" s="307"/>
      <c r="BM42" s="307"/>
      <c r="BN42" s="369"/>
      <c r="BO42" s="367"/>
      <c r="BP42" s="307"/>
      <c r="BQ42" s="79"/>
      <c r="BR42" s="79"/>
      <c r="BS42" s="370"/>
      <c r="BT42" s="261"/>
      <c r="BU42" s="79"/>
      <c r="BV42" s="307"/>
      <c r="BW42" s="307"/>
      <c r="BX42" s="369"/>
      <c r="BY42" s="367"/>
      <c r="BZ42" s="79"/>
      <c r="CA42" s="79"/>
      <c r="CB42" s="307"/>
      <c r="CC42" s="370"/>
      <c r="CD42" s="306"/>
      <c r="CE42" s="79"/>
      <c r="CF42" s="79"/>
      <c r="CG42" s="307"/>
      <c r="CH42" s="374" t="s">
        <v>40</v>
      </c>
      <c r="CI42" s="373" t="s">
        <v>40</v>
      </c>
      <c r="CJ42" s="202"/>
      <c r="CK42" s="202"/>
      <c r="CL42" s="202"/>
      <c r="CM42" s="203"/>
    </row>
    <row r="43" spans="1:91" ht="25.5" customHeight="1" x14ac:dyDescent="0.2">
      <c r="A43" s="324">
        <v>134</v>
      </c>
      <c r="B43" s="72">
        <v>0</v>
      </c>
      <c r="C43" s="79">
        <v>4</v>
      </c>
      <c r="D43" s="79" t="s">
        <v>331</v>
      </c>
      <c r="E43" s="77" t="s">
        <v>754</v>
      </c>
      <c r="F43" s="296" t="s">
        <v>1109</v>
      </c>
      <c r="G43" s="79" t="s">
        <v>96</v>
      </c>
      <c r="H43" s="134" t="s">
        <v>837</v>
      </c>
      <c r="I43" s="142"/>
      <c r="J43" s="76"/>
      <c r="K43" s="141"/>
      <c r="L43" s="367"/>
      <c r="M43" s="307"/>
      <c r="N43" s="307"/>
      <c r="O43" s="307"/>
      <c r="P43" s="369"/>
      <c r="Q43" s="274"/>
      <c r="R43" s="79"/>
      <c r="S43" s="307"/>
      <c r="T43" s="307"/>
      <c r="U43" s="370"/>
      <c r="V43" s="306"/>
      <c r="W43" s="307"/>
      <c r="X43" s="307"/>
      <c r="Y43" s="307"/>
      <c r="Z43" s="369"/>
      <c r="AA43" s="367"/>
      <c r="AB43" s="307"/>
      <c r="AC43" s="307"/>
      <c r="AD43" s="307"/>
      <c r="AE43" s="370"/>
      <c r="AF43" s="306"/>
      <c r="AG43" s="307"/>
      <c r="AH43" s="307"/>
      <c r="AI43" s="307"/>
      <c r="AJ43" s="178"/>
      <c r="AK43" s="274"/>
      <c r="AL43" s="307"/>
      <c r="AM43" s="307"/>
      <c r="AN43" s="307"/>
      <c r="AO43" s="370"/>
      <c r="AP43" s="306"/>
      <c r="AQ43" s="307"/>
      <c r="AR43" s="307"/>
      <c r="AS43" s="79"/>
      <c r="AT43" s="178"/>
      <c r="AU43" s="367"/>
      <c r="AV43" s="307"/>
      <c r="AW43" s="307"/>
      <c r="AX43" s="307"/>
      <c r="AY43" s="370"/>
      <c r="AZ43" s="306"/>
      <c r="BA43" s="307"/>
      <c r="BB43" s="307"/>
      <c r="BC43" s="307"/>
      <c r="BD43" s="369"/>
      <c r="BE43" s="274"/>
      <c r="BF43" s="79"/>
      <c r="BG43" s="307"/>
      <c r="BH43" s="307"/>
      <c r="BI43" s="370"/>
      <c r="BJ43" s="306"/>
      <c r="BK43" s="307"/>
      <c r="BL43" s="307"/>
      <c r="BM43" s="307"/>
      <c r="BN43" s="369"/>
      <c r="BO43" s="367"/>
      <c r="BP43" s="307"/>
      <c r="BQ43" s="79"/>
      <c r="BR43" s="79"/>
      <c r="BS43" s="370"/>
      <c r="BT43" s="261"/>
      <c r="BU43" s="79"/>
      <c r="BV43" s="307"/>
      <c r="BW43" s="307"/>
      <c r="BX43" s="369"/>
      <c r="BY43" s="367"/>
      <c r="BZ43" s="79"/>
      <c r="CA43" s="79"/>
      <c r="CB43" s="307"/>
      <c r="CC43" s="370"/>
      <c r="CD43" s="306"/>
      <c r="CE43" s="79"/>
      <c r="CF43" s="79"/>
      <c r="CG43" s="307"/>
      <c r="CH43" s="374" t="s">
        <v>40</v>
      </c>
      <c r="CI43" s="373" t="s">
        <v>40</v>
      </c>
      <c r="CJ43" s="202"/>
      <c r="CK43" s="202"/>
      <c r="CL43" s="202"/>
      <c r="CM43" s="203"/>
    </row>
    <row r="44" spans="1:91" ht="25.5" customHeight="1" thickBot="1" x14ac:dyDescent="0.25">
      <c r="A44" s="325">
        <v>135</v>
      </c>
      <c r="B44" s="73">
        <v>0</v>
      </c>
      <c r="C44" s="74">
        <v>4</v>
      </c>
      <c r="D44" s="74" t="s">
        <v>331</v>
      </c>
      <c r="E44" s="126" t="s">
        <v>755</v>
      </c>
      <c r="F44" s="479" t="s">
        <v>1110</v>
      </c>
      <c r="G44" s="74" t="s">
        <v>96</v>
      </c>
      <c r="H44" s="135" t="s">
        <v>838</v>
      </c>
      <c r="I44" s="269">
        <v>5</v>
      </c>
      <c r="J44" s="89" t="s">
        <v>64</v>
      </c>
      <c r="K44" s="270">
        <v>17</v>
      </c>
      <c r="L44" s="376"/>
      <c r="M44" s="377"/>
      <c r="N44" s="377"/>
      <c r="O44" s="377"/>
      <c r="P44" s="378" t="s">
        <v>122</v>
      </c>
      <c r="Q44" s="275"/>
      <c r="R44" s="74"/>
      <c r="S44" s="379"/>
      <c r="T44" s="379"/>
      <c r="U44" s="380"/>
      <c r="V44" s="381"/>
      <c r="W44" s="379"/>
      <c r="X44" s="379"/>
      <c r="Y44" s="379"/>
      <c r="Z44" s="382"/>
      <c r="AA44" s="383"/>
      <c r="AB44" s="379"/>
      <c r="AC44" s="379"/>
      <c r="AD44" s="379"/>
      <c r="AE44" s="380"/>
      <c r="AF44" s="381"/>
      <c r="AG44" s="379"/>
      <c r="AH44" s="379"/>
      <c r="AI44" s="379"/>
      <c r="AJ44" s="276"/>
      <c r="AK44" s="275"/>
      <c r="AL44" s="379"/>
      <c r="AM44" s="379"/>
      <c r="AN44" s="379"/>
      <c r="AO44" s="380"/>
      <c r="AP44" s="381"/>
      <c r="AQ44" s="379"/>
      <c r="AR44" s="379"/>
      <c r="AS44" s="74"/>
      <c r="AT44" s="276"/>
      <c r="AU44" s="383"/>
      <c r="AV44" s="379"/>
      <c r="AW44" s="379"/>
      <c r="AX44" s="379"/>
      <c r="AY44" s="380"/>
      <c r="AZ44" s="381"/>
      <c r="BA44" s="379"/>
      <c r="BB44" s="379"/>
      <c r="BC44" s="379"/>
      <c r="BD44" s="382"/>
      <c r="BE44" s="275"/>
      <c r="BF44" s="74"/>
      <c r="BG44" s="379"/>
      <c r="BH44" s="379"/>
      <c r="BI44" s="380"/>
      <c r="BJ44" s="384" t="s">
        <v>120</v>
      </c>
      <c r="BK44" s="379"/>
      <c r="BL44" s="379"/>
      <c r="BM44" s="379"/>
      <c r="BN44" s="382"/>
      <c r="BO44" s="383"/>
      <c r="BP44" s="385" t="s">
        <v>121</v>
      </c>
      <c r="BQ44" s="74"/>
      <c r="BR44" s="74"/>
      <c r="BS44" s="380"/>
      <c r="BT44" s="277"/>
      <c r="BU44" s="74"/>
      <c r="BV44" s="379"/>
      <c r="BW44" s="379"/>
      <c r="BX44" s="382"/>
      <c r="BY44" s="383"/>
      <c r="BZ44" s="74"/>
      <c r="CA44" s="74"/>
      <c r="CB44" s="379"/>
      <c r="CC44" s="380"/>
      <c r="CD44" s="381"/>
      <c r="CE44" s="74"/>
      <c r="CF44" s="74"/>
      <c r="CG44" s="379"/>
      <c r="CH44" s="386" t="s">
        <v>40</v>
      </c>
      <c r="CI44" s="384" t="s">
        <v>40</v>
      </c>
      <c r="CJ44" s="206"/>
      <c r="CK44" s="206"/>
      <c r="CL44" s="206"/>
      <c r="CM44" s="207"/>
    </row>
    <row r="45" spans="1:91" ht="25.5" customHeight="1" x14ac:dyDescent="0.2">
      <c r="A45" s="318">
        <v>136</v>
      </c>
      <c r="B45" s="75">
        <v>0</v>
      </c>
      <c r="C45" s="92">
        <v>4</v>
      </c>
      <c r="D45" s="92" t="s">
        <v>331</v>
      </c>
      <c r="E45" s="93" t="s">
        <v>949</v>
      </c>
      <c r="F45" s="130" t="s">
        <v>714</v>
      </c>
      <c r="G45" s="92" t="s">
        <v>96</v>
      </c>
      <c r="H45" s="113" t="s">
        <v>950</v>
      </c>
      <c r="I45" s="259"/>
      <c r="J45" s="130"/>
      <c r="K45" s="260"/>
      <c r="L45" s="308"/>
      <c r="M45" s="304"/>
      <c r="N45" s="304"/>
      <c r="O45" s="304"/>
      <c r="P45" s="359"/>
      <c r="Q45" s="272"/>
      <c r="R45" s="92"/>
      <c r="S45" s="304"/>
      <c r="T45" s="304"/>
      <c r="U45" s="361"/>
      <c r="V45" s="362"/>
      <c r="W45" s="304"/>
      <c r="X45" s="304"/>
      <c r="Y45" s="304"/>
      <c r="Z45" s="359"/>
      <c r="AA45" s="308"/>
      <c r="AB45" s="304"/>
      <c r="AC45" s="304"/>
      <c r="AD45" s="304"/>
      <c r="AE45" s="361"/>
      <c r="AF45" s="362"/>
      <c r="AG45" s="304"/>
      <c r="AH45" s="304"/>
      <c r="AI45" s="304"/>
      <c r="AJ45" s="273"/>
      <c r="AK45" s="272"/>
      <c r="AL45" s="304"/>
      <c r="AM45" s="304"/>
      <c r="AN45" s="304"/>
      <c r="AO45" s="361"/>
      <c r="AP45" s="362"/>
      <c r="AQ45" s="304"/>
      <c r="AR45" s="304"/>
      <c r="AS45" s="92"/>
      <c r="AT45" s="273"/>
      <c r="AU45" s="308"/>
      <c r="AV45" s="304"/>
      <c r="AW45" s="304"/>
      <c r="AX45" s="304"/>
      <c r="AY45" s="361"/>
      <c r="AZ45" s="362"/>
      <c r="BA45" s="304"/>
      <c r="BB45" s="304"/>
      <c r="BC45" s="304"/>
      <c r="BD45" s="359"/>
      <c r="BE45" s="272"/>
      <c r="BF45" s="92"/>
      <c r="BG45" s="304"/>
      <c r="BH45" s="304"/>
      <c r="BI45" s="361"/>
      <c r="BJ45" s="362"/>
      <c r="BK45" s="304"/>
      <c r="BL45" s="304"/>
      <c r="BM45" s="304"/>
      <c r="BN45" s="359"/>
      <c r="BO45" s="308"/>
      <c r="BP45" s="304"/>
      <c r="BQ45" s="92"/>
      <c r="BR45" s="92"/>
      <c r="BS45" s="361"/>
      <c r="BT45" s="258"/>
      <c r="BU45" s="92"/>
      <c r="BV45" s="304"/>
      <c r="BW45" s="304"/>
      <c r="BX45" s="359"/>
      <c r="BY45" s="308"/>
      <c r="BZ45" s="92"/>
      <c r="CA45" s="92"/>
      <c r="CB45" s="304"/>
      <c r="CC45" s="361"/>
      <c r="CD45" s="362"/>
      <c r="CE45" s="92"/>
      <c r="CF45" s="92"/>
      <c r="CG45" s="304"/>
      <c r="CH45" s="363" t="s">
        <v>40</v>
      </c>
      <c r="CI45" s="364" t="s">
        <v>40</v>
      </c>
      <c r="CJ45" s="210"/>
      <c r="CK45" s="210"/>
      <c r="CL45" s="210"/>
      <c r="CM45" s="211"/>
    </row>
    <row r="46" spans="1:91" ht="25.5" customHeight="1" x14ac:dyDescent="0.2">
      <c r="A46" s="324">
        <v>137</v>
      </c>
      <c r="B46" s="72">
        <v>0</v>
      </c>
      <c r="C46" s="79">
        <v>4</v>
      </c>
      <c r="D46" s="72" t="s">
        <v>332</v>
      </c>
      <c r="E46" s="80" t="s">
        <v>756</v>
      </c>
      <c r="F46" s="76"/>
      <c r="G46" s="72" t="s">
        <v>97</v>
      </c>
      <c r="H46" s="78" t="s">
        <v>591</v>
      </c>
      <c r="I46" s="142">
        <v>5</v>
      </c>
      <c r="J46" s="76"/>
      <c r="K46" s="141"/>
      <c r="L46" s="446"/>
      <c r="M46" s="297"/>
      <c r="N46" s="297"/>
      <c r="O46" s="297"/>
      <c r="P46" s="372" t="s">
        <v>122</v>
      </c>
      <c r="Q46" s="274"/>
      <c r="R46" s="79"/>
      <c r="S46" s="307"/>
      <c r="T46" s="307"/>
      <c r="U46" s="370"/>
      <c r="V46" s="306"/>
      <c r="W46" s="307"/>
      <c r="X46" s="307"/>
      <c r="Y46" s="307"/>
      <c r="Z46" s="369"/>
      <c r="AA46" s="367"/>
      <c r="AB46" s="307"/>
      <c r="AC46" s="307"/>
      <c r="AD46" s="307"/>
      <c r="AE46" s="370"/>
      <c r="AF46" s="306"/>
      <c r="AG46" s="307"/>
      <c r="AH46" s="307"/>
      <c r="AI46" s="307"/>
      <c r="AJ46" s="178"/>
      <c r="AK46" s="274"/>
      <c r="AL46" s="307"/>
      <c r="AM46" s="307"/>
      <c r="AN46" s="307"/>
      <c r="AO46" s="370"/>
      <c r="AP46" s="306"/>
      <c r="AQ46" s="307"/>
      <c r="AR46" s="307"/>
      <c r="AS46" s="79"/>
      <c r="AT46" s="178"/>
      <c r="AU46" s="367"/>
      <c r="AV46" s="307"/>
      <c r="AW46" s="307"/>
      <c r="AX46" s="307"/>
      <c r="AY46" s="370"/>
      <c r="AZ46" s="306"/>
      <c r="BA46" s="307"/>
      <c r="BB46" s="307"/>
      <c r="BC46" s="307"/>
      <c r="BD46" s="369"/>
      <c r="BE46" s="274"/>
      <c r="BF46" s="79"/>
      <c r="BG46" s="307"/>
      <c r="BH46" s="307"/>
      <c r="BI46" s="370"/>
      <c r="BJ46" s="373" t="s">
        <v>120</v>
      </c>
      <c r="BK46" s="307"/>
      <c r="BL46" s="307"/>
      <c r="BM46" s="307"/>
      <c r="BN46" s="372" t="s">
        <v>121</v>
      </c>
      <c r="BO46" s="367"/>
      <c r="BP46" s="371" t="s">
        <v>121</v>
      </c>
      <c r="BQ46" s="79"/>
      <c r="BR46" s="79"/>
      <c r="BS46" s="370"/>
      <c r="BT46" s="261"/>
      <c r="BU46" s="79"/>
      <c r="BV46" s="307"/>
      <c r="BW46" s="307"/>
      <c r="BX46" s="369"/>
      <c r="BY46" s="367"/>
      <c r="BZ46" s="79"/>
      <c r="CA46" s="79"/>
      <c r="CB46" s="307"/>
      <c r="CC46" s="370"/>
      <c r="CD46" s="306"/>
      <c r="CE46" s="79"/>
      <c r="CF46" s="79"/>
      <c r="CG46" s="307"/>
      <c r="CH46" s="374" t="s">
        <v>40</v>
      </c>
      <c r="CI46" s="373" t="s">
        <v>40</v>
      </c>
      <c r="CJ46" s="202"/>
      <c r="CK46" s="202"/>
      <c r="CL46" s="202"/>
      <c r="CM46" s="203"/>
    </row>
    <row r="47" spans="1:91" ht="25.5" customHeight="1" x14ac:dyDescent="0.2">
      <c r="A47" s="324">
        <v>138</v>
      </c>
      <c r="B47" s="72">
        <v>0</v>
      </c>
      <c r="C47" s="79">
        <v>4</v>
      </c>
      <c r="D47" s="79" t="s">
        <v>336</v>
      </c>
      <c r="E47" s="77" t="s">
        <v>757</v>
      </c>
      <c r="F47" s="296" t="s">
        <v>1114</v>
      </c>
      <c r="G47" s="79" t="s">
        <v>337</v>
      </c>
      <c r="H47" s="78" t="s">
        <v>839</v>
      </c>
      <c r="I47" s="142"/>
      <c r="J47" s="76"/>
      <c r="K47" s="141">
        <v>11</v>
      </c>
      <c r="L47" s="367"/>
      <c r="M47" s="307"/>
      <c r="N47" s="307"/>
      <c r="O47" s="307"/>
      <c r="P47" s="369"/>
      <c r="Q47" s="274"/>
      <c r="R47" s="79"/>
      <c r="S47" s="307"/>
      <c r="T47" s="307"/>
      <c r="U47" s="370"/>
      <c r="V47" s="306"/>
      <c r="W47" s="307"/>
      <c r="X47" s="307"/>
      <c r="Y47" s="307"/>
      <c r="Z47" s="369"/>
      <c r="AA47" s="367"/>
      <c r="AB47" s="307"/>
      <c r="AC47" s="307"/>
      <c r="AD47" s="307"/>
      <c r="AE47" s="370"/>
      <c r="AF47" s="306"/>
      <c r="AG47" s="307"/>
      <c r="AH47" s="307"/>
      <c r="AI47" s="307"/>
      <c r="AJ47" s="178"/>
      <c r="AK47" s="274"/>
      <c r="AL47" s="307"/>
      <c r="AM47" s="307"/>
      <c r="AN47" s="307"/>
      <c r="AO47" s="370"/>
      <c r="AP47" s="306"/>
      <c r="AQ47" s="307"/>
      <c r="AR47" s="307"/>
      <c r="AS47" s="79"/>
      <c r="AT47" s="178"/>
      <c r="AU47" s="367"/>
      <c r="AV47" s="307"/>
      <c r="AW47" s="307"/>
      <c r="AX47" s="307"/>
      <c r="AY47" s="370"/>
      <c r="AZ47" s="306"/>
      <c r="BA47" s="307"/>
      <c r="BB47" s="307"/>
      <c r="BC47" s="307"/>
      <c r="BD47" s="369"/>
      <c r="BE47" s="274"/>
      <c r="BF47" s="79"/>
      <c r="BG47" s="307"/>
      <c r="BH47" s="307"/>
      <c r="BI47" s="370"/>
      <c r="BJ47" s="413"/>
      <c r="BK47" s="307"/>
      <c r="BL47" s="307"/>
      <c r="BM47" s="310"/>
      <c r="BN47" s="411"/>
      <c r="BO47" s="485"/>
      <c r="BP47" s="310"/>
      <c r="BQ47" s="79"/>
      <c r="BR47" s="79"/>
      <c r="BS47" s="370"/>
      <c r="BT47" s="261"/>
      <c r="BU47" s="79"/>
      <c r="BV47" s="307"/>
      <c r="BW47" s="307"/>
      <c r="BX47" s="369"/>
      <c r="BY47" s="367"/>
      <c r="BZ47" s="79"/>
      <c r="CA47" s="79"/>
      <c r="CB47" s="307"/>
      <c r="CC47" s="370"/>
      <c r="CD47" s="306"/>
      <c r="CE47" s="79"/>
      <c r="CF47" s="79"/>
      <c r="CG47" s="307"/>
      <c r="CH47" s="374" t="s">
        <v>40</v>
      </c>
      <c r="CI47" s="373" t="s">
        <v>40</v>
      </c>
      <c r="CJ47" s="202"/>
      <c r="CK47" s="202"/>
      <c r="CL47" s="202"/>
      <c r="CM47" s="203"/>
    </row>
    <row r="48" spans="1:91" ht="25.5" customHeight="1" x14ac:dyDescent="0.2">
      <c r="A48" s="324">
        <v>139</v>
      </c>
      <c r="B48" s="72">
        <v>0</v>
      </c>
      <c r="C48" s="79">
        <v>4</v>
      </c>
      <c r="D48" s="79" t="s">
        <v>338</v>
      </c>
      <c r="E48" s="77" t="s">
        <v>951</v>
      </c>
      <c r="F48" s="297" t="s">
        <v>1111</v>
      </c>
      <c r="G48" s="79" t="s">
        <v>98</v>
      </c>
      <c r="H48" s="134" t="s">
        <v>954</v>
      </c>
      <c r="I48" s="142">
        <v>5</v>
      </c>
      <c r="J48" s="76" t="s">
        <v>64</v>
      </c>
      <c r="K48" s="141">
        <v>17</v>
      </c>
      <c r="L48" s="446"/>
      <c r="M48" s="297"/>
      <c r="N48" s="297"/>
      <c r="O48" s="297"/>
      <c r="P48" s="372" t="s">
        <v>122</v>
      </c>
      <c r="Q48" s="274"/>
      <c r="R48" s="76"/>
      <c r="S48" s="307"/>
      <c r="T48" s="310"/>
      <c r="U48" s="412"/>
      <c r="V48" s="413"/>
      <c r="W48" s="307"/>
      <c r="X48" s="307"/>
      <c r="Y48" s="307"/>
      <c r="Z48" s="369"/>
      <c r="AA48" s="485"/>
      <c r="AB48" s="310"/>
      <c r="AC48" s="307"/>
      <c r="AD48" s="307"/>
      <c r="AE48" s="412"/>
      <c r="AF48" s="413"/>
      <c r="AG48" s="310"/>
      <c r="AH48" s="307"/>
      <c r="AI48" s="307"/>
      <c r="AJ48" s="141"/>
      <c r="AK48" s="140"/>
      <c r="AL48" s="310"/>
      <c r="AM48" s="310"/>
      <c r="AN48" s="310"/>
      <c r="AO48" s="412"/>
      <c r="AP48" s="413"/>
      <c r="AQ48" s="310"/>
      <c r="AR48" s="310"/>
      <c r="AS48" s="76"/>
      <c r="AT48" s="141"/>
      <c r="AU48" s="485"/>
      <c r="AV48" s="310"/>
      <c r="AW48" s="310"/>
      <c r="AX48" s="310"/>
      <c r="AY48" s="412"/>
      <c r="AZ48" s="413"/>
      <c r="BA48" s="310"/>
      <c r="BB48" s="310"/>
      <c r="BC48" s="310"/>
      <c r="BD48" s="411"/>
      <c r="BE48" s="140"/>
      <c r="BF48" s="76"/>
      <c r="BG48" s="310"/>
      <c r="BH48" s="310"/>
      <c r="BI48" s="412"/>
      <c r="BJ48" s="373" t="s">
        <v>120</v>
      </c>
      <c r="BK48" s="310"/>
      <c r="BL48" s="307"/>
      <c r="BM48" s="307"/>
      <c r="BN48" s="372" t="s">
        <v>121</v>
      </c>
      <c r="BO48" s="367"/>
      <c r="BP48" s="371" t="s">
        <v>121</v>
      </c>
      <c r="BQ48" s="76"/>
      <c r="BR48" s="76"/>
      <c r="BS48" s="412"/>
      <c r="BT48" s="142"/>
      <c r="BU48" s="76"/>
      <c r="BV48" s="310"/>
      <c r="BW48" s="310"/>
      <c r="BX48" s="411"/>
      <c r="BY48" s="485"/>
      <c r="BZ48" s="76"/>
      <c r="CA48" s="76"/>
      <c r="CB48" s="310"/>
      <c r="CC48" s="412"/>
      <c r="CD48" s="413"/>
      <c r="CE48" s="76"/>
      <c r="CF48" s="79"/>
      <c r="CG48" s="310"/>
      <c r="CH48" s="470" t="s">
        <v>40</v>
      </c>
      <c r="CI48" s="471" t="s">
        <v>40</v>
      </c>
      <c r="CJ48" s="202"/>
      <c r="CK48" s="202"/>
      <c r="CL48" s="202"/>
      <c r="CM48" s="203"/>
    </row>
    <row r="49" spans="1:91" ht="25.5" customHeight="1" thickBot="1" x14ac:dyDescent="0.25">
      <c r="A49" s="331">
        <v>140</v>
      </c>
      <c r="B49" s="82">
        <v>0</v>
      </c>
      <c r="C49" s="190">
        <v>4</v>
      </c>
      <c r="D49" s="190" t="s">
        <v>339</v>
      </c>
      <c r="E49" s="100" t="s">
        <v>340</v>
      </c>
      <c r="F49" s="99"/>
      <c r="G49" s="101" t="s">
        <v>99</v>
      </c>
      <c r="H49" s="102" t="s">
        <v>840</v>
      </c>
      <c r="I49" s="257">
        <v>5</v>
      </c>
      <c r="J49" s="99" t="s">
        <v>64</v>
      </c>
      <c r="K49" s="264">
        <v>17</v>
      </c>
      <c r="L49" s="445"/>
      <c r="M49" s="463"/>
      <c r="N49" s="463"/>
      <c r="O49" s="463"/>
      <c r="P49" s="398" t="s">
        <v>122</v>
      </c>
      <c r="Q49" s="278"/>
      <c r="R49" s="99"/>
      <c r="S49" s="390"/>
      <c r="T49" s="422"/>
      <c r="U49" s="424"/>
      <c r="V49" s="425"/>
      <c r="W49" s="390"/>
      <c r="X49" s="390"/>
      <c r="Y49" s="390"/>
      <c r="Z49" s="391"/>
      <c r="AA49" s="491"/>
      <c r="AB49" s="422"/>
      <c r="AC49" s="390"/>
      <c r="AD49" s="390"/>
      <c r="AE49" s="424"/>
      <c r="AF49" s="425"/>
      <c r="AG49" s="422"/>
      <c r="AH49" s="390"/>
      <c r="AI49" s="390"/>
      <c r="AJ49" s="264"/>
      <c r="AK49" s="450"/>
      <c r="AL49" s="422"/>
      <c r="AM49" s="422"/>
      <c r="AN49" s="422"/>
      <c r="AO49" s="424"/>
      <c r="AP49" s="425"/>
      <c r="AQ49" s="422"/>
      <c r="AR49" s="422"/>
      <c r="AS49" s="99"/>
      <c r="AT49" s="264"/>
      <c r="AU49" s="491"/>
      <c r="AV49" s="422"/>
      <c r="AW49" s="422"/>
      <c r="AX49" s="422"/>
      <c r="AY49" s="424"/>
      <c r="AZ49" s="425"/>
      <c r="BA49" s="422"/>
      <c r="BB49" s="422"/>
      <c r="BC49" s="422"/>
      <c r="BD49" s="423"/>
      <c r="BE49" s="450"/>
      <c r="BF49" s="99"/>
      <c r="BG49" s="422"/>
      <c r="BH49" s="422"/>
      <c r="BI49" s="424"/>
      <c r="BJ49" s="397" t="s">
        <v>120</v>
      </c>
      <c r="BK49" s="422"/>
      <c r="BL49" s="390"/>
      <c r="BM49" s="390"/>
      <c r="BN49" s="398" t="s">
        <v>121</v>
      </c>
      <c r="BO49" s="491"/>
      <c r="BP49" s="392" t="s">
        <v>121</v>
      </c>
      <c r="BQ49" s="99"/>
      <c r="BR49" s="99"/>
      <c r="BS49" s="424"/>
      <c r="BT49" s="257"/>
      <c r="BU49" s="99"/>
      <c r="BV49" s="422"/>
      <c r="BW49" s="422"/>
      <c r="BX49" s="423"/>
      <c r="BY49" s="491"/>
      <c r="BZ49" s="99"/>
      <c r="CA49" s="99"/>
      <c r="CB49" s="422"/>
      <c r="CC49" s="424"/>
      <c r="CD49" s="425"/>
      <c r="CE49" s="99"/>
      <c r="CF49" s="190"/>
      <c r="CG49" s="422"/>
      <c r="CH49" s="488" t="s">
        <v>40</v>
      </c>
      <c r="CI49" s="486" t="s">
        <v>40</v>
      </c>
      <c r="CJ49" s="213"/>
      <c r="CK49" s="213"/>
      <c r="CL49" s="213"/>
      <c r="CM49" s="214"/>
    </row>
    <row r="50" spans="1:91" ht="25.5" customHeight="1" x14ac:dyDescent="0.2">
      <c r="A50" s="332">
        <v>141</v>
      </c>
      <c r="B50" s="85">
        <v>0</v>
      </c>
      <c r="C50" s="87">
        <v>4</v>
      </c>
      <c r="D50" s="87" t="s">
        <v>341</v>
      </c>
      <c r="E50" s="104" t="s">
        <v>342</v>
      </c>
      <c r="F50" s="103"/>
      <c r="G50" s="105" t="s">
        <v>343</v>
      </c>
      <c r="H50" s="106" t="s">
        <v>841</v>
      </c>
      <c r="I50" s="139">
        <v>5</v>
      </c>
      <c r="J50" s="103" t="s">
        <v>64</v>
      </c>
      <c r="K50" s="137">
        <v>17</v>
      </c>
      <c r="L50" s="447"/>
      <c r="M50" s="462"/>
      <c r="N50" s="462"/>
      <c r="O50" s="462"/>
      <c r="P50" s="410" t="s">
        <v>122</v>
      </c>
      <c r="Q50" s="281"/>
      <c r="R50" s="103"/>
      <c r="S50" s="402"/>
      <c r="T50" s="426"/>
      <c r="U50" s="428"/>
      <c r="V50" s="429"/>
      <c r="W50" s="402"/>
      <c r="X50" s="402"/>
      <c r="Y50" s="402"/>
      <c r="Z50" s="403"/>
      <c r="AA50" s="484"/>
      <c r="AB50" s="426"/>
      <c r="AC50" s="402"/>
      <c r="AD50" s="402"/>
      <c r="AE50" s="428"/>
      <c r="AF50" s="429"/>
      <c r="AG50" s="426"/>
      <c r="AH50" s="402"/>
      <c r="AI50" s="402"/>
      <c r="AJ50" s="137"/>
      <c r="AK50" s="136"/>
      <c r="AL50" s="426"/>
      <c r="AM50" s="426"/>
      <c r="AN50" s="426"/>
      <c r="AO50" s="428"/>
      <c r="AP50" s="429"/>
      <c r="AQ50" s="426"/>
      <c r="AR50" s="426"/>
      <c r="AS50" s="103"/>
      <c r="AT50" s="137"/>
      <c r="AU50" s="484"/>
      <c r="AV50" s="426"/>
      <c r="AW50" s="426"/>
      <c r="AX50" s="426"/>
      <c r="AY50" s="428"/>
      <c r="AZ50" s="429"/>
      <c r="BA50" s="426"/>
      <c r="BB50" s="426"/>
      <c r="BC50" s="426"/>
      <c r="BD50" s="427"/>
      <c r="BE50" s="136"/>
      <c r="BF50" s="103"/>
      <c r="BG50" s="426"/>
      <c r="BH50" s="426"/>
      <c r="BI50" s="428"/>
      <c r="BJ50" s="409" t="s">
        <v>120</v>
      </c>
      <c r="BK50" s="426"/>
      <c r="BL50" s="402"/>
      <c r="BM50" s="402"/>
      <c r="BN50" s="410" t="s">
        <v>121</v>
      </c>
      <c r="BO50" s="484"/>
      <c r="BP50" s="404" t="s">
        <v>121</v>
      </c>
      <c r="BQ50" s="103"/>
      <c r="BR50" s="103"/>
      <c r="BS50" s="428"/>
      <c r="BT50" s="139"/>
      <c r="BU50" s="103"/>
      <c r="BV50" s="426"/>
      <c r="BW50" s="426"/>
      <c r="BX50" s="427"/>
      <c r="BY50" s="484"/>
      <c r="BZ50" s="103"/>
      <c r="CA50" s="103"/>
      <c r="CB50" s="426"/>
      <c r="CC50" s="428"/>
      <c r="CD50" s="429"/>
      <c r="CE50" s="103"/>
      <c r="CF50" s="87"/>
      <c r="CG50" s="426"/>
      <c r="CH50" s="489" t="s">
        <v>40</v>
      </c>
      <c r="CI50" s="487" t="s">
        <v>40</v>
      </c>
      <c r="CJ50" s="217"/>
      <c r="CK50" s="217"/>
      <c r="CL50" s="217"/>
      <c r="CM50" s="218"/>
    </row>
    <row r="51" spans="1:91" ht="25.5" customHeight="1" x14ac:dyDescent="0.2">
      <c r="A51" s="324">
        <v>142</v>
      </c>
      <c r="B51" s="72">
        <v>0</v>
      </c>
      <c r="C51" s="79">
        <v>4</v>
      </c>
      <c r="D51" s="79" t="s">
        <v>344</v>
      </c>
      <c r="E51" s="77" t="s">
        <v>758</v>
      </c>
      <c r="F51" s="297" t="s">
        <v>1111</v>
      </c>
      <c r="G51" s="79" t="s">
        <v>100</v>
      </c>
      <c r="H51" s="134" t="s">
        <v>842</v>
      </c>
      <c r="I51" s="142">
        <v>5</v>
      </c>
      <c r="J51" s="76" t="s">
        <v>64</v>
      </c>
      <c r="K51" s="141">
        <v>17</v>
      </c>
      <c r="L51" s="446"/>
      <c r="M51" s="297"/>
      <c r="N51" s="297"/>
      <c r="O51" s="297"/>
      <c r="P51" s="372" t="s">
        <v>122</v>
      </c>
      <c r="Q51" s="274"/>
      <c r="R51" s="76"/>
      <c r="S51" s="307"/>
      <c r="T51" s="310"/>
      <c r="U51" s="412"/>
      <c r="V51" s="413"/>
      <c r="W51" s="307"/>
      <c r="X51" s="307"/>
      <c r="Y51" s="307"/>
      <c r="Z51" s="369"/>
      <c r="AA51" s="485"/>
      <c r="AB51" s="310"/>
      <c r="AC51" s="307"/>
      <c r="AD51" s="307"/>
      <c r="AE51" s="412"/>
      <c r="AF51" s="413"/>
      <c r="AG51" s="310"/>
      <c r="AH51" s="307"/>
      <c r="AI51" s="307"/>
      <c r="AJ51" s="141"/>
      <c r="AK51" s="140"/>
      <c r="AL51" s="310"/>
      <c r="AM51" s="310"/>
      <c r="AN51" s="310"/>
      <c r="AO51" s="412"/>
      <c r="AP51" s="413"/>
      <c r="AQ51" s="310"/>
      <c r="AR51" s="310"/>
      <c r="AS51" s="76"/>
      <c r="AT51" s="141"/>
      <c r="AU51" s="485"/>
      <c r="AV51" s="310"/>
      <c r="AW51" s="310"/>
      <c r="AX51" s="310"/>
      <c r="AY51" s="412"/>
      <c r="AZ51" s="413"/>
      <c r="BA51" s="310"/>
      <c r="BB51" s="310"/>
      <c r="BC51" s="310"/>
      <c r="BD51" s="411"/>
      <c r="BE51" s="140"/>
      <c r="BF51" s="76"/>
      <c r="BG51" s="310"/>
      <c r="BH51" s="310"/>
      <c r="BI51" s="412"/>
      <c r="BJ51" s="373" t="s">
        <v>120</v>
      </c>
      <c r="BK51" s="310"/>
      <c r="BL51" s="307"/>
      <c r="BM51" s="307"/>
      <c r="BN51" s="372" t="s">
        <v>121</v>
      </c>
      <c r="BO51" s="367"/>
      <c r="BP51" s="371" t="s">
        <v>121</v>
      </c>
      <c r="BQ51" s="76"/>
      <c r="BR51" s="76"/>
      <c r="BS51" s="412"/>
      <c r="BT51" s="142"/>
      <c r="BU51" s="76"/>
      <c r="BV51" s="310"/>
      <c r="BW51" s="310"/>
      <c r="BX51" s="411"/>
      <c r="BY51" s="485"/>
      <c r="BZ51" s="76"/>
      <c r="CA51" s="76"/>
      <c r="CB51" s="310"/>
      <c r="CC51" s="412"/>
      <c r="CD51" s="413"/>
      <c r="CE51" s="76"/>
      <c r="CF51" s="79"/>
      <c r="CG51" s="310"/>
      <c r="CH51" s="470" t="s">
        <v>40</v>
      </c>
      <c r="CI51" s="471" t="s">
        <v>40</v>
      </c>
      <c r="CJ51" s="202"/>
      <c r="CK51" s="202"/>
      <c r="CL51" s="202"/>
      <c r="CM51" s="203"/>
    </row>
    <row r="52" spans="1:91" ht="25.5" customHeight="1" x14ac:dyDescent="0.2">
      <c r="A52" s="324">
        <v>143</v>
      </c>
      <c r="B52" s="72">
        <v>0</v>
      </c>
      <c r="C52" s="79">
        <v>4</v>
      </c>
      <c r="D52" s="79" t="s">
        <v>345</v>
      </c>
      <c r="E52" s="96" t="s">
        <v>346</v>
      </c>
      <c r="F52" s="76"/>
      <c r="G52" s="95" t="s">
        <v>101</v>
      </c>
      <c r="H52" s="97" t="s">
        <v>843</v>
      </c>
      <c r="I52" s="142">
        <v>5</v>
      </c>
      <c r="J52" s="76" t="s">
        <v>64</v>
      </c>
      <c r="K52" s="141">
        <v>17</v>
      </c>
      <c r="L52" s="446"/>
      <c r="M52" s="297"/>
      <c r="N52" s="297"/>
      <c r="O52" s="297"/>
      <c r="P52" s="372" t="s">
        <v>122</v>
      </c>
      <c r="Q52" s="274"/>
      <c r="R52" s="76"/>
      <c r="S52" s="307"/>
      <c r="T52" s="310"/>
      <c r="U52" s="412"/>
      <c r="V52" s="413"/>
      <c r="W52" s="307"/>
      <c r="X52" s="307"/>
      <c r="Y52" s="307"/>
      <c r="Z52" s="369"/>
      <c r="AA52" s="485"/>
      <c r="AB52" s="310"/>
      <c r="AC52" s="307"/>
      <c r="AD52" s="307"/>
      <c r="AE52" s="412"/>
      <c r="AF52" s="413"/>
      <c r="AG52" s="310"/>
      <c r="AH52" s="307"/>
      <c r="AI52" s="307"/>
      <c r="AJ52" s="141"/>
      <c r="AK52" s="140"/>
      <c r="AL52" s="310"/>
      <c r="AM52" s="310"/>
      <c r="AN52" s="310"/>
      <c r="AO52" s="412"/>
      <c r="AP52" s="413"/>
      <c r="AQ52" s="310"/>
      <c r="AR52" s="310"/>
      <c r="AS52" s="76"/>
      <c r="AT52" s="141"/>
      <c r="AU52" s="485"/>
      <c r="AV52" s="310"/>
      <c r="AW52" s="310"/>
      <c r="AX52" s="310"/>
      <c r="AY52" s="412"/>
      <c r="AZ52" s="413"/>
      <c r="BA52" s="310"/>
      <c r="BB52" s="310"/>
      <c r="BC52" s="310"/>
      <c r="BD52" s="411"/>
      <c r="BE52" s="140"/>
      <c r="BF52" s="76"/>
      <c r="BG52" s="310"/>
      <c r="BH52" s="310"/>
      <c r="BI52" s="412"/>
      <c r="BJ52" s="373" t="s">
        <v>120</v>
      </c>
      <c r="BK52" s="310"/>
      <c r="BL52" s="307"/>
      <c r="BM52" s="307"/>
      <c r="BN52" s="372" t="s">
        <v>121</v>
      </c>
      <c r="BO52" s="485"/>
      <c r="BP52" s="371" t="s">
        <v>121</v>
      </c>
      <c r="BQ52" s="76"/>
      <c r="BR52" s="76"/>
      <c r="BS52" s="412"/>
      <c r="BT52" s="142"/>
      <c r="BU52" s="76"/>
      <c r="BV52" s="310"/>
      <c r="BW52" s="310"/>
      <c r="BX52" s="411"/>
      <c r="BY52" s="485"/>
      <c r="BZ52" s="76"/>
      <c r="CA52" s="76"/>
      <c r="CB52" s="310"/>
      <c r="CC52" s="412"/>
      <c r="CD52" s="413"/>
      <c r="CE52" s="76"/>
      <c r="CF52" s="79"/>
      <c r="CG52" s="310"/>
      <c r="CH52" s="470" t="s">
        <v>40</v>
      </c>
      <c r="CI52" s="471" t="s">
        <v>40</v>
      </c>
      <c r="CJ52" s="202"/>
      <c r="CK52" s="202"/>
      <c r="CL52" s="202"/>
      <c r="CM52" s="203"/>
    </row>
    <row r="53" spans="1:91" ht="25.5" customHeight="1" x14ac:dyDescent="0.2">
      <c r="A53" s="324">
        <v>144</v>
      </c>
      <c r="B53" s="72">
        <v>0</v>
      </c>
      <c r="C53" s="79">
        <v>4</v>
      </c>
      <c r="D53" s="79" t="s">
        <v>347</v>
      </c>
      <c r="E53" s="96" t="s">
        <v>348</v>
      </c>
      <c r="F53" s="76"/>
      <c r="G53" s="95" t="s">
        <v>102</v>
      </c>
      <c r="H53" s="97" t="s">
        <v>844</v>
      </c>
      <c r="I53" s="142">
        <v>5</v>
      </c>
      <c r="J53" s="76" t="s">
        <v>64</v>
      </c>
      <c r="K53" s="141">
        <v>17</v>
      </c>
      <c r="L53" s="446"/>
      <c r="M53" s="297"/>
      <c r="N53" s="297"/>
      <c r="O53" s="297"/>
      <c r="P53" s="372" t="s">
        <v>122</v>
      </c>
      <c r="Q53" s="274"/>
      <c r="R53" s="76"/>
      <c r="S53" s="307"/>
      <c r="T53" s="310"/>
      <c r="U53" s="412"/>
      <c r="V53" s="413"/>
      <c r="W53" s="307"/>
      <c r="X53" s="307"/>
      <c r="Y53" s="307"/>
      <c r="Z53" s="369"/>
      <c r="AA53" s="485"/>
      <c r="AB53" s="310"/>
      <c r="AC53" s="307"/>
      <c r="AD53" s="307"/>
      <c r="AE53" s="412"/>
      <c r="AF53" s="413"/>
      <c r="AG53" s="310"/>
      <c r="AH53" s="307"/>
      <c r="AI53" s="307"/>
      <c r="AJ53" s="141"/>
      <c r="AK53" s="140"/>
      <c r="AL53" s="310"/>
      <c r="AM53" s="310"/>
      <c r="AN53" s="310"/>
      <c r="AO53" s="412"/>
      <c r="AP53" s="413"/>
      <c r="AQ53" s="310"/>
      <c r="AR53" s="310"/>
      <c r="AS53" s="76"/>
      <c r="AT53" s="141"/>
      <c r="AU53" s="485"/>
      <c r="AV53" s="310"/>
      <c r="AW53" s="310"/>
      <c r="AX53" s="310"/>
      <c r="AY53" s="412"/>
      <c r="AZ53" s="413"/>
      <c r="BA53" s="310"/>
      <c r="BB53" s="310"/>
      <c r="BC53" s="310"/>
      <c r="BD53" s="411"/>
      <c r="BE53" s="140"/>
      <c r="BF53" s="76"/>
      <c r="BG53" s="310"/>
      <c r="BH53" s="310"/>
      <c r="BI53" s="412"/>
      <c r="BJ53" s="373" t="s">
        <v>120</v>
      </c>
      <c r="BK53" s="310"/>
      <c r="BL53" s="307"/>
      <c r="BM53" s="307"/>
      <c r="BN53" s="372" t="s">
        <v>121</v>
      </c>
      <c r="BO53" s="485"/>
      <c r="BP53" s="371" t="s">
        <v>121</v>
      </c>
      <c r="BQ53" s="76"/>
      <c r="BR53" s="76"/>
      <c r="BS53" s="412"/>
      <c r="BT53" s="142"/>
      <c r="BU53" s="76"/>
      <c r="BV53" s="310"/>
      <c r="BW53" s="310"/>
      <c r="BX53" s="411"/>
      <c r="BY53" s="485"/>
      <c r="BZ53" s="76"/>
      <c r="CA53" s="76"/>
      <c r="CB53" s="310"/>
      <c r="CC53" s="412"/>
      <c r="CD53" s="413"/>
      <c r="CE53" s="76"/>
      <c r="CF53" s="79"/>
      <c r="CG53" s="310"/>
      <c r="CH53" s="470" t="s">
        <v>40</v>
      </c>
      <c r="CI53" s="471" t="s">
        <v>40</v>
      </c>
      <c r="CJ53" s="202"/>
      <c r="CK53" s="202"/>
      <c r="CL53" s="202"/>
      <c r="CM53" s="203"/>
    </row>
    <row r="54" spans="1:91" ht="25.5" customHeight="1" thickBot="1" x14ac:dyDescent="0.25">
      <c r="A54" s="325">
        <v>145</v>
      </c>
      <c r="B54" s="73">
        <v>0</v>
      </c>
      <c r="C54" s="74">
        <v>4</v>
      </c>
      <c r="D54" s="74" t="s">
        <v>1086</v>
      </c>
      <c r="E54" s="197" t="s">
        <v>1078</v>
      </c>
      <c r="F54" s="197"/>
      <c r="G54" s="125" t="s">
        <v>246</v>
      </c>
      <c r="H54" s="198" t="s">
        <v>1083</v>
      </c>
      <c r="I54" s="269"/>
      <c r="J54" s="89"/>
      <c r="K54" s="270"/>
      <c r="L54" s="383"/>
      <c r="M54" s="379"/>
      <c r="N54" s="379"/>
      <c r="O54" s="379"/>
      <c r="P54" s="382"/>
      <c r="Q54" s="275"/>
      <c r="R54" s="89"/>
      <c r="S54" s="379"/>
      <c r="T54" s="414"/>
      <c r="U54" s="416"/>
      <c r="V54" s="417"/>
      <c r="W54" s="379"/>
      <c r="X54" s="379"/>
      <c r="Y54" s="379"/>
      <c r="Z54" s="382"/>
      <c r="AA54" s="482"/>
      <c r="AB54" s="414"/>
      <c r="AC54" s="379"/>
      <c r="AD54" s="379"/>
      <c r="AE54" s="416"/>
      <c r="AF54" s="417"/>
      <c r="AG54" s="414"/>
      <c r="AH54" s="379"/>
      <c r="AI54" s="379"/>
      <c r="AJ54" s="270"/>
      <c r="AK54" s="271"/>
      <c r="AL54" s="414"/>
      <c r="AM54" s="414"/>
      <c r="AN54" s="414"/>
      <c r="AO54" s="416"/>
      <c r="AP54" s="417"/>
      <c r="AQ54" s="414"/>
      <c r="AR54" s="414"/>
      <c r="AS54" s="89"/>
      <c r="AT54" s="270"/>
      <c r="AU54" s="482"/>
      <c r="AV54" s="414"/>
      <c r="AW54" s="414"/>
      <c r="AX54" s="379"/>
      <c r="AY54" s="380"/>
      <c r="AZ54" s="381"/>
      <c r="BA54" s="379"/>
      <c r="BB54" s="379"/>
      <c r="BC54" s="414"/>
      <c r="BD54" s="382"/>
      <c r="BE54" s="271"/>
      <c r="BF54" s="89"/>
      <c r="BG54" s="414"/>
      <c r="BH54" s="414"/>
      <c r="BI54" s="416"/>
      <c r="BJ54" s="417"/>
      <c r="BK54" s="379"/>
      <c r="BL54" s="414"/>
      <c r="BM54" s="414"/>
      <c r="BN54" s="415"/>
      <c r="BO54" s="482"/>
      <c r="BP54" s="414"/>
      <c r="BQ54" s="89"/>
      <c r="BR54" s="89"/>
      <c r="BS54" s="416"/>
      <c r="BT54" s="269"/>
      <c r="BU54" s="89"/>
      <c r="BV54" s="414"/>
      <c r="BW54" s="414"/>
      <c r="BX54" s="415"/>
      <c r="BY54" s="482"/>
      <c r="BZ54" s="89"/>
      <c r="CA54" s="89"/>
      <c r="CB54" s="414"/>
      <c r="CC54" s="416"/>
      <c r="CD54" s="417"/>
      <c r="CE54" s="89"/>
      <c r="CF54" s="74"/>
      <c r="CG54" s="414"/>
      <c r="CH54" s="416"/>
      <c r="CI54" s="417"/>
      <c r="CJ54" s="206"/>
      <c r="CK54" s="206"/>
      <c r="CL54" s="206"/>
      <c r="CM54" s="207"/>
    </row>
    <row r="55" spans="1:91" ht="25.5" customHeight="1" x14ac:dyDescent="0.2">
      <c r="A55" s="318">
        <v>146</v>
      </c>
      <c r="B55" s="75">
        <v>0</v>
      </c>
      <c r="C55" s="92">
        <v>4</v>
      </c>
      <c r="D55" s="92" t="s">
        <v>1087</v>
      </c>
      <c r="E55" s="196" t="s">
        <v>1082</v>
      </c>
      <c r="F55" s="92"/>
      <c r="G55" s="92" t="s">
        <v>1084</v>
      </c>
      <c r="H55" s="113" t="s">
        <v>1085</v>
      </c>
      <c r="I55" s="259"/>
      <c r="J55" s="130"/>
      <c r="K55" s="260"/>
      <c r="L55" s="308"/>
      <c r="M55" s="304"/>
      <c r="N55" s="304"/>
      <c r="O55" s="304"/>
      <c r="P55" s="359"/>
      <c r="Q55" s="272"/>
      <c r="R55" s="130"/>
      <c r="S55" s="304"/>
      <c r="T55" s="418"/>
      <c r="U55" s="420"/>
      <c r="V55" s="421"/>
      <c r="W55" s="304"/>
      <c r="X55" s="304"/>
      <c r="Y55" s="304"/>
      <c r="Z55" s="359"/>
      <c r="AA55" s="483"/>
      <c r="AB55" s="418"/>
      <c r="AC55" s="304"/>
      <c r="AD55" s="304"/>
      <c r="AE55" s="420"/>
      <c r="AF55" s="421"/>
      <c r="AG55" s="418"/>
      <c r="AH55" s="304"/>
      <c r="AI55" s="304"/>
      <c r="AJ55" s="260"/>
      <c r="AK55" s="448"/>
      <c r="AL55" s="418"/>
      <c r="AM55" s="418"/>
      <c r="AN55" s="418"/>
      <c r="AO55" s="420"/>
      <c r="AP55" s="421"/>
      <c r="AQ55" s="418"/>
      <c r="AR55" s="418"/>
      <c r="AS55" s="130"/>
      <c r="AT55" s="260"/>
      <c r="AU55" s="483"/>
      <c r="AV55" s="418"/>
      <c r="AW55" s="418"/>
      <c r="AX55" s="418"/>
      <c r="AY55" s="420"/>
      <c r="AZ55" s="421"/>
      <c r="BA55" s="418"/>
      <c r="BB55" s="418"/>
      <c r="BC55" s="418"/>
      <c r="BD55" s="419"/>
      <c r="BE55" s="448"/>
      <c r="BF55" s="130"/>
      <c r="BG55" s="418"/>
      <c r="BH55" s="418"/>
      <c r="BI55" s="420"/>
      <c r="BJ55" s="421"/>
      <c r="BK55" s="418"/>
      <c r="BL55" s="418"/>
      <c r="BM55" s="418"/>
      <c r="BN55" s="419"/>
      <c r="BO55" s="483"/>
      <c r="BP55" s="418"/>
      <c r="BQ55" s="130"/>
      <c r="BR55" s="130"/>
      <c r="BS55" s="420"/>
      <c r="BT55" s="259"/>
      <c r="BU55" s="130"/>
      <c r="BV55" s="418"/>
      <c r="BW55" s="418"/>
      <c r="BX55" s="419"/>
      <c r="BY55" s="483"/>
      <c r="BZ55" s="130"/>
      <c r="CA55" s="130"/>
      <c r="CB55" s="418"/>
      <c r="CC55" s="420"/>
      <c r="CD55" s="421"/>
      <c r="CE55" s="130"/>
      <c r="CF55" s="92"/>
      <c r="CG55" s="418"/>
      <c r="CH55" s="420"/>
      <c r="CI55" s="421"/>
      <c r="CJ55" s="210"/>
      <c r="CK55" s="210"/>
      <c r="CL55" s="210"/>
      <c r="CM55" s="211"/>
    </row>
    <row r="56" spans="1:91" ht="25.5" customHeight="1" x14ac:dyDescent="0.2">
      <c r="A56" s="324">
        <v>147</v>
      </c>
      <c r="B56" s="72"/>
      <c r="C56" s="72"/>
      <c r="D56" s="72"/>
      <c r="E56" s="183"/>
      <c r="F56" s="79"/>
      <c r="G56" s="76"/>
      <c r="H56" s="134"/>
      <c r="I56" s="142"/>
      <c r="J56" s="76"/>
      <c r="K56" s="141"/>
      <c r="L56" s="274"/>
      <c r="M56" s="79"/>
      <c r="N56" s="79"/>
      <c r="O56" s="79"/>
      <c r="P56" s="178"/>
      <c r="Q56" s="274"/>
      <c r="R56" s="79"/>
      <c r="S56" s="79"/>
      <c r="T56" s="79"/>
      <c r="U56" s="134"/>
      <c r="V56" s="261"/>
      <c r="W56" s="79"/>
      <c r="X56" s="79"/>
      <c r="Y56" s="79"/>
      <c r="Z56" s="178"/>
      <c r="AA56" s="274"/>
      <c r="AB56" s="79"/>
      <c r="AC56" s="79"/>
      <c r="AD56" s="79"/>
      <c r="AE56" s="134"/>
      <c r="AF56" s="261"/>
      <c r="AG56" s="79"/>
      <c r="AH56" s="79"/>
      <c r="AI56" s="79"/>
      <c r="AJ56" s="178"/>
      <c r="AK56" s="274"/>
      <c r="AL56" s="79"/>
      <c r="AM56" s="79"/>
      <c r="AN56" s="79"/>
      <c r="AO56" s="134"/>
      <c r="AP56" s="261"/>
      <c r="AQ56" s="79"/>
      <c r="AR56" s="79"/>
      <c r="AS56" s="79"/>
      <c r="AT56" s="178"/>
      <c r="AU56" s="274"/>
      <c r="AV56" s="79"/>
      <c r="AW56" s="79"/>
      <c r="AX56" s="79"/>
      <c r="AY56" s="134"/>
      <c r="AZ56" s="261"/>
      <c r="BA56" s="79"/>
      <c r="BB56" s="79"/>
      <c r="BC56" s="79"/>
      <c r="BD56" s="178"/>
      <c r="BE56" s="274"/>
      <c r="BF56" s="79"/>
      <c r="BG56" s="79"/>
      <c r="BH56" s="79"/>
      <c r="BI56" s="134"/>
      <c r="BJ56" s="261"/>
      <c r="BK56" s="79"/>
      <c r="BL56" s="79"/>
      <c r="BM56" s="79"/>
      <c r="BN56" s="178"/>
      <c r="BO56" s="274"/>
      <c r="BP56" s="79"/>
      <c r="BQ56" s="79"/>
      <c r="BR56" s="79"/>
      <c r="BS56" s="134"/>
      <c r="BT56" s="261"/>
      <c r="BU56" s="79"/>
      <c r="BV56" s="79"/>
      <c r="BW56" s="79"/>
      <c r="BX56" s="178"/>
      <c r="BY56" s="274"/>
      <c r="BZ56" s="79"/>
      <c r="CA56" s="79"/>
      <c r="CB56" s="79"/>
      <c r="CC56" s="134"/>
      <c r="CD56" s="261"/>
      <c r="CE56" s="79"/>
      <c r="CF56" s="79"/>
      <c r="CG56" s="79"/>
      <c r="CH56" s="134"/>
      <c r="CI56" s="261"/>
      <c r="CJ56" s="202"/>
      <c r="CK56" s="202"/>
      <c r="CL56" s="202"/>
      <c r="CM56" s="203"/>
    </row>
    <row r="57" spans="1:91" ht="25.5" customHeight="1" x14ac:dyDescent="0.2">
      <c r="A57" s="324">
        <v>148</v>
      </c>
      <c r="B57" s="72"/>
      <c r="C57" s="72"/>
      <c r="D57" s="72"/>
      <c r="E57" s="98" t="s">
        <v>44</v>
      </c>
      <c r="F57" s="79"/>
      <c r="G57" s="76"/>
      <c r="H57" s="134"/>
      <c r="I57" s="142"/>
      <c r="J57" s="76"/>
      <c r="K57" s="141"/>
      <c r="L57" s="274"/>
      <c r="M57" s="79"/>
      <c r="N57" s="79"/>
      <c r="O57" s="79"/>
      <c r="P57" s="178"/>
      <c r="Q57" s="274"/>
      <c r="R57" s="79"/>
      <c r="S57" s="79"/>
      <c r="T57" s="79"/>
      <c r="U57" s="134"/>
      <c r="V57" s="261"/>
      <c r="W57" s="79"/>
      <c r="X57" s="79"/>
      <c r="Y57" s="79"/>
      <c r="Z57" s="178"/>
      <c r="AA57" s="274"/>
      <c r="AB57" s="79"/>
      <c r="AC57" s="79"/>
      <c r="AD57" s="79"/>
      <c r="AE57" s="134"/>
      <c r="AF57" s="261"/>
      <c r="AG57" s="79"/>
      <c r="AH57" s="79"/>
      <c r="AI57" s="79"/>
      <c r="AJ57" s="178"/>
      <c r="AK57" s="274"/>
      <c r="AL57" s="79"/>
      <c r="AM57" s="79"/>
      <c r="AN57" s="79"/>
      <c r="AO57" s="134"/>
      <c r="AP57" s="261"/>
      <c r="AQ57" s="79"/>
      <c r="AR57" s="79"/>
      <c r="AS57" s="79"/>
      <c r="AT57" s="178"/>
      <c r="AU57" s="274"/>
      <c r="AV57" s="79"/>
      <c r="AW57" s="79"/>
      <c r="AX57" s="79"/>
      <c r="AY57" s="134"/>
      <c r="AZ57" s="261"/>
      <c r="BA57" s="79"/>
      <c r="BB57" s="79"/>
      <c r="BC57" s="79"/>
      <c r="BD57" s="178"/>
      <c r="BE57" s="274"/>
      <c r="BF57" s="79"/>
      <c r="BG57" s="79"/>
      <c r="BH57" s="79"/>
      <c r="BI57" s="134"/>
      <c r="BJ57" s="261"/>
      <c r="BK57" s="79"/>
      <c r="BL57" s="79"/>
      <c r="BM57" s="79"/>
      <c r="BN57" s="178"/>
      <c r="BO57" s="274"/>
      <c r="BP57" s="79"/>
      <c r="BQ57" s="79"/>
      <c r="BR57" s="79"/>
      <c r="BS57" s="134"/>
      <c r="BT57" s="261"/>
      <c r="BU57" s="79"/>
      <c r="BV57" s="79"/>
      <c r="BW57" s="79"/>
      <c r="BX57" s="178"/>
      <c r="BY57" s="274"/>
      <c r="BZ57" s="79"/>
      <c r="CA57" s="79"/>
      <c r="CB57" s="79"/>
      <c r="CC57" s="134"/>
      <c r="CD57" s="261"/>
      <c r="CE57" s="79"/>
      <c r="CF57" s="79"/>
      <c r="CG57" s="79"/>
      <c r="CH57" s="134"/>
      <c r="CI57" s="261"/>
      <c r="CJ57" s="202"/>
      <c r="CK57" s="202"/>
      <c r="CL57" s="202"/>
      <c r="CM57" s="203"/>
    </row>
    <row r="58" spans="1:91" ht="25.5" customHeight="1" x14ac:dyDescent="0.2">
      <c r="A58" s="324">
        <v>149</v>
      </c>
      <c r="B58" s="72">
        <v>0</v>
      </c>
      <c r="C58" s="79">
        <v>2</v>
      </c>
      <c r="D58" s="79" t="s">
        <v>349</v>
      </c>
      <c r="E58" s="80" t="s">
        <v>350</v>
      </c>
      <c r="F58" s="72"/>
      <c r="G58" s="72" t="s">
        <v>103</v>
      </c>
      <c r="H58" s="97" t="s">
        <v>845</v>
      </c>
      <c r="I58" s="142"/>
      <c r="J58" s="76"/>
      <c r="K58" s="141"/>
      <c r="L58" s="367"/>
      <c r="M58" s="307"/>
      <c r="N58" s="307"/>
      <c r="O58" s="307"/>
      <c r="P58" s="369"/>
      <c r="Q58" s="274"/>
      <c r="R58" s="76"/>
      <c r="S58" s="310"/>
      <c r="T58" s="310"/>
      <c r="U58" s="412"/>
      <c r="V58" s="413"/>
      <c r="W58" s="310"/>
      <c r="X58" s="310"/>
      <c r="Y58" s="310"/>
      <c r="Z58" s="411"/>
      <c r="AA58" s="485"/>
      <c r="AB58" s="310"/>
      <c r="AC58" s="310"/>
      <c r="AD58" s="310"/>
      <c r="AE58" s="412"/>
      <c r="AF58" s="413"/>
      <c r="AG58" s="310"/>
      <c r="AH58" s="310"/>
      <c r="AI58" s="310"/>
      <c r="AJ58" s="141"/>
      <c r="AK58" s="140"/>
      <c r="AL58" s="310"/>
      <c r="AM58" s="310"/>
      <c r="AN58" s="310"/>
      <c r="AO58" s="412"/>
      <c r="AP58" s="413"/>
      <c r="AQ58" s="310"/>
      <c r="AR58" s="310"/>
      <c r="AS58" s="76"/>
      <c r="AT58" s="141"/>
      <c r="AU58" s="485"/>
      <c r="AV58" s="310"/>
      <c r="AW58" s="310"/>
      <c r="AX58" s="310"/>
      <c r="AY58" s="412"/>
      <c r="AZ58" s="413"/>
      <c r="BA58" s="310"/>
      <c r="BB58" s="310"/>
      <c r="BC58" s="310"/>
      <c r="BD58" s="411"/>
      <c r="BE58" s="140"/>
      <c r="BF58" s="76"/>
      <c r="BG58" s="310"/>
      <c r="BH58" s="310"/>
      <c r="BI58" s="412"/>
      <c r="BJ58" s="413"/>
      <c r="BK58" s="310"/>
      <c r="BL58" s="310"/>
      <c r="BM58" s="310"/>
      <c r="BN58" s="411"/>
      <c r="BO58" s="485"/>
      <c r="BP58" s="310"/>
      <c r="BQ58" s="76"/>
      <c r="BR58" s="76"/>
      <c r="BS58" s="412"/>
      <c r="BT58" s="142"/>
      <c r="BU58" s="76"/>
      <c r="BV58" s="310"/>
      <c r="BW58" s="310"/>
      <c r="BX58" s="411"/>
      <c r="BY58" s="485"/>
      <c r="BZ58" s="76"/>
      <c r="CA58" s="76"/>
      <c r="CB58" s="310"/>
      <c r="CC58" s="412"/>
      <c r="CD58" s="413"/>
      <c r="CE58" s="76"/>
      <c r="CF58" s="79"/>
      <c r="CG58" s="310"/>
      <c r="CH58" s="470" t="s">
        <v>40</v>
      </c>
      <c r="CI58" s="471" t="s">
        <v>40</v>
      </c>
      <c r="CJ58" s="202"/>
      <c r="CK58" s="202"/>
      <c r="CL58" s="202"/>
      <c r="CM58" s="203"/>
    </row>
    <row r="59" spans="1:91" ht="25.5" customHeight="1" thickBot="1" x14ac:dyDescent="0.25">
      <c r="A59" s="325">
        <v>150</v>
      </c>
      <c r="B59" s="73">
        <v>0</v>
      </c>
      <c r="C59" s="73">
        <v>3</v>
      </c>
      <c r="D59" s="74" t="s">
        <v>759</v>
      </c>
      <c r="E59" s="126" t="s">
        <v>760</v>
      </c>
      <c r="F59" s="89"/>
      <c r="G59" s="74" t="s">
        <v>761</v>
      </c>
      <c r="H59" s="135" t="s">
        <v>762</v>
      </c>
      <c r="I59" s="269"/>
      <c r="J59" s="89"/>
      <c r="K59" s="270"/>
      <c r="L59" s="383"/>
      <c r="M59" s="379"/>
      <c r="N59" s="379"/>
      <c r="O59" s="379"/>
      <c r="P59" s="382"/>
      <c r="Q59" s="275"/>
      <c r="R59" s="74"/>
      <c r="S59" s="379"/>
      <c r="T59" s="379"/>
      <c r="U59" s="380"/>
      <c r="V59" s="381"/>
      <c r="W59" s="379"/>
      <c r="X59" s="379"/>
      <c r="Y59" s="379"/>
      <c r="Z59" s="382"/>
      <c r="AA59" s="383"/>
      <c r="AB59" s="379"/>
      <c r="AC59" s="379"/>
      <c r="AD59" s="379"/>
      <c r="AE59" s="380"/>
      <c r="AF59" s="381"/>
      <c r="AG59" s="379"/>
      <c r="AH59" s="379"/>
      <c r="AI59" s="379"/>
      <c r="AJ59" s="276"/>
      <c r="AK59" s="275"/>
      <c r="AL59" s="379"/>
      <c r="AM59" s="379"/>
      <c r="AN59" s="379"/>
      <c r="AO59" s="380"/>
      <c r="AP59" s="381"/>
      <c r="AQ59" s="379"/>
      <c r="AR59" s="379"/>
      <c r="AS59" s="74"/>
      <c r="AT59" s="276"/>
      <c r="AU59" s="383"/>
      <c r="AV59" s="379"/>
      <c r="AW59" s="379"/>
      <c r="AX59" s="379"/>
      <c r="AY59" s="380"/>
      <c r="AZ59" s="381"/>
      <c r="BA59" s="379"/>
      <c r="BB59" s="379"/>
      <c r="BC59" s="379"/>
      <c r="BD59" s="382"/>
      <c r="BE59" s="275"/>
      <c r="BF59" s="74"/>
      <c r="BG59" s="379"/>
      <c r="BH59" s="379"/>
      <c r="BI59" s="380"/>
      <c r="BJ59" s="381"/>
      <c r="BK59" s="379"/>
      <c r="BL59" s="379"/>
      <c r="BM59" s="379"/>
      <c r="BN59" s="382"/>
      <c r="BO59" s="383"/>
      <c r="BP59" s="379"/>
      <c r="BQ59" s="74"/>
      <c r="BR59" s="74"/>
      <c r="BS59" s="380"/>
      <c r="BT59" s="277"/>
      <c r="BU59" s="74"/>
      <c r="BV59" s="379"/>
      <c r="BW59" s="379"/>
      <c r="BX59" s="382"/>
      <c r="BY59" s="383"/>
      <c r="BZ59" s="74"/>
      <c r="CA59" s="74"/>
      <c r="CB59" s="379"/>
      <c r="CC59" s="380"/>
      <c r="CD59" s="381"/>
      <c r="CE59" s="74"/>
      <c r="CF59" s="74"/>
      <c r="CG59" s="379"/>
      <c r="CH59" s="386" t="s">
        <v>40</v>
      </c>
      <c r="CI59" s="384" t="s">
        <v>40</v>
      </c>
      <c r="CJ59" s="206"/>
      <c r="CK59" s="206"/>
      <c r="CL59" s="206"/>
      <c r="CM59" s="207"/>
    </row>
    <row r="60" spans="1:91" ht="15" customHeight="1" thickBot="1" x14ac:dyDescent="0.25">
      <c r="A60" s="430"/>
      <c r="B60" s="222"/>
      <c r="C60" s="315"/>
      <c r="D60" s="221"/>
      <c r="F60" s="431"/>
      <c r="G60" s="431"/>
      <c r="H60" s="431"/>
      <c r="I60" s="431"/>
      <c r="J60" s="431"/>
      <c r="K60" s="431"/>
      <c r="L60" s="431"/>
      <c r="M60" s="431"/>
      <c r="N60" s="431"/>
      <c r="O60" s="431"/>
      <c r="P60" s="220"/>
      <c r="Q60" s="220"/>
      <c r="R60" s="220"/>
      <c r="S60" s="220"/>
      <c r="T60" s="220"/>
      <c r="U60" s="220"/>
      <c r="V60" s="220"/>
      <c r="W60" s="220"/>
      <c r="X60" s="220"/>
      <c r="Y60" s="220"/>
      <c r="Z60" s="220"/>
      <c r="AA60" s="220"/>
      <c r="AB60" s="220"/>
      <c r="AC60" s="220"/>
      <c r="AD60" s="220"/>
      <c r="AE60" s="220"/>
      <c r="AF60" s="220"/>
      <c r="AG60" s="220"/>
      <c r="AH60" s="220"/>
      <c r="AI60" s="220"/>
      <c r="AJ60" s="220"/>
      <c r="AK60" s="220"/>
      <c r="AL60" s="220"/>
      <c r="AM60" s="220"/>
      <c r="AN60" s="220"/>
      <c r="AO60" s="220"/>
      <c r="AP60" s="220"/>
      <c r="AQ60" s="220"/>
      <c r="AR60" s="220"/>
      <c r="AS60" s="220"/>
      <c r="AT60" s="220"/>
      <c r="AU60" s="220"/>
      <c r="AV60" s="220"/>
      <c r="AW60" s="220"/>
      <c r="AX60" s="220"/>
      <c r="AY60" s="220"/>
      <c r="AZ60" s="220"/>
      <c r="BA60" s="220"/>
      <c r="BB60" s="220"/>
      <c r="BC60" s="220"/>
      <c r="BD60" s="220"/>
      <c r="BE60" s="220"/>
      <c r="BF60" s="220"/>
      <c r="BG60" s="220"/>
      <c r="BH60" s="220"/>
      <c r="BI60" s="220"/>
      <c r="BJ60" s="220"/>
      <c r="BK60" s="220"/>
      <c r="BL60" s="220"/>
      <c r="BM60" s="220"/>
      <c r="BN60" s="220"/>
      <c r="BO60" s="220"/>
      <c r="BP60" s="220"/>
      <c r="BQ60" s="220"/>
      <c r="BR60" s="220"/>
      <c r="BS60" s="220"/>
      <c r="BT60" s="220"/>
      <c r="BU60" s="220"/>
      <c r="BV60" s="220"/>
      <c r="BW60" s="220"/>
      <c r="BX60" s="220"/>
      <c r="BY60" s="220"/>
      <c r="BZ60" s="220"/>
      <c r="CA60" s="220"/>
      <c r="CB60" s="220"/>
      <c r="CC60" s="220"/>
      <c r="CD60" s="220"/>
      <c r="CE60" s="220"/>
      <c r="CF60" s="220"/>
      <c r="CG60" s="231"/>
      <c r="CH60" s="231"/>
      <c r="CI60" s="231"/>
      <c r="CJ60" s="231"/>
      <c r="CK60" s="231"/>
      <c r="CL60" s="231"/>
      <c r="CM60" s="432"/>
    </row>
    <row r="61" spans="1:91" ht="25.5" customHeight="1" thickBot="1" x14ac:dyDescent="0.25">
      <c r="A61" s="682" t="s">
        <v>19</v>
      </c>
      <c r="B61" s="683"/>
      <c r="C61" s="684"/>
      <c r="D61" s="433"/>
      <c r="E61" s="685" t="s">
        <v>16</v>
      </c>
      <c r="F61" s="683"/>
      <c r="G61" s="684"/>
      <c r="H61" s="434" t="s">
        <v>7</v>
      </c>
      <c r="I61" s="435" t="s">
        <v>6</v>
      </c>
      <c r="J61" s="435" t="s">
        <v>1088</v>
      </c>
      <c r="K61" s="435" t="s">
        <v>15</v>
      </c>
      <c r="L61" s="672"/>
      <c r="M61" s="686"/>
      <c r="N61" s="686"/>
      <c r="O61" s="686"/>
      <c r="P61" s="686"/>
      <c r="Q61" s="686"/>
      <c r="R61" s="686"/>
      <c r="S61" s="686"/>
      <c r="T61" s="686"/>
      <c r="U61" s="686"/>
      <c r="V61" s="686"/>
      <c r="W61" s="686"/>
      <c r="X61" s="686"/>
      <c r="Y61" s="686"/>
      <c r="Z61" s="686"/>
      <c r="AA61" s="686"/>
      <c r="AB61" s="686"/>
      <c r="AC61" s="686"/>
      <c r="AD61" s="686"/>
      <c r="AE61" s="686"/>
      <c r="AF61" s="686"/>
      <c r="AG61" s="686"/>
      <c r="AH61" s="686"/>
      <c r="AI61" s="686"/>
      <c r="AJ61" s="686"/>
      <c r="AK61" s="686"/>
      <c r="AL61" s="686"/>
      <c r="AM61" s="686"/>
      <c r="AN61" s="686"/>
      <c r="AO61" s="686"/>
      <c r="AP61" s="686"/>
      <c r="AQ61" s="686"/>
      <c r="AR61" s="686"/>
      <c r="AS61" s="686"/>
      <c r="AT61" s="686"/>
      <c r="AU61" s="686"/>
      <c r="AV61" s="686"/>
      <c r="AW61" s="686"/>
      <c r="AX61" s="686"/>
      <c r="AY61" s="686"/>
      <c r="AZ61" s="686"/>
      <c r="BA61" s="686"/>
      <c r="BB61" s="686"/>
      <c r="BC61" s="686"/>
      <c r="BD61" s="686"/>
      <c r="BE61" s="687"/>
      <c r="BF61" s="676"/>
      <c r="BG61" s="676"/>
      <c r="BH61" s="676"/>
      <c r="BI61" s="676"/>
      <c r="BJ61" s="676"/>
      <c r="BK61" s="676"/>
      <c r="BL61" s="676"/>
      <c r="BM61" s="676"/>
      <c r="BN61" s="676"/>
      <c r="BO61" s="676"/>
      <c r="BP61" s="676"/>
      <c r="BQ61" s="676"/>
      <c r="BR61" s="676"/>
      <c r="BS61" s="676"/>
      <c r="BT61" s="676"/>
      <c r="BU61" s="677"/>
      <c r="BV61" s="672"/>
      <c r="BW61" s="668"/>
      <c r="BX61" s="668"/>
      <c r="BY61" s="668"/>
      <c r="BZ61" s="668"/>
      <c r="CA61" s="668"/>
      <c r="CB61" s="668"/>
      <c r="CC61" s="668"/>
      <c r="CD61" s="668"/>
      <c r="CE61" s="668"/>
      <c r="CF61" s="668"/>
      <c r="CG61" s="668"/>
      <c r="CH61" s="668"/>
      <c r="CI61" s="668"/>
      <c r="CJ61" s="668"/>
      <c r="CK61" s="668"/>
      <c r="CL61" s="668"/>
      <c r="CM61" s="669"/>
    </row>
    <row r="62" spans="1:91" ht="25.5" customHeight="1" x14ac:dyDescent="0.2">
      <c r="A62" s="674">
        <f>IF('Title Page'!K22&lt;&gt;"",'Title Page'!K22,"")</f>
        <v>0</v>
      </c>
      <c r="B62" s="675"/>
      <c r="C62" s="675"/>
      <c r="D62" s="130"/>
      <c r="E62" s="656" t="str">
        <f>IF('Title Page'!L22&lt;&gt;"",'Title Page'!L22,"")</f>
        <v>Issued For Construction, Concise Job # PEM029-001</v>
      </c>
      <c r="F62" s="656"/>
      <c r="G62" s="656"/>
      <c r="H62" s="436">
        <f>IF('Title Page'!R22&lt;&gt;"",'Title Page'!R22,"")</f>
        <v>41520</v>
      </c>
      <c r="I62" s="436" t="str">
        <f>IF('Title Page'!S22&lt;&gt;"",'Title Page'!S22,"")</f>
        <v>MHS</v>
      </c>
      <c r="J62" s="436" t="str">
        <f>IF('Title Page'!T22&lt;&gt;"",'Title Page'!T22,"")</f>
        <v>TJG</v>
      </c>
      <c r="K62" s="437" t="str">
        <f>IF('Title Page'!V22&lt;&gt;"",'Title Page'!V22,"")</f>
        <v/>
      </c>
      <c r="L62" s="688"/>
      <c r="M62" s="689"/>
      <c r="N62" s="689"/>
      <c r="O62" s="689"/>
      <c r="P62" s="689"/>
      <c r="Q62" s="689"/>
      <c r="R62" s="689"/>
      <c r="S62" s="689"/>
      <c r="T62" s="689"/>
      <c r="U62" s="689"/>
      <c r="V62" s="689"/>
      <c r="W62" s="689"/>
      <c r="X62" s="689"/>
      <c r="Y62" s="689"/>
      <c r="Z62" s="689"/>
      <c r="AA62" s="689"/>
      <c r="AB62" s="689"/>
      <c r="AC62" s="689"/>
      <c r="AD62" s="689"/>
      <c r="AE62" s="689"/>
      <c r="AF62" s="689"/>
      <c r="AG62" s="689"/>
      <c r="AH62" s="689"/>
      <c r="AI62" s="689"/>
      <c r="AJ62" s="689"/>
      <c r="AK62" s="689"/>
      <c r="AL62" s="689"/>
      <c r="AM62" s="689"/>
      <c r="AN62" s="689"/>
      <c r="AO62" s="689"/>
      <c r="AP62" s="689"/>
      <c r="AQ62" s="689"/>
      <c r="AR62" s="689"/>
      <c r="AS62" s="689"/>
      <c r="AT62" s="689"/>
      <c r="AU62" s="689"/>
      <c r="AV62" s="689"/>
      <c r="AW62" s="689"/>
      <c r="AX62" s="689"/>
      <c r="AY62" s="689"/>
      <c r="AZ62" s="689"/>
      <c r="BA62" s="689"/>
      <c r="BB62" s="689"/>
      <c r="BC62" s="689"/>
      <c r="BD62" s="689"/>
      <c r="BE62" s="690"/>
      <c r="BF62" s="678"/>
      <c r="BG62" s="678"/>
      <c r="BH62" s="678"/>
      <c r="BI62" s="678"/>
      <c r="BJ62" s="678"/>
      <c r="BK62" s="678"/>
      <c r="BL62" s="678"/>
      <c r="BM62" s="678"/>
      <c r="BN62" s="678"/>
      <c r="BO62" s="678"/>
      <c r="BP62" s="678"/>
      <c r="BQ62" s="678"/>
      <c r="BR62" s="678"/>
      <c r="BS62" s="678"/>
      <c r="BT62" s="678"/>
      <c r="BU62" s="679"/>
      <c r="BV62" s="673"/>
      <c r="BW62" s="670"/>
      <c r="BX62" s="670"/>
      <c r="BY62" s="670"/>
      <c r="BZ62" s="670"/>
      <c r="CA62" s="670"/>
      <c r="CB62" s="670"/>
      <c r="CC62" s="670"/>
      <c r="CD62" s="670"/>
      <c r="CE62" s="670"/>
      <c r="CF62" s="670"/>
      <c r="CG62" s="670"/>
      <c r="CH62" s="670"/>
      <c r="CI62" s="670"/>
      <c r="CJ62" s="670"/>
      <c r="CK62" s="670"/>
      <c r="CL62" s="670"/>
      <c r="CM62" s="671"/>
    </row>
    <row r="63" spans="1:91" ht="25.5" customHeight="1" thickBot="1" x14ac:dyDescent="0.25">
      <c r="A63" s="654" t="str">
        <f>IF('Title Page'!K23&lt;&gt;"",'Title Page'!K23,"")</f>
        <v/>
      </c>
      <c r="B63" s="655"/>
      <c r="C63" s="655"/>
      <c r="D63" s="130"/>
      <c r="E63" s="656" t="str">
        <f>IF('Title Page'!L23&lt;&gt;"",'Title Page'!L23,"")</f>
        <v/>
      </c>
      <c r="F63" s="656"/>
      <c r="G63" s="656"/>
      <c r="H63" s="436" t="str">
        <f>IF('Title Page'!R23&lt;&gt;"",'Title Page'!R23,"")</f>
        <v/>
      </c>
      <c r="I63" s="436" t="str">
        <f>IF('Title Page'!S23&lt;&gt;"",'Title Page'!S23,"")</f>
        <v/>
      </c>
      <c r="J63" s="436" t="str">
        <f>IF('Title Page'!T23&lt;&gt;"",'Title Page'!T23,"")</f>
        <v/>
      </c>
      <c r="K63" s="437" t="str">
        <f>IF('Title Page'!V23&lt;&gt;"",'Title Page'!V23,"")</f>
        <v/>
      </c>
      <c r="L63" s="688"/>
      <c r="M63" s="689"/>
      <c r="N63" s="689"/>
      <c r="O63" s="689"/>
      <c r="P63" s="689"/>
      <c r="Q63" s="689"/>
      <c r="R63" s="689"/>
      <c r="S63" s="689"/>
      <c r="T63" s="689"/>
      <c r="U63" s="689"/>
      <c r="V63" s="689"/>
      <c r="W63" s="689"/>
      <c r="X63" s="689"/>
      <c r="Y63" s="689"/>
      <c r="Z63" s="689"/>
      <c r="AA63" s="689"/>
      <c r="AB63" s="689"/>
      <c r="AC63" s="689"/>
      <c r="AD63" s="689"/>
      <c r="AE63" s="689"/>
      <c r="AF63" s="689"/>
      <c r="AG63" s="689"/>
      <c r="AH63" s="689"/>
      <c r="AI63" s="689"/>
      <c r="AJ63" s="689"/>
      <c r="AK63" s="689"/>
      <c r="AL63" s="689"/>
      <c r="AM63" s="689"/>
      <c r="AN63" s="689"/>
      <c r="AO63" s="689"/>
      <c r="AP63" s="689"/>
      <c r="AQ63" s="689"/>
      <c r="AR63" s="689"/>
      <c r="AS63" s="689"/>
      <c r="AT63" s="689"/>
      <c r="AU63" s="689"/>
      <c r="AV63" s="689"/>
      <c r="AW63" s="689"/>
      <c r="AX63" s="689"/>
      <c r="AY63" s="689"/>
      <c r="AZ63" s="689"/>
      <c r="BA63" s="689"/>
      <c r="BB63" s="689"/>
      <c r="BC63" s="689"/>
      <c r="BD63" s="689"/>
      <c r="BE63" s="690"/>
      <c r="BF63" s="680"/>
      <c r="BG63" s="680"/>
      <c r="BH63" s="680"/>
      <c r="BI63" s="680"/>
      <c r="BJ63" s="680"/>
      <c r="BK63" s="680"/>
      <c r="BL63" s="680"/>
      <c r="BM63" s="680"/>
      <c r="BN63" s="680"/>
      <c r="BO63" s="680"/>
      <c r="BP63" s="680"/>
      <c r="BQ63" s="680"/>
      <c r="BR63" s="680"/>
      <c r="BS63" s="680"/>
      <c r="BT63" s="680"/>
      <c r="BU63" s="681"/>
      <c r="BV63" s="666"/>
      <c r="BW63" s="663"/>
      <c r="BX63" s="663"/>
      <c r="BY63" s="663"/>
      <c r="BZ63" s="663"/>
      <c r="CA63" s="663"/>
      <c r="CB63" s="663"/>
      <c r="CC63" s="663"/>
      <c r="CD63" s="663"/>
      <c r="CE63" s="663"/>
      <c r="CF63" s="663"/>
      <c r="CG63" s="663"/>
      <c r="CH63" s="663"/>
      <c r="CI63" s="663"/>
      <c r="CJ63" s="663"/>
      <c r="CK63" s="663"/>
      <c r="CL63" s="663"/>
      <c r="CM63" s="653"/>
    </row>
    <row r="64" spans="1:91" ht="27" customHeight="1" x14ac:dyDescent="0.2">
      <c r="A64" s="654" t="str">
        <f>IF('Title Page'!K24&lt;&gt;"",'Title Page'!K24,"")</f>
        <v/>
      </c>
      <c r="B64" s="655"/>
      <c r="C64" s="655"/>
      <c r="D64" s="130"/>
      <c r="E64" s="656" t="str">
        <f>IF('Title Page'!L24&lt;&gt;"",'Title Page'!L24,"")</f>
        <v/>
      </c>
      <c r="F64" s="656"/>
      <c r="G64" s="656"/>
      <c r="H64" s="436" t="str">
        <f>IF('Title Page'!R24&lt;&gt;"",'Title Page'!R24,"")</f>
        <v/>
      </c>
      <c r="I64" s="436" t="str">
        <f>IF('Title Page'!S24&lt;&gt;"",'Title Page'!S24,"")</f>
        <v/>
      </c>
      <c r="J64" s="436" t="str">
        <f>IF('Title Page'!T24&lt;&gt;"",'Title Page'!T24,"")</f>
        <v/>
      </c>
      <c r="K64" s="437" t="str">
        <f>IF('Title Page'!V24&lt;&gt;"",'Title Page'!V24,"")</f>
        <v/>
      </c>
      <c r="L64" s="688"/>
      <c r="M64" s="689"/>
      <c r="N64" s="689"/>
      <c r="O64" s="689"/>
      <c r="P64" s="689"/>
      <c r="Q64" s="689"/>
      <c r="R64" s="689"/>
      <c r="S64" s="689"/>
      <c r="T64" s="689"/>
      <c r="U64" s="689"/>
      <c r="V64" s="689"/>
      <c r="W64" s="689"/>
      <c r="X64" s="689"/>
      <c r="Y64" s="689"/>
      <c r="Z64" s="689"/>
      <c r="AA64" s="689"/>
      <c r="AB64" s="689"/>
      <c r="AC64" s="689"/>
      <c r="AD64" s="689"/>
      <c r="AE64" s="689"/>
      <c r="AF64" s="689"/>
      <c r="AG64" s="689"/>
      <c r="AH64" s="689"/>
      <c r="AI64" s="689"/>
      <c r="AJ64" s="689"/>
      <c r="AK64" s="689"/>
      <c r="AL64" s="689"/>
      <c r="AM64" s="689"/>
      <c r="AN64" s="689"/>
      <c r="AO64" s="689"/>
      <c r="AP64" s="689"/>
      <c r="AQ64" s="689"/>
      <c r="AR64" s="689"/>
      <c r="AS64" s="689"/>
      <c r="AT64" s="689"/>
      <c r="AU64" s="689"/>
      <c r="AV64" s="689"/>
      <c r="AW64" s="689"/>
      <c r="AX64" s="689"/>
      <c r="AY64" s="689"/>
      <c r="AZ64" s="689"/>
      <c r="BA64" s="689"/>
      <c r="BB64" s="689"/>
      <c r="BC64" s="689"/>
      <c r="BD64" s="689"/>
      <c r="BE64" s="690"/>
      <c r="BF64" s="668"/>
      <c r="BG64" s="668"/>
      <c r="BH64" s="668"/>
      <c r="BI64" s="668"/>
      <c r="BJ64" s="668"/>
      <c r="BK64" s="668"/>
      <c r="BL64" s="668"/>
      <c r="BM64" s="668"/>
      <c r="BN64" s="668"/>
      <c r="BO64" s="668"/>
      <c r="BP64" s="668"/>
      <c r="BQ64" s="668"/>
      <c r="BR64" s="668"/>
      <c r="BS64" s="668"/>
      <c r="BT64" s="668"/>
      <c r="BU64" s="669"/>
      <c r="BV64" s="635" t="str">
        <f>'Title Page'!AA6</f>
        <v>Chickadee Creek Pump Station 04-22-061-15 W5M
Pembina Pipeline Corporation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SHUTDOWN KEY</v>
      </c>
      <c r="BW64" s="636"/>
      <c r="BX64" s="636"/>
      <c r="BY64" s="636"/>
      <c r="BZ64" s="636"/>
      <c r="CA64" s="636"/>
      <c r="CB64" s="636"/>
      <c r="CC64" s="636"/>
      <c r="CD64" s="636"/>
      <c r="CE64" s="636"/>
      <c r="CF64" s="636"/>
      <c r="CG64" s="636"/>
      <c r="CH64" s="636"/>
      <c r="CI64" s="636"/>
      <c r="CJ64" s="636"/>
      <c r="CK64" s="636"/>
      <c r="CL64" s="636"/>
      <c r="CM64" s="637"/>
    </row>
    <row r="65" spans="1:91" ht="25.5" customHeight="1" x14ac:dyDescent="0.2">
      <c r="A65" s="654" t="str">
        <f>IF('Title Page'!K25&lt;&gt;"",'Title Page'!K25,"")</f>
        <v/>
      </c>
      <c r="B65" s="655"/>
      <c r="C65" s="655"/>
      <c r="D65" s="130"/>
      <c r="E65" s="656" t="str">
        <f>IF('Title Page'!L25&lt;&gt;"",'Title Page'!L25,"")</f>
        <v/>
      </c>
      <c r="F65" s="656"/>
      <c r="G65" s="656"/>
      <c r="H65" s="436" t="str">
        <f>IF('Title Page'!R25&lt;&gt;"",'Title Page'!R25,"")</f>
        <v/>
      </c>
      <c r="I65" s="436" t="str">
        <f>IF('Title Page'!S25&lt;&gt;"",'Title Page'!S25,"")</f>
        <v/>
      </c>
      <c r="J65" s="436" t="str">
        <f>IF('Title Page'!T25&lt;&gt;"",'Title Page'!T25,"")</f>
        <v/>
      </c>
      <c r="K65" s="437" t="str">
        <f>IF('Title Page'!V25&lt;&gt;"",'Title Page'!V25,"")</f>
        <v/>
      </c>
      <c r="L65" s="688"/>
      <c r="M65" s="689"/>
      <c r="N65" s="689"/>
      <c r="O65" s="689"/>
      <c r="P65" s="689"/>
      <c r="Q65" s="689"/>
      <c r="R65" s="689"/>
      <c r="S65" s="689"/>
      <c r="T65" s="689"/>
      <c r="U65" s="689"/>
      <c r="V65" s="689"/>
      <c r="W65" s="689"/>
      <c r="X65" s="689"/>
      <c r="Y65" s="689"/>
      <c r="Z65" s="689"/>
      <c r="AA65" s="689"/>
      <c r="AB65" s="689"/>
      <c r="AC65" s="689"/>
      <c r="AD65" s="689"/>
      <c r="AE65" s="689"/>
      <c r="AF65" s="689"/>
      <c r="AG65" s="689"/>
      <c r="AH65" s="689"/>
      <c r="AI65" s="689"/>
      <c r="AJ65" s="689"/>
      <c r="AK65" s="689"/>
      <c r="AL65" s="689"/>
      <c r="AM65" s="689"/>
      <c r="AN65" s="689"/>
      <c r="AO65" s="689"/>
      <c r="AP65" s="689"/>
      <c r="AQ65" s="689"/>
      <c r="AR65" s="689"/>
      <c r="AS65" s="689"/>
      <c r="AT65" s="689"/>
      <c r="AU65" s="689"/>
      <c r="AV65" s="689"/>
      <c r="AW65" s="689"/>
      <c r="AX65" s="689"/>
      <c r="AY65" s="689"/>
      <c r="AZ65" s="689"/>
      <c r="BA65" s="689"/>
      <c r="BB65" s="689"/>
      <c r="BC65" s="689"/>
      <c r="BD65" s="689"/>
      <c r="BE65" s="690"/>
      <c r="BF65" s="670"/>
      <c r="BG65" s="670"/>
      <c r="BH65" s="670"/>
      <c r="BI65" s="670"/>
      <c r="BJ65" s="670"/>
      <c r="BK65" s="670"/>
      <c r="BL65" s="670"/>
      <c r="BM65" s="670"/>
      <c r="BN65" s="670"/>
      <c r="BO65" s="670"/>
      <c r="BP65" s="670"/>
      <c r="BQ65" s="670"/>
      <c r="BR65" s="670"/>
      <c r="BS65" s="670"/>
      <c r="BT65" s="670"/>
      <c r="BU65" s="671"/>
      <c r="BV65" s="638"/>
      <c r="BW65" s="639"/>
      <c r="BX65" s="639"/>
      <c r="BY65" s="639"/>
      <c r="BZ65" s="639"/>
      <c r="CA65" s="639"/>
      <c r="CB65" s="639"/>
      <c r="CC65" s="639"/>
      <c r="CD65" s="639"/>
      <c r="CE65" s="639"/>
      <c r="CF65" s="639"/>
      <c r="CG65" s="639"/>
      <c r="CH65" s="639"/>
      <c r="CI65" s="639"/>
      <c r="CJ65" s="639"/>
      <c r="CK65" s="639"/>
      <c r="CL65" s="639"/>
      <c r="CM65" s="640"/>
    </row>
    <row r="66" spans="1:91" ht="25.5" customHeight="1" thickBot="1" x14ac:dyDescent="0.25">
      <c r="A66" s="654" t="str">
        <f>IF('Title Page'!K26&lt;&gt;"",'Title Page'!K26,"")</f>
        <v/>
      </c>
      <c r="B66" s="655"/>
      <c r="C66" s="655"/>
      <c r="D66" s="130"/>
      <c r="E66" s="656" t="str">
        <f>IF('Title Page'!L26&lt;&gt;"",'Title Page'!L26,"")</f>
        <v/>
      </c>
      <c r="F66" s="656"/>
      <c r="G66" s="656"/>
      <c r="H66" s="436" t="str">
        <f>IF('Title Page'!R26&lt;&gt;"",'Title Page'!R26,"")</f>
        <v/>
      </c>
      <c r="I66" s="436" t="str">
        <f>IF('Title Page'!S26&lt;&gt;"",'Title Page'!S26,"")</f>
        <v/>
      </c>
      <c r="J66" s="436" t="str">
        <f>IF('Title Page'!T26&lt;&gt;"",'Title Page'!T26,"")</f>
        <v/>
      </c>
      <c r="K66" s="437" t="str">
        <f>IF('Title Page'!V26&lt;&gt;"",'Title Page'!V26,"")</f>
        <v/>
      </c>
      <c r="L66" s="688"/>
      <c r="M66" s="689"/>
      <c r="N66" s="689"/>
      <c r="O66" s="689"/>
      <c r="P66" s="689"/>
      <c r="Q66" s="689"/>
      <c r="R66" s="689"/>
      <c r="S66" s="689"/>
      <c r="T66" s="689"/>
      <c r="U66" s="689"/>
      <c r="V66" s="689"/>
      <c r="W66" s="689"/>
      <c r="X66" s="689"/>
      <c r="Y66" s="689"/>
      <c r="Z66" s="689"/>
      <c r="AA66" s="689"/>
      <c r="AB66" s="689"/>
      <c r="AC66" s="689"/>
      <c r="AD66" s="689"/>
      <c r="AE66" s="689"/>
      <c r="AF66" s="689"/>
      <c r="AG66" s="689"/>
      <c r="AH66" s="689"/>
      <c r="AI66" s="689"/>
      <c r="AJ66" s="689"/>
      <c r="AK66" s="689"/>
      <c r="AL66" s="689"/>
      <c r="AM66" s="689"/>
      <c r="AN66" s="689"/>
      <c r="AO66" s="689"/>
      <c r="AP66" s="689"/>
      <c r="AQ66" s="689"/>
      <c r="AR66" s="689"/>
      <c r="AS66" s="689"/>
      <c r="AT66" s="689"/>
      <c r="AU66" s="689"/>
      <c r="AV66" s="689"/>
      <c r="AW66" s="689"/>
      <c r="AX66" s="689"/>
      <c r="AY66" s="689"/>
      <c r="AZ66" s="689"/>
      <c r="BA66" s="689"/>
      <c r="BB66" s="689"/>
      <c r="BC66" s="689"/>
      <c r="BD66" s="689"/>
      <c r="BE66" s="690"/>
      <c r="BF66" s="663"/>
      <c r="BG66" s="663"/>
      <c r="BH66" s="663"/>
      <c r="BI66" s="663"/>
      <c r="BJ66" s="663"/>
      <c r="BK66" s="663"/>
      <c r="BL66" s="663"/>
      <c r="BM66" s="663"/>
      <c r="BN66" s="663"/>
      <c r="BO66" s="663"/>
      <c r="BP66" s="663"/>
      <c r="BQ66" s="663"/>
      <c r="BR66" s="663"/>
      <c r="BS66" s="663"/>
      <c r="BT66" s="663"/>
      <c r="BU66" s="653"/>
      <c r="BV66" s="641"/>
      <c r="BW66" s="642"/>
      <c r="BX66" s="642"/>
      <c r="BY66" s="642"/>
      <c r="BZ66" s="642"/>
      <c r="CA66" s="642"/>
      <c r="CB66" s="642"/>
      <c r="CC66" s="642"/>
      <c r="CD66" s="642"/>
      <c r="CE66" s="642"/>
      <c r="CF66" s="642"/>
      <c r="CG66" s="642"/>
      <c r="CH66" s="642"/>
      <c r="CI66" s="642"/>
      <c r="CJ66" s="642"/>
      <c r="CK66" s="642"/>
      <c r="CL66" s="642"/>
      <c r="CM66" s="643"/>
    </row>
    <row r="67" spans="1:91" ht="25.5" customHeight="1" x14ac:dyDescent="0.2">
      <c r="A67" s="654" t="str">
        <f>IF('Title Page'!K27&lt;&gt;"",'Title Page'!K27,"")</f>
        <v/>
      </c>
      <c r="B67" s="655"/>
      <c r="C67" s="655"/>
      <c r="D67" s="130"/>
      <c r="E67" s="656" t="str">
        <f>IF('Title Page'!L27&lt;&gt;"",'Title Page'!L27,"")</f>
        <v/>
      </c>
      <c r="F67" s="656"/>
      <c r="G67" s="656"/>
      <c r="H67" s="436" t="str">
        <f>IF('Title Page'!R27&lt;&gt;"",'Title Page'!R27,"")</f>
        <v/>
      </c>
      <c r="I67" s="436" t="str">
        <f>IF('Title Page'!S27&lt;&gt;"",'Title Page'!S27,"")</f>
        <v/>
      </c>
      <c r="J67" s="436" t="str">
        <f>IF('Title Page'!T27&lt;&gt;"",'Title Page'!T27,"")</f>
        <v/>
      </c>
      <c r="K67" s="437" t="str">
        <f>IF('Title Page'!V27&lt;&gt;"",'Title Page'!V27,"")</f>
        <v/>
      </c>
      <c r="L67" s="688"/>
      <c r="M67" s="689"/>
      <c r="N67" s="689"/>
      <c r="O67" s="689"/>
      <c r="P67" s="689"/>
      <c r="Q67" s="689"/>
      <c r="R67" s="689"/>
      <c r="S67" s="689"/>
      <c r="T67" s="689"/>
      <c r="U67" s="689"/>
      <c r="V67" s="689"/>
      <c r="W67" s="689"/>
      <c r="X67" s="689"/>
      <c r="Y67" s="689"/>
      <c r="Z67" s="689"/>
      <c r="AA67" s="689"/>
      <c r="AB67" s="689"/>
      <c r="AC67" s="689"/>
      <c r="AD67" s="689"/>
      <c r="AE67" s="689"/>
      <c r="AF67" s="689"/>
      <c r="AG67" s="689"/>
      <c r="AH67" s="689"/>
      <c r="AI67" s="689"/>
      <c r="AJ67" s="689"/>
      <c r="AK67" s="689"/>
      <c r="AL67" s="689"/>
      <c r="AM67" s="689"/>
      <c r="AN67" s="689"/>
      <c r="AO67" s="689"/>
      <c r="AP67" s="689"/>
      <c r="AQ67" s="689"/>
      <c r="AR67" s="689"/>
      <c r="AS67" s="689"/>
      <c r="AT67" s="689"/>
      <c r="AU67" s="689"/>
      <c r="AV67" s="689"/>
      <c r="AW67" s="689"/>
      <c r="AX67" s="689"/>
      <c r="AY67" s="689"/>
      <c r="AZ67" s="689"/>
      <c r="BA67" s="689"/>
      <c r="BB67" s="689"/>
      <c r="BC67" s="689"/>
      <c r="BD67" s="689"/>
      <c r="BE67" s="690"/>
      <c r="BF67" s="657" t="s">
        <v>26</v>
      </c>
      <c r="BG67" s="657"/>
      <c r="BH67" s="657"/>
      <c r="BI67" s="657"/>
      <c r="BJ67" s="657"/>
      <c r="BK67" s="657"/>
      <c r="BL67" s="657"/>
      <c r="BM67" s="657"/>
      <c r="BN67" s="657"/>
      <c r="BO67" s="657"/>
      <c r="BP67" s="657"/>
      <c r="BQ67" s="657"/>
      <c r="BR67" s="657"/>
      <c r="BS67" s="657"/>
      <c r="BT67" s="657"/>
      <c r="BU67" s="658"/>
      <c r="BV67" s="659" t="s">
        <v>8</v>
      </c>
      <c r="BW67" s="657"/>
      <c r="BX67" s="660"/>
      <c r="BY67" s="661" t="s">
        <v>9</v>
      </c>
      <c r="BZ67" s="657"/>
      <c r="CA67" s="657"/>
      <c r="CB67" s="657"/>
      <c r="CC67" s="657"/>
      <c r="CD67" s="657"/>
      <c r="CE67" s="657"/>
      <c r="CF67" s="657"/>
      <c r="CG67" s="657"/>
      <c r="CH67" s="657"/>
      <c r="CI67" s="657"/>
      <c r="CJ67" s="657"/>
      <c r="CK67" s="660"/>
      <c r="CL67" s="661" t="s">
        <v>10</v>
      </c>
      <c r="CM67" s="658"/>
    </row>
    <row r="68" spans="1:91" ht="25.5" customHeight="1" x14ac:dyDescent="0.2">
      <c r="A68" s="654" t="str">
        <f>IF('Title Page'!K28&lt;&gt;"",'Title Page'!K28,"")</f>
        <v/>
      </c>
      <c r="B68" s="655"/>
      <c r="C68" s="655"/>
      <c r="D68" s="130"/>
      <c r="E68" s="656" t="str">
        <f>IF('Title Page'!L28&lt;&gt;"",'Title Page'!L28,"")</f>
        <v/>
      </c>
      <c r="F68" s="656"/>
      <c r="G68" s="656"/>
      <c r="H68" s="436" t="str">
        <f>IF('Title Page'!R28&lt;&gt;"",'Title Page'!R28,"")</f>
        <v/>
      </c>
      <c r="I68" s="436" t="str">
        <f>IF('Title Page'!S28&lt;&gt;"",'Title Page'!S28,"")</f>
        <v/>
      </c>
      <c r="J68" s="436" t="str">
        <f>IF('Title Page'!T28&lt;&gt;"",'Title Page'!T28,"")</f>
        <v/>
      </c>
      <c r="K68" s="437" t="str">
        <f>IF('Title Page'!V28&lt;&gt;"",'Title Page'!V28,"")</f>
        <v/>
      </c>
      <c r="L68" s="688"/>
      <c r="M68" s="689"/>
      <c r="N68" s="689"/>
      <c r="O68" s="689"/>
      <c r="P68" s="689"/>
      <c r="Q68" s="689"/>
      <c r="R68" s="689"/>
      <c r="S68" s="689"/>
      <c r="T68" s="689"/>
      <c r="U68" s="689"/>
      <c r="V68" s="689"/>
      <c r="W68" s="689"/>
      <c r="X68" s="689"/>
      <c r="Y68" s="689"/>
      <c r="Z68" s="689"/>
      <c r="AA68" s="689"/>
      <c r="AB68" s="689"/>
      <c r="AC68" s="689"/>
      <c r="AD68" s="689"/>
      <c r="AE68" s="689"/>
      <c r="AF68" s="689"/>
      <c r="AG68" s="689"/>
      <c r="AH68" s="689"/>
      <c r="AI68" s="689"/>
      <c r="AJ68" s="689"/>
      <c r="AK68" s="689"/>
      <c r="AL68" s="689"/>
      <c r="AM68" s="689"/>
      <c r="AN68" s="689"/>
      <c r="AO68" s="689"/>
      <c r="AP68" s="689"/>
      <c r="AQ68" s="689"/>
      <c r="AR68" s="689"/>
      <c r="AS68" s="689"/>
      <c r="AT68" s="689"/>
      <c r="AU68" s="689"/>
      <c r="AV68" s="689"/>
      <c r="AW68" s="689"/>
      <c r="AX68" s="689"/>
      <c r="AY68" s="689"/>
      <c r="AZ68" s="689"/>
      <c r="BA68" s="689"/>
      <c r="BB68" s="689"/>
      <c r="BC68" s="689"/>
      <c r="BD68" s="689"/>
      <c r="BE68" s="690"/>
      <c r="BF68" s="662" t="str">
        <f>'Title Page'!Z21</f>
        <v>PEM029-001</v>
      </c>
      <c r="BG68" s="662"/>
      <c r="BH68" s="662"/>
      <c r="BI68" s="662"/>
      <c r="BJ68" s="662"/>
      <c r="BK68" s="662"/>
      <c r="BL68" s="662"/>
      <c r="BM68" s="662"/>
      <c r="BN68" s="662"/>
      <c r="BO68" s="662"/>
      <c r="BP68" s="662"/>
      <c r="BQ68" s="662"/>
      <c r="BR68" s="662"/>
      <c r="BS68" s="662"/>
      <c r="BT68" s="662"/>
      <c r="BU68" s="651"/>
      <c r="BV68" s="664" t="str">
        <f>'Title Page'!AA21</f>
        <v>None</v>
      </c>
      <c r="BW68" s="662"/>
      <c r="BX68" s="665"/>
      <c r="BY68" s="650" t="str">
        <f ca="1">BF68&amp;"-SDK-"&amp;RIGHT(RIGHT(CELL("filename",H7),LEN(CELL("filename",H7))-FIND("]",CELL("filename",H7))),LEN(RIGHT(CELL("filename",H7),LEN(CELL("filename",H7))-FIND("]",CELL("filename",H7))))-12)</f>
        <v>PEM029-001-SDK-3</v>
      </c>
      <c r="BZ68" s="662"/>
      <c r="CA68" s="662"/>
      <c r="CB68" s="662"/>
      <c r="CC68" s="662"/>
      <c r="CD68" s="662"/>
      <c r="CE68" s="662"/>
      <c r="CF68" s="662"/>
      <c r="CG68" s="662"/>
      <c r="CH68" s="662"/>
      <c r="CI68" s="662"/>
      <c r="CJ68" s="662"/>
      <c r="CK68" s="665"/>
      <c r="CL68" s="650">
        <f>'Title Page'!X21</f>
        <v>0</v>
      </c>
      <c r="CM68" s="651"/>
    </row>
    <row r="69" spans="1:91" ht="25.5" customHeight="1" thickBot="1" x14ac:dyDescent="0.25">
      <c r="A69" s="654" t="str">
        <f>IF('Title Page'!K29&lt;&gt;"",'Title Page'!K29,"")</f>
        <v/>
      </c>
      <c r="B69" s="655"/>
      <c r="C69" s="655"/>
      <c r="D69" s="130"/>
      <c r="E69" s="656" t="str">
        <f>IF('Title Page'!L29&lt;&gt;"",'Title Page'!L29,"")</f>
        <v/>
      </c>
      <c r="F69" s="656"/>
      <c r="G69" s="656"/>
      <c r="H69" s="436" t="str">
        <f>IF('Title Page'!R29&lt;&gt;"",'Title Page'!R29,"")</f>
        <v/>
      </c>
      <c r="I69" s="436" t="str">
        <f>IF('Title Page'!S29&lt;&gt;"",'Title Page'!S29,"")</f>
        <v/>
      </c>
      <c r="J69" s="436" t="str">
        <f>IF('Title Page'!T29&lt;&gt;"",'Title Page'!T29,"")</f>
        <v/>
      </c>
      <c r="K69" s="437" t="str">
        <f>IF('Title Page'!V29&lt;&gt;"",'Title Page'!V29,"")</f>
        <v/>
      </c>
      <c r="L69" s="691"/>
      <c r="M69" s="692"/>
      <c r="N69" s="692"/>
      <c r="O69" s="692"/>
      <c r="P69" s="692"/>
      <c r="Q69" s="692"/>
      <c r="R69" s="692"/>
      <c r="S69" s="692"/>
      <c r="T69" s="692"/>
      <c r="U69" s="692"/>
      <c r="V69" s="692"/>
      <c r="W69" s="692"/>
      <c r="X69" s="692"/>
      <c r="Y69" s="692"/>
      <c r="Z69" s="692"/>
      <c r="AA69" s="692"/>
      <c r="AB69" s="692"/>
      <c r="AC69" s="692"/>
      <c r="AD69" s="692"/>
      <c r="AE69" s="692"/>
      <c r="AF69" s="692"/>
      <c r="AG69" s="692"/>
      <c r="AH69" s="692"/>
      <c r="AI69" s="692"/>
      <c r="AJ69" s="692"/>
      <c r="AK69" s="692"/>
      <c r="AL69" s="692"/>
      <c r="AM69" s="692"/>
      <c r="AN69" s="692"/>
      <c r="AO69" s="692"/>
      <c r="AP69" s="692"/>
      <c r="AQ69" s="692"/>
      <c r="AR69" s="692"/>
      <c r="AS69" s="692"/>
      <c r="AT69" s="692"/>
      <c r="AU69" s="692"/>
      <c r="AV69" s="692"/>
      <c r="AW69" s="692"/>
      <c r="AX69" s="692"/>
      <c r="AY69" s="692"/>
      <c r="AZ69" s="692"/>
      <c r="BA69" s="692"/>
      <c r="BB69" s="692"/>
      <c r="BC69" s="692"/>
      <c r="BD69" s="692"/>
      <c r="BE69" s="693"/>
      <c r="BF69" s="663"/>
      <c r="BG69" s="663"/>
      <c r="BH69" s="663"/>
      <c r="BI69" s="663"/>
      <c r="BJ69" s="663"/>
      <c r="BK69" s="663"/>
      <c r="BL69" s="663"/>
      <c r="BM69" s="663"/>
      <c r="BN69" s="663"/>
      <c r="BO69" s="663"/>
      <c r="BP69" s="663"/>
      <c r="BQ69" s="663"/>
      <c r="BR69" s="663"/>
      <c r="BS69" s="663"/>
      <c r="BT69" s="663"/>
      <c r="BU69" s="653"/>
      <c r="BV69" s="666"/>
      <c r="BW69" s="663"/>
      <c r="BX69" s="667"/>
      <c r="BY69" s="652"/>
      <c r="BZ69" s="663"/>
      <c r="CA69" s="663"/>
      <c r="CB69" s="663"/>
      <c r="CC69" s="663"/>
      <c r="CD69" s="663"/>
      <c r="CE69" s="663"/>
      <c r="CF69" s="663"/>
      <c r="CG69" s="663"/>
      <c r="CH69" s="663"/>
      <c r="CI69" s="663"/>
      <c r="CJ69" s="663"/>
      <c r="CK69" s="667"/>
      <c r="CL69" s="652"/>
      <c r="CM69" s="653"/>
    </row>
    <row r="70" spans="1:91" ht="12" customHeight="1" x14ac:dyDescent="0.25">
      <c r="A70" s="438"/>
      <c r="B70" s="439"/>
      <c r="C70" s="439"/>
      <c r="D70" s="439"/>
      <c r="E70" s="228"/>
      <c r="F70" s="440"/>
      <c r="G70" s="440"/>
      <c r="H70" s="440"/>
      <c r="I70" s="441"/>
      <c r="BL70" s="305"/>
      <c r="BM70" s="305"/>
      <c r="BN70" s="305"/>
      <c r="BO70" s="305"/>
      <c r="BP70" s="305"/>
      <c r="BQ70" s="305"/>
      <c r="BR70" s="305"/>
      <c r="BS70" s="305"/>
      <c r="BT70" s="443"/>
      <c r="CD70" s="228"/>
      <c r="CE70" s="228"/>
      <c r="CF70" s="228"/>
      <c r="CG70" s="228"/>
      <c r="CH70" s="228"/>
      <c r="CI70" s="228"/>
      <c r="CJ70" s="228"/>
      <c r="CK70" s="228"/>
      <c r="CL70" s="228"/>
      <c r="CM70" s="228"/>
    </row>
  </sheetData>
  <mergeCells count="45">
    <mergeCell ref="BF64:BU66"/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A67:C67"/>
    <mergeCell ref="E67:G67"/>
    <mergeCell ref="BF67:BU67"/>
    <mergeCell ref="BV67:BX67"/>
    <mergeCell ref="BY67:CK67"/>
    <mergeCell ref="A61:C61"/>
    <mergeCell ref="E61:G61"/>
    <mergeCell ref="BV64:CM66"/>
    <mergeCell ref="A65:C65"/>
    <mergeCell ref="E65:G65"/>
    <mergeCell ref="A66:C66"/>
    <mergeCell ref="E66:G66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  <mergeCell ref="G7:G9"/>
    <mergeCell ref="H7:H9"/>
    <mergeCell ref="I7:K7"/>
    <mergeCell ref="J8:K8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18" orientation="landscape" r:id="rId1"/>
  <headerFooter alignWithMargins="0">
    <oddFooter xml:space="preserve">&amp;L&amp;F&amp;C&amp;D&amp;RLauren Concise Design Shutdown Key 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DQ70"/>
  <sheetViews>
    <sheetView showGridLines="0" view="pageBreakPreview" topLeftCell="A7" zoomScale="50" zoomScaleNormal="50" zoomScaleSheetLayoutView="50" zoomScalePageLayoutView="50" workbookViewId="0">
      <selection activeCell="S11" sqref="S11"/>
    </sheetView>
  </sheetViews>
  <sheetFormatPr defaultColWidth="12.7109375" defaultRowHeight="12" customHeight="1" x14ac:dyDescent="0.25"/>
  <cols>
    <col min="1" max="1" width="8.7109375" style="220" bestFit="1" customWidth="1"/>
    <col min="2" max="2" width="7.42578125" style="220" customWidth="1"/>
    <col min="3" max="3" width="10.5703125" style="220" bestFit="1" customWidth="1"/>
    <col min="4" max="4" width="36.7109375" style="220" bestFit="1" customWidth="1"/>
    <col min="5" max="5" width="95.85546875" style="222" bestFit="1" customWidth="1"/>
    <col min="6" max="6" width="18.42578125" style="221" bestFit="1" customWidth="1"/>
    <col min="7" max="7" width="31.5703125" style="221" bestFit="1" customWidth="1"/>
    <col min="8" max="8" width="33" style="221" bestFit="1" customWidth="1"/>
    <col min="9" max="10" width="8.42578125" style="316" customWidth="1"/>
    <col min="11" max="11" width="10.85546875" style="316" bestFit="1" customWidth="1"/>
    <col min="12" max="12" width="6.140625" style="442" customWidth="1"/>
    <col min="13" max="21" width="6.140625" style="222" customWidth="1"/>
    <col min="22" max="22" width="6.140625" style="442" customWidth="1"/>
    <col min="23" max="31" width="6.140625" style="222" customWidth="1"/>
    <col min="32" max="32" width="6.140625" style="442" customWidth="1"/>
    <col min="33" max="41" width="6.140625" style="222" customWidth="1"/>
    <col min="42" max="42" width="6.140625" style="442" customWidth="1"/>
    <col min="43" max="51" width="6.140625" style="222" customWidth="1"/>
    <col min="52" max="52" width="6.140625" style="442" customWidth="1"/>
    <col min="53" max="61" width="6.140625" style="222" customWidth="1"/>
    <col min="62" max="62" width="6.140625" style="442" customWidth="1"/>
    <col min="63" max="71" width="6.140625" style="222" customWidth="1"/>
    <col min="72" max="72" width="6.140625" style="442" customWidth="1"/>
    <col min="73" max="80" width="6.140625" style="222" customWidth="1"/>
    <col min="81" max="81" width="6.140625" style="444" customWidth="1"/>
    <col min="82" max="91" width="6.140625" style="222" customWidth="1"/>
    <col min="92" max="16384" width="12.7109375" style="222"/>
  </cols>
  <sheetData>
    <row r="1" spans="1:121" s="339" customFormat="1" ht="20.25" customHeight="1" x14ac:dyDescent="0.25">
      <c r="A1" s="256"/>
      <c r="B1" s="334"/>
      <c r="C1" s="334"/>
      <c r="D1" s="334"/>
      <c r="E1" s="305"/>
      <c r="F1" s="335"/>
      <c r="G1" s="335"/>
      <c r="H1" s="335"/>
      <c r="I1" s="336"/>
      <c r="J1" s="337" t="s">
        <v>0</v>
      </c>
      <c r="K1" s="338"/>
      <c r="L1" s="136">
        <v>1</v>
      </c>
      <c r="M1" s="103">
        <v>2</v>
      </c>
      <c r="N1" s="103">
        <v>3</v>
      </c>
      <c r="O1" s="103">
        <v>4</v>
      </c>
      <c r="P1" s="137">
        <v>5</v>
      </c>
      <c r="Q1" s="136">
        <v>6</v>
      </c>
      <c r="R1" s="103">
        <v>7</v>
      </c>
      <c r="S1" s="103">
        <v>8</v>
      </c>
      <c r="T1" s="103">
        <v>9</v>
      </c>
      <c r="U1" s="138">
        <v>10</v>
      </c>
      <c r="V1" s="139">
        <v>11</v>
      </c>
      <c r="W1" s="103">
        <v>12</v>
      </c>
      <c r="X1" s="103">
        <v>13</v>
      </c>
      <c r="Y1" s="103">
        <v>14</v>
      </c>
      <c r="Z1" s="137">
        <v>15</v>
      </c>
      <c r="AA1" s="136">
        <v>16</v>
      </c>
      <c r="AB1" s="103">
        <v>17</v>
      </c>
      <c r="AC1" s="103">
        <v>18</v>
      </c>
      <c r="AD1" s="103">
        <v>19</v>
      </c>
      <c r="AE1" s="138">
        <v>20</v>
      </c>
      <c r="AF1" s="139">
        <v>21</v>
      </c>
      <c r="AG1" s="103">
        <v>22</v>
      </c>
      <c r="AH1" s="103">
        <v>23</v>
      </c>
      <c r="AI1" s="103">
        <v>24</v>
      </c>
      <c r="AJ1" s="137">
        <v>25</v>
      </c>
      <c r="AK1" s="136">
        <v>26</v>
      </c>
      <c r="AL1" s="103">
        <v>27</v>
      </c>
      <c r="AM1" s="103">
        <v>28</v>
      </c>
      <c r="AN1" s="103">
        <v>29</v>
      </c>
      <c r="AO1" s="138">
        <v>30</v>
      </c>
      <c r="AP1" s="139">
        <v>31</v>
      </c>
      <c r="AQ1" s="103">
        <v>32</v>
      </c>
      <c r="AR1" s="103">
        <v>33</v>
      </c>
      <c r="AS1" s="103">
        <v>34</v>
      </c>
      <c r="AT1" s="137">
        <v>35</v>
      </c>
      <c r="AU1" s="136">
        <v>36</v>
      </c>
      <c r="AV1" s="103">
        <v>37</v>
      </c>
      <c r="AW1" s="103">
        <v>38</v>
      </c>
      <c r="AX1" s="103">
        <v>39</v>
      </c>
      <c r="AY1" s="138">
        <v>40</v>
      </c>
      <c r="AZ1" s="139">
        <v>41</v>
      </c>
      <c r="BA1" s="103">
        <v>42</v>
      </c>
      <c r="BB1" s="103">
        <v>43</v>
      </c>
      <c r="BC1" s="103">
        <v>44</v>
      </c>
      <c r="BD1" s="137">
        <v>45</v>
      </c>
      <c r="BE1" s="136">
        <v>46</v>
      </c>
      <c r="BF1" s="103">
        <v>47</v>
      </c>
      <c r="BG1" s="103">
        <v>48</v>
      </c>
      <c r="BH1" s="103">
        <v>49</v>
      </c>
      <c r="BI1" s="138">
        <v>50</v>
      </c>
      <c r="BJ1" s="139">
        <v>51</v>
      </c>
      <c r="BK1" s="103">
        <v>52</v>
      </c>
      <c r="BL1" s="103">
        <v>53</v>
      </c>
      <c r="BM1" s="103">
        <v>54</v>
      </c>
      <c r="BN1" s="137">
        <v>55</v>
      </c>
      <c r="BO1" s="136">
        <v>56</v>
      </c>
      <c r="BP1" s="103">
        <v>57</v>
      </c>
      <c r="BQ1" s="103">
        <v>58</v>
      </c>
      <c r="BR1" s="103">
        <v>59</v>
      </c>
      <c r="BS1" s="138">
        <v>60</v>
      </c>
      <c r="BT1" s="139">
        <v>61</v>
      </c>
      <c r="BU1" s="103">
        <v>62</v>
      </c>
      <c r="BV1" s="103">
        <v>63</v>
      </c>
      <c r="BW1" s="103">
        <v>64</v>
      </c>
      <c r="BX1" s="137">
        <v>65</v>
      </c>
      <c r="BY1" s="136">
        <v>66</v>
      </c>
      <c r="BZ1" s="103">
        <v>67</v>
      </c>
      <c r="CA1" s="103">
        <v>68</v>
      </c>
      <c r="CB1" s="103">
        <v>69</v>
      </c>
      <c r="CC1" s="138">
        <v>70</v>
      </c>
      <c r="CD1" s="139">
        <v>71</v>
      </c>
      <c r="CE1" s="103">
        <v>72</v>
      </c>
      <c r="CF1" s="103">
        <v>73</v>
      </c>
      <c r="CG1" s="103">
        <v>74</v>
      </c>
      <c r="CH1" s="138">
        <v>75</v>
      </c>
      <c r="CI1" s="139">
        <v>76</v>
      </c>
      <c r="CJ1" s="103">
        <v>77</v>
      </c>
      <c r="CK1" s="103">
        <v>78</v>
      </c>
      <c r="CL1" s="103">
        <v>79</v>
      </c>
      <c r="CM1" s="137">
        <v>80</v>
      </c>
      <c r="CN1" s="220"/>
      <c r="CO1" s="220"/>
      <c r="CP1" s="220"/>
      <c r="CQ1" s="220"/>
      <c r="CR1" s="220"/>
      <c r="CS1" s="220"/>
      <c r="CT1" s="220"/>
      <c r="CU1" s="220"/>
      <c r="CV1" s="220"/>
      <c r="CW1" s="220"/>
      <c r="CX1" s="220"/>
      <c r="CY1" s="220"/>
      <c r="CZ1" s="220"/>
      <c r="DA1" s="220"/>
      <c r="DB1" s="220"/>
      <c r="DC1" s="220"/>
      <c r="DD1" s="220"/>
      <c r="DE1" s="220"/>
      <c r="DF1" s="220"/>
      <c r="DG1" s="220"/>
      <c r="DH1" s="220"/>
      <c r="DI1" s="220"/>
      <c r="DJ1" s="220"/>
      <c r="DK1" s="220"/>
      <c r="DL1" s="220"/>
      <c r="DM1" s="220"/>
      <c r="DN1" s="220"/>
      <c r="DO1" s="220"/>
      <c r="DP1" s="220"/>
      <c r="DQ1" s="220"/>
    </row>
    <row r="2" spans="1:121" s="339" customFormat="1" ht="24" customHeight="1" thickBot="1" x14ac:dyDescent="0.25">
      <c r="A2" s="184"/>
      <c r="B2" s="220"/>
      <c r="C2" s="220"/>
      <c r="D2" s="220"/>
      <c r="F2" s="221"/>
      <c r="G2" s="221"/>
      <c r="H2" s="221"/>
      <c r="I2" s="340"/>
      <c r="J2" s="341" t="s">
        <v>38</v>
      </c>
      <c r="K2" s="342"/>
      <c r="L2" s="140">
        <v>0</v>
      </c>
      <c r="M2" s="76">
        <v>0</v>
      </c>
      <c r="N2" s="76">
        <v>0</v>
      </c>
      <c r="O2" s="76">
        <v>0</v>
      </c>
      <c r="P2" s="141">
        <v>0</v>
      </c>
      <c r="Q2" s="140"/>
      <c r="R2" s="76"/>
      <c r="S2" s="76">
        <v>0</v>
      </c>
      <c r="T2" s="76">
        <v>0</v>
      </c>
      <c r="U2" s="81">
        <v>0</v>
      </c>
      <c r="V2" s="142">
        <v>0</v>
      </c>
      <c r="W2" s="76">
        <v>0</v>
      </c>
      <c r="X2" s="76">
        <v>0</v>
      </c>
      <c r="Y2" s="76">
        <v>0</v>
      </c>
      <c r="Z2" s="141">
        <v>0</v>
      </c>
      <c r="AA2" s="140">
        <v>0</v>
      </c>
      <c r="AB2" s="76">
        <v>0</v>
      </c>
      <c r="AC2" s="76">
        <v>0</v>
      </c>
      <c r="AD2" s="76">
        <v>0</v>
      </c>
      <c r="AE2" s="81">
        <v>0</v>
      </c>
      <c r="AF2" s="142">
        <v>0</v>
      </c>
      <c r="AG2" s="76">
        <v>0</v>
      </c>
      <c r="AH2" s="76">
        <v>0</v>
      </c>
      <c r="AI2" s="76">
        <v>0</v>
      </c>
      <c r="AJ2" s="141"/>
      <c r="AK2" s="140"/>
      <c r="AL2" s="76">
        <v>0</v>
      </c>
      <c r="AM2" s="76">
        <v>0</v>
      </c>
      <c r="AN2" s="76">
        <v>0</v>
      </c>
      <c r="AO2" s="81">
        <v>0</v>
      </c>
      <c r="AP2" s="142">
        <v>0</v>
      </c>
      <c r="AQ2" s="76">
        <v>0</v>
      </c>
      <c r="AR2" s="76">
        <v>0</v>
      </c>
      <c r="AS2" s="76"/>
      <c r="AT2" s="141"/>
      <c r="AU2" s="140">
        <v>0</v>
      </c>
      <c r="AV2" s="76">
        <v>0</v>
      </c>
      <c r="AW2" s="76">
        <v>0</v>
      </c>
      <c r="AX2" s="76">
        <v>0</v>
      </c>
      <c r="AY2" s="81">
        <v>0</v>
      </c>
      <c r="AZ2" s="142">
        <v>0</v>
      </c>
      <c r="BA2" s="76">
        <v>0</v>
      </c>
      <c r="BB2" s="76">
        <v>0</v>
      </c>
      <c r="BC2" s="76">
        <v>0</v>
      </c>
      <c r="BD2" s="141">
        <v>0</v>
      </c>
      <c r="BE2" s="140"/>
      <c r="BF2" s="76"/>
      <c r="BG2" s="76">
        <v>0</v>
      </c>
      <c r="BH2" s="76">
        <v>0</v>
      </c>
      <c r="BI2" s="81">
        <v>0</v>
      </c>
      <c r="BJ2" s="142">
        <v>0</v>
      </c>
      <c r="BK2" s="76">
        <v>0</v>
      </c>
      <c r="BL2" s="76">
        <v>0</v>
      </c>
      <c r="BM2" s="76">
        <v>0</v>
      </c>
      <c r="BN2" s="141">
        <v>0</v>
      </c>
      <c r="BO2" s="140">
        <v>0</v>
      </c>
      <c r="BP2" s="76">
        <v>0</v>
      </c>
      <c r="BQ2" s="76"/>
      <c r="BR2" s="76"/>
      <c r="BS2" s="81">
        <v>0</v>
      </c>
      <c r="BT2" s="142"/>
      <c r="BU2" s="76"/>
      <c r="BV2" s="76">
        <v>0</v>
      </c>
      <c r="BW2" s="76">
        <v>0</v>
      </c>
      <c r="BX2" s="141">
        <v>0</v>
      </c>
      <c r="BY2" s="140">
        <v>0</v>
      </c>
      <c r="BZ2" s="76"/>
      <c r="CA2" s="76"/>
      <c r="CB2" s="76">
        <v>0</v>
      </c>
      <c r="CC2" s="81">
        <v>0</v>
      </c>
      <c r="CD2" s="142">
        <v>0</v>
      </c>
      <c r="CE2" s="76"/>
      <c r="CF2" s="76"/>
      <c r="CG2" s="76">
        <v>0</v>
      </c>
      <c r="CH2" s="81">
        <v>0</v>
      </c>
      <c r="CI2" s="142">
        <v>0</v>
      </c>
      <c r="CJ2" s="76"/>
      <c r="CK2" s="76"/>
      <c r="CL2" s="76"/>
      <c r="CM2" s="141"/>
      <c r="CN2" s="234"/>
      <c r="CO2" s="234"/>
      <c r="CP2" s="234"/>
      <c r="CQ2" s="234"/>
      <c r="CR2" s="234"/>
      <c r="CS2" s="234"/>
      <c r="CT2" s="234"/>
      <c r="CU2" s="234"/>
      <c r="CV2" s="234"/>
      <c r="CW2" s="234"/>
      <c r="CX2" s="234"/>
      <c r="CY2" s="234"/>
      <c r="CZ2" s="234"/>
      <c r="DA2" s="234"/>
      <c r="DB2" s="234"/>
      <c r="DC2" s="234"/>
      <c r="DD2" s="234"/>
      <c r="DE2" s="234"/>
      <c r="DF2" s="234"/>
      <c r="DG2" s="234"/>
      <c r="DH2" s="234"/>
      <c r="DI2" s="234"/>
      <c r="DJ2" s="234"/>
      <c r="DK2" s="234"/>
      <c r="DL2" s="234"/>
      <c r="DM2" s="234"/>
      <c r="DN2" s="234"/>
      <c r="DO2" s="234"/>
      <c r="DP2" s="234"/>
      <c r="DQ2" s="220"/>
    </row>
    <row r="3" spans="1:121" ht="111" customHeight="1" x14ac:dyDescent="0.2">
      <c r="A3" s="184"/>
      <c r="I3" s="644" t="s">
        <v>35</v>
      </c>
      <c r="J3" s="645"/>
      <c r="K3" s="646"/>
      <c r="L3" s="143" t="s">
        <v>1044</v>
      </c>
      <c r="M3" s="144" t="s">
        <v>1044</v>
      </c>
      <c r="N3" s="144" t="s">
        <v>1044</v>
      </c>
      <c r="O3" s="144" t="s">
        <v>1044</v>
      </c>
      <c r="P3" s="145" t="s">
        <v>1044</v>
      </c>
      <c r="Q3" s="143"/>
      <c r="R3" s="146"/>
      <c r="S3" s="288" t="s">
        <v>1044</v>
      </c>
      <c r="T3" s="146">
        <v>5</v>
      </c>
      <c r="U3" s="317" t="s">
        <v>1044</v>
      </c>
      <c r="V3" s="147">
        <v>5</v>
      </c>
      <c r="W3" s="146">
        <v>5</v>
      </c>
      <c r="X3" s="146">
        <v>5</v>
      </c>
      <c r="Y3" s="288" t="s">
        <v>1044</v>
      </c>
      <c r="Z3" s="148">
        <v>5</v>
      </c>
      <c r="AA3" s="149">
        <v>5</v>
      </c>
      <c r="AB3" s="146">
        <v>5</v>
      </c>
      <c r="AC3" s="146">
        <v>5</v>
      </c>
      <c r="AD3" s="146">
        <v>5</v>
      </c>
      <c r="AE3" s="150" t="s">
        <v>135</v>
      </c>
      <c r="AF3" s="147" t="s">
        <v>135</v>
      </c>
      <c r="AG3" s="146">
        <v>5</v>
      </c>
      <c r="AH3" s="146">
        <v>5</v>
      </c>
      <c r="AI3" s="146" t="s">
        <v>1044</v>
      </c>
      <c r="AJ3" s="148"/>
      <c r="AK3" s="149"/>
      <c r="AL3" s="146">
        <v>1</v>
      </c>
      <c r="AM3" s="146">
        <v>1</v>
      </c>
      <c r="AN3" s="146">
        <v>1</v>
      </c>
      <c r="AO3" s="150">
        <v>1</v>
      </c>
      <c r="AP3" s="147">
        <v>1</v>
      </c>
      <c r="AQ3" s="146">
        <v>1</v>
      </c>
      <c r="AR3" s="146">
        <v>1</v>
      </c>
      <c r="AS3" s="151"/>
      <c r="AT3" s="148"/>
      <c r="AU3" s="149" t="s">
        <v>135</v>
      </c>
      <c r="AV3" s="146" t="s">
        <v>135</v>
      </c>
      <c r="AW3" s="146" t="s">
        <v>135</v>
      </c>
      <c r="AX3" s="146" t="s">
        <v>135</v>
      </c>
      <c r="AY3" s="150" t="s">
        <v>135</v>
      </c>
      <c r="AZ3" s="147">
        <v>4</v>
      </c>
      <c r="BA3" s="146">
        <v>2</v>
      </c>
      <c r="BB3" s="146">
        <v>2</v>
      </c>
      <c r="BC3" s="146">
        <v>2</v>
      </c>
      <c r="BD3" s="148">
        <v>2</v>
      </c>
      <c r="BE3" s="149"/>
      <c r="BF3" s="146"/>
      <c r="BG3" s="146" t="s">
        <v>135</v>
      </c>
      <c r="BH3" s="146" t="s">
        <v>135</v>
      </c>
      <c r="BI3" s="150" t="s">
        <v>135</v>
      </c>
      <c r="BJ3" s="147" t="s">
        <v>135</v>
      </c>
      <c r="BK3" s="146" t="s">
        <v>135</v>
      </c>
      <c r="BL3" s="146">
        <v>4</v>
      </c>
      <c r="BM3" s="146">
        <v>2</v>
      </c>
      <c r="BN3" s="148">
        <v>2</v>
      </c>
      <c r="BO3" s="149">
        <v>2</v>
      </c>
      <c r="BP3" s="146">
        <v>2</v>
      </c>
      <c r="BQ3" s="146"/>
      <c r="BR3" s="146"/>
      <c r="BS3" s="150">
        <v>3</v>
      </c>
      <c r="BT3" s="147"/>
      <c r="BU3" s="146"/>
      <c r="BV3" s="146" t="s">
        <v>135</v>
      </c>
      <c r="BW3" s="146" t="s">
        <v>135</v>
      </c>
      <c r="BX3" s="148" t="s">
        <v>135</v>
      </c>
      <c r="BY3" s="149" t="s">
        <v>135</v>
      </c>
      <c r="BZ3" s="146"/>
      <c r="CA3" s="146"/>
      <c r="CB3" s="146" t="s">
        <v>135</v>
      </c>
      <c r="CC3" s="150" t="s">
        <v>135</v>
      </c>
      <c r="CD3" s="147" t="s">
        <v>135</v>
      </c>
      <c r="CE3" s="146"/>
      <c r="CF3" s="146"/>
      <c r="CG3" s="146">
        <v>5</v>
      </c>
      <c r="CH3" s="150" t="s">
        <v>1044</v>
      </c>
      <c r="CI3" s="147" t="s">
        <v>1044</v>
      </c>
      <c r="CJ3" s="144"/>
      <c r="CK3" s="144"/>
      <c r="CL3" s="144"/>
      <c r="CM3" s="145"/>
      <c r="CN3" s="343"/>
      <c r="CO3" s="343"/>
      <c r="CP3" s="343"/>
      <c r="CQ3" s="343"/>
      <c r="CR3" s="343"/>
      <c r="CS3" s="343"/>
      <c r="CT3" s="343"/>
      <c r="CU3" s="343"/>
      <c r="CV3" s="343"/>
      <c r="CW3" s="343"/>
      <c r="CX3" s="343"/>
      <c r="CY3" s="343"/>
      <c r="CZ3" s="343"/>
      <c r="DA3" s="343"/>
      <c r="DB3" s="343"/>
      <c r="DC3" s="343"/>
      <c r="DD3" s="343"/>
      <c r="DE3" s="343"/>
      <c r="DF3" s="343"/>
      <c r="DG3" s="343"/>
      <c r="DH3" s="343"/>
      <c r="DI3" s="343"/>
      <c r="DJ3" s="343"/>
      <c r="DK3" s="343"/>
      <c r="DL3" s="343"/>
      <c r="DM3" s="343"/>
      <c r="DN3" s="343"/>
      <c r="DO3" s="343"/>
      <c r="DP3" s="343"/>
      <c r="DQ3" s="343"/>
    </row>
    <row r="4" spans="1:121" s="344" customFormat="1" ht="156.75" customHeight="1" x14ac:dyDescent="0.2">
      <c r="A4" s="184"/>
      <c r="B4" s="220"/>
      <c r="C4" s="220"/>
      <c r="D4" s="220"/>
      <c r="F4" s="220"/>
      <c r="G4" s="220"/>
      <c r="H4" s="227"/>
      <c r="I4" s="647" t="s">
        <v>36</v>
      </c>
      <c r="J4" s="648"/>
      <c r="K4" s="649"/>
      <c r="L4" s="143" t="s">
        <v>1044</v>
      </c>
      <c r="M4" s="144" t="s">
        <v>1044</v>
      </c>
      <c r="N4" s="144" t="s">
        <v>1044</v>
      </c>
      <c r="O4" s="144" t="s">
        <v>1044</v>
      </c>
      <c r="P4" s="145" t="s">
        <v>1044</v>
      </c>
      <c r="Q4" s="143"/>
      <c r="R4" s="146"/>
      <c r="S4" s="146" t="s">
        <v>136</v>
      </c>
      <c r="T4" s="146" t="s">
        <v>137</v>
      </c>
      <c r="U4" s="150" t="s">
        <v>138</v>
      </c>
      <c r="V4" s="147" t="s">
        <v>139</v>
      </c>
      <c r="W4" s="146" t="s">
        <v>140</v>
      </c>
      <c r="X4" s="146" t="s">
        <v>141</v>
      </c>
      <c r="Y4" s="146" t="s">
        <v>142</v>
      </c>
      <c r="Z4" s="148" t="s">
        <v>143</v>
      </c>
      <c r="AA4" s="149" t="s">
        <v>144</v>
      </c>
      <c r="AB4" s="146" t="s">
        <v>145</v>
      </c>
      <c r="AC4" s="146" t="s">
        <v>146</v>
      </c>
      <c r="AD4" s="146" t="s">
        <v>147</v>
      </c>
      <c r="AE4" s="150" t="s">
        <v>148</v>
      </c>
      <c r="AF4" s="147" t="s">
        <v>149</v>
      </c>
      <c r="AG4" s="146" t="s">
        <v>922</v>
      </c>
      <c r="AH4" s="146" t="s">
        <v>921</v>
      </c>
      <c r="AI4" s="146" t="s">
        <v>1049</v>
      </c>
      <c r="AJ4" s="148"/>
      <c r="AK4" s="149"/>
      <c r="AL4" s="146" t="s">
        <v>150</v>
      </c>
      <c r="AM4" s="146" t="s">
        <v>151</v>
      </c>
      <c r="AN4" s="146" t="s">
        <v>152</v>
      </c>
      <c r="AO4" s="150" t="s">
        <v>153</v>
      </c>
      <c r="AP4" s="147" t="s">
        <v>154</v>
      </c>
      <c r="AQ4" s="146" t="s">
        <v>155</v>
      </c>
      <c r="AR4" s="146" t="s">
        <v>156</v>
      </c>
      <c r="AS4" s="151"/>
      <c r="AT4" s="148"/>
      <c r="AU4" s="149" t="s">
        <v>157</v>
      </c>
      <c r="AV4" s="146" t="s">
        <v>158</v>
      </c>
      <c r="AW4" s="146" t="s">
        <v>159</v>
      </c>
      <c r="AX4" s="146" t="s">
        <v>160</v>
      </c>
      <c r="AY4" s="150" t="s">
        <v>161</v>
      </c>
      <c r="AZ4" s="147" t="s">
        <v>162</v>
      </c>
      <c r="BA4" s="146" t="s">
        <v>163</v>
      </c>
      <c r="BB4" s="146" t="s">
        <v>164</v>
      </c>
      <c r="BC4" s="146" t="s">
        <v>165</v>
      </c>
      <c r="BD4" s="148" t="s">
        <v>166</v>
      </c>
      <c r="BE4" s="149"/>
      <c r="BF4" s="146"/>
      <c r="BG4" s="146" t="s">
        <v>167</v>
      </c>
      <c r="BH4" s="146" t="s">
        <v>168</v>
      </c>
      <c r="BI4" s="150" t="s">
        <v>169</v>
      </c>
      <c r="BJ4" s="147" t="s">
        <v>170</v>
      </c>
      <c r="BK4" s="146" t="s">
        <v>171</v>
      </c>
      <c r="BL4" s="146" t="s">
        <v>172</v>
      </c>
      <c r="BM4" s="146" t="s">
        <v>173</v>
      </c>
      <c r="BN4" s="148" t="s">
        <v>174</v>
      </c>
      <c r="BO4" s="149" t="s">
        <v>175</v>
      </c>
      <c r="BP4" s="146" t="s">
        <v>176</v>
      </c>
      <c r="BQ4" s="146"/>
      <c r="BR4" s="146"/>
      <c r="BS4" s="150" t="s">
        <v>177</v>
      </c>
      <c r="BT4" s="147"/>
      <c r="BU4" s="146"/>
      <c r="BV4" s="146" t="s">
        <v>178</v>
      </c>
      <c r="BW4" s="146" t="s">
        <v>179</v>
      </c>
      <c r="BX4" s="148" t="s">
        <v>180</v>
      </c>
      <c r="BY4" s="149" t="s">
        <v>181</v>
      </c>
      <c r="BZ4" s="146"/>
      <c r="CA4" s="146"/>
      <c r="CB4" s="146" t="s">
        <v>182</v>
      </c>
      <c r="CC4" s="150" t="s">
        <v>183</v>
      </c>
      <c r="CD4" s="147" t="s">
        <v>622</v>
      </c>
      <c r="CE4" s="146"/>
      <c r="CF4" s="146"/>
      <c r="CG4" s="146" t="s">
        <v>623</v>
      </c>
      <c r="CH4" s="150" t="s">
        <v>41</v>
      </c>
      <c r="CI4" s="147" t="s">
        <v>42</v>
      </c>
      <c r="CJ4" s="144"/>
      <c r="CK4" s="144"/>
      <c r="CL4" s="144"/>
      <c r="CM4" s="145"/>
      <c r="CN4" s="343"/>
      <c r="CO4" s="343"/>
      <c r="CP4" s="343"/>
      <c r="CQ4" s="343"/>
      <c r="CR4" s="343"/>
      <c r="CS4" s="343"/>
      <c r="CT4" s="343"/>
      <c r="CU4" s="343"/>
      <c r="CV4" s="343"/>
      <c r="CW4" s="343"/>
      <c r="CX4" s="343"/>
      <c r="CY4" s="343"/>
      <c r="CZ4" s="343"/>
      <c r="DA4" s="343"/>
      <c r="DB4" s="343"/>
      <c r="DC4" s="343"/>
      <c r="DD4" s="343"/>
      <c r="DE4" s="234"/>
      <c r="DF4" s="343"/>
      <c r="DG4" s="234"/>
      <c r="DH4" s="343"/>
      <c r="DI4" s="234"/>
      <c r="DJ4" s="343"/>
      <c r="DK4" s="234"/>
      <c r="DL4" s="343"/>
      <c r="DM4" s="234"/>
      <c r="DN4" s="343"/>
      <c r="DO4" s="234"/>
      <c r="DP4" s="343"/>
      <c r="DQ4" s="343"/>
    </row>
    <row r="5" spans="1:121" s="220" customFormat="1" ht="409.5" customHeight="1" x14ac:dyDescent="0.2">
      <c r="A5" s="184"/>
      <c r="H5" s="345" t="s">
        <v>25</v>
      </c>
      <c r="I5" s="694" t="s">
        <v>11</v>
      </c>
      <c r="J5" s="695"/>
      <c r="K5" s="696"/>
      <c r="L5" s="143" t="s">
        <v>130</v>
      </c>
      <c r="M5" s="144" t="s">
        <v>131</v>
      </c>
      <c r="N5" s="144" t="s">
        <v>132</v>
      </c>
      <c r="O5" s="144" t="s">
        <v>133</v>
      </c>
      <c r="P5" s="145" t="s">
        <v>134</v>
      </c>
      <c r="Q5" s="143"/>
      <c r="R5" s="152" t="s">
        <v>43</v>
      </c>
      <c r="S5" s="151" t="s">
        <v>184</v>
      </c>
      <c r="T5" s="151" t="s">
        <v>185</v>
      </c>
      <c r="U5" s="153" t="s">
        <v>624</v>
      </c>
      <c r="V5" s="154" t="s">
        <v>186</v>
      </c>
      <c r="W5" s="151" t="s">
        <v>187</v>
      </c>
      <c r="X5" s="151" t="s">
        <v>188</v>
      </c>
      <c r="Y5" s="151" t="s">
        <v>625</v>
      </c>
      <c r="Z5" s="155" t="s">
        <v>189</v>
      </c>
      <c r="AA5" s="156" t="s">
        <v>190</v>
      </c>
      <c r="AB5" s="151" t="s">
        <v>191</v>
      </c>
      <c r="AC5" s="151" t="s">
        <v>192</v>
      </c>
      <c r="AD5" s="151" t="s">
        <v>193</v>
      </c>
      <c r="AE5" s="157" t="s">
        <v>627</v>
      </c>
      <c r="AF5" s="154" t="s">
        <v>626</v>
      </c>
      <c r="AG5" s="158" t="s">
        <v>952</v>
      </c>
      <c r="AH5" s="159" t="s">
        <v>953</v>
      </c>
      <c r="AI5" s="159" t="s">
        <v>1048</v>
      </c>
      <c r="AJ5" s="155"/>
      <c r="AK5" s="160" t="s">
        <v>628</v>
      </c>
      <c r="AL5" s="151" t="s">
        <v>194</v>
      </c>
      <c r="AM5" s="151" t="s">
        <v>195</v>
      </c>
      <c r="AN5" s="151" t="s">
        <v>196</v>
      </c>
      <c r="AO5" s="153" t="s">
        <v>197</v>
      </c>
      <c r="AP5" s="154" t="s">
        <v>198</v>
      </c>
      <c r="AQ5" s="151" t="s">
        <v>199</v>
      </c>
      <c r="AR5" s="151" t="s">
        <v>200</v>
      </c>
      <c r="AS5" s="151"/>
      <c r="AT5" s="161" t="s">
        <v>629</v>
      </c>
      <c r="AU5" s="156" t="s">
        <v>201</v>
      </c>
      <c r="AV5" s="151" t="s">
        <v>202</v>
      </c>
      <c r="AW5" s="151" t="s">
        <v>203</v>
      </c>
      <c r="AX5" s="151" t="s">
        <v>204</v>
      </c>
      <c r="AY5" s="153" t="s">
        <v>205</v>
      </c>
      <c r="AZ5" s="154" t="s">
        <v>206</v>
      </c>
      <c r="BA5" s="151" t="s">
        <v>630</v>
      </c>
      <c r="BB5" s="151" t="s">
        <v>631</v>
      </c>
      <c r="BC5" s="151" t="s">
        <v>632</v>
      </c>
      <c r="BD5" s="155" t="s">
        <v>633</v>
      </c>
      <c r="BE5" s="156"/>
      <c r="BF5" s="152" t="s">
        <v>634</v>
      </c>
      <c r="BG5" s="151" t="s">
        <v>207</v>
      </c>
      <c r="BH5" s="151" t="s">
        <v>208</v>
      </c>
      <c r="BI5" s="153" t="s">
        <v>209</v>
      </c>
      <c r="BJ5" s="154" t="s">
        <v>210</v>
      </c>
      <c r="BK5" s="151" t="s">
        <v>635</v>
      </c>
      <c r="BL5" s="151" t="s">
        <v>211</v>
      </c>
      <c r="BM5" s="158" t="s">
        <v>636</v>
      </c>
      <c r="BN5" s="162" t="s">
        <v>637</v>
      </c>
      <c r="BO5" s="156" t="s">
        <v>638</v>
      </c>
      <c r="BP5" s="151" t="s">
        <v>639</v>
      </c>
      <c r="BQ5" s="151"/>
      <c r="BR5" s="152" t="s">
        <v>44</v>
      </c>
      <c r="BS5" s="157" t="s">
        <v>212</v>
      </c>
      <c r="BT5" s="163"/>
      <c r="BU5" s="152" t="s">
        <v>640</v>
      </c>
      <c r="BV5" s="158" t="s">
        <v>213</v>
      </c>
      <c r="BW5" s="151" t="s">
        <v>214</v>
      </c>
      <c r="BX5" s="162" t="s">
        <v>215</v>
      </c>
      <c r="BY5" s="164" t="s">
        <v>216</v>
      </c>
      <c r="BZ5" s="151"/>
      <c r="CA5" s="152" t="s">
        <v>641</v>
      </c>
      <c r="CB5" s="151" t="s">
        <v>217</v>
      </c>
      <c r="CC5" s="153" t="s">
        <v>218</v>
      </c>
      <c r="CD5" s="165" t="s">
        <v>219</v>
      </c>
      <c r="CE5" s="151"/>
      <c r="CF5" s="151"/>
      <c r="CG5" s="151" t="s">
        <v>642</v>
      </c>
      <c r="CH5" s="153" t="s">
        <v>45</v>
      </c>
      <c r="CI5" s="154" t="s">
        <v>643</v>
      </c>
      <c r="CJ5" s="144"/>
      <c r="CK5" s="144"/>
      <c r="CL5" s="144"/>
      <c r="CM5" s="145"/>
      <c r="CN5" s="346"/>
      <c r="CO5" s="347"/>
      <c r="CP5" s="346"/>
      <c r="CQ5" s="347"/>
      <c r="CR5" s="346"/>
      <c r="CS5" s="347"/>
      <c r="CT5" s="346"/>
      <c r="CU5" s="347"/>
      <c r="CV5" s="346"/>
      <c r="CW5" s="348"/>
      <c r="CX5" s="346"/>
      <c r="CY5" s="348"/>
      <c r="CZ5" s="346"/>
      <c r="DA5" s="346"/>
      <c r="DB5" s="346"/>
      <c r="DC5" s="347"/>
      <c r="DD5" s="346"/>
      <c r="DE5" s="346"/>
      <c r="DF5" s="346"/>
      <c r="DG5" s="346"/>
      <c r="DH5" s="346"/>
      <c r="DI5" s="346"/>
      <c r="DJ5" s="346"/>
      <c r="DK5" s="347"/>
      <c r="DL5" s="346"/>
      <c r="DM5" s="348"/>
      <c r="DN5" s="346"/>
      <c r="DO5" s="346"/>
      <c r="DP5" s="346"/>
      <c r="DQ5" s="348"/>
    </row>
    <row r="6" spans="1:121" s="220" customFormat="1" ht="140.25" customHeight="1" thickBot="1" x14ac:dyDescent="0.3">
      <c r="A6" s="184"/>
      <c r="D6" s="224"/>
      <c r="E6" s="226" t="s">
        <v>24</v>
      </c>
      <c r="I6" s="697" t="s">
        <v>37</v>
      </c>
      <c r="J6" s="698"/>
      <c r="K6" s="699"/>
      <c r="L6" s="166" t="s">
        <v>1044</v>
      </c>
      <c r="M6" s="167" t="s">
        <v>1044</v>
      </c>
      <c r="N6" s="167" t="s">
        <v>1044</v>
      </c>
      <c r="O6" s="167" t="s">
        <v>1044</v>
      </c>
      <c r="P6" s="168" t="s">
        <v>1044</v>
      </c>
      <c r="Q6" s="166"/>
      <c r="R6" s="169"/>
      <c r="S6" s="169" t="s">
        <v>220</v>
      </c>
      <c r="T6" s="169" t="s">
        <v>221</v>
      </c>
      <c r="U6" s="170" t="s">
        <v>222</v>
      </c>
      <c r="V6" s="171" t="s">
        <v>223</v>
      </c>
      <c r="W6" s="169" t="s">
        <v>224</v>
      </c>
      <c r="X6" s="169" t="s">
        <v>225</v>
      </c>
      <c r="Y6" s="169" t="s">
        <v>226</v>
      </c>
      <c r="Z6" s="172" t="s">
        <v>227</v>
      </c>
      <c r="AA6" s="173" t="s">
        <v>228</v>
      </c>
      <c r="AB6" s="169" t="s">
        <v>229</v>
      </c>
      <c r="AC6" s="169" t="s">
        <v>230</v>
      </c>
      <c r="AD6" s="169" t="s">
        <v>231</v>
      </c>
      <c r="AE6" s="170" t="s">
        <v>232</v>
      </c>
      <c r="AF6" s="171" t="s">
        <v>233</v>
      </c>
      <c r="AG6" s="169" t="s">
        <v>919</v>
      </c>
      <c r="AH6" s="169" t="s">
        <v>920</v>
      </c>
      <c r="AI6" s="169" t="s">
        <v>1047</v>
      </c>
      <c r="AJ6" s="172"/>
      <c r="AK6" s="173"/>
      <c r="AL6" s="169" t="s">
        <v>46</v>
      </c>
      <c r="AM6" s="169" t="s">
        <v>47</v>
      </c>
      <c r="AN6" s="169" t="s">
        <v>48</v>
      </c>
      <c r="AO6" s="170" t="s">
        <v>49</v>
      </c>
      <c r="AP6" s="171" t="s">
        <v>50</v>
      </c>
      <c r="AQ6" s="169" t="s">
        <v>234</v>
      </c>
      <c r="AR6" s="169" t="s">
        <v>51</v>
      </c>
      <c r="AS6" s="174"/>
      <c r="AT6" s="172"/>
      <c r="AU6" s="173" t="s">
        <v>235</v>
      </c>
      <c r="AV6" s="169" t="s">
        <v>236</v>
      </c>
      <c r="AW6" s="169" t="s">
        <v>237</v>
      </c>
      <c r="AX6" s="169" t="s">
        <v>238</v>
      </c>
      <c r="AY6" s="170" t="s">
        <v>239</v>
      </c>
      <c r="AZ6" s="171" t="s">
        <v>240</v>
      </c>
      <c r="BA6" s="169" t="s">
        <v>52</v>
      </c>
      <c r="BB6" s="169" t="s">
        <v>53</v>
      </c>
      <c r="BC6" s="169" t="s">
        <v>54</v>
      </c>
      <c r="BD6" s="172" t="s">
        <v>55</v>
      </c>
      <c r="BE6" s="173"/>
      <c r="BF6" s="169"/>
      <c r="BG6" s="169" t="s">
        <v>241</v>
      </c>
      <c r="BH6" s="169" t="s">
        <v>242</v>
      </c>
      <c r="BI6" s="170" t="s">
        <v>243</v>
      </c>
      <c r="BJ6" s="171" t="s">
        <v>244</v>
      </c>
      <c r="BK6" s="169" t="s">
        <v>245</v>
      </c>
      <c r="BL6" s="169" t="s">
        <v>246</v>
      </c>
      <c r="BM6" s="169" t="s">
        <v>56</v>
      </c>
      <c r="BN6" s="172" t="s">
        <v>57</v>
      </c>
      <c r="BO6" s="173" t="s">
        <v>58</v>
      </c>
      <c r="BP6" s="169" t="s">
        <v>59</v>
      </c>
      <c r="BQ6" s="169"/>
      <c r="BR6" s="169"/>
      <c r="BS6" s="170" t="s">
        <v>247</v>
      </c>
      <c r="BT6" s="171"/>
      <c r="BU6" s="169"/>
      <c r="BV6" s="169" t="s">
        <v>644</v>
      </c>
      <c r="BW6" s="169" t="s">
        <v>645</v>
      </c>
      <c r="BX6" s="172" t="s">
        <v>646</v>
      </c>
      <c r="BY6" s="173" t="s">
        <v>647</v>
      </c>
      <c r="BZ6" s="169"/>
      <c r="CA6" s="169"/>
      <c r="CB6" s="169" t="s">
        <v>60</v>
      </c>
      <c r="CC6" s="170" t="s">
        <v>61</v>
      </c>
      <c r="CD6" s="171" t="s">
        <v>249</v>
      </c>
      <c r="CE6" s="169"/>
      <c r="CF6" s="169"/>
      <c r="CG6" s="169" t="s">
        <v>648</v>
      </c>
      <c r="CH6" s="170" t="s">
        <v>62</v>
      </c>
      <c r="CI6" s="171" t="s">
        <v>62</v>
      </c>
      <c r="CJ6" s="167"/>
      <c r="CK6" s="167"/>
      <c r="CL6" s="167"/>
      <c r="CM6" s="168"/>
      <c r="CN6" s="343"/>
      <c r="CO6" s="343"/>
      <c r="CP6" s="343"/>
      <c r="CQ6" s="349"/>
      <c r="CR6" s="348"/>
      <c r="CS6" s="348"/>
      <c r="CT6" s="349"/>
      <c r="CU6" s="350"/>
      <c r="CV6" s="351"/>
      <c r="CW6" s="352"/>
      <c r="CX6" s="352"/>
      <c r="CY6" s="352"/>
      <c r="CZ6" s="353"/>
      <c r="DA6" s="354"/>
      <c r="DB6" s="354"/>
      <c r="DC6" s="354"/>
      <c r="DD6" s="343"/>
      <c r="DE6" s="354"/>
      <c r="DF6" s="355"/>
      <c r="DG6" s="354"/>
      <c r="DH6" s="355"/>
      <c r="DI6" s="354"/>
      <c r="DJ6" s="355"/>
      <c r="DK6" s="354"/>
      <c r="DL6" s="355"/>
      <c r="DM6" s="354"/>
      <c r="DN6" s="355"/>
      <c r="DO6" s="354"/>
      <c r="DP6" s="355"/>
      <c r="DQ6" s="355"/>
    </row>
    <row r="7" spans="1:121" s="316" customFormat="1" ht="25.5" customHeight="1" x14ac:dyDescent="0.25">
      <c r="A7" s="700" t="s">
        <v>3</v>
      </c>
      <c r="B7" s="703" t="s">
        <v>13</v>
      </c>
      <c r="C7" s="703" t="s">
        <v>1</v>
      </c>
      <c r="D7" s="703" t="s">
        <v>23</v>
      </c>
      <c r="E7" s="703" t="s">
        <v>11</v>
      </c>
      <c r="F7" s="703" t="s">
        <v>22</v>
      </c>
      <c r="G7" s="703" t="s">
        <v>37</v>
      </c>
      <c r="H7" s="706" t="s">
        <v>12</v>
      </c>
      <c r="I7" s="709" t="s">
        <v>2</v>
      </c>
      <c r="J7" s="710"/>
      <c r="K7" s="711"/>
      <c r="L7" s="136">
        <v>1</v>
      </c>
      <c r="M7" s="103">
        <v>2</v>
      </c>
      <c r="N7" s="103">
        <v>3</v>
      </c>
      <c r="O7" s="103">
        <v>4</v>
      </c>
      <c r="P7" s="137">
        <v>5</v>
      </c>
      <c r="Q7" s="136"/>
      <c r="R7" s="103"/>
      <c r="S7" s="103"/>
      <c r="T7" s="103"/>
      <c r="U7" s="138"/>
      <c r="V7" s="139"/>
      <c r="W7" s="103"/>
      <c r="X7" s="103"/>
      <c r="Y7" s="103"/>
      <c r="Z7" s="137"/>
      <c r="AA7" s="136"/>
      <c r="AB7" s="103"/>
      <c r="AC7" s="103"/>
      <c r="AD7" s="103"/>
      <c r="AE7" s="138"/>
      <c r="AF7" s="139"/>
      <c r="AG7" s="103"/>
      <c r="AH7" s="103"/>
      <c r="AI7" s="103"/>
      <c r="AJ7" s="137"/>
      <c r="AK7" s="136"/>
      <c r="AL7" s="103"/>
      <c r="AM7" s="103"/>
      <c r="AN7" s="103"/>
      <c r="AO7" s="138"/>
      <c r="AP7" s="139"/>
      <c r="AQ7" s="103"/>
      <c r="AR7" s="103"/>
      <c r="AS7" s="103"/>
      <c r="AT7" s="137"/>
      <c r="AU7" s="136"/>
      <c r="AV7" s="103"/>
      <c r="AW7" s="103"/>
      <c r="AX7" s="103"/>
      <c r="AY7" s="138"/>
      <c r="AZ7" s="139"/>
      <c r="BA7" s="103"/>
      <c r="BB7" s="103"/>
      <c r="BC7" s="103"/>
      <c r="BD7" s="137"/>
      <c r="BE7" s="136"/>
      <c r="BF7" s="103"/>
      <c r="BG7" s="103"/>
      <c r="BH7" s="103"/>
      <c r="BI7" s="138"/>
      <c r="BJ7" s="139"/>
      <c r="BK7" s="103"/>
      <c r="BL7" s="103"/>
      <c r="BM7" s="103"/>
      <c r="BN7" s="137"/>
      <c r="BO7" s="136"/>
      <c r="BP7" s="103"/>
      <c r="BQ7" s="103"/>
      <c r="BR7" s="103"/>
      <c r="BS7" s="138"/>
      <c r="BT7" s="139"/>
      <c r="BU7" s="103"/>
      <c r="BV7" s="103"/>
      <c r="BW7" s="103"/>
      <c r="BX7" s="137"/>
      <c r="BY7" s="136"/>
      <c r="BZ7" s="103"/>
      <c r="CA7" s="103"/>
      <c r="CB7" s="103"/>
      <c r="CC7" s="138"/>
      <c r="CD7" s="139"/>
      <c r="CE7" s="103"/>
      <c r="CF7" s="103"/>
      <c r="CG7" s="103"/>
      <c r="CH7" s="138"/>
      <c r="CI7" s="139"/>
      <c r="CJ7" s="215"/>
      <c r="CK7" s="215"/>
      <c r="CL7" s="215"/>
      <c r="CM7" s="216"/>
    </row>
    <row r="8" spans="1:121" s="316" customFormat="1" ht="25.5" customHeight="1" x14ac:dyDescent="0.25">
      <c r="A8" s="701"/>
      <c r="B8" s="704"/>
      <c r="C8" s="704"/>
      <c r="D8" s="704"/>
      <c r="E8" s="704"/>
      <c r="F8" s="704"/>
      <c r="G8" s="704"/>
      <c r="H8" s="707"/>
      <c r="I8" s="262"/>
      <c r="J8" s="712" t="s">
        <v>4</v>
      </c>
      <c r="K8" s="713"/>
      <c r="L8" s="140"/>
      <c r="M8" s="76"/>
      <c r="N8" s="76"/>
      <c r="O8" s="76"/>
      <c r="P8" s="141"/>
      <c r="Q8" s="140"/>
      <c r="R8" s="76"/>
      <c r="S8" s="76"/>
      <c r="T8" s="76"/>
      <c r="U8" s="81"/>
      <c r="V8" s="142"/>
      <c r="W8" s="76"/>
      <c r="X8" s="76"/>
      <c r="Y8" s="76"/>
      <c r="Z8" s="141"/>
      <c r="AA8" s="140"/>
      <c r="AB8" s="76"/>
      <c r="AC8" s="76"/>
      <c r="AD8" s="76"/>
      <c r="AE8" s="81"/>
      <c r="AF8" s="142"/>
      <c r="AG8" s="76"/>
      <c r="AH8" s="76"/>
      <c r="AI8" s="76"/>
      <c r="AJ8" s="141"/>
      <c r="AK8" s="140"/>
      <c r="AL8" s="76"/>
      <c r="AM8" s="76"/>
      <c r="AN8" s="76"/>
      <c r="AO8" s="81"/>
      <c r="AP8" s="142"/>
      <c r="AQ8" s="76"/>
      <c r="AR8" s="76"/>
      <c r="AS8" s="76"/>
      <c r="AT8" s="141"/>
      <c r="AU8" s="140"/>
      <c r="AV8" s="76"/>
      <c r="AW8" s="76"/>
      <c r="AX8" s="76"/>
      <c r="AY8" s="81"/>
      <c r="AZ8" s="142"/>
      <c r="BA8" s="76"/>
      <c r="BB8" s="76"/>
      <c r="BC8" s="76"/>
      <c r="BD8" s="141"/>
      <c r="BE8" s="140"/>
      <c r="BF8" s="76"/>
      <c r="BG8" s="76"/>
      <c r="BH8" s="76"/>
      <c r="BI8" s="81"/>
      <c r="BJ8" s="142"/>
      <c r="BK8" s="76"/>
      <c r="BL8" s="76"/>
      <c r="BM8" s="254"/>
      <c r="BN8" s="265"/>
      <c r="BO8" s="140"/>
      <c r="BP8" s="76"/>
      <c r="BQ8" s="76"/>
      <c r="BR8" s="76"/>
      <c r="BS8" s="81"/>
      <c r="BT8" s="142"/>
      <c r="BU8" s="76"/>
      <c r="BV8" s="76"/>
      <c r="BW8" s="76"/>
      <c r="BX8" s="141"/>
      <c r="BY8" s="140"/>
      <c r="BZ8" s="76"/>
      <c r="CA8" s="76"/>
      <c r="CB8" s="76"/>
      <c r="CC8" s="81"/>
      <c r="CD8" s="142"/>
      <c r="CE8" s="76"/>
      <c r="CF8" s="76"/>
      <c r="CG8" s="76"/>
      <c r="CH8" s="81"/>
      <c r="CI8" s="142"/>
      <c r="CJ8" s="199"/>
      <c r="CK8" s="199"/>
      <c r="CL8" s="199"/>
      <c r="CM8" s="200"/>
    </row>
    <row r="9" spans="1:121" s="316" customFormat="1" ht="25.5" customHeight="1" thickBot="1" x14ac:dyDescent="0.3">
      <c r="A9" s="702"/>
      <c r="B9" s="705"/>
      <c r="C9" s="705"/>
      <c r="D9" s="705"/>
      <c r="E9" s="705"/>
      <c r="F9" s="705"/>
      <c r="G9" s="705"/>
      <c r="H9" s="708"/>
      <c r="I9" s="356"/>
      <c r="J9" s="357"/>
      <c r="K9" s="205" t="s">
        <v>5</v>
      </c>
      <c r="L9" s="266"/>
      <c r="M9" s="255"/>
      <c r="N9" s="255"/>
      <c r="O9" s="255"/>
      <c r="P9" s="267"/>
      <c r="Q9" s="266"/>
      <c r="R9" s="89"/>
      <c r="S9" s="89"/>
      <c r="T9" s="89"/>
      <c r="U9" s="268"/>
      <c r="V9" s="269"/>
      <c r="W9" s="89"/>
      <c r="X9" s="89"/>
      <c r="Y9" s="89"/>
      <c r="Z9" s="270"/>
      <c r="AA9" s="271"/>
      <c r="AB9" s="89"/>
      <c r="AC9" s="89"/>
      <c r="AD9" s="89"/>
      <c r="AE9" s="268"/>
      <c r="AF9" s="269"/>
      <c r="AG9" s="89"/>
      <c r="AH9" s="89"/>
      <c r="AI9" s="89"/>
      <c r="AJ9" s="270"/>
      <c r="AK9" s="271"/>
      <c r="AL9" s="89" t="s">
        <v>910</v>
      </c>
      <c r="AM9" s="89">
        <v>18</v>
      </c>
      <c r="AN9" s="89">
        <v>1</v>
      </c>
      <c r="AO9" s="268">
        <v>19</v>
      </c>
      <c r="AP9" s="269">
        <v>1</v>
      </c>
      <c r="AQ9" s="89">
        <v>19</v>
      </c>
      <c r="AR9" s="89"/>
      <c r="AS9" s="89"/>
      <c r="AT9" s="270"/>
      <c r="AU9" s="271">
        <v>2</v>
      </c>
      <c r="AV9" s="89">
        <v>2</v>
      </c>
      <c r="AW9" s="89"/>
      <c r="AX9" s="89"/>
      <c r="AY9" s="268"/>
      <c r="AZ9" s="269"/>
      <c r="BA9" s="89">
        <v>1</v>
      </c>
      <c r="BB9" s="89">
        <v>20</v>
      </c>
      <c r="BC9" s="89">
        <v>1</v>
      </c>
      <c r="BD9" s="270">
        <v>20</v>
      </c>
      <c r="BE9" s="271"/>
      <c r="BF9" s="89"/>
      <c r="BG9" s="89">
        <v>2</v>
      </c>
      <c r="BH9" s="89">
        <v>2</v>
      </c>
      <c r="BI9" s="268"/>
      <c r="BJ9" s="269"/>
      <c r="BK9" s="89"/>
      <c r="BL9" s="89"/>
      <c r="BM9" s="89">
        <v>1</v>
      </c>
      <c r="BN9" s="270">
        <v>20</v>
      </c>
      <c r="BO9" s="271">
        <v>1</v>
      </c>
      <c r="BP9" s="89">
        <v>20</v>
      </c>
      <c r="BQ9" s="89"/>
      <c r="BR9" s="89"/>
      <c r="BS9" s="268"/>
      <c r="BT9" s="269"/>
      <c r="BU9" s="89"/>
      <c r="BV9" s="255">
        <v>2</v>
      </c>
      <c r="BW9" s="255" t="s">
        <v>250</v>
      </c>
      <c r="BX9" s="270">
        <v>2</v>
      </c>
      <c r="BY9" s="266" t="s">
        <v>250</v>
      </c>
      <c r="BZ9" s="89"/>
      <c r="CA9" s="89"/>
      <c r="CB9" s="89"/>
      <c r="CC9" s="268"/>
      <c r="CD9" s="269"/>
      <c r="CE9" s="89"/>
      <c r="CF9" s="89"/>
      <c r="CG9" s="89"/>
      <c r="CH9" s="268"/>
      <c r="CI9" s="269"/>
      <c r="CJ9" s="204"/>
      <c r="CK9" s="204"/>
      <c r="CL9" s="204"/>
      <c r="CM9" s="205"/>
    </row>
    <row r="10" spans="1:121" ht="25.5" customHeight="1" x14ac:dyDescent="0.25">
      <c r="A10" s="318">
        <v>151</v>
      </c>
      <c r="B10" s="75">
        <v>0</v>
      </c>
      <c r="C10" s="75">
        <v>3</v>
      </c>
      <c r="D10" s="92" t="s">
        <v>351</v>
      </c>
      <c r="E10" s="93" t="s">
        <v>352</v>
      </c>
      <c r="F10" s="130" t="s">
        <v>763</v>
      </c>
      <c r="G10" s="92" t="s">
        <v>104</v>
      </c>
      <c r="H10" s="113" t="s">
        <v>846</v>
      </c>
      <c r="I10" s="259">
        <v>2</v>
      </c>
      <c r="J10" s="130"/>
      <c r="K10" s="260"/>
      <c r="L10" s="308"/>
      <c r="M10" s="455" t="s">
        <v>122</v>
      </c>
      <c r="N10" s="304"/>
      <c r="O10" s="304"/>
      <c r="P10" s="359"/>
      <c r="Q10" s="272"/>
      <c r="R10" s="92"/>
      <c r="S10" s="304"/>
      <c r="T10" s="304"/>
      <c r="U10" s="361"/>
      <c r="V10" s="362"/>
      <c r="W10" s="304"/>
      <c r="X10" s="304"/>
      <c r="Y10" s="304"/>
      <c r="Z10" s="359"/>
      <c r="AA10" s="308"/>
      <c r="AB10" s="304"/>
      <c r="AC10" s="304"/>
      <c r="AD10" s="304"/>
      <c r="AE10" s="361"/>
      <c r="AF10" s="362"/>
      <c r="AG10" s="304"/>
      <c r="AH10" s="304"/>
      <c r="AI10" s="304"/>
      <c r="AJ10" s="273"/>
      <c r="AK10" s="272"/>
      <c r="AL10" s="304"/>
      <c r="AM10" s="304"/>
      <c r="AN10" s="304"/>
      <c r="AO10" s="363" t="s">
        <v>121</v>
      </c>
      <c r="AP10" s="362"/>
      <c r="AQ10" s="360" t="s">
        <v>121</v>
      </c>
      <c r="AR10" s="304"/>
      <c r="AS10" s="92"/>
      <c r="AT10" s="273"/>
      <c r="AU10" s="308"/>
      <c r="AV10" s="304"/>
      <c r="AW10" s="304"/>
      <c r="AX10" s="360" t="s">
        <v>120</v>
      </c>
      <c r="AY10" s="361"/>
      <c r="AZ10" s="362"/>
      <c r="BA10" s="304"/>
      <c r="BB10" s="304"/>
      <c r="BC10" s="304"/>
      <c r="BD10" s="365" t="s">
        <v>121</v>
      </c>
      <c r="BE10" s="272"/>
      <c r="BF10" s="92"/>
      <c r="BG10" s="304"/>
      <c r="BH10" s="304"/>
      <c r="BI10" s="361"/>
      <c r="BJ10" s="364" t="s">
        <v>120</v>
      </c>
      <c r="BK10" s="304"/>
      <c r="BL10" s="304"/>
      <c r="BM10" s="304"/>
      <c r="BN10" s="359"/>
      <c r="BO10" s="308"/>
      <c r="BP10" s="360" t="s">
        <v>121</v>
      </c>
      <c r="BQ10" s="92"/>
      <c r="BR10" s="92"/>
      <c r="BS10" s="361"/>
      <c r="BT10" s="258"/>
      <c r="BU10" s="92"/>
      <c r="BV10" s="304"/>
      <c r="BW10" s="304"/>
      <c r="BX10" s="359"/>
      <c r="BY10" s="308"/>
      <c r="BZ10" s="92"/>
      <c r="CA10" s="92"/>
      <c r="CB10" s="304"/>
      <c r="CC10" s="361"/>
      <c r="CD10" s="362"/>
      <c r="CE10" s="92"/>
      <c r="CF10" s="92"/>
      <c r="CG10" s="304"/>
      <c r="CH10" s="363" t="s">
        <v>40</v>
      </c>
      <c r="CI10" s="364" t="s">
        <v>40</v>
      </c>
      <c r="CJ10" s="210"/>
      <c r="CK10" s="210"/>
      <c r="CL10" s="210"/>
      <c r="CM10" s="211"/>
      <c r="CN10" s="366"/>
      <c r="CO10" s="366"/>
      <c r="CP10" s="366"/>
      <c r="CQ10" s="366"/>
      <c r="CR10" s="366"/>
      <c r="CS10" s="366"/>
      <c r="CT10" s="366"/>
      <c r="CU10" s="366"/>
      <c r="CV10" s="366"/>
      <c r="CW10" s="366"/>
      <c r="CX10" s="366"/>
      <c r="CY10" s="366"/>
      <c r="CZ10" s="366"/>
      <c r="DA10" s="366"/>
      <c r="DB10" s="366"/>
      <c r="DC10" s="366"/>
      <c r="DD10" s="366"/>
      <c r="DE10" s="366"/>
      <c r="DF10" s="366"/>
      <c r="DG10" s="366"/>
      <c r="DH10" s="366"/>
      <c r="DI10" s="366"/>
      <c r="DJ10" s="366"/>
      <c r="DK10" s="366"/>
      <c r="DL10" s="366"/>
      <c r="DM10" s="366"/>
      <c r="DN10" s="366"/>
    </row>
    <row r="11" spans="1:121" ht="25.5" customHeight="1" x14ac:dyDescent="0.25">
      <c r="A11" s="324">
        <v>152</v>
      </c>
      <c r="B11" s="72">
        <v>0</v>
      </c>
      <c r="C11" s="72">
        <v>3</v>
      </c>
      <c r="D11" s="79" t="s">
        <v>351</v>
      </c>
      <c r="E11" s="77" t="s">
        <v>353</v>
      </c>
      <c r="F11" s="76" t="s">
        <v>764</v>
      </c>
      <c r="G11" s="79" t="s">
        <v>104</v>
      </c>
      <c r="H11" s="134" t="s">
        <v>847</v>
      </c>
      <c r="I11" s="142"/>
      <c r="J11" s="76"/>
      <c r="K11" s="141"/>
      <c r="L11" s="367"/>
      <c r="M11" s="307"/>
      <c r="N11" s="307"/>
      <c r="O11" s="307"/>
      <c r="P11" s="369"/>
      <c r="Q11" s="274"/>
      <c r="R11" s="79"/>
      <c r="S11" s="307"/>
      <c r="T11" s="307"/>
      <c r="U11" s="370"/>
      <c r="V11" s="306"/>
      <c r="W11" s="307"/>
      <c r="X11" s="307"/>
      <c r="Y11" s="307"/>
      <c r="Z11" s="369"/>
      <c r="AA11" s="367"/>
      <c r="AB11" s="307"/>
      <c r="AC11" s="307"/>
      <c r="AD11" s="307"/>
      <c r="AE11" s="370"/>
      <c r="AF11" s="306"/>
      <c r="AG11" s="307"/>
      <c r="AH11" s="307"/>
      <c r="AI11" s="307"/>
      <c r="AJ11" s="178"/>
      <c r="AK11" s="274"/>
      <c r="AL11" s="307"/>
      <c r="AM11" s="307"/>
      <c r="AN11" s="307"/>
      <c r="AO11" s="370"/>
      <c r="AP11" s="306"/>
      <c r="AQ11" s="307"/>
      <c r="AR11" s="307"/>
      <c r="AS11" s="79"/>
      <c r="AT11" s="178"/>
      <c r="AU11" s="367"/>
      <c r="AV11" s="307"/>
      <c r="AW11" s="307"/>
      <c r="AX11" s="307"/>
      <c r="AY11" s="370"/>
      <c r="AZ11" s="306"/>
      <c r="BA11" s="307"/>
      <c r="BB11" s="307"/>
      <c r="BC11" s="307"/>
      <c r="BD11" s="369"/>
      <c r="BE11" s="274"/>
      <c r="BF11" s="79"/>
      <c r="BG11" s="307"/>
      <c r="BH11" s="307"/>
      <c r="BI11" s="370"/>
      <c r="BJ11" s="306"/>
      <c r="BK11" s="307"/>
      <c r="BL11" s="307"/>
      <c r="BM11" s="307"/>
      <c r="BN11" s="369"/>
      <c r="BO11" s="367"/>
      <c r="BP11" s="307"/>
      <c r="BQ11" s="79"/>
      <c r="BR11" s="79"/>
      <c r="BS11" s="374" t="s">
        <v>123</v>
      </c>
      <c r="BT11" s="261"/>
      <c r="BU11" s="79"/>
      <c r="BV11" s="307"/>
      <c r="BW11" s="307"/>
      <c r="BX11" s="369"/>
      <c r="BY11" s="367"/>
      <c r="BZ11" s="79"/>
      <c r="CA11" s="79"/>
      <c r="CB11" s="307"/>
      <c r="CC11" s="370"/>
      <c r="CD11" s="306"/>
      <c r="CE11" s="79"/>
      <c r="CF11" s="79"/>
      <c r="CG11" s="307"/>
      <c r="CH11" s="374" t="s">
        <v>40</v>
      </c>
      <c r="CI11" s="373" t="s">
        <v>40</v>
      </c>
      <c r="CJ11" s="202"/>
      <c r="CK11" s="202"/>
      <c r="CL11" s="202"/>
      <c r="CM11" s="203"/>
      <c r="CN11" s="366"/>
      <c r="CO11" s="366"/>
      <c r="CP11" s="366"/>
      <c r="CQ11" s="366"/>
      <c r="CR11" s="366"/>
      <c r="CS11" s="366"/>
      <c r="CT11" s="366"/>
      <c r="CU11" s="366"/>
      <c r="CV11" s="366"/>
      <c r="CW11" s="366"/>
      <c r="CX11" s="366"/>
      <c r="CY11" s="366"/>
      <c r="CZ11" s="366"/>
      <c r="DA11" s="366"/>
      <c r="DB11" s="375"/>
      <c r="DC11" s="366"/>
      <c r="DD11" s="366"/>
      <c r="DE11" s="366"/>
      <c r="DF11" s="366"/>
      <c r="DG11" s="366"/>
      <c r="DH11" s="366"/>
      <c r="DI11" s="366"/>
      <c r="DJ11" s="366"/>
      <c r="DK11" s="366"/>
      <c r="DL11" s="366"/>
      <c r="DM11" s="366"/>
      <c r="DN11" s="366"/>
    </row>
    <row r="12" spans="1:121" ht="25.5" customHeight="1" x14ac:dyDescent="0.25">
      <c r="A12" s="324">
        <v>153</v>
      </c>
      <c r="B12" s="72">
        <v>0</v>
      </c>
      <c r="C12" s="72">
        <v>3</v>
      </c>
      <c r="D12" s="79" t="s">
        <v>351</v>
      </c>
      <c r="E12" s="77" t="s">
        <v>354</v>
      </c>
      <c r="F12" s="76" t="s">
        <v>765</v>
      </c>
      <c r="G12" s="79" t="s">
        <v>104</v>
      </c>
      <c r="H12" s="134" t="s">
        <v>848</v>
      </c>
      <c r="I12" s="142"/>
      <c r="J12" s="76"/>
      <c r="K12" s="141"/>
      <c r="L12" s="367"/>
      <c r="M12" s="307"/>
      <c r="N12" s="307"/>
      <c r="O12" s="307"/>
      <c r="P12" s="369"/>
      <c r="Q12" s="274"/>
      <c r="R12" s="79"/>
      <c r="S12" s="307"/>
      <c r="T12" s="307"/>
      <c r="U12" s="370"/>
      <c r="V12" s="306"/>
      <c r="W12" s="307"/>
      <c r="X12" s="307"/>
      <c r="Y12" s="307"/>
      <c r="Z12" s="369"/>
      <c r="AA12" s="367"/>
      <c r="AB12" s="307"/>
      <c r="AC12" s="307"/>
      <c r="AD12" s="307"/>
      <c r="AE12" s="370"/>
      <c r="AF12" s="306"/>
      <c r="AG12" s="307"/>
      <c r="AH12" s="307"/>
      <c r="AI12" s="307"/>
      <c r="AJ12" s="178"/>
      <c r="AK12" s="274"/>
      <c r="AL12" s="307"/>
      <c r="AM12" s="307"/>
      <c r="AN12" s="307"/>
      <c r="AO12" s="370"/>
      <c r="AP12" s="306"/>
      <c r="AQ12" s="307"/>
      <c r="AR12" s="307"/>
      <c r="AS12" s="79"/>
      <c r="AT12" s="178"/>
      <c r="AU12" s="367"/>
      <c r="AV12" s="307"/>
      <c r="AW12" s="307"/>
      <c r="AX12" s="307"/>
      <c r="AY12" s="370"/>
      <c r="AZ12" s="306"/>
      <c r="BA12" s="307"/>
      <c r="BB12" s="307"/>
      <c r="BC12" s="307"/>
      <c r="BD12" s="369"/>
      <c r="BE12" s="274"/>
      <c r="BF12" s="79"/>
      <c r="BG12" s="307"/>
      <c r="BH12" s="307"/>
      <c r="BI12" s="370"/>
      <c r="BJ12" s="306"/>
      <c r="BK12" s="307"/>
      <c r="BL12" s="307"/>
      <c r="BM12" s="307"/>
      <c r="BN12" s="369"/>
      <c r="BO12" s="367"/>
      <c r="BP12" s="307"/>
      <c r="BQ12" s="79"/>
      <c r="BR12" s="79"/>
      <c r="BS12" s="374" t="s">
        <v>124</v>
      </c>
      <c r="BT12" s="261"/>
      <c r="BU12" s="79"/>
      <c r="BV12" s="307"/>
      <c r="BW12" s="307"/>
      <c r="BX12" s="369"/>
      <c r="BY12" s="367"/>
      <c r="BZ12" s="79"/>
      <c r="CA12" s="79"/>
      <c r="CB12" s="307"/>
      <c r="CC12" s="370"/>
      <c r="CD12" s="306"/>
      <c r="CE12" s="79"/>
      <c r="CF12" s="79"/>
      <c r="CG12" s="307"/>
      <c r="CH12" s="374" t="s">
        <v>40</v>
      </c>
      <c r="CI12" s="373" t="s">
        <v>40</v>
      </c>
      <c r="CJ12" s="202"/>
      <c r="CK12" s="202"/>
      <c r="CL12" s="202"/>
      <c r="CM12" s="203"/>
      <c r="CN12" s="366"/>
      <c r="CO12" s="366"/>
      <c r="CP12" s="366"/>
      <c r="CQ12" s="366"/>
      <c r="CR12" s="366"/>
      <c r="CS12" s="366"/>
      <c r="CT12" s="366"/>
      <c r="CU12" s="366"/>
      <c r="CV12" s="366"/>
      <c r="CW12" s="366"/>
      <c r="CX12" s="366"/>
      <c r="CY12" s="366"/>
      <c r="CZ12" s="366"/>
      <c r="DA12" s="366"/>
      <c r="DB12" s="366"/>
      <c r="DC12" s="366"/>
      <c r="DD12" s="366"/>
      <c r="DE12" s="366"/>
      <c r="DF12" s="366"/>
      <c r="DG12" s="366"/>
      <c r="DH12" s="366"/>
      <c r="DI12" s="366"/>
      <c r="DJ12" s="366"/>
      <c r="DK12" s="366"/>
      <c r="DL12" s="366"/>
      <c r="DM12" s="366"/>
      <c r="DN12" s="366"/>
    </row>
    <row r="13" spans="1:121" ht="25.5" customHeight="1" x14ac:dyDescent="0.25">
      <c r="A13" s="324">
        <v>154</v>
      </c>
      <c r="B13" s="72">
        <v>0</v>
      </c>
      <c r="C13" s="72">
        <v>3</v>
      </c>
      <c r="D13" s="79" t="s">
        <v>355</v>
      </c>
      <c r="E13" s="77" t="s">
        <v>352</v>
      </c>
      <c r="F13" s="76" t="s">
        <v>763</v>
      </c>
      <c r="G13" s="79" t="s">
        <v>106</v>
      </c>
      <c r="H13" s="134" t="s">
        <v>849</v>
      </c>
      <c r="I13" s="142">
        <v>2</v>
      </c>
      <c r="J13" s="76"/>
      <c r="K13" s="141"/>
      <c r="L13" s="367"/>
      <c r="M13" s="368" t="s">
        <v>122</v>
      </c>
      <c r="N13" s="307"/>
      <c r="O13" s="307"/>
      <c r="P13" s="369"/>
      <c r="Q13" s="274"/>
      <c r="R13" s="79"/>
      <c r="S13" s="307"/>
      <c r="T13" s="307"/>
      <c r="U13" s="370"/>
      <c r="V13" s="306"/>
      <c r="W13" s="307"/>
      <c r="X13" s="307"/>
      <c r="Y13" s="307"/>
      <c r="Z13" s="369"/>
      <c r="AA13" s="367"/>
      <c r="AB13" s="307"/>
      <c r="AC13" s="307"/>
      <c r="AD13" s="307"/>
      <c r="AE13" s="370"/>
      <c r="AF13" s="306"/>
      <c r="AG13" s="307"/>
      <c r="AH13" s="307"/>
      <c r="AI13" s="307"/>
      <c r="AJ13" s="178"/>
      <c r="AK13" s="274"/>
      <c r="AL13" s="307"/>
      <c r="AM13" s="307"/>
      <c r="AN13" s="307"/>
      <c r="AO13" s="374" t="s">
        <v>121</v>
      </c>
      <c r="AP13" s="306"/>
      <c r="AQ13" s="371" t="s">
        <v>121</v>
      </c>
      <c r="AR13" s="307"/>
      <c r="AS13" s="79"/>
      <c r="AT13" s="178"/>
      <c r="AU13" s="367"/>
      <c r="AV13" s="307"/>
      <c r="AW13" s="307"/>
      <c r="AX13" s="371" t="s">
        <v>120</v>
      </c>
      <c r="AY13" s="370"/>
      <c r="AZ13" s="306"/>
      <c r="BA13" s="307"/>
      <c r="BB13" s="307"/>
      <c r="BC13" s="307"/>
      <c r="BD13" s="372" t="s">
        <v>121</v>
      </c>
      <c r="BE13" s="274"/>
      <c r="BF13" s="79"/>
      <c r="BG13" s="307"/>
      <c r="BH13" s="307"/>
      <c r="BI13" s="370"/>
      <c r="BJ13" s="373" t="s">
        <v>120</v>
      </c>
      <c r="BK13" s="307"/>
      <c r="BL13" s="307"/>
      <c r="BM13" s="307"/>
      <c r="BN13" s="369"/>
      <c r="BO13" s="367"/>
      <c r="BP13" s="371" t="s">
        <v>121</v>
      </c>
      <c r="BQ13" s="79"/>
      <c r="BR13" s="79"/>
      <c r="BS13" s="370"/>
      <c r="BT13" s="261"/>
      <c r="BU13" s="79"/>
      <c r="BV13" s="307"/>
      <c r="BW13" s="307"/>
      <c r="BX13" s="369"/>
      <c r="BY13" s="367"/>
      <c r="BZ13" s="79"/>
      <c r="CA13" s="79"/>
      <c r="CB13" s="307"/>
      <c r="CC13" s="370"/>
      <c r="CD13" s="306"/>
      <c r="CE13" s="79"/>
      <c r="CF13" s="79"/>
      <c r="CG13" s="307"/>
      <c r="CH13" s="374" t="s">
        <v>40</v>
      </c>
      <c r="CI13" s="373" t="s">
        <v>40</v>
      </c>
      <c r="CJ13" s="202"/>
      <c r="CK13" s="202"/>
      <c r="CL13" s="202"/>
      <c r="CM13" s="203"/>
      <c r="CN13" s="366"/>
      <c r="CO13" s="366"/>
      <c r="CP13" s="366"/>
      <c r="CQ13" s="366"/>
      <c r="CR13" s="366"/>
      <c r="CS13" s="366"/>
      <c r="CT13" s="366"/>
      <c r="CU13" s="366"/>
      <c r="CV13" s="366"/>
      <c r="CW13" s="366"/>
      <c r="CX13" s="366"/>
      <c r="CY13" s="366"/>
      <c r="CZ13" s="366"/>
      <c r="DA13" s="366"/>
      <c r="DB13" s="366"/>
      <c r="DC13" s="366"/>
      <c r="DD13" s="366"/>
      <c r="DE13" s="366"/>
      <c r="DF13" s="366"/>
      <c r="DG13" s="366"/>
      <c r="DH13" s="366"/>
      <c r="DI13" s="366"/>
      <c r="DJ13" s="366"/>
      <c r="DK13" s="366"/>
      <c r="DL13" s="366"/>
      <c r="DM13" s="366"/>
      <c r="DN13" s="366"/>
    </row>
    <row r="14" spans="1:121" ht="25.5" customHeight="1" thickBot="1" x14ac:dyDescent="0.3">
      <c r="A14" s="325">
        <v>155</v>
      </c>
      <c r="B14" s="73">
        <v>0</v>
      </c>
      <c r="C14" s="73">
        <v>3</v>
      </c>
      <c r="D14" s="74" t="s">
        <v>355</v>
      </c>
      <c r="E14" s="126" t="s">
        <v>353</v>
      </c>
      <c r="F14" s="89" t="s">
        <v>764</v>
      </c>
      <c r="G14" s="74" t="s">
        <v>106</v>
      </c>
      <c r="H14" s="135" t="s">
        <v>850</v>
      </c>
      <c r="I14" s="269"/>
      <c r="J14" s="89"/>
      <c r="K14" s="270"/>
      <c r="L14" s="383"/>
      <c r="M14" s="379"/>
      <c r="N14" s="379"/>
      <c r="O14" s="379"/>
      <c r="P14" s="382"/>
      <c r="Q14" s="275"/>
      <c r="R14" s="74"/>
      <c r="S14" s="379"/>
      <c r="T14" s="379"/>
      <c r="U14" s="380"/>
      <c r="V14" s="381"/>
      <c r="W14" s="379"/>
      <c r="X14" s="379"/>
      <c r="Y14" s="379"/>
      <c r="Z14" s="382"/>
      <c r="AA14" s="383"/>
      <c r="AB14" s="379"/>
      <c r="AC14" s="379"/>
      <c r="AD14" s="379"/>
      <c r="AE14" s="380"/>
      <c r="AF14" s="381"/>
      <c r="AG14" s="379"/>
      <c r="AH14" s="379"/>
      <c r="AI14" s="379"/>
      <c r="AJ14" s="276"/>
      <c r="AK14" s="275"/>
      <c r="AL14" s="379"/>
      <c r="AM14" s="379"/>
      <c r="AN14" s="379"/>
      <c r="AO14" s="380"/>
      <c r="AP14" s="381"/>
      <c r="AQ14" s="379"/>
      <c r="AR14" s="379"/>
      <c r="AS14" s="74"/>
      <c r="AT14" s="276"/>
      <c r="AU14" s="383"/>
      <c r="AV14" s="379"/>
      <c r="AW14" s="379"/>
      <c r="AX14" s="379"/>
      <c r="AY14" s="380"/>
      <c r="AZ14" s="381"/>
      <c r="BA14" s="379"/>
      <c r="BB14" s="379"/>
      <c r="BC14" s="379"/>
      <c r="BD14" s="382"/>
      <c r="BE14" s="275"/>
      <c r="BF14" s="74"/>
      <c r="BG14" s="379"/>
      <c r="BH14" s="379"/>
      <c r="BI14" s="380"/>
      <c r="BJ14" s="381"/>
      <c r="BK14" s="379"/>
      <c r="BL14" s="379"/>
      <c r="BM14" s="379"/>
      <c r="BN14" s="382"/>
      <c r="BO14" s="383"/>
      <c r="BP14" s="379"/>
      <c r="BQ14" s="74"/>
      <c r="BR14" s="74"/>
      <c r="BS14" s="380"/>
      <c r="BT14" s="277"/>
      <c r="BU14" s="74"/>
      <c r="BV14" s="379"/>
      <c r="BW14" s="379"/>
      <c r="BX14" s="382"/>
      <c r="BY14" s="383"/>
      <c r="BZ14" s="74"/>
      <c r="CA14" s="74"/>
      <c r="CB14" s="379"/>
      <c r="CC14" s="380"/>
      <c r="CD14" s="381"/>
      <c r="CE14" s="74"/>
      <c r="CF14" s="74"/>
      <c r="CG14" s="379"/>
      <c r="CH14" s="386" t="s">
        <v>40</v>
      </c>
      <c r="CI14" s="384" t="s">
        <v>40</v>
      </c>
      <c r="CJ14" s="206"/>
      <c r="CK14" s="206"/>
      <c r="CL14" s="206"/>
      <c r="CM14" s="207"/>
      <c r="CN14" s="366"/>
      <c r="CO14" s="366"/>
      <c r="CP14" s="366"/>
      <c r="CQ14" s="366"/>
      <c r="CR14" s="366"/>
      <c r="CS14" s="366"/>
      <c r="CT14" s="366"/>
      <c r="CU14" s="366"/>
      <c r="CV14" s="366"/>
      <c r="CW14" s="366"/>
      <c r="CX14" s="366"/>
      <c r="CY14" s="366"/>
      <c r="CZ14" s="366"/>
      <c r="DA14" s="366"/>
      <c r="DB14" s="366"/>
      <c r="DC14" s="366"/>
      <c r="DD14" s="366"/>
      <c r="DE14" s="366"/>
      <c r="DF14" s="366"/>
      <c r="DG14" s="366"/>
      <c r="DH14" s="366"/>
      <c r="DI14" s="366"/>
      <c r="DJ14" s="366"/>
      <c r="DK14" s="366"/>
      <c r="DL14" s="366"/>
      <c r="DM14" s="366"/>
      <c r="DN14" s="366"/>
    </row>
    <row r="15" spans="1:121" ht="25.5" customHeight="1" x14ac:dyDescent="0.25">
      <c r="A15" s="318">
        <v>156</v>
      </c>
      <c r="B15" s="75">
        <v>0</v>
      </c>
      <c r="C15" s="75">
        <v>3</v>
      </c>
      <c r="D15" s="92" t="s">
        <v>355</v>
      </c>
      <c r="E15" s="93" t="s">
        <v>354</v>
      </c>
      <c r="F15" s="130" t="s">
        <v>765</v>
      </c>
      <c r="G15" s="92" t="s">
        <v>106</v>
      </c>
      <c r="H15" s="113" t="s">
        <v>851</v>
      </c>
      <c r="I15" s="259"/>
      <c r="J15" s="130"/>
      <c r="K15" s="260"/>
      <c r="L15" s="308"/>
      <c r="M15" s="304"/>
      <c r="N15" s="304"/>
      <c r="O15" s="304"/>
      <c r="P15" s="359"/>
      <c r="Q15" s="272"/>
      <c r="R15" s="92"/>
      <c r="S15" s="304"/>
      <c r="T15" s="304"/>
      <c r="U15" s="361"/>
      <c r="V15" s="362"/>
      <c r="W15" s="304"/>
      <c r="X15" s="304"/>
      <c r="Y15" s="304"/>
      <c r="Z15" s="359"/>
      <c r="AA15" s="308"/>
      <c r="AB15" s="304"/>
      <c r="AC15" s="304"/>
      <c r="AD15" s="304"/>
      <c r="AE15" s="361"/>
      <c r="AF15" s="362"/>
      <c r="AG15" s="304"/>
      <c r="AH15" s="304"/>
      <c r="AI15" s="304"/>
      <c r="AJ15" s="273"/>
      <c r="AK15" s="272"/>
      <c r="AL15" s="304"/>
      <c r="AM15" s="304"/>
      <c r="AN15" s="304"/>
      <c r="AO15" s="361"/>
      <c r="AP15" s="362"/>
      <c r="AQ15" s="304"/>
      <c r="AR15" s="304"/>
      <c r="AS15" s="92"/>
      <c r="AT15" s="273"/>
      <c r="AU15" s="308"/>
      <c r="AV15" s="304"/>
      <c r="AW15" s="304"/>
      <c r="AX15" s="304"/>
      <c r="AY15" s="361"/>
      <c r="AZ15" s="362"/>
      <c r="BA15" s="304"/>
      <c r="BB15" s="304"/>
      <c r="BC15" s="304"/>
      <c r="BD15" s="359"/>
      <c r="BE15" s="272"/>
      <c r="BF15" s="92"/>
      <c r="BG15" s="304"/>
      <c r="BH15" s="304"/>
      <c r="BI15" s="361"/>
      <c r="BJ15" s="362"/>
      <c r="BK15" s="304"/>
      <c r="BL15" s="304"/>
      <c r="BM15" s="304"/>
      <c r="BN15" s="359"/>
      <c r="BO15" s="308"/>
      <c r="BP15" s="304"/>
      <c r="BQ15" s="92"/>
      <c r="BR15" s="92"/>
      <c r="BS15" s="361"/>
      <c r="BT15" s="258"/>
      <c r="BU15" s="92"/>
      <c r="BV15" s="304"/>
      <c r="BW15" s="304"/>
      <c r="BX15" s="359"/>
      <c r="BY15" s="308"/>
      <c r="BZ15" s="92"/>
      <c r="CA15" s="92"/>
      <c r="CB15" s="304"/>
      <c r="CC15" s="361"/>
      <c r="CD15" s="362"/>
      <c r="CE15" s="92"/>
      <c r="CF15" s="92"/>
      <c r="CG15" s="304"/>
      <c r="CH15" s="363" t="s">
        <v>40</v>
      </c>
      <c r="CI15" s="364" t="s">
        <v>40</v>
      </c>
      <c r="CJ15" s="210"/>
      <c r="CK15" s="210"/>
      <c r="CL15" s="210"/>
      <c r="CM15" s="211"/>
      <c r="CN15" s="366"/>
      <c r="CO15" s="366"/>
      <c r="CP15" s="366"/>
      <c r="CQ15" s="366"/>
      <c r="CR15" s="366"/>
      <c r="CS15" s="366"/>
      <c r="CT15" s="366"/>
      <c r="CU15" s="366"/>
      <c r="CV15" s="366"/>
      <c r="CW15" s="366"/>
      <c r="CX15" s="366"/>
      <c r="CY15" s="366"/>
      <c r="CZ15" s="366"/>
      <c r="DA15" s="366"/>
      <c r="DB15" s="366"/>
      <c r="DC15" s="366"/>
      <c r="DD15" s="366"/>
      <c r="DE15" s="366"/>
      <c r="DF15" s="366"/>
      <c r="DG15" s="366"/>
      <c r="DH15" s="366"/>
      <c r="DI15" s="366"/>
      <c r="DJ15" s="366"/>
      <c r="DK15" s="366"/>
      <c r="DL15" s="366"/>
      <c r="DM15" s="366"/>
      <c r="DN15" s="366"/>
    </row>
    <row r="16" spans="1:121" ht="25.5" customHeight="1" x14ac:dyDescent="0.25">
      <c r="A16" s="324">
        <v>157</v>
      </c>
      <c r="B16" s="72">
        <v>0</v>
      </c>
      <c r="C16" s="72">
        <v>3</v>
      </c>
      <c r="D16" s="79" t="s">
        <v>356</v>
      </c>
      <c r="E16" s="77" t="s">
        <v>357</v>
      </c>
      <c r="F16" s="76" t="s">
        <v>583</v>
      </c>
      <c r="G16" s="79" t="s">
        <v>107</v>
      </c>
      <c r="H16" s="134" t="s">
        <v>852</v>
      </c>
      <c r="I16" s="142"/>
      <c r="J16" s="76"/>
      <c r="K16" s="141"/>
      <c r="L16" s="367"/>
      <c r="M16" s="307"/>
      <c r="N16" s="307"/>
      <c r="O16" s="307"/>
      <c r="P16" s="369"/>
      <c r="Q16" s="274"/>
      <c r="R16" s="79"/>
      <c r="S16" s="307"/>
      <c r="T16" s="307"/>
      <c r="U16" s="370"/>
      <c r="V16" s="306"/>
      <c r="W16" s="307"/>
      <c r="X16" s="307"/>
      <c r="Y16" s="307"/>
      <c r="Z16" s="369"/>
      <c r="AA16" s="367"/>
      <c r="AB16" s="307"/>
      <c r="AC16" s="307"/>
      <c r="AD16" s="307"/>
      <c r="AE16" s="370"/>
      <c r="AF16" s="306"/>
      <c r="AG16" s="307"/>
      <c r="AH16" s="307"/>
      <c r="AI16" s="307"/>
      <c r="AJ16" s="178"/>
      <c r="AK16" s="274"/>
      <c r="AL16" s="307"/>
      <c r="AM16" s="307"/>
      <c r="AN16" s="307"/>
      <c r="AO16" s="370"/>
      <c r="AP16" s="306"/>
      <c r="AQ16" s="307"/>
      <c r="AR16" s="307"/>
      <c r="AS16" s="79"/>
      <c r="AT16" s="178"/>
      <c r="AU16" s="367"/>
      <c r="AV16" s="307"/>
      <c r="AW16" s="307"/>
      <c r="AX16" s="307"/>
      <c r="AY16" s="370"/>
      <c r="AZ16" s="306"/>
      <c r="BA16" s="307"/>
      <c r="BB16" s="307"/>
      <c r="BC16" s="307"/>
      <c r="BD16" s="369"/>
      <c r="BE16" s="274"/>
      <c r="BF16" s="79"/>
      <c r="BG16" s="307"/>
      <c r="BH16" s="307"/>
      <c r="BI16" s="370"/>
      <c r="BJ16" s="306"/>
      <c r="BK16" s="307"/>
      <c r="BL16" s="307"/>
      <c r="BM16" s="307"/>
      <c r="BN16" s="369"/>
      <c r="BO16" s="367"/>
      <c r="BP16" s="307"/>
      <c r="BQ16" s="79"/>
      <c r="BR16" s="79"/>
      <c r="BS16" s="370"/>
      <c r="BT16" s="261"/>
      <c r="BU16" s="79"/>
      <c r="BV16" s="307"/>
      <c r="BW16" s="307"/>
      <c r="BX16" s="369"/>
      <c r="BY16" s="367"/>
      <c r="BZ16" s="79"/>
      <c r="CA16" s="79"/>
      <c r="CB16" s="307"/>
      <c r="CC16" s="370"/>
      <c r="CD16" s="306"/>
      <c r="CE16" s="79"/>
      <c r="CF16" s="79"/>
      <c r="CG16" s="307"/>
      <c r="CH16" s="374" t="s">
        <v>40</v>
      </c>
      <c r="CI16" s="373" t="s">
        <v>40</v>
      </c>
      <c r="CJ16" s="202"/>
      <c r="CK16" s="202"/>
      <c r="CL16" s="202"/>
      <c r="CM16" s="203"/>
      <c r="CN16" s="366"/>
      <c r="CO16" s="366"/>
      <c r="CP16" s="366"/>
      <c r="CQ16" s="366"/>
      <c r="CR16" s="366"/>
      <c r="CS16" s="366"/>
      <c r="CT16" s="366"/>
      <c r="CU16" s="366"/>
      <c r="CV16" s="366"/>
      <c r="CW16" s="366"/>
      <c r="CX16" s="366"/>
      <c r="CY16" s="366"/>
      <c r="CZ16" s="366"/>
      <c r="DA16" s="366"/>
      <c r="DB16" s="366"/>
      <c r="DC16" s="366"/>
      <c r="DD16" s="366"/>
      <c r="DE16" s="366"/>
      <c r="DF16" s="366"/>
      <c r="DG16" s="366"/>
      <c r="DH16" s="366"/>
      <c r="DI16" s="366"/>
      <c r="DJ16" s="366"/>
      <c r="DK16" s="366"/>
      <c r="DL16" s="366"/>
      <c r="DM16" s="366"/>
      <c r="DN16" s="366"/>
    </row>
    <row r="17" spans="1:118" ht="25.5" customHeight="1" x14ac:dyDescent="0.25">
      <c r="A17" s="324">
        <v>158</v>
      </c>
      <c r="B17" s="72">
        <v>0</v>
      </c>
      <c r="C17" s="72">
        <v>3</v>
      </c>
      <c r="D17" s="79" t="s">
        <v>766</v>
      </c>
      <c r="E17" s="77" t="s">
        <v>1057</v>
      </c>
      <c r="F17" s="76" t="s">
        <v>1042</v>
      </c>
      <c r="G17" s="79" t="s">
        <v>767</v>
      </c>
      <c r="H17" s="134" t="s">
        <v>592</v>
      </c>
      <c r="I17" s="142"/>
      <c r="J17" s="76"/>
      <c r="K17" s="141"/>
      <c r="L17" s="367"/>
      <c r="M17" s="307"/>
      <c r="N17" s="307"/>
      <c r="O17" s="307"/>
      <c r="P17" s="369"/>
      <c r="Q17" s="274"/>
      <c r="R17" s="79"/>
      <c r="S17" s="307"/>
      <c r="T17" s="307"/>
      <c r="U17" s="370"/>
      <c r="V17" s="306"/>
      <c r="W17" s="307"/>
      <c r="X17" s="307"/>
      <c r="Y17" s="307"/>
      <c r="Z17" s="369"/>
      <c r="AA17" s="367"/>
      <c r="AB17" s="307"/>
      <c r="AC17" s="307"/>
      <c r="AD17" s="307"/>
      <c r="AE17" s="370"/>
      <c r="AF17" s="306"/>
      <c r="AG17" s="307"/>
      <c r="AH17" s="307"/>
      <c r="AI17" s="307"/>
      <c r="AJ17" s="178"/>
      <c r="AK17" s="274"/>
      <c r="AL17" s="307"/>
      <c r="AM17" s="307"/>
      <c r="AN17" s="307"/>
      <c r="AO17" s="370"/>
      <c r="AP17" s="306"/>
      <c r="AQ17" s="307"/>
      <c r="AR17" s="307"/>
      <c r="AS17" s="79"/>
      <c r="AT17" s="178"/>
      <c r="AU17" s="367"/>
      <c r="AV17" s="307"/>
      <c r="AW17" s="307"/>
      <c r="AX17" s="307"/>
      <c r="AY17" s="370"/>
      <c r="AZ17" s="306"/>
      <c r="BA17" s="307"/>
      <c r="BB17" s="307"/>
      <c r="BC17" s="307"/>
      <c r="BD17" s="369"/>
      <c r="BE17" s="274"/>
      <c r="BF17" s="79"/>
      <c r="BG17" s="307"/>
      <c r="BH17" s="307"/>
      <c r="BI17" s="370"/>
      <c r="BJ17" s="306"/>
      <c r="BK17" s="307"/>
      <c r="BL17" s="307"/>
      <c r="BM17" s="307"/>
      <c r="BN17" s="369"/>
      <c r="BO17" s="367"/>
      <c r="BP17" s="307"/>
      <c r="BQ17" s="79"/>
      <c r="BR17" s="79"/>
      <c r="BS17" s="370"/>
      <c r="BT17" s="261"/>
      <c r="BU17" s="79"/>
      <c r="BV17" s="307"/>
      <c r="BW17" s="307"/>
      <c r="BX17" s="369"/>
      <c r="BY17" s="367"/>
      <c r="BZ17" s="79"/>
      <c r="CA17" s="79"/>
      <c r="CB17" s="307"/>
      <c r="CC17" s="370"/>
      <c r="CD17" s="306"/>
      <c r="CE17" s="79"/>
      <c r="CF17" s="79"/>
      <c r="CG17" s="307"/>
      <c r="CH17" s="374" t="s">
        <v>40</v>
      </c>
      <c r="CI17" s="373" t="s">
        <v>40</v>
      </c>
      <c r="CJ17" s="202"/>
      <c r="CK17" s="202"/>
      <c r="CL17" s="202"/>
      <c r="CM17" s="203"/>
      <c r="CN17" s="366"/>
      <c r="CO17" s="366"/>
      <c r="CP17" s="366"/>
      <c r="CQ17" s="366"/>
      <c r="CR17" s="366"/>
      <c r="CS17" s="366"/>
      <c r="CT17" s="366"/>
      <c r="CU17" s="366"/>
      <c r="CV17" s="366"/>
      <c r="CW17" s="366"/>
      <c r="CX17" s="366"/>
      <c r="CY17" s="366"/>
      <c r="CZ17" s="366"/>
      <c r="DA17" s="366"/>
      <c r="DB17" s="366"/>
      <c r="DC17" s="366"/>
      <c r="DD17" s="366"/>
      <c r="DE17" s="366"/>
      <c r="DF17" s="366"/>
      <c r="DG17" s="366"/>
      <c r="DH17" s="366"/>
      <c r="DI17" s="366"/>
      <c r="DJ17" s="366"/>
      <c r="DK17" s="366"/>
      <c r="DL17" s="366"/>
      <c r="DM17" s="366"/>
      <c r="DN17" s="366"/>
    </row>
    <row r="18" spans="1:118" ht="25.5" customHeight="1" x14ac:dyDescent="0.25">
      <c r="A18" s="324">
        <v>159</v>
      </c>
      <c r="B18" s="72"/>
      <c r="C18" s="79"/>
      <c r="D18" s="79"/>
      <c r="E18" s="77"/>
      <c r="F18" s="72"/>
      <c r="G18" s="79"/>
      <c r="H18" s="134"/>
      <c r="I18" s="142"/>
      <c r="J18" s="76"/>
      <c r="K18" s="141"/>
      <c r="L18" s="274"/>
      <c r="M18" s="79"/>
      <c r="N18" s="79"/>
      <c r="O18" s="79"/>
      <c r="P18" s="178"/>
      <c r="Q18" s="274"/>
      <c r="R18" s="76"/>
      <c r="S18" s="76"/>
      <c r="T18" s="79"/>
      <c r="U18" s="134"/>
      <c r="V18" s="261"/>
      <c r="W18" s="76"/>
      <c r="X18" s="76"/>
      <c r="Y18" s="76"/>
      <c r="Z18" s="141"/>
      <c r="AA18" s="274"/>
      <c r="AB18" s="79"/>
      <c r="AC18" s="76"/>
      <c r="AD18" s="76"/>
      <c r="AE18" s="81"/>
      <c r="AF18" s="142"/>
      <c r="AG18" s="76"/>
      <c r="AH18" s="76"/>
      <c r="AI18" s="76"/>
      <c r="AJ18" s="141"/>
      <c r="AK18" s="274"/>
      <c r="AL18" s="76"/>
      <c r="AM18" s="76"/>
      <c r="AN18" s="76"/>
      <c r="AO18" s="134"/>
      <c r="AP18" s="142"/>
      <c r="AQ18" s="79"/>
      <c r="AR18" s="79"/>
      <c r="AS18" s="79"/>
      <c r="AT18" s="178"/>
      <c r="AU18" s="274"/>
      <c r="AV18" s="79"/>
      <c r="AW18" s="79"/>
      <c r="AX18" s="79"/>
      <c r="AY18" s="134"/>
      <c r="AZ18" s="261"/>
      <c r="BA18" s="79"/>
      <c r="BB18" s="79"/>
      <c r="BC18" s="79"/>
      <c r="BD18" s="178"/>
      <c r="BE18" s="274"/>
      <c r="BF18" s="79"/>
      <c r="BG18" s="79"/>
      <c r="BH18" s="79"/>
      <c r="BI18" s="134"/>
      <c r="BJ18" s="261"/>
      <c r="BK18" s="79"/>
      <c r="BL18" s="79"/>
      <c r="BM18" s="79"/>
      <c r="BN18" s="178"/>
      <c r="BO18" s="274"/>
      <c r="BP18" s="79"/>
      <c r="BQ18" s="79"/>
      <c r="BR18" s="76"/>
      <c r="BS18" s="81"/>
      <c r="BT18" s="142"/>
      <c r="BU18" s="79"/>
      <c r="BV18" s="79"/>
      <c r="BW18" s="79"/>
      <c r="BX18" s="178"/>
      <c r="BY18" s="274"/>
      <c r="BZ18" s="79"/>
      <c r="CA18" s="76"/>
      <c r="CB18" s="79"/>
      <c r="CC18" s="134"/>
      <c r="CD18" s="261"/>
      <c r="CE18" s="79"/>
      <c r="CF18" s="79"/>
      <c r="CG18" s="79"/>
      <c r="CH18" s="134"/>
      <c r="CI18" s="261"/>
      <c r="CJ18" s="202"/>
      <c r="CK18" s="202"/>
      <c r="CL18" s="202"/>
      <c r="CM18" s="203"/>
      <c r="CN18" s="366"/>
      <c r="CO18" s="366"/>
      <c r="CP18" s="366"/>
      <c r="CQ18" s="366"/>
      <c r="CR18" s="366"/>
      <c r="CS18" s="366"/>
      <c r="CT18" s="366"/>
      <c r="CU18" s="366"/>
      <c r="CV18" s="366"/>
      <c r="CW18" s="366"/>
      <c r="CX18" s="366"/>
      <c r="CY18" s="366"/>
      <c r="CZ18" s="366"/>
      <c r="DA18" s="366"/>
      <c r="DB18" s="366"/>
      <c r="DC18" s="366"/>
      <c r="DD18" s="366"/>
      <c r="DE18" s="366"/>
      <c r="DF18" s="366"/>
      <c r="DG18" s="366"/>
      <c r="DH18" s="366"/>
      <c r="DI18" s="366"/>
      <c r="DJ18" s="366"/>
      <c r="DK18" s="366"/>
      <c r="DL18" s="366"/>
      <c r="DM18" s="366"/>
      <c r="DN18" s="366"/>
    </row>
    <row r="19" spans="1:118" ht="25.5" customHeight="1" thickBot="1" x14ac:dyDescent="0.3">
      <c r="A19" s="331">
        <v>160</v>
      </c>
      <c r="B19" s="82"/>
      <c r="C19" s="190"/>
      <c r="D19" s="190"/>
      <c r="E19" s="492" t="s">
        <v>768</v>
      </c>
      <c r="F19" s="82"/>
      <c r="G19" s="190"/>
      <c r="H19" s="195"/>
      <c r="I19" s="257"/>
      <c r="J19" s="99"/>
      <c r="K19" s="264"/>
      <c r="L19" s="278"/>
      <c r="M19" s="190"/>
      <c r="N19" s="190"/>
      <c r="O19" s="190"/>
      <c r="P19" s="279"/>
      <c r="Q19" s="278"/>
      <c r="R19" s="99"/>
      <c r="S19" s="99"/>
      <c r="T19" s="190"/>
      <c r="U19" s="195"/>
      <c r="V19" s="280"/>
      <c r="W19" s="99"/>
      <c r="X19" s="99"/>
      <c r="Y19" s="99"/>
      <c r="Z19" s="264"/>
      <c r="AA19" s="278"/>
      <c r="AB19" s="190"/>
      <c r="AC19" s="99"/>
      <c r="AD19" s="99"/>
      <c r="AE19" s="286"/>
      <c r="AF19" s="257"/>
      <c r="AG19" s="99"/>
      <c r="AH19" s="99"/>
      <c r="AI19" s="99"/>
      <c r="AJ19" s="264"/>
      <c r="AK19" s="278"/>
      <c r="AL19" s="99"/>
      <c r="AM19" s="99"/>
      <c r="AN19" s="99"/>
      <c r="AO19" s="195"/>
      <c r="AP19" s="257"/>
      <c r="AQ19" s="190"/>
      <c r="AR19" s="190"/>
      <c r="AS19" s="190"/>
      <c r="AT19" s="279"/>
      <c r="AU19" s="278"/>
      <c r="AV19" s="190"/>
      <c r="AW19" s="190"/>
      <c r="AX19" s="190"/>
      <c r="AY19" s="195"/>
      <c r="AZ19" s="280"/>
      <c r="BA19" s="190"/>
      <c r="BB19" s="190"/>
      <c r="BC19" s="190"/>
      <c r="BD19" s="279"/>
      <c r="BE19" s="278"/>
      <c r="BF19" s="190"/>
      <c r="BG19" s="190"/>
      <c r="BH19" s="190"/>
      <c r="BI19" s="195"/>
      <c r="BJ19" s="280"/>
      <c r="BK19" s="190"/>
      <c r="BL19" s="190"/>
      <c r="BM19" s="190"/>
      <c r="BN19" s="279"/>
      <c r="BO19" s="278"/>
      <c r="BP19" s="190"/>
      <c r="BQ19" s="190"/>
      <c r="BR19" s="99"/>
      <c r="BS19" s="286"/>
      <c r="BT19" s="257"/>
      <c r="BU19" s="190"/>
      <c r="BV19" s="190"/>
      <c r="BW19" s="190"/>
      <c r="BX19" s="279"/>
      <c r="BY19" s="278"/>
      <c r="BZ19" s="190"/>
      <c r="CA19" s="99"/>
      <c r="CB19" s="190"/>
      <c r="CC19" s="195"/>
      <c r="CD19" s="280"/>
      <c r="CE19" s="190"/>
      <c r="CF19" s="190"/>
      <c r="CG19" s="190"/>
      <c r="CH19" s="195"/>
      <c r="CI19" s="280"/>
      <c r="CJ19" s="213"/>
      <c r="CK19" s="213"/>
      <c r="CL19" s="213"/>
      <c r="CM19" s="214"/>
      <c r="CN19" s="366"/>
      <c r="CO19" s="366"/>
      <c r="CP19" s="366"/>
      <c r="CQ19" s="366"/>
      <c r="CR19" s="366"/>
      <c r="CS19" s="366"/>
      <c r="CT19" s="366"/>
      <c r="CU19" s="366"/>
      <c r="CV19" s="366"/>
      <c r="CW19" s="366"/>
      <c r="CX19" s="366"/>
      <c r="CY19" s="366"/>
      <c r="CZ19" s="366"/>
      <c r="DA19" s="366"/>
      <c r="DB19" s="366"/>
      <c r="DC19" s="366"/>
      <c r="DD19" s="366"/>
      <c r="DE19" s="366"/>
      <c r="DF19" s="366"/>
      <c r="DG19" s="366"/>
      <c r="DH19" s="366"/>
      <c r="DI19" s="366"/>
      <c r="DJ19" s="366"/>
      <c r="DK19" s="366"/>
      <c r="DL19" s="366"/>
      <c r="DM19" s="366"/>
      <c r="DN19" s="366"/>
    </row>
    <row r="20" spans="1:118" ht="25.5" customHeight="1" x14ac:dyDescent="0.25">
      <c r="A20" s="332">
        <v>161</v>
      </c>
      <c r="B20" s="85">
        <v>0</v>
      </c>
      <c r="C20" s="105">
        <v>1</v>
      </c>
      <c r="D20" s="87" t="s">
        <v>358</v>
      </c>
      <c r="E20" s="133" t="s">
        <v>769</v>
      </c>
      <c r="F20" s="103"/>
      <c r="G20" s="87" t="s">
        <v>108</v>
      </c>
      <c r="H20" s="194" t="s">
        <v>620</v>
      </c>
      <c r="I20" s="139"/>
      <c r="J20" s="103" t="s">
        <v>64</v>
      </c>
      <c r="K20" s="137"/>
      <c r="L20" s="407"/>
      <c r="M20" s="402"/>
      <c r="N20" s="402"/>
      <c r="O20" s="402"/>
      <c r="P20" s="403"/>
      <c r="Q20" s="281"/>
      <c r="R20" s="87"/>
      <c r="S20" s="402"/>
      <c r="T20" s="402"/>
      <c r="U20" s="405"/>
      <c r="V20" s="406"/>
      <c r="W20" s="402"/>
      <c r="X20" s="402"/>
      <c r="Y20" s="402"/>
      <c r="Z20" s="403"/>
      <c r="AA20" s="407"/>
      <c r="AB20" s="402"/>
      <c r="AC20" s="402"/>
      <c r="AD20" s="402"/>
      <c r="AE20" s="405"/>
      <c r="AF20" s="406"/>
      <c r="AG20" s="402"/>
      <c r="AH20" s="402"/>
      <c r="AI20" s="402"/>
      <c r="AJ20" s="282"/>
      <c r="AK20" s="281"/>
      <c r="AL20" s="402"/>
      <c r="AM20" s="402"/>
      <c r="AN20" s="402"/>
      <c r="AO20" s="405"/>
      <c r="AP20" s="406"/>
      <c r="AQ20" s="402"/>
      <c r="AR20" s="402"/>
      <c r="AS20" s="87"/>
      <c r="AT20" s="282"/>
      <c r="AU20" s="407"/>
      <c r="AV20" s="402"/>
      <c r="AW20" s="402"/>
      <c r="AX20" s="402"/>
      <c r="AY20" s="405"/>
      <c r="AZ20" s="406"/>
      <c r="BA20" s="402"/>
      <c r="BB20" s="402"/>
      <c r="BC20" s="402"/>
      <c r="BD20" s="403"/>
      <c r="BE20" s="281"/>
      <c r="BF20" s="87"/>
      <c r="BG20" s="402"/>
      <c r="BH20" s="402"/>
      <c r="BI20" s="405"/>
      <c r="BJ20" s="406"/>
      <c r="BK20" s="402"/>
      <c r="BL20" s="402"/>
      <c r="BM20" s="402"/>
      <c r="BN20" s="403"/>
      <c r="BO20" s="407"/>
      <c r="BP20" s="402"/>
      <c r="BQ20" s="87"/>
      <c r="BR20" s="87"/>
      <c r="BS20" s="405"/>
      <c r="BT20" s="283"/>
      <c r="BU20" s="87"/>
      <c r="BV20" s="402"/>
      <c r="BW20" s="402"/>
      <c r="BX20" s="403"/>
      <c r="BY20" s="407"/>
      <c r="BZ20" s="87"/>
      <c r="CA20" s="87"/>
      <c r="CB20" s="402"/>
      <c r="CC20" s="405"/>
      <c r="CD20" s="406"/>
      <c r="CE20" s="87"/>
      <c r="CF20" s="87"/>
      <c r="CG20" s="402"/>
      <c r="CH20" s="408" t="s">
        <v>40</v>
      </c>
      <c r="CI20" s="409" t="s">
        <v>40</v>
      </c>
      <c r="CJ20" s="217"/>
      <c r="CK20" s="217"/>
      <c r="CL20" s="217"/>
      <c r="CM20" s="218"/>
      <c r="CN20" s="366"/>
      <c r="CO20" s="366"/>
      <c r="CP20" s="366"/>
      <c r="CQ20" s="366"/>
      <c r="CR20" s="366"/>
      <c r="CS20" s="366"/>
      <c r="CT20" s="366"/>
      <c r="CU20" s="366"/>
      <c r="CV20" s="366"/>
      <c r="CW20" s="366"/>
      <c r="CX20" s="366"/>
      <c r="CY20" s="366"/>
      <c r="CZ20" s="366"/>
      <c r="DA20" s="366"/>
      <c r="DB20" s="366"/>
      <c r="DC20" s="366"/>
      <c r="DD20" s="366"/>
      <c r="DE20" s="366"/>
      <c r="DF20" s="366"/>
      <c r="DG20" s="366"/>
      <c r="DH20" s="366"/>
      <c r="DI20" s="366"/>
      <c r="DJ20" s="366"/>
      <c r="DK20" s="366"/>
      <c r="DL20" s="366"/>
      <c r="DM20" s="366"/>
      <c r="DN20" s="366"/>
    </row>
    <row r="21" spans="1:118" ht="25.5" customHeight="1" x14ac:dyDescent="0.2">
      <c r="A21" s="324">
        <v>162</v>
      </c>
      <c r="B21" s="72">
        <v>0</v>
      </c>
      <c r="C21" s="95">
        <v>1</v>
      </c>
      <c r="D21" s="79" t="s">
        <v>359</v>
      </c>
      <c r="E21" s="77" t="s">
        <v>770</v>
      </c>
      <c r="F21" s="76"/>
      <c r="G21" s="79" t="s">
        <v>109</v>
      </c>
      <c r="H21" s="134" t="s">
        <v>621</v>
      </c>
      <c r="I21" s="142"/>
      <c r="J21" s="76" t="s">
        <v>64</v>
      </c>
      <c r="K21" s="141"/>
      <c r="L21" s="367"/>
      <c r="M21" s="307"/>
      <c r="N21" s="307"/>
      <c r="O21" s="307"/>
      <c r="P21" s="369"/>
      <c r="Q21" s="274"/>
      <c r="R21" s="76"/>
      <c r="S21" s="307"/>
      <c r="T21" s="310"/>
      <c r="U21" s="412"/>
      <c r="V21" s="413"/>
      <c r="W21" s="307"/>
      <c r="X21" s="307"/>
      <c r="Y21" s="307"/>
      <c r="Z21" s="369"/>
      <c r="AA21" s="485"/>
      <c r="AB21" s="310"/>
      <c r="AC21" s="307"/>
      <c r="AD21" s="307"/>
      <c r="AE21" s="412"/>
      <c r="AF21" s="413"/>
      <c r="AG21" s="310"/>
      <c r="AH21" s="307"/>
      <c r="AI21" s="307"/>
      <c r="AJ21" s="141"/>
      <c r="AK21" s="140"/>
      <c r="AL21" s="310"/>
      <c r="AM21" s="310"/>
      <c r="AN21" s="310"/>
      <c r="AO21" s="412"/>
      <c r="AP21" s="413"/>
      <c r="AQ21" s="310"/>
      <c r="AR21" s="310"/>
      <c r="AS21" s="76"/>
      <c r="AT21" s="141"/>
      <c r="AU21" s="485"/>
      <c r="AV21" s="310"/>
      <c r="AW21" s="310"/>
      <c r="AX21" s="310"/>
      <c r="AY21" s="412"/>
      <c r="AZ21" s="413"/>
      <c r="BA21" s="310"/>
      <c r="BB21" s="310"/>
      <c r="BC21" s="310"/>
      <c r="BD21" s="411"/>
      <c r="BE21" s="140"/>
      <c r="BF21" s="76"/>
      <c r="BG21" s="310"/>
      <c r="BH21" s="310"/>
      <c r="BI21" s="412"/>
      <c r="BJ21" s="413"/>
      <c r="BK21" s="310"/>
      <c r="BL21" s="310"/>
      <c r="BM21" s="310"/>
      <c r="BN21" s="411"/>
      <c r="BO21" s="485"/>
      <c r="BP21" s="310"/>
      <c r="BQ21" s="76"/>
      <c r="BR21" s="76"/>
      <c r="BS21" s="412"/>
      <c r="BT21" s="142"/>
      <c r="BU21" s="76"/>
      <c r="BV21" s="310"/>
      <c r="BW21" s="310"/>
      <c r="BX21" s="411"/>
      <c r="BY21" s="485"/>
      <c r="BZ21" s="76"/>
      <c r="CA21" s="76"/>
      <c r="CB21" s="310"/>
      <c r="CC21" s="412"/>
      <c r="CD21" s="413"/>
      <c r="CE21" s="76"/>
      <c r="CF21" s="79"/>
      <c r="CG21" s="310"/>
      <c r="CH21" s="470" t="s">
        <v>40</v>
      </c>
      <c r="CI21" s="471" t="s">
        <v>40</v>
      </c>
      <c r="CJ21" s="202"/>
      <c r="CK21" s="202"/>
      <c r="CL21" s="202"/>
      <c r="CM21" s="203"/>
    </row>
    <row r="22" spans="1:118" ht="25.5" customHeight="1" x14ac:dyDescent="0.2">
      <c r="A22" s="324">
        <v>163</v>
      </c>
      <c r="B22" s="72"/>
      <c r="C22" s="72"/>
      <c r="D22" s="79"/>
      <c r="E22" s="77"/>
      <c r="F22" s="297"/>
      <c r="G22" s="79"/>
      <c r="H22" s="134"/>
      <c r="I22" s="142"/>
      <c r="J22" s="76"/>
      <c r="K22" s="141"/>
      <c r="L22" s="274"/>
      <c r="M22" s="79"/>
      <c r="N22" s="79"/>
      <c r="O22" s="79"/>
      <c r="P22" s="178"/>
      <c r="Q22" s="274"/>
      <c r="R22" s="79"/>
      <c r="S22" s="79"/>
      <c r="T22" s="79"/>
      <c r="U22" s="134"/>
      <c r="V22" s="261"/>
      <c r="W22" s="79"/>
      <c r="X22" s="79"/>
      <c r="Y22" s="79"/>
      <c r="Z22" s="178"/>
      <c r="AA22" s="274"/>
      <c r="AB22" s="79"/>
      <c r="AC22" s="79"/>
      <c r="AD22" s="79"/>
      <c r="AE22" s="134"/>
      <c r="AF22" s="261"/>
      <c r="AG22" s="79"/>
      <c r="AH22" s="79"/>
      <c r="AI22" s="79"/>
      <c r="AJ22" s="178"/>
      <c r="AK22" s="274"/>
      <c r="AL22" s="79"/>
      <c r="AM22" s="79"/>
      <c r="AN22" s="79"/>
      <c r="AO22" s="134"/>
      <c r="AP22" s="261"/>
      <c r="AQ22" s="79"/>
      <c r="AR22" s="79"/>
      <c r="AS22" s="79"/>
      <c r="AT22" s="178"/>
      <c r="AU22" s="274"/>
      <c r="AV22" s="79"/>
      <c r="AW22" s="79"/>
      <c r="AX22" s="79"/>
      <c r="AY22" s="134"/>
      <c r="AZ22" s="261"/>
      <c r="BA22" s="79"/>
      <c r="BB22" s="79"/>
      <c r="BC22" s="79"/>
      <c r="BD22" s="178"/>
      <c r="BE22" s="274"/>
      <c r="BF22" s="79"/>
      <c r="BG22" s="79"/>
      <c r="BH22" s="79"/>
      <c r="BI22" s="134"/>
      <c r="BJ22" s="261"/>
      <c r="BK22" s="79"/>
      <c r="BL22" s="79"/>
      <c r="BM22" s="79"/>
      <c r="BN22" s="178"/>
      <c r="BO22" s="274"/>
      <c r="BP22" s="79"/>
      <c r="BQ22" s="79"/>
      <c r="BR22" s="79"/>
      <c r="BS22" s="134"/>
      <c r="BT22" s="261"/>
      <c r="BU22" s="79"/>
      <c r="BV22" s="79"/>
      <c r="BW22" s="79"/>
      <c r="BX22" s="178"/>
      <c r="BY22" s="274"/>
      <c r="BZ22" s="79"/>
      <c r="CA22" s="79"/>
      <c r="CB22" s="79"/>
      <c r="CC22" s="134"/>
      <c r="CD22" s="261"/>
      <c r="CE22" s="79"/>
      <c r="CF22" s="79"/>
      <c r="CG22" s="79"/>
      <c r="CH22" s="134"/>
      <c r="CI22" s="261"/>
      <c r="CJ22" s="202"/>
      <c r="CK22" s="202"/>
      <c r="CL22" s="202"/>
      <c r="CM22" s="203"/>
    </row>
    <row r="23" spans="1:118" ht="25.5" customHeight="1" x14ac:dyDescent="0.2">
      <c r="A23" s="324">
        <v>164</v>
      </c>
      <c r="B23" s="72"/>
      <c r="C23" s="72"/>
      <c r="D23" s="79"/>
      <c r="E23" s="98" t="s">
        <v>360</v>
      </c>
      <c r="F23" s="297"/>
      <c r="G23" s="79"/>
      <c r="H23" s="134"/>
      <c r="I23" s="142"/>
      <c r="J23" s="76"/>
      <c r="K23" s="141"/>
      <c r="L23" s="274"/>
      <c r="M23" s="79"/>
      <c r="N23" s="79"/>
      <c r="O23" s="79"/>
      <c r="P23" s="178"/>
      <c r="Q23" s="274"/>
      <c r="R23" s="79"/>
      <c r="S23" s="79"/>
      <c r="T23" s="79"/>
      <c r="U23" s="134"/>
      <c r="V23" s="261"/>
      <c r="W23" s="79"/>
      <c r="X23" s="79"/>
      <c r="Y23" s="79"/>
      <c r="Z23" s="178"/>
      <c r="AA23" s="274"/>
      <c r="AB23" s="79"/>
      <c r="AC23" s="79"/>
      <c r="AD23" s="79"/>
      <c r="AE23" s="134"/>
      <c r="AF23" s="261"/>
      <c r="AG23" s="79"/>
      <c r="AH23" s="79"/>
      <c r="AI23" s="79"/>
      <c r="AJ23" s="178"/>
      <c r="AK23" s="274"/>
      <c r="AL23" s="79"/>
      <c r="AM23" s="79"/>
      <c r="AN23" s="79"/>
      <c r="AO23" s="134"/>
      <c r="AP23" s="261"/>
      <c r="AQ23" s="79"/>
      <c r="AR23" s="79"/>
      <c r="AS23" s="79"/>
      <c r="AT23" s="178"/>
      <c r="AU23" s="274"/>
      <c r="AV23" s="79"/>
      <c r="AW23" s="79"/>
      <c r="AX23" s="79"/>
      <c r="AY23" s="134"/>
      <c r="AZ23" s="261"/>
      <c r="BA23" s="79"/>
      <c r="BB23" s="79"/>
      <c r="BC23" s="79"/>
      <c r="BD23" s="178"/>
      <c r="BE23" s="274"/>
      <c r="BF23" s="79"/>
      <c r="BG23" s="79"/>
      <c r="BH23" s="79"/>
      <c r="BI23" s="134"/>
      <c r="BJ23" s="261"/>
      <c r="BK23" s="79"/>
      <c r="BL23" s="79"/>
      <c r="BM23" s="79"/>
      <c r="BN23" s="178"/>
      <c r="BO23" s="274"/>
      <c r="BP23" s="79"/>
      <c r="BQ23" s="79"/>
      <c r="BR23" s="79"/>
      <c r="BS23" s="134"/>
      <c r="BT23" s="261"/>
      <c r="BU23" s="79"/>
      <c r="BV23" s="79"/>
      <c r="BW23" s="79"/>
      <c r="BX23" s="178"/>
      <c r="BY23" s="274"/>
      <c r="BZ23" s="79"/>
      <c r="CA23" s="79"/>
      <c r="CB23" s="79"/>
      <c r="CC23" s="134"/>
      <c r="CD23" s="261"/>
      <c r="CE23" s="79"/>
      <c r="CF23" s="79"/>
      <c r="CG23" s="79"/>
      <c r="CH23" s="134"/>
      <c r="CI23" s="261"/>
      <c r="CJ23" s="202"/>
      <c r="CK23" s="202"/>
      <c r="CL23" s="202"/>
      <c r="CM23" s="203"/>
    </row>
    <row r="24" spans="1:118" ht="25.5" customHeight="1" thickBot="1" x14ac:dyDescent="0.25">
      <c r="A24" s="325">
        <v>165</v>
      </c>
      <c r="B24" s="73">
        <v>0</v>
      </c>
      <c r="C24" s="73">
        <v>5</v>
      </c>
      <c r="D24" s="74" t="s">
        <v>361</v>
      </c>
      <c r="E24" s="126" t="s">
        <v>362</v>
      </c>
      <c r="F24" s="493"/>
      <c r="G24" s="74" t="s">
        <v>363</v>
      </c>
      <c r="H24" s="135" t="s">
        <v>853</v>
      </c>
      <c r="I24" s="269"/>
      <c r="J24" s="89"/>
      <c r="K24" s="270">
        <v>11</v>
      </c>
      <c r="L24" s="383"/>
      <c r="M24" s="379"/>
      <c r="N24" s="379"/>
      <c r="O24" s="379"/>
      <c r="P24" s="382"/>
      <c r="Q24" s="275"/>
      <c r="R24" s="74"/>
      <c r="S24" s="379"/>
      <c r="T24" s="379"/>
      <c r="U24" s="380"/>
      <c r="V24" s="381"/>
      <c r="W24" s="379"/>
      <c r="X24" s="379"/>
      <c r="Y24" s="379"/>
      <c r="Z24" s="382"/>
      <c r="AA24" s="383"/>
      <c r="AB24" s="379"/>
      <c r="AC24" s="379"/>
      <c r="AD24" s="379"/>
      <c r="AE24" s="380"/>
      <c r="AF24" s="381"/>
      <c r="AG24" s="379"/>
      <c r="AH24" s="379"/>
      <c r="AI24" s="379"/>
      <c r="AJ24" s="276"/>
      <c r="AK24" s="275"/>
      <c r="AL24" s="379"/>
      <c r="AM24" s="379"/>
      <c r="AN24" s="379"/>
      <c r="AO24" s="380"/>
      <c r="AP24" s="381"/>
      <c r="AQ24" s="379"/>
      <c r="AR24" s="379"/>
      <c r="AS24" s="74"/>
      <c r="AT24" s="276"/>
      <c r="AU24" s="383"/>
      <c r="AV24" s="379"/>
      <c r="AW24" s="379"/>
      <c r="AX24" s="379"/>
      <c r="AY24" s="380"/>
      <c r="AZ24" s="381"/>
      <c r="BA24" s="379"/>
      <c r="BB24" s="379"/>
      <c r="BC24" s="379"/>
      <c r="BD24" s="382"/>
      <c r="BE24" s="275"/>
      <c r="BF24" s="74"/>
      <c r="BG24" s="379"/>
      <c r="BH24" s="379"/>
      <c r="BI24" s="380"/>
      <c r="BJ24" s="381"/>
      <c r="BK24" s="379"/>
      <c r="BL24" s="379"/>
      <c r="BM24" s="379"/>
      <c r="BN24" s="382"/>
      <c r="BO24" s="383"/>
      <c r="BP24" s="379"/>
      <c r="BQ24" s="74"/>
      <c r="BR24" s="74"/>
      <c r="BS24" s="380"/>
      <c r="BT24" s="277"/>
      <c r="BU24" s="74"/>
      <c r="BV24" s="379"/>
      <c r="BW24" s="379"/>
      <c r="BX24" s="382"/>
      <c r="BY24" s="383"/>
      <c r="BZ24" s="74"/>
      <c r="CA24" s="74"/>
      <c r="CB24" s="379"/>
      <c r="CC24" s="380"/>
      <c r="CD24" s="381"/>
      <c r="CE24" s="74"/>
      <c r="CF24" s="74"/>
      <c r="CG24" s="379"/>
      <c r="CH24" s="386" t="s">
        <v>40</v>
      </c>
      <c r="CI24" s="384" t="s">
        <v>40</v>
      </c>
      <c r="CJ24" s="206"/>
      <c r="CK24" s="206"/>
      <c r="CL24" s="206"/>
      <c r="CM24" s="207"/>
    </row>
    <row r="25" spans="1:118" ht="25.5" customHeight="1" x14ac:dyDescent="0.2">
      <c r="A25" s="318">
        <v>166</v>
      </c>
      <c r="B25" s="75">
        <v>0</v>
      </c>
      <c r="C25" s="75">
        <v>5</v>
      </c>
      <c r="D25" s="92" t="s">
        <v>361</v>
      </c>
      <c r="E25" s="93" t="s">
        <v>364</v>
      </c>
      <c r="F25" s="480" t="s">
        <v>1113</v>
      </c>
      <c r="G25" s="92" t="s">
        <v>363</v>
      </c>
      <c r="H25" s="113" t="s">
        <v>854</v>
      </c>
      <c r="I25" s="259"/>
      <c r="J25" s="130"/>
      <c r="K25" s="260">
        <v>11</v>
      </c>
      <c r="L25" s="308"/>
      <c r="M25" s="304"/>
      <c r="N25" s="304"/>
      <c r="O25" s="304"/>
      <c r="P25" s="359"/>
      <c r="Q25" s="272"/>
      <c r="R25" s="92"/>
      <c r="S25" s="304"/>
      <c r="T25" s="304"/>
      <c r="U25" s="361"/>
      <c r="V25" s="362"/>
      <c r="W25" s="304"/>
      <c r="X25" s="304"/>
      <c r="Y25" s="304"/>
      <c r="Z25" s="359"/>
      <c r="AA25" s="308"/>
      <c r="AB25" s="304"/>
      <c r="AC25" s="304"/>
      <c r="AD25" s="304"/>
      <c r="AE25" s="361"/>
      <c r="AF25" s="362"/>
      <c r="AG25" s="304"/>
      <c r="AH25" s="304"/>
      <c r="AI25" s="304"/>
      <c r="AJ25" s="273"/>
      <c r="AK25" s="272"/>
      <c r="AL25" s="304"/>
      <c r="AM25" s="304"/>
      <c r="AN25" s="304"/>
      <c r="AO25" s="361"/>
      <c r="AP25" s="362"/>
      <c r="AQ25" s="304"/>
      <c r="AR25" s="304"/>
      <c r="AS25" s="92"/>
      <c r="AT25" s="273"/>
      <c r="AU25" s="308"/>
      <c r="AV25" s="304"/>
      <c r="AW25" s="304"/>
      <c r="AX25" s="304"/>
      <c r="AY25" s="361"/>
      <c r="AZ25" s="362"/>
      <c r="BA25" s="304"/>
      <c r="BB25" s="304"/>
      <c r="BC25" s="304"/>
      <c r="BD25" s="359"/>
      <c r="BE25" s="272"/>
      <c r="BF25" s="92"/>
      <c r="BG25" s="304"/>
      <c r="BH25" s="304"/>
      <c r="BI25" s="361"/>
      <c r="BJ25" s="362"/>
      <c r="BK25" s="304"/>
      <c r="BL25" s="304"/>
      <c r="BM25" s="304"/>
      <c r="BN25" s="359"/>
      <c r="BO25" s="308"/>
      <c r="BP25" s="304"/>
      <c r="BQ25" s="92"/>
      <c r="BR25" s="92"/>
      <c r="BS25" s="361"/>
      <c r="BT25" s="258"/>
      <c r="BU25" s="92"/>
      <c r="BV25" s="304"/>
      <c r="BW25" s="304"/>
      <c r="BX25" s="359"/>
      <c r="BY25" s="308"/>
      <c r="BZ25" s="92"/>
      <c r="CA25" s="92"/>
      <c r="CB25" s="304"/>
      <c r="CC25" s="361"/>
      <c r="CD25" s="362"/>
      <c r="CE25" s="92"/>
      <c r="CF25" s="92"/>
      <c r="CG25" s="304"/>
      <c r="CH25" s="363" t="s">
        <v>40</v>
      </c>
      <c r="CI25" s="364" t="s">
        <v>40</v>
      </c>
      <c r="CJ25" s="210"/>
      <c r="CK25" s="210"/>
      <c r="CL25" s="210"/>
      <c r="CM25" s="211"/>
    </row>
    <row r="26" spans="1:118" ht="25.5" customHeight="1" x14ac:dyDescent="0.2">
      <c r="A26" s="324">
        <v>167</v>
      </c>
      <c r="B26" s="72">
        <v>0</v>
      </c>
      <c r="C26" s="72">
        <v>5</v>
      </c>
      <c r="D26" s="79" t="s">
        <v>361</v>
      </c>
      <c r="E26" s="77" t="s">
        <v>365</v>
      </c>
      <c r="F26" s="76" t="s">
        <v>366</v>
      </c>
      <c r="G26" s="79" t="s">
        <v>363</v>
      </c>
      <c r="H26" s="134" t="s">
        <v>855</v>
      </c>
      <c r="I26" s="142" t="s">
        <v>785</v>
      </c>
      <c r="J26" s="76"/>
      <c r="K26" s="141">
        <v>11</v>
      </c>
      <c r="L26" s="367"/>
      <c r="M26" s="307"/>
      <c r="N26" s="307"/>
      <c r="O26" s="307"/>
      <c r="P26" s="369"/>
      <c r="Q26" s="274"/>
      <c r="R26" s="79"/>
      <c r="S26" s="307"/>
      <c r="T26" s="307"/>
      <c r="U26" s="370"/>
      <c r="V26" s="306"/>
      <c r="W26" s="307"/>
      <c r="X26" s="307"/>
      <c r="Y26" s="307"/>
      <c r="Z26" s="369"/>
      <c r="AA26" s="367"/>
      <c r="AB26" s="307"/>
      <c r="AC26" s="307"/>
      <c r="AD26" s="307"/>
      <c r="AE26" s="370"/>
      <c r="AF26" s="306"/>
      <c r="AG26" s="307"/>
      <c r="AH26" s="307"/>
      <c r="AI26" s="307"/>
      <c r="AJ26" s="178"/>
      <c r="AK26" s="274"/>
      <c r="AL26" s="307"/>
      <c r="AM26" s="307"/>
      <c r="AN26" s="307"/>
      <c r="AO26" s="370"/>
      <c r="AP26" s="306"/>
      <c r="AQ26" s="307"/>
      <c r="AR26" s="307"/>
      <c r="AS26" s="79"/>
      <c r="AT26" s="178"/>
      <c r="AU26" s="367"/>
      <c r="AV26" s="307"/>
      <c r="AW26" s="307"/>
      <c r="AX26" s="307"/>
      <c r="AY26" s="370"/>
      <c r="AZ26" s="306"/>
      <c r="BA26" s="307"/>
      <c r="BB26" s="307"/>
      <c r="BC26" s="307"/>
      <c r="BD26" s="369"/>
      <c r="BE26" s="274"/>
      <c r="BF26" s="79"/>
      <c r="BG26" s="307"/>
      <c r="BH26" s="307"/>
      <c r="BI26" s="370"/>
      <c r="BJ26" s="306"/>
      <c r="BK26" s="307"/>
      <c r="BL26" s="307"/>
      <c r="BM26" s="307"/>
      <c r="BN26" s="369"/>
      <c r="BO26" s="367"/>
      <c r="BP26" s="307"/>
      <c r="BQ26" s="79"/>
      <c r="BR26" s="79"/>
      <c r="BS26" s="370"/>
      <c r="BT26" s="261"/>
      <c r="BU26" s="79"/>
      <c r="BV26" s="307"/>
      <c r="BW26" s="307"/>
      <c r="BX26" s="369"/>
      <c r="BY26" s="367"/>
      <c r="BZ26" s="79"/>
      <c r="CA26" s="79"/>
      <c r="CB26" s="307"/>
      <c r="CC26" s="370"/>
      <c r="CD26" s="306"/>
      <c r="CE26" s="79"/>
      <c r="CF26" s="79"/>
      <c r="CG26" s="307"/>
      <c r="CH26" s="374" t="s">
        <v>40</v>
      </c>
      <c r="CI26" s="373" t="s">
        <v>40</v>
      </c>
      <c r="CJ26" s="202"/>
      <c r="CK26" s="202"/>
      <c r="CL26" s="202"/>
      <c r="CM26" s="203"/>
    </row>
    <row r="27" spans="1:118" ht="25.5" customHeight="1" x14ac:dyDescent="0.2">
      <c r="A27" s="324">
        <v>168</v>
      </c>
      <c r="B27" s="72">
        <v>0</v>
      </c>
      <c r="C27" s="72">
        <v>5</v>
      </c>
      <c r="D27" s="79" t="s">
        <v>361</v>
      </c>
      <c r="E27" s="77" t="s">
        <v>367</v>
      </c>
      <c r="F27" s="76" t="s">
        <v>368</v>
      </c>
      <c r="G27" s="79" t="s">
        <v>363</v>
      </c>
      <c r="H27" s="134" t="s">
        <v>856</v>
      </c>
      <c r="I27" s="142">
        <v>2</v>
      </c>
      <c r="J27" s="76"/>
      <c r="K27" s="141">
        <v>11</v>
      </c>
      <c r="L27" s="367"/>
      <c r="M27" s="368" t="s">
        <v>122</v>
      </c>
      <c r="N27" s="307"/>
      <c r="O27" s="307"/>
      <c r="P27" s="369"/>
      <c r="Q27" s="274"/>
      <c r="R27" s="79"/>
      <c r="S27" s="307"/>
      <c r="T27" s="307"/>
      <c r="U27" s="370"/>
      <c r="V27" s="306"/>
      <c r="W27" s="307"/>
      <c r="X27" s="307"/>
      <c r="Y27" s="307"/>
      <c r="Z27" s="369"/>
      <c r="AA27" s="367"/>
      <c r="AB27" s="307"/>
      <c r="AC27" s="307"/>
      <c r="AD27" s="307"/>
      <c r="AE27" s="370"/>
      <c r="AF27" s="306"/>
      <c r="AG27" s="307"/>
      <c r="AH27" s="307"/>
      <c r="AI27" s="307"/>
      <c r="AJ27" s="178"/>
      <c r="AK27" s="274"/>
      <c r="AL27" s="307"/>
      <c r="AM27" s="307"/>
      <c r="AN27" s="307"/>
      <c r="AO27" s="374" t="s">
        <v>121</v>
      </c>
      <c r="AP27" s="306"/>
      <c r="AQ27" s="371" t="s">
        <v>121</v>
      </c>
      <c r="AR27" s="307"/>
      <c r="AS27" s="79"/>
      <c r="AT27" s="178"/>
      <c r="AU27" s="367"/>
      <c r="AV27" s="307"/>
      <c r="AW27" s="307"/>
      <c r="AX27" s="371" t="s">
        <v>120</v>
      </c>
      <c r="AY27" s="370"/>
      <c r="AZ27" s="306"/>
      <c r="BA27" s="307"/>
      <c r="BB27" s="307"/>
      <c r="BC27" s="307"/>
      <c r="BD27" s="372" t="s">
        <v>121</v>
      </c>
      <c r="BE27" s="274"/>
      <c r="BF27" s="79"/>
      <c r="BG27" s="307"/>
      <c r="BH27" s="307"/>
      <c r="BI27" s="370"/>
      <c r="BJ27" s="373" t="s">
        <v>120</v>
      </c>
      <c r="BK27" s="307"/>
      <c r="BL27" s="307"/>
      <c r="BM27" s="307"/>
      <c r="BN27" s="369"/>
      <c r="BO27" s="367"/>
      <c r="BP27" s="371" t="s">
        <v>121</v>
      </c>
      <c r="BQ27" s="79"/>
      <c r="BR27" s="79"/>
      <c r="BS27" s="370"/>
      <c r="BT27" s="261"/>
      <c r="BU27" s="79"/>
      <c r="BV27" s="307"/>
      <c r="BW27" s="307"/>
      <c r="BX27" s="369"/>
      <c r="BY27" s="367"/>
      <c r="BZ27" s="79"/>
      <c r="CA27" s="79"/>
      <c r="CB27" s="307"/>
      <c r="CC27" s="370"/>
      <c r="CD27" s="306"/>
      <c r="CE27" s="79"/>
      <c r="CF27" s="79"/>
      <c r="CG27" s="307"/>
      <c r="CH27" s="374" t="s">
        <v>40</v>
      </c>
      <c r="CI27" s="373" t="s">
        <v>40</v>
      </c>
      <c r="CJ27" s="202"/>
      <c r="CK27" s="202"/>
      <c r="CL27" s="202"/>
      <c r="CM27" s="203"/>
    </row>
    <row r="28" spans="1:118" ht="25.5" customHeight="1" x14ac:dyDescent="0.2">
      <c r="A28" s="324">
        <v>169</v>
      </c>
      <c r="B28" s="72">
        <v>0</v>
      </c>
      <c r="C28" s="72">
        <v>5</v>
      </c>
      <c r="D28" s="79" t="s">
        <v>369</v>
      </c>
      <c r="E28" s="77" t="s">
        <v>370</v>
      </c>
      <c r="F28" s="76" t="s">
        <v>371</v>
      </c>
      <c r="G28" s="79" t="s">
        <v>372</v>
      </c>
      <c r="H28" s="134" t="s">
        <v>857</v>
      </c>
      <c r="I28" s="142"/>
      <c r="J28" s="76"/>
      <c r="K28" s="141">
        <v>11</v>
      </c>
      <c r="L28" s="367"/>
      <c r="M28" s="307"/>
      <c r="N28" s="307"/>
      <c r="O28" s="307"/>
      <c r="P28" s="369"/>
      <c r="Q28" s="274"/>
      <c r="R28" s="79"/>
      <c r="S28" s="307"/>
      <c r="T28" s="307"/>
      <c r="U28" s="370"/>
      <c r="V28" s="306"/>
      <c r="W28" s="307"/>
      <c r="X28" s="307"/>
      <c r="Y28" s="307"/>
      <c r="Z28" s="369"/>
      <c r="AA28" s="367"/>
      <c r="AB28" s="307"/>
      <c r="AC28" s="307"/>
      <c r="AD28" s="307"/>
      <c r="AE28" s="370"/>
      <c r="AF28" s="306"/>
      <c r="AG28" s="307"/>
      <c r="AH28" s="307"/>
      <c r="AI28" s="307"/>
      <c r="AJ28" s="178"/>
      <c r="AK28" s="274"/>
      <c r="AL28" s="307"/>
      <c r="AM28" s="307"/>
      <c r="AN28" s="307"/>
      <c r="AO28" s="370"/>
      <c r="AP28" s="306"/>
      <c r="AQ28" s="307"/>
      <c r="AR28" s="307"/>
      <c r="AS28" s="79"/>
      <c r="AT28" s="178"/>
      <c r="AU28" s="367"/>
      <c r="AV28" s="307"/>
      <c r="AW28" s="307"/>
      <c r="AX28" s="307"/>
      <c r="AY28" s="370"/>
      <c r="AZ28" s="306"/>
      <c r="BA28" s="307"/>
      <c r="BB28" s="307"/>
      <c r="BC28" s="307"/>
      <c r="BD28" s="369"/>
      <c r="BE28" s="274"/>
      <c r="BF28" s="79"/>
      <c r="BG28" s="307"/>
      <c r="BH28" s="307"/>
      <c r="BI28" s="370"/>
      <c r="BJ28" s="306"/>
      <c r="BK28" s="307"/>
      <c r="BL28" s="307"/>
      <c r="BM28" s="307"/>
      <c r="BN28" s="369"/>
      <c r="BO28" s="367"/>
      <c r="BP28" s="307"/>
      <c r="BQ28" s="79"/>
      <c r="BR28" s="79"/>
      <c r="BS28" s="370"/>
      <c r="BT28" s="261"/>
      <c r="BU28" s="79"/>
      <c r="BV28" s="307"/>
      <c r="BW28" s="307"/>
      <c r="BX28" s="369"/>
      <c r="BY28" s="367"/>
      <c r="BZ28" s="79"/>
      <c r="CA28" s="79"/>
      <c r="CB28" s="307"/>
      <c r="CC28" s="370"/>
      <c r="CD28" s="306"/>
      <c r="CE28" s="79"/>
      <c r="CF28" s="79"/>
      <c r="CG28" s="307"/>
      <c r="CH28" s="374" t="s">
        <v>40</v>
      </c>
      <c r="CI28" s="373" t="s">
        <v>40</v>
      </c>
      <c r="CJ28" s="202"/>
      <c r="CK28" s="202"/>
      <c r="CL28" s="202"/>
      <c r="CM28" s="203"/>
    </row>
    <row r="29" spans="1:118" ht="25.5" customHeight="1" thickBot="1" x14ac:dyDescent="0.25">
      <c r="A29" s="331">
        <v>170</v>
      </c>
      <c r="B29" s="82">
        <v>0</v>
      </c>
      <c r="C29" s="82">
        <v>5</v>
      </c>
      <c r="D29" s="190" t="s">
        <v>369</v>
      </c>
      <c r="E29" s="117" t="s">
        <v>373</v>
      </c>
      <c r="F29" s="494"/>
      <c r="G29" s="190" t="s">
        <v>372</v>
      </c>
      <c r="H29" s="195" t="s">
        <v>858</v>
      </c>
      <c r="I29" s="257"/>
      <c r="J29" s="99"/>
      <c r="K29" s="264">
        <v>11</v>
      </c>
      <c r="L29" s="395"/>
      <c r="M29" s="390"/>
      <c r="N29" s="390"/>
      <c r="O29" s="390"/>
      <c r="P29" s="391"/>
      <c r="Q29" s="278"/>
      <c r="R29" s="190"/>
      <c r="S29" s="390"/>
      <c r="T29" s="390"/>
      <c r="U29" s="393"/>
      <c r="V29" s="394"/>
      <c r="W29" s="390"/>
      <c r="X29" s="390"/>
      <c r="Y29" s="390"/>
      <c r="Z29" s="391"/>
      <c r="AA29" s="395"/>
      <c r="AB29" s="390"/>
      <c r="AC29" s="390"/>
      <c r="AD29" s="390"/>
      <c r="AE29" s="393"/>
      <c r="AF29" s="394"/>
      <c r="AG29" s="390"/>
      <c r="AH29" s="390"/>
      <c r="AI29" s="390"/>
      <c r="AJ29" s="279"/>
      <c r="AK29" s="278"/>
      <c r="AL29" s="390"/>
      <c r="AM29" s="390"/>
      <c r="AN29" s="390"/>
      <c r="AO29" s="393"/>
      <c r="AP29" s="394"/>
      <c r="AQ29" s="390"/>
      <c r="AR29" s="390"/>
      <c r="AS29" s="190"/>
      <c r="AT29" s="279"/>
      <c r="AU29" s="395"/>
      <c r="AV29" s="390"/>
      <c r="AW29" s="390"/>
      <c r="AX29" s="390"/>
      <c r="AY29" s="393"/>
      <c r="AZ29" s="394"/>
      <c r="BA29" s="390"/>
      <c r="BB29" s="390"/>
      <c r="BC29" s="390"/>
      <c r="BD29" s="391"/>
      <c r="BE29" s="278"/>
      <c r="BF29" s="190"/>
      <c r="BG29" s="390"/>
      <c r="BH29" s="390"/>
      <c r="BI29" s="393"/>
      <c r="BJ29" s="394"/>
      <c r="BK29" s="390"/>
      <c r="BL29" s="390"/>
      <c r="BM29" s="390"/>
      <c r="BN29" s="391"/>
      <c r="BO29" s="395"/>
      <c r="BP29" s="390"/>
      <c r="BQ29" s="190"/>
      <c r="BR29" s="190"/>
      <c r="BS29" s="393"/>
      <c r="BT29" s="280"/>
      <c r="BU29" s="190"/>
      <c r="BV29" s="390"/>
      <c r="BW29" s="390"/>
      <c r="BX29" s="391"/>
      <c r="BY29" s="395"/>
      <c r="BZ29" s="190"/>
      <c r="CA29" s="190"/>
      <c r="CB29" s="390"/>
      <c r="CC29" s="393"/>
      <c r="CD29" s="394"/>
      <c r="CE29" s="190"/>
      <c r="CF29" s="190"/>
      <c r="CG29" s="390"/>
      <c r="CH29" s="396" t="s">
        <v>40</v>
      </c>
      <c r="CI29" s="397" t="s">
        <v>40</v>
      </c>
      <c r="CJ29" s="213"/>
      <c r="CK29" s="213"/>
      <c r="CL29" s="213"/>
      <c r="CM29" s="214"/>
    </row>
    <row r="30" spans="1:118" ht="25.5" customHeight="1" x14ac:dyDescent="0.2">
      <c r="A30" s="332">
        <v>171</v>
      </c>
      <c r="B30" s="85">
        <v>0</v>
      </c>
      <c r="C30" s="85">
        <v>5</v>
      </c>
      <c r="D30" s="87" t="s">
        <v>369</v>
      </c>
      <c r="E30" s="133" t="s">
        <v>374</v>
      </c>
      <c r="F30" s="496"/>
      <c r="G30" s="87" t="s">
        <v>372</v>
      </c>
      <c r="H30" s="194" t="s">
        <v>859</v>
      </c>
      <c r="I30" s="139"/>
      <c r="J30" s="103"/>
      <c r="K30" s="137">
        <v>11</v>
      </c>
      <c r="L30" s="407"/>
      <c r="M30" s="402"/>
      <c r="N30" s="402"/>
      <c r="O30" s="402"/>
      <c r="P30" s="403"/>
      <c r="Q30" s="281"/>
      <c r="R30" s="87"/>
      <c r="S30" s="402"/>
      <c r="T30" s="402"/>
      <c r="U30" s="405"/>
      <c r="V30" s="406"/>
      <c r="W30" s="402"/>
      <c r="X30" s="402"/>
      <c r="Y30" s="402"/>
      <c r="Z30" s="403"/>
      <c r="AA30" s="407"/>
      <c r="AB30" s="402"/>
      <c r="AC30" s="402"/>
      <c r="AD30" s="402"/>
      <c r="AE30" s="405"/>
      <c r="AF30" s="406"/>
      <c r="AG30" s="402"/>
      <c r="AH30" s="402"/>
      <c r="AI30" s="402"/>
      <c r="AJ30" s="282"/>
      <c r="AK30" s="281"/>
      <c r="AL30" s="402"/>
      <c r="AM30" s="402"/>
      <c r="AN30" s="402"/>
      <c r="AO30" s="405"/>
      <c r="AP30" s="406"/>
      <c r="AQ30" s="402"/>
      <c r="AR30" s="402"/>
      <c r="AS30" s="87"/>
      <c r="AT30" s="282"/>
      <c r="AU30" s="407"/>
      <c r="AV30" s="402"/>
      <c r="AW30" s="402"/>
      <c r="AX30" s="402"/>
      <c r="AY30" s="405"/>
      <c r="AZ30" s="406"/>
      <c r="BA30" s="402"/>
      <c r="BB30" s="402"/>
      <c r="BC30" s="402"/>
      <c r="BD30" s="403"/>
      <c r="BE30" s="281"/>
      <c r="BF30" s="87"/>
      <c r="BG30" s="402"/>
      <c r="BH30" s="402"/>
      <c r="BI30" s="405"/>
      <c r="BJ30" s="406"/>
      <c r="BK30" s="402"/>
      <c r="BL30" s="402"/>
      <c r="BM30" s="402"/>
      <c r="BN30" s="403"/>
      <c r="BO30" s="407"/>
      <c r="BP30" s="402"/>
      <c r="BQ30" s="87"/>
      <c r="BR30" s="87"/>
      <c r="BS30" s="405"/>
      <c r="BT30" s="283"/>
      <c r="BU30" s="87"/>
      <c r="BV30" s="402"/>
      <c r="BW30" s="402"/>
      <c r="BX30" s="403"/>
      <c r="BY30" s="407"/>
      <c r="BZ30" s="87"/>
      <c r="CA30" s="87"/>
      <c r="CB30" s="402"/>
      <c r="CC30" s="405"/>
      <c r="CD30" s="406"/>
      <c r="CE30" s="87"/>
      <c r="CF30" s="87"/>
      <c r="CG30" s="402"/>
      <c r="CH30" s="408" t="s">
        <v>40</v>
      </c>
      <c r="CI30" s="409" t="s">
        <v>40</v>
      </c>
      <c r="CJ30" s="217"/>
      <c r="CK30" s="217"/>
      <c r="CL30" s="217"/>
      <c r="CM30" s="218"/>
    </row>
    <row r="31" spans="1:118" ht="25.5" customHeight="1" x14ac:dyDescent="0.2">
      <c r="A31" s="324">
        <v>172</v>
      </c>
      <c r="B31" s="72">
        <v>0</v>
      </c>
      <c r="C31" s="72">
        <v>5</v>
      </c>
      <c r="D31" s="79" t="s">
        <v>369</v>
      </c>
      <c r="E31" s="77" t="s">
        <v>375</v>
      </c>
      <c r="F31" s="312"/>
      <c r="G31" s="79" t="s">
        <v>372</v>
      </c>
      <c r="H31" s="134" t="s">
        <v>860</v>
      </c>
      <c r="I31" s="142"/>
      <c r="J31" s="76"/>
      <c r="K31" s="141">
        <v>11</v>
      </c>
      <c r="L31" s="367"/>
      <c r="M31" s="307"/>
      <c r="N31" s="307"/>
      <c r="O31" s="307"/>
      <c r="P31" s="369"/>
      <c r="Q31" s="274"/>
      <c r="R31" s="79"/>
      <c r="S31" s="307"/>
      <c r="T31" s="307"/>
      <c r="U31" s="370"/>
      <c r="V31" s="306"/>
      <c r="W31" s="307"/>
      <c r="X31" s="307"/>
      <c r="Y31" s="307"/>
      <c r="Z31" s="369"/>
      <c r="AA31" s="367"/>
      <c r="AB31" s="307"/>
      <c r="AC31" s="307"/>
      <c r="AD31" s="307"/>
      <c r="AE31" s="370"/>
      <c r="AF31" s="306"/>
      <c r="AG31" s="307"/>
      <c r="AH31" s="307"/>
      <c r="AI31" s="307"/>
      <c r="AJ31" s="178"/>
      <c r="AK31" s="274"/>
      <c r="AL31" s="307"/>
      <c r="AM31" s="307"/>
      <c r="AN31" s="307"/>
      <c r="AO31" s="370"/>
      <c r="AP31" s="306"/>
      <c r="AQ31" s="307"/>
      <c r="AR31" s="307"/>
      <c r="AS31" s="79"/>
      <c r="AT31" s="178"/>
      <c r="AU31" s="367"/>
      <c r="AV31" s="307"/>
      <c r="AW31" s="307"/>
      <c r="AX31" s="307"/>
      <c r="AY31" s="370"/>
      <c r="AZ31" s="306"/>
      <c r="BA31" s="307"/>
      <c r="BB31" s="307"/>
      <c r="BC31" s="307"/>
      <c r="BD31" s="369"/>
      <c r="BE31" s="274"/>
      <c r="BF31" s="79"/>
      <c r="BG31" s="307"/>
      <c r="BH31" s="307"/>
      <c r="BI31" s="370"/>
      <c r="BJ31" s="306"/>
      <c r="BK31" s="307"/>
      <c r="BL31" s="307"/>
      <c r="BM31" s="307"/>
      <c r="BN31" s="369"/>
      <c r="BO31" s="367"/>
      <c r="BP31" s="307"/>
      <c r="BQ31" s="79"/>
      <c r="BR31" s="79"/>
      <c r="BS31" s="370"/>
      <c r="BT31" s="261"/>
      <c r="BU31" s="79"/>
      <c r="BV31" s="307"/>
      <c r="BW31" s="307"/>
      <c r="BX31" s="369"/>
      <c r="BY31" s="367"/>
      <c r="BZ31" s="79"/>
      <c r="CA31" s="79"/>
      <c r="CB31" s="307"/>
      <c r="CC31" s="370"/>
      <c r="CD31" s="306"/>
      <c r="CE31" s="79"/>
      <c r="CF31" s="79"/>
      <c r="CG31" s="307"/>
      <c r="CH31" s="374" t="s">
        <v>40</v>
      </c>
      <c r="CI31" s="373" t="s">
        <v>40</v>
      </c>
      <c r="CJ31" s="202"/>
      <c r="CK31" s="202"/>
      <c r="CL31" s="202"/>
      <c r="CM31" s="203"/>
    </row>
    <row r="32" spans="1:118" ht="25.5" customHeight="1" x14ac:dyDescent="0.2">
      <c r="A32" s="324">
        <v>173</v>
      </c>
      <c r="B32" s="72">
        <v>0</v>
      </c>
      <c r="C32" s="72">
        <v>5</v>
      </c>
      <c r="D32" s="79" t="s">
        <v>376</v>
      </c>
      <c r="E32" s="77" t="s">
        <v>377</v>
      </c>
      <c r="F32" s="313"/>
      <c r="G32" s="79" t="s">
        <v>378</v>
      </c>
      <c r="H32" s="134" t="s">
        <v>861</v>
      </c>
      <c r="I32" s="142"/>
      <c r="J32" s="76"/>
      <c r="K32" s="141">
        <v>11</v>
      </c>
      <c r="L32" s="367"/>
      <c r="M32" s="307"/>
      <c r="N32" s="307"/>
      <c r="O32" s="307"/>
      <c r="P32" s="369"/>
      <c r="Q32" s="274"/>
      <c r="R32" s="76"/>
      <c r="S32" s="310"/>
      <c r="T32" s="307"/>
      <c r="U32" s="370"/>
      <c r="V32" s="306"/>
      <c r="W32" s="310"/>
      <c r="X32" s="310"/>
      <c r="Y32" s="310"/>
      <c r="Z32" s="411"/>
      <c r="AA32" s="367"/>
      <c r="AB32" s="307"/>
      <c r="AC32" s="310"/>
      <c r="AD32" s="310"/>
      <c r="AE32" s="412"/>
      <c r="AF32" s="413"/>
      <c r="AG32" s="310"/>
      <c r="AH32" s="310"/>
      <c r="AI32" s="310"/>
      <c r="AJ32" s="141"/>
      <c r="AK32" s="274"/>
      <c r="AL32" s="310"/>
      <c r="AM32" s="310"/>
      <c r="AN32" s="310"/>
      <c r="AO32" s="370"/>
      <c r="AP32" s="413"/>
      <c r="AQ32" s="307"/>
      <c r="AR32" s="307"/>
      <c r="AS32" s="79"/>
      <c r="AT32" s="178"/>
      <c r="AU32" s="367"/>
      <c r="AV32" s="307"/>
      <c r="AW32" s="307"/>
      <c r="AX32" s="307"/>
      <c r="AY32" s="370"/>
      <c r="AZ32" s="306"/>
      <c r="BA32" s="307"/>
      <c r="BB32" s="307"/>
      <c r="BC32" s="307"/>
      <c r="BD32" s="369"/>
      <c r="BE32" s="274"/>
      <c r="BF32" s="79"/>
      <c r="BG32" s="307"/>
      <c r="BH32" s="307"/>
      <c r="BI32" s="370"/>
      <c r="BJ32" s="306"/>
      <c r="BK32" s="307"/>
      <c r="BL32" s="307"/>
      <c r="BM32" s="307"/>
      <c r="BN32" s="369"/>
      <c r="BO32" s="367"/>
      <c r="BP32" s="307"/>
      <c r="BQ32" s="79"/>
      <c r="BR32" s="76"/>
      <c r="BS32" s="412"/>
      <c r="BT32" s="142"/>
      <c r="BU32" s="79"/>
      <c r="BV32" s="307"/>
      <c r="BW32" s="307"/>
      <c r="BX32" s="369"/>
      <c r="BY32" s="367"/>
      <c r="BZ32" s="79"/>
      <c r="CA32" s="76"/>
      <c r="CB32" s="307"/>
      <c r="CC32" s="370"/>
      <c r="CD32" s="306"/>
      <c r="CE32" s="79"/>
      <c r="CF32" s="79"/>
      <c r="CG32" s="307"/>
      <c r="CH32" s="374" t="s">
        <v>40</v>
      </c>
      <c r="CI32" s="373" t="s">
        <v>40</v>
      </c>
      <c r="CJ32" s="202"/>
      <c r="CK32" s="202"/>
      <c r="CL32" s="202"/>
      <c r="CM32" s="203"/>
    </row>
    <row r="33" spans="1:91" ht="25.5" customHeight="1" x14ac:dyDescent="0.2">
      <c r="A33" s="324">
        <v>174</v>
      </c>
      <c r="B33" s="72">
        <v>0</v>
      </c>
      <c r="C33" s="72">
        <v>5</v>
      </c>
      <c r="D33" s="79" t="s">
        <v>376</v>
      </c>
      <c r="E33" s="77" t="s">
        <v>381</v>
      </c>
      <c r="F33" s="313"/>
      <c r="G33" s="79" t="s">
        <v>378</v>
      </c>
      <c r="H33" s="134" t="s">
        <v>862</v>
      </c>
      <c r="I33" s="142"/>
      <c r="J33" s="76"/>
      <c r="K33" s="141">
        <v>11</v>
      </c>
      <c r="L33" s="367"/>
      <c r="M33" s="307"/>
      <c r="N33" s="307"/>
      <c r="O33" s="307"/>
      <c r="P33" s="369"/>
      <c r="Q33" s="274"/>
      <c r="R33" s="76"/>
      <c r="S33" s="310"/>
      <c r="T33" s="307"/>
      <c r="U33" s="370"/>
      <c r="V33" s="306"/>
      <c r="W33" s="310"/>
      <c r="X33" s="310"/>
      <c r="Y33" s="310"/>
      <c r="Z33" s="411"/>
      <c r="AA33" s="367"/>
      <c r="AB33" s="307"/>
      <c r="AC33" s="310"/>
      <c r="AD33" s="310"/>
      <c r="AE33" s="412"/>
      <c r="AF33" s="413"/>
      <c r="AG33" s="310"/>
      <c r="AH33" s="310"/>
      <c r="AI33" s="310"/>
      <c r="AJ33" s="141"/>
      <c r="AK33" s="274"/>
      <c r="AL33" s="310"/>
      <c r="AM33" s="310"/>
      <c r="AN33" s="310"/>
      <c r="AO33" s="370"/>
      <c r="AP33" s="413"/>
      <c r="AQ33" s="307"/>
      <c r="AR33" s="307"/>
      <c r="AS33" s="79"/>
      <c r="AT33" s="178"/>
      <c r="AU33" s="367"/>
      <c r="AV33" s="307"/>
      <c r="AW33" s="307"/>
      <c r="AX33" s="307"/>
      <c r="AY33" s="370"/>
      <c r="AZ33" s="306"/>
      <c r="BA33" s="307"/>
      <c r="BB33" s="307"/>
      <c r="BC33" s="307"/>
      <c r="BD33" s="369"/>
      <c r="BE33" s="274"/>
      <c r="BF33" s="79"/>
      <c r="BG33" s="307"/>
      <c r="BH33" s="307"/>
      <c r="BI33" s="370"/>
      <c r="BJ33" s="306"/>
      <c r="BK33" s="307"/>
      <c r="BL33" s="307"/>
      <c r="BM33" s="307"/>
      <c r="BN33" s="369"/>
      <c r="BO33" s="367"/>
      <c r="BP33" s="307"/>
      <c r="BQ33" s="79"/>
      <c r="BR33" s="76"/>
      <c r="BS33" s="412"/>
      <c r="BT33" s="142"/>
      <c r="BU33" s="79"/>
      <c r="BV33" s="307"/>
      <c r="BW33" s="307"/>
      <c r="BX33" s="369"/>
      <c r="BY33" s="367"/>
      <c r="BZ33" s="79"/>
      <c r="CA33" s="76"/>
      <c r="CB33" s="307"/>
      <c r="CC33" s="370"/>
      <c r="CD33" s="306"/>
      <c r="CE33" s="79"/>
      <c r="CF33" s="79"/>
      <c r="CG33" s="307"/>
      <c r="CH33" s="374" t="s">
        <v>40</v>
      </c>
      <c r="CI33" s="373" t="s">
        <v>40</v>
      </c>
      <c r="CJ33" s="202"/>
      <c r="CK33" s="202"/>
      <c r="CL33" s="202"/>
      <c r="CM33" s="203"/>
    </row>
    <row r="34" spans="1:91" ht="25.5" customHeight="1" thickBot="1" x14ac:dyDescent="0.25">
      <c r="A34" s="325">
        <v>175</v>
      </c>
      <c r="B34" s="73">
        <v>0</v>
      </c>
      <c r="C34" s="73">
        <v>5</v>
      </c>
      <c r="D34" s="74" t="s">
        <v>376</v>
      </c>
      <c r="E34" s="126" t="s">
        <v>379</v>
      </c>
      <c r="F34" s="497"/>
      <c r="G34" s="74" t="s">
        <v>378</v>
      </c>
      <c r="H34" s="135" t="s">
        <v>863</v>
      </c>
      <c r="I34" s="269"/>
      <c r="J34" s="89"/>
      <c r="K34" s="270">
        <v>11</v>
      </c>
      <c r="L34" s="383"/>
      <c r="M34" s="379"/>
      <c r="N34" s="379"/>
      <c r="O34" s="379"/>
      <c r="P34" s="382"/>
      <c r="Q34" s="275"/>
      <c r="R34" s="89"/>
      <c r="S34" s="414"/>
      <c r="T34" s="379"/>
      <c r="U34" s="380"/>
      <c r="V34" s="381"/>
      <c r="W34" s="414"/>
      <c r="X34" s="414"/>
      <c r="Y34" s="414"/>
      <c r="Z34" s="415"/>
      <c r="AA34" s="383"/>
      <c r="AB34" s="379"/>
      <c r="AC34" s="414"/>
      <c r="AD34" s="414"/>
      <c r="AE34" s="416"/>
      <c r="AF34" s="417"/>
      <c r="AG34" s="414"/>
      <c r="AH34" s="414"/>
      <c r="AI34" s="414"/>
      <c r="AJ34" s="270"/>
      <c r="AK34" s="275"/>
      <c r="AL34" s="414"/>
      <c r="AM34" s="414"/>
      <c r="AN34" s="414"/>
      <c r="AO34" s="380"/>
      <c r="AP34" s="417"/>
      <c r="AQ34" s="379"/>
      <c r="AR34" s="379"/>
      <c r="AS34" s="74"/>
      <c r="AT34" s="276"/>
      <c r="AU34" s="383"/>
      <c r="AV34" s="379"/>
      <c r="AW34" s="379"/>
      <c r="AX34" s="379"/>
      <c r="AY34" s="380"/>
      <c r="AZ34" s="381"/>
      <c r="BA34" s="379"/>
      <c r="BB34" s="379"/>
      <c r="BC34" s="379"/>
      <c r="BD34" s="382"/>
      <c r="BE34" s="275"/>
      <c r="BF34" s="74"/>
      <c r="BG34" s="379"/>
      <c r="BH34" s="379"/>
      <c r="BI34" s="380"/>
      <c r="BJ34" s="381"/>
      <c r="BK34" s="379"/>
      <c r="BL34" s="379"/>
      <c r="BM34" s="379"/>
      <c r="BN34" s="382"/>
      <c r="BO34" s="383"/>
      <c r="BP34" s="379"/>
      <c r="BQ34" s="74"/>
      <c r="BR34" s="89"/>
      <c r="BS34" s="416"/>
      <c r="BT34" s="269"/>
      <c r="BU34" s="74"/>
      <c r="BV34" s="379"/>
      <c r="BW34" s="379"/>
      <c r="BX34" s="382"/>
      <c r="BY34" s="383"/>
      <c r="BZ34" s="74"/>
      <c r="CA34" s="89"/>
      <c r="CB34" s="379"/>
      <c r="CC34" s="380"/>
      <c r="CD34" s="381"/>
      <c r="CE34" s="74"/>
      <c r="CF34" s="74"/>
      <c r="CG34" s="379"/>
      <c r="CH34" s="386" t="s">
        <v>40</v>
      </c>
      <c r="CI34" s="384" t="s">
        <v>40</v>
      </c>
      <c r="CJ34" s="206"/>
      <c r="CK34" s="206"/>
      <c r="CL34" s="206"/>
      <c r="CM34" s="207"/>
    </row>
    <row r="35" spans="1:91" ht="25.5" customHeight="1" x14ac:dyDescent="0.2">
      <c r="A35" s="318">
        <v>176</v>
      </c>
      <c r="B35" s="75">
        <v>0</v>
      </c>
      <c r="C35" s="75">
        <v>5</v>
      </c>
      <c r="D35" s="92" t="s">
        <v>376</v>
      </c>
      <c r="E35" s="93" t="s">
        <v>380</v>
      </c>
      <c r="F35" s="495"/>
      <c r="G35" s="92" t="s">
        <v>378</v>
      </c>
      <c r="H35" s="113" t="s">
        <v>864</v>
      </c>
      <c r="I35" s="259"/>
      <c r="J35" s="130"/>
      <c r="K35" s="260">
        <v>11</v>
      </c>
      <c r="L35" s="308"/>
      <c r="M35" s="304"/>
      <c r="N35" s="304"/>
      <c r="O35" s="304"/>
      <c r="P35" s="359"/>
      <c r="Q35" s="272"/>
      <c r="R35" s="130"/>
      <c r="S35" s="418"/>
      <c r="T35" s="304"/>
      <c r="U35" s="361"/>
      <c r="V35" s="362"/>
      <c r="W35" s="418"/>
      <c r="X35" s="418"/>
      <c r="Y35" s="418"/>
      <c r="Z35" s="419"/>
      <c r="AA35" s="308"/>
      <c r="AB35" s="304"/>
      <c r="AC35" s="418"/>
      <c r="AD35" s="418"/>
      <c r="AE35" s="420"/>
      <c r="AF35" s="421"/>
      <c r="AG35" s="418"/>
      <c r="AH35" s="418"/>
      <c r="AI35" s="418"/>
      <c r="AJ35" s="260"/>
      <c r="AK35" s="272"/>
      <c r="AL35" s="418"/>
      <c r="AM35" s="418"/>
      <c r="AN35" s="418"/>
      <c r="AO35" s="361"/>
      <c r="AP35" s="421"/>
      <c r="AQ35" s="304"/>
      <c r="AR35" s="304"/>
      <c r="AS35" s="92"/>
      <c r="AT35" s="273"/>
      <c r="AU35" s="308"/>
      <c r="AV35" s="304"/>
      <c r="AW35" s="304"/>
      <c r="AX35" s="304"/>
      <c r="AY35" s="361"/>
      <c r="AZ35" s="362"/>
      <c r="BA35" s="304"/>
      <c r="BB35" s="304"/>
      <c r="BC35" s="304"/>
      <c r="BD35" s="359"/>
      <c r="BE35" s="272"/>
      <c r="BF35" s="92"/>
      <c r="BG35" s="304"/>
      <c r="BH35" s="304"/>
      <c r="BI35" s="361"/>
      <c r="BJ35" s="362"/>
      <c r="BK35" s="304"/>
      <c r="BL35" s="304"/>
      <c r="BM35" s="304"/>
      <c r="BN35" s="359"/>
      <c r="BO35" s="308"/>
      <c r="BP35" s="304"/>
      <c r="BQ35" s="92"/>
      <c r="BR35" s="130"/>
      <c r="BS35" s="420"/>
      <c r="BT35" s="259"/>
      <c r="BU35" s="92"/>
      <c r="BV35" s="304"/>
      <c r="BW35" s="304"/>
      <c r="BX35" s="359"/>
      <c r="BY35" s="308"/>
      <c r="BZ35" s="92"/>
      <c r="CA35" s="130"/>
      <c r="CB35" s="304"/>
      <c r="CC35" s="361"/>
      <c r="CD35" s="362"/>
      <c r="CE35" s="92"/>
      <c r="CF35" s="92"/>
      <c r="CG35" s="304"/>
      <c r="CH35" s="363" t="s">
        <v>40</v>
      </c>
      <c r="CI35" s="364" t="s">
        <v>40</v>
      </c>
      <c r="CJ35" s="210"/>
      <c r="CK35" s="210"/>
      <c r="CL35" s="210"/>
      <c r="CM35" s="211"/>
    </row>
    <row r="36" spans="1:91" ht="25.5" customHeight="1" x14ac:dyDescent="0.2">
      <c r="A36" s="324">
        <v>177</v>
      </c>
      <c r="B36" s="72">
        <v>0</v>
      </c>
      <c r="C36" s="72">
        <v>5</v>
      </c>
      <c r="D36" s="79" t="s">
        <v>382</v>
      </c>
      <c r="E36" s="77" t="s">
        <v>383</v>
      </c>
      <c r="F36" s="313"/>
      <c r="G36" s="79" t="s">
        <v>384</v>
      </c>
      <c r="H36" s="134" t="s">
        <v>865</v>
      </c>
      <c r="I36" s="142"/>
      <c r="J36" s="76"/>
      <c r="K36" s="141">
        <v>11</v>
      </c>
      <c r="L36" s="367"/>
      <c r="M36" s="307"/>
      <c r="N36" s="307"/>
      <c r="O36" s="307"/>
      <c r="P36" s="369"/>
      <c r="Q36" s="274"/>
      <c r="R36" s="76"/>
      <c r="S36" s="310"/>
      <c r="T36" s="307"/>
      <c r="U36" s="370"/>
      <c r="V36" s="306"/>
      <c r="W36" s="310"/>
      <c r="X36" s="310"/>
      <c r="Y36" s="310"/>
      <c r="Z36" s="411"/>
      <c r="AA36" s="367"/>
      <c r="AB36" s="307"/>
      <c r="AC36" s="310"/>
      <c r="AD36" s="310"/>
      <c r="AE36" s="412"/>
      <c r="AF36" s="413"/>
      <c r="AG36" s="310"/>
      <c r="AH36" s="310"/>
      <c r="AI36" s="310"/>
      <c r="AJ36" s="141"/>
      <c r="AK36" s="274"/>
      <c r="AL36" s="310"/>
      <c r="AM36" s="310"/>
      <c r="AN36" s="310"/>
      <c r="AO36" s="370"/>
      <c r="AP36" s="413"/>
      <c r="AQ36" s="307"/>
      <c r="AR36" s="307"/>
      <c r="AS36" s="79"/>
      <c r="AT36" s="178"/>
      <c r="AU36" s="367"/>
      <c r="AV36" s="307"/>
      <c r="AW36" s="307"/>
      <c r="AX36" s="307"/>
      <c r="AY36" s="370"/>
      <c r="AZ36" s="306"/>
      <c r="BA36" s="307"/>
      <c r="BB36" s="307"/>
      <c r="BC36" s="307"/>
      <c r="BD36" s="369"/>
      <c r="BE36" s="274"/>
      <c r="BF36" s="79"/>
      <c r="BG36" s="307"/>
      <c r="BH36" s="307"/>
      <c r="BI36" s="370"/>
      <c r="BJ36" s="306"/>
      <c r="BK36" s="307"/>
      <c r="BL36" s="307"/>
      <c r="BM36" s="307"/>
      <c r="BN36" s="369"/>
      <c r="BO36" s="367"/>
      <c r="BP36" s="307"/>
      <c r="BQ36" s="79"/>
      <c r="BR36" s="76"/>
      <c r="BS36" s="412"/>
      <c r="BT36" s="142"/>
      <c r="BU36" s="79"/>
      <c r="BV36" s="307"/>
      <c r="BW36" s="307"/>
      <c r="BX36" s="499"/>
      <c r="BY36" s="367"/>
      <c r="BZ36" s="79"/>
      <c r="CA36" s="76"/>
      <c r="CB36" s="307"/>
      <c r="CC36" s="370"/>
      <c r="CD36" s="306"/>
      <c r="CE36" s="79"/>
      <c r="CF36" s="79"/>
      <c r="CG36" s="307"/>
      <c r="CH36" s="374" t="s">
        <v>40</v>
      </c>
      <c r="CI36" s="373" t="s">
        <v>40</v>
      </c>
      <c r="CJ36" s="202"/>
      <c r="CK36" s="202"/>
      <c r="CL36" s="202"/>
      <c r="CM36" s="203"/>
    </row>
    <row r="37" spans="1:91" ht="25.5" customHeight="1" x14ac:dyDescent="0.2">
      <c r="A37" s="324">
        <v>178</v>
      </c>
      <c r="B37" s="72">
        <v>0</v>
      </c>
      <c r="C37" s="72">
        <v>5</v>
      </c>
      <c r="D37" s="79" t="s">
        <v>382</v>
      </c>
      <c r="E37" s="77" t="s">
        <v>387</v>
      </c>
      <c r="F37" s="313"/>
      <c r="G37" s="79" t="s">
        <v>384</v>
      </c>
      <c r="H37" s="134" t="s">
        <v>866</v>
      </c>
      <c r="I37" s="142"/>
      <c r="J37" s="76"/>
      <c r="K37" s="141">
        <v>11</v>
      </c>
      <c r="L37" s="367"/>
      <c r="M37" s="307"/>
      <c r="N37" s="307"/>
      <c r="O37" s="307"/>
      <c r="P37" s="369"/>
      <c r="Q37" s="274"/>
      <c r="R37" s="76"/>
      <c r="S37" s="310"/>
      <c r="T37" s="307"/>
      <c r="U37" s="370"/>
      <c r="V37" s="306"/>
      <c r="W37" s="310"/>
      <c r="X37" s="310"/>
      <c r="Y37" s="310"/>
      <c r="Z37" s="411"/>
      <c r="AA37" s="367"/>
      <c r="AB37" s="307"/>
      <c r="AC37" s="310"/>
      <c r="AD37" s="310"/>
      <c r="AE37" s="412"/>
      <c r="AF37" s="413"/>
      <c r="AG37" s="310"/>
      <c r="AH37" s="310"/>
      <c r="AI37" s="310"/>
      <c r="AJ37" s="141"/>
      <c r="AK37" s="274"/>
      <c r="AL37" s="310"/>
      <c r="AM37" s="310"/>
      <c r="AN37" s="310"/>
      <c r="AO37" s="370"/>
      <c r="AP37" s="413"/>
      <c r="AQ37" s="307"/>
      <c r="AR37" s="307"/>
      <c r="AS37" s="79"/>
      <c r="AT37" s="178"/>
      <c r="AU37" s="367"/>
      <c r="AV37" s="307"/>
      <c r="AW37" s="307"/>
      <c r="AX37" s="307"/>
      <c r="AY37" s="370"/>
      <c r="AZ37" s="306"/>
      <c r="BA37" s="307"/>
      <c r="BB37" s="307"/>
      <c r="BC37" s="307"/>
      <c r="BD37" s="369"/>
      <c r="BE37" s="274"/>
      <c r="BF37" s="79"/>
      <c r="BG37" s="307"/>
      <c r="BH37" s="307"/>
      <c r="BI37" s="370"/>
      <c r="BJ37" s="306"/>
      <c r="BK37" s="307"/>
      <c r="BL37" s="307"/>
      <c r="BM37" s="307"/>
      <c r="BN37" s="369"/>
      <c r="BO37" s="367"/>
      <c r="BP37" s="307"/>
      <c r="BQ37" s="79"/>
      <c r="BR37" s="76"/>
      <c r="BS37" s="412"/>
      <c r="BT37" s="142"/>
      <c r="BU37" s="79"/>
      <c r="BV37" s="307"/>
      <c r="BW37" s="307"/>
      <c r="BX37" s="369"/>
      <c r="BY37" s="367"/>
      <c r="BZ37" s="79"/>
      <c r="CA37" s="76"/>
      <c r="CB37" s="307"/>
      <c r="CC37" s="370"/>
      <c r="CD37" s="306"/>
      <c r="CE37" s="79"/>
      <c r="CF37" s="79"/>
      <c r="CG37" s="307"/>
      <c r="CH37" s="374" t="s">
        <v>40</v>
      </c>
      <c r="CI37" s="373" t="s">
        <v>40</v>
      </c>
      <c r="CJ37" s="202"/>
      <c r="CK37" s="202"/>
      <c r="CL37" s="202"/>
      <c r="CM37" s="203"/>
    </row>
    <row r="38" spans="1:91" ht="25.5" customHeight="1" x14ac:dyDescent="0.2">
      <c r="A38" s="324">
        <v>179</v>
      </c>
      <c r="B38" s="72">
        <v>0</v>
      </c>
      <c r="C38" s="72">
        <v>5</v>
      </c>
      <c r="D38" s="79" t="s">
        <v>382</v>
      </c>
      <c r="E38" s="77" t="s">
        <v>385</v>
      </c>
      <c r="F38" s="313"/>
      <c r="G38" s="79" t="s">
        <v>384</v>
      </c>
      <c r="H38" s="134" t="s">
        <v>867</v>
      </c>
      <c r="I38" s="142"/>
      <c r="J38" s="76"/>
      <c r="K38" s="141">
        <v>11</v>
      </c>
      <c r="L38" s="367"/>
      <c r="M38" s="307"/>
      <c r="N38" s="307"/>
      <c r="O38" s="307"/>
      <c r="P38" s="369"/>
      <c r="Q38" s="274"/>
      <c r="R38" s="76"/>
      <c r="S38" s="310"/>
      <c r="T38" s="307"/>
      <c r="U38" s="370"/>
      <c r="V38" s="306"/>
      <c r="W38" s="310"/>
      <c r="X38" s="310"/>
      <c r="Y38" s="310"/>
      <c r="Z38" s="411"/>
      <c r="AA38" s="367"/>
      <c r="AB38" s="307"/>
      <c r="AC38" s="310"/>
      <c r="AD38" s="310"/>
      <c r="AE38" s="412"/>
      <c r="AF38" s="413"/>
      <c r="AG38" s="310"/>
      <c r="AH38" s="310"/>
      <c r="AI38" s="310"/>
      <c r="AJ38" s="141"/>
      <c r="AK38" s="274"/>
      <c r="AL38" s="310"/>
      <c r="AM38" s="310"/>
      <c r="AN38" s="310"/>
      <c r="AO38" s="370"/>
      <c r="AP38" s="413"/>
      <c r="AQ38" s="307"/>
      <c r="AR38" s="307"/>
      <c r="AS38" s="79"/>
      <c r="AT38" s="178"/>
      <c r="AU38" s="367"/>
      <c r="AV38" s="307"/>
      <c r="AW38" s="307"/>
      <c r="AX38" s="307"/>
      <c r="AY38" s="370"/>
      <c r="AZ38" s="306"/>
      <c r="BA38" s="307"/>
      <c r="BB38" s="307"/>
      <c r="BC38" s="307"/>
      <c r="BD38" s="369"/>
      <c r="BE38" s="274"/>
      <c r="BF38" s="79"/>
      <c r="BG38" s="307"/>
      <c r="BH38" s="307"/>
      <c r="BI38" s="370"/>
      <c r="BJ38" s="306"/>
      <c r="BK38" s="307"/>
      <c r="BL38" s="307"/>
      <c r="BM38" s="307"/>
      <c r="BN38" s="369"/>
      <c r="BO38" s="367"/>
      <c r="BP38" s="307"/>
      <c r="BQ38" s="79"/>
      <c r="BR38" s="76"/>
      <c r="BS38" s="412"/>
      <c r="BT38" s="142"/>
      <c r="BU38" s="79"/>
      <c r="BV38" s="307"/>
      <c r="BW38" s="307"/>
      <c r="BX38" s="369"/>
      <c r="BY38" s="367"/>
      <c r="BZ38" s="79"/>
      <c r="CA38" s="76"/>
      <c r="CB38" s="307"/>
      <c r="CC38" s="370"/>
      <c r="CD38" s="306"/>
      <c r="CE38" s="79"/>
      <c r="CF38" s="79"/>
      <c r="CG38" s="307"/>
      <c r="CH38" s="374" t="s">
        <v>40</v>
      </c>
      <c r="CI38" s="373" t="s">
        <v>40</v>
      </c>
      <c r="CJ38" s="202"/>
      <c r="CK38" s="202"/>
      <c r="CL38" s="202"/>
      <c r="CM38" s="203"/>
    </row>
    <row r="39" spans="1:91" ht="25.5" customHeight="1" thickBot="1" x14ac:dyDescent="0.25">
      <c r="A39" s="331">
        <v>180</v>
      </c>
      <c r="B39" s="82">
        <v>0</v>
      </c>
      <c r="C39" s="82">
        <v>5</v>
      </c>
      <c r="D39" s="190" t="s">
        <v>382</v>
      </c>
      <c r="E39" s="117" t="s">
        <v>386</v>
      </c>
      <c r="F39" s="498"/>
      <c r="G39" s="190" t="s">
        <v>384</v>
      </c>
      <c r="H39" s="195" t="s">
        <v>868</v>
      </c>
      <c r="I39" s="257"/>
      <c r="J39" s="99"/>
      <c r="K39" s="264">
        <v>11</v>
      </c>
      <c r="L39" s="395"/>
      <c r="M39" s="390"/>
      <c r="N39" s="390"/>
      <c r="O39" s="390"/>
      <c r="P39" s="391"/>
      <c r="Q39" s="278"/>
      <c r="R39" s="99"/>
      <c r="S39" s="422"/>
      <c r="T39" s="390"/>
      <c r="U39" s="393"/>
      <c r="V39" s="394"/>
      <c r="W39" s="422"/>
      <c r="X39" s="422"/>
      <c r="Y39" s="422"/>
      <c r="Z39" s="423"/>
      <c r="AA39" s="395"/>
      <c r="AB39" s="390"/>
      <c r="AC39" s="422"/>
      <c r="AD39" s="422"/>
      <c r="AE39" s="424"/>
      <c r="AF39" s="425"/>
      <c r="AG39" s="422"/>
      <c r="AH39" s="422"/>
      <c r="AI39" s="422"/>
      <c r="AJ39" s="264"/>
      <c r="AK39" s="278"/>
      <c r="AL39" s="422"/>
      <c r="AM39" s="422"/>
      <c r="AN39" s="422"/>
      <c r="AO39" s="393"/>
      <c r="AP39" s="425"/>
      <c r="AQ39" s="390"/>
      <c r="AR39" s="390"/>
      <c r="AS39" s="190"/>
      <c r="AT39" s="279"/>
      <c r="AU39" s="395"/>
      <c r="AV39" s="390"/>
      <c r="AW39" s="390"/>
      <c r="AX39" s="390"/>
      <c r="AY39" s="393"/>
      <c r="AZ39" s="394"/>
      <c r="BA39" s="390"/>
      <c r="BB39" s="390"/>
      <c r="BC39" s="390"/>
      <c r="BD39" s="391"/>
      <c r="BE39" s="278"/>
      <c r="BF39" s="190"/>
      <c r="BG39" s="390"/>
      <c r="BH39" s="390"/>
      <c r="BI39" s="393"/>
      <c r="BJ39" s="394"/>
      <c r="BK39" s="390"/>
      <c r="BL39" s="390"/>
      <c r="BM39" s="390"/>
      <c r="BN39" s="391"/>
      <c r="BO39" s="395"/>
      <c r="BP39" s="390"/>
      <c r="BQ39" s="190"/>
      <c r="BR39" s="99"/>
      <c r="BS39" s="424"/>
      <c r="BT39" s="257"/>
      <c r="BU39" s="190"/>
      <c r="BV39" s="390"/>
      <c r="BW39" s="390"/>
      <c r="BX39" s="391"/>
      <c r="BY39" s="395"/>
      <c r="BZ39" s="190"/>
      <c r="CA39" s="99"/>
      <c r="CB39" s="390"/>
      <c r="CC39" s="393"/>
      <c r="CD39" s="394"/>
      <c r="CE39" s="190"/>
      <c r="CF39" s="190"/>
      <c r="CG39" s="390"/>
      <c r="CH39" s="396" t="s">
        <v>40</v>
      </c>
      <c r="CI39" s="397" t="s">
        <v>40</v>
      </c>
      <c r="CJ39" s="213"/>
      <c r="CK39" s="213"/>
      <c r="CL39" s="213"/>
      <c r="CM39" s="214"/>
    </row>
    <row r="40" spans="1:91" ht="25.5" customHeight="1" x14ac:dyDescent="0.2">
      <c r="A40" s="332">
        <v>181</v>
      </c>
      <c r="B40" s="85"/>
      <c r="C40" s="85"/>
      <c r="D40" s="87"/>
      <c r="E40" s="133"/>
      <c r="F40" s="85"/>
      <c r="G40" s="87"/>
      <c r="H40" s="194"/>
      <c r="I40" s="139"/>
      <c r="J40" s="103"/>
      <c r="K40" s="137"/>
      <c r="L40" s="281"/>
      <c r="M40" s="87"/>
      <c r="N40" s="87"/>
      <c r="O40" s="87"/>
      <c r="P40" s="282"/>
      <c r="Q40" s="281"/>
      <c r="R40" s="103"/>
      <c r="S40" s="103"/>
      <c r="T40" s="87"/>
      <c r="U40" s="194"/>
      <c r="V40" s="283"/>
      <c r="W40" s="103"/>
      <c r="X40" s="103"/>
      <c r="Y40" s="103"/>
      <c r="Z40" s="137"/>
      <c r="AA40" s="281"/>
      <c r="AB40" s="87"/>
      <c r="AC40" s="103"/>
      <c r="AD40" s="103"/>
      <c r="AE40" s="138"/>
      <c r="AF40" s="139"/>
      <c r="AG40" s="103"/>
      <c r="AH40" s="103"/>
      <c r="AI40" s="103"/>
      <c r="AJ40" s="137"/>
      <c r="AK40" s="281"/>
      <c r="AL40" s="103"/>
      <c r="AM40" s="103"/>
      <c r="AN40" s="103"/>
      <c r="AO40" s="194"/>
      <c r="AP40" s="139"/>
      <c r="AQ40" s="87"/>
      <c r="AR40" s="87"/>
      <c r="AS40" s="87"/>
      <c r="AT40" s="282"/>
      <c r="AU40" s="281"/>
      <c r="AV40" s="87"/>
      <c r="AW40" s="87"/>
      <c r="AX40" s="87"/>
      <c r="AY40" s="194"/>
      <c r="AZ40" s="283"/>
      <c r="BA40" s="87"/>
      <c r="BB40" s="87"/>
      <c r="BC40" s="87"/>
      <c r="BD40" s="282"/>
      <c r="BE40" s="281"/>
      <c r="BF40" s="87"/>
      <c r="BG40" s="87"/>
      <c r="BH40" s="87"/>
      <c r="BI40" s="194"/>
      <c r="BJ40" s="283"/>
      <c r="BK40" s="87"/>
      <c r="BL40" s="87"/>
      <c r="BM40" s="87"/>
      <c r="BN40" s="282"/>
      <c r="BO40" s="281"/>
      <c r="BP40" s="87"/>
      <c r="BQ40" s="87"/>
      <c r="BR40" s="103"/>
      <c r="BS40" s="138"/>
      <c r="BT40" s="139"/>
      <c r="BU40" s="87"/>
      <c r="BV40" s="87"/>
      <c r="BW40" s="87"/>
      <c r="BX40" s="282"/>
      <c r="BY40" s="281"/>
      <c r="BZ40" s="87"/>
      <c r="CA40" s="103"/>
      <c r="CB40" s="87"/>
      <c r="CC40" s="194"/>
      <c r="CD40" s="283"/>
      <c r="CE40" s="87"/>
      <c r="CF40" s="87"/>
      <c r="CG40" s="87"/>
      <c r="CH40" s="194"/>
      <c r="CI40" s="283"/>
      <c r="CJ40" s="217"/>
      <c r="CK40" s="217"/>
      <c r="CL40" s="217"/>
      <c r="CM40" s="218"/>
    </row>
    <row r="41" spans="1:91" ht="25.5" customHeight="1" x14ac:dyDescent="0.2">
      <c r="A41" s="324">
        <v>182</v>
      </c>
      <c r="B41" s="72"/>
      <c r="C41" s="79"/>
      <c r="D41" s="79"/>
      <c r="E41" s="98" t="s">
        <v>640</v>
      </c>
      <c r="F41" s="79"/>
      <c r="G41" s="79"/>
      <c r="H41" s="134"/>
      <c r="I41" s="142"/>
      <c r="J41" s="76"/>
      <c r="K41" s="141"/>
      <c r="L41" s="274"/>
      <c r="M41" s="79"/>
      <c r="N41" s="79"/>
      <c r="O41" s="79"/>
      <c r="P41" s="178"/>
      <c r="Q41" s="274"/>
      <c r="R41" s="76"/>
      <c r="S41" s="79"/>
      <c r="T41" s="76"/>
      <c r="U41" s="81"/>
      <c r="V41" s="142"/>
      <c r="W41" s="79"/>
      <c r="X41" s="79"/>
      <c r="Y41" s="79"/>
      <c r="Z41" s="178"/>
      <c r="AA41" s="140"/>
      <c r="AB41" s="76"/>
      <c r="AC41" s="79"/>
      <c r="AD41" s="79"/>
      <c r="AE41" s="81"/>
      <c r="AF41" s="142"/>
      <c r="AG41" s="76"/>
      <c r="AH41" s="76"/>
      <c r="AI41" s="76"/>
      <c r="AJ41" s="141"/>
      <c r="AK41" s="140"/>
      <c r="AL41" s="76"/>
      <c r="AM41" s="76"/>
      <c r="AN41" s="76"/>
      <c r="AO41" s="81"/>
      <c r="AP41" s="142"/>
      <c r="AQ41" s="76"/>
      <c r="AR41" s="76"/>
      <c r="AS41" s="76"/>
      <c r="AT41" s="141"/>
      <c r="AU41" s="140"/>
      <c r="AV41" s="76"/>
      <c r="AW41" s="76"/>
      <c r="AX41" s="76"/>
      <c r="AY41" s="81"/>
      <c r="AZ41" s="142"/>
      <c r="BA41" s="76"/>
      <c r="BB41" s="76"/>
      <c r="BC41" s="76"/>
      <c r="BD41" s="141"/>
      <c r="BE41" s="140"/>
      <c r="BF41" s="76"/>
      <c r="BG41" s="76"/>
      <c r="BH41" s="76"/>
      <c r="BI41" s="81"/>
      <c r="BJ41" s="142"/>
      <c r="BK41" s="76"/>
      <c r="BL41" s="76"/>
      <c r="BM41" s="76"/>
      <c r="BN41" s="141"/>
      <c r="BO41" s="140"/>
      <c r="BP41" s="76"/>
      <c r="BQ41" s="76"/>
      <c r="BR41" s="76"/>
      <c r="BS41" s="81"/>
      <c r="BT41" s="142"/>
      <c r="BU41" s="76"/>
      <c r="BV41" s="76"/>
      <c r="BW41" s="76"/>
      <c r="BX41" s="141"/>
      <c r="BY41" s="140"/>
      <c r="BZ41" s="76"/>
      <c r="CA41" s="76"/>
      <c r="CB41" s="76"/>
      <c r="CC41" s="81"/>
      <c r="CD41" s="142"/>
      <c r="CE41" s="76"/>
      <c r="CF41" s="79"/>
      <c r="CG41" s="76"/>
      <c r="CH41" s="81"/>
      <c r="CI41" s="142"/>
      <c r="CJ41" s="202"/>
      <c r="CK41" s="202"/>
      <c r="CL41" s="202"/>
      <c r="CM41" s="203"/>
    </row>
    <row r="42" spans="1:91" ht="25.5" customHeight="1" x14ac:dyDescent="0.2">
      <c r="A42" s="324">
        <v>183</v>
      </c>
      <c r="B42" s="72">
        <v>0</v>
      </c>
      <c r="C42" s="79" t="s">
        <v>135</v>
      </c>
      <c r="D42" s="79" t="s">
        <v>388</v>
      </c>
      <c r="E42" s="77" t="s">
        <v>389</v>
      </c>
      <c r="F42" s="79"/>
      <c r="G42" s="79" t="s">
        <v>390</v>
      </c>
      <c r="H42" s="134" t="s">
        <v>593</v>
      </c>
      <c r="I42" s="142"/>
      <c r="J42" s="76"/>
      <c r="K42" s="141"/>
      <c r="L42" s="367"/>
      <c r="M42" s="307"/>
      <c r="N42" s="307"/>
      <c r="O42" s="307"/>
      <c r="P42" s="369"/>
      <c r="Q42" s="274"/>
      <c r="R42" s="79"/>
      <c r="S42" s="307"/>
      <c r="T42" s="307"/>
      <c r="U42" s="370"/>
      <c r="V42" s="306"/>
      <c r="W42" s="307"/>
      <c r="X42" s="307"/>
      <c r="Y42" s="307"/>
      <c r="Z42" s="369"/>
      <c r="AA42" s="367"/>
      <c r="AB42" s="307"/>
      <c r="AC42" s="307"/>
      <c r="AD42" s="307"/>
      <c r="AE42" s="370"/>
      <c r="AF42" s="306"/>
      <c r="AG42" s="307"/>
      <c r="AH42" s="307"/>
      <c r="AI42" s="307"/>
      <c r="AJ42" s="178"/>
      <c r="AK42" s="274"/>
      <c r="AL42" s="307"/>
      <c r="AM42" s="307"/>
      <c r="AN42" s="307"/>
      <c r="AO42" s="370"/>
      <c r="AP42" s="306"/>
      <c r="AQ42" s="307"/>
      <c r="AR42" s="307"/>
      <c r="AS42" s="79"/>
      <c r="AT42" s="178"/>
      <c r="AU42" s="367"/>
      <c r="AV42" s="307"/>
      <c r="AW42" s="307"/>
      <c r="AX42" s="307"/>
      <c r="AY42" s="370"/>
      <c r="AZ42" s="306"/>
      <c r="BA42" s="307"/>
      <c r="BB42" s="307"/>
      <c r="BC42" s="307"/>
      <c r="BD42" s="369"/>
      <c r="BE42" s="274"/>
      <c r="BF42" s="79"/>
      <c r="BG42" s="307"/>
      <c r="BH42" s="307"/>
      <c r="BI42" s="370"/>
      <c r="BJ42" s="306"/>
      <c r="BK42" s="307"/>
      <c r="BL42" s="307"/>
      <c r="BM42" s="307"/>
      <c r="BN42" s="369"/>
      <c r="BO42" s="367"/>
      <c r="BP42" s="307"/>
      <c r="BQ42" s="79"/>
      <c r="BR42" s="79"/>
      <c r="BS42" s="370"/>
      <c r="BT42" s="261"/>
      <c r="BU42" s="79"/>
      <c r="BV42" s="307"/>
      <c r="BW42" s="307"/>
      <c r="BX42" s="369"/>
      <c r="BY42" s="367"/>
      <c r="BZ42" s="79"/>
      <c r="CA42" s="79"/>
      <c r="CB42" s="307"/>
      <c r="CC42" s="370"/>
      <c r="CD42" s="306"/>
      <c r="CE42" s="79"/>
      <c r="CF42" s="79"/>
      <c r="CG42" s="307"/>
      <c r="CH42" s="374" t="s">
        <v>40</v>
      </c>
      <c r="CI42" s="373" t="s">
        <v>40</v>
      </c>
      <c r="CJ42" s="202"/>
      <c r="CK42" s="202"/>
      <c r="CL42" s="202"/>
      <c r="CM42" s="203"/>
    </row>
    <row r="43" spans="1:91" ht="25.5" customHeight="1" x14ac:dyDescent="0.2">
      <c r="A43" s="324">
        <v>184</v>
      </c>
      <c r="B43" s="72">
        <v>0</v>
      </c>
      <c r="C43" s="72" t="s">
        <v>135</v>
      </c>
      <c r="D43" s="72" t="s">
        <v>391</v>
      </c>
      <c r="E43" s="77" t="s">
        <v>392</v>
      </c>
      <c r="F43" s="76"/>
      <c r="G43" s="79" t="s">
        <v>393</v>
      </c>
      <c r="H43" s="134" t="s">
        <v>594</v>
      </c>
      <c r="I43" s="142"/>
      <c r="J43" s="76"/>
      <c r="K43" s="141"/>
      <c r="L43" s="367"/>
      <c r="M43" s="307"/>
      <c r="N43" s="307"/>
      <c r="O43" s="307"/>
      <c r="P43" s="369"/>
      <c r="Q43" s="274"/>
      <c r="R43" s="79"/>
      <c r="S43" s="307"/>
      <c r="T43" s="307"/>
      <c r="U43" s="370"/>
      <c r="V43" s="306"/>
      <c r="W43" s="307"/>
      <c r="X43" s="307"/>
      <c r="Y43" s="307"/>
      <c r="Z43" s="369"/>
      <c r="AA43" s="367"/>
      <c r="AB43" s="307"/>
      <c r="AC43" s="307"/>
      <c r="AD43" s="307"/>
      <c r="AE43" s="370"/>
      <c r="AF43" s="306"/>
      <c r="AG43" s="307"/>
      <c r="AH43" s="307"/>
      <c r="AI43" s="307"/>
      <c r="AJ43" s="178"/>
      <c r="AK43" s="274"/>
      <c r="AL43" s="307"/>
      <c r="AM43" s="307"/>
      <c r="AN43" s="307"/>
      <c r="AO43" s="370"/>
      <c r="AP43" s="306"/>
      <c r="AQ43" s="307"/>
      <c r="AR43" s="307"/>
      <c r="AS43" s="79"/>
      <c r="AT43" s="178"/>
      <c r="AU43" s="367"/>
      <c r="AV43" s="307"/>
      <c r="AW43" s="307"/>
      <c r="AX43" s="307"/>
      <c r="AY43" s="370"/>
      <c r="AZ43" s="306"/>
      <c r="BA43" s="307"/>
      <c r="BB43" s="307"/>
      <c r="BC43" s="307"/>
      <c r="BD43" s="369"/>
      <c r="BE43" s="274"/>
      <c r="BF43" s="79"/>
      <c r="BG43" s="307"/>
      <c r="BH43" s="307"/>
      <c r="BI43" s="370"/>
      <c r="BJ43" s="306"/>
      <c r="BK43" s="307"/>
      <c r="BL43" s="307"/>
      <c r="BM43" s="307"/>
      <c r="BN43" s="369"/>
      <c r="BO43" s="367"/>
      <c r="BP43" s="307"/>
      <c r="BQ43" s="79"/>
      <c r="BR43" s="79"/>
      <c r="BS43" s="370"/>
      <c r="BT43" s="261"/>
      <c r="BU43" s="79"/>
      <c r="BV43" s="307"/>
      <c r="BW43" s="307"/>
      <c r="BX43" s="369"/>
      <c r="BY43" s="367"/>
      <c r="BZ43" s="79"/>
      <c r="CA43" s="79"/>
      <c r="CB43" s="307"/>
      <c r="CC43" s="370"/>
      <c r="CD43" s="306"/>
      <c r="CE43" s="79"/>
      <c r="CF43" s="79"/>
      <c r="CG43" s="307"/>
      <c r="CH43" s="374" t="s">
        <v>40</v>
      </c>
      <c r="CI43" s="373" t="s">
        <v>40</v>
      </c>
      <c r="CJ43" s="202"/>
      <c r="CK43" s="202"/>
      <c r="CL43" s="202"/>
      <c r="CM43" s="203"/>
    </row>
    <row r="44" spans="1:91" ht="25.5" customHeight="1" thickBot="1" x14ac:dyDescent="0.25">
      <c r="A44" s="325">
        <v>185</v>
      </c>
      <c r="B44" s="73">
        <v>0</v>
      </c>
      <c r="C44" s="74" t="s">
        <v>135</v>
      </c>
      <c r="D44" s="74" t="s">
        <v>394</v>
      </c>
      <c r="E44" s="126" t="s">
        <v>395</v>
      </c>
      <c r="F44" s="74"/>
      <c r="G44" s="74" t="s">
        <v>396</v>
      </c>
      <c r="H44" s="135" t="s">
        <v>869</v>
      </c>
      <c r="I44" s="269">
        <v>3</v>
      </c>
      <c r="J44" s="89" t="s">
        <v>64</v>
      </c>
      <c r="K44" s="270" t="s">
        <v>397</v>
      </c>
      <c r="L44" s="383"/>
      <c r="M44" s="379"/>
      <c r="N44" s="454" t="s">
        <v>122</v>
      </c>
      <c r="O44" s="379"/>
      <c r="P44" s="382"/>
      <c r="Q44" s="275"/>
      <c r="R44" s="74"/>
      <c r="S44" s="379"/>
      <c r="T44" s="385" t="s">
        <v>120</v>
      </c>
      <c r="U44" s="380"/>
      <c r="V44" s="381"/>
      <c r="W44" s="385" t="s">
        <v>120</v>
      </c>
      <c r="X44" s="379"/>
      <c r="Y44" s="379"/>
      <c r="Z44" s="382"/>
      <c r="AA44" s="383"/>
      <c r="AB44" s="379"/>
      <c r="AC44" s="379"/>
      <c r="AD44" s="379"/>
      <c r="AE44" s="386" t="s">
        <v>120</v>
      </c>
      <c r="AF44" s="384" t="s">
        <v>120</v>
      </c>
      <c r="AG44" s="385" t="s">
        <v>120</v>
      </c>
      <c r="AH44" s="385" t="s">
        <v>120</v>
      </c>
      <c r="AI44" s="379"/>
      <c r="AJ44" s="276"/>
      <c r="AK44" s="275"/>
      <c r="AL44" s="379"/>
      <c r="AM44" s="379"/>
      <c r="AN44" s="379"/>
      <c r="AO44" s="380"/>
      <c r="AP44" s="381"/>
      <c r="AQ44" s="379"/>
      <c r="AR44" s="379"/>
      <c r="AS44" s="74"/>
      <c r="AT44" s="276"/>
      <c r="AU44" s="383"/>
      <c r="AV44" s="379"/>
      <c r="AW44" s="379"/>
      <c r="AX44" s="379"/>
      <c r="AY44" s="380"/>
      <c r="AZ44" s="381"/>
      <c r="BA44" s="379"/>
      <c r="BB44" s="379"/>
      <c r="BC44" s="379"/>
      <c r="BD44" s="382"/>
      <c r="BE44" s="275"/>
      <c r="BF44" s="74"/>
      <c r="BG44" s="379"/>
      <c r="BH44" s="379"/>
      <c r="BI44" s="380"/>
      <c r="BJ44" s="381"/>
      <c r="BK44" s="379"/>
      <c r="BL44" s="379"/>
      <c r="BM44" s="379"/>
      <c r="BN44" s="382"/>
      <c r="BO44" s="383"/>
      <c r="BP44" s="379"/>
      <c r="BQ44" s="74"/>
      <c r="BR44" s="74"/>
      <c r="BS44" s="386" t="s">
        <v>120</v>
      </c>
      <c r="BT44" s="277"/>
      <c r="BU44" s="74"/>
      <c r="BV44" s="379"/>
      <c r="BW44" s="379"/>
      <c r="BX44" s="382"/>
      <c r="BY44" s="383"/>
      <c r="BZ44" s="74"/>
      <c r="CA44" s="74"/>
      <c r="CB44" s="379"/>
      <c r="CC44" s="380"/>
      <c r="CD44" s="381"/>
      <c r="CE44" s="74"/>
      <c r="CF44" s="74"/>
      <c r="CG44" s="379"/>
      <c r="CH44" s="386" t="s">
        <v>40</v>
      </c>
      <c r="CI44" s="384" t="s">
        <v>40</v>
      </c>
      <c r="CJ44" s="206"/>
      <c r="CK44" s="206"/>
      <c r="CL44" s="206"/>
      <c r="CM44" s="207"/>
    </row>
    <row r="45" spans="1:91" ht="25.5" customHeight="1" x14ac:dyDescent="0.2">
      <c r="A45" s="318">
        <v>186</v>
      </c>
      <c r="B45" s="75">
        <v>0</v>
      </c>
      <c r="C45" s="75" t="s">
        <v>135</v>
      </c>
      <c r="D45" s="75" t="s">
        <v>398</v>
      </c>
      <c r="E45" s="93" t="s">
        <v>399</v>
      </c>
      <c r="F45" s="130"/>
      <c r="G45" s="92" t="s">
        <v>400</v>
      </c>
      <c r="H45" s="113" t="s">
        <v>870</v>
      </c>
      <c r="I45" s="259" t="s">
        <v>105</v>
      </c>
      <c r="J45" s="130" t="s">
        <v>64</v>
      </c>
      <c r="K45" s="260">
        <v>9</v>
      </c>
      <c r="L45" s="308"/>
      <c r="M45" s="455" t="s">
        <v>122</v>
      </c>
      <c r="N45" s="455" t="s">
        <v>122</v>
      </c>
      <c r="O45" s="304"/>
      <c r="P45" s="359"/>
      <c r="Q45" s="272"/>
      <c r="R45" s="92"/>
      <c r="S45" s="304"/>
      <c r="T45" s="360" t="s">
        <v>120</v>
      </c>
      <c r="U45" s="361"/>
      <c r="V45" s="362"/>
      <c r="W45" s="360" t="s">
        <v>120</v>
      </c>
      <c r="X45" s="304"/>
      <c r="Y45" s="304"/>
      <c r="Z45" s="359"/>
      <c r="AA45" s="308"/>
      <c r="AB45" s="304"/>
      <c r="AC45" s="304"/>
      <c r="AD45" s="304"/>
      <c r="AE45" s="363" t="s">
        <v>120</v>
      </c>
      <c r="AF45" s="364" t="s">
        <v>120</v>
      </c>
      <c r="AG45" s="360" t="s">
        <v>120</v>
      </c>
      <c r="AH45" s="360" t="s">
        <v>120</v>
      </c>
      <c r="AI45" s="304"/>
      <c r="AJ45" s="273"/>
      <c r="AK45" s="272"/>
      <c r="AL45" s="304"/>
      <c r="AM45" s="304"/>
      <c r="AN45" s="304"/>
      <c r="AO45" s="361"/>
      <c r="AP45" s="362"/>
      <c r="AQ45" s="304"/>
      <c r="AR45" s="304"/>
      <c r="AS45" s="92"/>
      <c r="AT45" s="273"/>
      <c r="AU45" s="308"/>
      <c r="AV45" s="304"/>
      <c r="AW45" s="304"/>
      <c r="AX45" s="360" t="s">
        <v>120</v>
      </c>
      <c r="AY45" s="361"/>
      <c r="AZ45" s="362"/>
      <c r="BA45" s="304"/>
      <c r="BB45" s="304"/>
      <c r="BC45" s="304"/>
      <c r="BD45" s="365" t="s">
        <v>121</v>
      </c>
      <c r="BE45" s="272"/>
      <c r="BF45" s="92"/>
      <c r="BG45" s="304"/>
      <c r="BH45" s="304"/>
      <c r="BI45" s="361"/>
      <c r="BJ45" s="364" t="s">
        <v>120</v>
      </c>
      <c r="BK45" s="304"/>
      <c r="BL45" s="304"/>
      <c r="BM45" s="304"/>
      <c r="BN45" s="359"/>
      <c r="BO45" s="308"/>
      <c r="BP45" s="360" t="s">
        <v>121</v>
      </c>
      <c r="BQ45" s="92"/>
      <c r="BR45" s="92"/>
      <c r="BS45" s="363" t="s">
        <v>120</v>
      </c>
      <c r="BT45" s="258"/>
      <c r="BU45" s="92"/>
      <c r="BV45" s="304"/>
      <c r="BW45" s="304"/>
      <c r="BX45" s="359"/>
      <c r="BY45" s="308"/>
      <c r="BZ45" s="92"/>
      <c r="CA45" s="92"/>
      <c r="CB45" s="304"/>
      <c r="CC45" s="361"/>
      <c r="CD45" s="362"/>
      <c r="CE45" s="92"/>
      <c r="CF45" s="92"/>
      <c r="CG45" s="304"/>
      <c r="CH45" s="363" t="s">
        <v>40</v>
      </c>
      <c r="CI45" s="364" t="s">
        <v>40</v>
      </c>
      <c r="CJ45" s="210"/>
      <c r="CK45" s="210"/>
      <c r="CL45" s="210"/>
      <c r="CM45" s="211"/>
    </row>
    <row r="46" spans="1:91" ht="25.5" customHeight="1" x14ac:dyDescent="0.2">
      <c r="A46" s="324">
        <v>187</v>
      </c>
      <c r="B46" s="72">
        <v>0</v>
      </c>
      <c r="C46" s="72" t="s">
        <v>135</v>
      </c>
      <c r="D46" s="72" t="s">
        <v>401</v>
      </c>
      <c r="E46" s="77" t="s">
        <v>402</v>
      </c>
      <c r="F46" s="76"/>
      <c r="G46" s="79" t="s">
        <v>403</v>
      </c>
      <c r="H46" s="134" t="s">
        <v>871</v>
      </c>
      <c r="I46" s="142" t="s">
        <v>105</v>
      </c>
      <c r="J46" s="76" t="s">
        <v>64</v>
      </c>
      <c r="K46" s="141">
        <v>9</v>
      </c>
      <c r="L46" s="367"/>
      <c r="M46" s="368" t="s">
        <v>122</v>
      </c>
      <c r="N46" s="368" t="s">
        <v>122</v>
      </c>
      <c r="O46" s="307"/>
      <c r="P46" s="369"/>
      <c r="Q46" s="274"/>
      <c r="R46" s="79"/>
      <c r="S46" s="307"/>
      <c r="T46" s="371" t="s">
        <v>120</v>
      </c>
      <c r="U46" s="370"/>
      <c r="V46" s="306"/>
      <c r="W46" s="371" t="s">
        <v>120</v>
      </c>
      <c r="X46" s="307"/>
      <c r="Y46" s="307"/>
      <c r="Z46" s="369"/>
      <c r="AA46" s="367"/>
      <c r="AB46" s="307"/>
      <c r="AC46" s="307"/>
      <c r="AD46" s="307"/>
      <c r="AE46" s="374" t="s">
        <v>120</v>
      </c>
      <c r="AF46" s="373" t="s">
        <v>120</v>
      </c>
      <c r="AG46" s="371" t="s">
        <v>120</v>
      </c>
      <c r="AH46" s="371" t="s">
        <v>120</v>
      </c>
      <c r="AI46" s="307"/>
      <c r="AJ46" s="178"/>
      <c r="AK46" s="274"/>
      <c r="AL46" s="307"/>
      <c r="AM46" s="307"/>
      <c r="AN46" s="307"/>
      <c r="AO46" s="370"/>
      <c r="AP46" s="306"/>
      <c r="AQ46" s="307"/>
      <c r="AR46" s="307"/>
      <c r="AS46" s="79"/>
      <c r="AT46" s="178"/>
      <c r="AU46" s="367"/>
      <c r="AV46" s="307"/>
      <c r="AW46" s="307"/>
      <c r="AX46" s="371" t="s">
        <v>120</v>
      </c>
      <c r="AY46" s="370"/>
      <c r="AZ46" s="306"/>
      <c r="BA46" s="307"/>
      <c r="BB46" s="307"/>
      <c r="BC46" s="307"/>
      <c r="BD46" s="372" t="s">
        <v>121</v>
      </c>
      <c r="BE46" s="274"/>
      <c r="BF46" s="79"/>
      <c r="BG46" s="307"/>
      <c r="BH46" s="307"/>
      <c r="BI46" s="370"/>
      <c r="BJ46" s="373" t="s">
        <v>120</v>
      </c>
      <c r="BK46" s="307"/>
      <c r="BL46" s="307"/>
      <c r="BM46" s="307"/>
      <c r="BN46" s="369"/>
      <c r="BO46" s="367"/>
      <c r="BP46" s="371" t="s">
        <v>121</v>
      </c>
      <c r="BQ46" s="79"/>
      <c r="BR46" s="79"/>
      <c r="BS46" s="374" t="s">
        <v>120</v>
      </c>
      <c r="BT46" s="261"/>
      <c r="BU46" s="79"/>
      <c r="BV46" s="307"/>
      <c r="BW46" s="307"/>
      <c r="BX46" s="369"/>
      <c r="BY46" s="367"/>
      <c r="BZ46" s="79"/>
      <c r="CA46" s="79"/>
      <c r="CB46" s="307"/>
      <c r="CC46" s="370"/>
      <c r="CD46" s="306"/>
      <c r="CE46" s="79"/>
      <c r="CF46" s="79"/>
      <c r="CG46" s="307"/>
      <c r="CH46" s="374" t="s">
        <v>40</v>
      </c>
      <c r="CI46" s="373" t="s">
        <v>40</v>
      </c>
      <c r="CJ46" s="202"/>
      <c r="CK46" s="202"/>
      <c r="CL46" s="202"/>
      <c r="CM46" s="203"/>
    </row>
    <row r="47" spans="1:91" ht="25.5" customHeight="1" x14ac:dyDescent="0.2">
      <c r="A47" s="324">
        <v>188</v>
      </c>
      <c r="B47" s="72">
        <v>0</v>
      </c>
      <c r="C47" s="79" t="s">
        <v>135</v>
      </c>
      <c r="D47" s="79" t="s">
        <v>404</v>
      </c>
      <c r="E47" s="77" t="s">
        <v>771</v>
      </c>
      <c r="F47" s="72"/>
      <c r="G47" s="79" t="s">
        <v>405</v>
      </c>
      <c r="H47" s="134" t="s">
        <v>595</v>
      </c>
      <c r="I47" s="142"/>
      <c r="J47" s="76"/>
      <c r="K47" s="141"/>
      <c r="L47" s="367"/>
      <c r="M47" s="307"/>
      <c r="N47" s="307"/>
      <c r="O47" s="307"/>
      <c r="P47" s="369"/>
      <c r="Q47" s="274"/>
      <c r="R47" s="79"/>
      <c r="S47" s="307"/>
      <c r="T47" s="307"/>
      <c r="U47" s="370"/>
      <c r="V47" s="306"/>
      <c r="W47" s="307"/>
      <c r="X47" s="307"/>
      <c r="Y47" s="307"/>
      <c r="Z47" s="369"/>
      <c r="AA47" s="367"/>
      <c r="AB47" s="307"/>
      <c r="AC47" s="307"/>
      <c r="AD47" s="307"/>
      <c r="AE47" s="370"/>
      <c r="AF47" s="306"/>
      <c r="AG47" s="307"/>
      <c r="AH47" s="307"/>
      <c r="AI47" s="307"/>
      <c r="AJ47" s="178"/>
      <c r="AK47" s="274"/>
      <c r="AL47" s="307"/>
      <c r="AM47" s="307"/>
      <c r="AN47" s="307"/>
      <c r="AO47" s="370"/>
      <c r="AP47" s="306"/>
      <c r="AQ47" s="307"/>
      <c r="AR47" s="307"/>
      <c r="AS47" s="79"/>
      <c r="AT47" s="178"/>
      <c r="AU47" s="367"/>
      <c r="AV47" s="307"/>
      <c r="AW47" s="307"/>
      <c r="AX47" s="307"/>
      <c r="AY47" s="370"/>
      <c r="AZ47" s="306"/>
      <c r="BA47" s="307"/>
      <c r="BB47" s="307"/>
      <c r="BC47" s="307"/>
      <c r="BD47" s="369"/>
      <c r="BE47" s="274"/>
      <c r="BF47" s="79"/>
      <c r="BG47" s="307"/>
      <c r="BH47" s="307"/>
      <c r="BI47" s="370"/>
      <c r="BJ47" s="306"/>
      <c r="BK47" s="307"/>
      <c r="BL47" s="307"/>
      <c r="BM47" s="307"/>
      <c r="BN47" s="369"/>
      <c r="BO47" s="367"/>
      <c r="BP47" s="307"/>
      <c r="BQ47" s="79"/>
      <c r="BR47" s="79"/>
      <c r="BS47" s="370"/>
      <c r="BT47" s="261"/>
      <c r="BU47" s="79"/>
      <c r="BV47" s="307"/>
      <c r="BW47" s="307"/>
      <c r="BX47" s="369"/>
      <c r="BY47" s="367"/>
      <c r="BZ47" s="79"/>
      <c r="CA47" s="79"/>
      <c r="CB47" s="307"/>
      <c r="CC47" s="370"/>
      <c r="CD47" s="306"/>
      <c r="CE47" s="79"/>
      <c r="CF47" s="79"/>
      <c r="CG47" s="307"/>
      <c r="CH47" s="374" t="s">
        <v>40</v>
      </c>
      <c r="CI47" s="373" t="s">
        <v>40</v>
      </c>
      <c r="CJ47" s="202"/>
      <c r="CK47" s="202"/>
      <c r="CL47" s="202"/>
      <c r="CM47" s="203"/>
    </row>
    <row r="48" spans="1:91" ht="25.5" customHeight="1" x14ac:dyDescent="0.2">
      <c r="A48" s="324">
        <v>189</v>
      </c>
      <c r="B48" s="72">
        <v>0</v>
      </c>
      <c r="C48" s="79" t="s">
        <v>135</v>
      </c>
      <c r="D48" s="79" t="s">
        <v>406</v>
      </c>
      <c r="E48" s="77" t="s">
        <v>407</v>
      </c>
      <c r="F48" s="79"/>
      <c r="G48" s="79" t="s">
        <v>408</v>
      </c>
      <c r="H48" s="78" t="s">
        <v>912</v>
      </c>
      <c r="I48" s="142" t="s">
        <v>105</v>
      </c>
      <c r="J48" s="76" t="s">
        <v>64</v>
      </c>
      <c r="K48" s="141"/>
      <c r="L48" s="367"/>
      <c r="M48" s="368" t="s">
        <v>122</v>
      </c>
      <c r="N48" s="368" t="s">
        <v>122</v>
      </c>
      <c r="O48" s="307"/>
      <c r="P48" s="369"/>
      <c r="Q48" s="274"/>
      <c r="R48" s="79"/>
      <c r="S48" s="307"/>
      <c r="T48" s="371" t="s">
        <v>120</v>
      </c>
      <c r="U48" s="370"/>
      <c r="V48" s="306"/>
      <c r="W48" s="371" t="s">
        <v>120</v>
      </c>
      <c r="X48" s="307"/>
      <c r="Y48" s="307"/>
      <c r="Z48" s="369"/>
      <c r="AA48" s="367"/>
      <c r="AB48" s="307"/>
      <c r="AC48" s="307"/>
      <c r="AD48" s="307"/>
      <c r="AE48" s="374" t="s">
        <v>120</v>
      </c>
      <c r="AF48" s="373" t="s">
        <v>120</v>
      </c>
      <c r="AG48" s="371" t="s">
        <v>120</v>
      </c>
      <c r="AH48" s="371" t="s">
        <v>120</v>
      </c>
      <c r="AI48" s="307"/>
      <c r="AJ48" s="178"/>
      <c r="AK48" s="274"/>
      <c r="AL48" s="307"/>
      <c r="AM48" s="307"/>
      <c r="AN48" s="307"/>
      <c r="AO48" s="374" t="s">
        <v>121</v>
      </c>
      <c r="AP48" s="306"/>
      <c r="AQ48" s="371" t="s">
        <v>121</v>
      </c>
      <c r="AR48" s="307"/>
      <c r="AS48" s="79"/>
      <c r="AT48" s="178"/>
      <c r="AU48" s="367"/>
      <c r="AV48" s="307"/>
      <c r="AW48" s="307"/>
      <c r="AX48" s="371" t="s">
        <v>120</v>
      </c>
      <c r="AY48" s="370"/>
      <c r="AZ48" s="306"/>
      <c r="BA48" s="307"/>
      <c r="BB48" s="307"/>
      <c r="BC48" s="307"/>
      <c r="BD48" s="372" t="s">
        <v>121</v>
      </c>
      <c r="BE48" s="274"/>
      <c r="BF48" s="79"/>
      <c r="BG48" s="307"/>
      <c r="BH48" s="307"/>
      <c r="BI48" s="370"/>
      <c r="BJ48" s="373" t="s">
        <v>120</v>
      </c>
      <c r="BK48" s="307"/>
      <c r="BL48" s="307"/>
      <c r="BM48" s="307"/>
      <c r="BN48" s="369"/>
      <c r="BO48" s="367"/>
      <c r="BP48" s="371" t="s">
        <v>121</v>
      </c>
      <c r="BQ48" s="79"/>
      <c r="BR48" s="79"/>
      <c r="BS48" s="374" t="s">
        <v>120</v>
      </c>
      <c r="BT48" s="261"/>
      <c r="BU48" s="79"/>
      <c r="BV48" s="307"/>
      <c r="BW48" s="307"/>
      <c r="BX48" s="369"/>
      <c r="BY48" s="367"/>
      <c r="BZ48" s="79"/>
      <c r="CA48" s="79"/>
      <c r="CB48" s="307"/>
      <c r="CC48" s="370"/>
      <c r="CD48" s="306"/>
      <c r="CE48" s="79"/>
      <c r="CF48" s="79"/>
      <c r="CG48" s="307"/>
      <c r="CH48" s="374" t="s">
        <v>40</v>
      </c>
      <c r="CI48" s="373" t="s">
        <v>40</v>
      </c>
      <c r="CJ48" s="202"/>
      <c r="CK48" s="202"/>
      <c r="CL48" s="202"/>
      <c r="CM48" s="203"/>
    </row>
    <row r="49" spans="1:91" ht="25.5" customHeight="1" thickBot="1" x14ac:dyDescent="0.25">
      <c r="A49" s="331">
        <v>190</v>
      </c>
      <c r="B49" s="82">
        <v>0</v>
      </c>
      <c r="C49" s="190" t="s">
        <v>135</v>
      </c>
      <c r="D49" s="190" t="s">
        <v>1035</v>
      </c>
      <c r="E49" s="117" t="s">
        <v>1036</v>
      </c>
      <c r="F49" s="190"/>
      <c r="G49" s="190" t="s">
        <v>1037</v>
      </c>
      <c r="H49" s="195" t="s">
        <v>1038</v>
      </c>
      <c r="I49" s="257"/>
      <c r="J49" s="99"/>
      <c r="K49" s="264"/>
      <c r="L49" s="395"/>
      <c r="M49" s="390"/>
      <c r="N49" s="390"/>
      <c r="O49" s="390"/>
      <c r="P49" s="391"/>
      <c r="Q49" s="278"/>
      <c r="R49" s="99"/>
      <c r="S49" s="390"/>
      <c r="T49" s="422"/>
      <c r="U49" s="424"/>
      <c r="V49" s="425"/>
      <c r="W49" s="390"/>
      <c r="X49" s="390"/>
      <c r="Y49" s="390"/>
      <c r="Z49" s="391"/>
      <c r="AA49" s="491"/>
      <c r="AB49" s="422"/>
      <c r="AC49" s="390"/>
      <c r="AD49" s="390"/>
      <c r="AE49" s="424"/>
      <c r="AF49" s="425"/>
      <c r="AG49" s="422"/>
      <c r="AH49" s="422"/>
      <c r="AI49" s="422"/>
      <c r="AJ49" s="264"/>
      <c r="AK49" s="450"/>
      <c r="AL49" s="422"/>
      <c r="AM49" s="422"/>
      <c r="AN49" s="422"/>
      <c r="AO49" s="424"/>
      <c r="AP49" s="425"/>
      <c r="AQ49" s="422"/>
      <c r="AR49" s="422"/>
      <c r="AS49" s="99"/>
      <c r="AT49" s="264"/>
      <c r="AU49" s="491"/>
      <c r="AV49" s="422"/>
      <c r="AW49" s="422"/>
      <c r="AX49" s="422"/>
      <c r="AY49" s="424"/>
      <c r="AZ49" s="425"/>
      <c r="BA49" s="422"/>
      <c r="BB49" s="422"/>
      <c r="BC49" s="422"/>
      <c r="BD49" s="423"/>
      <c r="BE49" s="450"/>
      <c r="BF49" s="99"/>
      <c r="BG49" s="422"/>
      <c r="BH49" s="422"/>
      <c r="BI49" s="424"/>
      <c r="BJ49" s="425"/>
      <c r="BK49" s="422"/>
      <c r="BL49" s="422"/>
      <c r="BM49" s="422"/>
      <c r="BN49" s="423"/>
      <c r="BO49" s="491"/>
      <c r="BP49" s="422"/>
      <c r="BQ49" s="99"/>
      <c r="BR49" s="99"/>
      <c r="BS49" s="424"/>
      <c r="BT49" s="257"/>
      <c r="BU49" s="99"/>
      <c r="BV49" s="422"/>
      <c r="BW49" s="422"/>
      <c r="BX49" s="423"/>
      <c r="BY49" s="491"/>
      <c r="BZ49" s="99"/>
      <c r="CA49" s="99"/>
      <c r="CB49" s="422"/>
      <c r="CC49" s="424"/>
      <c r="CD49" s="425"/>
      <c r="CE49" s="99"/>
      <c r="CF49" s="190"/>
      <c r="CG49" s="422"/>
      <c r="CH49" s="488" t="s">
        <v>40</v>
      </c>
      <c r="CI49" s="486" t="s">
        <v>40</v>
      </c>
      <c r="CJ49" s="213"/>
      <c r="CK49" s="213"/>
      <c r="CL49" s="213"/>
      <c r="CM49" s="214"/>
    </row>
    <row r="50" spans="1:91" ht="25.5" customHeight="1" x14ac:dyDescent="0.2">
      <c r="A50" s="332">
        <v>191</v>
      </c>
      <c r="B50" s="85">
        <v>0</v>
      </c>
      <c r="C50" s="87" t="s">
        <v>135</v>
      </c>
      <c r="D50" s="87" t="s">
        <v>1053</v>
      </c>
      <c r="E50" s="133" t="s">
        <v>1054</v>
      </c>
      <c r="F50" s="87"/>
      <c r="G50" s="87" t="s">
        <v>1055</v>
      </c>
      <c r="H50" s="194" t="s">
        <v>1056</v>
      </c>
      <c r="I50" s="139"/>
      <c r="J50" s="103"/>
      <c r="K50" s="137"/>
      <c r="L50" s="281"/>
      <c r="M50" s="87"/>
      <c r="N50" s="87"/>
      <c r="O50" s="87"/>
      <c r="P50" s="282"/>
      <c r="Q50" s="281"/>
      <c r="R50" s="103"/>
      <c r="S50" s="87"/>
      <c r="T50" s="103"/>
      <c r="U50" s="138"/>
      <c r="V50" s="139"/>
      <c r="W50" s="87"/>
      <c r="X50" s="87"/>
      <c r="Y50" s="87"/>
      <c r="Z50" s="282"/>
      <c r="AA50" s="136"/>
      <c r="AB50" s="103"/>
      <c r="AC50" s="87"/>
      <c r="AD50" s="87"/>
      <c r="AE50" s="138"/>
      <c r="AF50" s="139"/>
      <c r="AG50" s="103"/>
      <c r="AH50" s="103"/>
      <c r="AI50" s="103"/>
      <c r="AJ50" s="137"/>
      <c r="AK50" s="136"/>
      <c r="AL50" s="103"/>
      <c r="AM50" s="103"/>
      <c r="AN50" s="103"/>
      <c r="AO50" s="138"/>
      <c r="AP50" s="139"/>
      <c r="AQ50" s="103"/>
      <c r="AR50" s="103"/>
      <c r="AS50" s="103"/>
      <c r="AT50" s="137"/>
      <c r="AU50" s="136"/>
      <c r="AV50" s="103"/>
      <c r="AW50" s="103"/>
      <c r="AX50" s="103"/>
      <c r="AY50" s="138"/>
      <c r="AZ50" s="139"/>
      <c r="BA50" s="103"/>
      <c r="BB50" s="103"/>
      <c r="BC50" s="103"/>
      <c r="BD50" s="137"/>
      <c r="BE50" s="136"/>
      <c r="BF50" s="103"/>
      <c r="BG50" s="103"/>
      <c r="BH50" s="103"/>
      <c r="BI50" s="138"/>
      <c r="BJ50" s="139"/>
      <c r="BK50" s="103"/>
      <c r="BL50" s="103"/>
      <c r="BM50" s="103"/>
      <c r="BN50" s="137"/>
      <c r="BO50" s="136"/>
      <c r="BP50" s="103"/>
      <c r="BQ50" s="103"/>
      <c r="BR50" s="103"/>
      <c r="BS50" s="138"/>
      <c r="BT50" s="139"/>
      <c r="BU50" s="103"/>
      <c r="BV50" s="103"/>
      <c r="BW50" s="103"/>
      <c r="BX50" s="137"/>
      <c r="BY50" s="136"/>
      <c r="BZ50" s="103"/>
      <c r="CA50" s="103"/>
      <c r="CB50" s="103"/>
      <c r="CC50" s="138"/>
      <c r="CD50" s="139"/>
      <c r="CE50" s="103"/>
      <c r="CF50" s="87"/>
      <c r="CG50" s="103"/>
      <c r="CH50" s="138"/>
      <c r="CI50" s="139"/>
      <c r="CJ50" s="217"/>
      <c r="CK50" s="217"/>
      <c r="CL50" s="217"/>
      <c r="CM50" s="218"/>
    </row>
    <row r="51" spans="1:91" ht="25.5" customHeight="1" x14ac:dyDescent="0.2">
      <c r="A51" s="324">
        <v>192</v>
      </c>
      <c r="B51" s="72">
        <v>0</v>
      </c>
      <c r="C51" s="72" t="s">
        <v>135</v>
      </c>
      <c r="D51" s="72" t="s">
        <v>409</v>
      </c>
      <c r="E51" s="183" t="s">
        <v>772</v>
      </c>
      <c r="F51" s="72"/>
      <c r="G51" s="72" t="s">
        <v>410</v>
      </c>
      <c r="H51" s="81" t="s">
        <v>596</v>
      </c>
      <c r="I51" s="142"/>
      <c r="J51" s="76"/>
      <c r="K51" s="141"/>
      <c r="L51" s="367"/>
      <c r="M51" s="307"/>
      <c r="N51" s="307"/>
      <c r="O51" s="307"/>
      <c r="P51" s="369"/>
      <c r="Q51" s="274"/>
      <c r="R51" s="79"/>
      <c r="S51" s="307"/>
      <c r="T51" s="307"/>
      <c r="U51" s="370"/>
      <c r="V51" s="306"/>
      <c r="W51" s="307"/>
      <c r="X51" s="307"/>
      <c r="Y51" s="307"/>
      <c r="Z51" s="369"/>
      <c r="AA51" s="367"/>
      <c r="AB51" s="307"/>
      <c r="AC51" s="307"/>
      <c r="AD51" s="307"/>
      <c r="AE51" s="370"/>
      <c r="AF51" s="306"/>
      <c r="AG51" s="307"/>
      <c r="AH51" s="307"/>
      <c r="AI51" s="307"/>
      <c r="AJ51" s="178"/>
      <c r="AK51" s="274"/>
      <c r="AL51" s="307"/>
      <c r="AM51" s="307"/>
      <c r="AN51" s="307"/>
      <c r="AO51" s="370"/>
      <c r="AP51" s="306"/>
      <c r="AQ51" s="307"/>
      <c r="AR51" s="307"/>
      <c r="AS51" s="79"/>
      <c r="AT51" s="178"/>
      <c r="AU51" s="367"/>
      <c r="AV51" s="307"/>
      <c r="AW51" s="307"/>
      <c r="AX51" s="307"/>
      <c r="AY51" s="370"/>
      <c r="AZ51" s="306"/>
      <c r="BA51" s="307"/>
      <c r="BB51" s="307"/>
      <c r="BC51" s="307"/>
      <c r="BD51" s="369"/>
      <c r="BE51" s="274"/>
      <c r="BF51" s="79"/>
      <c r="BG51" s="307"/>
      <c r="BH51" s="307"/>
      <c r="BI51" s="370"/>
      <c r="BJ51" s="306"/>
      <c r="BK51" s="307"/>
      <c r="BL51" s="307"/>
      <c r="BM51" s="307"/>
      <c r="BN51" s="369"/>
      <c r="BO51" s="367"/>
      <c r="BP51" s="307"/>
      <c r="BQ51" s="79"/>
      <c r="BR51" s="79"/>
      <c r="BS51" s="370"/>
      <c r="BT51" s="261"/>
      <c r="BU51" s="79"/>
      <c r="BV51" s="307"/>
      <c r="BW51" s="307"/>
      <c r="BX51" s="369"/>
      <c r="BY51" s="367"/>
      <c r="BZ51" s="79"/>
      <c r="CA51" s="79"/>
      <c r="CB51" s="307"/>
      <c r="CC51" s="370"/>
      <c r="CD51" s="413"/>
      <c r="CE51" s="76"/>
      <c r="CF51" s="79"/>
      <c r="CG51" s="307"/>
      <c r="CH51" s="374" t="s">
        <v>40</v>
      </c>
      <c r="CI51" s="373" t="s">
        <v>40</v>
      </c>
      <c r="CJ51" s="202"/>
      <c r="CK51" s="202"/>
      <c r="CL51" s="202"/>
      <c r="CM51" s="203"/>
    </row>
    <row r="52" spans="1:91" ht="25.5" customHeight="1" x14ac:dyDescent="0.2">
      <c r="A52" s="324">
        <v>193</v>
      </c>
      <c r="B52" s="72">
        <v>0</v>
      </c>
      <c r="C52" s="79" t="s">
        <v>135</v>
      </c>
      <c r="D52" s="79" t="s">
        <v>411</v>
      </c>
      <c r="E52" s="77" t="s">
        <v>412</v>
      </c>
      <c r="F52" s="72"/>
      <c r="G52" s="107" t="s">
        <v>413</v>
      </c>
      <c r="H52" s="500" t="s">
        <v>913</v>
      </c>
      <c r="I52" s="142" t="s">
        <v>105</v>
      </c>
      <c r="J52" s="76" t="s">
        <v>64</v>
      </c>
      <c r="K52" s="141"/>
      <c r="L52" s="367"/>
      <c r="M52" s="368" t="s">
        <v>122</v>
      </c>
      <c r="N52" s="368" t="s">
        <v>122</v>
      </c>
      <c r="O52" s="307"/>
      <c r="P52" s="369"/>
      <c r="Q52" s="274"/>
      <c r="R52" s="79"/>
      <c r="S52" s="307"/>
      <c r="T52" s="371" t="s">
        <v>120</v>
      </c>
      <c r="U52" s="370"/>
      <c r="V52" s="306"/>
      <c r="W52" s="371" t="s">
        <v>120</v>
      </c>
      <c r="X52" s="307"/>
      <c r="Y52" s="307"/>
      <c r="Z52" s="369"/>
      <c r="AA52" s="367"/>
      <c r="AB52" s="307"/>
      <c r="AC52" s="307"/>
      <c r="AD52" s="307"/>
      <c r="AE52" s="374" t="s">
        <v>120</v>
      </c>
      <c r="AF52" s="373" t="s">
        <v>120</v>
      </c>
      <c r="AG52" s="371" t="s">
        <v>120</v>
      </c>
      <c r="AH52" s="371" t="s">
        <v>120</v>
      </c>
      <c r="AI52" s="307"/>
      <c r="AJ52" s="178"/>
      <c r="AK52" s="274"/>
      <c r="AL52" s="307"/>
      <c r="AM52" s="307"/>
      <c r="AN52" s="307"/>
      <c r="AO52" s="374" t="s">
        <v>121</v>
      </c>
      <c r="AP52" s="306"/>
      <c r="AQ52" s="371" t="s">
        <v>121</v>
      </c>
      <c r="AR52" s="307"/>
      <c r="AS52" s="79"/>
      <c r="AT52" s="178"/>
      <c r="AU52" s="367"/>
      <c r="AV52" s="307"/>
      <c r="AW52" s="307"/>
      <c r="AX52" s="371" t="s">
        <v>120</v>
      </c>
      <c r="AY52" s="370"/>
      <c r="AZ52" s="306"/>
      <c r="BA52" s="307"/>
      <c r="BB52" s="307"/>
      <c r="BC52" s="307"/>
      <c r="BD52" s="372" t="s">
        <v>121</v>
      </c>
      <c r="BE52" s="274"/>
      <c r="BF52" s="79"/>
      <c r="BG52" s="307"/>
      <c r="BH52" s="307"/>
      <c r="BI52" s="370"/>
      <c r="BJ52" s="373" t="s">
        <v>120</v>
      </c>
      <c r="BK52" s="307"/>
      <c r="BL52" s="307"/>
      <c r="BM52" s="307"/>
      <c r="BN52" s="369"/>
      <c r="BO52" s="367"/>
      <c r="BP52" s="371" t="s">
        <v>121</v>
      </c>
      <c r="BQ52" s="79"/>
      <c r="BR52" s="79"/>
      <c r="BS52" s="374" t="s">
        <v>120</v>
      </c>
      <c r="BT52" s="261"/>
      <c r="BU52" s="79"/>
      <c r="BV52" s="307"/>
      <c r="BW52" s="307"/>
      <c r="BX52" s="369"/>
      <c r="BY52" s="367"/>
      <c r="BZ52" s="79"/>
      <c r="CA52" s="79"/>
      <c r="CB52" s="307"/>
      <c r="CC52" s="370"/>
      <c r="CD52" s="306"/>
      <c r="CE52" s="79"/>
      <c r="CF52" s="79"/>
      <c r="CG52" s="307"/>
      <c r="CH52" s="374" t="s">
        <v>40</v>
      </c>
      <c r="CI52" s="373" t="s">
        <v>40</v>
      </c>
      <c r="CJ52" s="202"/>
      <c r="CK52" s="202"/>
      <c r="CL52" s="202"/>
      <c r="CM52" s="203"/>
    </row>
    <row r="53" spans="1:91" ht="25.5" customHeight="1" x14ac:dyDescent="0.2">
      <c r="A53" s="324">
        <v>194</v>
      </c>
      <c r="B53" s="72">
        <v>0</v>
      </c>
      <c r="C53" s="79" t="s">
        <v>135</v>
      </c>
      <c r="D53" s="79" t="s">
        <v>414</v>
      </c>
      <c r="E53" s="77" t="s">
        <v>415</v>
      </c>
      <c r="F53" s="79"/>
      <c r="G53" s="79" t="s">
        <v>416</v>
      </c>
      <c r="H53" s="134" t="s">
        <v>597</v>
      </c>
      <c r="I53" s="142"/>
      <c r="J53" s="76"/>
      <c r="K53" s="141"/>
      <c r="L53" s="367"/>
      <c r="M53" s="307"/>
      <c r="N53" s="307"/>
      <c r="O53" s="307"/>
      <c r="P53" s="369"/>
      <c r="Q53" s="274"/>
      <c r="R53" s="76"/>
      <c r="S53" s="307"/>
      <c r="T53" s="310"/>
      <c r="U53" s="412"/>
      <c r="V53" s="413"/>
      <c r="W53" s="307"/>
      <c r="X53" s="307"/>
      <c r="Y53" s="307"/>
      <c r="Z53" s="369"/>
      <c r="AA53" s="485"/>
      <c r="AB53" s="310"/>
      <c r="AC53" s="307"/>
      <c r="AD53" s="307"/>
      <c r="AE53" s="412"/>
      <c r="AF53" s="413"/>
      <c r="AG53" s="310"/>
      <c r="AH53" s="310"/>
      <c r="AI53" s="310"/>
      <c r="AJ53" s="141"/>
      <c r="AK53" s="140"/>
      <c r="AL53" s="310"/>
      <c r="AM53" s="310"/>
      <c r="AN53" s="310"/>
      <c r="AO53" s="412"/>
      <c r="AP53" s="413"/>
      <c r="AQ53" s="310"/>
      <c r="AR53" s="310"/>
      <c r="AS53" s="76"/>
      <c r="AT53" s="141"/>
      <c r="AU53" s="485"/>
      <c r="AV53" s="310"/>
      <c r="AW53" s="310"/>
      <c r="AX53" s="310"/>
      <c r="AY53" s="412"/>
      <c r="AZ53" s="413"/>
      <c r="BA53" s="310"/>
      <c r="BB53" s="310"/>
      <c r="BC53" s="310"/>
      <c r="BD53" s="411"/>
      <c r="BE53" s="140"/>
      <c r="BF53" s="76"/>
      <c r="BG53" s="310"/>
      <c r="BH53" s="310"/>
      <c r="BI53" s="412"/>
      <c r="BJ53" s="413"/>
      <c r="BK53" s="310"/>
      <c r="BL53" s="310"/>
      <c r="BM53" s="310"/>
      <c r="BN53" s="411"/>
      <c r="BO53" s="485"/>
      <c r="BP53" s="310"/>
      <c r="BQ53" s="76"/>
      <c r="BR53" s="76"/>
      <c r="BS53" s="412"/>
      <c r="BT53" s="142"/>
      <c r="BU53" s="76"/>
      <c r="BV53" s="310"/>
      <c r="BW53" s="310"/>
      <c r="BX53" s="411"/>
      <c r="BY53" s="485"/>
      <c r="BZ53" s="76"/>
      <c r="CA53" s="76"/>
      <c r="CB53" s="310"/>
      <c r="CC53" s="412"/>
      <c r="CD53" s="413"/>
      <c r="CE53" s="76"/>
      <c r="CF53" s="79"/>
      <c r="CG53" s="310"/>
      <c r="CH53" s="470" t="s">
        <v>40</v>
      </c>
      <c r="CI53" s="471" t="s">
        <v>40</v>
      </c>
      <c r="CJ53" s="202"/>
      <c r="CK53" s="202"/>
      <c r="CL53" s="202"/>
      <c r="CM53" s="203"/>
    </row>
    <row r="54" spans="1:91" ht="25.5" customHeight="1" thickBot="1" x14ac:dyDescent="0.25">
      <c r="A54" s="325">
        <v>195</v>
      </c>
      <c r="B54" s="73">
        <v>0</v>
      </c>
      <c r="C54" s="74" t="s">
        <v>135</v>
      </c>
      <c r="D54" s="74" t="s">
        <v>417</v>
      </c>
      <c r="E54" s="126" t="s">
        <v>418</v>
      </c>
      <c r="F54" s="74"/>
      <c r="G54" s="74" t="s">
        <v>419</v>
      </c>
      <c r="H54" s="135" t="s">
        <v>598</v>
      </c>
      <c r="I54" s="269"/>
      <c r="J54" s="89"/>
      <c r="K54" s="270"/>
      <c r="L54" s="383"/>
      <c r="M54" s="379"/>
      <c r="N54" s="379"/>
      <c r="O54" s="379"/>
      <c r="P54" s="382"/>
      <c r="Q54" s="275"/>
      <c r="R54" s="89"/>
      <c r="S54" s="379"/>
      <c r="T54" s="414"/>
      <c r="U54" s="416"/>
      <c r="V54" s="417"/>
      <c r="W54" s="379"/>
      <c r="X54" s="379"/>
      <c r="Y54" s="379"/>
      <c r="Z54" s="382"/>
      <c r="AA54" s="482"/>
      <c r="AB54" s="414"/>
      <c r="AC54" s="379"/>
      <c r="AD54" s="379"/>
      <c r="AE54" s="416"/>
      <c r="AF54" s="417"/>
      <c r="AG54" s="414"/>
      <c r="AH54" s="414"/>
      <c r="AI54" s="414"/>
      <c r="AJ54" s="270"/>
      <c r="AK54" s="271"/>
      <c r="AL54" s="414"/>
      <c r="AM54" s="414"/>
      <c r="AN54" s="414"/>
      <c r="AO54" s="416"/>
      <c r="AP54" s="417"/>
      <c r="AQ54" s="414"/>
      <c r="AR54" s="414"/>
      <c r="AS54" s="89"/>
      <c r="AT54" s="270"/>
      <c r="AU54" s="482"/>
      <c r="AV54" s="414"/>
      <c r="AW54" s="414"/>
      <c r="AX54" s="414"/>
      <c r="AY54" s="416"/>
      <c r="AZ54" s="417"/>
      <c r="BA54" s="414"/>
      <c r="BB54" s="414"/>
      <c r="BC54" s="414"/>
      <c r="BD54" s="415"/>
      <c r="BE54" s="271"/>
      <c r="BF54" s="89"/>
      <c r="BG54" s="414"/>
      <c r="BH54" s="414"/>
      <c r="BI54" s="416"/>
      <c r="BJ54" s="417"/>
      <c r="BK54" s="414"/>
      <c r="BL54" s="414"/>
      <c r="BM54" s="414"/>
      <c r="BN54" s="415"/>
      <c r="BO54" s="482"/>
      <c r="BP54" s="414"/>
      <c r="BQ54" s="89"/>
      <c r="BR54" s="89"/>
      <c r="BS54" s="416"/>
      <c r="BT54" s="269"/>
      <c r="BU54" s="89"/>
      <c r="BV54" s="414"/>
      <c r="BW54" s="414"/>
      <c r="BX54" s="415"/>
      <c r="BY54" s="482"/>
      <c r="BZ54" s="89"/>
      <c r="CA54" s="89"/>
      <c r="CB54" s="414"/>
      <c r="CC54" s="416"/>
      <c r="CD54" s="417"/>
      <c r="CE54" s="89"/>
      <c r="CF54" s="74"/>
      <c r="CG54" s="414"/>
      <c r="CH54" s="465" t="s">
        <v>40</v>
      </c>
      <c r="CI54" s="466" t="s">
        <v>40</v>
      </c>
      <c r="CJ54" s="206"/>
      <c r="CK54" s="206"/>
      <c r="CL54" s="206"/>
      <c r="CM54" s="207"/>
    </row>
    <row r="55" spans="1:91" ht="25.5" customHeight="1" x14ac:dyDescent="0.2">
      <c r="A55" s="318">
        <v>196</v>
      </c>
      <c r="B55" s="75">
        <v>0</v>
      </c>
      <c r="C55" s="92" t="s">
        <v>135</v>
      </c>
      <c r="D55" s="92" t="s">
        <v>420</v>
      </c>
      <c r="E55" s="93" t="s">
        <v>421</v>
      </c>
      <c r="F55" s="92"/>
      <c r="G55" s="92" t="s">
        <v>422</v>
      </c>
      <c r="H55" s="113" t="s">
        <v>599</v>
      </c>
      <c r="I55" s="259"/>
      <c r="J55" s="130"/>
      <c r="K55" s="260"/>
      <c r="L55" s="308"/>
      <c r="M55" s="304"/>
      <c r="N55" s="304"/>
      <c r="O55" s="304"/>
      <c r="P55" s="359"/>
      <c r="Q55" s="272"/>
      <c r="R55" s="130"/>
      <c r="S55" s="304"/>
      <c r="T55" s="418"/>
      <c r="U55" s="420"/>
      <c r="V55" s="421"/>
      <c r="W55" s="304"/>
      <c r="X55" s="304"/>
      <c r="Y55" s="304"/>
      <c r="Z55" s="359"/>
      <c r="AA55" s="483"/>
      <c r="AB55" s="418"/>
      <c r="AC55" s="304"/>
      <c r="AD55" s="304"/>
      <c r="AE55" s="420"/>
      <c r="AF55" s="421"/>
      <c r="AG55" s="418"/>
      <c r="AH55" s="418"/>
      <c r="AI55" s="418"/>
      <c r="AJ55" s="260"/>
      <c r="AK55" s="448"/>
      <c r="AL55" s="418"/>
      <c r="AM55" s="418"/>
      <c r="AN55" s="418"/>
      <c r="AO55" s="420"/>
      <c r="AP55" s="421"/>
      <c r="AQ55" s="418"/>
      <c r="AR55" s="418"/>
      <c r="AS55" s="130"/>
      <c r="AT55" s="260"/>
      <c r="AU55" s="483"/>
      <c r="AV55" s="418"/>
      <c r="AW55" s="418"/>
      <c r="AX55" s="418"/>
      <c r="AY55" s="420"/>
      <c r="AZ55" s="421"/>
      <c r="BA55" s="418"/>
      <c r="BB55" s="418"/>
      <c r="BC55" s="418"/>
      <c r="BD55" s="419"/>
      <c r="BE55" s="448"/>
      <c r="BF55" s="130"/>
      <c r="BG55" s="418"/>
      <c r="BH55" s="418"/>
      <c r="BI55" s="420"/>
      <c r="BJ55" s="421"/>
      <c r="BK55" s="418"/>
      <c r="BL55" s="418"/>
      <c r="BM55" s="418"/>
      <c r="BN55" s="419"/>
      <c r="BO55" s="483"/>
      <c r="BP55" s="418"/>
      <c r="BQ55" s="130"/>
      <c r="BR55" s="130"/>
      <c r="BS55" s="420"/>
      <c r="BT55" s="259"/>
      <c r="BU55" s="130"/>
      <c r="BV55" s="418"/>
      <c r="BW55" s="418"/>
      <c r="BX55" s="419"/>
      <c r="BY55" s="483"/>
      <c r="BZ55" s="130"/>
      <c r="CA55" s="130"/>
      <c r="CB55" s="418"/>
      <c r="CC55" s="420"/>
      <c r="CD55" s="421"/>
      <c r="CE55" s="130"/>
      <c r="CF55" s="92"/>
      <c r="CG55" s="418"/>
      <c r="CH55" s="468" t="s">
        <v>40</v>
      </c>
      <c r="CI55" s="469" t="s">
        <v>40</v>
      </c>
      <c r="CJ55" s="210"/>
      <c r="CK55" s="210"/>
      <c r="CL55" s="210"/>
      <c r="CM55" s="211"/>
    </row>
    <row r="56" spans="1:91" ht="25.5" customHeight="1" x14ac:dyDescent="0.2">
      <c r="A56" s="324">
        <v>197</v>
      </c>
      <c r="B56" s="72">
        <v>0</v>
      </c>
      <c r="C56" s="79" t="s">
        <v>135</v>
      </c>
      <c r="D56" s="79" t="s">
        <v>423</v>
      </c>
      <c r="E56" s="77" t="s">
        <v>424</v>
      </c>
      <c r="F56" s="79"/>
      <c r="G56" s="79" t="s">
        <v>425</v>
      </c>
      <c r="H56" s="134" t="s">
        <v>600</v>
      </c>
      <c r="I56" s="142"/>
      <c r="J56" s="76"/>
      <c r="K56" s="141"/>
      <c r="L56" s="367"/>
      <c r="M56" s="307"/>
      <c r="N56" s="307"/>
      <c r="O56" s="307"/>
      <c r="P56" s="369"/>
      <c r="Q56" s="274"/>
      <c r="R56" s="76"/>
      <c r="S56" s="307"/>
      <c r="T56" s="310"/>
      <c r="U56" s="412"/>
      <c r="V56" s="413"/>
      <c r="W56" s="307"/>
      <c r="X56" s="307"/>
      <c r="Y56" s="307"/>
      <c r="Z56" s="369"/>
      <c r="AA56" s="485"/>
      <c r="AB56" s="310"/>
      <c r="AC56" s="307"/>
      <c r="AD56" s="307"/>
      <c r="AE56" s="412"/>
      <c r="AF56" s="413"/>
      <c r="AG56" s="310"/>
      <c r="AH56" s="310"/>
      <c r="AI56" s="310"/>
      <c r="AJ56" s="141"/>
      <c r="AK56" s="140"/>
      <c r="AL56" s="310"/>
      <c r="AM56" s="310"/>
      <c r="AN56" s="310"/>
      <c r="AO56" s="412"/>
      <c r="AP56" s="413"/>
      <c r="AQ56" s="310"/>
      <c r="AR56" s="310"/>
      <c r="AS56" s="76"/>
      <c r="AT56" s="141"/>
      <c r="AU56" s="485"/>
      <c r="AV56" s="310"/>
      <c r="AW56" s="310"/>
      <c r="AX56" s="310"/>
      <c r="AY56" s="412"/>
      <c r="AZ56" s="413"/>
      <c r="BA56" s="310"/>
      <c r="BB56" s="310"/>
      <c r="BC56" s="310"/>
      <c r="BD56" s="411"/>
      <c r="BE56" s="140"/>
      <c r="BF56" s="76"/>
      <c r="BG56" s="310"/>
      <c r="BH56" s="310"/>
      <c r="BI56" s="412"/>
      <c r="BJ56" s="413"/>
      <c r="BK56" s="310"/>
      <c r="BL56" s="310"/>
      <c r="BM56" s="310"/>
      <c r="BN56" s="411"/>
      <c r="BO56" s="485"/>
      <c r="BP56" s="310"/>
      <c r="BQ56" s="76"/>
      <c r="BR56" s="76"/>
      <c r="BS56" s="412"/>
      <c r="BT56" s="142"/>
      <c r="BU56" s="76"/>
      <c r="BV56" s="310"/>
      <c r="BW56" s="310"/>
      <c r="BX56" s="411"/>
      <c r="BY56" s="485"/>
      <c r="BZ56" s="76"/>
      <c r="CA56" s="76"/>
      <c r="CB56" s="310"/>
      <c r="CC56" s="412"/>
      <c r="CD56" s="413"/>
      <c r="CE56" s="76"/>
      <c r="CF56" s="79"/>
      <c r="CG56" s="310"/>
      <c r="CH56" s="470" t="s">
        <v>40</v>
      </c>
      <c r="CI56" s="471" t="s">
        <v>40</v>
      </c>
      <c r="CJ56" s="202"/>
      <c r="CK56" s="202"/>
      <c r="CL56" s="202"/>
      <c r="CM56" s="203"/>
    </row>
    <row r="57" spans="1:91" ht="25.5" customHeight="1" x14ac:dyDescent="0.2">
      <c r="A57" s="324">
        <v>198</v>
      </c>
      <c r="B57" s="72">
        <v>0</v>
      </c>
      <c r="C57" s="79" t="s">
        <v>135</v>
      </c>
      <c r="D57" s="79" t="s">
        <v>426</v>
      </c>
      <c r="E57" s="77" t="s">
        <v>427</v>
      </c>
      <c r="F57" s="79"/>
      <c r="G57" s="79" t="s">
        <v>773</v>
      </c>
      <c r="H57" s="134" t="s">
        <v>872</v>
      </c>
      <c r="I57" s="142"/>
      <c r="J57" s="76"/>
      <c r="K57" s="141"/>
      <c r="L57" s="367"/>
      <c r="M57" s="307"/>
      <c r="N57" s="307"/>
      <c r="O57" s="307"/>
      <c r="P57" s="369"/>
      <c r="Q57" s="274"/>
      <c r="R57" s="76"/>
      <c r="S57" s="307"/>
      <c r="T57" s="310"/>
      <c r="U57" s="412"/>
      <c r="V57" s="413"/>
      <c r="W57" s="307"/>
      <c r="X57" s="307"/>
      <c r="Y57" s="307"/>
      <c r="Z57" s="369"/>
      <c r="AA57" s="485"/>
      <c r="AB57" s="310"/>
      <c r="AC57" s="307"/>
      <c r="AD57" s="307"/>
      <c r="AE57" s="412"/>
      <c r="AF57" s="413"/>
      <c r="AG57" s="310"/>
      <c r="AH57" s="310"/>
      <c r="AI57" s="310"/>
      <c r="AJ57" s="141"/>
      <c r="AK57" s="140"/>
      <c r="AL57" s="310"/>
      <c r="AM57" s="310"/>
      <c r="AN57" s="310"/>
      <c r="AO57" s="412"/>
      <c r="AP57" s="413"/>
      <c r="AQ57" s="310"/>
      <c r="AR57" s="310"/>
      <c r="AS57" s="76"/>
      <c r="AT57" s="141"/>
      <c r="AU57" s="485"/>
      <c r="AV57" s="310"/>
      <c r="AW57" s="310"/>
      <c r="AX57" s="310"/>
      <c r="AY57" s="412"/>
      <c r="AZ57" s="413"/>
      <c r="BA57" s="310"/>
      <c r="BB57" s="310"/>
      <c r="BC57" s="310"/>
      <c r="BD57" s="411"/>
      <c r="BE57" s="140"/>
      <c r="BF57" s="76"/>
      <c r="BG57" s="310"/>
      <c r="BH57" s="310"/>
      <c r="BI57" s="412"/>
      <c r="BJ57" s="413"/>
      <c r="BK57" s="310"/>
      <c r="BL57" s="310"/>
      <c r="BM57" s="310"/>
      <c r="BN57" s="411"/>
      <c r="BO57" s="485"/>
      <c r="BP57" s="310"/>
      <c r="BQ57" s="76"/>
      <c r="BR57" s="76"/>
      <c r="BS57" s="412"/>
      <c r="BT57" s="142"/>
      <c r="BU57" s="76"/>
      <c r="BV57" s="310"/>
      <c r="BW57" s="310"/>
      <c r="BX57" s="411"/>
      <c r="BY57" s="485"/>
      <c r="BZ57" s="76"/>
      <c r="CA57" s="76"/>
      <c r="CB57" s="310"/>
      <c r="CC57" s="412"/>
      <c r="CD57" s="413"/>
      <c r="CE57" s="76"/>
      <c r="CF57" s="79"/>
      <c r="CG57" s="310"/>
      <c r="CH57" s="470" t="s">
        <v>40</v>
      </c>
      <c r="CI57" s="471" t="s">
        <v>40</v>
      </c>
      <c r="CJ57" s="202"/>
      <c r="CK57" s="202"/>
      <c r="CL57" s="202"/>
      <c r="CM57" s="203"/>
    </row>
    <row r="58" spans="1:91" ht="25.5" customHeight="1" x14ac:dyDescent="0.2">
      <c r="A58" s="324">
        <v>199</v>
      </c>
      <c r="B58" s="72">
        <v>0</v>
      </c>
      <c r="C58" s="79" t="s">
        <v>135</v>
      </c>
      <c r="D58" s="79" t="s">
        <v>428</v>
      </c>
      <c r="E58" s="77" t="s">
        <v>429</v>
      </c>
      <c r="F58" s="79"/>
      <c r="G58" s="79" t="s">
        <v>430</v>
      </c>
      <c r="H58" s="134" t="s">
        <v>601</v>
      </c>
      <c r="I58" s="142"/>
      <c r="J58" s="76"/>
      <c r="K58" s="141"/>
      <c r="L58" s="367"/>
      <c r="M58" s="307"/>
      <c r="N58" s="307"/>
      <c r="O58" s="307"/>
      <c r="P58" s="369"/>
      <c r="Q58" s="274"/>
      <c r="R58" s="76"/>
      <c r="S58" s="307"/>
      <c r="T58" s="310"/>
      <c r="U58" s="412"/>
      <c r="V58" s="413"/>
      <c r="W58" s="307"/>
      <c r="X58" s="307"/>
      <c r="Y58" s="307"/>
      <c r="Z58" s="369"/>
      <c r="AA58" s="485"/>
      <c r="AB58" s="310"/>
      <c r="AC58" s="307"/>
      <c r="AD58" s="307"/>
      <c r="AE58" s="412"/>
      <c r="AF58" s="413"/>
      <c r="AG58" s="310"/>
      <c r="AH58" s="310"/>
      <c r="AI58" s="310"/>
      <c r="AJ58" s="141"/>
      <c r="AK58" s="140"/>
      <c r="AL58" s="310"/>
      <c r="AM58" s="310"/>
      <c r="AN58" s="310"/>
      <c r="AO58" s="412"/>
      <c r="AP58" s="413"/>
      <c r="AQ58" s="310"/>
      <c r="AR58" s="310"/>
      <c r="AS58" s="76"/>
      <c r="AT58" s="141"/>
      <c r="AU58" s="485"/>
      <c r="AV58" s="310"/>
      <c r="AW58" s="310"/>
      <c r="AX58" s="310"/>
      <c r="AY58" s="412"/>
      <c r="AZ58" s="413"/>
      <c r="BA58" s="310"/>
      <c r="BB58" s="310"/>
      <c r="BC58" s="310"/>
      <c r="BD58" s="411"/>
      <c r="BE58" s="140"/>
      <c r="BF58" s="76"/>
      <c r="BG58" s="310"/>
      <c r="BH58" s="310"/>
      <c r="BI58" s="412"/>
      <c r="BJ58" s="413"/>
      <c r="BK58" s="310"/>
      <c r="BL58" s="310"/>
      <c r="BM58" s="310"/>
      <c r="BN58" s="411"/>
      <c r="BO58" s="485"/>
      <c r="BP58" s="310"/>
      <c r="BQ58" s="76"/>
      <c r="BR58" s="76"/>
      <c r="BS58" s="412"/>
      <c r="BT58" s="142"/>
      <c r="BU58" s="76"/>
      <c r="BV58" s="310"/>
      <c r="BW58" s="310"/>
      <c r="BX58" s="411"/>
      <c r="BY58" s="485"/>
      <c r="BZ58" s="76"/>
      <c r="CA58" s="76"/>
      <c r="CB58" s="310"/>
      <c r="CC58" s="412"/>
      <c r="CD58" s="413"/>
      <c r="CE58" s="76"/>
      <c r="CF58" s="79"/>
      <c r="CG58" s="310"/>
      <c r="CH58" s="470" t="s">
        <v>40</v>
      </c>
      <c r="CI58" s="471" t="s">
        <v>40</v>
      </c>
      <c r="CJ58" s="202"/>
      <c r="CK58" s="202"/>
      <c r="CL58" s="202"/>
      <c r="CM58" s="203"/>
    </row>
    <row r="59" spans="1:91" ht="25.5" customHeight="1" thickBot="1" x14ac:dyDescent="0.25">
      <c r="A59" s="325">
        <v>200</v>
      </c>
      <c r="B59" s="73"/>
      <c r="C59" s="74"/>
      <c r="D59" s="74"/>
      <c r="E59" s="126"/>
      <c r="F59" s="74"/>
      <c r="G59" s="74"/>
      <c r="H59" s="135"/>
      <c r="I59" s="269"/>
      <c r="J59" s="89"/>
      <c r="K59" s="270"/>
      <c r="L59" s="275"/>
      <c r="M59" s="74"/>
      <c r="N59" s="74"/>
      <c r="O59" s="74"/>
      <c r="P59" s="276"/>
      <c r="Q59" s="275"/>
      <c r="R59" s="89"/>
      <c r="S59" s="74"/>
      <c r="T59" s="89"/>
      <c r="U59" s="268"/>
      <c r="V59" s="269"/>
      <c r="W59" s="74"/>
      <c r="X59" s="74"/>
      <c r="Y59" s="74"/>
      <c r="Z59" s="276"/>
      <c r="AA59" s="271"/>
      <c r="AB59" s="89"/>
      <c r="AC59" s="74"/>
      <c r="AD59" s="74"/>
      <c r="AE59" s="268"/>
      <c r="AF59" s="269"/>
      <c r="AG59" s="89"/>
      <c r="AH59" s="89"/>
      <c r="AI59" s="89"/>
      <c r="AJ59" s="270"/>
      <c r="AK59" s="271"/>
      <c r="AL59" s="89"/>
      <c r="AM59" s="89"/>
      <c r="AN59" s="89"/>
      <c r="AO59" s="268"/>
      <c r="AP59" s="269"/>
      <c r="AQ59" s="89"/>
      <c r="AR59" s="89"/>
      <c r="AS59" s="89"/>
      <c r="AT59" s="270"/>
      <c r="AU59" s="271"/>
      <c r="AV59" s="89"/>
      <c r="AW59" s="89"/>
      <c r="AX59" s="89"/>
      <c r="AY59" s="268"/>
      <c r="AZ59" s="269"/>
      <c r="BA59" s="89"/>
      <c r="BB59" s="89"/>
      <c r="BC59" s="89"/>
      <c r="BD59" s="270"/>
      <c r="BE59" s="271"/>
      <c r="BF59" s="89"/>
      <c r="BG59" s="89"/>
      <c r="BH59" s="89"/>
      <c r="BI59" s="268"/>
      <c r="BJ59" s="269"/>
      <c r="BK59" s="89"/>
      <c r="BL59" s="89"/>
      <c r="BM59" s="89"/>
      <c r="BN59" s="270"/>
      <c r="BO59" s="271"/>
      <c r="BP59" s="89"/>
      <c r="BQ59" s="89"/>
      <c r="BR59" s="89"/>
      <c r="BS59" s="268"/>
      <c r="BT59" s="269"/>
      <c r="BU59" s="89"/>
      <c r="BV59" s="89"/>
      <c r="BW59" s="89"/>
      <c r="BX59" s="270"/>
      <c r="BY59" s="271"/>
      <c r="BZ59" s="89"/>
      <c r="CA59" s="89"/>
      <c r="CB59" s="89"/>
      <c r="CC59" s="268"/>
      <c r="CD59" s="269"/>
      <c r="CE59" s="89"/>
      <c r="CF59" s="74"/>
      <c r="CG59" s="89"/>
      <c r="CH59" s="268"/>
      <c r="CI59" s="269"/>
      <c r="CJ59" s="206"/>
      <c r="CK59" s="206"/>
      <c r="CL59" s="206"/>
      <c r="CM59" s="207"/>
    </row>
    <row r="60" spans="1:91" ht="15" customHeight="1" thickBot="1" x14ac:dyDescent="0.25">
      <c r="A60" s="430"/>
      <c r="B60" s="222"/>
      <c r="C60" s="315"/>
      <c r="D60" s="221"/>
      <c r="F60" s="431"/>
      <c r="G60" s="431"/>
      <c r="H60" s="431"/>
      <c r="I60" s="431"/>
      <c r="J60" s="431"/>
      <c r="K60" s="431"/>
      <c r="L60" s="431"/>
      <c r="M60" s="431"/>
      <c r="N60" s="431"/>
      <c r="O60" s="431"/>
      <c r="P60" s="220"/>
      <c r="Q60" s="220"/>
      <c r="R60" s="220"/>
      <c r="S60" s="220"/>
      <c r="T60" s="220"/>
      <c r="U60" s="220"/>
      <c r="V60" s="220"/>
      <c r="W60" s="220"/>
      <c r="X60" s="220"/>
      <c r="Y60" s="220"/>
      <c r="Z60" s="220"/>
      <c r="AA60" s="220"/>
      <c r="AB60" s="220"/>
      <c r="AC60" s="220"/>
      <c r="AD60" s="220"/>
      <c r="AE60" s="220"/>
      <c r="AF60" s="220"/>
      <c r="AG60" s="220"/>
      <c r="AH60" s="220"/>
      <c r="AI60" s="220"/>
      <c r="AJ60" s="220"/>
      <c r="AK60" s="220"/>
      <c r="AL60" s="220"/>
      <c r="AM60" s="220"/>
      <c r="AN60" s="220"/>
      <c r="AO60" s="220"/>
      <c r="AP60" s="220"/>
      <c r="AQ60" s="220"/>
      <c r="AR60" s="220"/>
      <c r="AS60" s="220"/>
      <c r="AT60" s="220"/>
      <c r="AU60" s="220"/>
      <c r="AV60" s="220"/>
      <c r="AW60" s="220"/>
      <c r="AX60" s="220"/>
      <c r="AY60" s="220"/>
      <c r="AZ60" s="220"/>
      <c r="BA60" s="220"/>
      <c r="BB60" s="220"/>
      <c r="BC60" s="220"/>
      <c r="BD60" s="220"/>
      <c r="BE60" s="220"/>
      <c r="BF60" s="220"/>
      <c r="BG60" s="220"/>
      <c r="BH60" s="220"/>
      <c r="BI60" s="220"/>
      <c r="BJ60" s="220"/>
      <c r="BK60" s="220"/>
      <c r="BL60" s="220"/>
      <c r="BM60" s="220"/>
      <c r="BN60" s="220"/>
      <c r="BO60" s="220"/>
      <c r="BP60" s="220"/>
      <c r="BQ60" s="220"/>
      <c r="BR60" s="220"/>
      <c r="BS60" s="220"/>
      <c r="BT60" s="220"/>
      <c r="BU60" s="220"/>
      <c r="BV60" s="220"/>
      <c r="BW60" s="220"/>
      <c r="BX60" s="220"/>
      <c r="BY60" s="220"/>
      <c r="BZ60" s="220"/>
      <c r="CA60" s="220"/>
      <c r="CB60" s="220"/>
      <c r="CC60" s="220"/>
      <c r="CD60" s="220"/>
      <c r="CE60" s="220"/>
      <c r="CF60" s="220"/>
      <c r="CG60" s="231"/>
      <c r="CH60" s="231"/>
      <c r="CI60" s="231"/>
      <c r="CJ60" s="231"/>
      <c r="CK60" s="231"/>
      <c r="CL60" s="231"/>
      <c r="CM60" s="432"/>
    </row>
    <row r="61" spans="1:91" ht="25.5" customHeight="1" thickBot="1" x14ac:dyDescent="0.25">
      <c r="A61" s="682" t="s">
        <v>19</v>
      </c>
      <c r="B61" s="683"/>
      <c r="C61" s="684"/>
      <c r="D61" s="433"/>
      <c r="E61" s="685" t="s">
        <v>16</v>
      </c>
      <c r="F61" s="683"/>
      <c r="G61" s="684"/>
      <c r="H61" s="434" t="s">
        <v>7</v>
      </c>
      <c r="I61" s="435" t="s">
        <v>6</v>
      </c>
      <c r="J61" s="435" t="s">
        <v>1088</v>
      </c>
      <c r="K61" s="435" t="s">
        <v>15</v>
      </c>
      <c r="L61" s="672"/>
      <c r="M61" s="686"/>
      <c r="N61" s="686"/>
      <c r="O61" s="686"/>
      <c r="P61" s="686"/>
      <c r="Q61" s="686"/>
      <c r="R61" s="686"/>
      <c r="S61" s="686"/>
      <c r="T61" s="686"/>
      <c r="U61" s="686"/>
      <c r="V61" s="686"/>
      <c r="W61" s="686"/>
      <c r="X61" s="686"/>
      <c r="Y61" s="686"/>
      <c r="Z61" s="686"/>
      <c r="AA61" s="686"/>
      <c r="AB61" s="686"/>
      <c r="AC61" s="686"/>
      <c r="AD61" s="686"/>
      <c r="AE61" s="686"/>
      <c r="AF61" s="686"/>
      <c r="AG61" s="686"/>
      <c r="AH61" s="686"/>
      <c r="AI61" s="686"/>
      <c r="AJ61" s="686"/>
      <c r="AK61" s="686"/>
      <c r="AL61" s="686"/>
      <c r="AM61" s="686"/>
      <c r="AN61" s="686"/>
      <c r="AO61" s="686"/>
      <c r="AP61" s="686"/>
      <c r="AQ61" s="686"/>
      <c r="AR61" s="686"/>
      <c r="AS61" s="686"/>
      <c r="AT61" s="686"/>
      <c r="AU61" s="686"/>
      <c r="AV61" s="686"/>
      <c r="AW61" s="686"/>
      <c r="AX61" s="686"/>
      <c r="AY61" s="686"/>
      <c r="AZ61" s="686"/>
      <c r="BA61" s="686"/>
      <c r="BB61" s="686"/>
      <c r="BC61" s="686"/>
      <c r="BD61" s="686"/>
      <c r="BE61" s="687"/>
      <c r="BF61" s="676"/>
      <c r="BG61" s="676"/>
      <c r="BH61" s="676"/>
      <c r="BI61" s="676"/>
      <c r="BJ61" s="676"/>
      <c r="BK61" s="676"/>
      <c r="BL61" s="676"/>
      <c r="BM61" s="676"/>
      <c r="BN61" s="676"/>
      <c r="BO61" s="676"/>
      <c r="BP61" s="676"/>
      <c r="BQ61" s="676"/>
      <c r="BR61" s="676"/>
      <c r="BS61" s="676"/>
      <c r="BT61" s="676"/>
      <c r="BU61" s="677"/>
      <c r="BV61" s="672"/>
      <c r="BW61" s="668"/>
      <c r="BX61" s="668"/>
      <c r="BY61" s="668"/>
      <c r="BZ61" s="668"/>
      <c r="CA61" s="668"/>
      <c r="CB61" s="668"/>
      <c r="CC61" s="668"/>
      <c r="CD61" s="668"/>
      <c r="CE61" s="668"/>
      <c r="CF61" s="668"/>
      <c r="CG61" s="668"/>
      <c r="CH61" s="668"/>
      <c r="CI61" s="668"/>
      <c r="CJ61" s="668"/>
      <c r="CK61" s="668"/>
      <c r="CL61" s="668"/>
      <c r="CM61" s="669"/>
    </row>
    <row r="62" spans="1:91" ht="25.5" customHeight="1" x14ac:dyDescent="0.2">
      <c r="A62" s="674">
        <f>IF('Title Page'!K22&lt;&gt;"",'Title Page'!K22,"")</f>
        <v>0</v>
      </c>
      <c r="B62" s="675"/>
      <c r="C62" s="675"/>
      <c r="D62" s="130"/>
      <c r="E62" s="656" t="str">
        <f>IF('Title Page'!L22&lt;&gt;"",'Title Page'!L22,"")</f>
        <v>Issued For Construction, Concise Job # PEM029-001</v>
      </c>
      <c r="F62" s="656"/>
      <c r="G62" s="656"/>
      <c r="H62" s="436">
        <f>IF('Title Page'!R22&lt;&gt;"",'Title Page'!R22,"")</f>
        <v>41520</v>
      </c>
      <c r="I62" s="436" t="str">
        <f>IF('Title Page'!S22&lt;&gt;"",'Title Page'!S22,"")</f>
        <v>MHS</v>
      </c>
      <c r="J62" s="436" t="str">
        <f>IF('Title Page'!T22&lt;&gt;"",'Title Page'!T22,"")</f>
        <v>TJG</v>
      </c>
      <c r="K62" s="437" t="str">
        <f>IF('Title Page'!V22&lt;&gt;"",'Title Page'!V22,"")</f>
        <v/>
      </c>
      <c r="L62" s="688"/>
      <c r="M62" s="689"/>
      <c r="N62" s="689"/>
      <c r="O62" s="689"/>
      <c r="P62" s="689"/>
      <c r="Q62" s="689"/>
      <c r="R62" s="689"/>
      <c r="S62" s="689"/>
      <c r="T62" s="689"/>
      <c r="U62" s="689"/>
      <c r="V62" s="689"/>
      <c r="W62" s="689"/>
      <c r="X62" s="689"/>
      <c r="Y62" s="689"/>
      <c r="Z62" s="689"/>
      <c r="AA62" s="689"/>
      <c r="AB62" s="689"/>
      <c r="AC62" s="689"/>
      <c r="AD62" s="689"/>
      <c r="AE62" s="689"/>
      <c r="AF62" s="689"/>
      <c r="AG62" s="689"/>
      <c r="AH62" s="689"/>
      <c r="AI62" s="689"/>
      <c r="AJ62" s="689"/>
      <c r="AK62" s="689"/>
      <c r="AL62" s="689"/>
      <c r="AM62" s="689"/>
      <c r="AN62" s="689"/>
      <c r="AO62" s="689"/>
      <c r="AP62" s="689"/>
      <c r="AQ62" s="689"/>
      <c r="AR62" s="689"/>
      <c r="AS62" s="689"/>
      <c r="AT62" s="689"/>
      <c r="AU62" s="689"/>
      <c r="AV62" s="689"/>
      <c r="AW62" s="689"/>
      <c r="AX62" s="689"/>
      <c r="AY62" s="689"/>
      <c r="AZ62" s="689"/>
      <c r="BA62" s="689"/>
      <c r="BB62" s="689"/>
      <c r="BC62" s="689"/>
      <c r="BD62" s="689"/>
      <c r="BE62" s="690"/>
      <c r="BF62" s="678"/>
      <c r="BG62" s="678"/>
      <c r="BH62" s="678"/>
      <c r="BI62" s="678"/>
      <c r="BJ62" s="678"/>
      <c r="BK62" s="678"/>
      <c r="BL62" s="678"/>
      <c r="BM62" s="678"/>
      <c r="BN62" s="678"/>
      <c r="BO62" s="678"/>
      <c r="BP62" s="678"/>
      <c r="BQ62" s="678"/>
      <c r="BR62" s="678"/>
      <c r="BS62" s="678"/>
      <c r="BT62" s="678"/>
      <c r="BU62" s="679"/>
      <c r="BV62" s="673"/>
      <c r="BW62" s="670"/>
      <c r="BX62" s="670"/>
      <c r="BY62" s="670"/>
      <c r="BZ62" s="670"/>
      <c r="CA62" s="670"/>
      <c r="CB62" s="670"/>
      <c r="CC62" s="670"/>
      <c r="CD62" s="670"/>
      <c r="CE62" s="670"/>
      <c r="CF62" s="670"/>
      <c r="CG62" s="670"/>
      <c r="CH62" s="670"/>
      <c r="CI62" s="670"/>
      <c r="CJ62" s="670"/>
      <c r="CK62" s="670"/>
      <c r="CL62" s="670"/>
      <c r="CM62" s="671"/>
    </row>
    <row r="63" spans="1:91" ht="25.5" customHeight="1" thickBot="1" x14ac:dyDescent="0.25">
      <c r="A63" s="654" t="str">
        <f>IF('Title Page'!K23&lt;&gt;"",'Title Page'!K23,"")</f>
        <v/>
      </c>
      <c r="B63" s="655"/>
      <c r="C63" s="655"/>
      <c r="D63" s="130"/>
      <c r="E63" s="656" t="str">
        <f>IF('Title Page'!L23&lt;&gt;"",'Title Page'!L23,"")</f>
        <v/>
      </c>
      <c r="F63" s="656"/>
      <c r="G63" s="656"/>
      <c r="H63" s="436" t="str">
        <f>IF('Title Page'!R23&lt;&gt;"",'Title Page'!R23,"")</f>
        <v/>
      </c>
      <c r="I63" s="436" t="str">
        <f>IF('Title Page'!S23&lt;&gt;"",'Title Page'!S23,"")</f>
        <v/>
      </c>
      <c r="J63" s="436" t="str">
        <f>IF('Title Page'!T23&lt;&gt;"",'Title Page'!T23,"")</f>
        <v/>
      </c>
      <c r="K63" s="437" t="str">
        <f>IF('Title Page'!V23&lt;&gt;"",'Title Page'!V23,"")</f>
        <v/>
      </c>
      <c r="L63" s="688"/>
      <c r="M63" s="689"/>
      <c r="N63" s="689"/>
      <c r="O63" s="689"/>
      <c r="P63" s="689"/>
      <c r="Q63" s="689"/>
      <c r="R63" s="689"/>
      <c r="S63" s="689"/>
      <c r="T63" s="689"/>
      <c r="U63" s="689"/>
      <c r="V63" s="689"/>
      <c r="W63" s="689"/>
      <c r="X63" s="689"/>
      <c r="Y63" s="689"/>
      <c r="Z63" s="689"/>
      <c r="AA63" s="689"/>
      <c r="AB63" s="689"/>
      <c r="AC63" s="689"/>
      <c r="AD63" s="689"/>
      <c r="AE63" s="689"/>
      <c r="AF63" s="689"/>
      <c r="AG63" s="689"/>
      <c r="AH63" s="689"/>
      <c r="AI63" s="689"/>
      <c r="AJ63" s="689"/>
      <c r="AK63" s="689"/>
      <c r="AL63" s="689"/>
      <c r="AM63" s="689"/>
      <c r="AN63" s="689"/>
      <c r="AO63" s="689"/>
      <c r="AP63" s="689"/>
      <c r="AQ63" s="689"/>
      <c r="AR63" s="689"/>
      <c r="AS63" s="689"/>
      <c r="AT63" s="689"/>
      <c r="AU63" s="689"/>
      <c r="AV63" s="689"/>
      <c r="AW63" s="689"/>
      <c r="AX63" s="689"/>
      <c r="AY63" s="689"/>
      <c r="AZ63" s="689"/>
      <c r="BA63" s="689"/>
      <c r="BB63" s="689"/>
      <c r="BC63" s="689"/>
      <c r="BD63" s="689"/>
      <c r="BE63" s="690"/>
      <c r="BF63" s="680"/>
      <c r="BG63" s="680"/>
      <c r="BH63" s="680"/>
      <c r="BI63" s="680"/>
      <c r="BJ63" s="680"/>
      <c r="BK63" s="680"/>
      <c r="BL63" s="680"/>
      <c r="BM63" s="680"/>
      <c r="BN63" s="680"/>
      <c r="BO63" s="680"/>
      <c r="BP63" s="680"/>
      <c r="BQ63" s="680"/>
      <c r="BR63" s="680"/>
      <c r="BS63" s="680"/>
      <c r="BT63" s="680"/>
      <c r="BU63" s="681"/>
      <c r="BV63" s="666"/>
      <c r="BW63" s="663"/>
      <c r="BX63" s="663"/>
      <c r="BY63" s="663"/>
      <c r="BZ63" s="663"/>
      <c r="CA63" s="663"/>
      <c r="CB63" s="663"/>
      <c r="CC63" s="663"/>
      <c r="CD63" s="663"/>
      <c r="CE63" s="663"/>
      <c r="CF63" s="663"/>
      <c r="CG63" s="663"/>
      <c r="CH63" s="663"/>
      <c r="CI63" s="663"/>
      <c r="CJ63" s="663"/>
      <c r="CK63" s="663"/>
      <c r="CL63" s="663"/>
      <c r="CM63" s="653"/>
    </row>
    <row r="64" spans="1:91" ht="27" customHeight="1" x14ac:dyDescent="0.2">
      <c r="A64" s="654" t="str">
        <f>IF('Title Page'!K24&lt;&gt;"",'Title Page'!K24,"")</f>
        <v/>
      </c>
      <c r="B64" s="655"/>
      <c r="C64" s="655"/>
      <c r="D64" s="130"/>
      <c r="E64" s="656" t="str">
        <f>IF('Title Page'!L24&lt;&gt;"",'Title Page'!L24,"")</f>
        <v/>
      </c>
      <c r="F64" s="656"/>
      <c r="G64" s="656"/>
      <c r="H64" s="436" t="str">
        <f>IF('Title Page'!R24&lt;&gt;"",'Title Page'!R24,"")</f>
        <v/>
      </c>
      <c r="I64" s="436" t="str">
        <f>IF('Title Page'!S24&lt;&gt;"",'Title Page'!S24,"")</f>
        <v/>
      </c>
      <c r="J64" s="436" t="str">
        <f>IF('Title Page'!T24&lt;&gt;"",'Title Page'!T24,"")</f>
        <v/>
      </c>
      <c r="K64" s="437" t="str">
        <f>IF('Title Page'!V24&lt;&gt;"",'Title Page'!V24,"")</f>
        <v/>
      </c>
      <c r="L64" s="688"/>
      <c r="M64" s="689"/>
      <c r="N64" s="689"/>
      <c r="O64" s="689"/>
      <c r="P64" s="689"/>
      <c r="Q64" s="689"/>
      <c r="R64" s="689"/>
      <c r="S64" s="689"/>
      <c r="T64" s="689"/>
      <c r="U64" s="689"/>
      <c r="V64" s="689"/>
      <c r="W64" s="689"/>
      <c r="X64" s="689"/>
      <c r="Y64" s="689"/>
      <c r="Z64" s="689"/>
      <c r="AA64" s="689"/>
      <c r="AB64" s="689"/>
      <c r="AC64" s="689"/>
      <c r="AD64" s="689"/>
      <c r="AE64" s="689"/>
      <c r="AF64" s="689"/>
      <c r="AG64" s="689"/>
      <c r="AH64" s="689"/>
      <c r="AI64" s="689"/>
      <c r="AJ64" s="689"/>
      <c r="AK64" s="689"/>
      <c r="AL64" s="689"/>
      <c r="AM64" s="689"/>
      <c r="AN64" s="689"/>
      <c r="AO64" s="689"/>
      <c r="AP64" s="689"/>
      <c r="AQ64" s="689"/>
      <c r="AR64" s="689"/>
      <c r="AS64" s="689"/>
      <c r="AT64" s="689"/>
      <c r="AU64" s="689"/>
      <c r="AV64" s="689"/>
      <c r="AW64" s="689"/>
      <c r="AX64" s="689"/>
      <c r="AY64" s="689"/>
      <c r="AZ64" s="689"/>
      <c r="BA64" s="689"/>
      <c r="BB64" s="689"/>
      <c r="BC64" s="689"/>
      <c r="BD64" s="689"/>
      <c r="BE64" s="690"/>
      <c r="BF64" s="668"/>
      <c r="BG64" s="668"/>
      <c r="BH64" s="668"/>
      <c r="BI64" s="668"/>
      <c r="BJ64" s="668"/>
      <c r="BK64" s="668"/>
      <c r="BL64" s="668"/>
      <c r="BM64" s="668"/>
      <c r="BN64" s="668"/>
      <c r="BO64" s="668"/>
      <c r="BP64" s="668"/>
      <c r="BQ64" s="668"/>
      <c r="BR64" s="668"/>
      <c r="BS64" s="668"/>
      <c r="BT64" s="668"/>
      <c r="BU64" s="669"/>
      <c r="BV64" s="635" t="str">
        <f>'Title Page'!AA6</f>
        <v>Chickadee Creek Pump Station 04-22-061-15 W5M
Pembina Pipeline Corporation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SHUTDOWN KEY</v>
      </c>
      <c r="BW64" s="636"/>
      <c r="BX64" s="636"/>
      <c r="BY64" s="636"/>
      <c r="BZ64" s="636"/>
      <c r="CA64" s="636"/>
      <c r="CB64" s="636"/>
      <c r="CC64" s="636"/>
      <c r="CD64" s="636"/>
      <c r="CE64" s="636"/>
      <c r="CF64" s="636"/>
      <c r="CG64" s="636"/>
      <c r="CH64" s="636"/>
      <c r="CI64" s="636"/>
      <c r="CJ64" s="636"/>
      <c r="CK64" s="636"/>
      <c r="CL64" s="636"/>
      <c r="CM64" s="637"/>
    </row>
    <row r="65" spans="1:91" ht="25.5" customHeight="1" x14ac:dyDescent="0.2">
      <c r="A65" s="654" t="str">
        <f>IF('Title Page'!K25&lt;&gt;"",'Title Page'!K25,"")</f>
        <v/>
      </c>
      <c r="B65" s="655"/>
      <c r="C65" s="655"/>
      <c r="D65" s="130"/>
      <c r="E65" s="656" t="str">
        <f>IF('Title Page'!L25&lt;&gt;"",'Title Page'!L25,"")</f>
        <v/>
      </c>
      <c r="F65" s="656"/>
      <c r="G65" s="656"/>
      <c r="H65" s="436" t="str">
        <f>IF('Title Page'!R25&lt;&gt;"",'Title Page'!R25,"")</f>
        <v/>
      </c>
      <c r="I65" s="436" t="str">
        <f>IF('Title Page'!S25&lt;&gt;"",'Title Page'!S25,"")</f>
        <v/>
      </c>
      <c r="J65" s="436" t="str">
        <f>IF('Title Page'!T25&lt;&gt;"",'Title Page'!T25,"")</f>
        <v/>
      </c>
      <c r="K65" s="437" t="str">
        <f>IF('Title Page'!V25&lt;&gt;"",'Title Page'!V25,"")</f>
        <v/>
      </c>
      <c r="L65" s="688"/>
      <c r="M65" s="689"/>
      <c r="N65" s="689"/>
      <c r="O65" s="689"/>
      <c r="P65" s="689"/>
      <c r="Q65" s="689"/>
      <c r="R65" s="689"/>
      <c r="S65" s="689"/>
      <c r="T65" s="689"/>
      <c r="U65" s="689"/>
      <c r="V65" s="689"/>
      <c r="W65" s="689"/>
      <c r="X65" s="689"/>
      <c r="Y65" s="689"/>
      <c r="Z65" s="689"/>
      <c r="AA65" s="689"/>
      <c r="AB65" s="689"/>
      <c r="AC65" s="689"/>
      <c r="AD65" s="689"/>
      <c r="AE65" s="689"/>
      <c r="AF65" s="689"/>
      <c r="AG65" s="689"/>
      <c r="AH65" s="689"/>
      <c r="AI65" s="689"/>
      <c r="AJ65" s="689"/>
      <c r="AK65" s="689"/>
      <c r="AL65" s="689"/>
      <c r="AM65" s="689"/>
      <c r="AN65" s="689"/>
      <c r="AO65" s="689"/>
      <c r="AP65" s="689"/>
      <c r="AQ65" s="689"/>
      <c r="AR65" s="689"/>
      <c r="AS65" s="689"/>
      <c r="AT65" s="689"/>
      <c r="AU65" s="689"/>
      <c r="AV65" s="689"/>
      <c r="AW65" s="689"/>
      <c r="AX65" s="689"/>
      <c r="AY65" s="689"/>
      <c r="AZ65" s="689"/>
      <c r="BA65" s="689"/>
      <c r="BB65" s="689"/>
      <c r="BC65" s="689"/>
      <c r="BD65" s="689"/>
      <c r="BE65" s="690"/>
      <c r="BF65" s="670"/>
      <c r="BG65" s="670"/>
      <c r="BH65" s="670"/>
      <c r="BI65" s="670"/>
      <c r="BJ65" s="670"/>
      <c r="BK65" s="670"/>
      <c r="BL65" s="670"/>
      <c r="BM65" s="670"/>
      <c r="BN65" s="670"/>
      <c r="BO65" s="670"/>
      <c r="BP65" s="670"/>
      <c r="BQ65" s="670"/>
      <c r="BR65" s="670"/>
      <c r="BS65" s="670"/>
      <c r="BT65" s="670"/>
      <c r="BU65" s="671"/>
      <c r="BV65" s="638"/>
      <c r="BW65" s="639"/>
      <c r="BX65" s="639"/>
      <c r="BY65" s="639"/>
      <c r="BZ65" s="639"/>
      <c r="CA65" s="639"/>
      <c r="CB65" s="639"/>
      <c r="CC65" s="639"/>
      <c r="CD65" s="639"/>
      <c r="CE65" s="639"/>
      <c r="CF65" s="639"/>
      <c r="CG65" s="639"/>
      <c r="CH65" s="639"/>
      <c r="CI65" s="639"/>
      <c r="CJ65" s="639"/>
      <c r="CK65" s="639"/>
      <c r="CL65" s="639"/>
      <c r="CM65" s="640"/>
    </row>
    <row r="66" spans="1:91" ht="25.5" customHeight="1" thickBot="1" x14ac:dyDescent="0.25">
      <c r="A66" s="654" t="str">
        <f>IF('Title Page'!K26&lt;&gt;"",'Title Page'!K26,"")</f>
        <v/>
      </c>
      <c r="B66" s="655"/>
      <c r="C66" s="655"/>
      <c r="D66" s="130"/>
      <c r="E66" s="656" t="str">
        <f>IF('Title Page'!L26&lt;&gt;"",'Title Page'!L26,"")</f>
        <v/>
      </c>
      <c r="F66" s="656"/>
      <c r="G66" s="656"/>
      <c r="H66" s="436" t="str">
        <f>IF('Title Page'!R26&lt;&gt;"",'Title Page'!R26,"")</f>
        <v/>
      </c>
      <c r="I66" s="436" t="str">
        <f>IF('Title Page'!S26&lt;&gt;"",'Title Page'!S26,"")</f>
        <v/>
      </c>
      <c r="J66" s="436" t="str">
        <f>IF('Title Page'!T26&lt;&gt;"",'Title Page'!T26,"")</f>
        <v/>
      </c>
      <c r="K66" s="437" t="str">
        <f>IF('Title Page'!V26&lt;&gt;"",'Title Page'!V26,"")</f>
        <v/>
      </c>
      <c r="L66" s="688"/>
      <c r="M66" s="689"/>
      <c r="N66" s="689"/>
      <c r="O66" s="689"/>
      <c r="P66" s="689"/>
      <c r="Q66" s="689"/>
      <c r="R66" s="689"/>
      <c r="S66" s="689"/>
      <c r="T66" s="689"/>
      <c r="U66" s="689"/>
      <c r="V66" s="689"/>
      <c r="W66" s="689"/>
      <c r="X66" s="689"/>
      <c r="Y66" s="689"/>
      <c r="Z66" s="689"/>
      <c r="AA66" s="689"/>
      <c r="AB66" s="689"/>
      <c r="AC66" s="689"/>
      <c r="AD66" s="689"/>
      <c r="AE66" s="689"/>
      <c r="AF66" s="689"/>
      <c r="AG66" s="689"/>
      <c r="AH66" s="689"/>
      <c r="AI66" s="689"/>
      <c r="AJ66" s="689"/>
      <c r="AK66" s="689"/>
      <c r="AL66" s="689"/>
      <c r="AM66" s="689"/>
      <c r="AN66" s="689"/>
      <c r="AO66" s="689"/>
      <c r="AP66" s="689"/>
      <c r="AQ66" s="689"/>
      <c r="AR66" s="689"/>
      <c r="AS66" s="689"/>
      <c r="AT66" s="689"/>
      <c r="AU66" s="689"/>
      <c r="AV66" s="689"/>
      <c r="AW66" s="689"/>
      <c r="AX66" s="689"/>
      <c r="AY66" s="689"/>
      <c r="AZ66" s="689"/>
      <c r="BA66" s="689"/>
      <c r="BB66" s="689"/>
      <c r="BC66" s="689"/>
      <c r="BD66" s="689"/>
      <c r="BE66" s="690"/>
      <c r="BF66" s="663"/>
      <c r="BG66" s="663"/>
      <c r="BH66" s="663"/>
      <c r="BI66" s="663"/>
      <c r="BJ66" s="663"/>
      <c r="BK66" s="663"/>
      <c r="BL66" s="663"/>
      <c r="BM66" s="663"/>
      <c r="BN66" s="663"/>
      <c r="BO66" s="663"/>
      <c r="BP66" s="663"/>
      <c r="BQ66" s="663"/>
      <c r="BR66" s="663"/>
      <c r="BS66" s="663"/>
      <c r="BT66" s="663"/>
      <c r="BU66" s="653"/>
      <c r="BV66" s="641"/>
      <c r="BW66" s="642"/>
      <c r="BX66" s="642"/>
      <c r="BY66" s="642"/>
      <c r="BZ66" s="642"/>
      <c r="CA66" s="642"/>
      <c r="CB66" s="642"/>
      <c r="CC66" s="642"/>
      <c r="CD66" s="642"/>
      <c r="CE66" s="642"/>
      <c r="CF66" s="642"/>
      <c r="CG66" s="642"/>
      <c r="CH66" s="642"/>
      <c r="CI66" s="642"/>
      <c r="CJ66" s="642"/>
      <c r="CK66" s="642"/>
      <c r="CL66" s="642"/>
      <c r="CM66" s="643"/>
    </row>
    <row r="67" spans="1:91" ht="25.5" customHeight="1" x14ac:dyDescent="0.2">
      <c r="A67" s="654" t="str">
        <f>IF('Title Page'!K27&lt;&gt;"",'Title Page'!K27,"")</f>
        <v/>
      </c>
      <c r="B67" s="655"/>
      <c r="C67" s="655"/>
      <c r="D67" s="130"/>
      <c r="E67" s="656" t="str">
        <f>IF('Title Page'!L27&lt;&gt;"",'Title Page'!L27,"")</f>
        <v/>
      </c>
      <c r="F67" s="656"/>
      <c r="G67" s="656"/>
      <c r="H67" s="436" t="str">
        <f>IF('Title Page'!R27&lt;&gt;"",'Title Page'!R27,"")</f>
        <v/>
      </c>
      <c r="I67" s="436" t="str">
        <f>IF('Title Page'!S27&lt;&gt;"",'Title Page'!S27,"")</f>
        <v/>
      </c>
      <c r="J67" s="436" t="str">
        <f>IF('Title Page'!T27&lt;&gt;"",'Title Page'!T27,"")</f>
        <v/>
      </c>
      <c r="K67" s="437" t="str">
        <f>IF('Title Page'!V27&lt;&gt;"",'Title Page'!V27,"")</f>
        <v/>
      </c>
      <c r="L67" s="688"/>
      <c r="M67" s="689"/>
      <c r="N67" s="689"/>
      <c r="O67" s="689"/>
      <c r="P67" s="689"/>
      <c r="Q67" s="689"/>
      <c r="R67" s="689"/>
      <c r="S67" s="689"/>
      <c r="T67" s="689"/>
      <c r="U67" s="689"/>
      <c r="V67" s="689"/>
      <c r="W67" s="689"/>
      <c r="X67" s="689"/>
      <c r="Y67" s="689"/>
      <c r="Z67" s="689"/>
      <c r="AA67" s="689"/>
      <c r="AB67" s="689"/>
      <c r="AC67" s="689"/>
      <c r="AD67" s="689"/>
      <c r="AE67" s="689"/>
      <c r="AF67" s="689"/>
      <c r="AG67" s="689"/>
      <c r="AH67" s="689"/>
      <c r="AI67" s="689"/>
      <c r="AJ67" s="689"/>
      <c r="AK67" s="689"/>
      <c r="AL67" s="689"/>
      <c r="AM67" s="689"/>
      <c r="AN67" s="689"/>
      <c r="AO67" s="689"/>
      <c r="AP67" s="689"/>
      <c r="AQ67" s="689"/>
      <c r="AR67" s="689"/>
      <c r="AS67" s="689"/>
      <c r="AT67" s="689"/>
      <c r="AU67" s="689"/>
      <c r="AV67" s="689"/>
      <c r="AW67" s="689"/>
      <c r="AX67" s="689"/>
      <c r="AY67" s="689"/>
      <c r="AZ67" s="689"/>
      <c r="BA67" s="689"/>
      <c r="BB67" s="689"/>
      <c r="BC67" s="689"/>
      <c r="BD67" s="689"/>
      <c r="BE67" s="690"/>
      <c r="BF67" s="657" t="s">
        <v>26</v>
      </c>
      <c r="BG67" s="657"/>
      <c r="BH67" s="657"/>
      <c r="BI67" s="657"/>
      <c r="BJ67" s="657"/>
      <c r="BK67" s="657"/>
      <c r="BL67" s="657"/>
      <c r="BM67" s="657"/>
      <c r="BN67" s="657"/>
      <c r="BO67" s="657"/>
      <c r="BP67" s="657"/>
      <c r="BQ67" s="657"/>
      <c r="BR67" s="657"/>
      <c r="BS67" s="657"/>
      <c r="BT67" s="657"/>
      <c r="BU67" s="658"/>
      <c r="BV67" s="659" t="s">
        <v>8</v>
      </c>
      <c r="BW67" s="657"/>
      <c r="BX67" s="660"/>
      <c r="BY67" s="661" t="s">
        <v>9</v>
      </c>
      <c r="BZ67" s="657"/>
      <c r="CA67" s="657"/>
      <c r="CB67" s="657"/>
      <c r="CC67" s="657"/>
      <c r="CD67" s="657"/>
      <c r="CE67" s="657"/>
      <c r="CF67" s="657"/>
      <c r="CG67" s="657"/>
      <c r="CH67" s="657"/>
      <c r="CI67" s="657"/>
      <c r="CJ67" s="657"/>
      <c r="CK67" s="660"/>
      <c r="CL67" s="661" t="s">
        <v>10</v>
      </c>
      <c r="CM67" s="658"/>
    </row>
    <row r="68" spans="1:91" ht="25.5" customHeight="1" x14ac:dyDescent="0.2">
      <c r="A68" s="654" t="str">
        <f>IF('Title Page'!K28&lt;&gt;"",'Title Page'!K28,"")</f>
        <v/>
      </c>
      <c r="B68" s="655"/>
      <c r="C68" s="655"/>
      <c r="D68" s="130"/>
      <c r="E68" s="656" t="str">
        <f>IF('Title Page'!L28&lt;&gt;"",'Title Page'!L28,"")</f>
        <v/>
      </c>
      <c r="F68" s="656"/>
      <c r="G68" s="656"/>
      <c r="H68" s="436" t="str">
        <f>IF('Title Page'!R28&lt;&gt;"",'Title Page'!R28,"")</f>
        <v/>
      </c>
      <c r="I68" s="436" t="str">
        <f>IF('Title Page'!S28&lt;&gt;"",'Title Page'!S28,"")</f>
        <v/>
      </c>
      <c r="J68" s="436" t="str">
        <f>IF('Title Page'!T28&lt;&gt;"",'Title Page'!T28,"")</f>
        <v/>
      </c>
      <c r="K68" s="437" t="str">
        <f>IF('Title Page'!V28&lt;&gt;"",'Title Page'!V28,"")</f>
        <v/>
      </c>
      <c r="L68" s="688"/>
      <c r="M68" s="689"/>
      <c r="N68" s="689"/>
      <c r="O68" s="689"/>
      <c r="P68" s="689"/>
      <c r="Q68" s="689"/>
      <c r="R68" s="689"/>
      <c r="S68" s="689"/>
      <c r="T68" s="689"/>
      <c r="U68" s="689"/>
      <c r="V68" s="689"/>
      <c r="W68" s="689"/>
      <c r="X68" s="689"/>
      <c r="Y68" s="689"/>
      <c r="Z68" s="689"/>
      <c r="AA68" s="689"/>
      <c r="AB68" s="689"/>
      <c r="AC68" s="689"/>
      <c r="AD68" s="689"/>
      <c r="AE68" s="689"/>
      <c r="AF68" s="689"/>
      <c r="AG68" s="689"/>
      <c r="AH68" s="689"/>
      <c r="AI68" s="689"/>
      <c r="AJ68" s="689"/>
      <c r="AK68" s="689"/>
      <c r="AL68" s="689"/>
      <c r="AM68" s="689"/>
      <c r="AN68" s="689"/>
      <c r="AO68" s="689"/>
      <c r="AP68" s="689"/>
      <c r="AQ68" s="689"/>
      <c r="AR68" s="689"/>
      <c r="AS68" s="689"/>
      <c r="AT68" s="689"/>
      <c r="AU68" s="689"/>
      <c r="AV68" s="689"/>
      <c r="AW68" s="689"/>
      <c r="AX68" s="689"/>
      <c r="AY68" s="689"/>
      <c r="AZ68" s="689"/>
      <c r="BA68" s="689"/>
      <c r="BB68" s="689"/>
      <c r="BC68" s="689"/>
      <c r="BD68" s="689"/>
      <c r="BE68" s="690"/>
      <c r="BF68" s="662" t="str">
        <f>'Title Page'!Z21</f>
        <v>PEM029-001</v>
      </c>
      <c r="BG68" s="662"/>
      <c r="BH68" s="662"/>
      <c r="BI68" s="662"/>
      <c r="BJ68" s="662"/>
      <c r="BK68" s="662"/>
      <c r="BL68" s="662"/>
      <c r="BM68" s="662"/>
      <c r="BN68" s="662"/>
      <c r="BO68" s="662"/>
      <c r="BP68" s="662"/>
      <c r="BQ68" s="662"/>
      <c r="BR68" s="662"/>
      <c r="BS68" s="662"/>
      <c r="BT68" s="662"/>
      <c r="BU68" s="651"/>
      <c r="BV68" s="664" t="str">
        <f>'Title Page'!AA21</f>
        <v>None</v>
      </c>
      <c r="BW68" s="662"/>
      <c r="BX68" s="665"/>
      <c r="BY68" s="650" t="str">
        <f ca="1">BF68&amp;"-SDK-"&amp;RIGHT(RIGHT(CELL("filename",H7),LEN(CELL("filename",H7))-FIND("]",CELL("filename",H7))),LEN(RIGHT(CELL("filename",H7),LEN(CELL("filename",H7))-FIND("]",CELL("filename",H7))))-12)</f>
        <v>PEM029-001-SDK-4</v>
      </c>
      <c r="BZ68" s="662"/>
      <c r="CA68" s="662"/>
      <c r="CB68" s="662"/>
      <c r="CC68" s="662"/>
      <c r="CD68" s="662"/>
      <c r="CE68" s="662"/>
      <c r="CF68" s="662"/>
      <c r="CG68" s="662"/>
      <c r="CH68" s="662"/>
      <c r="CI68" s="662"/>
      <c r="CJ68" s="662"/>
      <c r="CK68" s="665"/>
      <c r="CL68" s="650">
        <f>'Title Page'!X21</f>
        <v>0</v>
      </c>
      <c r="CM68" s="651"/>
    </row>
    <row r="69" spans="1:91" ht="25.5" customHeight="1" thickBot="1" x14ac:dyDescent="0.25">
      <c r="A69" s="654" t="str">
        <f>IF('Title Page'!K29&lt;&gt;"",'Title Page'!K29,"")</f>
        <v/>
      </c>
      <c r="B69" s="655"/>
      <c r="C69" s="655"/>
      <c r="D69" s="130"/>
      <c r="E69" s="656" t="str">
        <f>IF('Title Page'!L29&lt;&gt;"",'Title Page'!L29,"")</f>
        <v/>
      </c>
      <c r="F69" s="656"/>
      <c r="G69" s="656"/>
      <c r="H69" s="436" t="str">
        <f>IF('Title Page'!R29&lt;&gt;"",'Title Page'!R29,"")</f>
        <v/>
      </c>
      <c r="I69" s="436" t="str">
        <f>IF('Title Page'!S29&lt;&gt;"",'Title Page'!S29,"")</f>
        <v/>
      </c>
      <c r="J69" s="436" t="str">
        <f>IF('Title Page'!T29&lt;&gt;"",'Title Page'!T29,"")</f>
        <v/>
      </c>
      <c r="K69" s="437" t="str">
        <f>IF('Title Page'!V29&lt;&gt;"",'Title Page'!V29,"")</f>
        <v/>
      </c>
      <c r="L69" s="691"/>
      <c r="M69" s="692"/>
      <c r="N69" s="692"/>
      <c r="O69" s="692"/>
      <c r="P69" s="692"/>
      <c r="Q69" s="692"/>
      <c r="R69" s="692"/>
      <c r="S69" s="692"/>
      <c r="T69" s="692"/>
      <c r="U69" s="692"/>
      <c r="V69" s="692"/>
      <c r="W69" s="692"/>
      <c r="X69" s="692"/>
      <c r="Y69" s="692"/>
      <c r="Z69" s="692"/>
      <c r="AA69" s="692"/>
      <c r="AB69" s="692"/>
      <c r="AC69" s="692"/>
      <c r="AD69" s="692"/>
      <c r="AE69" s="692"/>
      <c r="AF69" s="692"/>
      <c r="AG69" s="692"/>
      <c r="AH69" s="692"/>
      <c r="AI69" s="692"/>
      <c r="AJ69" s="692"/>
      <c r="AK69" s="692"/>
      <c r="AL69" s="692"/>
      <c r="AM69" s="692"/>
      <c r="AN69" s="692"/>
      <c r="AO69" s="692"/>
      <c r="AP69" s="692"/>
      <c r="AQ69" s="692"/>
      <c r="AR69" s="692"/>
      <c r="AS69" s="692"/>
      <c r="AT69" s="692"/>
      <c r="AU69" s="692"/>
      <c r="AV69" s="692"/>
      <c r="AW69" s="692"/>
      <c r="AX69" s="692"/>
      <c r="AY69" s="692"/>
      <c r="AZ69" s="692"/>
      <c r="BA69" s="692"/>
      <c r="BB69" s="692"/>
      <c r="BC69" s="692"/>
      <c r="BD69" s="692"/>
      <c r="BE69" s="693"/>
      <c r="BF69" s="663"/>
      <c r="BG69" s="663"/>
      <c r="BH69" s="663"/>
      <c r="BI69" s="663"/>
      <c r="BJ69" s="663"/>
      <c r="BK69" s="663"/>
      <c r="BL69" s="663"/>
      <c r="BM69" s="663"/>
      <c r="BN69" s="663"/>
      <c r="BO69" s="663"/>
      <c r="BP69" s="663"/>
      <c r="BQ69" s="663"/>
      <c r="BR69" s="663"/>
      <c r="BS69" s="663"/>
      <c r="BT69" s="663"/>
      <c r="BU69" s="653"/>
      <c r="BV69" s="666"/>
      <c r="BW69" s="663"/>
      <c r="BX69" s="667"/>
      <c r="BY69" s="652"/>
      <c r="BZ69" s="663"/>
      <c r="CA69" s="663"/>
      <c r="CB69" s="663"/>
      <c r="CC69" s="663"/>
      <c r="CD69" s="663"/>
      <c r="CE69" s="663"/>
      <c r="CF69" s="663"/>
      <c r="CG69" s="663"/>
      <c r="CH69" s="663"/>
      <c r="CI69" s="663"/>
      <c r="CJ69" s="663"/>
      <c r="CK69" s="667"/>
      <c r="CL69" s="652"/>
      <c r="CM69" s="653"/>
    </row>
    <row r="70" spans="1:91" ht="12" customHeight="1" x14ac:dyDescent="0.25">
      <c r="A70" s="438"/>
      <c r="B70" s="439"/>
      <c r="C70" s="439"/>
      <c r="D70" s="439"/>
      <c r="E70" s="228"/>
      <c r="F70" s="440"/>
      <c r="G70" s="440"/>
      <c r="H70" s="440"/>
      <c r="I70" s="441"/>
      <c r="BL70" s="305"/>
      <c r="BM70" s="305"/>
      <c r="BN70" s="305"/>
      <c r="BO70" s="305"/>
      <c r="BP70" s="305"/>
      <c r="BQ70" s="305"/>
      <c r="BR70" s="305"/>
      <c r="BS70" s="305"/>
      <c r="BT70" s="443"/>
      <c r="CD70" s="228"/>
      <c r="CE70" s="228"/>
      <c r="CF70" s="228"/>
      <c r="CG70" s="228"/>
      <c r="CH70" s="228"/>
      <c r="CI70" s="228"/>
      <c r="CJ70" s="228"/>
      <c r="CK70" s="228"/>
      <c r="CL70" s="228"/>
      <c r="CM70" s="228"/>
    </row>
  </sheetData>
  <mergeCells count="45">
    <mergeCell ref="BF64:BU66"/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A67:C67"/>
    <mergeCell ref="E67:G67"/>
    <mergeCell ref="BF67:BU67"/>
    <mergeCell ref="BV67:BX67"/>
    <mergeCell ref="BY67:CK67"/>
    <mergeCell ref="A61:C61"/>
    <mergeCell ref="E61:G61"/>
    <mergeCell ref="BV64:CM66"/>
    <mergeCell ref="A65:C65"/>
    <mergeCell ref="E65:G65"/>
    <mergeCell ref="A66:C66"/>
    <mergeCell ref="E66:G66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  <mergeCell ref="G7:G9"/>
    <mergeCell ref="H7:H9"/>
    <mergeCell ref="I7:K7"/>
    <mergeCell ref="J8:K8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18" orientation="landscape" r:id="rId1"/>
  <headerFooter alignWithMargins="0">
    <oddFooter xml:space="preserve">&amp;L&amp;F&amp;C&amp;D&amp;RLauren Concise Design Shutdown Key 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DQ70"/>
  <sheetViews>
    <sheetView showGridLines="0" view="pageBreakPreview" topLeftCell="A5" zoomScale="50" zoomScaleNormal="50" zoomScaleSheetLayoutView="50" zoomScalePageLayoutView="50" workbookViewId="0">
      <selection activeCell="S11" sqref="S11"/>
    </sheetView>
  </sheetViews>
  <sheetFormatPr defaultColWidth="12.7109375" defaultRowHeight="12" customHeight="1" x14ac:dyDescent="0.25"/>
  <cols>
    <col min="1" max="1" width="8.7109375" style="220" bestFit="1" customWidth="1"/>
    <col min="2" max="2" width="7.42578125" style="220" customWidth="1"/>
    <col min="3" max="3" width="10.5703125" style="220" bestFit="1" customWidth="1"/>
    <col min="4" max="4" width="36.7109375" style="220" bestFit="1" customWidth="1"/>
    <col min="5" max="5" width="95.85546875" style="222" bestFit="1" customWidth="1"/>
    <col min="6" max="6" width="18.42578125" style="221" bestFit="1" customWidth="1"/>
    <col min="7" max="7" width="31.5703125" style="221" bestFit="1" customWidth="1"/>
    <col min="8" max="8" width="33" style="221" bestFit="1" customWidth="1"/>
    <col min="9" max="10" width="8.42578125" style="316" customWidth="1"/>
    <col min="11" max="11" width="10.85546875" style="316" bestFit="1" customWidth="1"/>
    <col min="12" max="12" width="6.140625" style="442" customWidth="1"/>
    <col min="13" max="21" width="6.140625" style="222" customWidth="1"/>
    <col min="22" max="22" width="6.140625" style="442" customWidth="1"/>
    <col min="23" max="31" width="6.140625" style="222" customWidth="1"/>
    <col min="32" max="32" width="6.140625" style="442" customWidth="1"/>
    <col min="33" max="41" width="6.140625" style="222" customWidth="1"/>
    <col min="42" max="42" width="6.140625" style="442" customWidth="1"/>
    <col min="43" max="51" width="6.140625" style="222" customWidth="1"/>
    <col min="52" max="52" width="6.140625" style="442" customWidth="1"/>
    <col min="53" max="61" width="6.140625" style="222" customWidth="1"/>
    <col min="62" max="62" width="6.140625" style="442" customWidth="1"/>
    <col min="63" max="71" width="6.140625" style="222" customWidth="1"/>
    <col min="72" max="72" width="6.140625" style="442" customWidth="1"/>
    <col min="73" max="80" width="6.140625" style="222" customWidth="1"/>
    <col min="81" max="81" width="6.140625" style="444" customWidth="1"/>
    <col min="82" max="91" width="6.140625" style="222" customWidth="1"/>
    <col min="92" max="16384" width="12.7109375" style="222"/>
  </cols>
  <sheetData>
    <row r="1" spans="1:121" s="339" customFormat="1" ht="20.25" customHeight="1" x14ac:dyDescent="0.25">
      <c r="A1" s="256"/>
      <c r="B1" s="334"/>
      <c r="C1" s="334"/>
      <c r="D1" s="334"/>
      <c r="E1" s="305"/>
      <c r="F1" s="335"/>
      <c r="G1" s="335"/>
      <c r="H1" s="335"/>
      <c r="I1" s="336"/>
      <c r="J1" s="337" t="s">
        <v>0</v>
      </c>
      <c r="K1" s="338"/>
      <c r="L1" s="136">
        <v>1</v>
      </c>
      <c r="M1" s="103">
        <v>2</v>
      </c>
      <c r="N1" s="103">
        <v>3</v>
      </c>
      <c r="O1" s="103">
        <v>4</v>
      </c>
      <c r="P1" s="137">
        <v>5</v>
      </c>
      <c r="Q1" s="136">
        <v>6</v>
      </c>
      <c r="R1" s="103">
        <v>7</v>
      </c>
      <c r="S1" s="103">
        <v>8</v>
      </c>
      <c r="T1" s="103">
        <v>9</v>
      </c>
      <c r="U1" s="138">
        <v>10</v>
      </c>
      <c r="V1" s="139">
        <v>11</v>
      </c>
      <c r="W1" s="103">
        <v>12</v>
      </c>
      <c r="X1" s="103">
        <v>13</v>
      </c>
      <c r="Y1" s="103">
        <v>14</v>
      </c>
      <c r="Z1" s="137">
        <v>15</v>
      </c>
      <c r="AA1" s="136">
        <v>16</v>
      </c>
      <c r="AB1" s="103">
        <v>17</v>
      </c>
      <c r="AC1" s="103">
        <v>18</v>
      </c>
      <c r="AD1" s="103">
        <v>19</v>
      </c>
      <c r="AE1" s="138">
        <v>20</v>
      </c>
      <c r="AF1" s="139">
        <v>21</v>
      </c>
      <c r="AG1" s="103">
        <v>22</v>
      </c>
      <c r="AH1" s="103">
        <v>23</v>
      </c>
      <c r="AI1" s="103">
        <v>24</v>
      </c>
      <c r="AJ1" s="137">
        <v>25</v>
      </c>
      <c r="AK1" s="136">
        <v>26</v>
      </c>
      <c r="AL1" s="103">
        <v>27</v>
      </c>
      <c r="AM1" s="103">
        <v>28</v>
      </c>
      <c r="AN1" s="103">
        <v>29</v>
      </c>
      <c r="AO1" s="138">
        <v>30</v>
      </c>
      <c r="AP1" s="139">
        <v>31</v>
      </c>
      <c r="AQ1" s="103">
        <v>32</v>
      </c>
      <c r="AR1" s="103">
        <v>33</v>
      </c>
      <c r="AS1" s="103">
        <v>34</v>
      </c>
      <c r="AT1" s="137">
        <v>35</v>
      </c>
      <c r="AU1" s="136">
        <v>36</v>
      </c>
      <c r="AV1" s="103">
        <v>37</v>
      </c>
      <c r="AW1" s="103">
        <v>38</v>
      </c>
      <c r="AX1" s="103">
        <v>39</v>
      </c>
      <c r="AY1" s="138">
        <v>40</v>
      </c>
      <c r="AZ1" s="139">
        <v>41</v>
      </c>
      <c r="BA1" s="103">
        <v>42</v>
      </c>
      <c r="BB1" s="103">
        <v>43</v>
      </c>
      <c r="BC1" s="103">
        <v>44</v>
      </c>
      <c r="BD1" s="137">
        <v>45</v>
      </c>
      <c r="BE1" s="136">
        <v>46</v>
      </c>
      <c r="BF1" s="103">
        <v>47</v>
      </c>
      <c r="BG1" s="103">
        <v>48</v>
      </c>
      <c r="BH1" s="103">
        <v>49</v>
      </c>
      <c r="BI1" s="138">
        <v>50</v>
      </c>
      <c r="BJ1" s="139">
        <v>51</v>
      </c>
      <c r="BK1" s="103">
        <v>52</v>
      </c>
      <c r="BL1" s="103">
        <v>53</v>
      </c>
      <c r="BM1" s="103">
        <v>54</v>
      </c>
      <c r="BN1" s="137">
        <v>55</v>
      </c>
      <c r="BO1" s="136">
        <v>56</v>
      </c>
      <c r="BP1" s="103">
        <v>57</v>
      </c>
      <c r="BQ1" s="103">
        <v>58</v>
      </c>
      <c r="BR1" s="103">
        <v>59</v>
      </c>
      <c r="BS1" s="138">
        <v>60</v>
      </c>
      <c r="BT1" s="139">
        <v>61</v>
      </c>
      <c r="BU1" s="103">
        <v>62</v>
      </c>
      <c r="BV1" s="103">
        <v>63</v>
      </c>
      <c r="BW1" s="103">
        <v>64</v>
      </c>
      <c r="BX1" s="137">
        <v>65</v>
      </c>
      <c r="BY1" s="136">
        <v>66</v>
      </c>
      <c r="BZ1" s="103">
        <v>67</v>
      </c>
      <c r="CA1" s="103">
        <v>68</v>
      </c>
      <c r="CB1" s="103">
        <v>69</v>
      </c>
      <c r="CC1" s="138">
        <v>70</v>
      </c>
      <c r="CD1" s="139">
        <v>71</v>
      </c>
      <c r="CE1" s="103">
        <v>72</v>
      </c>
      <c r="CF1" s="103">
        <v>73</v>
      </c>
      <c r="CG1" s="103">
        <v>74</v>
      </c>
      <c r="CH1" s="138">
        <v>75</v>
      </c>
      <c r="CI1" s="139">
        <v>76</v>
      </c>
      <c r="CJ1" s="103">
        <v>77</v>
      </c>
      <c r="CK1" s="103">
        <v>78</v>
      </c>
      <c r="CL1" s="103">
        <v>79</v>
      </c>
      <c r="CM1" s="137">
        <v>80</v>
      </c>
      <c r="CN1" s="220"/>
      <c r="CO1" s="220"/>
      <c r="CP1" s="220"/>
      <c r="CQ1" s="220"/>
      <c r="CR1" s="220"/>
      <c r="CS1" s="220"/>
      <c r="CT1" s="220"/>
      <c r="CU1" s="220"/>
      <c r="CV1" s="220"/>
      <c r="CW1" s="220"/>
      <c r="CX1" s="220"/>
      <c r="CY1" s="220"/>
      <c r="CZ1" s="220"/>
      <c r="DA1" s="220"/>
      <c r="DB1" s="220"/>
      <c r="DC1" s="220"/>
      <c r="DD1" s="220"/>
      <c r="DE1" s="220"/>
      <c r="DF1" s="220"/>
      <c r="DG1" s="220"/>
      <c r="DH1" s="220"/>
      <c r="DI1" s="220"/>
      <c r="DJ1" s="220"/>
      <c r="DK1" s="220"/>
      <c r="DL1" s="220"/>
      <c r="DM1" s="220"/>
      <c r="DN1" s="220"/>
      <c r="DO1" s="220"/>
      <c r="DP1" s="220"/>
      <c r="DQ1" s="220"/>
    </row>
    <row r="2" spans="1:121" s="339" customFormat="1" ht="24" customHeight="1" thickBot="1" x14ac:dyDescent="0.25">
      <c r="A2" s="184"/>
      <c r="B2" s="220"/>
      <c r="C2" s="220"/>
      <c r="D2" s="220"/>
      <c r="F2" s="221"/>
      <c r="G2" s="221"/>
      <c r="H2" s="221"/>
      <c r="I2" s="340"/>
      <c r="J2" s="341" t="s">
        <v>38</v>
      </c>
      <c r="K2" s="342"/>
      <c r="L2" s="140">
        <v>0</v>
      </c>
      <c r="M2" s="76">
        <v>0</v>
      </c>
      <c r="N2" s="76">
        <v>0</v>
      </c>
      <c r="O2" s="76">
        <v>0</v>
      </c>
      <c r="P2" s="141">
        <v>0</v>
      </c>
      <c r="Q2" s="140"/>
      <c r="R2" s="76"/>
      <c r="S2" s="76">
        <v>0</v>
      </c>
      <c r="T2" s="76">
        <v>0</v>
      </c>
      <c r="U2" s="81">
        <v>0</v>
      </c>
      <c r="V2" s="142">
        <v>0</v>
      </c>
      <c r="W2" s="76">
        <v>0</v>
      </c>
      <c r="X2" s="76">
        <v>0</v>
      </c>
      <c r="Y2" s="76">
        <v>0</v>
      </c>
      <c r="Z2" s="141">
        <v>0</v>
      </c>
      <c r="AA2" s="140">
        <v>0</v>
      </c>
      <c r="AB2" s="76">
        <v>0</v>
      </c>
      <c r="AC2" s="76">
        <v>0</v>
      </c>
      <c r="AD2" s="76">
        <v>0</v>
      </c>
      <c r="AE2" s="81">
        <v>0</v>
      </c>
      <c r="AF2" s="142">
        <v>0</v>
      </c>
      <c r="AG2" s="76">
        <v>0</v>
      </c>
      <c r="AH2" s="76">
        <v>0</v>
      </c>
      <c r="AI2" s="76">
        <v>0</v>
      </c>
      <c r="AJ2" s="141"/>
      <c r="AK2" s="140"/>
      <c r="AL2" s="76">
        <v>0</v>
      </c>
      <c r="AM2" s="76">
        <v>0</v>
      </c>
      <c r="AN2" s="76">
        <v>0</v>
      </c>
      <c r="AO2" s="81">
        <v>0</v>
      </c>
      <c r="AP2" s="142">
        <v>0</v>
      </c>
      <c r="AQ2" s="76">
        <v>0</v>
      </c>
      <c r="AR2" s="76">
        <v>0</v>
      </c>
      <c r="AS2" s="76"/>
      <c r="AT2" s="141"/>
      <c r="AU2" s="140">
        <v>0</v>
      </c>
      <c r="AV2" s="76">
        <v>0</v>
      </c>
      <c r="AW2" s="76">
        <v>0</v>
      </c>
      <c r="AX2" s="76">
        <v>0</v>
      </c>
      <c r="AY2" s="81">
        <v>0</v>
      </c>
      <c r="AZ2" s="142">
        <v>0</v>
      </c>
      <c r="BA2" s="76">
        <v>0</v>
      </c>
      <c r="BB2" s="76">
        <v>0</v>
      </c>
      <c r="BC2" s="76">
        <v>0</v>
      </c>
      <c r="BD2" s="141">
        <v>0</v>
      </c>
      <c r="BE2" s="140"/>
      <c r="BF2" s="76"/>
      <c r="BG2" s="76">
        <v>0</v>
      </c>
      <c r="BH2" s="76">
        <v>0</v>
      </c>
      <c r="BI2" s="81">
        <v>0</v>
      </c>
      <c r="BJ2" s="142">
        <v>0</v>
      </c>
      <c r="BK2" s="76">
        <v>0</v>
      </c>
      <c r="BL2" s="76">
        <v>0</v>
      </c>
      <c r="BM2" s="76">
        <v>0</v>
      </c>
      <c r="BN2" s="141">
        <v>0</v>
      </c>
      <c r="BO2" s="140">
        <v>0</v>
      </c>
      <c r="BP2" s="76">
        <v>0</v>
      </c>
      <c r="BQ2" s="76"/>
      <c r="BR2" s="76"/>
      <c r="BS2" s="81">
        <v>0</v>
      </c>
      <c r="BT2" s="142"/>
      <c r="BU2" s="76"/>
      <c r="BV2" s="76">
        <v>0</v>
      </c>
      <c r="BW2" s="76">
        <v>0</v>
      </c>
      <c r="BX2" s="141">
        <v>0</v>
      </c>
      <c r="BY2" s="140">
        <v>0</v>
      </c>
      <c r="BZ2" s="76"/>
      <c r="CA2" s="76"/>
      <c r="CB2" s="76">
        <v>0</v>
      </c>
      <c r="CC2" s="81">
        <v>0</v>
      </c>
      <c r="CD2" s="142">
        <v>0</v>
      </c>
      <c r="CE2" s="76"/>
      <c r="CF2" s="76"/>
      <c r="CG2" s="76">
        <v>0</v>
      </c>
      <c r="CH2" s="81">
        <v>0</v>
      </c>
      <c r="CI2" s="142">
        <v>0</v>
      </c>
      <c r="CJ2" s="76"/>
      <c r="CK2" s="76"/>
      <c r="CL2" s="76"/>
      <c r="CM2" s="141"/>
      <c r="CN2" s="234"/>
      <c r="CO2" s="234"/>
      <c r="CP2" s="234"/>
      <c r="CQ2" s="234"/>
      <c r="CR2" s="234"/>
      <c r="CS2" s="234"/>
      <c r="CT2" s="234"/>
      <c r="CU2" s="234"/>
      <c r="CV2" s="234"/>
      <c r="CW2" s="234"/>
      <c r="CX2" s="234"/>
      <c r="CY2" s="234"/>
      <c r="CZ2" s="234"/>
      <c r="DA2" s="234"/>
      <c r="DB2" s="234"/>
      <c r="DC2" s="234"/>
      <c r="DD2" s="234"/>
      <c r="DE2" s="234"/>
      <c r="DF2" s="234"/>
      <c r="DG2" s="234"/>
      <c r="DH2" s="234"/>
      <c r="DI2" s="234"/>
      <c r="DJ2" s="234"/>
      <c r="DK2" s="234"/>
      <c r="DL2" s="234"/>
      <c r="DM2" s="234"/>
      <c r="DN2" s="234"/>
      <c r="DO2" s="234"/>
      <c r="DP2" s="234"/>
      <c r="DQ2" s="220"/>
    </row>
    <row r="3" spans="1:121" ht="111" customHeight="1" x14ac:dyDescent="0.2">
      <c r="A3" s="184"/>
      <c r="I3" s="644" t="s">
        <v>35</v>
      </c>
      <c r="J3" s="645"/>
      <c r="K3" s="646"/>
      <c r="L3" s="143" t="s">
        <v>1044</v>
      </c>
      <c r="M3" s="144" t="s">
        <v>1044</v>
      </c>
      <c r="N3" s="144" t="s">
        <v>1044</v>
      </c>
      <c r="O3" s="144" t="s">
        <v>1044</v>
      </c>
      <c r="P3" s="145" t="s">
        <v>1044</v>
      </c>
      <c r="Q3" s="143"/>
      <c r="R3" s="146"/>
      <c r="S3" s="288" t="s">
        <v>1044</v>
      </c>
      <c r="T3" s="146">
        <v>5</v>
      </c>
      <c r="U3" s="317" t="s">
        <v>1044</v>
      </c>
      <c r="V3" s="147">
        <v>5</v>
      </c>
      <c r="W3" s="146">
        <v>5</v>
      </c>
      <c r="X3" s="146">
        <v>5</v>
      </c>
      <c r="Y3" s="288" t="s">
        <v>1044</v>
      </c>
      <c r="Z3" s="148">
        <v>5</v>
      </c>
      <c r="AA3" s="149">
        <v>5</v>
      </c>
      <c r="AB3" s="146">
        <v>5</v>
      </c>
      <c r="AC3" s="146">
        <v>5</v>
      </c>
      <c r="AD3" s="146">
        <v>5</v>
      </c>
      <c r="AE3" s="150" t="s">
        <v>135</v>
      </c>
      <c r="AF3" s="147" t="s">
        <v>135</v>
      </c>
      <c r="AG3" s="146">
        <v>5</v>
      </c>
      <c r="AH3" s="146">
        <v>5</v>
      </c>
      <c r="AI3" s="146" t="s">
        <v>1044</v>
      </c>
      <c r="AJ3" s="148"/>
      <c r="AK3" s="149"/>
      <c r="AL3" s="146">
        <v>1</v>
      </c>
      <c r="AM3" s="146">
        <v>1</v>
      </c>
      <c r="AN3" s="146">
        <v>1</v>
      </c>
      <c r="AO3" s="150">
        <v>1</v>
      </c>
      <c r="AP3" s="147">
        <v>1</v>
      </c>
      <c r="AQ3" s="146">
        <v>1</v>
      </c>
      <c r="AR3" s="146">
        <v>1</v>
      </c>
      <c r="AS3" s="151"/>
      <c r="AT3" s="148"/>
      <c r="AU3" s="149" t="s">
        <v>135</v>
      </c>
      <c r="AV3" s="146" t="s">
        <v>135</v>
      </c>
      <c r="AW3" s="146" t="s">
        <v>135</v>
      </c>
      <c r="AX3" s="146" t="s">
        <v>135</v>
      </c>
      <c r="AY3" s="150" t="s">
        <v>135</v>
      </c>
      <c r="AZ3" s="147">
        <v>4</v>
      </c>
      <c r="BA3" s="146">
        <v>2</v>
      </c>
      <c r="BB3" s="146">
        <v>2</v>
      </c>
      <c r="BC3" s="146">
        <v>2</v>
      </c>
      <c r="BD3" s="148">
        <v>2</v>
      </c>
      <c r="BE3" s="149"/>
      <c r="BF3" s="146"/>
      <c r="BG3" s="146" t="s">
        <v>135</v>
      </c>
      <c r="BH3" s="146" t="s">
        <v>135</v>
      </c>
      <c r="BI3" s="150" t="s">
        <v>135</v>
      </c>
      <c r="BJ3" s="147" t="s">
        <v>135</v>
      </c>
      <c r="BK3" s="146" t="s">
        <v>135</v>
      </c>
      <c r="BL3" s="146">
        <v>4</v>
      </c>
      <c r="BM3" s="146">
        <v>2</v>
      </c>
      <c r="BN3" s="148">
        <v>2</v>
      </c>
      <c r="BO3" s="149">
        <v>2</v>
      </c>
      <c r="BP3" s="146">
        <v>2</v>
      </c>
      <c r="BQ3" s="146"/>
      <c r="BR3" s="146"/>
      <c r="BS3" s="150">
        <v>3</v>
      </c>
      <c r="BT3" s="147"/>
      <c r="BU3" s="146"/>
      <c r="BV3" s="146" t="s">
        <v>135</v>
      </c>
      <c r="BW3" s="146" t="s">
        <v>135</v>
      </c>
      <c r="BX3" s="148" t="s">
        <v>135</v>
      </c>
      <c r="BY3" s="149" t="s">
        <v>135</v>
      </c>
      <c r="BZ3" s="146"/>
      <c r="CA3" s="146"/>
      <c r="CB3" s="146" t="s">
        <v>135</v>
      </c>
      <c r="CC3" s="150" t="s">
        <v>135</v>
      </c>
      <c r="CD3" s="147" t="s">
        <v>135</v>
      </c>
      <c r="CE3" s="146"/>
      <c r="CF3" s="146"/>
      <c r="CG3" s="146">
        <v>5</v>
      </c>
      <c r="CH3" s="150" t="s">
        <v>1044</v>
      </c>
      <c r="CI3" s="147" t="s">
        <v>1044</v>
      </c>
      <c r="CJ3" s="144"/>
      <c r="CK3" s="144"/>
      <c r="CL3" s="144"/>
      <c r="CM3" s="145"/>
      <c r="CN3" s="343"/>
      <c r="CO3" s="343"/>
      <c r="CP3" s="343"/>
      <c r="CQ3" s="343"/>
      <c r="CR3" s="343"/>
      <c r="CS3" s="343"/>
      <c r="CT3" s="343"/>
      <c r="CU3" s="343"/>
      <c r="CV3" s="343"/>
      <c r="CW3" s="343"/>
      <c r="CX3" s="343"/>
      <c r="CY3" s="343"/>
      <c r="CZ3" s="343"/>
      <c r="DA3" s="343"/>
      <c r="DB3" s="343"/>
      <c r="DC3" s="343"/>
      <c r="DD3" s="343"/>
      <c r="DE3" s="343"/>
      <c r="DF3" s="343"/>
      <c r="DG3" s="343"/>
      <c r="DH3" s="343"/>
      <c r="DI3" s="343"/>
      <c r="DJ3" s="343"/>
      <c r="DK3" s="343"/>
      <c r="DL3" s="343"/>
      <c r="DM3" s="343"/>
      <c r="DN3" s="343"/>
      <c r="DO3" s="343"/>
      <c r="DP3" s="343"/>
      <c r="DQ3" s="343"/>
    </row>
    <row r="4" spans="1:121" s="344" customFormat="1" ht="156.75" customHeight="1" x14ac:dyDescent="0.2">
      <c r="A4" s="184"/>
      <c r="B4" s="220"/>
      <c r="C4" s="220"/>
      <c r="D4" s="220"/>
      <c r="F4" s="220"/>
      <c r="G4" s="220"/>
      <c r="H4" s="227"/>
      <c r="I4" s="647" t="s">
        <v>36</v>
      </c>
      <c r="J4" s="648"/>
      <c r="K4" s="649"/>
      <c r="L4" s="143" t="s">
        <v>1044</v>
      </c>
      <c r="M4" s="144" t="s">
        <v>1044</v>
      </c>
      <c r="N4" s="144" t="s">
        <v>1044</v>
      </c>
      <c r="O4" s="144" t="s">
        <v>1044</v>
      </c>
      <c r="P4" s="145" t="s">
        <v>1044</v>
      </c>
      <c r="Q4" s="143"/>
      <c r="R4" s="146"/>
      <c r="S4" s="146" t="s">
        <v>136</v>
      </c>
      <c r="T4" s="146" t="s">
        <v>137</v>
      </c>
      <c r="U4" s="150" t="s">
        <v>138</v>
      </c>
      <c r="V4" s="147" t="s">
        <v>139</v>
      </c>
      <c r="W4" s="146" t="s">
        <v>140</v>
      </c>
      <c r="X4" s="146" t="s">
        <v>141</v>
      </c>
      <c r="Y4" s="146" t="s">
        <v>142</v>
      </c>
      <c r="Z4" s="148" t="s">
        <v>143</v>
      </c>
      <c r="AA4" s="149" t="s">
        <v>144</v>
      </c>
      <c r="AB4" s="146" t="s">
        <v>145</v>
      </c>
      <c r="AC4" s="146" t="s">
        <v>146</v>
      </c>
      <c r="AD4" s="146" t="s">
        <v>147</v>
      </c>
      <c r="AE4" s="150" t="s">
        <v>148</v>
      </c>
      <c r="AF4" s="147" t="s">
        <v>149</v>
      </c>
      <c r="AG4" s="146" t="s">
        <v>922</v>
      </c>
      <c r="AH4" s="146" t="s">
        <v>921</v>
      </c>
      <c r="AI4" s="146" t="s">
        <v>1049</v>
      </c>
      <c r="AJ4" s="148"/>
      <c r="AK4" s="149"/>
      <c r="AL4" s="146" t="s">
        <v>150</v>
      </c>
      <c r="AM4" s="146" t="s">
        <v>151</v>
      </c>
      <c r="AN4" s="146" t="s">
        <v>152</v>
      </c>
      <c r="AO4" s="150" t="s">
        <v>153</v>
      </c>
      <c r="AP4" s="147" t="s">
        <v>154</v>
      </c>
      <c r="AQ4" s="146" t="s">
        <v>155</v>
      </c>
      <c r="AR4" s="146" t="s">
        <v>156</v>
      </c>
      <c r="AS4" s="151"/>
      <c r="AT4" s="148"/>
      <c r="AU4" s="149" t="s">
        <v>157</v>
      </c>
      <c r="AV4" s="146" t="s">
        <v>158</v>
      </c>
      <c r="AW4" s="146" t="s">
        <v>159</v>
      </c>
      <c r="AX4" s="146" t="s">
        <v>160</v>
      </c>
      <c r="AY4" s="150" t="s">
        <v>161</v>
      </c>
      <c r="AZ4" s="147" t="s">
        <v>162</v>
      </c>
      <c r="BA4" s="146" t="s">
        <v>163</v>
      </c>
      <c r="BB4" s="146" t="s">
        <v>164</v>
      </c>
      <c r="BC4" s="146" t="s">
        <v>165</v>
      </c>
      <c r="BD4" s="148" t="s">
        <v>166</v>
      </c>
      <c r="BE4" s="149"/>
      <c r="BF4" s="146"/>
      <c r="BG4" s="146" t="s">
        <v>167</v>
      </c>
      <c r="BH4" s="146" t="s">
        <v>168</v>
      </c>
      <c r="BI4" s="150" t="s">
        <v>169</v>
      </c>
      <c r="BJ4" s="147" t="s">
        <v>170</v>
      </c>
      <c r="BK4" s="146" t="s">
        <v>171</v>
      </c>
      <c r="BL4" s="146" t="s">
        <v>172</v>
      </c>
      <c r="BM4" s="146" t="s">
        <v>173</v>
      </c>
      <c r="BN4" s="148" t="s">
        <v>174</v>
      </c>
      <c r="BO4" s="149" t="s">
        <v>175</v>
      </c>
      <c r="BP4" s="146" t="s">
        <v>176</v>
      </c>
      <c r="BQ4" s="146"/>
      <c r="BR4" s="146"/>
      <c r="BS4" s="150" t="s">
        <v>177</v>
      </c>
      <c r="BT4" s="147"/>
      <c r="BU4" s="146"/>
      <c r="BV4" s="146" t="s">
        <v>178</v>
      </c>
      <c r="BW4" s="146" t="s">
        <v>179</v>
      </c>
      <c r="BX4" s="148" t="s">
        <v>180</v>
      </c>
      <c r="BY4" s="149" t="s">
        <v>181</v>
      </c>
      <c r="BZ4" s="146"/>
      <c r="CA4" s="146"/>
      <c r="CB4" s="146" t="s">
        <v>182</v>
      </c>
      <c r="CC4" s="150" t="s">
        <v>183</v>
      </c>
      <c r="CD4" s="147" t="s">
        <v>622</v>
      </c>
      <c r="CE4" s="146"/>
      <c r="CF4" s="146"/>
      <c r="CG4" s="146" t="s">
        <v>623</v>
      </c>
      <c r="CH4" s="150" t="s">
        <v>41</v>
      </c>
      <c r="CI4" s="147" t="s">
        <v>42</v>
      </c>
      <c r="CJ4" s="144"/>
      <c r="CK4" s="144"/>
      <c r="CL4" s="144"/>
      <c r="CM4" s="145"/>
      <c r="CN4" s="343"/>
      <c r="CO4" s="343"/>
      <c r="CP4" s="343"/>
      <c r="CQ4" s="343"/>
      <c r="CR4" s="343"/>
      <c r="CS4" s="343"/>
      <c r="CT4" s="343"/>
      <c r="CU4" s="343"/>
      <c r="CV4" s="343"/>
      <c r="CW4" s="343"/>
      <c r="CX4" s="343"/>
      <c r="CY4" s="343"/>
      <c r="CZ4" s="343"/>
      <c r="DA4" s="343"/>
      <c r="DB4" s="343"/>
      <c r="DC4" s="343"/>
      <c r="DD4" s="343"/>
      <c r="DE4" s="234"/>
      <c r="DF4" s="343"/>
      <c r="DG4" s="234"/>
      <c r="DH4" s="343"/>
      <c r="DI4" s="234"/>
      <c r="DJ4" s="343"/>
      <c r="DK4" s="234"/>
      <c r="DL4" s="343"/>
      <c r="DM4" s="234"/>
      <c r="DN4" s="343"/>
      <c r="DO4" s="234"/>
      <c r="DP4" s="343"/>
      <c r="DQ4" s="343"/>
    </row>
    <row r="5" spans="1:121" s="220" customFormat="1" ht="409.5" customHeight="1" x14ac:dyDescent="0.2">
      <c r="A5" s="184"/>
      <c r="H5" s="345" t="s">
        <v>25</v>
      </c>
      <c r="I5" s="694" t="s">
        <v>11</v>
      </c>
      <c r="J5" s="695"/>
      <c r="K5" s="696"/>
      <c r="L5" s="143" t="s">
        <v>130</v>
      </c>
      <c r="M5" s="144" t="s">
        <v>131</v>
      </c>
      <c r="N5" s="144" t="s">
        <v>132</v>
      </c>
      <c r="O5" s="144" t="s">
        <v>133</v>
      </c>
      <c r="P5" s="145" t="s">
        <v>134</v>
      </c>
      <c r="Q5" s="143"/>
      <c r="R5" s="152" t="s">
        <v>43</v>
      </c>
      <c r="S5" s="151" t="s">
        <v>184</v>
      </c>
      <c r="T5" s="151" t="s">
        <v>185</v>
      </c>
      <c r="U5" s="153" t="s">
        <v>624</v>
      </c>
      <c r="V5" s="154" t="s">
        <v>186</v>
      </c>
      <c r="W5" s="151" t="s">
        <v>187</v>
      </c>
      <c r="X5" s="151" t="s">
        <v>188</v>
      </c>
      <c r="Y5" s="151" t="s">
        <v>625</v>
      </c>
      <c r="Z5" s="155" t="s">
        <v>189</v>
      </c>
      <c r="AA5" s="156" t="s">
        <v>190</v>
      </c>
      <c r="AB5" s="151" t="s">
        <v>191</v>
      </c>
      <c r="AC5" s="151" t="s">
        <v>192</v>
      </c>
      <c r="AD5" s="151" t="s">
        <v>193</v>
      </c>
      <c r="AE5" s="157" t="s">
        <v>627</v>
      </c>
      <c r="AF5" s="154" t="s">
        <v>626</v>
      </c>
      <c r="AG5" s="158" t="s">
        <v>952</v>
      </c>
      <c r="AH5" s="159" t="s">
        <v>953</v>
      </c>
      <c r="AI5" s="159" t="s">
        <v>1048</v>
      </c>
      <c r="AJ5" s="155"/>
      <c r="AK5" s="160" t="s">
        <v>628</v>
      </c>
      <c r="AL5" s="151" t="s">
        <v>194</v>
      </c>
      <c r="AM5" s="151" t="s">
        <v>195</v>
      </c>
      <c r="AN5" s="151" t="s">
        <v>196</v>
      </c>
      <c r="AO5" s="153" t="s">
        <v>197</v>
      </c>
      <c r="AP5" s="154" t="s">
        <v>198</v>
      </c>
      <c r="AQ5" s="151" t="s">
        <v>199</v>
      </c>
      <c r="AR5" s="151" t="s">
        <v>200</v>
      </c>
      <c r="AS5" s="151"/>
      <c r="AT5" s="161" t="s">
        <v>629</v>
      </c>
      <c r="AU5" s="156" t="s">
        <v>201</v>
      </c>
      <c r="AV5" s="151" t="s">
        <v>202</v>
      </c>
      <c r="AW5" s="151" t="s">
        <v>203</v>
      </c>
      <c r="AX5" s="151" t="s">
        <v>204</v>
      </c>
      <c r="AY5" s="153" t="s">
        <v>205</v>
      </c>
      <c r="AZ5" s="154" t="s">
        <v>206</v>
      </c>
      <c r="BA5" s="151" t="s">
        <v>630</v>
      </c>
      <c r="BB5" s="151" t="s">
        <v>631</v>
      </c>
      <c r="BC5" s="151" t="s">
        <v>632</v>
      </c>
      <c r="BD5" s="155" t="s">
        <v>633</v>
      </c>
      <c r="BE5" s="156"/>
      <c r="BF5" s="152" t="s">
        <v>634</v>
      </c>
      <c r="BG5" s="151" t="s">
        <v>207</v>
      </c>
      <c r="BH5" s="151" t="s">
        <v>208</v>
      </c>
      <c r="BI5" s="153" t="s">
        <v>209</v>
      </c>
      <c r="BJ5" s="154" t="s">
        <v>210</v>
      </c>
      <c r="BK5" s="151" t="s">
        <v>635</v>
      </c>
      <c r="BL5" s="151" t="s">
        <v>211</v>
      </c>
      <c r="BM5" s="158" t="s">
        <v>636</v>
      </c>
      <c r="BN5" s="162" t="s">
        <v>637</v>
      </c>
      <c r="BO5" s="156" t="s">
        <v>638</v>
      </c>
      <c r="BP5" s="151" t="s">
        <v>639</v>
      </c>
      <c r="BQ5" s="151"/>
      <c r="BR5" s="152" t="s">
        <v>44</v>
      </c>
      <c r="BS5" s="157" t="s">
        <v>212</v>
      </c>
      <c r="BT5" s="163"/>
      <c r="BU5" s="152" t="s">
        <v>640</v>
      </c>
      <c r="BV5" s="158" t="s">
        <v>213</v>
      </c>
      <c r="BW5" s="151" t="s">
        <v>214</v>
      </c>
      <c r="BX5" s="162" t="s">
        <v>215</v>
      </c>
      <c r="BY5" s="164" t="s">
        <v>216</v>
      </c>
      <c r="BZ5" s="151"/>
      <c r="CA5" s="152" t="s">
        <v>641</v>
      </c>
      <c r="CB5" s="151" t="s">
        <v>217</v>
      </c>
      <c r="CC5" s="153" t="s">
        <v>218</v>
      </c>
      <c r="CD5" s="165" t="s">
        <v>219</v>
      </c>
      <c r="CE5" s="151"/>
      <c r="CF5" s="151"/>
      <c r="CG5" s="151" t="s">
        <v>642</v>
      </c>
      <c r="CH5" s="153" t="s">
        <v>45</v>
      </c>
      <c r="CI5" s="154" t="s">
        <v>643</v>
      </c>
      <c r="CJ5" s="144"/>
      <c r="CK5" s="144"/>
      <c r="CL5" s="144"/>
      <c r="CM5" s="145"/>
      <c r="CN5" s="346"/>
      <c r="CO5" s="347"/>
      <c r="CP5" s="346"/>
      <c r="CQ5" s="347"/>
      <c r="CR5" s="346"/>
      <c r="CS5" s="347"/>
      <c r="CT5" s="346"/>
      <c r="CU5" s="347"/>
      <c r="CV5" s="346"/>
      <c r="CW5" s="348"/>
      <c r="CX5" s="346"/>
      <c r="CY5" s="348"/>
      <c r="CZ5" s="346"/>
      <c r="DA5" s="346"/>
      <c r="DB5" s="346"/>
      <c r="DC5" s="347"/>
      <c r="DD5" s="346"/>
      <c r="DE5" s="346"/>
      <c r="DF5" s="346"/>
      <c r="DG5" s="346"/>
      <c r="DH5" s="346"/>
      <c r="DI5" s="346"/>
      <c r="DJ5" s="346"/>
      <c r="DK5" s="347"/>
      <c r="DL5" s="346"/>
      <c r="DM5" s="348"/>
      <c r="DN5" s="346"/>
      <c r="DO5" s="346"/>
      <c r="DP5" s="346"/>
      <c r="DQ5" s="348"/>
    </row>
    <row r="6" spans="1:121" s="220" customFormat="1" ht="140.25" customHeight="1" thickBot="1" x14ac:dyDescent="0.3">
      <c r="A6" s="184"/>
      <c r="D6" s="224"/>
      <c r="E6" s="226" t="s">
        <v>24</v>
      </c>
      <c r="I6" s="697" t="s">
        <v>37</v>
      </c>
      <c r="J6" s="698"/>
      <c r="K6" s="699"/>
      <c r="L6" s="166" t="s">
        <v>1044</v>
      </c>
      <c r="M6" s="167" t="s">
        <v>1044</v>
      </c>
      <c r="N6" s="167" t="s">
        <v>1044</v>
      </c>
      <c r="O6" s="167" t="s">
        <v>1044</v>
      </c>
      <c r="P6" s="168" t="s">
        <v>1044</v>
      </c>
      <c r="Q6" s="166"/>
      <c r="R6" s="169"/>
      <c r="S6" s="169" t="s">
        <v>220</v>
      </c>
      <c r="T6" s="169" t="s">
        <v>221</v>
      </c>
      <c r="U6" s="170" t="s">
        <v>222</v>
      </c>
      <c r="V6" s="171" t="s">
        <v>223</v>
      </c>
      <c r="W6" s="169" t="s">
        <v>224</v>
      </c>
      <c r="X6" s="169" t="s">
        <v>225</v>
      </c>
      <c r="Y6" s="169" t="s">
        <v>226</v>
      </c>
      <c r="Z6" s="172" t="s">
        <v>227</v>
      </c>
      <c r="AA6" s="173" t="s">
        <v>228</v>
      </c>
      <c r="AB6" s="169" t="s">
        <v>229</v>
      </c>
      <c r="AC6" s="169" t="s">
        <v>230</v>
      </c>
      <c r="AD6" s="169" t="s">
        <v>231</v>
      </c>
      <c r="AE6" s="170" t="s">
        <v>232</v>
      </c>
      <c r="AF6" s="171" t="s">
        <v>233</v>
      </c>
      <c r="AG6" s="169" t="s">
        <v>919</v>
      </c>
      <c r="AH6" s="169" t="s">
        <v>920</v>
      </c>
      <c r="AI6" s="169" t="s">
        <v>1047</v>
      </c>
      <c r="AJ6" s="172"/>
      <c r="AK6" s="173"/>
      <c r="AL6" s="169" t="s">
        <v>46</v>
      </c>
      <c r="AM6" s="169" t="s">
        <v>47</v>
      </c>
      <c r="AN6" s="169" t="s">
        <v>48</v>
      </c>
      <c r="AO6" s="170" t="s">
        <v>49</v>
      </c>
      <c r="AP6" s="171" t="s">
        <v>50</v>
      </c>
      <c r="AQ6" s="169" t="s">
        <v>234</v>
      </c>
      <c r="AR6" s="169" t="s">
        <v>51</v>
      </c>
      <c r="AS6" s="174"/>
      <c r="AT6" s="172"/>
      <c r="AU6" s="173" t="s">
        <v>235</v>
      </c>
      <c r="AV6" s="169" t="s">
        <v>236</v>
      </c>
      <c r="AW6" s="169" t="s">
        <v>237</v>
      </c>
      <c r="AX6" s="169" t="s">
        <v>238</v>
      </c>
      <c r="AY6" s="170" t="s">
        <v>239</v>
      </c>
      <c r="AZ6" s="171" t="s">
        <v>240</v>
      </c>
      <c r="BA6" s="169" t="s">
        <v>52</v>
      </c>
      <c r="BB6" s="169" t="s">
        <v>53</v>
      </c>
      <c r="BC6" s="169" t="s">
        <v>54</v>
      </c>
      <c r="BD6" s="172" t="s">
        <v>55</v>
      </c>
      <c r="BE6" s="173"/>
      <c r="BF6" s="169"/>
      <c r="BG6" s="169" t="s">
        <v>241</v>
      </c>
      <c r="BH6" s="169" t="s">
        <v>242</v>
      </c>
      <c r="BI6" s="170" t="s">
        <v>243</v>
      </c>
      <c r="BJ6" s="171" t="s">
        <v>244</v>
      </c>
      <c r="BK6" s="169" t="s">
        <v>245</v>
      </c>
      <c r="BL6" s="169" t="s">
        <v>246</v>
      </c>
      <c r="BM6" s="169" t="s">
        <v>56</v>
      </c>
      <c r="BN6" s="172" t="s">
        <v>57</v>
      </c>
      <c r="BO6" s="173" t="s">
        <v>58</v>
      </c>
      <c r="BP6" s="169" t="s">
        <v>59</v>
      </c>
      <c r="BQ6" s="169"/>
      <c r="BR6" s="169"/>
      <c r="BS6" s="170" t="s">
        <v>247</v>
      </c>
      <c r="BT6" s="171"/>
      <c r="BU6" s="169"/>
      <c r="BV6" s="169" t="s">
        <v>644</v>
      </c>
      <c r="BW6" s="169" t="s">
        <v>645</v>
      </c>
      <c r="BX6" s="172" t="s">
        <v>646</v>
      </c>
      <c r="BY6" s="173" t="s">
        <v>647</v>
      </c>
      <c r="BZ6" s="169"/>
      <c r="CA6" s="169"/>
      <c r="CB6" s="169" t="s">
        <v>60</v>
      </c>
      <c r="CC6" s="170" t="s">
        <v>61</v>
      </c>
      <c r="CD6" s="171" t="s">
        <v>249</v>
      </c>
      <c r="CE6" s="169"/>
      <c r="CF6" s="169"/>
      <c r="CG6" s="169" t="s">
        <v>648</v>
      </c>
      <c r="CH6" s="170" t="s">
        <v>62</v>
      </c>
      <c r="CI6" s="171" t="s">
        <v>62</v>
      </c>
      <c r="CJ6" s="167"/>
      <c r="CK6" s="167"/>
      <c r="CL6" s="167"/>
      <c r="CM6" s="168"/>
      <c r="CN6" s="343"/>
      <c r="CO6" s="343"/>
      <c r="CP6" s="343"/>
      <c r="CQ6" s="349"/>
      <c r="CR6" s="348"/>
      <c r="CS6" s="348"/>
      <c r="CT6" s="349"/>
      <c r="CU6" s="350"/>
      <c r="CV6" s="351"/>
      <c r="CW6" s="352"/>
      <c r="CX6" s="352"/>
      <c r="CY6" s="352"/>
      <c r="CZ6" s="353"/>
      <c r="DA6" s="354"/>
      <c r="DB6" s="354"/>
      <c r="DC6" s="354"/>
      <c r="DD6" s="343"/>
      <c r="DE6" s="354"/>
      <c r="DF6" s="355"/>
      <c r="DG6" s="354"/>
      <c r="DH6" s="355"/>
      <c r="DI6" s="354"/>
      <c r="DJ6" s="355"/>
      <c r="DK6" s="354"/>
      <c r="DL6" s="355"/>
      <c r="DM6" s="354"/>
      <c r="DN6" s="355"/>
      <c r="DO6" s="354"/>
      <c r="DP6" s="355"/>
      <c r="DQ6" s="355"/>
    </row>
    <row r="7" spans="1:121" s="316" customFormat="1" ht="25.5" customHeight="1" x14ac:dyDescent="0.25">
      <c r="A7" s="700" t="s">
        <v>3</v>
      </c>
      <c r="B7" s="703" t="s">
        <v>13</v>
      </c>
      <c r="C7" s="703" t="s">
        <v>1</v>
      </c>
      <c r="D7" s="703" t="s">
        <v>23</v>
      </c>
      <c r="E7" s="703" t="s">
        <v>11</v>
      </c>
      <c r="F7" s="703" t="s">
        <v>22</v>
      </c>
      <c r="G7" s="703" t="s">
        <v>37</v>
      </c>
      <c r="H7" s="706" t="s">
        <v>12</v>
      </c>
      <c r="I7" s="709" t="s">
        <v>2</v>
      </c>
      <c r="J7" s="710"/>
      <c r="K7" s="711"/>
      <c r="L7" s="136">
        <v>1</v>
      </c>
      <c r="M7" s="103">
        <v>2</v>
      </c>
      <c r="N7" s="103">
        <v>3</v>
      </c>
      <c r="O7" s="103">
        <v>4</v>
      </c>
      <c r="P7" s="137">
        <v>5</v>
      </c>
      <c r="Q7" s="136"/>
      <c r="R7" s="103"/>
      <c r="S7" s="103"/>
      <c r="T7" s="103"/>
      <c r="U7" s="138"/>
      <c r="V7" s="139"/>
      <c r="W7" s="103"/>
      <c r="X7" s="103"/>
      <c r="Y7" s="103"/>
      <c r="Z7" s="137"/>
      <c r="AA7" s="136"/>
      <c r="AB7" s="103"/>
      <c r="AC7" s="103"/>
      <c r="AD7" s="103"/>
      <c r="AE7" s="138"/>
      <c r="AF7" s="139"/>
      <c r="AG7" s="103"/>
      <c r="AH7" s="103"/>
      <c r="AI7" s="103"/>
      <c r="AJ7" s="137"/>
      <c r="AK7" s="136"/>
      <c r="AL7" s="103"/>
      <c r="AM7" s="103"/>
      <c r="AN7" s="103"/>
      <c r="AO7" s="138"/>
      <c r="AP7" s="139"/>
      <c r="AQ7" s="103"/>
      <c r="AR7" s="103"/>
      <c r="AS7" s="103"/>
      <c r="AT7" s="137"/>
      <c r="AU7" s="136"/>
      <c r="AV7" s="103"/>
      <c r="AW7" s="103"/>
      <c r="AX7" s="103"/>
      <c r="AY7" s="138"/>
      <c r="AZ7" s="139"/>
      <c r="BA7" s="103"/>
      <c r="BB7" s="103"/>
      <c r="BC7" s="103"/>
      <c r="BD7" s="137"/>
      <c r="BE7" s="136"/>
      <c r="BF7" s="103"/>
      <c r="BG7" s="103"/>
      <c r="BH7" s="103"/>
      <c r="BI7" s="138"/>
      <c r="BJ7" s="139"/>
      <c r="BK7" s="103"/>
      <c r="BL7" s="103"/>
      <c r="BM7" s="103"/>
      <c r="BN7" s="137"/>
      <c r="BO7" s="136"/>
      <c r="BP7" s="103"/>
      <c r="BQ7" s="103"/>
      <c r="BR7" s="103"/>
      <c r="BS7" s="138"/>
      <c r="BT7" s="139"/>
      <c r="BU7" s="103"/>
      <c r="BV7" s="103"/>
      <c r="BW7" s="103"/>
      <c r="BX7" s="137"/>
      <c r="BY7" s="136"/>
      <c r="BZ7" s="103"/>
      <c r="CA7" s="103"/>
      <c r="CB7" s="103"/>
      <c r="CC7" s="138"/>
      <c r="CD7" s="139"/>
      <c r="CE7" s="103"/>
      <c r="CF7" s="103"/>
      <c r="CG7" s="103"/>
      <c r="CH7" s="138"/>
      <c r="CI7" s="139"/>
      <c r="CJ7" s="215"/>
      <c r="CK7" s="215"/>
      <c r="CL7" s="215"/>
      <c r="CM7" s="216"/>
    </row>
    <row r="8" spans="1:121" s="316" customFormat="1" ht="25.5" customHeight="1" x14ac:dyDescent="0.25">
      <c r="A8" s="701"/>
      <c r="B8" s="704"/>
      <c r="C8" s="704"/>
      <c r="D8" s="704"/>
      <c r="E8" s="704"/>
      <c r="F8" s="704"/>
      <c r="G8" s="704"/>
      <c r="H8" s="707"/>
      <c r="I8" s="262"/>
      <c r="J8" s="712" t="s">
        <v>4</v>
      </c>
      <c r="K8" s="713"/>
      <c r="L8" s="140"/>
      <c r="M8" s="76"/>
      <c r="N8" s="76"/>
      <c r="O8" s="76"/>
      <c r="P8" s="141"/>
      <c r="Q8" s="140"/>
      <c r="R8" s="76"/>
      <c r="S8" s="76"/>
      <c r="T8" s="76"/>
      <c r="U8" s="81"/>
      <c r="V8" s="142"/>
      <c r="W8" s="76"/>
      <c r="X8" s="76"/>
      <c r="Y8" s="76"/>
      <c r="Z8" s="141"/>
      <c r="AA8" s="140"/>
      <c r="AB8" s="76"/>
      <c r="AC8" s="76"/>
      <c r="AD8" s="76"/>
      <c r="AE8" s="81"/>
      <c r="AF8" s="142"/>
      <c r="AG8" s="76"/>
      <c r="AH8" s="76"/>
      <c r="AI8" s="76"/>
      <c r="AJ8" s="141"/>
      <c r="AK8" s="140"/>
      <c r="AL8" s="76"/>
      <c r="AM8" s="76"/>
      <c r="AN8" s="76"/>
      <c r="AO8" s="81"/>
      <c r="AP8" s="142"/>
      <c r="AQ8" s="76"/>
      <c r="AR8" s="76"/>
      <c r="AS8" s="76"/>
      <c r="AT8" s="141"/>
      <c r="AU8" s="140"/>
      <c r="AV8" s="76"/>
      <c r="AW8" s="76"/>
      <c r="AX8" s="76"/>
      <c r="AY8" s="81"/>
      <c r="AZ8" s="142"/>
      <c r="BA8" s="76"/>
      <c r="BB8" s="76"/>
      <c r="BC8" s="76"/>
      <c r="BD8" s="141"/>
      <c r="BE8" s="140"/>
      <c r="BF8" s="76"/>
      <c r="BG8" s="76"/>
      <c r="BH8" s="76"/>
      <c r="BI8" s="81"/>
      <c r="BJ8" s="142"/>
      <c r="BK8" s="76"/>
      <c r="BL8" s="76"/>
      <c r="BM8" s="254"/>
      <c r="BN8" s="265"/>
      <c r="BO8" s="140"/>
      <c r="BP8" s="76"/>
      <c r="BQ8" s="76"/>
      <c r="BR8" s="76"/>
      <c r="BS8" s="81"/>
      <c r="BT8" s="142"/>
      <c r="BU8" s="76"/>
      <c r="BV8" s="76"/>
      <c r="BW8" s="76"/>
      <c r="BX8" s="141"/>
      <c r="BY8" s="140"/>
      <c r="BZ8" s="76"/>
      <c r="CA8" s="76"/>
      <c r="CB8" s="76"/>
      <c r="CC8" s="81"/>
      <c r="CD8" s="142"/>
      <c r="CE8" s="76"/>
      <c r="CF8" s="76"/>
      <c r="CG8" s="76"/>
      <c r="CH8" s="81"/>
      <c r="CI8" s="142"/>
      <c r="CJ8" s="199"/>
      <c r="CK8" s="199"/>
      <c r="CL8" s="199"/>
      <c r="CM8" s="200"/>
    </row>
    <row r="9" spans="1:121" s="316" customFormat="1" ht="25.5" customHeight="1" thickBot="1" x14ac:dyDescent="0.3">
      <c r="A9" s="702"/>
      <c r="B9" s="705"/>
      <c r="C9" s="705"/>
      <c r="D9" s="705"/>
      <c r="E9" s="705"/>
      <c r="F9" s="705"/>
      <c r="G9" s="705"/>
      <c r="H9" s="708"/>
      <c r="I9" s="356"/>
      <c r="J9" s="357"/>
      <c r="K9" s="205" t="s">
        <v>5</v>
      </c>
      <c r="L9" s="266"/>
      <c r="M9" s="255"/>
      <c r="N9" s="255"/>
      <c r="O9" s="255"/>
      <c r="P9" s="267"/>
      <c r="Q9" s="266"/>
      <c r="R9" s="89"/>
      <c r="S9" s="89"/>
      <c r="T9" s="89"/>
      <c r="U9" s="268"/>
      <c r="V9" s="269"/>
      <c r="W9" s="89"/>
      <c r="X9" s="89"/>
      <c r="Y9" s="89"/>
      <c r="Z9" s="270"/>
      <c r="AA9" s="271"/>
      <c r="AB9" s="89"/>
      <c r="AC9" s="89"/>
      <c r="AD9" s="89"/>
      <c r="AE9" s="268"/>
      <c r="AF9" s="269"/>
      <c r="AG9" s="89"/>
      <c r="AH9" s="89"/>
      <c r="AI9" s="89"/>
      <c r="AJ9" s="270"/>
      <c r="AK9" s="271"/>
      <c r="AL9" s="89" t="s">
        <v>910</v>
      </c>
      <c r="AM9" s="89">
        <v>18</v>
      </c>
      <c r="AN9" s="89">
        <v>1</v>
      </c>
      <c r="AO9" s="268">
        <v>19</v>
      </c>
      <c r="AP9" s="269">
        <v>1</v>
      </c>
      <c r="AQ9" s="89">
        <v>19</v>
      </c>
      <c r="AR9" s="89"/>
      <c r="AS9" s="89"/>
      <c r="AT9" s="270"/>
      <c r="AU9" s="271">
        <v>2</v>
      </c>
      <c r="AV9" s="89">
        <v>2</v>
      </c>
      <c r="AW9" s="89"/>
      <c r="AX9" s="89"/>
      <c r="AY9" s="268"/>
      <c r="AZ9" s="269"/>
      <c r="BA9" s="89">
        <v>1</v>
      </c>
      <c r="BB9" s="89">
        <v>20</v>
      </c>
      <c r="BC9" s="89">
        <v>1</v>
      </c>
      <c r="BD9" s="270">
        <v>20</v>
      </c>
      <c r="BE9" s="271"/>
      <c r="BF9" s="89"/>
      <c r="BG9" s="89">
        <v>2</v>
      </c>
      <c r="BH9" s="89">
        <v>2</v>
      </c>
      <c r="BI9" s="268"/>
      <c r="BJ9" s="269"/>
      <c r="BK9" s="89"/>
      <c r="BL9" s="89"/>
      <c r="BM9" s="89">
        <v>1</v>
      </c>
      <c r="BN9" s="270">
        <v>20</v>
      </c>
      <c r="BO9" s="271">
        <v>1</v>
      </c>
      <c r="BP9" s="89">
        <v>20</v>
      </c>
      <c r="BQ9" s="89"/>
      <c r="BR9" s="89"/>
      <c r="BS9" s="268"/>
      <c r="BT9" s="269"/>
      <c r="BU9" s="89"/>
      <c r="BV9" s="255">
        <v>2</v>
      </c>
      <c r="BW9" s="255" t="s">
        <v>250</v>
      </c>
      <c r="BX9" s="270">
        <v>2</v>
      </c>
      <c r="BY9" s="266" t="s">
        <v>250</v>
      </c>
      <c r="BZ9" s="89"/>
      <c r="CA9" s="89"/>
      <c r="CB9" s="89"/>
      <c r="CC9" s="268"/>
      <c r="CD9" s="269"/>
      <c r="CE9" s="89"/>
      <c r="CF9" s="89"/>
      <c r="CG9" s="89"/>
      <c r="CH9" s="268"/>
      <c r="CI9" s="269"/>
      <c r="CJ9" s="204"/>
      <c r="CK9" s="204"/>
      <c r="CL9" s="204"/>
      <c r="CM9" s="205"/>
    </row>
    <row r="10" spans="1:121" ht="25.5" customHeight="1" x14ac:dyDescent="0.25">
      <c r="A10" s="318">
        <v>201</v>
      </c>
      <c r="B10" s="75">
        <v>0</v>
      </c>
      <c r="C10" s="129" t="s">
        <v>135</v>
      </c>
      <c r="D10" s="92" t="s">
        <v>984</v>
      </c>
      <c r="E10" s="196" t="s">
        <v>985</v>
      </c>
      <c r="F10" s="196"/>
      <c r="G10" s="129" t="s">
        <v>986</v>
      </c>
      <c r="H10" s="181" t="s">
        <v>987</v>
      </c>
      <c r="I10" s="259"/>
      <c r="J10" s="130"/>
      <c r="K10" s="260"/>
      <c r="L10" s="308"/>
      <c r="M10" s="304"/>
      <c r="N10" s="304"/>
      <c r="O10" s="304"/>
      <c r="P10" s="359"/>
      <c r="Q10" s="272"/>
      <c r="R10" s="130"/>
      <c r="S10" s="418"/>
      <c r="T10" s="418"/>
      <c r="U10" s="420"/>
      <c r="V10" s="421"/>
      <c r="W10" s="418"/>
      <c r="X10" s="418"/>
      <c r="Y10" s="418"/>
      <c r="Z10" s="419"/>
      <c r="AA10" s="483"/>
      <c r="AB10" s="418"/>
      <c r="AC10" s="418"/>
      <c r="AD10" s="418"/>
      <c r="AE10" s="420"/>
      <c r="AF10" s="421"/>
      <c r="AG10" s="418"/>
      <c r="AH10" s="418"/>
      <c r="AI10" s="418"/>
      <c r="AJ10" s="260"/>
      <c r="AK10" s="448"/>
      <c r="AL10" s="418"/>
      <c r="AM10" s="418"/>
      <c r="AN10" s="418"/>
      <c r="AO10" s="420"/>
      <c r="AP10" s="421"/>
      <c r="AQ10" s="418"/>
      <c r="AR10" s="418"/>
      <c r="AS10" s="130"/>
      <c r="AT10" s="260"/>
      <c r="AU10" s="483"/>
      <c r="AV10" s="418"/>
      <c r="AW10" s="418"/>
      <c r="AX10" s="418"/>
      <c r="AY10" s="420"/>
      <c r="AZ10" s="421"/>
      <c r="BA10" s="418"/>
      <c r="BB10" s="418"/>
      <c r="BC10" s="418"/>
      <c r="BD10" s="419"/>
      <c r="BE10" s="448"/>
      <c r="BF10" s="130"/>
      <c r="BG10" s="418"/>
      <c r="BH10" s="418"/>
      <c r="BI10" s="420"/>
      <c r="BJ10" s="421"/>
      <c r="BK10" s="418"/>
      <c r="BL10" s="418"/>
      <c r="BM10" s="418"/>
      <c r="BN10" s="419"/>
      <c r="BO10" s="483"/>
      <c r="BP10" s="418"/>
      <c r="BQ10" s="130"/>
      <c r="BR10" s="130"/>
      <c r="BS10" s="420"/>
      <c r="BT10" s="259"/>
      <c r="BU10" s="130"/>
      <c r="BV10" s="418"/>
      <c r="BW10" s="418"/>
      <c r="BX10" s="419"/>
      <c r="BY10" s="483"/>
      <c r="BZ10" s="130"/>
      <c r="CA10" s="130"/>
      <c r="CB10" s="418"/>
      <c r="CC10" s="420"/>
      <c r="CD10" s="421"/>
      <c r="CE10" s="130"/>
      <c r="CF10" s="92"/>
      <c r="CG10" s="418"/>
      <c r="CH10" s="420"/>
      <c r="CI10" s="421"/>
      <c r="CJ10" s="210"/>
      <c r="CK10" s="210"/>
      <c r="CL10" s="210"/>
      <c r="CM10" s="211"/>
      <c r="CN10" s="366"/>
      <c r="CO10" s="366"/>
      <c r="CP10" s="366"/>
      <c r="CQ10" s="366"/>
      <c r="CR10" s="366"/>
      <c r="CS10" s="366"/>
      <c r="CT10" s="366"/>
      <c r="CU10" s="366"/>
      <c r="CV10" s="366"/>
      <c r="CW10" s="366"/>
      <c r="CX10" s="366"/>
      <c r="CY10" s="366"/>
      <c r="CZ10" s="366"/>
      <c r="DA10" s="366"/>
      <c r="DB10" s="366"/>
      <c r="DC10" s="366"/>
      <c r="DD10" s="366"/>
      <c r="DE10" s="366"/>
      <c r="DF10" s="366"/>
      <c r="DG10" s="366"/>
      <c r="DH10" s="366"/>
      <c r="DI10" s="366"/>
      <c r="DJ10" s="366"/>
      <c r="DK10" s="366"/>
      <c r="DL10" s="366"/>
      <c r="DM10" s="366"/>
      <c r="DN10" s="366"/>
    </row>
    <row r="11" spans="1:121" ht="25.5" customHeight="1" x14ac:dyDescent="0.25">
      <c r="A11" s="324">
        <v>202</v>
      </c>
      <c r="B11" s="72">
        <v>0</v>
      </c>
      <c r="C11" s="95" t="s">
        <v>135</v>
      </c>
      <c r="D11" s="79" t="s">
        <v>431</v>
      </c>
      <c r="E11" s="96" t="s">
        <v>432</v>
      </c>
      <c r="F11" s="96"/>
      <c r="G11" s="95" t="s">
        <v>433</v>
      </c>
      <c r="H11" s="97" t="s">
        <v>602</v>
      </c>
      <c r="I11" s="142"/>
      <c r="J11" s="76" t="s">
        <v>64</v>
      </c>
      <c r="K11" s="141"/>
      <c r="L11" s="367"/>
      <c r="M11" s="307"/>
      <c r="N11" s="307"/>
      <c r="O11" s="307"/>
      <c r="P11" s="369"/>
      <c r="Q11" s="274"/>
      <c r="R11" s="76"/>
      <c r="S11" s="310"/>
      <c r="T11" s="310"/>
      <c r="U11" s="412"/>
      <c r="V11" s="413"/>
      <c r="W11" s="310"/>
      <c r="X11" s="310"/>
      <c r="Y11" s="310"/>
      <c r="Z11" s="411"/>
      <c r="AA11" s="485"/>
      <c r="AB11" s="310"/>
      <c r="AC11" s="310"/>
      <c r="AD11" s="310"/>
      <c r="AE11" s="412"/>
      <c r="AF11" s="413"/>
      <c r="AG11" s="310"/>
      <c r="AH11" s="310"/>
      <c r="AI11" s="310"/>
      <c r="AJ11" s="141"/>
      <c r="AK11" s="140"/>
      <c r="AL11" s="310"/>
      <c r="AM11" s="310"/>
      <c r="AN11" s="310"/>
      <c r="AO11" s="412"/>
      <c r="AP11" s="413"/>
      <c r="AQ11" s="310"/>
      <c r="AR11" s="310"/>
      <c r="AS11" s="76"/>
      <c r="AT11" s="141"/>
      <c r="AU11" s="485"/>
      <c r="AV11" s="310"/>
      <c r="AW11" s="310"/>
      <c r="AX11" s="310"/>
      <c r="AY11" s="412"/>
      <c r="AZ11" s="413"/>
      <c r="BA11" s="310"/>
      <c r="BB11" s="310"/>
      <c r="BC11" s="310"/>
      <c r="BD11" s="411"/>
      <c r="BE11" s="140"/>
      <c r="BF11" s="76"/>
      <c r="BG11" s="310"/>
      <c r="BH11" s="310"/>
      <c r="BI11" s="412"/>
      <c r="BJ11" s="413"/>
      <c r="BK11" s="310"/>
      <c r="BL11" s="310"/>
      <c r="BM11" s="310"/>
      <c r="BN11" s="411"/>
      <c r="BO11" s="485"/>
      <c r="BP11" s="310"/>
      <c r="BQ11" s="76"/>
      <c r="BR11" s="76"/>
      <c r="BS11" s="412"/>
      <c r="BT11" s="142"/>
      <c r="BU11" s="76"/>
      <c r="BV11" s="310"/>
      <c r="BW11" s="310"/>
      <c r="BX11" s="411"/>
      <c r="BY11" s="485"/>
      <c r="BZ11" s="76"/>
      <c r="CA11" s="76"/>
      <c r="CB11" s="310"/>
      <c r="CC11" s="412"/>
      <c r="CD11" s="413"/>
      <c r="CE11" s="76"/>
      <c r="CF11" s="79"/>
      <c r="CG11" s="310"/>
      <c r="CH11" s="470" t="s">
        <v>40</v>
      </c>
      <c r="CI11" s="471" t="s">
        <v>40</v>
      </c>
      <c r="CJ11" s="202"/>
      <c r="CK11" s="202"/>
      <c r="CL11" s="202"/>
      <c r="CM11" s="203"/>
      <c r="CN11" s="366"/>
      <c r="CO11" s="366"/>
      <c r="CP11" s="366"/>
      <c r="CQ11" s="366"/>
      <c r="CR11" s="366"/>
      <c r="CS11" s="366"/>
      <c r="CT11" s="366"/>
      <c r="CU11" s="366"/>
      <c r="CV11" s="366"/>
      <c r="CW11" s="366"/>
      <c r="CX11" s="366"/>
      <c r="CY11" s="366"/>
      <c r="CZ11" s="366"/>
      <c r="DA11" s="366"/>
      <c r="DB11" s="375"/>
      <c r="DC11" s="366"/>
      <c r="DD11" s="366"/>
      <c r="DE11" s="366"/>
      <c r="DF11" s="366"/>
      <c r="DG11" s="366"/>
      <c r="DH11" s="366"/>
      <c r="DI11" s="366"/>
      <c r="DJ11" s="366"/>
      <c r="DK11" s="366"/>
      <c r="DL11" s="366"/>
      <c r="DM11" s="366"/>
      <c r="DN11" s="366"/>
    </row>
    <row r="12" spans="1:121" ht="25.5" customHeight="1" x14ac:dyDescent="0.25">
      <c r="A12" s="324">
        <v>203</v>
      </c>
      <c r="B12" s="72">
        <v>0</v>
      </c>
      <c r="C12" s="95" t="s">
        <v>135</v>
      </c>
      <c r="D12" s="79" t="s">
        <v>988</v>
      </c>
      <c r="E12" s="96" t="s">
        <v>989</v>
      </c>
      <c r="F12" s="96"/>
      <c r="G12" s="95" t="s">
        <v>990</v>
      </c>
      <c r="H12" s="97" t="s">
        <v>991</v>
      </c>
      <c r="I12" s="142"/>
      <c r="J12" s="76"/>
      <c r="K12" s="141"/>
      <c r="L12" s="367"/>
      <c r="M12" s="307"/>
      <c r="N12" s="307"/>
      <c r="O12" s="307"/>
      <c r="P12" s="369"/>
      <c r="Q12" s="274"/>
      <c r="R12" s="76"/>
      <c r="S12" s="310"/>
      <c r="T12" s="310"/>
      <c r="U12" s="412"/>
      <c r="V12" s="413"/>
      <c r="W12" s="310"/>
      <c r="X12" s="310"/>
      <c r="Y12" s="310"/>
      <c r="Z12" s="411"/>
      <c r="AA12" s="485"/>
      <c r="AB12" s="310"/>
      <c r="AC12" s="310"/>
      <c r="AD12" s="310"/>
      <c r="AE12" s="412"/>
      <c r="AF12" s="413"/>
      <c r="AG12" s="310"/>
      <c r="AH12" s="310"/>
      <c r="AI12" s="310"/>
      <c r="AJ12" s="141"/>
      <c r="AK12" s="140"/>
      <c r="AL12" s="310"/>
      <c r="AM12" s="310"/>
      <c r="AN12" s="310"/>
      <c r="AO12" s="412"/>
      <c r="AP12" s="413"/>
      <c r="AQ12" s="310"/>
      <c r="AR12" s="310"/>
      <c r="AS12" s="76"/>
      <c r="AT12" s="141"/>
      <c r="AU12" s="485"/>
      <c r="AV12" s="310"/>
      <c r="AW12" s="310"/>
      <c r="AX12" s="310"/>
      <c r="AY12" s="412"/>
      <c r="AZ12" s="413"/>
      <c r="BA12" s="310"/>
      <c r="BB12" s="310"/>
      <c r="BC12" s="310"/>
      <c r="BD12" s="411"/>
      <c r="BE12" s="140"/>
      <c r="BF12" s="76"/>
      <c r="BG12" s="310"/>
      <c r="BH12" s="310"/>
      <c r="BI12" s="412"/>
      <c r="BJ12" s="413"/>
      <c r="BK12" s="310"/>
      <c r="BL12" s="310"/>
      <c r="BM12" s="310"/>
      <c r="BN12" s="411"/>
      <c r="BO12" s="485"/>
      <c r="BP12" s="310"/>
      <c r="BQ12" s="76"/>
      <c r="BR12" s="76"/>
      <c r="BS12" s="412"/>
      <c r="BT12" s="142"/>
      <c r="BU12" s="76"/>
      <c r="BV12" s="310"/>
      <c r="BW12" s="310"/>
      <c r="BX12" s="411"/>
      <c r="BY12" s="485"/>
      <c r="BZ12" s="76"/>
      <c r="CA12" s="76"/>
      <c r="CB12" s="310"/>
      <c r="CC12" s="412"/>
      <c r="CD12" s="413"/>
      <c r="CE12" s="76"/>
      <c r="CF12" s="79"/>
      <c r="CG12" s="310"/>
      <c r="CH12" s="412"/>
      <c r="CI12" s="413"/>
      <c r="CJ12" s="202"/>
      <c r="CK12" s="202"/>
      <c r="CL12" s="202"/>
      <c r="CM12" s="203"/>
      <c r="CN12" s="366"/>
      <c r="CO12" s="366"/>
      <c r="CP12" s="366"/>
      <c r="CQ12" s="366"/>
      <c r="CR12" s="366"/>
      <c r="CS12" s="366"/>
      <c r="CT12" s="366"/>
      <c r="CU12" s="366"/>
      <c r="CV12" s="366"/>
      <c r="CW12" s="366"/>
      <c r="CX12" s="366"/>
      <c r="CY12" s="366"/>
      <c r="CZ12" s="366"/>
      <c r="DA12" s="366"/>
      <c r="DB12" s="366"/>
      <c r="DC12" s="366"/>
      <c r="DD12" s="366"/>
      <c r="DE12" s="366"/>
      <c r="DF12" s="366"/>
      <c r="DG12" s="366"/>
      <c r="DH12" s="366"/>
      <c r="DI12" s="366"/>
      <c r="DJ12" s="366"/>
      <c r="DK12" s="366"/>
      <c r="DL12" s="366"/>
      <c r="DM12" s="366"/>
      <c r="DN12" s="366"/>
    </row>
    <row r="13" spans="1:121" ht="25.5" customHeight="1" x14ac:dyDescent="0.25">
      <c r="A13" s="324">
        <v>204</v>
      </c>
      <c r="B13" s="72">
        <v>0</v>
      </c>
      <c r="C13" s="95" t="s">
        <v>135</v>
      </c>
      <c r="D13" s="79" t="s">
        <v>992</v>
      </c>
      <c r="E13" s="96" t="s">
        <v>993</v>
      </c>
      <c r="F13" s="96"/>
      <c r="G13" s="95" t="s">
        <v>994</v>
      </c>
      <c r="H13" s="97" t="s">
        <v>994</v>
      </c>
      <c r="I13" s="142"/>
      <c r="J13" s="76"/>
      <c r="K13" s="141"/>
      <c r="L13" s="367"/>
      <c r="M13" s="307"/>
      <c r="N13" s="307"/>
      <c r="O13" s="307"/>
      <c r="P13" s="369"/>
      <c r="Q13" s="274"/>
      <c r="R13" s="76"/>
      <c r="S13" s="310"/>
      <c r="T13" s="310"/>
      <c r="U13" s="412"/>
      <c r="V13" s="413"/>
      <c r="W13" s="310"/>
      <c r="X13" s="310"/>
      <c r="Y13" s="310"/>
      <c r="Z13" s="411"/>
      <c r="AA13" s="485"/>
      <c r="AB13" s="310"/>
      <c r="AC13" s="310"/>
      <c r="AD13" s="310"/>
      <c r="AE13" s="412"/>
      <c r="AF13" s="413"/>
      <c r="AG13" s="310"/>
      <c r="AH13" s="310"/>
      <c r="AI13" s="310"/>
      <c r="AJ13" s="141"/>
      <c r="AK13" s="140"/>
      <c r="AL13" s="310"/>
      <c r="AM13" s="310"/>
      <c r="AN13" s="310"/>
      <c r="AO13" s="412"/>
      <c r="AP13" s="413"/>
      <c r="AQ13" s="310"/>
      <c r="AR13" s="310"/>
      <c r="AS13" s="76"/>
      <c r="AT13" s="141"/>
      <c r="AU13" s="485"/>
      <c r="AV13" s="310"/>
      <c r="AW13" s="310"/>
      <c r="AX13" s="310"/>
      <c r="AY13" s="412"/>
      <c r="AZ13" s="413"/>
      <c r="BA13" s="310"/>
      <c r="BB13" s="310"/>
      <c r="BC13" s="310"/>
      <c r="BD13" s="411"/>
      <c r="BE13" s="140"/>
      <c r="BF13" s="76"/>
      <c r="BG13" s="310"/>
      <c r="BH13" s="310"/>
      <c r="BI13" s="412"/>
      <c r="BJ13" s="413"/>
      <c r="BK13" s="310"/>
      <c r="BL13" s="310"/>
      <c r="BM13" s="310"/>
      <c r="BN13" s="411"/>
      <c r="BO13" s="485"/>
      <c r="BP13" s="310"/>
      <c r="BQ13" s="76"/>
      <c r="BR13" s="76"/>
      <c r="BS13" s="412"/>
      <c r="BT13" s="142"/>
      <c r="BU13" s="76"/>
      <c r="BV13" s="310"/>
      <c r="BW13" s="310"/>
      <c r="BX13" s="411"/>
      <c r="BY13" s="485"/>
      <c r="BZ13" s="76"/>
      <c r="CA13" s="76"/>
      <c r="CB13" s="310"/>
      <c r="CC13" s="412"/>
      <c r="CD13" s="413"/>
      <c r="CE13" s="76"/>
      <c r="CF13" s="79"/>
      <c r="CG13" s="310"/>
      <c r="CH13" s="412"/>
      <c r="CI13" s="413"/>
      <c r="CJ13" s="202"/>
      <c r="CK13" s="202"/>
      <c r="CL13" s="202"/>
      <c r="CM13" s="203"/>
      <c r="CN13" s="366"/>
      <c r="CO13" s="366"/>
      <c r="CP13" s="366"/>
      <c r="CQ13" s="366"/>
      <c r="CR13" s="366"/>
      <c r="CS13" s="366"/>
      <c r="CT13" s="366"/>
      <c r="CU13" s="366"/>
      <c r="CV13" s="366"/>
      <c r="CW13" s="366"/>
      <c r="CX13" s="366"/>
      <c r="CY13" s="366"/>
      <c r="CZ13" s="366"/>
      <c r="DA13" s="366"/>
      <c r="DB13" s="366"/>
      <c r="DC13" s="366"/>
      <c r="DD13" s="366"/>
      <c r="DE13" s="366"/>
      <c r="DF13" s="366"/>
      <c r="DG13" s="366"/>
      <c r="DH13" s="366"/>
      <c r="DI13" s="366"/>
      <c r="DJ13" s="366"/>
      <c r="DK13" s="366"/>
      <c r="DL13" s="366"/>
      <c r="DM13" s="366"/>
      <c r="DN13" s="366"/>
    </row>
    <row r="14" spans="1:121" ht="25.5" customHeight="1" thickBot="1" x14ac:dyDescent="0.3">
      <c r="A14" s="325">
        <v>205</v>
      </c>
      <c r="B14" s="73">
        <v>0</v>
      </c>
      <c r="C14" s="125" t="s">
        <v>135</v>
      </c>
      <c r="D14" s="74" t="s">
        <v>434</v>
      </c>
      <c r="E14" s="197" t="s">
        <v>774</v>
      </c>
      <c r="F14" s="197"/>
      <c r="G14" s="125" t="s">
        <v>435</v>
      </c>
      <c r="H14" s="198" t="s">
        <v>435</v>
      </c>
      <c r="I14" s="269"/>
      <c r="J14" s="89"/>
      <c r="K14" s="270"/>
      <c r="L14" s="383"/>
      <c r="M14" s="379"/>
      <c r="N14" s="379"/>
      <c r="O14" s="379"/>
      <c r="P14" s="382"/>
      <c r="Q14" s="275"/>
      <c r="R14" s="89"/>
      <c r="S14" s="414"/>
      <c r="T14" s="414"/>
      <c r="U14" s="416"/>
      <c r="V14" s="417"/>
      <c r="W14" s="414"/>
      <c r="X14" s="414"/>
      <c r="Y14" s="414"/>
      <c r="Z14" s="415"/>
      <c r="AA14" s="482"/>
      <c r="AB14" s="414"/>
      <c r="AC14" s="414"/>
      <c r="AD14" s="414"/>
      <c r="AE14" s="416"/>
      <c r="AF14" s="417"/>
      <c r="AG14" s="414"/>
      <c r="AH14" s="414"/>
      <c r="AI14" s="414"/>
      <c r="AJ14" s="270"/>
      <c r="AK14" s="271"/>
      <c r="AL14" s="414"/>
      <c r="AM14" s="414"/>
      <c r="AN14" s="414"/>
      <c r="AO14" s="416"/>
      <c r="AP14" s="417"/>
      <c r="AQ14" s="414"/>
      <c r="AR14" s="414"/>
      <c r="AS14" s="89"/>
      <c r="AT14" s="270"/>
      <c r="AU14" s="482"/>
      <c r="AV14" s="414"/>
      <c r="AW14" s="414"/>
      <c r="AX14" s="414"/>
      <c r="AY14" s="416"/>
      <c r="AZ14" s="417"/>
      <c r="BA14" s="414"/>
      <c r="BB14" s="414"/>
      <c r="BC14" s="414"/>
      <c r="BD14" s="415"/>
      <c r="BE14" s="271"/>
      <c r="BF14" s="89"/>
      <c r="BG14" s="414"/>
      <c r="BH14" s="414"/>
      <c r="BI14" s="416"/>
      <c r="BJ14" s="417"/>
      <c r="BK14" s="414"/>
      <c r="BL14" s="414"/>
      <c r="BM14" s="414"/>
      <c r="BN14" s="415"/>
      <c r="BO14" s="482"/>
      <c r="BP14" s="414"/>
      <c r="BQ14" s="89"/>
      <c r="BR14" s="89"/>
      <c r="BS14" s="416"/>
      <c r="BT14" s="269"/>
      <c r="BU14" s="89"/>
      <c r="BV14" s="414"/>
      <c r="BW14" s="414"/>
      <c r="BX14" s="415"/>
      <c r="BY14" s="482"/>
      <c r="BZ14" s="89"/>
      <c r="CA14" s="89"/>
      <c r="CB14" s="414"/>
      <c r="CC14" s="416"/>
      <c r="CD14" s="417"/>
      <c r="CE14" s="89"/>
      <c r="CF14" s="74"/>
      <c r="CG14" s="414"/>
      <c r="CH14" s="465" t="s">
        <v>40</v>
      </c>
      <c r="CI14" s="466" t="s">
        <v>40</v>
      </c>
      <c r="CJ14" s="206"/>
      <c r="CK14" s="206"/>
      <c r="CL14" s="206"/>
      <c r="CM14" s="207"/>
      <c r="CN14" s="366"/>
      <c r="CO14" s="366"/>
      <c r="CP14" s="366"/>
      <c r="CQ14" s="366"/>
      <c r="CR14" s="366"/>
      <c r="CS14" s="366"/>
      <c r="CT14" s="366"/>
      <c r="CU14" s="366"/>
      <c r="CV14" s="366"/>
      <c r="CW14" s="366"/>
      <c r="CX14" s="366"/>
      <c r="CY14" s="366"/>
      <c r="CZ14" s="366"/>
      <c r="DA14" s="366"/>
      <c r="DB14" s="366"/>
      <c r="DC14" s="366"/>
      <c r="DD14" s="366"/>
      <c r="DE14" s="366"/>
      <c r="DF14" s="366"/>
      <c r="DG14" s="366"/>
      <c r="DH14" s="366"/>
      <c r="DI14" s="366"/>
      <c r="DJ14" s="366"/>
      <c r="DK14" s="366"/>
      <c r="DL14" s="366"/>
      <c r="DM14" s="366"/>
      <c r="DN14" s="366"/>
    </row>
    <row r="15" spans="1:121" ht="25.5" customHeight="1" x14ac:dyDescent="0.25">
      <c r="A15" s="318">
        <v>206</v>
      </c>
      <c r="B15" s="75">
        <v>0</v>
      </c>
      <c r="C15" s="129" t="s">
        <v>135</v>
      </c>
      <c r="D15" s="92" t="s">
        <v>436</v>
      </c>
      <c r="E15" s="196" t="s">
        <v>775</v>
      </c>
      <c r="F15" s="196"/>
      <c r="G15" s="129" t="s">
        <v>437</v>
      </c>
      <c r="H15" s="181" t="s">
        <v>437</v>
      </c>
      <c r="I15" s="259" t="s">
        <v>105</v>
      </c>
      <c r="J15" s="130"/>
      <c r="K15" s="260"/>
      <c r="L15" s="308"/>
      <c r="M15" s="455" t="s">
        <v>122</v>
      </c>
      <c r="N15" s="455" t="s">
        <v>122</v>
      </c>
      <c r="O15" s="304"/>
      <c r="P15" s="359"/>
      <c r="Q15" s="272"/>
      <c r="R15" s="130"/>
      <c r="S15" s="418"/>
      <c r="T15" s="360" t="s">
        <v>120</v>
      </c>
      <c r="U15" s="361"/>
      <c r="V15" s="362"/>
      <c r="W15" s="360" t="s">
        <v>120</v>
      </c>
      <c r="X15" s="418"/>
      <c r="Y15" s="304"/>
      <c r="Z15" s="419"/>
      <c r="AA15" s="308"/>
      <c r="AB15" s="304"/>
      <c r="AC15" s="418"/>
      <c r="AD15" s="418"/>
      <c r="AE15" s="363" t="s">
        <v>120</v>
      </c>
      <c r="AF15" s="364" t="s">
        <v>120</v>
      </c>
      <c r="AG15" s="360" t="s">
        <v>120</v>
      </c>
      <c r="AH15" s="360" t="s">
        <v>120</v>
      </c>
      <c r="AI15" s="304"/>
      <c r="AJ15" s="260"/>
      <c r="AK15" s="448"/>
      <c r="AL15" s="418"/>
      <c r="AM15" s="418"/>
      <c r="AN15" s="418"/>
      <c r="AO15" s="420"/>
      <c r="AP15" s="421"/>
      <c r="AQ15" s="418"/>
      <c r="AR15" s="418"/>
      <c r="AS15" s="130"/>
      <c r="AT15" s="260"/>
      <c r="AU15" s="483"/>
      <c r="AV15" s="418"/>
      <c r="AW15" s="418"/>
      <c r="AX15" s="360" t="s">
        <v>120</v>
      </c>
      <c r="AY15" s="361"/>
      <c r="AZ15" s="362"/>
      <c r="BA15" s="304"/>
      <c r="BB15" s="304"/>
      <c r="BC15" s="304"/>
      <c r="BD15" s="365" t="s">
        <v>121</v>
      </c>
      <c r="BE15" s="272"/>
      <c r="BF15" s="130"/>
      <c r="BG15" s="304"/>
      <c r="BH15" s="304"/>
      <c r="BI15" s="361"/>
      <c r="BJ15" s="364" t="s">
        <v>120</v>
      </c>
      <c r="BK15" s="304"/>
      <c r="BL15" s="304"/>
      <c r="BM15" s="304"/>
      <c r="BN15" s="359"/>
      <c r="BO15" s="483"/>
      <c r="BP15" s="467" t="s">
        <v>121</v>
      </c>
      <c r="BQ15" s="130"/>
      <c r="BR15" s="130"/>
      <c r="BS15" s="468" t="s">
        <v>120</v>
      </c>
      <c r="BT15" s="259"/>
      <c r="BU15" s="130"/>
      <c r="BV15" s="418"/>
      <c r="BW15" s="418"/>
      <c r="BX15" s="419"/>
      <c r="BY15" s="483"/>
      <c r="BZ15" s="130"/>
      <c r="CA15" s="130"/>
      <c r="CB15" s="418"/>
      <c r="CC15" s="420"/>
      <c r="CD15" s="421"/>
      <c r="CE15" s="130"/>
      <c r="CF15" s="92"/>
      <c r="CG15" s="418"/>
      <c r="CH15" s="468" t="s">
        <v>40</v>
      </c>
      <c r="CI15" s="469" t="s">
        <v>40</v>
      </c>
      <c r="CJ15" s="210"/>
      <c r="CK15" s="210"/>
      <c r="CL15" s="210"/>
      <c r="CM15" s="211"/>
      <c r="CN15" s="366"/>
      <c r="CO15" s="366"/>
      <c r="CP15" s="366"/>
      <c r="CQ15" s="366"/>
      <c r="CR15" s="366"/>
      <c r="CS15" s="366"/>
      <c r="CT15" s="366"/>
      <c r="CU15" s="366"/>
      <c r="CV15" s="366"/>
      <c r="CW15" s="366"/>
      <c r="CX15" s="366"/>
      <c r="CY15" s="366"/>
      <c r="CZ15" s="366"/>
      <c r="DA15" s="366"/>
      <c r="DB15" s="366"/>
      <c r="DC15" s="366"/>
      <c r="DD15" s="366"/>
      <c r="DE15" s="366"/>
      <c r="DF15" s="366"/>
      <c r="DG15" s="366"/>
      <c r="DH15" s="366"/>
      <c r="DI15" s="366"/>
      <c r="DJ15" s="366"/>
      <c r="DK15" s="366"/>
      <c r="DL15" s="366"/>
      <c r="DM15" s="366"/>
      <c r="DN15" s="366"/>
    </row>
    <row r="16" spans="1:121" ht="25.5" customHeight="1" x14ac:dyDescent="0.25">
      <c r="A16" s="324">
        <v>207</v>
      </c>
      <c r="B16" s="72">
        <v>0</v>
      </c>
      <c r="C16" s="95" t="s">
        <v>135</v>
      </c>
      <c r="D16" s="79" t="s">
        <v>995</v>
      </c>
      <c r="E16" s="96" t="s">
        <v>996</v>
      </c>
      <c r="F16" s="96"/>
      <c r="G16" s="95" t="s">
        <v>997</v>
      </c>
      <c r="H16" s="97" t="s">
        <v>997</v>
      </c>
      <c r="I16" s="142"/>
      <c r="J16" s="76"/>
      <c r="K16" s="141"/>
      <c r="L16" s="367"/>
      <c r="M16" s="307"/>
      <c r="N16" s="307"/>
      <c r="O16" s="307"/>
      <c r="P16" s="369"/>
      <c r="Q16" s="274"/>
      <c r="R16" s="76"/>
      <c r="S16" s="310"/>
      <c r="T16" s="310"/>
      <c r="U16" s="412"/>
      <c r="V16" s="413"/>
      <c r="W16" s="310"/>
      <c r="X16" s="310"/>
      <c r="Y16" s="310"/>
      <c r="Z16" s="411"/>
      <c r="AA16" s="485"/>
      <c r="AB16" s="310"/>
      <c r="AC16" s="310"/>
      <c r="AD16" s="310"/>
      <c r="AE16" s="412"/>
      <c r="AF16" s="413"/>
      <c r="AG16" s="310"/>
      <c r="AH16" s="310"/>
      <c r="AI16" s="310"/>
      <c r="AJ16" s="141"/>
      <c r="AK16" s="140"/>
      <c r="AL16" s="310"/>
      <c r="AM16" s="310"/>
      <c r="AN16" s="310"/>
      <c r="AO16" s="412"/>
      <c r="AP16" s="413"/>
      <c r="AQ16" s="310"/>
      <c r="AR16" s="310"/>
      <c r="AS16" s="76"/>
      <c r="AT16" s="141"/>
      <c r="AU16" s="485"/>
      <c r="AV16" s="310"/>
      <c r="AW16" s="310"/>
      <c r="AX16" s="310"/>
      <c r="AY16" s="412"/>
      <c r="AZ16" s="413"/>
      <c r="BA16" s="310"/>
      <c r="BB16" s="310"/>
      <c r="BC16" s="310"/>
      <c r="BD16" s="411"/>
      <c r="BE16" s="140"/>
      <c r="BF16" s="76"/>
      <c r="BG16" s="310"/>
      <c r="BH16" s="310"/>
      <c r="BI16" s="412"/>
      <c r="BJ16" s="413"/>
      <c r="BK16" s="310"/>
      <c r="BL16" s="310"/>
      <c r="BM16" s="310"/>
      <c r="BN16" s="411"/>
      <c r="BO16" s="485"/>
      <c r="BP16" s="310"/>
      <c r="BQ16" s="76"/>
      <c r="BR16" s="76"/>
      <c r="BS16" s="412"/>
      <c r="BT16" s="142"/>
      <c r="BU16" s="76"/>
      <c r="BV16" s="310"/>
      <c r="BW16" s="310"/>
      <c r="BX16" s="411"/>
      <c r="BY16" s="485"/>
      <c r="BZ16" s="76"/>
      <c r="CA16" s="76"/>
      <c r="CB16" s="310"/>
      <c r="CC16" s="412"/>
      <c r="CD16" s="413"/>
      <c r="CE16" s="76"/>
      <c r="CF16" s="79"/>
      <c r="CG16" s="310"/>
      <c r="CH16" s="412"/>
      <c r="CI16" s="413"/>
      <c r="CJ16" s="202"/>
      <c r="CK16" s="202"/>
      <c r="CL16" s="202"/>
      <c r="CM16" s="203"/>
      <c r="CN16" s="366"/>
      <c r="CO16" s="366"/>
      <c r="CP16" s="366"/>
      <c r="CQ16" s="366"/>
      <c r="CR16" s="366"/>
      <c r="CS16" s="366"/>
      <c r="CT16" s="366"/>
      <c r="CU16" s="366"/>
      <c r="CV16" s="366"/>
      <c r="CW16" s="366"/>
      <c r="CX16" s="366"/>
      <c r="CY16" s="366"/>
      <c r="CZ16" s="366"/>
      <c r="DA16" s="366"/>
      <c r="DB16" s="366"/>
      <c r="DC16" s="366"/>
      <c r="DD16" s="366"/>
      <c r="DE16" s="366"/>
      <c r="DF16" s="366"/>
      <c r="DG16" s="366"/>
      <c r="DH16" s="366"/>
      <c r="DI16" s="366"/>
      <c r="DJ16" s="366"/>
      <c r="DK16" s="366"/>
      <c r="DL16" s="366"/>
      <c r="DM16" s="366"/>
      <c r="DN16" s="366"/>
    </row>
    <row r="17" spans="1:118" ht="25.5" customHeight="1" x14ac:dyDescent="0.25">
      <c r="A17" s="324">
        <v>208</v>
      </c>
      <c r="B17" s="72">
        <v>0</v>
      </c>
      <c r="C17" s="95" t="s">
        <v>135</v>
      </c>
      <c r="D17" s="79" t="s">
        <v>438</v>
      </c>
      <c r="E17" s="96" t="s">
        <v>439</v>
      </c>
      <c r="F17" s="96"/>
      <c r="G17" s="95" t="s">
        <v>440</v>
      </c>
      <c r="H17" s="97" t="s">
        <v>440</v>
      </c>
      <c r="I17" s="142" t="s">
        <v>105</v>
      </c>
      <c r="J17" s="76"/>
      <c r="K17" s="141">
        <v>9</v>
      </c>
      <c r="L17" s="274"/>
      <c r="M17" s="451" t="s">
        <v>122</v>
      </c>
      <c r="N17" s="451" t="s">
        <v>122</v>
      </c>
      <c r="O17" s="79"/>
      <c r="P17" s="178"/>
      <c r="Q17" s="274"/>
      <c r="R17" s="76"/>
      <c r="S17" s="76"/>
      <c r="T17" s="451" t="s">
        <v>120</v>
      </c>
      <c r="U17" s="134"/>
      <c r="V17" s="261"/>
      <c r="W17" s="451" t="s">
        <v>120</v>
      </c>
      <c r="X17" s="76"/>
      <c r="Y17" s="79"/>
      <c r="Z17" s="141"/>
      <c r="AA17" s="274"/>
      <c r="AB17" s="79"/>
      <c r="AC17" s="76"/>
      <c r="AD17" s="76"/>
      <c r="AE17" s="284" t="s">
        <v>120</v>
      </c>
      <c r="AF17" s="285" t="s">
        <v>120</v>
      </c>
      <c r="AG17" s="451" t="s">
        <v>120</v>
      </c>
      <c r="AH17" s="451" t="s">
        <v>120</v>
      </c>
      <c r="AI17" s="79"/>
      <c r="AJ17" s="178"/>
      <c r="AK17" s="140"/>
      <c r="AL17" s="76"/>
      <c r="AM17" s="76"/>
      <c r="AN17" s="76"/>
      <c r="AO17" s="81"/>
      <c r="AP17" s="142"/>
      <c r="AQ17" s="76"/>
      <c r="AR17" s="76"/>
      <c r="AS17" s="76"/>
      <c r="AT17" s="141"/>
      <c r="AU17" s="140"/>
      <c r="AV17" s="76"/>
      <c r="AW17" s="76"/>
      <c r="AX17" s="451" t="s">
        <v>120</v>
      </c>
      <c r="AY17" s="134"/>
      <c r="AZ17" s="261"/>
      <c r="BA17" s="79"/>
      <c r="BB17" s="79"/>
      <c r="BC17" s="79"/>
      <c r="BD17" s="459" t="s">
        <v>121</v>
      </c>
      <c r="BE17" s="274"/>
      <c r="BF17" s="76"/>
      <c r="BG17" s="79"/>
      <c r="BH17" s="79"/>
      <c r="BI17" s="134"/>
      <c r="BJ17" s="285" t="s">
        <v>120</v>
      </c>
      <c r="BK17" s="79"/>
      <c r="BL17" s="79"/>
      <c r="BM17" s="79"/>
      <c r="BN17" s="178"/>
      <c r="BO17" s="274"/>
      <c r="BP17" s="451" t="s">
        <v>121</v>
      </c>
      <c r="BQ17" s="79"/>
      <c r="BR17" s="76"/>
      <c r="BS17" s="473" t="s">
        <v>120</v>
      </c>
      <c r="BT17" s="142"/>
      <c r="BU17" s="76"/>
      <c r="BV17" s="472" t="s">
        <v>582</v>
      </c>
      <c r="BW17" s="76"/>
      <c r="BX17" s="141"/>
      <c r="BY17" s="140"/>
      <c r="BZ17" s="76"/>
      <c r="CA17" s="76"/>
      <c r="CB17" s="79"/>
      <c r="CC17" s="81"/>
      <c r="CD17" s="142"/>
      <c r="CE17" s="76"/>
      <c r="CF17" s="79"/>
      <c r="CG17" s="76"/>
      <c r="CH17" s="473" t="s">
        <v>40</v>
      </c>
      <c r="CI17" s="474" t="s">
        <v>40</v>
      </c>
      <c r="CJ17" s="202"/>
      <c r="CK17" s="202"/>
      <c r="CL17" s="202"/>
      <c r="CM17" s="203"/>
      <c r="CN17" s="366"/>
      <c r="CO17" s="366"/>
      <c r="CP17" s="366"/>
      <c r="CQ17" s="366"/>
      <c r="CR17" s="366"/>
      <c r="CS17" s="366"/>
      <c r="CT17" s="366"/>
      <c r="CU17" s="366"/>
      <c r="CV17" s="366"/>
      <c r="CW17" s="366"/>
      <c r="CX17" s="366"/>
      <c r="CY17" s="366"/>
      <c r="CZ17" s="366"/>
      <c r="DA17" s="366"/>
      <c r="DB17" s="366"/>
      <c r="DC17" s="366"/>
      <c r="DD17" s="366"/>
      <c r="DE17" s="366"/>
      <c r="DF17" s="366"/>
      <c r="DG17" s="366"/>
      <c r="DH17" s="366"/>
      <c r="DI17" s="366"/>
      <c r="DJ17" s="366"/>
      <c r="DK17" s="366"/>
      <c r="DL17" s="366"/>
      <c r="DM17" s="366"/>
      <c r="DN17" s="366"/>
    </row>
    <row r="18" spans="1:118" ht="25.5" customHeight="1" x14ac:dyDescent="0.25">
      <c r="A18" s="324">
        <v>209</v>
      </c>
      <c r="B18" s="72">
        <v>0</v>
      </c>
      <c r="C18" s="95" t="s">
        <v>135</v>
      </c>
      <c r="D18" s="79" t="s">
        <v>998</v>
      </c>
      <c r="E18" s="96" t="s">
        <v>999</v>
      </c>
      <c r="F18" s="96"/>
      <c r="G18" s="95" t="s">
        <v>1000</v>
      </c>
      <c r="H18" s="97" t="s">
        <v>1001</v>
      </c>
      <c r="I18" s="142"/>
      <c r="J18" s="76"/>
      <c r="K18" s="141">
        <v>12</v>
      </c>
      <c r="L18" s="367"/>
      <c r="M18" s="307"/>
      <c r="N18" s="307"/>
      <c r="O18" s="307"/>
      <c r="P18" s="369"/>
      <c r="Q18" s="274"/>
      <c r="R18" s="76"/>
      <c r="S18" s="310"/>
      <c r="T18" s="310"/>
      <c r="U18" s="412"/>
      <c r="V18" s="413"/>
      <c r="W18" s="310"/>
      <c r="X18" s="310"/>
      <c r="Y18" s="310"/>
      <c r="Z18" s="411"/>
      <c r="AA18" s="485"/>
      <c r="AB18" s="310"/>
      <c r="AC18" s="310"/>
      <c r="AD18" s="310"/>
      <c r="AE18" s="412"/>
      <c r="AF18" s="413"/>
      <c r="AG18" s="310"/>
      <c r="AH18" s="310"/>
      <c r="AI18" s="310"/>
      <c r="AJ18" s="141"/>
      <c r="AK18" s="140"/>
      <c r="AL18" s="310"/>
      <c r="AM18" s="310"/>
      <c r="AN18" s="310"/>
      <c r="AO18" s="412"/>
      <c r="AP18" s="413"/>
      <c r="AQ18" s="310"/>
      <c r="AR18" s="310"/>
      <c r="AS18" s="76"/>
      <c r="AT18" s="141"/>
      <c r="AU18" s="485"/>
      <c r="AV18" s="310"/>
      <c r="AW18" s="310"/>
      <c r="AX18" s="310"/>
      <c r="AY18" s="412"/>
      <c r="AZ18" s="413"/>
      <c r="BA18" s="310"/>
      <c r="BB18" s="310"/>
      <c r="BC18" s="310"/>
      <c r="BD18" s="411"/>
      <c r="BE18" s="140"/>
      <c r="BF18" s="76"/>
      <c r="BG18" s="310"/>
      <c r="BH18" s="310"/>
      <c r="BI18" s="412"/>
      <c r="BJ18" s="413"/>
      <c r="BK18" s="310"/>
      <c r="BL18" s="310"/>
      <c r="BM18" s="310"/>
      <c r="BN18" s="411"/>
      <c r="BO18" s="485"/>
      <c r="BP18" s="310"/>
      <c r="BQ18" s="76"/>
      <c r="BR18" s="76"/>
      <c r="BS18" s="412"/>
      <c r="BT18" s="142"/>
      <c r="BU18" s="76"/>
      <c r="BV18" s="310"/>
      <c r="BW18" s="310"/>
      <c r="BX18" s="411"/>
      <c r="BY18" s="485"/>
      <c r="BZ18" s="76"/>
      <c r="CA18" s="76"/>
      <c r="CB18" s="310"/>
      <c r="CC18" s="412"/>
      <c r="CD18" s="413"/>
      <c r="CE18" s="76"/>
      <c r="CF18" s="79"/>
      <c r="CG18" s="310"/>
      <c r="CH18" s="412"/>
      <c r="CI18" s="413"/>
      <c r="CJ18" s="202"/>
      <c r="CK18" s="202"/>
      <c r="CL18" s="202"/>
      <c r="CM18" s="203"/>
      <c r="CN18" s="366"/>
      <c r="CO18" s="366"/>
      <c r="CP18" s="366"/>
      <c r="CQ18" s="366"/>
      <c r="CR18" s="366"/>
      <c r="CS18" s="366"/>
      <c r="CT18" s="366"/>
      <c r="CU18" s="366"/>
      <c r="CV18" s="366"/>
      <c r="CW18" s="366"/>
      <c r="CX18" s="366"/>
      <c r="CY18" s="366"/>
      <c r="CZ18" s="366"/>
      <c r="DA18" s="366"/>
      <c r="DB18" s="366"/>
      <c r="DC18" s="366"/>
      <c r="DD18" s="366"/>
      <c r="DE18" s="366"/>
      <c r="DF18" s="366"/>
      <c r="DG18" s="366"/>
      <c r="DH18" s="366"/>
      <c r="DI18" s="366"/>
      <c r="DJ18" s="366"/>
      <c r="DK18" s="366"/>
      <c r="DL18" s="366"/>
      <c r="DM18" s="366"/>
      <c r="DN18" s="366"/>
    </row>
    <row r="19" spans="1:118" ht="25.5" customHeight="1" thickBot="1" x14ac:dyDescent="0.3">
      <c r="A19" s="331">
        <v>210</v>
      </c>
      <c r="B19" s="82">
        <v>0</v>
      </c>
      <c r="C19" s="101" t="s">
        <v>135</v>
      </c>
      <c r="D19" s="190" t="s">
        <v>1002</v>
      </c>
      <c r="E19" s="100" t="s">
        <v>1003</v>
      </c>
      <c r="F19" s="100"/>
      <c r="G19" s="101" t="s">
        <v>1004</v>
      </c>
      <c r="H19" s="102" t="s">
        <v>1004</v>
      </c>
      <c r="I19" s="257"/>
      <c r="J19" s="99"/>
      <c r="K19" s="264"/>
      <c r="L19" s="395"/>
      <c r="M19" s="390"/>
      <c r="N19" s="390"/>
      <c r="O19" s="390"/>
      <c r="P19" s="391"/>
      <c r="Q19" s="278"/>
      <c r="R19" s="99"/>
      <c r="S19" s="422"/>
      <c r="T19" s="422"/>
      <c r="U19" s="424"/>
      <c r="V19" s="425"/>
      <c r="W19" s="422"/>
      <c r="X19" s="422"/>
      <c r="Y19" s="422"/>
      <c r="Z19" s="423"/>
      <c r="AA19" s="491"/>
      <c r="AB19" s="422"/>
      <c r="AC19" s="422"/>
      <c r="AD19" s="422"/>
      <c r="AE19" s="424"/>
      <c r="AF19" s="425"/>
      <c r="AG19" s="422"/>
      <c r="AH19" s="422"/>
      <c r="AI19" s="422"/>
      <c r="AJ19" s="264"/>
      <c r="AK19" s="450"/>
      <c r="AL19" s="422"/>
      <c r="AM19" s="422"/>
      <c r="AN19" s="422"/>
      <c r="AO19" s="424"/>
      <c r="AP19" s="425"/>
      <c r="AQ19" s="422"/>
      <c r="AR19" s="422"/>
      <c r="AS19" s="99"/>
      <c r="AT19" s="264"/>
      <c r="AU19" s="491"/>
      <c r="AV19" s="422"/>
      <c r="AW19" s="422"/>
      <c r="AX19" s="422"/>
      <c r="AY19" s="424"/>
      <c r="AZ19" s="425"/>
      <c r="BA19" s="422"/>
      <c r="BB19" s="422"/>
      <c r="BC19" s="422"/>
      <c r="BD19" s="423"/>
      <c r="BE19" s="450"/>
      <c r="BF19" s="99"/>
      <c r="BG19" s="422"/>
      <c r="BH19" s="422"/>
      <c r="BI19" s="424"/>
      <c r="BJ19" s="425"/>
      <c r="BK19" s="422"/>
      <c r="BL19" s="422"/>
      <c r="BM19" s="422"/>
      <c r="BN19" s="423"/>
      <c r="BO19" s="491"/>
      <c r="BP19" s="422"/>
      <c r="BQ19" s="99"/>
      <c r="BR19" s="99"/>
      <c r="BS19" s="424"/>
      <c r="BT19" s="257"/>
      <c r="BU19" s="99"/>
      <c r="BV19" s="422"/>
      <c r="BW19" s="422"/>
      <c r="BX19" s="423"/>
      <c r="BY19" s="491"/>
      <c r="BZ19" s="99"/>
      <c r="CA19" s="99"/>
      <c r="CB19" s="422"/>
      <c r="CC19" s="424"/>
      <c r="CD19" s="425"/>
      <c r="CE19" s="99"/>
      <c r="CF19" s="190"/>
      <c r="CG19" s="422"/>
      <c r="CH19" s="424"/>
      <c r="CI19" s="425"/>
      <c r="CJ19" s="213"/>
      <c r="CK19" s="213"/>
      <c r="CL19" s="213"/>
      <c r="CM19" s="214"/>
      <c r="CN19" s="366"/>
      <c r="CO19" s="366"/>
      <c r="CP19" s="366"/>
      <c r="CQ19" s="366"/>
      <c r="CR19" s="366"/>
      <c r="CS19" s="366"/>
      <c r="CT19" s="366"/>
      <c r="CU19" s="366"/>
      <c r="CV19" s="366"/>
      <c r="CW19" s="366"/>
      <c r="CX19" s="366"/>
      <c r="CY19" s="366"/>
      <c r="CZ19" s="366"/>
      <c r="DA19" s="366"/>
      <c r="DB19" s="366"/>
      <c r="DC19" s="366"/>
      <c r="DD19" s="366"/>
      <c r="DE19" s="366"/>
      <c r="DF19" s="366"/>
      <c r="DG19" s="366"/>
      <c r="DH19" s="366"/>
      <c r="DI19" s="366"/>
      <c r="DJ19" s="366"/>
      <c r="DK19" s="366"/>
      <c r="DL19" s="366"/>
      <c r="DM19" s="366"/>
      <c r="DN19" s="366"/>
    </row>
    <row r="20" spans="1:118" ht="25.5" customHeight="1" x14ac:dyDescent="0.25">
      <c r="A20" s="332">
        <v>211</v>
      </c>
      <c r="B20" s="85">
        <v>0</v>
      </c>
      <c r="C20" s="105" t="s">
        <v>135</v>
      </c>
      <c r="D20" s="87" t="s">
        <v>441</v>
      </c>
      <c r="E20" s="104" t="s">
        <v>442</v>
      </c>
      <c r="F20" s="104"/>
      <c r="G20" s="105" t="s">
        <v>443</v>
      </c>
      <c r="H20" s="106" t="s">
        <v>443</v>
      </c>
      <c r="I20" s="139" t="s">
        <v>105</v>
      </c>
      <c r="J20" s="103" t="s">
        <v>64</v>
      </c>
      <c r="K20" s="137"/>
      <c r="L20" s="281"/>
      <c r="M20" s="460" t="s">
        <v>122</v>
      </c>
      <c r="N20" s="460" t="s">
        <v>122</v>
      </c>
      <c r="O20" s="87"/>
      <c r="P20" s="282"/>
      <c r="Q20" s="281"/>
      <c r="R20" s="103"/>
      <c r="S20" s="103"/>
      <c r="T20" s="460" t="s">
        <v>120</v>
      </c>
      <c r="U20" s="194"/>
      <c r="V20" s="283"/>
      <c r="W20" s="460" t="s">
        <v>120</v>
      </c>
      <c r="X20" s="103"/>
      <c r="Y20" s="87"/>
      <c r="Z20" s="137"/>
      <c r="AA20" s="281"/>
      <c r="AB20" s="87"/>
      <c r="AC20" s="103"/>
      <c r="AD20" s="103"/>
      <c r="AE20" s="502" t="s">
        <v>120</v>
      </c>
      <c r="AF20" s="503" t="s">
        <v>120</v>
      </c>
      <c r="AG20" s="501" t="s">
        <v>120</v>
      </c>
      <c r="AH20" s="501" t="s">
        <v>120</v>
      </c>
      <c r="AI20" s="103"/>
      <c r="AJ20" s="137"/>
      <c r="AK20" s="136"/>
      <c r="AL20" s="103"/>
      <c r="AM20" s="103"/>
      <c r="AN20" s="103"/>
      <c r="AO20" s="138"/>
      <c r="AP20" s="139"/>
      <c r="AQ20" s="103"/>
      <c r="AR20" s="103"/>
      <c r="AS20" s="103"/>
      <c r="AT20" s="137"/>
      <c r="AU20" s="136"/>
      <c r="AV20" s="103"/>
      <c r="AW20" s="103"/>
      <c r="AX20" s="460" t="s">
        <v>120</v>
      </c>
      <c r="AY20" s="194"/>
      <c r="AZ20" s="283"/>
      <c r="BA20" s="87"/>
      <c r="BB20" s="87"/>
      <c r="BC20" s="87"/>
      <c r="BD20" s="464" t="s">
        <v>121</v>
      </c>
      <c r="BE20" s="281"/>
      <c r="BF20" s="103"/>
      <c r="BG20" s="87"/>
      <c r="BH20" s="87"/>
      <c r="BI20" s="194"/>
      <c r="BJ20" s="461" t="s">
        <v>120</v>
      </c>
      <c r="BK20" s="87"/>
      <c r="BL20" s="87"/>
      <c r="BM20" s="87"/>
      <c r="BN20" s="282"/>
      <c r="BO20" s="136"/>
      <c r="BP20" s="460" t="s">
        <v>121</v>
      </c>
      <c r="BQ20" s="103"/>
      <c r="BR20" s="103"/>
      <c r="BS20" s="502" t="s">
        <v>120</v>
      </c>
      <c r="BT20" s="139"/>
      <c r="BU20" s="103"/>
      <c r="BV20" s="501" t="s">
        <v>582</v>
      </c>
      <c r="BW20" s="103"/>
      <c r="BX20" s="137"/>
      <c r="BY20" s="136"/>
      <c r="BZ20" s="103"/>
      <c r="CA20" s="103"/>
      <c r="CB20" s="103"/>
      <c r="CC20" s="138"/>
      <c r="CD20" s="139"/>
      <c r="CE20" s="103"/>
      <c r="CF20" s="87"/>
      <c r="CG20" s="103"/>
      <c r="CH20" s="502" t="s">
        <v>40</v>
      </c>
      <c r="CI20" s="503" t="s">
        <v>40</v>
      </c>
      <c r="CJ20" s="217"/>
      <c r="CK20" s="217"/>
      <c r="CL20" s="217"/>
      <c r="CM20" s="218"/>
      <c r="CN20" s="366"/>
      <c r="CO20" s="366"/>
      <c r="CP20" s="366"/>
      <c r="CQ20" s="366"/>
      <c r="CR20" s="366"/>
      <c r="CS20" s="366"/>
      <c r="CT20" s="366"/>
      <c r="CU20" s="366"/>
      <c r="CV20" s="366"/>
      <c r="CW20" s="366"/>
      <c r="CX20" s="366"/>
      <c r="CY20" s="366"/>
      <c r="CZ20" s="366"/>
      <c r="DA20" s="366"/>
      <c r="DB20" s="366"/>
      <c r="DC20" s="366"/>
      <c r="DD20" s="366"/>
      <c r="DE20" s="366"/>
      <c r="DF20" s="366"/>
      <c r="DG20" s="366"/>
      <c r="DH20" s="366"/>
      <c r="DI20" s="366"/>
      <c r="DJ20" s="366"/>
      <c r="DK20" s="366"/>
      <c r="DL20" s="366"/>
      <c r="DM20" s="366"/>
      <c r="DN20" s="366"/>
    </row>
    <row r="21" spans="1:118" ht="25.5" customHeight="1" x14ac:dyDescent="0.2">
      <c r="A21" s="324">
        <v>212</v>
      </c>
      <c r="B21" s="72">
        <v>0</v>
      </c>
      <c r="C21" s="95" t="s">
        <v>135</v>
      </c>
      <c r="D21" s="79" t="s">
        <v>444</v>
      </c>
      <c r="E21" s="96" t="s">
        <v>445</v>
      </c>
      <c r="F21" s="96"/>
      <c r="G21" s="95" t="s">
        <v>446</v>
      </c>
      <c r="H21" s="97" t="s">
        <v>446</v>
      </c>
      <c r="I21" s="142"/>
      <c r="J21" s="76" t="s">
        <v>64</v>
      </c>
      <c r="K21" s="141"/>
      <c r="L21" s="367"/>
      <c r="M21" s="307"/>
      <c r="N21" s="307"/>
      <c r="O21" s="307"/>
      <c r="P21" s="369"/>
      <c r="Q21" s="274"/>
      <c r="R21" s="76"/>
      <c r="S21" s="310"/>
      <c r="T21" s="307"/>
      <c r="U21" s="370"/>
      <c r="V21" s="306"/>
      <c r="W21" s="307"/>
      <c r="X21" s="310"/>
      <c r="Y21" s="307"/>
      <c r="Z21" s="411"/>
      <c r="AA21" s="367"/>
      <c r="AB21" s="307"/>
      <c r="AC21" s="310"/>
      <c r="AD21" s="310"/>
      <c r="AE21" s="412"/>
      <c r="AF21" s="413"/>
      <c r="AG21" s="310"/>
      <c r="AH21" s="310"/>
      <c r="AI21" s="310"/>
      <c r="AJ21" s="141"/>
      <c r="AK21" s="140"/>
      <c r="AL21" s="310"/>
      <c r="AM21" s="310"/>
      <c r="AN21" s="310"/>
      <c r="AO21" s="412"/>
      <c r="AP21" s="413"/>
      <c r="AQ21" s="310"/>
      <c r="AR21" s="310"/>
      <c r="AS21" s="76"/>
      <c r="AT21" s="141"/>
      <c r="AU21" s="485"/>
      <c r="AV21" s="310"/>
      <c r="AW21" s="310"/>
      <c r="AX21" s="307"/>
      <c r="AY21" s="370"/>
      <c r="AZ21" s="306"/>
      <c r="BA21" s="307"/>
      <c r="BB21" s="307"/>
      <c r="BC21" s="307"/>
      <c r="BD21" s="369"/>
      <c r="BE21" s="274"/>
      <c r="BF21" s="76"/>
      <c r="BG21" s="307"/>
      <c r="BH21" s="307"/>
      <c r="BI21" s="370"/>
      <c r="BJ21" s="306"/>
      <c r="BK21" s="307"/>
      <c r="BL21" s="307"/>
      <c r="BM21" s="307"/>
      <c r="BN21" s="369"/>
      <c r="BO21" s="485"/>
      <c r="BP21" s="307"/>
      <c r="BQ21" s="76"/>
      <c r="BR21" s="76"/>
      <c r="BS21" s="412"/>
      <c r="BT21" s="142"/>
      <c r="BU21" s="76"/>
      <c r="BV21" s="310"/>
      <c r="BW21" s="310"/>
      <c r="BX21" s="411"/>
      <c r="BY21" s="485"/>
      <c r="BZ21" s="76"/>
      <c r="CA21" s="76"/>
      <c r="CB21" s="310"/>
      <c r="CC21" s="412"/>
      <c r="CD21" s="413"/>
      <c r="CE21" s="76"/>
      <c r="CF21" s="79"/>
      <c r="CG21" s="310"/>
      <c r="CH21" s="470" t="s">
        <v>40</v>
      </c>
      <c r="CI21" s="471" t="s">
        <v>40</v>
      </c>
      <c r="CJ21" s="202"/>
      <c r="CK21" s="202"/>
      <c r="CL21" s="202"/>
      <c r="CM21" s="203"/>
    </row>
    <row r="22" spans="1:118" ht="25.5" customHeight="1" x14ac:dyDescent="0.2">
      <c r="A22" s="324">
        <v>213</v>
      </c>
      <c r="B22" s="72">
        <v>0</v>
      </c>
      <c r="C22" s="95" t="s">
        <v>135</v>
      </c>
      <c r="D22" s="79" t="s">
        <v>447</v>
      </c>
      <c r="E22" s="96" t="s">
        <v>448</v>
      </c>
      <c r="F22" s="96"/>
      <c r="G22" s="95" t="s">
        <v>449</v>
      </c>
      <c r="H22" s="97" t="s">
        <v>449</v>
      </c>
      <c r="I22" s="142"/>
      <c r="J22" s="76" t="s">
        <v>64</v>
      </c>
      <c r="K22" s="141"/>
      <c r="L22" s="367"/>
      <c r="M22" s="307"/>
      <c r="N22" s="307"/>
      <c r="O22" s="307"/>
      <c r="P22" s="369"/>
      <c r="Q22" s="274"/>
      <c r="R22" s="76"/>
      <c r="S22" s="310"/>
      <c r="T22" s="307"/>
      <c r="U22" s="370"/>
      <c r="V22" s="306"/>
      <c r="W22" s="307"/>
      <c r="X22" s="310"/>
      <c r="Y22" s="307"/>
      <c r="Z22" s="411"/>
      <c r="AA22" s="367"/>
      <c r="AB22" s="307"/>
      <c r="AC22" s="310"/>
      <c r="AD22" s="310"/>
      <c r="AE22" s="412"/>
      <c r="AF22" s="413"/>
      <c r="AG22" s="310"/>
      <c r="AH22" s="310"/>
      <c r="AI22" s="310"/>
      <c r="AJ22" s="141"/>
      <c r="AK22" s="140"/>
      <c r="AL22" s="310"/>
      <c r="AM22" s="310"/>
      <c r="AN22" s="310"/>
      <c r="AO22" s="412"/>
      <c r="AP22" s="413"/>
      <c r="AQ22" s="310"/>
      <c r="AR22" s="310"/>
      <c r="AS22" s="76"/>
      <c r="AT22" s="141"/>
      <c r="AU22" s="485"/>
      <c r="AV22" s="310"/>
      <c r="AW22" s="310"/>
      <c r="AX22" s="307"/>
      <c r="AY22" s="370"/>
      <c r="AZ22" s="306"/>
      <c r="BA22" s="307"/>
      <c r="BB22" s="307"/>
      <c r="BC22" s="307"/>
      <c r="BD22" s="369"/>
      <c r="BE22" s="274"/>
      <c r="BF22" s="76"/>
      <c r="BG22" s="307"/>
      <c r="BH22" s="307"/>
      <c r="BI22" s="370"/>
      <c r="BJ22" s="306"/>
      <c r="BK22" s="307"/>
      <c r="BL22" s="307"/>
      <c r="BM22" s="307"/>
      <c r="BN22" s="369"/>
      <c r="BO22" s="485"/>
      <c r="BP22" s="307"/>
      <c r="BQ22" s="76"/>
      <c r="BR22" s="76"/>
      <c r="BS22" s="412"/>
      <c r="BT22" s="142"/>
      <c r="BU22" s="76"/>
      <c r="BV22" s="310"/>
      <c r="BW22" s="310"/>
      <c r="BX22" s="411"/>
      <c r="BY22" s="485"/>
      <c r="BZ22" s="76"/>
      <c r="CA22" s="76"/>
      <c r="CB22" s="310"/>
      <c r="CC22" s="412"/>
      <c r="CD22" s="413"/>
      <c r="CE22" s="76"/>
      <c r="CF22" s="79"/>
      <c r="CG22" s="310"/>
      <c r="CH22" s="470" t="s">
        <v>40</v>
      </c>
      <c r="CI22" s="471" t="s">
        <v>40</v>
      </c>
      <c r="CJ22" s="202"/>
      <c r="CK22" s="202"/>
      <c r="CL22" s="202"/>
      <c r="CM22" s="203"/>
    </row>
    <row r="23" spans="1:118" ht="25.5" customHeight="1" x14ac:dyDescent="0.2">
      <c r="A23" s="324">
        <v>214</v>
      </c>
      <c r="B23" s="72">
        <v>0</v>
      </c>
      <c r="C23" s="95" t="s">
        <v>135</v>
      </c>
      <c r="D23" s="79" t="s">
        <v>450</v>
      </c>
      <c r="E23" s="96" t="s">
        <v>776</v>
      </c>
      <c r="F23" s="96"/>
      <c r="G23" s="95" t="s">
        <v>451</v>
      </c>
      <c r="H23" s="97" t="s">
        <v>451</v>
      </c>
      <c r="I23" s="142" t="s">
        <v>105</v>
      </c>
      <c r="J23" s="76" t="s">
        <v>64</v>
      </c>
      <c r="K23" s="141"/>
      <c r="L23" s="274"/>
      <c r="M23" s="451" t="s">
        <v>122</v>
      </c>
      <c r="N23" s="451" t="s">
        <v>122</v>
      </c>
      <c r="O23" s="79"/>
      <c r="P23" s="178"/>
      <c r="Q23" s="274"/>
      <c r="R23" s="76"/>
      <c r="S23" s="76"/>
      <c r="T23" s="472" t="s">
        <v>120</v>
      </c>
      <c r="U23" s="81"/>
      <c r="V23" s="142"/>
      <c r="W23" s="472" t="s">
        <v>120</v>
      </c>
      <c r="X23" s="76"/>
      <c r="Y23" s="76"/>
      <c r="Z23" s="141"/>
      <c r="AA23" s="140"/>
      <c r="AB23" s="76"/>
      <c r="AC23" s="76"/>
      <c r="AD23" s="76"/>
      <c r="AE23" s="473" t="s">
        <v>120</v>
      </c>
      <c r="AF23" s="474" t="s">
        <v>120</v>
      </c>
      <c r="AG23" s="472" t="s">
        <v>120</v>
      </c>
      <c r="AH23" s="472" t="s">
        <v>120</v>
      </c>
      <c r="AI23" s="76"/>
      <c r="AJ23" s="141"/>
      <c r="AK23" s="140"/>
      <c r="AL23" s="76"/>
      <c r="AM23" s="76"/>
      <c r="AN23" s="76"/>
      <c r="AO23" s="81"/>
      <c r="AP23" s="142"/>
      <c r="AQ23" s="76"/>
      <c r="AR23" s="76"/>
      <c r="AS23" s="76"/>
      <c r="AT23" s="141"/>
      <c r="AU23" s="140"/>
      <c r="AV23" s="76"/>
      <c r="AW23" s="76"/>
      <c r="AX23" s="472" t="s">
        <v>120</v>
      </c>
      <c r="AY23" s="81"/>
      <c r="AZ23" s="142"/>
      <c r="BA23" s="76"/>
      <c r="BB23" s="76"/>
      <c r="BC23" s="76"/>
      <c r="BD23" s="504" t="s">
        <v>121</v>
      </c>
      <c r="BE23" s="140"/>
      <c r="BF23" s="76"/>
      <c r="BG23" s="76"/>
      <c r="BH23" s="76"/>
      <c r="BI23" s="81"/>
      <c r="BJ23" s="474" t="s">
        <v>120</v>
      </c>
      <c r="BK23" s="76"/>
      <c r="BL23" s="76"/>
      <c r="BM23" s="76"/>
      <c r="BN23" s="141"/>
      <c r="BO23" s="140"/>
      <c r="BP23" s="472" t="s">
        <v>121</v>
      </c>
      <c r="BQ23" s="76"/>
      <c r="BR23" s="76"/>
      <c r="BS23" s="473" t="s">
        <v>120</v>
      </c>
      <c r="BT23" s="142"/>
      <c r="BU23" s="76"/>
      <c r="BV23" s="472" t="s">
        <v>582</v>
      </c>
      <c r="BW23" s="76"/>
      <c r="BX23" s="141"/>
      <c r="BY23" s="140"/>
      <c r="BZ23" s="76"/>
      <c r="CA23" s="76"/>
      <c r="CB23" s="76"/>
      <c r="CC23" s="81"/>
      <c r="CD23" s="142"/>
      <c r="CE23" s="76"/>
      <c r="CF23" s="79"/>
      <c r="CG23" s="76"/>
      <c r="CH23" s="473" t="s">
        <v>40</v>
      </c>
      <c r="CI23" s="474" t="s">
        <v>40</v>
      </c>
      <c r="CJ23" s="202"/>
      <c r="CK23" s="202"/>
      <c r="CL23" s="202"/>
      <c r="CM23" s="203"/>
    </row>
    <row r="24" spans="1:118" ht="25.5" customHeight="1" thickBot="1" x14ac:dyDescent="0.25">
      <c r="A24" s="325">
        <v>215</v>
      </c>
      <c r="B24" s="73">
        <v>0</v>
      </c>
      <c r="C24" s="125" t="s">
        <v>135</v>
      </c>
      <c r="D24" s="74" t="s">
        <v>452</v>
      </c>
      <c r="E24" s="197" t="s">
        <v>453</v>
      </c>
      <c r="F24" s="197"/>
      <c r="G24" s="125" t="s">
        <v>454</v>
      </c>
      <c r="H24" s="198" t="s">
        <v>454</v>
      </c>
      <c r="I24" s="269"/>
      <c r="J24" s="89"/>
      <c r="K24" s="270"/>
      <c r="L24" s="383"/>
      <c r="M24" s="379"/>
      <c r="N24" s="379"/>
      <c r="O24" s="379"/>
      <c r="P24" s="382"/>
      <c r="Q24" s="275"/>
      <c r="R24" s="89"/>
      <c r="S24" s="414"/>
      <c r="T24" s="379"/>
      <c r="U24" s="380"/>
      <c r="V24" s="381"/>
      <c r="W24" s="414"/>
      <c r="X24" s="414"/>
      <c r="Y24" s="414"/>
      <c r="Z24" s="415"/>
      <c r="AA24" s="383"/>
      <c r="AB24" s="379"/>
      <c r="AC24" s="414"/>
      <c r="AD24" s="414"/>
      <c r="AE24" s="416"/>
      <c r="AF24" s="417"/>
      <c r="AG24" s="414"/>
      <c r="AH24" s="414"/>
      <c r="AI24" s="414"/>
      <c r="AJ24" s="270"/>
      <c r="AK24" s="271"/>
      <c r="AL24" s="414"/>
      <c r="AM24" s="414"/>
      <c r="AN24" s="414"/>
      <c r="AO24" s="416"/>
      <c r="AP24" s="417"/>
      <c r="AQ24" s="379"/>
      <c r="AR24" s="379"/>
      <c r="AS24" s="74"/>
      <c r="AT24" s="270"/>
      <c r="AU24" s="383"/>
      <c r="AV24" s="379"/>
      <c r="AW24" s="379"/>
      <c r="AX24" s="379"/>
      <c r="AY24" s="380"/>
      <c r="AZ24" s="381"/>
      <c r="BA24" s="379"/>
      <c r="BB24" s="379"/>
      <c r="BC24" s="379"/>
      <c r="BD24" s="382"/>
      <c r="BE24" s="275"/>
      <c r="BF24" s="89"/>
      <c r="BG24" s="379"/>
      <c r="BH24" s="379"/>
      <c r="BI24" s="380"/>
      <c r="BJ24" s="381"/>
      <c r="BK24" s="379"/>
      <c r="BL24" s="379"/>
      <c r="BM24" s="379"/>
      <c r="BN24" s="382"/>
      <c r="BO24" s="383"/>
      <c r="BP24" s="379"/>
      <c r="BQ24" s="74"/>
      <c r="BR24" s="89"/>
      <c r="BS24" s="416"/>
      <c r="BT24" s="269"/>
      <c r="BU24" s="89"/>
      <c r="BV24" s="379"/>
      <c r="BW24" s="414"/>
      <c r="BX24" s="382"/>
      <c r="BY24" s="383"/>
      <c r="BZ24" s="89"/>
      <c r="CA24" s="89"/>
      <c r="CB24" s="414"/>
      <c r="CC24" s="416"/>
      <c r="CD24" s="417"/>
      <c r="CE24" s="89"/>
      <c r="CF24" s="74"/>
      <c r="CG24" s="414"/>
      <c r="CH24" s="465" t="s">
        <v>40</v>
      </c>
      <c r="CI24" s="466" t="s">
        <v>40</v>
      </c>
      <c r="CJ24" s="206"/>
      <c r="CK24" s="206"/>
      <c r="CL24" s="206"/>
      <c r="CM24" s="207"/>
    </row>
    <row r="25" spans="1:118" ht="25.5" customHeight="1" x14ac:dyDescent="0.2">
      <c r="A25" s="318">
        <v>216</v>
      </c>
      <c r="B25" s="75"/>
      <c r="C25" s="129"/>
      <c r="D25" s="92"/>
      <c r="E25" s="196"/>
      <c r="F25" s="196"/>
      <c r="G25" s="129"/>
      <c r="H25" s="181"/>
      <c r="I25" s="259"/>
      <c r="J25" s="130"/>
      <c r="K25" s="260"/>
      <c r="L25" s="272"/>
      <c r="M25" s="92"/>
      <c r="N25" s="92"/>
      <c r="O25" s="92"/>
      <c r="P25" s="273"/>
      <c r="Q25" s="272"/>
      <c r="R25" s="130"/>
      <c r="S25" s="130"/>
      <c r="T25" s="92"/>
      <c r="U25" s="113"/>
      <c r="V25" s="258"/>
      <c r="W25" s="130"/>
      <c r="X25" s="130"/>
      <c r="Y25" s="130"/>
      <c r="Z25" s="260"/>
      <c r="AA25" s="272"/>
      <c r="AB25" s="92"/>
      <c r="AC25" s="130"/>
      <c r="AD25" s="130"/>
      <c r="AE25" s="449"/>
      <c r="AF25" s="259"/>
      <c r="AG25" s="130"/>
      <c r="AH25" s="130"/>
      <c r="AI25" s="130"/>
      <c r="AJ25" s="260"/>
      <c r="AK25" s="448"/>
      <c r="AL25" s="130"/>
      <c r="AM25" s="130"/>
      <c r="AN25" s="130"/>
      <c r="AO25" s="449"/>
      <c r="AP25" s="259"/>
      <c r="AQ25" s="92"/>
      <c r="AR25" s="92"/>
      <c r="AS25" s="92"/>
      <c r="AT25" s="260"/>
      <c r="AU25" s="272"/>
      <c r="AV25" s="92"/>
      <c r="AW25" s="92"/>
      <c r="AX25" s="92"/>
      <c r="AY25" s="113"/>
      <c r="AZ25" s="258"/>
      <c r="BA25" s="92"/>
      <c r="BB25" s="92"/>
      <c r="BC25" s="92"/>
      <c r="BD25" s="273"/>
      <c r="BE25" s="272"/>
      <c r="BF25" s="130"/>
      <c r="BG25" s="92"/>
      <c r="BH25" s="92"/>
      <c r="BI25" s="113"/>
      <c r="BJ25" s="258"/>
      <c r="BK25" s="92"/>
      <c r="BL25" s="92"/>
      <c r="BM25" s="92"/>
      <c r="BN25" s="273"/>
      <c r="BO25" s="272"/>
      <c r="BP25" s="92"/>
      <c r="BQ25" s="92"/>
      <c r="BR25" s="130"/>
      <c r="BS25" s="449"/>
      <c r="BT25" s="259"/>
      <c r="BU25" s="130"/>
      <c r="BV25" s="92"/>
      <c r="BW25" s="130"/>
      <c r="BX25" s="273"/>
      <c r="BY25" s="272"/>
      <c r="BZ25" s="130"/>
      <c r="CA25" s="130"/>
      <c r="CB25" s="130"/>
      <c r="CC25" s="449"/>
      <c r="CD25" s="259"/>
      <c r="CE25" s="130"/>
      <c r="CF25" s="92"/>
      <c r="CG25" s="130"/>
      <c r="CH25" s="449"/>
      <c r="CI25" s="259"/>
      <c r="CJ25" s="210"/>
      <c r="CK25" s="210"/>
      <c r="CL25" s="210"/>
      <c r="CM25" s="211"/>
    </row>
    <row r="26" spans="1:118" ht="25.5" customHeight="1" x14ac:dyDescent="0.2">
      <c r="A26" s="324">
        <v>217</v>
      </c>
      <c r="B26" s="72">
        <v>0</v>
      </c>
      <c r="C26" s="79" t="s">
        <v>135</v>
      </c>
      <c r="D26" s="79" t="s">
        <v>455</v>
      </c>
      <c r="E26" s="77" t="s">
        <v>456</v>
      </c>
      <c r="F26" s="79"/>
      <c r="G26" s="95" t="s">
        <v>457</v>
      </c>
      <c r="H26" s="97" t="s">
        <v>603</v>
      </c>
      <c r="I26" s="142" t="s">
        <v>785</v>
      </c>
      <c r="J26" s="76"/>
      <c r="K26" s="141"/>
      <c r="L26" s="367"/>
      <c r="M26" s="307"/>
      <c r="N26" s="307"/>
      <c r="O26" s="307"/>
      <c r="P26" s="369"/>
      <c r="Q26" s="274"/>
      <c r="R26" s="79"/>
      <c r="S26" s="307"/>
      <c r="T26" s="307"/>
      <c r="U26" s="370"/>
      <c r="V26" s="306"/>
      <c r="W26" s="307"/>
      <c r="X26" s="307"/>
      <c r="Y26" s="307"/>
      <c r="Z26" s="369"/>
      <c r="AA26" s="367"/>
      <c r="AB26" s="307"/>
      <c r="AC26" s="307"/>
      <c r="AD26" s="307"/>
      <c r="AE26" s="370"/>
      <c r="AF26" s="306"/>
      <c r="AG26" s="307"/>
      <c r="AH26" s="307"/>
      <c r="AI26" s="307"/>
      <c r="AJ26" s="178"/>
      <c r="AK26" s="274"/>
      <c r="AL26" s="307"/>
      <c r="AM26" s="307"/>
      <c r="AN26" s="307"/>
      <c r="AO26" s="370"/>
      <c r="AP26" s="306"/>
      <c r="AQ26" s="307"/>
      <c r="AR26" s="307"/>
      <c r="AS26" s="79"/>
      <c r="AT26" s="178"/>
      <c r="AU26" s="367"/>
      <c r="AV26" s="307"/>
      <c r="AW26" s="307"/>
      <c r="AX26" s="307"/>
      <c r="AY26" s="370"/>
      <c r="AZ26" s="306"/>
      <c r="BA26" s="307"/>
      <c r="BB26" s="307"/>
      <c r="BC26" s="307"/>
      <c r="BD26" s="369"/>
      <c r="BE26" s="274"/>
      <c r="BF26" s="79"/>
      <c r="BG26" s="307"/>
      <c r="BH26" s="307"/>
      <c r="BI26" s="370"/>
      <c r="BJ26" s="306"/>
      <c r="BK26" s="307"/>
      <c r="BL26" s="307"/>
      <c r="BM26" s="307"/>
      <c r="BN26" s="369"/>
      <c r="BO26" s="367"/>
      <c r="BP26" s="307"/>
      <c r="BQ26" s="79"/>
      <c r="BR26" s="79"/>
      <c r="BS26" s="370"/>
      <c r="BT26" s="261"/>
      <c r="BU26" s="79"/>
      <c r="BV26" s="307"/>
      <c r="BW26" s="307"/>
      <c r="BX26" s="369"/>
      <c r="BY26" s="367"/>
      <c r="BZ26" s="79"/>
      <c r="CA26" s="79"/>
      <c r="CB26" s="307"/>
      <c r="CC26" s="370"/>
      <c r="CD26" s="306"/>
      <c r="CE26" s="79"/>
      <c r="CF26" s="79"/>
      <c r="CG26" s="307"/>
      <c r="CH26" s="374" t="s">
        <v>40</v>
      </c>
      <c r="CI26" s="373" t="s">
        <v>40</v>
      </c>
      <c r="CJ26" s="202"/>
      <c r="CK26" s="202"/>
      <c r="CL26" s="202"/>
      <c r="CM26" s="203"/>
    </row>
    <row r="27" spans="1:118" ht="25.5" customHeight="1" x14ac:dyDescent="0.2">
      <c r="A27" s="324">
        <v>218</v>
      </c>
      <c r="B27" s="72">
        <v>0</v>
      </c>
      <c r="C27" s="79" t="s">
        <v>135</v>
      </c>
      <c r="D27" s="79" t="s">
        <v>458</v>
      </c>
      <c r="E27" s="77" t="s">
        <v>459</v>
      </c>
      <c r="F27" s="79"/>
      <c r="G27" s="95" t="s">
        <v>460</v>
      </c>
      <c r="H27" s="97" t="s">
        <v>604</v>
      </c>
      <c r="I27" s="142"/>
      <c r="J27" s="76"/>
      <c r="K27" s="141"/>
      <c r="L27" s="367"/>
      <c r="M27" s="307"/>
      <c r="N27" s="307"/>
      <c r="O27" s="307"/>
      <c r="P27" s="369"/>
      <c r="Q27" s="274"/>
      <c r="R27" s="79"/>
      <c r="S27" s="307"/>
      <c r="T27" s="307"/>
      <c r="U27" s="370"/>
      <c r="V27" s="306"/>
      <c r="W27" s="307"/>
      <c r="X27" s="307"/>
      <c r="Y27" s="307"/>
      <c r="Z27" s="369"/>
      <c r="AA27" s="367"/>
      <c r="AB27" s="307"/>
      <c r="AC27" s="307"/>
      <c r="AD27" s="307"/>
      <c r="AE27" s="370"/>
      <c r="AF27" s="306"/>
      <c r="AG27" s="307"/>
      <c r="AH27" s="307"/>
      <c r="AI27" s="307"/>
      <c r="AJ27" s="178"/>
      <c r="AK27" s="274"/>
      <c r="AL27" s="307"/>
      <c r="AM27" s="307"/>
      <c r="AN27" s="307"/>
      <c r="AO27" s="370"/>
      <c r="AP27" s="306"/>
      <c r="AQ27" s="307"/>
      <c r="AR27" s="307"/>
      <c r="AS27" s="79"/>
      <c r="AT27" s="178"/>
      <c r="AU27" s="367"/>
      <c r="AV27" s="307"/>
      <c r="AW27" s="307"/>
      <c r="AX27" s="307"/>
      <c r="AY27" s="370"/>
      <c r="AZ27" s="306"/>
      <c r="BA27" s="307"/>
      <c r="BB27" s="307"/>
      <c r="BC27" s="307"/>
      <c r="BD27" s="369"/>
      <c r="BE27" s="274"/>
      <c r="BF27" s="79"/>
      <c r="BG27" s="307"/>
      <c r="BH27" s="307"/>
      <c r="BI27" s="370"/>
      <c r="BJ27" s="306"/>
      <c r="BK27" s="307"/>
      <c r="BL27" s="307"/>
      <c r="BM27" s="307"/>
      <c r="BN27" s="369"/>
      <c r="BO27" s="367"/>
      <c r="BP27" s="307"/>
      <c r="BQ27" s="79"/>
      <c r="BR27" s="79"/>
      <c r="BS27" s="370"/>
      <c r="BT27" s="261"/>
      <c r="BU27" s="79"/>
      <c r="BV27" s="307"/>
      <c r="BW27" s="307"/>
      <c r="BX27" s="369"/>
      <c r="BY27" s="367"/>
      <c r="BZ27" s="79"/>
      <c r="CA27" s="79"/>
      <c r="CB27" s="307"/>
      <c r="CC27" s="370"/>
      <c r="CD27" s="306"/>
      <c r="CE27" s="79"/>
      <c r="CF27" s="79"/>
      <c r="CG27" s="307"/>
      <c r="CH27" s="374" t="s">
        <v>40</v>
      </c>
      <c r="CI27" s="373" t="s">
        <v>40</v>
      </c>
      <c r="CJ27" s="202"/>
      <c r="CK27" s="202"/>
      <c r="CL27" s="202"/>
      <c r="CM27" s="203"/>
    </row>
    <row r="28" spans="1:118" ht="25.5" customHeight="1" x14ac:dyDescent="0.2">
      <c r="A28" s="324">
        <v>219</v>
      </c>
      <c r="B28" s="72">
        <v>0</v>
      </c>
      <c r="C28" s="79" t="s">
        <v>135</v>
      </c>
      <c r="D28" s="79" t="s">
        <v>461</v>
      </c>
      <c r="E28" s="77" t="s">
        <v>462</v>
      </c>
      <c r="F28" s="79"/>
      <c r="G28" s="95" t="s">
        <v>463</v>
      </c>
      <c r="H28" s="97" t="s">
        <v>605</v>
      </c>
      <c r="I28" s="142"/>
      <c r="J28" s="76"/>
      <c r="K28" s="141"/>
      <c r="L28" s="367"/>
      <c r="M28" s="307"/>
      <c r="N28" s="307"/>
      <c r="O28" s="307"/>
      <c r="P28" s="369"/>
      <c r="Q28" s="274"/>
      <c r="R28" s="79"/>
      <c r="S28" s="307"/>
      <c r="T28" s="307"/>
      <c r="U28" s="370"/>
      <c r="V28" s="306"/>
      <c r="W28" s="307"/>
      <c r="X28" s="307"/>
      <c r="Y28" s="307"/>
      <c r="Z28" s="369"/>
      <c r="AA28" s="367"/>
      <c r="AB28" s="307"/>
      <c r="AC28" s="307"/>
      <c r="AD28" s="307"/>
      <c r="AE28" s="370"/>
      <c r="AF28" s="306"/>
      <c r="AG28" s="307"/>
      <c r="AH28" s="307"/>
      <c r="AI28" s="307"/>
      <c r="AJ28" s="178"/>
      <c r="AK28" s="274"/>
      <c r="AL28" s="307"/>
      <c r="AM28" s="307"/>
      <c r="AN28" s="307"/>
      <c r="AO28" s="370"/>
      <c r="AP28" s="306"/>
      <c r="AQ28" s="307"/>
      <c r="AR28" s="307"/>
      <c r="AS28" s="79"/>
      <c r="AT28" s="178"/>
      <c r="AU28" s="367"/>
      <c r="AV28" s="307"/>
      <c r="AW28" s="307"/>
      <c r="AX28" s="307"/>
      <c r="AY28" s="370"/>
      <c r="AZ28" s="306"/>
      <c r="BA28" s="307"/>
      <c r="BB28" s="307"/>
      <c r="BC28" s="307"/>
      <c r="BD28" s="369"/>
      <c r="BE28" s="274"/>
      <c r="BF28" s="79"/>
      <c r="BG28" s="307"/>
      <c r="BH28" s="307"/>
      <c r="BI28" s="370"/>
      <c r="BJ28" s="306"/>
      <c r="BK28" s="307"/>
      <c r="BL28" s="307"/>
      <c r="BM28" s="307"/>
      <c r="BN28" s="369"/>
      <c r="BO28" s="367"/>
      <c r="BP28" s="307"/>
      <c r="BQ28" s="79"/>
      <c r="BR28" s="79"/>
      <c r="BS28" s="370"/>
      <c r="BT28" s="261"/>
      <c r="BU28" s="79"/>
      <c r="BV28" s="307"/>
      <c r="BW28" s="307"/>
      <c r="BX28" s="369"/>
      <c r="BY28" s="367"/>
      <c r="BZ28" s="79"/>
      <c r="CA28" s="79"/>
      <c r="CB28" s="307"/>
      <c r="CC28" s="370"/>
      <c r="CD28" s="306"/>
      <c r="CE28" s="79"/>
      <c r="CF28" s="79"/>
      <c r="CG28" s="307"/>
      <c r="CH28" s="374" t="s">
        <v>40</v>
      </c>
      <c r="CI28" s="373" t="s">
        <v>40</v>
      </c>
      <c r="CJ28" s="202"/>
      <c r="CK28" s="202"/>
      <c r="CL28" s="202"/>
      <c r="CM28" s="203"/>
    </row>
    <row r="29" spans="1:118" ht="25.5" customHeight="1" thickBot="1" x14ac:dyDescent="0.25">
      <c r="A29" s="331">
        <v>220</v>
      </c>
      <c r="B29" s="82">
        <v>0</v>
      </c>
      <c r="C29" s="190" t="s">
        <v>135</v>
      </c>
      <c r="D29" s="190" t="s">
        <v>464</v>
      </c>
      <c r="E29" s="117" t="s">
        <v>465</v>
      </c>
      <c r="F29" s="190"/>
      <c r="G29" s="101" t="s">
        <v>466</v>
      </c>
      <c r="H29" s="102" t="s">
        <v>466</v>
      </c>
      <c r="I29" s="257"/>
      <c r="J29" s="99"/>
      <c r="K29" s="264"/>
      <c r="L29" s="395"/>
      <c r="M29" s="390"/>
      <c r="N29" s="390"/>
      <c r="O29" s="390"/>
      <c r="P29" s="391"/>
      <c r="Q29" s="278"/>
      <c r="R29" s="190"/>
      <c r="S29" s="390"/>
      <c r="T29" s="390"/>
      <c r="U29" s="393"/>
      <c r="V29" s="394"/>
      <c r="W29" s="390"/>
      <c r="X29" s="390"/>
      <c r="Y29" s="390"/>
      <c r="Z29" s="391"/>
      <c r="AA29" s="395"/>
      <c r="AB29" s="390"/>
      <c r="AC29" s="390"/>
      <c r="AD29" s="390"/>
      <c r="AE29" s="393"/>
      <c r="AF29" s="394"/>
      <c r="AG29" s="390"/>
      <c r="AH29" s="390"/>
      <c r="AI29" s="390"/>
      <c r="AJ29" s="279"/>
      <c r="AK29" s="278"/>
      <c r="AL29" s="390"/>
      <c r="AM29" s="390"/>
      <c r="AN29" s="390"/>
      <c r="AO29" s="393"/>
      <c r="AP29" s="394"/>
      <c r="AQ29" s="390"/>
      <c r="AR29" s="390"/>
      <c r="AS29" s="190"/>
      <c r="AT29" s="279"/>
      <c r="AU29" s="395"/>
      <c r="AV29" s="390"/>
      <c r="AW29" s="390"/>
      <c r="AX29" s="390"/>
      <c r="AY29" s="393"/>
      <c r="AZ29" s="394"/>
      <c r="BA29" s="390"/>
      <c r="BB29" s="390"/>
      <c r="BC29" s="390"/>
      <c r="BD29" s="391"/>
      <c r="BE29" s="278"/>
      <c r="BF29" s="190"/>
      <c r="BG29" s="390"/>
      <c r="BH29" s="390"/>
      <c r="BI29" s="393"/>
      <c r="BJ29" s="394"/>
      <c r="BK29" s="390"/>
      <c r="BL29" s="390"/>
      <c r="BM29" s="390"/>
      <c r="BN29" s="391"/>
      <c r="BO29" s="395"/>
      <c r="BP29" s="390"/>
      <c r="BQ29" s="190"/>
      <c r="BR29" s="190"/>
      <c r="BS29" s="393"/>
      <c r="BT29" s="280"/>
      <c r="BU29" s="190"/>
      <c r="BV29" s="390"/>
      <c r="BW29" s="390"/>
      <c r="BX29" s="391"/>
      <c r="BY29" s="395"/>
      <c r="BZ29" s="190"/>
      <c r="CA29" s="190"/>
      <c r="CB29" s="390"/>
      <c r="CC29" s="393"/>
      <c r="CD29" s="394"/>
      <c r="CE29" s="190"/>
      <c r="CF29" s="190"/>
      <c r="CG29" s="390"/>
      <c r="CH29" s="396" t="s">
        <v>40</v>
      </c>
      <c r="CI29" s="397" t="s">
        <v>40</v>
      </c>
      <c r="CJ29" s="213"/>
      <c r="CK29" s="213"/>
      <c r="CL29" s="213"/>
      <c r="CM29" s="214"/>
    </row>
    <row r="30" spans="1:118" ht="25.5" customHeight="1" x14ac:dyDescent="0.2">
      <c r="A30" s="332">
        <v>221</v>
      </c>
      <c r="B30" s="85">
        <v>0</v>
      </c>
      <c r="C30" s="87" t="s">
        <v>135</v>
      </c>
      <c r="D30" s="87" t="s">
        <v>1005</v>
      </c>
      <c r="E30" s="133" t="s">
        <v>1006</v>
      </c>
      <c r="F30" s="87"/>
      <c r="G30" s="105" t="s">
        <v>1007</v>
      </c>
      <c r="H30" s="106" t="s">
        <v>1007</v>
      </c>
      <c r="I30" s="139"/>
      <c r="J30" s="103"/>
      <c r="K30" s="137"/>
      <c r="L30" s="407"/>
      <c r="M30" s="402"/>
      <c r="N30" s="402"/>
      <c r="O30" s="402"/>
      <c r="P30" s="403"/>
      <c r="Q30" s="281"/>
      <c r="R30" s="87"/>
      <c r="S30" s="402"/>
      <c r="T30" s="402"/>
      <c r="U30" s="405"/>
      <c r="V30" s="406"/>
      <c r="W30" s="402"/>
      <c r="X30" s="402"/>
      <c r="Y30" s="402"/>
      <c r="Z30" s="403"/>
      <c r="AA30" s="407"/>
      <c r="AB30" s="402"/>
      <c r="AC30" s="402"/>
      <c r="AD30" s="402"/>
      <c r="AE30" s="405"/>
      <c r="AF30" s="406"/>
      <c r="AG30" s="402"/>
      <c r="AH30" s="402"/>
      <c r="AI30" s="402"/>
      <c r="AJ30" s="282"/>
      <c r="AK30" s="281"/>
      <c r="AL30" s="402"/>
      <c r="AM30" s="402"/>
      <c r="AN30" s="402"/>
      <c r="AO30" s="405"/>
      <c r="AP30" s="406"/>
      <c r="AQ30" s="402"/>
      <c r="AR30" s="402"/>
      <c r="AS30" s="87"/>
      <c r="AT30" s="282"/>
      <c r="AU30" s="407"/>
      <c r="AV30" s="402"/>
      <c r="AW30" s="402"/>
      <c r="AX30" s="402"/>
      <c r="AY30" s="405"/>
      <c r="AZ30" s="406"/>
      <c r="BA30" s="402"/>
      <c r="BB30" s="402"/>
      <c r="BC30" s="402"/>
      <c r="BD30" s="403"/>
      <c r="BE30" s="281"/>
      <c r="BF30" s="87"/>
      <c r="BG30" s="402"/>
      <c r="BH30" s="402"/>
      <c r="BI30" s="405"/>
      <c r="BJ30" s="406"/>
      <c r="BK30" s="402"/>
      <c r="BL30" s="402"/>
      <c r="BM30" s="402"/>
      <c r="BN30" s="403"/>
      <c r="BO30" s="407"/>
      <c r="BP30" s="402"/>
      <c r="BQ30" s="87"/>
      <c r="BR30" s="87"/>
      <c r="BS30" s="405"/>
      <c r="BT30" s="283"/>
      <c r="BU30" s="87"/>
      <c r="BV30" s="402"/>
      <c r="BW30" s="402"/>
      <c r="BX30" s="403"/>
      <c r="BY30" s="407"/>
      <c r="BZ30" s="87"/>
      <c r="CA30" s="87"/>
      <c r="CB30" s="402"/>
      <c r="CC30" s="405"/>
      <c r="CD30" s="406"/>
      <c r="CE30" s="87"/>
      <c r="CF30" s="87"/>
      <c r="CG30" s="402"/>
      <c r="CH30" s="405"/>
      <c r="CI30" s="406"/>
      <c r="CJ30" s="217"/>
      <c r="CK30" s="217"/>
      <c r="CL30" s="217"/>
      <c r="CM30" s="218"/>
    </row>
    <row r="31" spans="1:118" ht="25.5" customHeight="1" x14ac:dyDescent="0.2">
      <c r="A31" s="324">
        <v>222</v>
      </c>
      <c r="B31" s="72">
        <v>0</v>
      </c>
      <c r="C31" s="79" t="s">
        <v>135</v>
      </c>
      <c r="D31" s="79" t="s">
        <v>467</v>
      </c>
      <c r="E31" s="77" t="s">
        <v>777</v>
      </c>
      <c r="F31" s="79"/>
      <c r="G31" s="95" t="s">
        <v>468</v>
      </c>
      <c r="H31" s="97" t="s">
        <v>468</v>
      </c>
      <c r="I31" s="142">
        <v>3</v>
      </c>
      <c r="J31" s="76"/>
      <c r="K31" s="141"/>
      <c r="L31" s="367"/>
      <c r="M31" s="307"/>
      <c r="N31" s="368" t="s">
        <v>122</v>
      </c>
      <c r="O31" s="307"/>
      <c r="P31" s="369"/>
      <c r="Q31" s="274"/>
      <c r="R31" s="79"/>
      <c r="S31" s="310"/>
      <c r="T31" s="387" t="s">
        <v>120</v>
      </c>
      <c r="U31" s="412"/>
      <c r="V31" s="413"/>
      <c r="W31" s="387" t="s">
        <v>120</v>
      </c>
      <c r="X31" s="307"/>
      <c r="Y31" s="310"/>
      <c r="Z31" s="369"/>
      <c r="AA31" s="485"/>
      <c r="AB31" s="310"/>
      <c r="AC31" s="307"/>
      <c r="AD31" s="307"/>
      <c r="AE31" s="470" t="s">
        <v>120</v>
      </c>
      <c r="AF31" s="471" t="s">
        <v>120</v>
      </c>
      <c r="AG31" s="387" t="s">
        <v>120</v>
      </c>
      <c r="AH31" s="387" t="s">
        <v>120</v>
      </c>
      <c r="AI31" s="310"/>
      <c r="AJ31" s="141"/>
      <c r="AK31" s="274"/>
      <c r="AL31" s="307"/>
      <c r="AM31" s="307"/>
      <c r="AN31" s="307"/>
      <c r="AO31" s="370"/>
      <c r="AP31" s="306"/>
      <c r="AQ31" s="307"/>
      <c r="AR31" s="307"/>
      <c r="AS31" s="79"/>
      <c r="AT31" s="178"/>
      <c r="AU31" s="367"/>
      <c r="AV31" s="307"/>
      <c r="AW31" s="307"/>
      <c r="AX31" s="307"/>
      <c r="AY31" s="370"/>
      <c r="AZ31" s="306"/>
      <c r="BA31" s="307"/>
      <c r="BB31" s="307"/>
      <c r="BC31" s="307"/>
      <c r="BD31" s="369"/>
      <c r="BE31" s="274"/>
      <c r="BF31" s="79"/>
      <c r="BG31" s="307"/>
      <c r="BH31" s="307"/>
      <c r="BI31" s="370"/>
      <c r="BJ31" s="306"/>
      <c r="BK31" s="307"/>
      <c r="BL31" s="307"/>
      <c r="BM31" s="307"/>
      <c r="BN31" s="369"/>
      <c r="BO31" s="367"/>
      <c r="BP31" s="307"/>
      <c r="BQ31" s="79"/>
      <c r="BR31" s="79"/>
      <c r="BS31" s="374" t="s">
        <v>120</v>
      </c>
      <c r="BT31" s="261"/>
      <c r="BU31" s="79"/>
      <c r="BV31" s="307"/>
      <c r="BW31" s="307"/>
      <c r="BX31" s="369"/>
      <c r="BY31" s="367"/>
      <c r="BZ31" s="79"/>
      <c r="CA31" s="79"/>
      <c r="CB31" s="310"/>
      <c r="CC31" s="370"/>
      <c r="CD31" s="306"/>
      <c r="CE31" s="79"/>
      <c r="CF31" s="79"/>
      <c r="CG31" s="307"/>
      <c r="CH31" s="374" t="s">
        <v>40</v>
      </c>
      <c r="CI31" s="373" t="s">
        <v>40</v>
      </c>
      <c r="CJ31" s="202"/>
      <c r="CK31" s="202"/>
      <c r="CL31" s="202"/>
      <c r="CM31" s="203"/>
    </row>
    <row r="32" spans="1:118" ht="25.5" customHeight="1" x14ac:dyDescent="0.2">
      <c r="A32" s="324">
        <v>223</v>
      </c>
      <c r="B32" s="72">
        <v>0</v>
      </c>
      <c r="C32" s="79" t="s">
        <v>135</v>
      </c>
      <c r="D32" s="79" t="s">
        <v>469</v>
      </c>
      <c r="E32" s="77" t="s">
        <v>470</v>
      </c>
      <c r="F32" s="79"/>
      <c r="G32" s="95" t="s">
        <v>471</v>
      </c>
      <c r="H32" s="97" t="s">
        <v>471</v>
      </c>
      <c r="I32" s="142"/>
      <c r="J32" s="76"/>
      <c r="K32" s="141"/>
      <c r="L32" s="367"/>
      <c r="M32" s="307"/>
      <c r="N32" s="307"/>
      <c r="O32" s="307"/>
      <c r="P32" s="369"/>
      <c r="Q32" s="274"/>
      <c r="R32" s="79"/>
      <c r="S32" s="307"/>
      <c r="T32" s="307"/>
      <c r="U32" s="370"/>
      <c r="V32" s="306"/>
      <c r="W32" s="307"/>
      <c r="X32" s="307"/>
      <c r="Y32" s="307"/>
      <c r="Z32" s="369"/>
      <c r="AA32" s="367"/>
      <c r="AB32" s="307"/>
      <c r="AC32" s="307"/>
      <c r="AD32" s="307"/>
      <c r="AE32" s="370"/>
      <c r="AF32" s="306"/>
      <c r="AG32" s="307"/>
      <c r="AH32" s="307"/>
      <c r="AI32" s="307"/>
      <c r="AJ32" s="178"/>
      <c r="AK32" s="274"/>
      <c r="AL32" s="307"/>
      <c r="AM32" s="307"/>
      <c r="AN32" s="307"/>
      <c r="AO32" s="370"/>
      <c r="AP32" s="306"/>
      <c r="AQ32" s="307"/>
      <c r="AR32" s="307"/>
      <c r="AS32" s="79"/>
      <c r="AT32" s="178"/>
      <c r="AU32" s="367"/>
      <c r="AV32" s="307"/>
      <c r="AW32" s="307"/>
      <c r="AX32" s="307"/>
      <c r="AY32" s="370"/>
      <c r="AZ32" s="306"/>
      <c r="BA32" s="307"/>
      <c r="BB32" s="307"/>
      <c r="BC32" s="307"/>
      <c r="BD32" s="369"/>
      <c r="BE32" s="274"/>
      <c r="BF32" s="79"/>
      <c r="BG32" s="307"/>
      <c r="BH32" s="307"/>
      <c r="BI32" s="370"/>
      <c r="BJ32" s="306"/>
      <c r="BK32" s="307"/>
      <c r="BL32" s="307"/>
      <c r="BM32" s="307"/>
      <c r="BN32" s="369"/>
      <c r="BO32" s="367"/>
      <c r="BP32" s="307"/>
      <c r="BQ32" s="79"/>
      <c r="BR32" s="79"/>
      <c r="BS32" s="370"/>
      <c r="BT32" s="261"/>
      <c r="BU32" s="79"/>
      <c r="BV32" s="307"/>
      <c r="BW32" s="307"/>
      <c r="BX32" s="369"/>
      <c r="BY32" s="367"/>
      <c r="BZ32" s="79"/>
      <c r="CA32" s="79"/>
      <c r="CB32" s="307"/>
      <c r="CC32" s="370"/>
      <c r="CD32" s="306"/>
      <c r="CE32" s="79"/>
      <c r="CF32" s="79"/>
      <c r="CG32" s="307"/>
      <c r="CH32" s="374" t="s">
        <v>40</v>
      </c>
      <c r="CI32" s="373" t="s">
        <v>40</v>
      </c>
      <c r="CJ32" s="202"/>
      <c r="CK32" s="202"/>
      <c r="CL32" s="202"/>
      <c r="CM32" s="203"/>
    </row>
    <row r="33" spans="1:91" ht="25.5" customHeight="1" x14ac:dyDescent="0.2">
      <c r="A33" s="324">
        <v>224</v>
      </c>
      <c r="B33" s="72">
        <v>0</v>
      </c>
      <c r="C33" s="79" t="s">
        <v>135</v>
      </c>
      <c r="D33" s="79" t="s">
        <v>472</v>
      </c>
      <c r="E33" s="77" t="s">
        <v>473</v>
      </c>
      <c r="F33" s="79"/>
      <c r="G33" s="95" t="s">
        <v>248</v>
      </c>
      <c r="H33" s="97" t="s">
        <v>248</v>
      </c>
      <c r="I33" s="142">
        <v>3</v>
      </c>
      <c r="J33" s="76"/>
      <c r="K33" s="141">
        <v>9</v>
      </c>
      <c r="L33" s="367"/>
      <c r="M33" s="307"/>
      <c r="N33" s="368" t="s">
        <v>122</v>
      </c>
      <c r="O33" s="307"/>
      <c r="P33" s="369"/>
      <c r="Q33" s="274"/>
      <c r="R33" s="76"/>
      <c r="S33" s="310"/>
      <c r="T33" s="387" t="s">
        <v>120</v>
      </c>
      <c r="U33" s="412"/>
      <c r="V33" s="413"/>
      <c r="W33" s="387" t="s">
        <v>120</v>
      </c>
      <c r="X33" s="310"/>
      <c r="Y33" s="310"/>
      <c r="Z33" s="411"/>
      <c r="AA33" s="485"/>
      <c r="AB33" s="310"/>
      <c r="AC33" s="310"/>
      <c r="AD33" s="310"/>
      <c r="AE33" s="470" t="s">
        <v>120</v>
      </c>
      <c r="AF33" s="471" t="s">
        <v>120</v>
      </c>
      <c r="AG33" s="387" t="s">
        <v>120</v>
      </c>
      <c r="AH33" s="387" t="s">
        <v>120</v>
      </c>
      <c r="AI33" s="310"/>
      <c r="AJ33" s="141"/>
      <c r="AK33" s="140"/>
      <c r="AL33" s="310"/>
      <c r="AM33" s="310"/>
      <c r="AN33" s="310"/>
      <c r="AO33" s="412"/>
      <c r="AP33" s="413"/>
      <c r="AQ33" s="310"/>
      <c r="AR33" s="310"/>
      <c r="AS33" s="76"/>
      <c r="AT33" s="141"/>
      <c r="AU33" s="485"/>
      <c r="AV33" s="310"/>
      <c r="AW33" s="310"/>
      <c r="AX33" s="307"/>
      <c r="AY33" s="370"/>
      <c r="AZ33" s="306"/>
      <c r="BA33" s="307"/>
      <c r="BB33" s="307"/>
      <c r="BC33" s="307"/>
      <c r="BD33" s="369"/>
      <c r="BE33" s="274"/>
      <c r="BF33" s="76"/>
      <c r="BG33" s="307"/>
      <c r="BH33" s="307"/>
      <c r="BI33" s="370"/>
      <c r="BJ33" s="306"/>
      <c r="BK33" s="307"/>
      <c r="BL33" s="307"/>
      <c r="BM33" s="307"/>
      <c r="BN33" s="369"/>
      <c r="BO33" s="485"/>
      <c r="BP33" s="310"/>
      <c r="BQ33" s="76"/>
      <c r="BR33" s="76"/>
      <c r="BS33" s="470" t="s">
        <v>120</v>
      </c>
      <c r="BT33" s="142"/>
      <c r="BU33" s="76"/>
      <c r="BV33" s="307"/>
      <c r="BW33" s="307"/>
      <c r="BX33" s="372" t="s">
        <v>582</v>
      </c>
      <c r="BY33" s="485"/>
      <c r="BZ33" s="76"/>
      <c r="CA33" s="76"/>
      <c r="CB33" s="310"/>
      <c r="CC33" s="412"/>
      <c r="CD33" s="413"/>
      <c r="CE33" s="76"/>
      <c r="CF33" s="79"/>
      <c r="CG33" s="310"/>
      <c r="CH33" s="470" t="s">
        <v>40</v>
      </c>
      <c r="CI33" s="471" t="s">
        <v>40</v>
      </c>
      <c r="CJ33" s="202"/>
      <c r="CK33" s="202"/>
      <c r="CL33" s="202"/>
      <c r="CM33" s="203"/>
    </row>
    <row r="34" spans="1:91" ht="25.5" customHeight="1" thickBot="1" x14ac:dyDescent="0.25">
      <c r="A34" s="325">
        <v>225</v>
      </c>
      <c r="B34" s="73">
        <v>0</v>
      </c>
      <c r="C34" s="74" t="s">
        <v>135</v>
      </c>
      <c r="D34" s="74" t="s">
        <v>474</v>
      </c>
      <c r="E34" s="126" t="s">
        <v>475</v>
      </c>
      <c r="F34" s="74"/>
      <c r="G34" s="125" t="s">
        <v>476</v>
      </c>
      <c r="H34" s="198" t="s">
        <v>873</v>
      </c>
      <c r="I34" s="269"/>
      <c r="J34" s="89"/>
      <c r="K34" s="270">
        <v>12</v>
      </c>
      <c r="L34" s="383"/>
      <c r="M34" s="379"/>
      <c r="N34" s="379"/>
      <c r="O34" s="379"/>
      <c r="P34" s="382"/>
      <c r="Q34" s="275"/>
      <c r="R34" s="74"/>
      <c r="S34" s="379"/>
      <c r="T34" s="379"/>
      <c r="U34" s="380"/>
      <c r="V34" s="381"/>
      <c r="W34" s="379"/>
      <c r="X34" s="379"/>
      <c r="Y34" s="379"/>
      <c r="Z34" s="382"/>
      <c r="AA34" s="383"/>
      <c r="AB34" s="379"/>
      <c r="AC34" s="379"/>
      <c r="AD34" s="379"/>
      <c r="AE34" s="380"/>
      <c r="AF34" s="381"/>
      <c r="AG34" s="379"/>
      <c r="AH34" s="379"/>
      <c r="AI34" s="379"/>
      <c r="AJ34" s="276"/>
      <c r="AK34" s="275"/>
      <c r="AL34" s="379"/>
      <c r="AM34" s="379"/>
      <c r="AN34" s="379"/>
      <c r="AO34" s="380"/>
      <c r="AP34" s="381"/>
      <c r="AQ34" s="379"/>
      <c r="AR34" s="379"/>
      <c r="AS34" s="74"/>
      <c r="AT34" s="276"/>
      <c r="AU34" s="383"/>
      <c r="AV34" s="379"/>
      <c r="AW34" s="379"/>
      <c r="AX34" s="379"/>
      <c r="AY34" s="380"/>
      <c r="AZ34" s="381"/>
      <c r="BA34" s="379"/>
      <c r="BB34" s="379"/>
      <c r="BC34" s="379"/>
      <c r="BD34" s="382"/>
      <c r="BE34" s="275"/>
      <c r="BF34" s="74"/>
      <c r="BG34" s="379"/>
      <c r="BH34" s="379"/>
      <c r="BI34" s="380"/>
      <c r="BJ34" s="381"/>
      <c r="BK34" s="379"/>
      <c r="BL34" s="379"/>
      <c r="BM34" s="379"/>
      <c r="BN34" s="382"/>
      <c r="BO34" s="383"/>
      <c r="BP34" s="379"/>
      <c r="BQ34" s="74"/>
      <c r="BR34" s="74"/>
      <c r="BS34" s="380"/>
      <c r="BT34" s="277"/>
      <c r="BU34" s="74"/>
      <c r="BV34" s="379"/>
      <c r="BW34" s="379"/>
      <c r="BX34" s="382"/>
      <c r="BY34" s="383"/>
      <c r="BZ34" s="74"/>
      <c r="CA34" s="74"/>
      <c r="CB34" s="379"/>
      <c r="CC34" s="380"/>
      <c r="CD34" s="381"/>
      <c r="CE34" s="74"/>
      <c r="CF34" s="74"/>
      <c r="CG34" s="379"/>
      <c r="CH34" s="465" t="s">
        <v>40</v>
      </c>
      <c r="CI34" s="466" t="s">
        <v>40</v>
      </c>
      <c r="CJ34" s="206"/>
      <c r="CK34" s="206"/>
      <c r="CL34" s="206"/>
      <c r="CM34" s="207"/>
    </row>
    <row r="35" spans="1:91" ht="25.5" customHeight="1" x14ac:dyDescent="0.2">
      <c r="A35" s="318">
        <v>226</v>
      </c>
      <c r="B35" s="75">
        <v>0</v>
      </c>
      <c r="C35" s="92" t="s">
        <v>135</v>
      </c>
      <c r="D35" s="92" t="s">
        <v>1008</v>
      </c>
      <c r="E35" s="93" t="s">
        <v>1009</v>
      </c>
      <c r="F35" s="92"/>
      <c r="G35" s="129" t="s">
        <v>1010</v>
      </c>
      <c r="H35" s="181" t="s">
        <v>1010</v>
      </c>
      <c r="I35" s="259"/>
      <c r="J35" s="130"/>
      <c r="K35" s="260"/>
      <c r="L35" s="308"/>
      <c r="M35" s="304"/>
      <c r="N35" s="304"/>
      <c r="O35" s="304"/>
      <c r="P35" s="359"/>
      <c r="Q35" s="272"/>
      <c r="R35" s="92"/>
      <c r="S35" s="304"/>
      <c r="T35" s="304"/>
      <c r="U35" s="361"/>
      <c r="V35" s="362"/>
      <c r="W35" s="304"/>
      <c r="X35" s="304"/>
      <c r="Y35" s="304"/>
      <c r="Z35" s="359"/>
      <c r="AA35" s="308"/>
      <c r="AB35" s="304"/>
      <c r="AC35" s="304"/>
      <c r="AD35" s="304"/>
      <c r="AE35" s="361"/>
      <c r="AF35" s="362"/>
      <c r="AG35" s="304"/>
      <c r="AH35" s="304"/>
      <c r="AI35" s="304"/>
      <c r="AJ35" s="273"/>
      <c r="AK35" s="272"/>
      <c r="AL35" s="304"/>
      <c r="AM35" s="304"/>
      <c r="AN35" s="304"/>
      <c r="AO35" s="361"/>
      <c r="AP35" s="362"/>
      <c r="AQ35" s="304"/>
      <c r="AR35" s="304"/>
      <c r="AS35" s="92"/>
      <c r="AT35" s="273"/>
      <c r="AU35" s="308"/>
      <c r="AV35" s="304"/>
      <c r="AW35" s="304"/>
      <c r="AX35" s="304"/>
      <c r="AY35" s="361"/>
      <c r="AZ35" s="362"/>
      <c r="BA35" s="304"/>
      <c r="BB35" s="304"/>
      <c r="BC35" s="304"/>
      <c r="BD35" s="359"/>
      <c r="BE35" s="272"/>
      <c r="BF35" s="92"/>
      <c r="BG35" s="304"/>
      <c r="BH35" s="304"/>
      <c r="BI35" s="361"/>
      <c r="BJ35" s="362"/>
      <c r="BK35" s="304"/>
      <c r="BL35" s="304"/>
      <c r="BM35" s="304"/>
      <c r="BN35" s="359"/>
      <c r="BO35" s="308"/>
      <c r="BP35" s="304"/>
      <c r="BQ35" s="92"/>
      <c r="BR35" s="92"/>
      <c r="BS35" s="361"/>
      <c r="BT35" s="258"/>
      <c r="BU35" s="92"/>
      <c r="BV35" s="304"/>
      <c r="BW35" s="304"/>
      <c r="BX35" s="359"/>
      <c r="BY35" s="308"/>
      <c r="BZ35" s="92"/>
      <c r="CA35" s="92"/>
      <c r="CB35" s="304"/>
      <c r="CC35" s="361"/>
      <c r="CD35" s="362"/>
      <c r="CE35" s="92"/>
      <c r="CF35" s="92"/>
      <c r="CG35" s="304"/>
      <c r="CH35" s="361"/>
      <c r="CI35" s="362"/>
      <c r="CJ35" s="210"/>
      <c r="CK35" s="210"/>
      <c r="CL35" s="210"/>
      <c r="CM35" s="211"/>
    </row>
    <row r="36" spans="1:91" ht="25.5" customHeight="1" x14ac:dyDescent="0.2">
      <c r="A36" s="324">
        <v>227</v>
      </c>
      <c r="B36" s="72">
        <v>0</v>
      </c>
      <c r="C36" s="79" t="s">
        <v>135</v>
      </c>
      <c r="D36" s="79" t="s">
        <v>477</v>
      </c>
      <c r="E36" s="77" t="s">
        <v>478</v>
      </c>
      <c r="F36" s="79"/>
      <c r="G36" s="95" t="s">
        <v>479</v>
      </c>
      <c r="H36" s="97" t="s">
        <v>479</v>
      </c>
      <c r="I36" s="142">
        <v>3</v>
      </c>
      <c r="J36" s="76" t="s">
        <v>64</v>
      </c>
      <c r="K36" s="141">
        <v>9</v>
      </c>
      <c r="L36" s="367"/>
      <c r="M36" s="307"/>
      <c r="N36" s="368" t="s">
        <v>122</v>
      </c>
      <c r="O36" s="307"/>
      <c r="P36" s="369"/>
      <c r="Q36" s="274"/>
      <c r="R36" s="79"/>
      <c r="S36" s="307"/>
      <c r="T36" s="387" t="s">
        <v>120</v>
      </c>
      <c r="U36" s="412"/>
      <c r="V36" s="413"/>
      <c r="W36" s="387" t="s">
        <v>120</v>
      </c>
      <c r="X36" s="307"/>
      <c r="Y36" s="310"/>
      <c r="Z36" s="369"/>
      <c r="AA36" s="485"/>
      <c r="AB36" s="310"/>
      <c r="AC36" s="307"/>
      <c r="AD36" s="307"/>
      <c r="AE36" s="374" t="s">
        <v>120</v>
      </c>
      <c r="AF36" s="373" t="s">
        <v>120</v>
      </c>
      <c r="AG36" s="371" t="s">
        <v>120</v>
      </c>
      <c r="AH36" s="371" t="s">
        <v>120</v>
      </c>
      <c r="AI36" s="307"/>
      <c r="AJ36" s="178"/>
      <c r="AK36" s="274"/>
      <c r="AL36" s="307"/>
      <c r="AM36" s="307"/>
      <c r="AN36" s="307"/>
      <c r="AO36" s="370"/>
      <c r="AP36" s="306"/>
      <c r="AQ36" s="307"/>
      <c r="AR36" s="307"/>
      <c r="AS36" s="79"/>
      <c r="AT36" s="178"/>
      <c r="AU36" s="367"/>
      <c r="AV36" s="307"/>
      <c r="AW36" s="307"/>
      <c r="AX36" s="307"/>
      <c r="AY36" s="370"/>
      <c r="AZ36" s="306"/>
      <c r="BA36" s="307"/>
      <c r="BB36" s="307"/>
      <c r="BC36" s="307"/>
      <c r="BD36" s="369"/>
      <c r="BE36" s="274"/>
      <c r="BF36" s="79"/>
      <c r="BG36" s="307"/>
      <c r="BH36" s="307"/>
      <c r="BI36" s="370"/>
      <c r="BJ36" s="306"/>
      <c r="BK36" s="307"/>
      <c r="BL36" s="307"/>
      <c r="BM36" s="307"/>
      <c r="BN36" s="369"/>
      <c r="BO36" s="367"/>
      <c r="BP36" s="307"/>
      <c r="BQ36" s="79"/>
      <c r="BR36" s="79"/>
      <c r="BS36" s="374" t="s">
        <v>120</v>
      </c>
      <c r="BT36" s="261"/>
      <c r="BU36" s="79"/>
      <c r="BV36" s="307"/>
      <c r="BW36" s="307"/>
      <c r="BX36" s="372" t="s">
        <v>582</v>
      </c>
      <c r="BY36" s="367"/>
      <c r="BZ36" s="79"/>
      <c r="CA36" s="79"/>
      <c r="CB36" s="307"/>
      <c r="CC36" s="370"/>
      <c r="CD36" s="306"/>
      <c r="CE36" s="79"/>
      <c r="CF36" s="79"/>
      <c r="CG36" s="307"/>
      <c r="CH36" s="374" t="s">
        <v>40</v>
      </c>
      <c r="CI36" s="373" t="s">
        <v>40</v>
      </c>
      <c r="CJ36" s="202"/>
      <c r="CK36" s="202"/>
      <c r="CL36" s="202"/>
      <c r="CM36" s="203"/>
    </row>
    <row r="37" spans="1:91" ht="25.5" customHeight="1" x14ac:dyDescent="0.2">
      <c r="A37" s="324">
        <v>228</v>
      </c>
      <c r="B37" s="72">
        <v>0</v>
      </c>
      <c r="C37" s="79" t="s">
        <v>135</v>
      </c>
      <c r="D37" s="79" t="s">
        <v>480</v>
      </c>
      <c r="E37" s="77" t="s">
        <v>481</v>
      </c>
      <c r="F37" s="79"/>
      <c r="G37" s="95" t="s">
        <v>482</v>
      </c>
      <c r="H37" s="97" t="s">
        <v>482</v>
      </c>
      <c r="I37" s="142">
        <v>3</v>
      </c>
      <c r="J37" s="76" t="s">
        <v>64</v>
      </c>
      <c r="K37" s="141">
        <v>9</v>
      </c>
      <c r="L37" s="367"/>
      <c r="M37" s="307"/>
      <c r="N37" s="368" t="s">
        <v>122</v>
      </c>
      <c r="O37" s="307"/>
      <c r="P37" s="369"/>
      <c r="Q37" s="274"/>
      <c r="R37" s="79"/>
      <c r="S37" s="307"/>
      <c r="T37" s="387" t="s">
        <v>120</v>
      </c>
      <c r="U37" s="412"/>
      <c r="V37" s="413"/>
      <c r="W37" s="387" t="s">
        <v>120</v>
      </c>
      <c r="X37" s="307"/>
      <c r="Y37" s="310"/>
      <c r="Z37" s="369"/>
      <c r="AA37" s="485"/>
      <c r="AB37" s="310"/>
      <c r="AC37" s="307"/>
      <c r="AD37" s="307"/>
      <c r="AE37" s="374" t="s">
        <v>120</v>
      </c>
      <c r="AF37" s="373" t="s">
        <v>120</v>
      </c>
      <c r="AG37" s="371" t="s">
        <v>120</v>
      </c>
      <c r="AH37" s="371" t="s">
        <v>120</v>
      </c>
      <c r="AI37" s="307"/>
      <c r="AJ37" s="178"/>
      <c r="AK37" s="274"/>
      <c r="AL37" s="307"/>
      <c r="AM37" s="307"/>
      <c r="AN37" s="307"/>
      <c r="AO37" s="370"/>
      <c r="AP37" s="306"/>
      <c r="AQ37" s="307"/>
      <c r="AR37" s="307"/>
      <c r="AS37" s="79"/>
      <c r="AT37" s="178"/>
      <c r="AU37" s="367"/>
      <c r="AV37" s="307"/>
      <c r="AW37" s="307"/>
      <c r="AX37" s="307"/>
      <c r="AY37" s="370"/>
      <c r="AZ37" s="306"/>
      <c r="BA37" s="307"/>
      <c r="BB37" s="307"/>
      <c r="BC37" s="307"/>
      <c r="BD37" s="369"/>
      <c r="BE37" s="274"/>
      <c r="BF37" s="79"/>
      <c r="BG37" s="307"/>
      <c r="BH37" s="307"/>
      <c r="BI37" s="370"/>
      <c r="BJ37" s="306"/>
      <c r="BK37" s="307"/>
      <c r="BL37" s="307"/>
      <c r="BM37" s="307"/>
      <c r="BN37" s="369"/>
      <c r="BO37" s="367"/>
      <c r="BP37" s="307"/>
      <c r="BQ37" s="79"/>
      <c r="BR37" s="79"/>
      <c r="BS37" s="374" t="s">
        <v>120</v>
      </c>
      <c r="BT37" s="261"/>
      <c r="BU37" s="79"/>
      <c r="BV37" s="307"/>
      <c r="BW37" s="307"/>
      <c r="BX37" s="372" t="s">
        <v>582</v>
      </c>
      <c r="BY37" s="367"/>
      <c r="BZ37" s="79"/>
      <c r="CA37" s="79"/>
      <c r="CB37" s="307"/>
      <c r="CC37" s="370"/>
      <c r="CD37" s="306"/>
      <c r="CE37" s="79"/>
      <c r="CF37" s="79"/>
      <c r="CG37" s="307"/>
      <c r="CH37" s="374" t="s">
        <v>40</v>
      </c>
      <c r="CI37" s="373" t="s">
        <v>40</v>
      </c>
      <c r="CJ37" s="202"/>
      <c r="CK37" s="202"/>
      <c r="CL37" s="202"/>
      <c r="CM37" s="203"/>
    </row>
    <row r="38" spans="1:91" ht="25.5" customHeight="1" x14ac:dyDescent="0.2">
      <c r="A38" s="324">
        <v>229</v>
      </c>
      <c r="B38" s="72"/>
      <c r="C38" s="79"/>
      <c r="D38" s="79"/>
      <c r="E38" s="77"/>
      <c r="F38" s="79"/>
      <c r="G38" s="95"/>
      <c r="H38" s="97"/>
      <c r="I38" s="142"/>
      <c r="J38" s="76"/>
      <c r="K38" s="141"/>
      <c r="L38" s="274"/>
      <c r="M38" s="79"/>
      <c r="N38" s="79"/>
      <c r="O38" s="79"/>
      <c r="P38" s="178"/>
      <c r="Q38" s="274"/>
      <c r="R38" s="79"/>
      <c r="S38" s="79"/>
      <c r="T38" s="79"/>
      <c r="U38" s="134"/>
      <c r="V38" s="261"/>
      <c r="W38" s="79"/>
      <c r="X38" s="79"/>
      <c r="Y38" s="79"/>
      <c r="Z38" s="178"/>
      <c r="AA38" s="274"/>
      <c r="AB38" s="79"/>
      <c r="AC38" s="79"/>
      <c r="AD38" s="79"/>
      <c r="AE38" s="134"/>
      <c r="AF38" s="261"/>
      <c r="AG38" s="79"/>
      <c r="AH38" s="79"/>
      <c r="AI38" s="79"/>
      <c r="AJ38" s="178"/>
      <c r="AK38" s="274"/>
      <c r="AL38" s="79"/>
      <c r="AM38" s="79"/>
      <c r="AN38" s="79"/>
      <c r="AO38" s="134"/>
      <c r="AP38" s="261"/>
      <c r="AQ38" s="79"/>
      <c r="AR38" s="79"/>
      <c r="AS38" s="79"/>
      <c r="AT38" s="178"/>
      <c r="AU38" s="274"/>
      <c r="AV38" s="79"/>
      <c r="AW38" s="79"/>
      <c r="AX38" s="79"/>
      <c r="AY38" s="134"/>
      <c r="AZ38" s="261"/>
      <c r="BA38" s="79"/>
      <c r="BB38" s="79"/>
      <c r="BC38" s="79"/>
      <c r="BD38" s="178"/>
      <c r="BE38" s="274"/>
      <c r="BF38" s="79"/>
      <c r="BG38" s="79"/>
      <c r="BH38" s="79"/>
      <c r="BI38" s="134"/>
      <c r="BJ38" s="261"/>
      <c r="BK38" s="79"/>
      <c r="BL38" s="79"/>
      <c r="BM38" s="79"/>
      <c r="BN38" s="178"/>
      <c r="BO38" s="274"/>
      <c r="BP38" s="79"/>
      <c r="BQ38" s="79"/>
      <c r="BR38" s="79"/>
      <c r="BS38" s="134"/>
      <c r="BT38" s="261"/>
      <c r="BU38" s="79"/>
      <c r="BV38" s="79"/>
      <c r="BW38" s="79"/>
      <c r="BX38" s="178"/>
      <c r="BY38" s="274"/>
      <c r="BZ38" s="79"/>
      <c r="CA38" s="79"/>
      <c r="CB38" s="79"/>
      <c r="CC38" s="134"/>
      <c r="CD38" s="261"/>
      <c r="CE38" s="79"/>
      <c r="CF38" s="79"/>
      <c r="CG38" s="79"/>
      <c r="CH38" s="134"/>
      <c r="CI38" s="261"/>
      <c r="CJ38" s="202"/>
      <c r="CK38" s="202"/>
      <c r="CL38" s="202"/>
      <c r="CM38" s="203"/>
    </row>
    <row r="39" spans="1:91" ht="25.5" customHeight="1" thickBot="1" x14ac:dyDescent="0.25">
      <c r="A39" s="331">
        <v>230</v>
      </c>
      <c r="B39" s="82">
        <v>0</v>
      </c>
      <c r="C39" s="82" t="s">
        <v>135</v>
      </c>
      <c r="D39" s="190" t="s">
        <v>483</v>
      </c>
      <c r="E39" s="117" t="s">
        <v>484</v>
      </c>
      <c r="F39" s="99"/>
      <c r="G39" s="101" t="s">
        <v>110</v>
      </c>
      <c r="H39" s="102" t="s">
        <v>606</v>
      </c>
      <c r="I39" s="257"/>
      <c r="J39" s="99"/>
      <c r="K39" s="264"/>
      <c r="L39" s="395"/>
      <c r="M39" s="390"/>
      <c r="N39" s="390"/>
      <c r="O39" s="390"/>
      <c r="P39" s="391"/>
      <c r="Q39" s="278"/>
      <c r="R39" s="190"/>
      <c r="S39" s="390"/>
      <c r="T39" s="390"/>
      <c r="U39" s="393"/>
      <c r="V39" s="394"/>
      <c r="W39" s="390"/>
      <c r="X39" s="390"/>
      <c r="Y39" s="390"/>
      <c r="Z39" s="391"/>
      <c r="AA39" s="395"/>
      <c r="AB39" s="390"/>
      <c r="AC39" s="390"/>
      <c r="AD39" s="390"/>
      <c r="AE39" s="393"/>
      <c r="AF39" s="394"/>
      <c r="AG39" s="390"/>
      <c r="AH39" s="390"/>
      <c r="AI39" s="390"/>
      <c r="AJ39" s="279"/>
      <c r="AK39" s="278"/>
      <c r="AL39" s="390"/>
      <c r="AM39" s="390"/>
      <c r="AN39" s="390"/>
      <c r="AO39" s="393"/>
      <c r="AP39" s="394"/>
      <c r="AQ39" s="390"/>
      <c r="AR39" s="390"/>
      <c r="AS39" s="190"/>
      <c r="AT39" s="279"/>
      <c r="AU39" s="395"/>
      <c r="AV39" s="390"/>
      <c r="AW39" s="390"/>
      <c r="AX39" s="390"/>
      <c r="AY39" s="393"/>
      <c r="AZ39" s="394"/>
      <c r="BA39" s="390"/>
      <c r="BB39" s="390"/>
      <c r="BC39" s="390"/>
      <c r="BD39" s="391"/>
      <c r="BE39" s="278"/>
      <c r="BF39" s="190"/>
      <c r="BG39" s="390"/>
      <c r="BH39" s="390"/>
      <c r="BI39" s="393"/>
      <c r="BJ39" s="394"/>
      <c r="BK39" s="390"/>
      <c r="BL39" s="390"/>
      <c r="BM39" s="390"/>
      <c r="BN39" s="391"/>
      <c r="BO39" s="395"/>
      <c r="BP39" s="390"/>
      <c r="BQ39" s="190"/>
      <c r="BR39" s="190"/>
      <c r="BS39" s="393"/>
      <c r="BT39" s="280"/>
      <c r="BU39" s="190"/>
      <c r="BV39" s="390"/>
      <c r="BW39" s="390"/>
      <c r="BX39" s="391"/>
      <c r="BY39" s="395"/>
      <c r="BZ39" s="190"/>
      <c r="CA39" s="190"/>
      <c r="CB39" s="390"/>
      <c r="CC39" s="393"/>
      <c r="CD39" s="394"/>
      <c r="CE39" s="190"/>
      <c r="CF39" s="190"/>
      <c r="CG39" s="390"/>
      <c r="CH39" s="396" t="s">
        <v>40</v>
      </c>
      <c r="CI39" s="397" t="s">
        <v>40</v>
      </c>
      <c r="CJ39" s="213"/>
      <c r="CK39" s="213"/>
      <c r="CL39" s="213"/>
      <c r="CM39" s="214"/>
    </row>
    <row r="40" spans="1:91" ht="25.5" customHeight="1" x14ac:dyDescent="0.2">
      <c r="A40" s="332">
        <v>231</v>
      </c>
      <c r="B40" s="85">
        <v>0</v>
      </c>
      <c r="C40" s="85" t="s">
        <v>135</v>
      </c>
      <c r="D40" s="87" t="s">
        <v>485</v>
      </c>
      <c r="E40" s="133" t="s">
        <v>486</v>
      </c>
      <c r="F40" s="103"/>
      <c r="G40" s="105" t="s">
        <v>487</v>
      </c>
      <c r="H40" s="106" t="s">
        <v>914</v>
      </c>
      <c r="I40" s="139">
        <v>4</v>
      </c>
      <c r="J40" s="103"/>
      <c r="K40" s="137"/>
      <c r="L40" s="407"/>
      <c r="M40" s="402"/>
      <c r="N40" s="402"/>
      <c r="O40" s="452" t="s">
        <v>122</v>
      </c>
      <c r="P40" s="403"/>
      <c r="Q40" s="281"/>
      <c r="R40" s="87"/>
      <c r="S40" s="402"/>
      <c r="T40" s="402"/>
      <c r="U40" s="405"/>
      <c r="V40" s="406"/>
      <c r="W40" s="402"/>
      <c r="X40" s="402"/>
      <c r="Y40" s="402"/>
      <c r="Z40" s="403"/>
      <c r="AA40" s="407"/>
      <c r="AB40" s="402"/>
      <c r="AC40" s="402"/>
      <c r="AD40" s="402"/>
      <c r="AE40" s="405"/>
      <c r="AF40" s="406"/>
      <c r="AG40" s="402"/>
      <c r="AH40" s="402"/>
      <c r="AI40" s="402"/>
      <c r="AJ40" s="282"/>
      <c r="AK40" s="281"/>
      <c r="AL40" s="402"/>
      <c r="AM40" s="402"/>
      <c r="AN40" s="402"/>
      <c r="AO40" s="405"/>
      <c r="AP40" s="406"/>
      <c r="AQ40" s="402"/>
      <c r="AR40" s="402"/>
      <c r="AS40" s="87"/>
      <c r="AT40" s="282"/>
      <c r="AU40" s="407"/>
      <c r="AV40" s="402"/>
      <c r="AW40" s="402"/>
      <c r="AX40" s="404" t="s">
        <v>120</v>
      </c>
      <c r="AY40" s="405"/>
      <c r="AZ40" s="406"/>
      <c r="BA40" s="402"/>
      <c r="BB40" s="402"/>
      <c r="BC40" s="402"/>
      <c r="BD40" s="410" t="s">
        <v>121</v>
      </c>
      <c r="BE40" s="281"/>
      <c r="BF40" s="87"/>
      <c r="BG40" s="402"/>
      <c r="BH40" s="402"/>
      <c r="BI40" s="405"/>
      <c r="BJ40" s="406"/>
      <c r="BK40" s="402"/>
      <c r="BL40" s="402"/>
      <c r="BM40" s="402"/>
      <c r="BN40" s="403"/>
      <c r="BO40" s="407"/>
      <c r="BP40" s="402"/>
      <c r="BQ40" s="87"/>
      <c r="BR40" s="87"/>
      <c r="BS40" s="405"/>
      <c r="BT40" s="283"/>
      <c r="BU40" s="87"/>
      <c r="BV40" s="402"/>
      <c r="BW40" s="402"/>
      <c r="BX40" s="403"/>
      <c r="BY40" s="407"/>
      <c r="BZ40" s="87"/>
      <c r="CA40" s="87"/>
      <c r="CB40" s="402"/>
      <c r="CC40" s="405"/>
      <c r="CD40" s="406"/>
      <c r="CE40" s="87"/>
      <c r="CF40" s="87"/>
      <c r="CG40" s="402"/>
      <c r="CH40" s="408" t="s">
        <v>40</v>
      </c>
      <c r="CI40" s="409" t="s">
        <v>40</v>
      </c>
      <c r="CJ40" s="217"/>
      <c r="CK40" s="217"/>
      <c r="CL40" s="217"/>
      <c r="CM40" s="218"/>
    </row>
    <row r="41" spans="1:91" ht="25.5" customHeight="1" x14ac:dyDescent="0.2">
      <c r="A41" s="324">
        <v>232</v>
      </c>
      <c r="B41" s="72">
        <v>0</v>
      </c>
      <c r="C41" s="72" t="s">
        <v>135</v>
      </c>
      <c r="D41" s="79" t="s">
        <v>488</v>
      </c>
      <c r="E41" s="77" t="s">
        <v>489</v>
      </c>
      <c r="F41" s="76"/>
      <c r="G41" s="95" t="s">
        <v>490</v>
      </c>
      <c r="H41" s="97" t="s">
        <v>607</v>
      </c>
      <c r="I41" s="142"/>
      <c r="J41" s="76"/>
      <c r="K41" s="141"/>
      <c r="L41" s="367"/>
      <c r="M41" s="307"/>
      <c r="N41" s="307"/>
      <c r="O41" s="307"/>
      <c r="P41" s="369"/>
      <c r="Q41" s="274"/>
      <c r="R41" s="79"/>
      <c r="S41" s="307"/>
      <c r="T41" s="307"/>
      <c r="U41" s="370"/>
      <c r="V41" s="306"/>
      <c r="W41" s="307"/>
      <c r="X41" s="307"/>
      <c r="Y41" s="307"/>
      <c r="Z41" s="369"/>
      <c r="AA41" s="367"/>
      <c r="AB41" s="307"/>
      <c r="AC41" s="307"/>
      <c r="AD41" s="307"/>
      <c r="AE41" s="370"/>
      <c r="AF41" s="306"/>
      <c r="AG41" s="307"/>
      <c r="AH41" s="307"/>
      <c r="AI41" s="307"/>
      <c r="AJ41" s="178"/>
      <c r="AK41" s="274"/>
      <c r="AL41" s="307"/>
      <c r="AM41" s="307"/>
      <c r="AN41" s="307"/>
      <c r="AO41" s="370"/>
      <c r="AP41" s="306"/>
      <c r="AQ41" s="307"/>
      <c r="AR41" s="307"/>
      <c r="AS41" s="79"/>
      <c r="AT41" s="178"/>
      <c r="AU41" s="367"/>
      <c r="AV41" s="307"/>
      <c r="AW41" s="307"/>
      <c r="AX41" s="307"/>
      <c r="AY41" s="370"/>
      <c r="AZ41" s="306"/>
      <c r="BA41" s="307"/>
      <c r="BB41" s="307"/>
      <c r="BC41" s="307"/>
      <c r="BD41" s="369"/>
      <c r="BE41" s="274"/>
      <c r="BF41" s="79"/>
      <c r="BG41" s="307"/>
      <c r="BH41" s="307"/>
      <c r="BI41" s="370"/>
      <c r="BJ41" s="306"/>
      <c r="BK41" s="307"/>
      <c r="BL41" s="307"/>
      <c r="BM41" s="307"/>
      <c r="BN41" s="369"/>
      <c r="BO41" s="367"/>
      <c r="BP41" s="307"/>
      <c r="BQ41" s="79"/>
      <c r="BR41" s="79"/>
      <c r="BS41" s="370"/>
      <c r="BT41" s="261"/>
      <c r="BU41" s="79"/>
      <c r="BV41" s="307"/>
      <c r="BW41" s="307"/>
      <c r="BX41" s="369"/>
      <c r="BY41" s="367"/>
      <c r="BZ41" s="79"/>
      <c r="CA41" s="79"/>
      <c r="CB41" s="307"/>
      <c r="CC41" s="370"/>
      <c r="CD41" s="306"/>
      <c r="CE41" s="79"/>
      <c r="CF41" s="79"/>
      <c r="CG41" s="307"/>
      <c r="CH41" s="374" t="s">
        <v>40</v>
      </c>
      <c r="CI41" s="373" t="s">
        <v>40</v>
      </c>
      <c r="CJ41" s="202"/>
      <c r="CK41" s="202"/>
      <c r="CL41" s="202"/>
      <c r="CM41" s="203"/>
    </row>
    <row r="42" spans="1:91" ht="25.5" customHeight="1" x14ac:dyDescent="0.2">
      <c r="A42" s="324">
        <v>233</v>
      </c>
      <c r="B42" s="72">
        <v>0</v>
      </c>
      <c r="C42" s="72" t="s">
        <v>135</v>
      </c>
      <c r="D42" s="79" t="s">
        <v>1011</v>
      </c>
      <c r="E42" s="77" t="s">
        <v>1012</v>
      </c>
      <c r="F42" s="76"/>
      <c r="G42" s="95" t="s">
        <v>1013</v>
      </c>
      <c r="H42" s="97" t="s">
        <v>1013</v>
      </c>
      <c r="I42" s="142"/>
      <c r="J42" s="76"/>
      <c r="K42" s="141"/>
      <c r="L42" s="367"/>
      <c r="M42" s="307"/>
      <c r="N42" s="307"/>
      <c r="O42" s="307"/>
      <c r="P42" s="369"/>
      <c r="Q42" s="274"/>
      <c r="R42" s="79"/>
      <c r="S42" s="307"/>
      <c r="T42" s="307"/>
      <c r="U42" s="370"/>
      <c r="V42" s="306"/>
      <c r="W42" s="307"/>
      <c r="X42" s="307"/>
      <c r="Y42" s="307"/>
      <c r="Z42" s="369"/>
      <c r="AA42" s="367"/>
      <c r="AB42" s="307"/>
      <c r="AC42" s="307"/>
      <c r="AD42" s="307"/>
      <c r="AE42" s="370"/>
      <c r="AF42" s="306"/>
      <c r="AG42" s="307"/>
      <c r="AH42" s="307"/>
      <c r="AI42" s="307"/>
      <c r="AJ42" s="178"/>
      <c r="AK42" s="274"/>
      <c r="AL42" s="307"/>
      <c r="AM42" s="307"/>
      <c r="AN42" s="307"/>
      <c r="AO42" s="370"/>
      <c r="AP42" s="306"/>
      <c r="AQ42" s="307"/>
      <c r="AR42" s="307"/>
      <c r="AS42" s="79"/>
      <c r="AT42" s="178"/>
      <c r="AU42" s="367"/>
      <c r="AV42" s="307"/>
      <c r="AW42" s="307"/>
      <c r="AX42" s="307"/>
      <c r="AY42" s="370"/>
      <c r="AZ42" s="306"/>
      <c r="BA42" s="307"/>
      <c r="BB42" s="307"/>
      <c r="BC42" s="307"/>
      <c r="BD42" s="369"/>
      <c r="BE42" s="274"/>
      <c r="BF42" s="79"/>
      <c r="BG42" s="307"/>
      <c r="BH42" s="307"/>
      <c r="BI42" s="370"/>
      <c r="BJ42" s="306"/>
      <c r="BK42" s="307"/>
      <c r="BL42" s="307"/>
      <c r="BM42" s="307"/>
      <c r="BN42" s="369"/>
      <c r="BO42" s="367"/>
      <c r="BP42" s="307"/>
      <c r="BQ42" s="79"/>
      <c r="BR42" s="79"/>
      <c r="BS42" s="370"/>
      <c r="BT42" s="261"/>
      <c r="BU42" s="79"/>
      <c r="BV42" s="307"/>
      <c r="BW42" s="307"/>
      <c r="BX42" s="369"/>
      <c r="BY42" s="367"/>
      <c r="BZ42" s="79"/>
      <c r="CA42" s="79"/>
      <c r="CB42" s="307"/>
      <c r="CC42" s="370"/>
      <c r="CD42" s="306"/>
      <c r="CE42" s="79"/>
      <c r="CF42" s="79"/>
      <c r="CG42" s="307"/>
      <c r="CH42" s="370"/>
      <c r="CI42" s="306"/>
      <c r="CJ42" s="202"/>
      <c r="CK42" s="202"/>
      <c r="CL42" s="202"/>
      <c r="CM42" s="203"/>
    </row>
    <row r="43" spans="1:91" ht="25.5" customHeight="1" x14ac:dyDescent="0.2">
      <c r="A43" s="324">
        <v>234</v>
      </c>
      <c r="B43" s="72">
        <v>0</v>
      </c>
      <c r="C43" s="72" t="s">
        <v>135</v>
      </c>
      <c r="D43" s="79" t="s">
        <v>491</v>
      </c>
      <c r="E43" s="77" t="s">
        <v>778</v>
      </c>
      <c r="F43" s="76"/>
      <c r="G43" s="95" t="s">
        <v>492</v>
      </c>
      <c r="H43" s="97" t="s">
        <v>492</v>
      </c>
      <c r="I43" s="142"/>
      <c r="J43" s="76"/>
      <c r="K43" s="141"/>
      <c r="L43" s="367"/>
      <c r="M43" s="307"/>
      <c r="N43" s="307"/>
      <c r="O43" s="307"/>
      <c r="P43" s="369"/>
      <c r="Q43" s="274"/>
      <c r="R43" s="79"/>
      <c r="S43" s="307"/>
      <c r="T43" s="307"/>
      <c r="U43" s="370"/>
      <c r="V43" s="306"/>
      <c r="W43" s="307"/>
      <c r="X43" s="307"/>
      <c r="Y43" s="307"/>
      <c r="Z43" s="369"/>
      <c r="AA43" s="367"/>
      <c r="AB43" s="307"/>
      <c r="AC43" s="307"/>
      <c r="AD43" s="307"/>
      <c r="AE43" s="370"/>
      <c r="AF43" s="306"/>
      <c r="AG43" s="307"/>
      <c r="AH43" s="307"/>
      <c r="AI43" s="307"/>
      <c r="AJ43" s="178"/>
      <c r="AK43" s="274"/>
      <c r="AL43" s="307"/>
      <c r="AM43" s="307"/>
      <c r="AN43" s="307"/>
      <c r="AO43" s="370"/>
      <c r="AP43" s="306"/>
      <c r="AQ43" s="307"/>
      <c r="AR43" s="307"/>
      <c r="AS43" s="79"/>
      <c r="AT43" s="178"/>
      <c r="AU43" s="367"/>
      <c r="AV43" s="307"/>
      <c r="AW43" s="307"/>
      <c r="AX43" s="307"/>
      <c r="AY43" s="370"/>
      <c r="AZ43" s="306"/>
      <c r="BA43" s="307"/>
      <c r="BB43" s="307"/>
      <c r="BC43" s="307"/>
      <c r="BD43" s="369"/>
      <c r="BE43" s="274"/>
      <c r="BF43" s="79"/>
      <c r="BG43" s="307"/>
      <c r="BH43" s="307"/>
      <c r="BI43" s="370"/>
      <c r="BJ43" s="306"/>
      <c r="BK43" s="307"/>
      <c r="BL43" s="307"/>
      <c r="BM43" s="307"/>
      <c r="BN43" s="369"/>
      <c r="BO43" s="367"/>
      <c r="BP43" s="307"/>
      <c r="BQ43" s="79"/>
      <c r="BR43" s="79"/>
      <c r="BS43" s="370"/>
      <c r="BT43" s="261"/>
      <c r="BU43" s="79"/>
      <c r="BV43" s="307"/>
      <c r="BW43" s="307"/>
      <c r="BX43" s="369"/>
      <c r="BY43" s="367"/>
      <c r="BZ43" s="79"/>
      <c r="CA43" s="79"/>
      <c r="CB43" s="307"/>
      <c r="CC43" s="370"/>
      <c r="CD43" s="306"/>
      <c r="CE43" s="79"/>
      <c r="CF43" s="79"/>
      <c r="CG43" s="307"/>
      <c r="CH43" s="374" t="s">
        <v>40</v>
      </c>
      <c r="CI43" s="373" t="s">
        <v>40</v>
      </c>
      <c r="CJ43" s="202"/>
      <c r="CK43" s="202"/>
      <c r="CL43" s="202"/>
      <c r="CM43" s="203"/>
    </row>
    <row r="44" spans="1:91" ht="25.5" customHeight="1" thickBot="1" x14ac:dyDescent="0.25">
      <c r="A44" s="325">
        <v>235</v>
      </c>
      <c r="B44" s="73">
        <v>0</v>
      </c>
      <c r="C44" s="73" t="s">
        <v>135</v>
      </c>
      <c r="D44" s="74" t="s">
        <v>493</v>
      </c>
      <c r="E44" s="126" t="s">
        <v>779</v>
      </c>
      <c r="F44" s="89"/>
      <c r="G44" s="125" t="s">
        <v>494</v>
      </c>
      <c r="H44" s="198" t="s">
        <v>494</v>
      </c>
      <c r="I44" s="269">
        <v>4</v>
      </c>
      <c r="J44" s="89"/>
      <c r="K44" s="270"/>
      <c r="L44" s="383"/>
      <c r="M44" s="379"/>
      <c r="N44" s="379"/>
      <c r="O44" s="454" t="s">
        <v>122</v>
      </c>
      <c r="P44" s="382"/>
      <c r="Q44" s="275"/>
      <c r="R44" s="74"/>
      <c r="S44" s="379"/>
      <c r="T44" s="379"/>
      <c r="U44" s="380"/>
      <c r="V44" s="381"/>
      <c r="W44" s="379"/>
      <c r="X44" s="379"/>
      <c r="Y44" s="379"/>
      <c r="Z44" s="382"/>
      <c r="AA44" s="383"/>
      <c r="AB44" s="379"/>
      <c r="AC44" s="379"/>
      <c r="AD44" s="379"/>
      <c r="AE44" s="380"/>
      <c r="AF44" s="381"/>
      <c r="AG44" s="379"/>
      <c r="AH44" s="379"/>
      <c r="AI44" s="379"/>
      <c r="AJ44" s="276"/>
      <c r="AK44" s="275"/>
      <c r="AL44" s="379"/>
      <c r="AM44" s="379"/>
      <c r="AN44" s="379"/>
      <c r="AO44" s="380"/>
      <c r="AP44" s="381"/>
      <c r="AQ44" s="379"/>
      <c r="AR44" s="379"/>
      <c r="AS44" s="74"/>
      <c r="AT44" s="276"/>
      <c r="AU44" s="383"/>
      <c r="AV44" s="379"/>
      <c r="AW44" s="379"/>
      <c r="AX44" s="385" t="s">
        <v>120</v>
      </c>
      <c r="AY44" s="380"/>
      <c r="AZ44" s="381"/>
      <c r="BA44" s="379"/>
      <c r="BB44" s="379"/>
      <c r="BC44" s="379"/>
      <c r="BD44" s="378" t="s">
        <v>121</v>
      </c>
      <c r="BE44" s="275"/>
      <c r="BF44" s="74"/>
      <c r="BG44" s="379"/>
      <c r="BH44" s="379"/>
      <c r="BI44" s="380"/>
      <c r="BJ44" s="381"/>
      <c r="BK44" s="379"/>
      <c r="BL44" s="379"/>
      <c r="BM44" s="379"/>
      <c r="BN44" s="382"/>
      <c r="BO44" s="383"/>
      <c r="BP44" s="379"/>
      <c r="BQ44" s="74"/>
      <c r="BR44" s="74"/>
      <c r="BS44" s="380"/>
      <c r="BT44" s="277"/>
      <c r="BU44" s="74"/>
      <c r="BV44" s="379"/>
      <c r="BW44" s="379"/>
      <c r="BX44" s="382"/>
      <c r="BY44" s="383"/>
      <c r="BZ44" s="74"/>
      <c r="CA44" s="74"/>
      <c r="CB44" s="379"/>
      <c r="CC44" s="380"/>
      <c r="CD44" s="381"/>
      <c r="CE44" s="74"/>
      <c r="CF44" s="74"/>
      <c r="CG44" s="379"/>
      <c r="CH44" s="386" t="s">
        <v>40</v>
      </c>
      <c r="CI44" s="384" t="s">
        <v>40</v>
      </c>
      <c r="CJ44" s="206"/>
      <c r="CK44" s="206"/>
      <c r="CL44" s="206"/>
      <c r="CM44" s="207"/>
    </row>
    <row r="45" spans="1:91" ht="25.5" customHeight="1" x14ac:dyDescent="0.2">
      <c r="A45" s="318">
        <v>236</v>
      </c>
      <c r="B45" s="75">
        <v>0</v>
      </c>
      <c r="C45" s="75" t="s">
        <v>135</v>
      </c>
      <c r="D45" s="92" t="s">
        <v>1014</v>
      </c>
      <c r="E45" s="93" t="s">
        <v>1015</v>
      </c>
      <c r="F45" s="130"/>
      <c r="G45" s="129" t="s">
        <v>1016</v>
      </c>
      <c r="H45" s="181" t="s">
        <v>1016</v>
      </c>
      <c r="I45" s="259"/>
      <c r="J45" s="130"/>
      <c r="K45" s="260"/>
      <c r="L45" s="308"/>
      <c r="M45" s="304"/>
      <c r="N45" s="304"/>
      <c r="O45" s="304"/>
      <c r="P45" s="359"/>
      <c r="Q45" s="272"/>
      <c r="R45" s="92"/>
      <c r="S45" s="304"/>
      <c r="T45" s="304"/>
      <c r="U45" s="361"/>
      <c r="V45" s="362"/>
      <c r="W45" s="304"/>
      <c r="X45" s="304"/>
      <c r="Y45" s="304"/>
      <c r="Z45" s="359"/>
      <c r="AA45" s="308"/>
      <c r="AB45" s="304"/>
      <c r="AC45" s="304"/>
      <c r="AD45" s="304"/>
      <c r="AE45" s="361"/>
      <c r="AF45" s="362"/>
      <c r="AG45" s="304"/>
      <c r="AH45" s="304"/>
      <c r="AI45" s="304"/>
      <c r="AJ45" s="273"/>
      <c r="AK45" s="272"/>
      <c r="AL45" s="304"/>
      <c r="AM45" s="304"/>
      <c r="AN45" s="304"/>
      <c r="AO45" s="361"/>
      <c r="AP45" s="362"/>
      <c r="AQ45" s="304"/>
      <c r="AR45" s="304"/>
      <c r="AS45" s="92"/>
      <c r="AT45" s="273"/>
      <c r="AU45" s="308"/>
      <c r="AV45" s="304"/>
      <c r="AW45" s="304"/>
      <c r="AX45" s="304"/>
      <c r="AY45" s="361"/>
      <c r="AZ45" s="362"/>
      <c r="BA45" s="304"/>
      <c r="BB45" s="304"/>
      <c r="BC45" s="304"/>
      <c r="BD45" s="359"/>
      <c r="BE45" s="272"/>
      <c r="BF45" s="92"/>
      <c r="BG45" s="304"/>
      <c r="BH45" s="304"/>
      <c r="BI45" s="361"/>
      <c r="BJ45" s="362"/>
      <c r="BK45" s="304"/>
      <c r="BL45" s="304"/>
      <c r="BM45" s="304"/>
      <c r="BN45" s="359"/>
      <c r="BO45" s="308"/>
      <c r="BP45" s="304"/>
      <c r="BQ45" s="92"/>
      <c r="BR45" s="92"/>
      <c r="BS45" s="361"/>
      <c r="BT45" s="258"/>
      <c r="BU45" s="92"/>
      <c r="BV45" s="304"/>
      <c r="BW45" s="304"/>
      <c r="BX45" s="359"/>
      <c r="BY45" s="308"/>
      <c r="BZ45" s="92"/>
      <c r="CA45" s="92"/>
      <c r="CB45" s="304"/>
      <c r="CC45" s="361"/>
      <c r="CD45" s="362"/>
      <c r="CE45" s="92"/>
      <c r="CF45" s="92"/>
      <c r="CG45" s="304"/>
      <c r="CH45" s="361"/>
      <c r="CI45" s="362"/>
      <c r="CJ45" s="210"/>
      <c r="CK45" s="210"/>
      <c r="CL45" s="210"/>
      <c r="CM45" s="211"/>
    </row>
    <row r="46" spans="1:91" ht="25.5" customHeight="1" x14ac:dyDescent="0.2">
      <c r="A46" s="324">
        <v>237</v>
      </c>
      <c r="B46" s="72">
        <v>0</v>
      </c>
      <c r="C46" s="72" t="s">
        <v>135</v>
      </c>
      <c r="D46" s="79" t="s">
        <v>495</v>
      </c>
      <c r="E46" s="77" t="s">
        <v>496</v>
      </c>
      <c r="F46" s="76"/>
      <c r="G46" s="95" t="s">
        <v>497</v>
      </c>
      <c r="H46" s="97" t="s">
        <v>497</v>
      </c>
      <c r="I46" s="142">
        <v>4</v>
      </c>
      <c r="J46" s="76" t="s">
        <v>64</v>
      </c>
      <c r="K46" s="141">
        <v>9</v>
      </c>
      <c r="L46" s="367"/>
      <c r="M46" s="307"/>
      <c r="N46" s="307"/>
      <c r="O46" s="368" t="s">
        <v>122</v>
      </c>
      <c r="P46" s="369"/>
      <c r="Q46" s="274"/>
      <c r="R46" s="79"/>
      <c r="S46" s="307"/>
      <c r="T46" s="307"/>
      <c r="U46" s="370"/>
      <c r="V46" s="306"/>
      <c r="W46" s="307"/>
      <c r="X46" s="307"/>
      <c r="Y46" s="307"/>
      <c r="Z46" s="369"/>
      <c r="AA46" s="367"/>
      <c r="AB46" s="307"/>
      <c r="AC46" s="307"/>
      <c r="AD46" s="307"/>
      <c r="AE46" s="370"/>
      <c r="AF46" s="306"/>
      <c r="AG46" s="307"/>
      <c r="AH46" s="307"/>
      <c r="AI46" s="307"/>
      <c r="AJ46" s="178"/>
      <c r="AK46" s="274"/>
      <c r="AL46" s="307"/>
      <c r="AM46" s="307"/>
      <c r="AN46" s="307"/>
      <c r="AO46" s="370"/>
      <c r="AP46" s="306"/>
      <c r="AQ46" s="307"/>
      <c r="AR46" s="307"/>
      <c r="AS46" s="79"/>
      <c r="AT46" s="178"/>
      <c r="AU46" s="388" t="s">
        <v>582</v>
      </c>
      <c r="AV46" s="307"/>
      <c r="AW46" s="307"/>
      <c r="AX46" s="371" t="s">
        <v>120</v>
      </c>
      <c r="AY46" s="370"/>
      <c r="AZ46" s="306"/>
      <c r="BA46" s="307"/>
      <c r="BB46" s="307"/>
      <c r="BC46" s="307"/>
      <c r="BD46" s="372" t="s">
        <v>121</v>
      </c>
      <c r="BE46" s="274"/>
      <c r="BF46" s="79"/>
      <c r="BG46" s="307"/>
      <c r="BH46" s="307"/>
      <c r="BI46" s="370"/>
      <c r="BJ46" s="306"/>
      <c r="BK46" s="307"/>
      <c r="BL46" s="307"/>
      <c r="BM46" s="307"/>
      <c r="BN46" s="369"/>
      <c r="BO46" s="367"/>
      <c r="BP46" s="307"/>
      <c r="BQ46" s="79"/>
      <c r="BR46" s="79"/>
      <c r="BS46" s="370"/>
      <c r="BT46" s="261"/>
      <c r="BU46" s="79"/>
      <c r="BV46" s="307"/>
      <c r="BW46" s="307"/>
      <c r="BX46" s="369"/>
      <c r="BY46" s="367"/>
      <c r="BZ46" s="79"/>
      <c r="CA46" s="79"/>
      <c r="CB46" s="307"/>
      <c r="CC46" s="370"/>
      <c r="CD46" s="306"/>
      <c r="CE46" s="79"/>
      <c r="CF46" s="79"/>
      <c r="CG46" s="307"/>
      <c r="CH46" s="374" t="s">
        <v>40</v>
      </c>
      <c r="CI46" s="373" t="s">
        <v>40</v>
      </c>
      <c r="CJ46" s="202"/>
      <c r="CK46" s="202"/>
      <c r="CL46" s="202"/>
      <c r="CM46" s="203"/>
    </row>
    <row r="47" spans="1:91" ht="25.5" customHeight="1" x14ac:dyDescent="0.2">
      <c r="A47" s="324">
        <v>238</v>
      </c>
      <c r="B47" s="72">
        <v>0</v>
      </c>
      <c r="C47" s="72" t="s">
        <v>135</v>
      </c>
      <c r="D47" s="79" t="s">
        <v>498</v>
      </c>
      <c r="E47" s="77" t="s">
        <v>499</v>
      </c>
      <c r="F47" s="76"/>
      <c r="G47" s="95" t="s">
        <v>500</v>
      </c>
      <c r="H47" s="97" t="s">
        <v>874</v>
      </c>
      <c r="I47" s="142"/>
      <c r="J47" s="76"/>
      <c r="K47" s="141">
        <v>12</v>
      </c>
      <c r="L47" s="367"/>
      <c r="M47" s="307"/>
      <c r="N47" s="307"/>
      <c r="O47" s="307"/>
      <c r="P47" s="369"/>
      <c r="Q47" s="274"/>
      <c r="R47" s="79"/>
      <c r="S47" s="307"/>
      <c r="T47" s="307"/>
      <c r="U47" s="370"/>
      <c r="V47" s="306"/>
      <c r="W47" s="307"/>
      <c r="X47" s="307"/>
      <c r="Y47" s="307"/>
      <c r="Z47" s="369"/>
      <c r="AA47" s="367"/>
      <c r="AB47" s="307"/>
      <c r="AC47" s="307"/>
      <c r="AD47" s="307"/>
      <c r="AE47" s="370"/>
      <c r="AF47" s="306"/>
      <c r="AG47" s="307"/>
      <c r="AH47" s="307"/>
      <c r="AI47" s="307"/>
      <c r="AJ47" s="178"/>
      <c r="AK47" s="274"/>
      <c r="AL47" s="307"/>
      <c r="AM47" s="307"/>
      <c r="AN47" s="307"/>
      <c r="AO47" s="370"/>
      <c r="AP47" s="306"/>
      <c r="AQ47" s="307"/>
      <c r="AR47" s="307"/>
      <c r="AS47" s="79"/>
      <c r="AT47" s="178"/>
      <c r="AU47" s="367"/>
      <c r="AV47" s="307"/>
      <c r="AW47" s="307"/>
      <c r="AX47" s="307"/>
      <c r="AY47" s="370"/>
      <c r="AZ47" s="306"/>
      <c r="BA47" s="307"/>
      <c r="BB47" s="307"/>
      <c r="BC47" s="307"/>
      <c r="BD47" s="369"/>
      <c r="BE47" s="274"/>
      <c r="BF47" s="79"/>
      <c r="BG47" s="307"/>
      <c r="BH47" s="307"/>
      <c r="BI47" s="370"/>
      <c r="BJ47" s="306"/>
      <c r="BK47" s="307"/>
      <c r="BL47" s="307"/>
      <c r="BM47" s="307"/>
      <c r="BN47" s="369"/>
      <c r="BO47" s="367"/>
      <c r="BP47" s="307"/>
      <c r="BQ47" s="79"/>
      <c r="BR47" s="79"/>
      <c r="BS47" s="370"/>
      <c r="BT47" s="261"/>
      <c r="BU47" s="79"/>
      <c r="BV47" s="307"/>
      <c r="BW47" s="307"/>
      <c r="BX47" s="369"/>
      <c r="BY47" s="367"/>
      <c r="BZ47" s="79"/>
      <c r="CA47" s="79"/>
      <c r="CB47" s="307"/>
      <c r="CC47" s="370"/>
      <c r="CD47" s="306"/>
      <c r="CE47" s="79"/>
      <c r="CF47" s="79"/>
      <c r="CG47" s="307"/>
      <c r="CH47" s="374" t="s">
        <v>40</v>
      </c>
      <c r="CI47" s="373" t="s">
        <v>40</v>
      </c>
      <c r="CJ47" s="202"/>
      <c r="CK47" s="202"/>
      <c r="CL47" s="202"/>
      <c r="CM47" s="203"/>
    </row>
    <row r="48" spans="1:91" ht="25.5" customHeight="1" x14ac:dyDescent="0.2">
      <c r="A48" s="324">
        <v>239</v>
      </c>
      <c r="B48" s="72">
        <v>0</v>
      </c>
      <c r="C48" s="72" t="s">
        <v>135</v>
      </c>
      <c r="D48" s="79" t="s">
        <v>1017</v>
      </c>
      <c r="E48" s="77" t="s">
        <v>1018</v>
      </c>
      <c r="F48" s="76"/>
      <c r="G48" s="95" t="s">
        <v>1019</v>
      </c>
      <c r="H48" s="97" t="s">
        <v>1019</v>
      </c>
      <c r="I48" s="142"/>
      <c r="J48" s="76"/>
      <c r="K48" s="141"/>
      <c r="L48" s="367"/>
      <c r="M48" s="307"/>
      <c r="N48" s="307"/>
      <c r="O48" s="307"/>
      <c r="P48" s="369"/>
      <c r="Q48" s="274"/>
      <c r="R48" s="79"/>
      <c r="S48" s="307"/>
      <c r="T48" s="307"/>
      <c r="U48" s="370"/>
      <c r="V48" s="306"/>
      <c r="W48" s="307"/>
      <c r="X48" s="307"/>
      <c r="Y48" s="307"/>
      <c r="Z48" s="369"/>
      <c r="AA48" s="367"/>
      <c r="AB48" s="307"/>
      <c r="AC48" s="307"/>
      <c r="AD48" s="307"/>
      <c r="AE48" s="370"/>
      <c r="AF48" s="306"/>
      <c r="AG48" s="307"/>
      <c r="AH48" s="307"/>
      <c r="AI48" s="307"/>
      <c r="AJ48" s="178"/>
      <c r="AK48" s="274"/>
      <c r="AL48" s="307"/>
      <c r="AM48" s="307"/>
      <c r="AN48" s="307"/>
      <c r="AO48" s="370"/>
      <c r="AP48" s="306"/>
      <c r="AQ48" s="307"/>
      <c r="AR48" s="307"/>
      <c r="AS48" s="79"/>
      <c r="AT48" s="178"/>
      <c r="AU48" s="367"/>
      <c r="AV48" s="307"/>
      <c r="AW48" s="307"/>
      <c r="AX48" s="307"/>
      <c r="AY48" s="370"/>
      <c r="AZ48" s="306"/>
      <c r="BA48" s="307"/>
      <c r="BB48" s="307"/>
      <c r="BC48" s="307"/>
      <c r="BD48" s="369"/>
      <c r="BE48" s="274"/>
      <c r="BF48" s="79"/>
      <c r="BG48" s="307"/>
      <c r="BH48" s="307"/>
      <c r="BI48" s="370"/>
      <c r="BJ48" s="306"/>
      <c r="BK48" s="307"/>
      <c r="BL48" s="307"/>
      <c r="BM48" s="307"/>
      <c r="BN48" s="369"/>
      <c r="BO48" s="367"/>
      <c r="BP48" s="307"/>
      <c r="BQ48" s="79"/>
      <c r="BR48" s="79"/>
      <c r="BS48" s="370"/>
      <c r="BT48" s="261"/>
      <c r="BU48" s="79"/>
      <c r="BV48" s="307"/>
      <c r="BW48" s="307"/>
      <c r="BX48" s="369"/>
      <c r="BY48" s="367"/>
      <c r="BZ48" s="79"/>
      <c r="CA48" s="79"/>
      <c r="CB48" s="307"/>
      <c r="CC48" s="370"/>
      <c r="CD48" s="306"/>
      <c r="CE48" s="79"/>
      <c r="CF48" s="79"/>
      <c r="CG48" s="307"/>
      <c r="CH48" s="370"/>
      <c r="CI48" s="306"/>
      <c r="CJ48" s="202"/>
      <c r="CK48" s="202"/>
      <c r="CL48" s="202"/>
      <c r="CM48" s="203"/>
    </row>
    <row r="49" spans="1:91" ht="25.5" customHeight="1" thickBot="1" x14ac:dyDescent="0.25">
      <c r="A49" s="331">
        <v>240</v>
      </c>
      <c r="B49" s="82">
        <v>0</v>
      </c>
      <c r="C49" s="82" t="s">
        <v>135</v>
      </c>
      <c r="D49" s="190" t="s">
        <v>501</v>
      </c>
      <c r="E49" s="117" t="s">
        <v>502</v>
      </c>
      <c r="F49" s="99"/>
      <c r="G49" s="101" t="s">
        <v>111</v>
      </c>
      <c r="H49" s="102" t="s">
        <v>111</v>
      </c>
      <c r="I49" s="257">
        <v>4</v>
      </c>
      <c r="J49" s="99" t="s">
        <v>64</v>
      </c>
      <c r="K49" s="264">
        <v>9</v>
      </c>
      <c r="L49" s="395"/>
      <c r="M49" s="390"/>
      <c r="N49" s="390"/>
      <c r="O49" s="453" t="s">
        <v>122</v>
      </c>
      <c r="P49" s="391"/>
      <c r="Q49" s="278"/>
      <c r="R49" s="190"/>
      <c r="S49" s="390"/>
      <c r="T49" s="390"/>
      <c r="U49" s="393"/>
      <c r="V49" s="394"/>
      <c r="W49" s="390"/>
      <c r="X49" s="390"/>
      <c r="Y49" s="390"/>
      <c r="Z49" s="391"/>
      <c r="AA49" s="395"/>
      <c r="AB49" s="390"/>
      <c r="AC49" s="390"/>
      <c r="AD49" s="390"/>
      <c r="AE49" s="393"/>
      <c r="AF49" s="394"/>
      <c r="AG49" s="390"/>
      <c r="AH49" s="390"/>
      <c r="AI49" s="390"/>
      <c r="AJ49" s="279"/>
      <c r="AK49" s="278"/>
      <c r="AL49" s="390"/>
      <c r="AM49" s="390"/>
      <c r="AN49" s="390"/>
      <c r="AO49" s="393"/>
      <c r="AP49" s="394"/>
      <c r="AQ49" s="390"/>
      <c r="AR49" s="390"/>
      <c r="AS49" s="190"/>
      <c r="AT49" s="279"/>
      <c r="AU49" s="458" t="s">
        <v>582</v>
      </c>
      <c r="AV49" s="390"/>
      <c r="AW49" s="390"/>
      <c r="AX49" s="392" t="s">
        <v>120</v>
      </c>
      <c r="AY49" s="393"/>
      <c r="AZ49" s="394"/>
      <c r="BA49" s="390"/>
      <c r="BB49" s="390"/>
      <c r="BC49" s="390"/>
      <c r="BD49" s="398" t="s">
        <v>121</v>
      </c>
      <c r="BE49" s="278"/>
      <c r="BF49" s="190"/>
      <c r="BG49" s="390"/>
      <c r="BH49" s="390"/>
      <c r="BI49" s="393"/>
      <c r="BJ49" s="394"/>
      <c r="BK49" s="390"/>
      <c r="BL49" s="390"/>
      <c r="BM49" s="390"/>
      <c r="BN49" s="391"/>
      <c r="BO49" s="395"/>
      <c r="BP49" s="390"/>
      <c r="BQ49" s="190"/>
      <c r="BR49" s="190"/>
      <c r="BS49" s="393"/>
      <c r="BT49" s="280"/>
      <c r="BU49" s="190"/>
      <c r="BV49" s="390"/>
      <c r="BW49" s="390"/>
      <c r="BX49" s="391"/>
      <c r="BY49" s="395"/>
      <c r="BZ49" s="190"/>
      <c r="CA49" s="190"/>
      <c r="CB49" s="390"/>
      <c r="CC49" s="393"/>
      <c r="CD49" s="394"/>
      <c r="CE49" s="190"/>
      <c r="CF49" s="190"/>
      <c r="CG49" s="390"/>
      <c r="CH49" s="396" t="s">
        <v>40</v>
      </c>
      <c r="CI49" s="397" t="s">
        <v>40</v>
      </c>
      <c r="CJ49" s="213"/>
      <c r="CK49" s="213"/>
      <c r="CL49" s="213"/>
      <c r="CM49" s="214"/>
    </row>
    <row r="50" spans="1:91" ht="25.5" customHeight="1" x14ac:dyDescent="0.2">
      <c r="A50" s="332">
        <v>241</v>
      </c>
      <c r="B50" s="85">
        <v>0</v>
      </c>
      <c r="C50" s="85" t="s">
        <v>135</v>
      </c>
      <c r="D50" s="87" t="s">
        <v>503</v>
      </c>
      <c r="E50" s="133" t="s">
        <v>504</v>
      </c>
      <c r="F50" s="103"/>
      <c r="G50" s="105" t="s">
        <v>112</v>
      </c>
      <c r="H50" s="106" t="s">
        <v>112</v>
      </c>
      <c r="I50" s="139">
        <v>4</v>
      </c>
      <c r="J50" s="103"/>
      <c r="K50" s="137">
        <v>9</v>
      </c>
      <c r="L50" s="407"/>
      <c r="M50" s="402"/>
      <c r="N50" s="402"/>
      <c r="O50" s="452" t="s">
        <v>122</v>
      </c>
      <c r="P50" s="403"/>
      <c r="Q50" s="281"/>
      <c r="R50" s="87"/>
      <c r="S50" s="402"/>
      <c r="T50" s="402"/>
      <c r="U50" s="405"/>
      <c r="V50" s="406"/>
      <c r="W50" s="402"/>
      <c r="X50" s="402"/>
      <c r="Y50" s="402"/>
      <c r="Z50" s="403"/>
      <c r="AA50" s="407"/>
      <c r="AB50" s="402"/>
      <c r="AC50" s="402"/>
      <c r="AD50" s="402"/>
      <c r="AE50" s="405"/>
      <c r="AF50" s="406"/>
      <c r="AG50" s="402"/>
      <c r="AH50" s="402"/>
      <c r="AI50" s="402"/>
      <c r="AJ50" s="282"/>
      <c r="AK50" s="281"/>
      <c r="AL50" s="402"/>
      <c r="AM50" s="402"/>
      <c r="AN50" s="402"/>
      <c r="AO50" s="405"/>
      <c r="AP50" s="406"/>
      <c r="AQ50" s="402"/>
      <c r="AR50" s="402"/>
      <c r="AS50" s="87"/>
      <c r="AT50" s="282"/>
      <c r="AU50" s="456" t="s">
        <v>582</v>
      </c>
      <c r="AV50" s="402"/>
      <c r="AW50" s="402"/>
      <c r="AX50" s="404" t="s">
        <v>120</v>
      </c>
      <c r="AY50" s="405"/>
      <c r="AZ50" s="406"/>
      <c r="BA50" s="402"/>
      <c r="BB50" s="402"/>
      <c r="BC50" s="402"/>
      <c r="BD50" s="410" t="s">
        <v>121</v>
      </c>
      <c r="BE50" s="281"/>
      <c r="BF50" s="87"/>
      <c r="BG50" s="402"/>
      <c r="BH50" s="402"/>
      <c r="BI50" s="405"/>
      <c r="BJ50" s="406"/>
      <c r="BK50" s="402"/>
      <c r="BL50" s="402"/>
      <c r="BM50" s="402"/>
      <c r="BN50" s="403"/>
      <c r="BO50" s="407"/>
      <c r="BP50" s="402"/>
      <c r="BQ50" s="87"/>
      <c r="BR50" s="87"/>
      <c r="BS50" s="405"/>
      <c r="BT50" s="283"/>
      <c r="BU50" s="87"/>
      <c r="BV50" s="402"/>
      <c r="BW50" s="402"/>
      <c r="BX50" s="403"/>
      <c r="BY50" s="407"/>
      <c r="BZ50" s="87"/>
      <c r="CA50" s="87"/>
      <c r="CB50" s="402"/>
      <c r="CC50" s="405"/>
      <c r="CD50" s="406"/>
      <c r="CE50" s="87"/>
      <c r="CF50" s="87"/>
      <c r="CG50" s="402"/>
      <c r="CH50" s="408" t="s">
        <v>40</v>
      </c>
      <c r="CI50" s="409" t="s">
        <v>40</v>
      </c>
      <c r="CJ50" s="217"/>
      <c r="CK50" s="217"/>
      <c r="CL50" s="217"/>
      <c r="CM50" s="218"/>
    </row>
    <row r="51" spans="1:91" ht="25.5" customHeight="1" x14ac:dyDescent="0.2">
      <c r="A51" s="324">
        <v>242</v>
      </c>
      <c r="B51" s="72">
        <v>0</v>
      </c>
      <c r="C51" s="72" t="s">
        <v>135</v>
      </c>
      <c r="D51" s="79" t="s">
        <v>505</v>
      </c>
      <c r="E51" s="77" t="s">
        <v>506</v>
      </c>
      <c r="F51" s="76"/>
      <c r="G51" s="79" t="s">
        <v>507</v>
      </c>
      <c r="H51" s="134" t="s">
        <v>875</v>
      </c>
      <c r="I51" s="142">
        <v>4</v>
      </c>
      <c r="J51" s="76" t="s">
        <v>64</v>
      </c>
      <c r="K51" s="141">
        <v>14</v>
      </c>
      <c r="L51" s="367"/>
      <c r="M51" s="307"/>
      <c r="N51" s="307"/>
      <c r="O51" s="368" t="s">
        <v>122</v>
      </c>
      <c r="P51" s="369"/>
      <c r="Q51" s="274"/>
      <c r="R51" s="79"/>
      <c r="S51" s="307"/>
      <c r="T51" s="307"/>
      <c r="U51" s="370"/>
      <c r="V51" s="306"/>
      <c r="W51" s="307"/>
      <c r="X51" s="307"/>
      <c r="Y51" s="307"/>
      <c r="Z51" s="369"/>
      <c r="AA51" s="367"/>
      <c r="AB51" s="307"/>
      <c r="AC51" s="307"/>
      <c r="AD51" s="307"/>
      <c r="AE51" s="370"/>
      <c r="AF51" s="306"/>
      <c r="AG51" s="307"/>
      <c r="AH51" s="307"/>
      <c r="AI51" s="307"/>
      <c r="AJ51" s="178"/>
      <c r="AK51" s="274"/>
      <c r="AL51" s="307"/>
      <c r="AM51" s="307"/>
      <c r="AN51" s="307"/>
      <c r="AO51" s="370"/>
      <c r="AP51" s="306"/>
      <c r="AQ51" s="307"/>
      <c r="AR51" s="307"/>
      <c r="AS51" s="79"/>
      <c r="AT51" s="178"/>
      <c r="AU51" s="367"/>
      <c r="AV51" s="307"/>
      <c r="AW51" s="307"/>
      <c r="AX51" s="371" t="s">
        <v>120</v>
      </c>
      <c r="AY51" s="370"/>
      <c r="AZ51" s="306"/>
      <c r="BA51" s="307"/>
      <c r="BB51" s="307"/>
      <c r="BC51" s="307"/>
      <c r="BD51" s="372" t="s">
        <v>121</v>
      </c>
      <c r="BE51" s="274"/>
      <c r="BF51" s="79"/>
      <c r="BG51" s="307"/>
      <c r="BH51" s="307"/>
      <c r="BI51" s="370"/>
      <c r="BJ51" s="306"/>
      <c r="BK51" s="307"/>
      <c r="BL51" s="307"/>
      <c r="BM51" s="307"/>
      <c r="BN51" s="369"/>
      <c r="BO51" s="367"/>
      <c r="BP51" s="307"/>
      <c r="BQ51" s="79"/>
      <c r="BR51" s="79"/>
      <c r="BS51" s="370"/>
      <c r="BT51" s="261"/>
      <c r="BU51" s="79"/>
      <c r="BV51" s="307"/>
      <c r="BW51" s="307"/>
      <c r="BX51" s="369"/>
      <c r="BY51" s="367"/>
      <c r="BZ51" s="79"/>
      <c r="CA51" s="79"/>
      <c r="CB51" s="307"/>
      <c r="CC51" s="370"/>
      <c r="CD51" s="306"/>
      <c r="CE51" s="79"/>
      <c r="CF51" s="79"/>
      <c r="CG51" s="307"/>
      <c r="CH51" s="374" t="s">
        <v>40</v>
      </c>
      <c r="CI51" s="373" t="s">
        <v>40</v>
      </c>
      <c r="CJ51" s="202"/>
      <c r="CK51" s="202"/>
      <c r="CL51" s="202"/>
      <c r="CM51" s="203"/>
    </row>
    <row r="52" spans="1:91" ht="25.5" customHeight="1" x14ac:dyDescent="0.2">
      <c r="A52" s="324">
        <v>243</v>
      </c>
      <c r="B52" s="72">
        <v>0</v>
      </c>
      <c r="C52" s="72" t="s">
        <v>135</v>
      </c>
      <c r="D52" s="79" t="s">
        <v>508</v>
      </c>
      <c r="E52" s="77" t="s">
        <v>509</v>
      </c>
      <c r="F52" s="76"/>
      <c r="G52" s="79" t="s">
        <v>113</v>
      </c>
      <c r="H52" s="134" t="s">
        <v>113</v>
      </c>
      <c r="I52" s="142"/>
      <c r="J52" s="76"/>
      <c r="K52" s="141"/>
      <c r="L52" s="367"/>
      <c r="M52" s="307"/>
      <c r="N52" s="307"/>
      <c r="O52" s="307"/>
      <c r="P52" s="369"/>
      <c r="Q52" s="274"/>
      <c r="R52" s="79"/>
      <c r="S52" s="307"/>
      <c r="T52" s="307"/>
      <c r="U52" s="370"/>
      <c r="V52" s="306"/>
      <c r="W52" s="307"/>
      <c r="X52" s="307"/>
      <c r="Y52" s="307"/>
      <c r="Z52" s="369"/>
      <c r="AA52" s="367"/>
      <c r="AB52" s="307"/>
      <c r="AC52" s="307"/>
      <c r="AD52" s="307"/>
      <c r="AE52" s="370"/>
      <c r="AF52" s="306"/>
      <c r="AG52" s="307"/>
      <c r="AH52" s="307"/>
      <c r="AI52" s="307"/>
      <c r="AJ52" s="178"/>
      <c r="AK52" s="274"/>
      <c r="AL52" s="307"/>
      <c r="AM52" s="307"/>
      <c r="AN52" s="307"/>
      <c r="AO52" s="370"/>
      <c r="AP52" s="306"/>
      <c r="AQ52" s="307"/>
      <c r="AR52" s="307"/>
      <c r="AS52" s="79"/>
      <c r="AT52" s="178"/>
      <c r="AU52" s="367"/>
      <c r="AV52" s="307"/>
      <c r="AW52" s="307"/>
      <c r="AX52" s="307"/>
      <c r="AY52" s="370"/>
      <c r="AZ52" s="306"/>
      <c r="BA52" s="307"/>
      <c r="BB52" s="307"/>
      <c r="BC52" s="307"/>
      <c r="BD52" s="369"/>
      <c r="BE52" s="274"/>
      <c r="BF52" s="79"/>
      <c r="BG52" s="307"/>
      <c r="BH52" s="307"/>
      <c r="BI52" s="370"/>
      <c r="BJ52" s="306"/>
      <c r="BK52" s="307"/>
      <c r="BL52" s="307"/>
      <c r="BM52" s="307"/>
      <c r="BN52" s="369"/>
      <c r="BO52" s="367"/>
      <c r="BP52" s="307"/>
      <c r="BQ52" s="79"/>
      <c r="BR52" s="79"/>
      <c r="BS52" s="370"/>
      <c r="BT52" s="261"/>
      <c r="BU52" s="79"/>
      <c r="BV52" s="307"/>
      <c r="BW52" s="307"/>
      <c r="BX52" s="369"/>
      <c r="BY52" s="367"/>
      <c r="BZ52" s="79"/>
      <c r="CA52" s="79"/>
      <c r="CB52" s="307"/>
      <c r="CC52" s="370"/>
      <c r="CD52" s="306"/>
      <c r="CE52" s="79"/>
      <c r="CF52" s="79"/>
      <c r="CG52" s="307"/>
      <c r="CH52" s="374" t="s">
        <v>40</v>
      </c>
      <c r="CI52" s="373" t="s">
        <v>40</v>
      </c>
      <c r="CJ52" s="202"/>
      <c r="CK52" s="202"/>
      <c r="CL52" s="202"/>
      <c r="CM52" s="203"/>
    </row>
    <row r="53" spans="1:91" ht="25.5" customHeight="1" x14ac:dyDescent="0.2">
      <c r="A53" s="324">
        <v>244</v>
      </c>
      <c r="B53" s="72">
        <v>0</v>
      </c>
      <c r="C53" s="72" t="s">
        <v>135</v>
      </c>
      <c r="D53" s="79" t="s">
        <v>510</v>
      </c>
      <c r="E53" s="77" t="s">
        <v>511</v>
      </c>
      <c r="F53" s="76"/>
      <c r="G53" s="79" t="s">
        <v>512</v>
      </c>
      <c r="H53" s="134" t="s">
        <v>876</v>
      </c>
      <c r="I53" s="142">
        <v>4</v>
      </c>
      <c r="J53" s="76" t="s">
        <v>64</v>
      </c>
      <c r="K53" s="141">
        <v>14</v>
      </c>
      <c r="L53" s="367"/>
      <c r="M53" s="307"/>
      <c r="N53" s="307"/>
      <c r="O53" s="368" t="s">
        <v>122</v>
      </c>
      <c r="P53" s="369"/>
      <c r="Q53" s="274"/>
      <c r="R53" s="79"/>
      <c r="S53" s="307"/>
      <c r="T53" s="307"/>
      <c r="U53" s="370"/>
      <c r="V53" s="306"/>
      <c r="W53" s="307"/>
      <c r="X53" s="307"/>
      <c r="Y53" s="307"/>
      <c r="Z53" s="369"/>
      <c r="AA53" s="367"/>
      <c r="AB53" s="307"/>
      <c r="AC53" s="307"/>
      <c r="AD53" s="307"/>
      <c r="AE53" s="370"/>
      <c r="AF53" s="306"/>
      <c r="AG53" s="307"/>
      <c r="AH53" s="307"/>
      <c r="AI53" s="307"/>
      <c r="AJ53" s="178"/>
      <c r="AK53" s="274"/>
      <c r="AL53" s="307"/>
      <c r="AM53" s="307"/>
      <c r="AN53" s="307"/>
      <c r="AO53" s="370"/>
      <c r="AP53" s="306"/>
      <c r="AQ53" s="307"/>
      <c r="AR53" s="307"/>
      <c r="AS53" s="79"/>
      <c r="AT53" s="178"/>
      <c r="AU53" s="367"/>
      <c r="AV53" s="307"/>
      <c r="AW53" s="307"/>
      <c r="AX53" s="371" t="s">
        <v>120</v>
      </c>
      <c r="AY53" s="370"/>
      <c r="AZ53" s="306"/>
      <c r="BA53" s="307"/>
      <c r="BB53" s="307"/>
      <c r="BC53" s="307"/>
      <c r="BD53" s="372" t="s">
        <v>121</v>
      </c>
      <c r="BE53" s="274"/>
      <c r="BF53" s="79"/>
      <c r="BG53" s="307"/>
      <c r="BH53" s="307"/>
      <c r="BI53" s="370"/>
      <c r="BJ53" s="306"/>
      <c r="BK53" s="307"/>
      <c r="BL53" s="307"/>
      <c r="BM53" s="307"/>
      <c r="BN53" s="369"/>
      <c r="BO53" s="367"/>
      <c r="BP53" s="307"/>
      <c r="BQ53" s="79"/>
      <c r="BR53" s="79"/>
      <c r="BS53" s="370"/>
      <c r="BT53" s="261"/>
      <c r="BU53" s="79"/>
      <c r="BV53" s="307"/>
      <c r="BW53" s="307"/>
      <c r="BX53" s="369"/>
      <c r="BY53" s="367"/>
      <c r="BZ53" s="79"/>
      <c r="CA53" s="79"/>
      <c r="CB53" s="307"/>
      <c r="CC53" s="370"/>
      <c r="CD53" s="306"/>
      <c r="CE53" s="79"/>
      <c r="CF53" s="79"/>
      <c r="CG53" s="307"/>
      <c r="CH53" s="374" t="s">
        <v>40</v>
      </c>
      <c r="CI53" s="373" t="s">
        <v>40</v>
      </c>
      <c r="CJ53" s="202"/>
      <c r="CK53" s="202"/>
      <c r="CL53" s="202"/>
      <c r="CM53" s="203"/>
    </row>
    <row r="54" spans="1:91" ht="25.5" customHeight="1" thickBot="1" x14ac:dyDescent="0.25">
      <c r="A54" s="325">
        <v>245</v>
      </c>
      <c r="B54" s="73">
        <v>0</v>
      </c>
      <c r="C54" s="73" t="s">
        <v>135</v>
      </c>
      <c r="D54" s="74" t="s">
        <v>513</v>
      </c>
      <c r="E54" s="126" t="s">
        <v>514</v>
      </c>
      <c r="F54" s="89"/>
      <c r="G54" s="74" t="s">
        <v>515</v>
      </c>
      <c r="H54" s="135" t="s">
        <v>515</v>
      </c>
      <c r="I54" s="269"/>
      <c r="J54" s="89"/>
      <c r="K54" s="270"/>
      <c r="L54" s="383"/>
      <c r="M54" s="379"/>
      <c r="N54" s="379"/>
      <c r="O54" s="379"/>
      <c r="P54" s="382"/>
      <c r="Q54" s="275"/>
      <c r="R54" s="74"/>
      <c r="S54" s="379"/>
      <c r="T54" s="379"/>
      <c r="U54" s="380"/>
      <c r="V54" s="381"/>
      <c r="W54" s="379"/>
      <c r="X54" s="379"/>
      <c r="Y54" s="379"/>
      <c r="Z54" s="382"/>
      <c r="AA54" s="383"/>
      <c r="AB54" s="379"/>
      <c r="AC54" s="379"/>
      <c r="AD54" s="379"/>
      <c r="AE54" s="380"/>
      <c r="AF54" s="381"/>
      <c r="AG54" s="379"/>
      <c r="AH54" s="379"/>
      <c r="AI54" s="379"/>
      <c r="AJ54" s="276"/>
      <c r="AK54" s="275"/>
      <c r="AL54" s="379"/>
      <c r="AM54" s="379"/>
      <c r="AN54" s="379"/>
      <c r="AO54" s="380"/>
      <c r="AP54" s="381"/>
      <c r="AQ54" s="379"/>
      <c r="AR54" s="379"/>
      <c r="AS54" s="74"/>
      <c r="AT54" s="276"/>
      <c r="AU54" s="383"/>
      <c r="AV54" s="379"/>
      <c r="AW54" s="379"/>
      <c r="AX54" s="379"/>
      <c r="AY54" s="380"/>
      <c r="AZ54" s="381"/>
      <c r="BA54" s="379"/>
      <c r="BB54" s="379"/>
      <c r="BC54" s="379"/>
      <c r="BD54" s="382"/>
      <c r="BE54" s="275"/>
      <c r="BF54" s="74"/>
      <c r="BG54" s="379"/>
      <c r="BH54" s="379"/>
      <c r="BI54" s="380"/>
      <c r="BJ54" s="381"/>
      <c r="BK54" s="379"/>
      <c r="BL54" s="379"/>
      <c r="BM54" s="379"/>
      <c r="BN54" s="382"/>
      <c r="BO54" s="383"/>
      <c r="BP54" s="379"/>
      <c r="BQ54" s="74"/>
      <c r="BR54" s="74"/>
      <c r="BS54" s="380"/>
      <c r="BT54" s="277"/>
      <c r="BU54" s="74"/>
      <c r="BV54" s="379"/>
      <c r="BW54" s="379"/>
      <c r="BX54" s="382"/>
      <c r="BY54" s="383"/>
      <c r="BZ54" s="74"/>
      <c r="CA54" s="74"/>
      <c r="CB54" s="379"/>
      <c r="CC54" s="380"/>
      <c r="CD54" s="381"/>
      <c r="CE54" s="74"/>
      <c r="CF54" s="74"/>
      <c r="CG54" s="379"/>
      <c r="CH54" s="386" t="s">
        <v>40</v>
      </c>
      <c r="CI54" s="384" t="s">
        <v>40</v>
      </c>
      <c r="CJ54" s="206"/>
      <c r="CK54" s="206"/>
      <c r="CL54" s="206"/>
      <c r="CM54" s="207"/>
    </row>
    <row r="55" spans="1:91" ht="25.5" customHeight="1" x14ac:dyDescent="0.2">
      <c r="A55" s="318">
        <v>246</v>
      </c>
      <c r="B55" s="75">
        <v>0</v>
      </c>
      <c r="C55" s="75" t="s">
        <v>135</v>
      </c>
      <c r="D55" s="92" t="s">
        <v>1020</v>
      </c>
      <c r="E55" s="93" t="s">
        <v>1021</v>
      </c>
      <c r="F55" s="130"/>
      <c r="G55" s="92" t="s">
        <v>1022</v>
      </c>
      <c r="H55" s="113" t="s">
        <v>1022</v>
      </c>
      <c r="I55" s="259"/>
      <c r="J55" s="130"/>
      <c r="K55" s="260"/>
      <c r="L55" s="308"/>
      <c r="M55" s="304"/>
      <c r="N55" s="304"/>
      <c r="O55" s="304"/>
      <c r="P55" s="359"/>
      <c r="Q55" s="272"/>
      <c r="R55" s="92"/>
      <c r="S55" s="304"/>
      <c r="T55" s="304"/>
      <c r="U55" s="361"/>
      <c r="V55" s="362"/>
      <c r="W55" s="304"/>
      <c r="X55" s="304"/>
      <c r="Y55" s="304"/>
      <c r="Z55" s="359"/>
      <c r="AA55" s="308"/>
      <c r="AB55" s="304"/>
      <c r="AC55" s="304"/>
      <c r="AD55" s="304"/>
      <c r="AE55" s="361"/>
      <c r="AF55" s="362"/>
      <c r="AG55" s="304"/>
      <c r="AH55" s="304"/>
      <c r="AI55" s="304"/>
      <c r="AJ55" s="273"/>
      <c r="AK55" s="272"/>
      <c r="AL55" s="304"/>
      <c r="AM55" s="304"/>
      <c r="AN55" s="304"/>
      <c r="AO55" s="361"/>
      <c r="AP55" s="362"/>
      <c r="AQ55" s="304"/>
      <c r="AR55" s="304"/>
      <c r="AS55" s="92"/>
      <c r="AT55" s="273"/>
      <c r="AU55" s="308"/>
      <c r="AV55" s="304"/>
      <c r="AW55" s="304"/>
      <c r="AX55" s="304"/>
      <c r="AY55" s="361"/>
      <c r="AZ55" s="362"/>
      <c r="BA55" s="304"/>
      <c r="BB55" s="304"/>
      <c r="BC55" s="304"/>
      <c r="BD55" s="359"/>
      <c r="BE55" s="272"/>
      <c r="BF55" s="92"/>
      <c r="BG55" s="304"/>
      <c r="BH55" s="304"/>
      <c r="BI55" s="361"/>
      <c r="BJ55" s="362"/>
      <c r="BK55" s="304"/>
      <c r="BL55" s="304"/>
      <c r="BM55" s="304"/>
      <c r="BN55" s="359"/>
      <c r="BO55" s="308"/>
      <c r="BP55" s="304"/>
      <c r="BQ55" s="92"/>
      <c r="BR55" s="92"/>
      <c r="BS55" s="361"/>
      <c r="BT55" s="258"/>
      <c r="BU55" s="92"/>
      <c r="BV55" s="304"/>
      <c r="BW55" s="304"/>
      <c r="BX55" s="359"/>
      <c r="BY55" s="308"/>
      <c r="BZ55" s="92"/>
      <c r="CA55" s="92"/>
      <c r="CB55" s="304"/>
      <c r="CC55" s="361"/>
      <c r="CD55" s="362"/>
      <c r="CE55" s="92"/>
      <c r="CF55" s="92"/>
      <c r="CG55" s="304"/>
      <c r="CH55" s="361"/>
      <c r="CI55" s="362"/>
      <c r="CJ55" s="210"/>
      <c r="CK55" s="210"/>
      <c r="CL55" s="210"/>
      <c r="CM55" s="211"/>
    </row>
    <row r="56" spans="1:91" ht="25.5" customHeight="1" x14ac:dyDescent="0.2">
      <c r="A56" s="324">
        <v>247</v>
      </c>
      <c r="B56" s="72">
        <v>0</v>
      </c>
      <c r="C56" s="72" t="s">
        <v>135</v>
      </c>
      <c r="D56" s="79" t="s">
        <v>310</v>
      </c>
      <c r="E56" s="77" t="s">
        <v>516</v>
      </c>
      <c r="F56" s="76"/>
      <c r="G56" s="79" t="s">
        <v>780</v>
      </c>
      <c r="H56" s="134" t="s">
        <v>517</v>
      </c>
      <c r="I56" s="142"/>
      <c r="J56" s="76"/>
      <c r="K56" s="141"/>
      <c r="L56" s="367"/>
      <c r="M56" s="307"/>
      <c r="N56" s="307"/>
      <c r="O56" s="307"/>
      <c r="P56" s="369"/>
      <c r="Q56" s="274"/>
      <c r="R56" s="79"/>
      <c r="S56" s="307"/>
      <c r="T56" s="307"/>
      <c r="U56" s="370"/>
      <c r="V56" s="306"/>
      <c r="W56" s="307"/>
      <c r="X56" s="307"/>
      <c r="Y56" s="307"/>
      <c r="Z56" s="369"/>
      <c r="AA56" s="367"/>
      <c r="AB56" s="307"/>
      <c r="AC56" s="307"/>
      <c r="AD56" s="307"/>
      <c r="AE56" s="374" t="s">
        <v>120</v>
      </c>
      <c r="AF56" s="306"/>
      <c r="AG56" s="307"/>
      <c r="AH56" s="307"/>
      <c r="AI56" s="307"/>
      <c r="AJ56" s="178"/>
      <c r="AK56" s="274"/>
      <c r="AL56" s="307"/>
      <c r="AM56" s="307"/>
      <c r="AN56" s="307"/>
      <c r="AO56" s="370"/>
      <c r="AP56" s="306"/>
      <c r="AQ56" s="307"/>
      <c r="AR56" s="307"/>
      <c r="AS56" s="79"/>
      <c r="AT56" s="178"/>
      <c r="AU56" s="367"/>
      <c r="AV56" s="307"/>
      <c r="AW56" s="307"/>
      <c r="AX56" s="307"/>
      <c r="AY56" s="370"/>
      <c r="AZ56" s="306"/>
      <c r="BA56" s="307"/>
      <c r="BB56" s="307"/>
      <c r="BC56" s="307"/>
      <c r="BD56" s="369"/>
      <c r="BE56" s="274"/>
      <c r="BF56" s="79"/>
      <c r="BG56" s="307"/>
      <c r="BH56" s="307"/>
      <c r="BI56" s="370"/>
      <c r="BJ56" s="306"/>
      <c r="BK56" s="307"/>
      <c r="BL56" s="307"/>
      <c r="BM56" s="307"/>
      <c r="BN56" s="369"/>
      <c r="BO56" s="367"/>
      <c r="BP56" s="307"/>
      <c r="BQ56" s="79"/>
      <c r="BR56" s="79"/>
      <c r="BS56" s="370"/>
      <c r="BT56" s="261"/>
      <c r="BU56" s="79"/>
      <c r="BV56" s="307"/>
      <c r="BW56" s="307"/>
      <c r="BX56" s="369"/>
      <c r="BY56" s="367"/>
      <c r="BZ56" s="79"/>
      <c r="CA56" s="79"/>
      <c r="CB56" s="307"/>
      <c r="CC56" s="370"/>
      <c r="CD56" s="306"/>
      <c r="CE56" s="79"/>
      <c r="CF56" s="79"/>
      <c r="CG56" s="307"/>
      <c r="CH56" s="370"/>
      <c r="CI56" s="306"/>
      <c r="CJ56" s="202"/>
      <c r="CK56" s="202"/>
      <c r="CL56" s="202"/>
      <c r="CM56" s="203"/>
    </row>
    <row r="57" spans="1:91" ht="25.5" customHeight="1" x14ac:dyDescent="0.2">
      <c r="A57" s="324">
        <v>248</v>
      </c>
      <c r="B57" s="72">
        <v>0</v>
      </c>
      <c r="C57" s="72" t="s">
        <v>135</v>
      </c>
      <c r="D57" s="79" t="s">
        <v>518</v>
      </c>
      <c r="E57" s="77" t="s">
        <v>519</v>
      </c>
      <c r="F57" s="76"/>
      <c r="G57" s="79" t="s">
        <v>608</v>
      </c>
      <c r="H57" s="134" t="s">
        <v>608</v>
      </c>
      <c r="I57" s="142"/>
      <c r="J57" s="76"/>
      <c r="K57" s="141"/>
      <c r="L57" s="367"/>
      <c r="M57" s="307"/>
      <c r="N57" s="307"/>
      <c r="O57" s="307"/>
      <c r="P57" s="369"/>
      <c r="Q57" s="274"/>
      <c r="R57" s="79"/>
      <c r="S57" s="307"/>
      <c r="T57" s="307"/>
      <c r="U57" s="370"/>
      <c r="V57" s="306"/>
      <c r="W57" s="307"/>
      <c r="X57" s="307"/>
      <c r="Y57" s="307"/>
      <c r="Z57" s="369"/>
      <c r="AA57" s="367"/>
      <c r="AB57" s="307"/>
      <c r="AC57" s="307"/>
      <c r="AD57" s="307"/>
      <c r="AE57" s="370"/>
      <c r="AF57" s="306"/>
      <c r="AG57" s="307"/>
      <c r="AH57" s="307"/>
      <c r="AI57" s="307"/>
      <c r="AJ57" s="178"/>
      <c r="AK57" s="274"/>
      <c r="AL57" s="307"/>
      <c r="AM57" s="307"/>
      <c r="AN57" s="307"/>
      <c r="AO57" s="370"/>
      <c r="AP57" s="306"/>
      <c r="AQ57" s="307"/>
      <c r="AR57" s="307"/>
      <c r="AS57" s="79"/>
      <c r="AT57" s="178"/>
      <c r="AU57" s="367"/>
      <c r="AV57" s="307"/>
      <c r="AW57" s="307"/>
      <c r="AX57" s="307"/>
      <c r="AY57" s="370"/>
      <c r="AZ57" s="306"/>
      <c r="BA57" s="307"/>
      <c r="BB57" s="307"/>
      <c r="BC57" s="307"/>
      <c r="BD57" s="369"/>
      <c r="BE57" s="274"/>
      <c r="BF57" s="79"/>
      <c r="BG57" s="307"/>
      <c r="BH57" s="307"/>
      <c r="BI57" s="370"/>
      <c r="BJ57" s="306"/>
      <c r="BK57" s="307"/>
      <c r="BL57" s="307"/>
      <c r="BM57" s="307"/>
      <c r="BN57" s="369"/>
      <c r="BO57" s="367"/>
      <c r="BP57" s="307"/>
      <c r="BQ57" s="79"/>
      <c r="BR57" s="79"/>
      <c r="BS57" s="370"/>
      <c r="BT57" s="261"/>
      <c r="BU57" s="79"/>
      <c r="BV57" s="307"/>
      <c r="BW57" s="307"/>
      <c r="BX57" s="369"/>
      <c r="BY57" s="367"/>
      <c r="BZ57" s="79"/>
      <c r="CA57" s="79"/>
      <c r="CB57" s="307"/>
      <c r="CC57" s="370"/>
      <c r="CD57" s="306"/>
      <c r="CE57" s="79"/>
      <c r="CF57" s="79"/>
      <c r="CG57" s="307"/>
      <c r="CH57" s="374" t="s">
        <v>40</v>
      </c>
      <c r="CI57" s="373" t="s">
        <v>40</v>
      </c>
      <c r="CJ57" s="202"/>
      <c r="CK57" s="202"/>
      <c r="CL57" s="202"/>
      <c r="CM57" s="203"/>
    </row>
    <row r="58" spans="1:91" ht="25.5" customHeight="1" x14ac:dyDescent="0.2">
      <c r="A58" s="324">
        <v>249</v>
      </c>
      <c r="B58" s="72">
        <v>0</v>
      </c>
      <c r="C58" s="72" t="s">
        <v>135</v>
      </c>
      <c r="D58" s="79" t="s">
        <v>311</v>
      </c>
      <c r="E58" s="77" t="s">
        <v>520</v>
      </c>
      <c r="F58" s="76"/>
      <c r="G58" s="79" t="s">
        <v>312</v>
      </c>
      <c r="H58" s="134" t="s">
        <v>877</v>
      </c>
      <c r="I58" s="142">
        <v>4</v>
      </c>
      <c r="J58" s="76"/>
      <c r="K58" s="141"/>
      <c r="L58" s="367"/>
      <c r="M58" s="307"/>
      <c r="N58" s="307"/>
      <c r="O58" s="368" t="s">
        <v>122</v>
      </c>
      <c r="P58" s="369"/>
      <c r="Q58" s="274"/>
      <c r="R58" s="79"/>
      <c r="S58" s="307"/>
      <c r="T58" s="307"/>
      <c r="U58" s="370"/>
      <c r="V58" s="306"/>
      <c r="W58" s="307"/>
      <c r="X58" s="307"/>
      <c r="Y58" s="307"/>
      <c r="Z58" s="369"/>
      <c r="AA58" s="367"/>
      <c r="AB58" s="307"/>
      <c r="AC58" s="307"/>
      <c r="AD58" s="307"/>
      <c r="AE58" s="370"/>
      <c r="AF58" s="306"/>
      <c r="AG58" s="307"/>
      <c r="AH58" s="307"/>
      <c r="AI58" s="307"/>
      <c r="AJ58" s="178"/>
      <c r="AK58" s="274"/>
      <c r="AL58" s="307"/>
      <c r="AM58" s="307"/>
      <c r="AN58" s="307"/>
      <c r="AO58" s="370"/>
      <c r="AP58" s="306"/>
      <c r="AQ58" s="307"/>
      <c r="AR58" s="307"/>
      <c r="AS58" s="79"/>
      <c r="AT58" s="178"/>
      <c r="AU58" s="367"/>
      <c r="AV58" s="307"/>
      <c r="AW58" s="307"/>
      <c r="AX58" s="371" t="s">
        <v>120</v>
      </c>
      <c r="AY58" s="370"/>
      <c r="AZ58" s="306"/>
      <c r="BA58" s="307"/>
      <c r="BB58" s="307"/>
      <c r="BC58" s="307"/>
      <c r="BD58" s="372" t="s">
        <v>121</v>
      </c>
      <c r="BE58" s="274"/>
      <c r="BF58" s="79"/>
      <c r="BG58" s="307"/>
      <c r="BH58" s="307"/>
      <c r="BI58" s="370"/>
      <c r="BJ58" s="306"/>
      <c r="BK58" s="307"/>
      <c r="BL58" s="307"/>
      <c r="BM58" s="307"/>
      <c r="BN58" s="369"/>
      <c r="BO58" s="367"/>
      <c r="BP58" s="307"/>
      <c r="BQ58" s="79"/>
      <c r="BR58" s="79"/>
      <c r="BS58" s="370"/>
      <c r="BT58" s="261"/>
      <c r="BU58" s="79"/>
      <c r="BV58" s="307"/>
      <c r="BW58" s="307"/>
      <c r="BX58" s="369"/>
      <c r="BY58" s="367"/>
      <c r="BZ58" s="79"/>
      <c r="CA58" s="79"/>
      <c r="CB58" s="307"/>
      <c r="CC58" s="370"/>
      <c r="CD58" s="306"/>
      <c r="CE58" s="79"/>
      <c r="CF58" s="79"/>
      <c r="CG58" s="307"/>
      <c r="CH58" s="470" t="s">
        <v>40</v>
      </c>
      <c r="CI58" s="471" t="s">
        <v>40</v>
      </c>
      <c r="CJ58" s="202"/>
      <c r="CK58" s="202"/>
      <c r="CL58" s="202"/>
      <c r="CM58" s="203"/>
    </row>
    <row r="59" spans="1:91" ht="25.5" customHeight="1" thickBot="1" x14ac:dyDescent="0.25">
      <c r="A59" s="325">
        <v>250</v>
      </c>
      <c r="B59" s="73">
        <v>0</v>
      </c>
      <c r="C59" s="73" t="s">
        <v>135</v>
      </c>
      <c r="D59" s="74" t="s">
        <v>521</v>
      </c>
      <c r="E59" s="126" t="s">
        <v>522</v>
      </c>
      <c r="F59" s="89"/>
      <c r="G59" s="74" t="s">
        <v>523</v>
      </c>
      <c r="H59" s="135" t="s">
        <v>878</v>
      </c>
      <c r="I59" s="269">
        <v>4</v>
      </c>
      <c r="J59" s="89"/>
      <c r="K59" s="270"/>
      <c r="L59" s="383"/>
      <c r="M59" s="379"/>
      <c r="N59" s="379"/>
      <c r="O59" s="454" t="s">
        <v>122</v>
      </c>
      <c r="P59" s="382"/>
      <c r="Q59" s="275"/>
      <c r="R59" s="74"/>
      <c r="S59" s="379"/>
      <c r="T59" s="379"/>
      <c r="U59" s="380"/>
      <c r="V59" s="381"/>
      <c r="W59" s="379"/>
      <c r="X59" s="379"/>
      <c r="Y59" s="379"/>
      <c r="Z59" s="382"/>
      <c r="AA59" s="383"/>
      <c r="AB59" s="379"/>
      <c r="AC59" s="379"/>
      <c r="AD59" s="379"/>
      <c r="AE59" s="380"/>
      <c r="AF59" s="381"/>
      <c r="AG59" s="379"/>
      <c r="AH59" s="379"/>
      <c r="AI59" s="379"/>
      <c r="AJ59" s="276"/>
      <c r="AK59" s="275"/>
      <c r="AL59" s="379"/>
      <c r="AM59" s="379"/>
      <c r="AN59" s="379"/>
      <c r="AO59" s="380"/>
      <c r="AP59" s="381"/>
      <c r="AQ59" s="379"/>
      <c r="AR59" s="379"/>
      <c r="AS59" s="74"/>
      <c r="AT59" s="276"/>
      <c r="AU59" s="383"/>
      <c r="AV59" s="379"/>
      <c r="AW59" s="379"/>
      <c r="AX59" s="385" t="s">
        <v>120</v>
      </c>
      <c r="AY59" s="380"/>
      <c r="AZ59" s="381"/>
      <c r="BA59" s="379"/>
      <c r="BB59" s="379"/>
      <c r="BC59" s="379"/>
      <c r="BD59" s="378" t="s">
        <v>121</v>
      </c>
      <c r="BE59" s="275"/>
      <c r="BF59" s="74"/>
      <c r="BG59" s="379"/>
      <c r="BH59" s="379"/>
      <c r="BI59" s="380"/>
      <c r="BJ59" s="381"/>
      <c r="BK59" s="379"/>
      <c r="BL59" s="379"/>
      <c r="BM59" s="379"/>
      <c r="BN59" s="382"/>
      <c r="BO59" s="383"/>
      <c r="BP59" s="379"/>
      <c r="BQ59" s="74"/>
      <c r="BR59" s="74"/>
      <c r="BS59" s="380"/>
      <c r="BT59" s="277"/>
      <c r="BU59" s="74"/>
      <c r="BV59" s="379"/>
      <c r="BW59" s="379"/>
      <c r="BX59" s="382"/>
      <c r="BY59" s="383"/>
      <c r="BZ59" s="74"/>
      <c r="CA59" s="74"/>
      <c r="CB59" s="379"/>
      <c r="CC59" s="380"/>
      <c r="CD59" s="381"/>
      <c r="CE59" s="74"/>
      <c r="CF59" s="74"/>
      <c r="CG59" s="379"/>
      <c r="CH59" s="386" t="s">
        <v>40</v>
      </c>
      <c r="CI59" s="384" t="s">
        <v>40</v>
      </c>
      <c r="CJ59" s="206"/>
      <c r="CK59" s="206"/>
      <c r="CL59" s="206"/>
      <c r="CM59" s="207"/>
    </row>
    <row r="60" spans="1:91" ht="15" customHeight="1" thickBot="1" x14ac:dyDescent="0.25">
      <c r="A60" s="430"/>
      <c r="B60" s="222"/>
      <c r="C60" s="315"/>
      <c r="D60" s="221"/>
      <c r="F60" s="431"/>
      <c r="G60" s="431"/>
      <c r="H60" s="431"/>
      <c r="I60" s="431"/>
      <c r="J60" s="431"/>
      <c r="K60" s="431"/>
      <c r="L60" s="431"/>
      <c r="M60" s="431"/>
      <c r="N60" s="431"/>
      <c r="O60" s="431"/>
      <c r="P60" s="220"/>
      <c r="Q60" s="220"/>
      <c r="R60" s="220"/>
      <c r="S60" s="220"/>
      <c r="T60" s="220"/>
      <c r="U60" s="220"/>
      <c r="V60" s="220"/>
      <c r="W60" s="220"/>
      <c r="X60" s="220"/>
      <c r="Y60" s="220"/>
      <c r="Z60" s="220"/>
      <c r="AA60" s="220"/>
      <c r="AB60" s="220"/>
      <c r="AC60" s="220"/>
      <c r="AD60" s="220"/>
      <c r="AE60" s="220"/>
      <c r="AF60" s="220"/>
      <c r="AG60" s="220"/>
      <c r="AH60" s="220"/>
      <c r="AI60" s="220"/>
      <c r="AJ60" s="220"/>
      <c r="AK60" s="220"/>
      <c r="AL60" s="220"/>
      <c r="AM60" s="220"/>
      <c r="AN60" s="220"/>
      <c r="AO60" s="220"/>
      <c r="AP60" s="220"/>
      <c r="AQ60" s="220"/>
      <c r="AR60" s="220"/>
      <c r="AS60" s="220"/>
      <c r="AT60" s="220"/>
      <c r="AU60" s="220"/>
      <c r="AV60" s="220"/>
      <c r="AW60" s="220"/>
      <c r="AX60" s="220"/>
      <c r="AY60" s="220"/>
      <c r="AZ60" s="220"/>
      <c r="BA60" s="220"/>
      <c r="BB60" s="220"/>
      <c r="BC60" s="220"/>
      <c r="BD60" s="220"/>
      <c r="BE60" s="220"/>
      <c r="BF60" s="220"/>
      <c r="BG60" s="220"/>
      <c r="BH60" s="220"/>
      <c r="BI60" s="220"/>
      <c r="BJ60" s="220"/>
      <c r="BK60" s="220"/>
      <c r="BL60" s="220"/>
      <c r="BM60" s="220"/>
      <c r="BN60" s="220"/>
      <c r="BO60" s="220"/>
      <c r="BP60" s="220"/>
      <c r="BQ60" s="220"/>
      <c r="BR60" s="220"/>
      <c r="BS60" s="220"/>
      <c r="BT60" s="220"/>
      <c r="BU60" s="220"/>
      <c r="BV60" s="220"/>
      <c r="BW60" s="220"/>
      <c r="BX60" s="220"/>
      <c r="BY60" s="220"/>
      <c r="BZ60" s="220"/>
      <c r="CA60" s="220"/>
      <c r="CB60" s="220"/>
      <c r="CC60" s="220"/>
      <c r="CD60" s="220"/>
      <c r="CE60" s="220"/>
      <c r="CF60" s="220"/>
      <c r="CG60" s="231"/>
      <c r="CH60" s="231"/>
      <c r="CI60" s="231"/>
      <c r="CJ60" s="231"/>
      <c r="CK60" s="231"/>
      <c r="CL60" s="231"/>
      <c r="CM60" s="432"/>
    </row>
    <row r="61" spans="1:91" ht="25.5" customHeight="1" thickBot="1" x14ac:dyDescent="0.25">
      <c r="A61" s="682" t="s">
        <v>19</v>
      </c>
      <c r="B61" s="683"/>
      <c r="C61" s="684"/>
      <c r="D61" s="433"/>
      <c r="E61" s="685" t="s">
        <v>16</v>
      </c>
      <c r="F61" s="683"/>
      <c r="G61" s="684"/>
      <c r="H61" s="434" t="s">
        <v>7</v>
      </c>
      <c r="I61" s="435" t="s">
        <v>6</v>
      </c>
      <c r="J61" s="435" t="s">
        <v>1088</v>
      </c>
      <c r="K61" s="435" t="s">
        <v>15</v>
      </c>
      <c r="L61" s="672"/>
      <c r="M61" s="686"/>
      <c r="N61" s="686"/>
      <c r="O61" s="686"/>
      <c r="P61" s="686"/>
      <c r="Q61" s="686"/>
      <c r="R61" s="686"/>
      <c r="S61" s="686"/>
      <c r="T61" s="686"/>
      <c r="U61" s="686"/>
      <c r="V61" s="686"/>
      <c r="W61" s="686"/>
      <c r="X61" s="686"/>
      <c r="Y61" s="686"/>
      <c r="Z61" s="686"/>
      <c r="AA61" s="686"/>
      <c r="AB61" s="686"/>
      <c r="AC61" s="686"/>
      <c r="AD61" s="686"/>
      <c r="AE61" s="686"/>
      <c r="AF61" s="686"/>
      <c r="AG61" s="686"/>
      <c r="AH61" s="686"/>
      <c r="AI61" s="686"/>
      <c r="AJ61" s="686"/>
      <c r="AK61" s="686"/>
      <c r="AL61" s="686"/>
      <c r="AM61" s="686"/>
      <c r="AN61" s="686"/>
      <c r="AO61" s="686"/>
      <c r="AP61" s="686"/>
      <c r="AQ61" s="686"/>
      <c r="AR61" s="686"/>
      <c r="AS61" s="686"/>
      <c r="AT61" s="686"/>
      <c r="AU61" s="686"/>
      <c r="AV61" s="686"/>
      <c r="AW61" s="686"/>
      <c r="AX61" s="686"/>
      <c r="AY61" s="686"/>
      <c r="AZ61" s="686"/>
      <c r="BA61" s="686"/>
      <c r="BB61" s="686"/>
      <c r="BC61" s="686"/>
      <c r="BD61" s="686"/>
      <c r="BE61" s="687"/>
      <c r="BF61" s="676"/>
      <c r="BG61" s="676"/>
      <c r="BH61" s="676"/>
      <c r="BI61" s="676"/>
      <c r="BJ61" s="676"/>
      <c r="BK61" s="676"/>
      <c r="BL61" s="676"/>
      <c r="BM61" s="676"/>
      <c r="BN61" s="676"/>
      <c r="BO61" s="676"/>
      <c r="BP61" s="676"/>
      <c r="BQ61" s="676"/>
      <c r="BR61" s="676"/>
      <c r="BS61" s="676"/>
      <c r="BT61" s="676"/>
      <c r="BU61" s="677"/>
      <c r="BV61" s="672"/>
      <c r="BW61" s="668"/>
      <c r="BX61" s="668"/>
      <c r="BY61" s="668"/>
      <c r="BZ61" s="668"/>
      <c r="CA61" s="668"/>
      <c r="CB61" s="668"/>
      <c r="CC61" s="668"/>
      <c r="CD61" s="668"/>
      <c r="CE61" s="668"/>
      <c r="CF61" s="668"/>
      <c r="CG61" s="668"/>
      <c r="CH61" s="668"/>
      <c r="CI61" s="668"/>
      <c r="CJ61" s="668"/>
      <c r="CK61" s="668"/>
      <c r="CL61" s="668"/>
      <c r="CM61" s="669"/>
    </row>
    <row r="62" spans="1:91" ht="25.5" customHeight="1" x14ac:dyDescent="0.2">
      <c r="A62" s="674">
        <f>IF('Title Page'!K22&lt;&gt;"",'Title Page'!K22,"")</f>
        <v>0</v>
      </c>
      <c r="B62" s="675"/>
      <c r="C62" s="675"/>
      <c r="D62" s="130"/>
      <c r="E62" s="656" t="str">
        <f>IF('Title Page'!L22&lt;&gt;"",'Title Page'!L22,"")</f>
        <v>Issued For Construction, Concise Job # PEM029-001</v>
      </c>
      <c r="F62" s="656"/>
      <c r="G62" s="656"/>
      <c r="H62" s="436">
        <f>IF('Title Page'!R22&lt;&gt;"",'Title Page'!R22,"")</f>
        <v>41520</v>
      </c>
      <c r="I62" s="436" t="str">
        <f>IF('Title Page'!S22&lt;&gt;"",'Title Page'!S22,"")</f>
        <v>MHS</v>
      </c>
      <c r="J62" s="436" t="str">
        <f>IF('Title Page'!T22&lt;&gt;"",'Title Page'!T22,"")</f>
        <v>TJG</v>
      </c>
      <c r="K62" s="437" t="str">
        <f>IF('Title Page'!V22&lt;&gt;"",'Title Page'!V22,"")</f>
        <v/>
      </c>
      <c r="L62" s="688"/>
      <c r="M62" s="689"/>
      <c r="N62" s="689"/>
      <c r="O62" s="689"/>
      <c r="P62" s="689"/>
      <c r="Q62" s="689"/>
      <c r="R62" s="689"/>
      <c r="S62" s="689"/>
      <c r="T62" s="689"/>
      <c r="U62" s="689"/>
      <c r="V62" s="689"/>
      <c r="W62" s="689"/>
      <c r="X62" s="689"/>
      <c r="Y62" s="689"/>
      <c r="Z62" s="689"/>
      <c r="AA62" s="689"/>
      <c r="AB62" s="689"/>
      <c r="AC62" s="689"/>
      <c r="AD62" s="689"/>
      <c r="AE62" s="689"/>
      <c r="AF62" s="689"/>
      <c r="AG62" s="689"/>
      <c r="AH62" s="689"/>
      <c r="AI62" s="689"/>
      <c r="AJ62" s="689"/>
      <c r="AK62" s="689"/>
      <c r="AL62" s="689"/>
      <c r="AM62" s="689"/>
      <c r="AN62" s="689"/>
      <c r="AO62" s="689"/>
      <c r="AP62" s="689"/>
      <c r="AQ62" s="689"/>
      <c r="AR62" s="689"/>
      <c r="AS62" s="689"/>
      <c r="AT62" s="689"/>
      <c r="AU62" s="689"/>
      <c r="AV62" s="689"/>
      <c r="AW62" s="689"/>
      <c r="AX62" s="689"/>
      <c r="AY62" s="689"/>
      <c r="AZ62" s="689"/>
      <c r="BA62" s="689"/>
      <c r="BB62" s="689"/>
      <c r="BC62" s="689"/>
      <c r="BD62" s="689"/>
      <c r="BE62" s="690"/>
      <c r="BF62" s="678"/>
      <c r="BG62" s="678"/>
      <c r="BH62" s="678"/>
      <c r="BI62" s="678"/>
      <c r="BJ62" s="678"/>
      <c r="BK62" s="678"/>
      <c r="BL62" s="678"/>
      <c r="BM62" s="678"/>
      <c r="BN62" s="678"/>
      <c r="BO62" s="678"/>
      <c r="BP62" s="678"/>
      <c r="BQ62" s="678"/>
      <c r="BR62" s="678"/>
      <c r="BS62" s="678"/>
      <c r="BT62" s="678"/>
      <c r="BU62" s="679"/>
      <c r="BV62" s="673"/>
      <c r="BW62" s="670"/>
      <c r="BX62" s="670"/>
      <c r="BY62" s="670"/>
      <c r="BZ62" s="670"/>
      <c r="CA62" s="670"/>
      <c r="CB62" s="670"/>
      <c r="CC62" s="670"/>
      <c r="CD62" s="670"/>
      <c r="CE62" s="670"/>
      <c r="CF62" s="670"/>
      <c r="CG62" s="670"/>
      <c r="CH62" s="670"/>
      <c r="CI62" s="670"/>
      <c r="CJ62" s="670"/>
      <c r="CK62" s="670"/>
      <c r="CL62" s="670"/>
      <c r="CM62" s="671"/>
    </row>
    <row r="63" spans="1:91" ht="25.5" customHeight="1" thickBot="1" x14ac:dyDescent="0.25">
      <c r="A63" s="654" t="str">
        <f>IF('Title Page'!K23&lt;&gt;"",'Title Page'!K23,"")</f>
        <v/>
      </c>
      <c r="B63" s="655"/>
      <c r="C63" s="655"/>
      <c r="D63" s="130"/>
      <c r="E63" s="656" t="str">
        <f>IF('Title Page'!L23&lt;&gt;"",'Title Page'!L23,"")</f>
        <v/>
      </c>
      <c r="F63" s="656"/>
      <c r="G63" s="656"/>
      <c r="H63" s="436" t="str">
        <f>IF('Title Page'!R23&lt;&gt;"",'Title Page'!R23,"")</f>
        <v/>
      </c>
      <c r="I63" s="436" t="str">
        <f>IF('Title Page'!S23&lt;&gt;"",'Title Page'!S23,"")</f>
        <v/>
      </c>
      <c r="J63" s="436" t="str">
        <f>IF('Title Page'!T23&lt;&gt;"",'Title Page'!T23,"")</f>
        <v/>
      </c>
      <c r="K63" s="437" t="str">
        <f>IF('Title Page'!V23&lt;&gt;"",'Title Page'!V23,"")</f>
        <v/>
      </c>
      <c r="L63" s="688"/>
      <c r="M63" s="689"/>
      <c r="N63" s="689"/>
      <c r="O63" s="689"/>
      <c r="P63" s="689"/>
      <c r="Q63" s="689"/>
      <c r="R63" s="689"/>
      <c r="S63" s="689"/>
      <c r="T63" s="689"/>
      <c r="U63" s="689"/>
      <c r="V63" s="689"/>
      <c r="W63" s="689"/>
      <c r="X63" s="689"/>
      <c r="Y63" s="689"/>
      <c r="Z63" s="689"/>
      <c r="AA63" s="689"/>
      <c r="AB63" s="689"/>
      <c r="AC63" s="689"/>
      <c r="AD63" s="689"/>
      <c r="AE63" s="689"/>
      <c r="AF63" s="689"/>
      <c r="AG63" s="689"/>
      <c r="AH63" s="689"/>
      <c r="AI63" s="689"/>
      <c r="AJ63" s="689"/>
      <c r="AK63" s="689"/>
      <c r="AL63" s="689"/>
      <c r="AM63" s="689"/>
      <c r="AN63" s="689"/>
      <c r="AO63" s="689"/>
      <c r="AP63" s="689"/>
      <c r="AQ63" s="689"/>
      <c r="AR63" s="689"/>
      <c r="AS63" s="689"/>
      <c r="AT63" s="689"/>
      <c r="AU63" s="689"/>
      <c r="AV63" s="689"/>
      <c r="AW63" s="689"/>
      <c r="AX63" s="689"/>
      <c r="AY63" s="689"/>
      <c r="AZ63" s="689"/>
      <c r="BA63" s="689"/>
      <c r="BB63" s="689"/>
      <c r="BC63" s="689"/>
      <c r="BD63" s="689"/>
      <c r="BE63" s="690"/>
      <c r="BF63" s="680"/>
      <c r="BG63" s="680"/>
      <c r="BH63" s="680"/>
      <c r="BI63" s="680"/>
      <c r="BJ63" s="680"/>
      <c r="BK63" s="680"/>
      <c r="BL63" s="680"/>
      <c r="BM63" s="680"/>
      <c r="BN63" s="680"/>
      <c r="BO63" s="680"/>
      <c r="BP63" s="680"/>
      <c r="BQ63" s="680"/>
      <c r="BR63" s="680"/>
      <c r="BS63" s="680"/>
      <c r="BT63" s="680"/>
      <c r="BU63" s="681"/>
      <c r="BV63" s="666"/>
      <c r="BW63" s="663"/>
      <c r="BX63" s="663"/>
      <c r="BY63" s="663"/>
      <c r="BZ63" s="663"/>
      <c r="CA63" s="663"/>
      <c r="CB63" s="663"/>
      <c r="CC63" s="663"/>
      <c r="CD63" s="663"/>
      <c r="CE63" s="663"/>
      <c r="CF63" s="663"/>
      <c r="CG63" s="663"/>
      <c r="CH63" s="663"/>
      <c r="CI63" s="663"/>
      <c r="CJ63" s="663"/>
      <c r="CK63" s="663"/>
      <c r="CL63" s="663"/>
      <c r="CM63" s="653"/>
    </row>
    <row r="64" spans="1:91" ht="27" customHeight="1" x14ac:dyDescent="0.2">
      <c r="A64" s="654" t="str">
        <f>IF('Title Page'!K24&lt;&gt;"",'Title Page'!K24,"")</f>
        <v/>
      </c>
      <c r="B64" s="655"/>
      <c r="C64" s="655"/>
      <c r="D64" s="130"/>
      <c r="E64" s="656" t="str">
        <f>IF('Title Page'!L24&lt;&gt;"",'Title Page'!L24,"")</f>
        <v/>
      </c>
      <c r="F64" s="656"/>
      <c r="G64" s="656"/>
      <c r="H64" s="436" t="str">
        <f>IF('Title Page'!R24&lt;&gt;"",'Title Page'!R24,"")</f>
        <v/>
      </c>
      <c r="I64" s="436" t="str">
        <f>IF('Title Page'!S24&lt;&gt;"",'Title Page'!S24,"")</f>
        <v/>
      </c>
      <c r="J64" s="436" t="str">
        <f>IF('Title Page'!T24&lt;&gt;"",'Title Page'!T24,"")</f>
        <v/>
      </c>
      <c r="K64" s="437" t="str">
        <f>IF('Title Page'!V24&lt;&gt;"",'Title Page'!V24,"")</f>
        <v/>
      </c>
      <c r="L64" s="688"/>
      <c r="M64" s="689"/>
      <c r="N64" s="689"/>
      <c r="O64" s="689"/>
      <c r="P64" s="689"/>
      <c r="Q64" s="689"/>
      <c r="R64" s="689"/>
      <c r="S64" s="689"/>
      <c r="T64" s="689"/>
      <c r="U64" s="689"/>
      <c r="V64" s="689"/>
      <c r="W64" s="689"/>
      <c r="X64" s="689"/>
      <c r="Y64" s="689"/>
      <c r="Z64" s="689"/>
      <c r="AA64" s="689"/>
      <c r="AB64" s="689"/>
      <c r="AC64" s="689"/>
      <c r="AD64" s="689"/>
      <c r="AE64" s="689"/>
      <c r="AF64" s="689"/>
      <c r="AG64" s="689"/>
      <c r="AH64" s="689"/>
      <c r="AI64" s="689"/>
      <c r="AJ64" s="689"/>
      <c r="AK64" s="689"/>
      <c r="AL64" s="689"/>
      <c r="AM64" s="689"/>
      <c r="AN64" s="689"/>
      <c r="AO64" s="689"/>
      <c r="AP64" s="689"/>
      <c r="AQ64" s="689"/>
      <c r="AR64" s="689"/>
      <c r="AS64" s="689"/>
      <c r="AT64" s="689"/>
      <c r="AU64" s="689"/>
      <c r="AV64" s="689"/>
      <c r="AW64" s="689"/>
      <c r="AX64" s="689"/>
      <c r="AY64" s="689"/>
      <c r="AZ64" s="689"/>
      <c r="BA64" s="689"/>
      <c r="BB64" s="689"/>
      <c r="BC64" s="689"/>
      <c r="BD64" s="689"/>
      <c r="BE64" s="690"/>
      <c r="BF64" s="668"/>
      <c r="BG64" s="668"/>
      <c r="BH64" s="668"/>
      <c r="BI64" s="668"/>
      <c r="BJ64" s="668"/>
      <c r="BK64" s="668"/>
      <c r="BL64" s="668"/>
      <c r="BM64" s="668"/>
      <c r="BN64" s="668"/>
      <c r="BO64" s="668"/>
      <c r="BP64" s="668"/>
      <c r="BQ64" s="668"/>
      <c r="BR64" s="668"/>
      <c r="BS64" s="668"/>
      <c r="BT64" s="668"/>
      <c r="BU64" s="669"/>
      <c r="BV64" s="635" t="str">
        <f>'Title Page'!AA6</f>
        <v>Chickadee Creek Pump Station 04-22-061-15 W5M
Pembina Pipeline Corporation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SHUTDOWN KEY</v>
      </c>
      <c r="BW64" s="636"/>
      <c r="BX64" s="636"/>
      <c r="BY64" s="636"/>
      <c r="BZ64" s="636"/>
      <c r="CA64" s="636"/>
      <c r="CB64" s="636"/>
      <c r="CC64" s="636"/>
      <c r="CD64" s="636"/>
      <c r="CE64" s="636"/>
      <c r="CF64" s="636"/>
      <c r="CG64" s="636"/>
      <c r="CH64" s="636"/>
      <c r="CI64" s="636"/>
      <c r="CJ64" s="636"/>
      <c r="CK64" s="636"/>
      <c r="CL64" s="636"/>
      <c r="CM64" s="637"/>
    </row>
    <row r="65" spans="1:91" ht="25.5" customHeight="1" x14ac:dyDescent="0.2">
      <c r="A65" s="654" t="str">
        <f>IF('Title Page'!K25&lt;&gt;"",'Title Page'!K25,"")</f>
        <v/>
      </c>
      <c r="B65" s="655"/>
      <c r="C65" s="655"/>
      <c r="D65" s="130"/>
      <c r="E65" s="656" t="str">
        <f>IF('Title Page'!L25&lt;&gt;"",'Title Page'!L25,"")</f>
        <v/>
      </c>
      <c r="F65" s="656"/>
      <c r="G65" s="656"/>
      <c r="H65" s="436" t="str">
        <f>IF('Title Page'!R25&lt;&gt;"",'Title Page'!R25,"")</f>
        <v/>
      </c>
      <c r="I65" s="436" t="str">
        <f>IF('Title Page'!S25&lt;&gt;"",'Title Page'!S25,"")</f>
        <v/>
      </c>
      <c r="J65" s="436" t="str">
        <f>IF('Title Page'!T25&lt;&gt;"",'Title Page'!T25,"")</f>
        <v/>
      </c>
      <c r="K65" s="437" t="str">
        <f>IF('Title Page'!V25&lt;&gt;"",'Title Page'!V25,"")</f>
        <v/>
      </c>
      <c r="L65" s="688"/>
      <c r="M65" s="689"/>
      <c r="N65" s="689"/>
      <c r="O65" s="689"/>
      <c r="P65" s="689"/>
      <c r="Q65" s="689"/>
      <c r="R65" s="689"/>
      <c r="S65" s="689"/>
      <c r="T65" s="689"/>
      <c r="U65" s="689"/>
      <c r="V65" s="689"/>
      <c r="W65" s="689"/>
      <c r="X65" s="689"/>
      <c r="Y65" s="689"/>
      <c r="Z65" s="689"/>
      <c r="AA65" s="689"/>
      <c r="AB65" s="689"/>
      <c r="AC65" s="689"/>
      <c r="AD65" s="689"/>
      <c r="AE65" s="689"/>
      <c r="AF65" s="689"/>
      <c r="AG65" s="689"/>
      <c r="AH65" s="689"/>
      <c r="AI65" s="689"/>
      <c r="AJ65" s="689"/>
      <c r="AK65" s="689"/>
      <c r="AL65" s="689"/>
      <c r="AM65" s="689"/>
      <c r="AN65" s="689"/>
      <c r="AO65" s="689"/>
      <c r="AP65" s="689"/>
      <c r="AQ65" s="689"/>
      <c r="AR65" s="689"/>
      <c r="AS65" s="689"/>
      <c r="AT65" s="689"/>
      <c r="AU65" s="689"/>
      <c r="AV65" s="689"/>
      <c r="AW65" s="689"/>
      <c r="AX65" s="689"/>
      <c r="AY65" s="689"/>
      <c r="AZ65" s="689"/>
      <c r="BA65" s="689"/>
      <c r="BB65" s="689"/>
      <c r="BC65" s="689"/>
      <c r="BD65" s="689"/>
      <c r="BE65" s="690"/>
      <c r="BF65" s="670"/>
      <c r="BG65" s="670"/>
      <c r="BH65" s="670"/>
      <c r="BI65" s="670"/>
      <c r="BJ65" s="670"/>
      <c r="BK65" s="670"/>
      <c r="BL65" s="670"/>
      <c r="BM65" s="670"/>
      <c r="BN65" s="670"/>
      <c r="BO65" s="670"/>
      <c r="BP65" s="670"/>
      <c r="BQ65" s="670"/>
      <c r="BR65" s="670"/>
      <c r="BS65" s="670"/>
      <c r="BT65" s="670"/>
      <c r="BU65" s="671"/>
      <c r="BV65" s="638"/>
      <c r="BW65" s="639"/>
      <c r="BX65" s="639"/>
      <c r="BY65" s="639"/>
      <c r="BZ65" s="639"/>
      <c r="CA65" s="639"/>
      <c r="CB65" s="639"/>
      <c r="CC65" s="639"/>
      <c r="CD65" s="639"/>
      <c r="CE65" s="639"/>
      <c r="CF65" s="639"/>
      <c r="CG65" s="639"/>
      <c r="CH65" s="639"/>
      <c r="CI65" s="639"/>
      <c r="CJ65" s="639"/>
      <c r="CK65" s="639"/>
      <c r="CL65" s="639"/>
      <c r="CM65" s="640"/>
    </row>
    <row r="66" spans="1:91" ht="25.5" customHeight="1" thickBot="1" x14ac:dyDescent="0.25">
      <c r="A66" s="654" t="str">
        <f>IF('Title Page'!K26&lt;&gt;"",'Title Page'!K26,"")</f>
        <v/>
      </c>
      <c r="B66" s="655"/>
      <c r="C66" s="655"/>
      <c r="D66" s="130"/>
      <c r="E66" s="656" t="str">
        <f>IF('Title Page'!L26&lt;&gt;"",'Title Page'!L26,"")</f>
        <v/>
      </c>
      <c r="F66" s="656"/>
      <c r="G66" s="656"/>
      <c r="H66" s="436" t="str">
        <f>IF('Title Page'!R26&lt;&gt;"",'Title Page'!R26,"")</f>
        <v/>
      </c>
      <c r="I66" s="436" t="str">
        <f>IF('Title Page'!S26&lt;&gt;"",'Title Page'!S26,"")</f>
        <v/>
      </c>
      <c r="J66" s="436" t="str">
        <f>IF('Title Page'!T26&lt;&gt;"",'Title Page'!T26,"")</f>
        <v/>
      </c>
      <c r="K66" s="437" t="str">
        <f>IF('Title Page'!V26&lt;&gt;"",'Title Page'!V26,"")</f>
        <v/>
      </c>
      <c r="L66" s="688"/>
      <c r="M66" s="689"/>
      <c r="N66" s="689"/>
      <c r="O66" s="689"/>
      <c r="P66" s="689"/>
      <c r="Q66" s="689"/>
      <c r="R66" s="689"/>
      <c r="S66" s="689"/>
      <c r="T66" s="689"/>
      <c r="U66" s="689"/>
      <c r="V66" s="689"/>
      <c r="W66" s="689"/>
      <c r="X66" s="689"/>
      <c r="Y66" s="689"/>
      <c r="Z66" s="689"/>
      <c r="AA66" s="689"/>
      <c r="AB66" s="689"/>
      <c r="AC66" s="689"/>
      <c r="AD66" s="689"/>
      <c r="AE66" s="689"/>
      <c r="AF66" s="689"/>
      <c r="AG66" s="689"/>
      <c r="AH66" s="689"/>
      <c r="AI66" s="689"/>
      <c r="AJ66" s="689"/>
      <c r="AK66" s="689"/>
      <c r="AL66" s="689"/>
      <c r="AM66" s="689"/>
      <c r="AN66" s="689"/>
      <c r="AO66" s="689"/>
      <c r="AP66" s="689"/>
      <c r="AQ66" s="689"/>
      <c r="AR66" s="689"/>
      <c r="AS66" s="689"/>
      <c r="AT66" s="689"/>
      <c r="AU66" s="689"/>
      <c r="AV66" s="689"/>
      <c r="AW66" s="689"/>
      <c r="AX66" s="689"/>
      <c r="AY66" s="689"/>
      <c r="AZ66" s="689"/>
      <c r="BA66" s="689"/>
      <c r="BB66" s="689"/>
      <c r="BC66" s="689"/>
      <c r="BD66" s="689"/>
      <c r="BE66" s="690"/>
      <c r="BF66" s="663"/>
      <c r="BG66" s="663"/>
      <c r="BH66" s="663"/>
      <c r="BI66" s="663"/>
      <c r="BJ66" s="663"/>
      <c r="BK66" s="663"/>
      <c r="BL66" s="663"/>
      <c r="BM66" s="663"/>
      <c r="BN66" s="663"/>
      <c r="BO66" s="663"/>
      <c r="BP66" s="663"/>
      <c r="BQ66" s="663"/>
      <c r="BR66" s="663"/>
      <c r="BS66" s="663"/>
      <c r="BT66" s="663"/>
      <c r="BU66" s="653"/>
      <c r="BV66" s="641"/>
      <c r="BW66" s="642"/>
      <c r="BX66" s="642"/>
      <c r="BY66" s="642"/>
      <c r="BZ66" s="642"/>
      <c r="CA66" s="642"/>
      <c r="CB66" s="642"/>
      <c r="CC66" s="642"/>
      <c r="CD66" s="642"/>
      <c r="CE66" s="642"/>
      <c r="CF66" s="642"/>
      <c r="CG66" s="642"/>
      <c r="CH66" s="642"/>
      <c r="CI66" s="642"/>
      <c r="CJ66" s="642"/>
      <c r="CK66" s="642"/>
      <c r="CL66" s="642"/>
      <c r="CM66" s="643"/>
    </row>
    <row r="67" spans="1:91" ht="25.5" customHeight="1" x14ac:dyDescent="0.2">
      <c r="A67" s="654" t="str">
        <f>IF('Title Page'!K27&lt;&gt;"",'Title Page'!K27,"")</f>
        <v/>
      </c>
      <c r="B67" s="655"/>
      <c r="C67" s="655"/>
      <c r="D67" s="130"/>
      <c r="E67" s="656" t="str">
        <f>IF('Title Page'!L27&lt;&gt;"",'Title Page'!L27,"")</f>
        <v/>
      </c>
      <c r="F67" s="656"/>
      <c r="G67" s="656"/>
      <c r="H67" s="436" t="str">
        <f>IF('Title Page'!R27&lt;&gt;"",'Title Page'!R27,"")</f>
        <v/>
      </c>
      <c r="I67" s="436" t="str">
        <f>IF('Title Page'!S27&lt;&gt;"",'Title Page'!S27,"")</f>
        <v/>
      </c>
      <c r="J67" s="436" t="str">
        <f>IF('Title Page'!T27&lt;&gt;"",'Title Page'!T27,"")</f>
        <v/>
      </c>
      <c r="K67" s="437" t="str">
        <f>IF('Title Page'!V27&lt;&gt;"",'Title Page'!V27,"")</f>
        <v/>
      </c>
      <c r="L67" s="688"/>
      <c r="M67" s="689"/>
      <c r="N67" s="689"/>
      <c r="O67" s="689"/>
      <c r="P67" s="689"/>
      <c r="Q67" s="689"/>
      <c r="R67" s="689"/>
      <c r="S67" s="689"/>
      <c r="T67" s="689"/>
      <c r="U67" s="689"/>
      <c r="V67" s="689"/>
      <c r="W67" s="689"/>
      <c r="X67" s="689"/>
      <c r="Y67" s="689"/>
      <c r="Z67" s="689"/>
      <c r="AA67" s="689"/>
      <c r="AB67" s="689"/>
      <c r="AC67" s="689"/>
      <c r="AD67" s="689"/>
      <c r="AE67" s="689"/>
      <c r="AF67" s="689"/>
      <c r="AG67" s="689"/>
      <c r="AH67" s="689"/>
      <c r="AI67" s="689"/>
      <c r="AJ67" s="689"/>
      <c r="AK67" s="689"/>
      <c r="AL67" s="689"/>
      <c r="AM67" s="689"/>
      <c r="AN67" s="689"/>
      <c r="AO67" s="689"/>
      <c r="AP67" s="689"/>
      <c r="AQ67" s="689"/>
      <c r="AR67" s="689"/>
      <c r="AS67" s="689"/>
      <c r="AT67" s="689"/>
      <c r="AU67" s="689"/>
      <c r="AV67" s="689"/>
      <c r="AW67" s="689"/>
      <c r="AX67" s="689"/>
      <c r="AY67" s="689"/>
      <c r="AZ67" s="689"/>
      <c r="BA67" s="689"/>
      <c r="BB67" s="689"/>
      <c r="BC67" s="689"/>
      <c r="BD67" s="689"/>
      <c r="BE67" s="690"/>
      <c r="BF67" s="657" t="s">
        <v>26</v>
      </c>
      <c r="BG67" s="657"/>
      <c r="BH67" s="657"/>
      <c r="BI67" s="657"/>
      <c r="BJ67" s="657"/>
      <c r="BK67" s="657"/>
      <c r="BL67" s="657"/>
      <c r="BM67" s="657"/>
      <c r="BN67" s="657"/>
      <c r="BO67" s="657"/>
      <c r="BP67" s="657"/>
      <c r="BQ67" s="657"/>
      <c r="BR67" s="657"/>
      <c r="BS67" s="657"/>
      <c r="BT67" s="657"/>
      <c r="BU67" s="658"/>
      <c r="BV67" s="659" t="s">
        <v>8</v>
      </c>
      <c r="BW67" s="657"/>
      <c r="BX67" s="660"/>
      <c r="BY67" s="661" t="s">
        <v>9</v>
      </c>
      <c r="BZ67" s="657"/>
      <c r="CA67" s="657"/>
      <c r="CB67" s="657"/>
      <c r="CC67" s="657"/>
      <c r="CD67" s="657"/>
      <c r="CE67" s="657"/>
      <c r="CF67" s="657"/>
      <c r="CG67" s="657"/>
      <c r="CH67" s="657"/>
      <c r="CI67" s="657"/>
      <c r="CJ67" s="657"/>
      <c r="CK67" s="660"/>
      <c r="CL67" s="661" t="s">
        <v>10</v>
      </c>
      <c r="CM67" s="658"/>
    </row>
    <row r="68" spans="1:91" ht="25.5" customHeight="1" x14ac:dyDescent="0.2">
      <c r="A68" s="654" t="str">
        <f>IF('Title Page'!K28&lt;&gt;"",'Title Page'!K28,"")</f>
        <v/>
      </c>
      <c r="B68" s="655"/>
      <c r="C68" s="655"/>
      <c r="D68" s="130"/>
      <c r="E68" s="656" t="str">
        <f>IF('Title Page'!L28&lt;&gt;"",'Title Page'!L28,"")</f>
        <v/>
      </c>
      <c r="F68" s="656"/>
      <c r="G68" s="656"/>
      <c r="H68" s="436" t="str">
        <f>IF('Title Page'!R28&lt;&gt;"",'Title Page'!R28,"")</f>
        <v/>
      </c>
      <c r="I68" s="436" t="str">
        <f>IF('Title Page'!S28&lt;&gt;"",'Title Page'!S28,"")</f>
        <v/>
      </c>
      <c r="J68" s="436" t="str">
        <f>IF('Title Page'!T28&lt;&gt;"",'Title Page'!T28,"")</f>
        <v/>
      </c>
      <c r="K68" s="437" t="str">
        <f>IF('Title Page'!V28&lt;&gt;"",'Title Page'!V28,"")</f>
        <v/>
      </c>
      <c r="L68" s="688"/>
      <c r="M68" s="689"/>
      <c r="N68" s="689"/>
      <c r="O68" s="689"/>
      <c r="P68" s="689"/>
      <c r="Q68" s="689"/>
      <c r="R68" s="689"/>
      <c r="S68" s="689"/>
      <c r="T68" s="689"/>
      <c r="U68" s="689"/>
      <c r="V68" s="689"/>
      <c r="W68" s="689"/>
      <c r="X68" s="689"/>
      <c r="Y68" s="689"/>
      <c r="Z68" s="689"/>
      <c r="AA68" s="689"/>
      <c r="AB68" s="689"/>
      <c r="AC68" s="689"/>
      <c r="AD68" s="689"/>
      <c r="AE68" s="689"/>
      <c r="AF68" s="689"/>
      <c r="AG68" s="689"/>
      <c r="AH68" s="689"/>
      <c r="AI68" s="689"/>
      <c r="AJ68" s="689"/>
      <c r="AK68" s="689"/>
      <c r="AL68" s="689"/>
      <c r="AM68" s="689"/>
      <c r="AN68" s="689"/>
      <c r="AO68" s="689"/>
      <c r="AP68" s="689"/>
      <c r="AQ68" s="689"/>
      <c r="AR68" s="689"/>
      <c r="AS68" s="689"/>
      <c r="AT68" s="689"/>
      <c r="AU68" s="689"/>
      <c r="AV68" s="689"/>
      <c r="AW68" s="689"/>
      <c r="AX68" s="689"/>
      <c r="AY68" s="689"/>
      <c r="AZ68" s="689"/>
      <c r="BA68" s="689"/>
      <c r="BB68" s="689"/>
      <c r="BC68" s="689"/>
      <c r="BD68" s="689"/>
      <c r="BE68" s="690"/>
      <c r="BF68" s="662" t="str">
        <f>'Title Page'!Z21</f>
        <v>PEM029-001</v>
      </c>
      <c r="BG68" s="662"/>
      <c r="BH68" s="662"/>
      <c r="BI68" s="662"/>
      <c r="BJ68" s="662"/>
      <c r="BK68" s="662"/>
      <c r="BL68" s="662"/>
      <c r="BM68" s="662"/>
      <c r="BN68" s="662"/>
      <c r="BO68" s="662"/>
      <c r="BP68" s="662"/>
      <c r="BQ68" s="662"/>
      <c r="BR68" s="662"/>
      <c r="BS68" s="662"/>
      <c r="BT68" s="662"/>
      <c r="BU68" s="651"/>
      <c r="BV68" s="664" t="str">
        <f>'Title Page'!AA21</f>
        <v>None</v>
      </c>
      <c r="BW68" s="662"/>
      <c r="BX68" s="665"/>
      <c r="BY68" s="650" t="str">
        <f ca="1">BF68&amp;"-SDK-"&amp;RIGHT(RIGHT(CELL("filename",H7),LEN(CELL("filename",H7))-FIND("]",CELL("filename",H7))),LEN(RIGHT(CELL("filename",H7),LEN(CELL("filename",H7))-FIND("]",CELL("filename",H7))))-12)</f>
        <v>PEM029-001-SDK-5</v>
      </c>
      <c r="BZ68" s="662"/>
      <c r="CA68" s="662"/>
      <c r="CB68" s="662"/>
      <c r="CC68" s="662"/>
      <c r="CD68" s="662"/>
      <c r="CE68" s="662"/>
      <c r="CF68" s="662"/>
      <c r="CG68" s="662"/>
      <c r="CH68" s="662"/>
      <c r="CI68" s="662"/>
      <c r="CJ68" s="662"/>
      <c r="CK68" s="665"/>
      <c r="CL68" s="650">
        <f>'Title Page'!X21</f>
        <v>0</v>
      </c>
      <c r="CM68" s="651"/>
    </row>
    <row r="69" spans="1:91" ht="25.5" customHeight="1" thickBot="1" x14ac:dyDescent="0.25">
      <c r="A69" s="654" t="str">
        <f>IF('Title Page'!K29&lt;&gt;"",'Title Page'!K29,"")</f>
        <v/>
      </c>
      <c r="B69" s="655"/>
      <c r="C69" s="655"/>
      <c r="D69" s="130"/>
      <c r="E69" s="656" t="str">
        <f>IF('Title Page'!L29&lt;&gt;"",'Title Page'!L29,"")</f>
        <v/>
      </c>
      <c r="F69" s="656"/>
      <c r="G69" s="656"/>
      <c r="H69" s="436" t="str">
        <f>IF('Title Page'!R29&lt;&gt;"",'Title Page'!R29,"")</f>
        <v/>
      </c>
      <c r="I69" s="436" t="str">
        <f>IF('Title Page'!S29&lt;&gt;"",'Title Page'!S29,"")</f>
        <v/>
      </c>
      <c r="J69" s="436" t="str">
        <f>IF('Title Page'!T29&lt;&gt;"",'Title Page'!T29,"")</f>
        <v/>
      </c>
      <c r="K69" s="437" t="str">
        <f>IF('Title Page'!V29&lt;&gt;"",'Title Page'!V29,"")</f>
        <v/>
      </c>
      <c r="L69" s="691"/>
      <c r="M69" s="692"/>
      <c r="N69" s="692"/>
      <c r="O69" s="692"/>
      <c r="P69" s="692"/>
      <c r="Q69" s="692"/>
      <c r="R69" s="692"/>
      <c r="S69" s="692"/>
      <c r="T69" s="692"/>
      <c r="U69" s="692"/>
      <c r="V69" s="692"/>
      <c r="W69" s="692"/>
      <c r="X69" s="692"/>
      <c r="Y69" s="692"/>
      <c r="Z69" s="692"/>
      <c r="AA69" s="692"/>
      <c r="AB69" s="692"/>
      <c r="AC69" s="692"/>
      <c r="AD69" s="692"/>
      <c r="AE69" s="692"/>
      <c r="AF69" s="692"/>
      <c r="AG69" s="692"/>
      <c r="AH69" s="692"/>
      <c r="AI69" s="692"/>
      <c r="AJ69" s="692"/>
      <c r="AK69" s="692"/>
      <c r="AL69" s="692"/>
      <c r="AM69" s="692"/>
      <c r="AN69" s="692"/>
      <c r="AO69" s="692"/>
      <c r="AP69" s="692"/>
      <c r="AQ69" s="692"/>
      <c r="AR69" s="692"/>
      <c r="AS69" s="692"/>
      <c r="AT69" s="692"/>
      <c r="AU69" s="692"/>
      <c r="AV69" s="692"/>
      <c r="AW69" s="692"/>
      <c r="AX69" s="692"/>
      <c r="AY69" s="692"/>
      <c r="AZ69" s="692"/>
      <c r="BA69" s="692"/>
      <c r="BB69" s="692"/>
      <c r="BC69" s="692"/>
      <c r="BD69" s="692"/>
      <c r="BE69" s="693"/>
      <c r="BF69" s="663"/>
      <c r="BG69" s="663"/>
      <c r="BH69" s="663"/>
      <c r="BI69" s="663"/>
      <c r="BJ69" s="663"/>
      <c r="BK69" s="663"/>
      <c r="BL69" s="663"/>
      <c r="BM69" s="663"/>
      <c r="BN69" s="663"/>
      <c r="BO69" s="663"/>
      <c r="BP69" s="663"/>
      <c r="BQ69" s="663"/>
      <c r="BR69" s="663"/>
      <c r="BS69" s="663"/>
      <c r="BT69" s="663"/>
      <c r="BU69" s="653"/>
      <c r="BV69" s="666"/>
      <c r="BW69" s="663"/>
      <c r="BX69" s="667"/>
      <c r="BY69" s="652"/>
      <c r="BZ69" s="663"/>
      <c r="CA69" s="663"/>
      <c r="CB69" s="663"/>
      <c r="CC69" s="663"/>
      <c r="CD69" s="663"/>
      <c r="CE69" s="663"/>
      <c r="CF69" s="663"/>
      <c r="CG69" s="663"/>
      <c r="CH69" s="663"/>
      <c r="CI69" s="663"/>
      <c r="CJ69" s="663"/>
      <c r="CK69" s="667"/>
      <c r="CL69" s="652"/>
      <c r="CM69" s="653"/>
    </row>
    <row r="70" spans="1:91" ht="12" customHeight="1" x14ac:dyDescent="0.25">
      <c r="A70" s="438"/>
      <c r="B70" s="439"/>
      <c r="C70" s="439"/>
      <c r="D70" s="439"/>
      <c r="E70" s="228"/>
      <c r="F70" s="440"/>
      <c r="G70" s="440"/>
      <c r="H70" s="440"/>
      <c r="I70" s="441"/>
      <c r="BL70" s="305"/>
      <c r="BM70" s="305"/>
      <c r="BN70" s="305"/>
      <c r="BO70" s="305"/>
      <c r="BP70" s="305"/>
      <c r="BQ70" s="305"/>
      <c r="BR70" s="305"/>
      <c r="BS70" s="305"/>
      <c r="BT70" s="443"/>
      <c r="CD70" s="228"/>
      <c r="CE70" s="228"/>
      <c r="CF70" s="228"/>
      <c r="CG70" s="228"/>
      <c r="CH70" s="228"/>
      <c r="CI70" s="228"/>
      <c r="CJ70" s="228"/>
      <c r="CK70" s="228"/>
      <c r="CL70" s="228"/>
      <c r="CM70" s="228"/>
    </row>
  </sheetData>
  <mergeCells count="45">
    <mergeCell ref="BF64:BU66"/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A67:C67"/>
    <mergeCell ref="E67:G67"/>
    <mergeCell ref="BF67:BU67"/>
    <mergeCell ref="BV67:BX67"/>
    <mergeCell ref="BY67:CK67"/>
    <mergeCell ref="A61:C61"/>
    <mergeCell ref="E61:G61"/>
    <mergeCell ref="BV64:CM66"/>
    <mergeCell ref="A65:C65"/>
    <mergeCell ref="E65:G65"/>
    <mergeCell ref="A66:C66"/>
    <mergeCell ref="E66:G66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  <mergeCell ref="G7:G9"/>
    <mergeCell ref="H7:H9"/>
    <mergeCell ref="I7:K7"/>
    <mergeCell ref="J8:K8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18" orientation="landscape" r:id="rId1"/>
  <headerFooter alignWithMargins="0">
    <oddFooter xml:space="preserve">&amp;L&amp;F&amp;C&amp;D&amp;RLauren Concise Design Shutdown Key 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DQ70"/>
  <sheetViews>
    <sheetView showGridLines="0" view="pageBreakPreview" topLeftCell="A5" zoomScale="50" zoomScaleNormal="50" zoomScaleSheetLayoutView="50" zoomScalePageLayoutView="50" workbookViewId="0">
      <selection activeCell="S11" sqref="S11"/>
    </sheetView>
  </sheetViews>
  <sheetFormatPr defaultColWidth="12.7109375" defaultRowHeight="12" customHeight="1" x14ac:dyDescent="0.25"/>
  <cols>
    <col min="1" max="1" width="8.7109375" style="220" bestFit="1" customWidth="1"/>
    <col min="2" max="2" width="7.42578125" style="220" customWidth="1"/>
    <col min="3" max="3" width="10.5703125" style="220" bestFit="1" customWidth="1"/>
    <col min="4" max="4" width="36.7109375" style="220" bestFit="1" customWidth="1"/>
    <col min="5" max="5" width="95.85546875" style="222" bestFit="1" customWidth="1"/>
    <col min="6" max="6" width="18.42578125" style="221" bestFit="1" customWidth="1"/>
    <col min="7" max="7" width="31.5703125" style="221" bestFit="1" customWidth="1"/>
    <col min="8" max="8" width="33" style="221" bestFit="1" customWidth="1"/>
    <col min="9" max="10" width="8.42578125" style="316" customWidth="1"/>
    <col min="11" max="11" width="10.85546875" style="316" bestFit="1" customWidth="1"/>
    <col min="12" max="12" width="6.140625" style="442" customWidth="1"/>
    <col min="13" max="21" width="6.140625" style="222" customWidth="1"/>
    <col min="22" max="22" width="6.140625" style="442" customWidth="1"/>
    <col min="23" max="31" width="6.140625" style="222" customWidth="1"/>
    <col min="32" max="32" width="6.140625" style="442" customWidth="1"/>
    <col min="33" max="41" width="6.140625" style="222" customWidth="1"/>
    <col min="42" max="42" width="6.140625" style="442" customWidth="1"/>
    <col min="43" max="51" width="6.140625" style="222" customWidth="1"/>
    <col min="52" max="52" width="6.140625" style="442" customWidth="1"/>
    <col min="53" max="61" width="6.140625" style="222" customWidth="1"/>
    <col min="62" max="62" width="6.140625" style="442" customWidth="1"/>
    <col min="63" max="71" width="6.140625" style="222" customWidth="1"/>
    <col min="72" max="72" width="6.140625" style="442" customWidth="1"/>
    <col min="73" max="80" width="6.140625" style="222" customWidth="1"/>
    <col min="81" max="81" width="6.140625" style="444" customWidth="1"/>
    <col min="82" max="91" width="6.140625" style="222" customWidth="1"/>
    <col min="92" max="16384" width="12.7109375" style="222"/>
  </cols>
  <sheetData>
    <row r="1" spans="1:121" s="339" customFormat="1" ht="20.25" customHeight="1" x14ac:dyDescent="0.25">
      <c r="A1" s="256"/>
      <c r="B1" s="334"/>
      <c r="C1" s="334"/>
      <c r="D1" s="334"/>
      <c r="E1" s="305"/>
      <c r="F1" s="335"/>
      <c r="G1" s="335"/>
      <c r="H1" s="335"/>
      <c r="I1" s="336"/>
      <c r="J1" s="337" t="s">
        <v>0</v>
      </c>
      <c r="K1" s="338"/>
      <c r="L1" s="136">
        <v>1</v>
      </c>
      <c r="M1" s="103">
        <v>2</v>
      </c>
      <c r="N1" s="103">
        <v>3</v>
      </c>
      <c r="O1" s="103">
        <v>4</v>
      </c>
      <c r="P1" s="137">
        <v>5</v>
      </c>
      <c r="Q1" s="136">
        <v>6</v>
      </c>
      <c r="R1" s="103">
        <v>7</v>
      </c>
      <c r="S1" s="103">
        <v>8</v>
      </c>
      <c r="T1" s="103">
        <v>9</v>
      </c>
      <c r="U1" s="138">
        <v>10</v>
      </c>
      <c r="V1" s="139">
        <v>11</v>
      </c>
      <c r="W1" s="103">
        <v>12</v>
      </c>
      <c r="X1" s="103">
        <v>13</v>
      </c>
      <c r="Y1" s="103">
        <v>14</v>
      </c>
      <c r="Z1" s="137">
        <v>15</v>
      </c>
      <c r="AA1" s="136">
        <v>16</v>
      </c>
      <c r="AB1" s="103">
        <v>17</v>
      </c>
      <c r="AC1" s="103">
        <v>18</v>
      </c>
      <c r="AD1" s="103">
        <v>19</v>
      </c>
      <c r="AE1" s="138">
        <v>20</v>
      </c>
      <c r="AF1" s="139">
        <v>21</v>
      </c>
      <c r="AG1" s="103">
        <v>22</v>
      </c>
      <c r="AH1" s="103">
        <v>23</v>
      </c>
      <c r="AI1" s="103">
        <v>24</v>
      </c>
      <c r="AJ1" s="137">
        <v>25</v>
      </c>
      <c r="AK1" s="136">
        <v>26</v>
      </c>
      <c r="AL1" s="103">
        <v>27</v>
      </c>
      <c r="AM1" s="103">
        <v>28</v>
      </c>
      <c r="AN1" s="103">
        <v>29</v>
      </c>
      <c r="AO1" s="138">
        <v>30</v>
      </c>
      <c r="AP1" s="139">
        <v>31</v>
      </c>
      <c r="AQ1" s="103">
        <v>32</v>
      </c>
      <c r="AR1" s="103">
        <v>33</v>
      </c>
      <c r="AS1" s="103">
        <v>34</v>
      </c>
      <c r="AT1" s="137">
        <v>35</v>
      </c>
      <c r="AU1" s="136">
        <v>36</v>
      </c>
      <c r="AV1" s="103">
        <v>37</v>
      </c>
      <c r="AW1" s="103">
        <v>38</v>
      </c>
      <c r="AX1" s="103">
        <v>39</v>
      </c>
      <c r="AY1" s="138">
        <v>40</v>
      </c>
      <c r="AZ1" s="139">
        <v>41</v>
      </c>
      <c r="BA1" s="103">
        <v>42</v>
      </c>
      <c r="BB1" s="103">
        <v>43</v>
      </c>
      <c r="BC1" s="103">
        <v>44</v>
      </c>
      <c r="BD1" s="137">
        <v>45</v>
      </c>
      <c r="BE1" s="136">
        <v>46</v>
      </c>
      <c r="BF1" s="103">
        <v>47</v>
      </c>
      <c r="BG1" s="103">
        <v>48</v>
      </c>
      <c r="BH1" s="103">
        <v>49</v>
      </c>
      <c r="BI1" s="138">
        <v>50</v>
      </c>
      <c r="BJ1" s="139">
        <v>51</v>
      </c>
      <c r="BK1" s="103">
        <v>52</v>
      </c>
      <c r="BL1" s="103">
        <v>53</v>
      </c>
      <c r="BM1" s="103">
        <v>54</v>
      </c>
      <c r="BN1" s="137">
        <v>55</v>
      </c>
      <c r="BO1" s="136">
        <v>56</v>
      </c>
      <c r="BP1" s="103">
        <v>57</v>
      </c>
      <c r="BQ1" s="103">
        <v>58</v>
      </c>
      <c r="BR1" s="103">
        <v>59</v>
      </c>
      <c r="BS1" s="138">
        <v>60</v>
      </c>
      <c r="BT1" s="139">
        <v>61</v>
      </c>
      <c r="BU1" s="103">
        <v>62</v>
      </c>
      <c r="BV1" s="103">
        <v>63</v>
      </c>
      <c r="BW1" s="103">
        <v>64</v>
      </c>
      <c r="BX1" s="137">
        <v>65</v>
      </c>
      <c r="BY1" s="136">
        <v>66</v>
      </c>
      <c r="BZ1" s="103">
        <v>67</v>
      </c>
      <c r="CA1" s="103">
        <v>68</v>
      </c>
      <c r="CB1" s="103">
        <v>69</v>
      </c>
      <c r="CC1" s="138">
        <v>70</v>
      </c>
      <c r="CD1" s="139">
        <v>71</v>
      </c>
      <c r="CE1" s="103">
        <v>72</v>
      </c>
      <c r="CF1" s="103">
        <v>73</v>
      </c>
      <c r="CG1" s="103">
        <v>74</v>
      </c>
      <c r="CH1" s="138">
        <v>75</v>
      </c>
      <c r="CI1" s="139">
        <v>76</v>
      </c>
      <c r="CJ1" s="103">
        <v>77</v>
      </c>
      <c r="CK1" s="103">
        <v>78</v>
      </c>
      <c r="CL1" s="103">
        <v>79</v>
      </c>
      <c r="CM1" s="137">
        <v>80</v>
      </c>
      <c r="CN1" s="220"/>
      <c r="CO1" s="220"/>
      <c r="CP1" s="220"/>
      <c r="CQ1" s="220"/>
      <c r="CR1" s="220"/>
      <c r="CS1" s="220"/>
      <c r="CT1" s="220"/>
      <c r="CU1" s="220"/>
      <c r="CV1" s="220"/>
      <c r="CW1" s="220"/>
      <c r="CX1" s="220"/>
      <c r="CY1" s="220"/>
      <c r="CZ1" s="220"/>
      <c r="DA1" s="220"/>
      <c r="DB1" s="220"/>
      <c r="DC1" s="220"/>
      <c r="DD1" s="220"/>
      <c r="DE1" s="220"/>
      <c r="DF1" s="220"/>
      <c r="DG1" s="220"/>
      <c r="DH1" s="220"/>
      <c r="DI1" s="220"/>
      <c r="DJ1" s="220"/>
      <c r="DK1" s="220"/>
      <c r="DL1" s="220"/>
      <c r="DM1" s="220"/>
      <c r="DN1" s="220"/>
      <c r="DO1" s="220"/>
      <c r="DP1" s="220"/>
      <c r="DQ1" s="220"/>
    </row>
    <row r="2" spans="1:121" s="339" customFormat="1" ht="24" customHeight="1" thickBot="1" x14ac:dyDescent="0.25">
      <c r="A2" s="184"/>
      <c r="B2" s="220"/>
      <c r="C2" s="220"/>
      <c r="D2" s="220"/>
      <c r="F2" s="221"/>
      <c r="G2" s="221"/>
      <c r="H2" s="221"/>
      <c r="I2" s="340"/>
      <c r="J2" s="341" t="s">
        <v>38</v>
      </c>
      <c r="K2" s="342"/>
      <c r="L2" s="140">
        <v>0</v>
      </c>
      <c r="M2" s="76">
        <v>0</v>
      </c>
      <c r="N2" s="76">
        <v>0</v>
      </c>
      <c r="O2" s="76">
        <v>0</v>
      </c>
      <c r="P2" s="141">
        <v>0</v>
      </c>
      <c r="Q2" s="140"/>
      <c r="R2" s="76"/>
      <c r="S2" s="76">
        <v>0</v>
      </c>
      <c r="T2" s="76">
        <v>0</v>
      </c>
      <c r="U2" s="81">
        <v>0</v>
      </c>
      <c r="V2" s="142">
        <v>0</v>
      </c>
      <c r="W2" s="76">
        <v>0</v>
      </c>
      <c r="X2" s="76">
        <v>0</v>
      </c>
      <c r="Y2" s="76">
        <v>0</v>
      </c>
      <c r="Z2" s="141">
        <v>0</v>
      </c>
      <c r="AA2" s="140">
        <v>0</v>
      </c>
      <c r="AB2" s="76">
        <v>0</v>
      </c>
      <c r="AC2" s="76">
        <v>0</v>
      </c>
      <c r="AD2" s="76">
        <v>0</v>
      </c>
      <c r="AE2" s="81">
        <v>0</v>
      </c>
      <c r="AF2" s="142">
        <v>0</v>
      </c>
      <c r="AG2" s="76">
        <v>0</v>
      </c>
      <c r="AH2" s="76">
        <v>0</v>
      </c>
      <c r="AI2" s="76">
        <v>0</v>
      </c>
      <c r="AJ2" s="141"/>
      <c r="AK2" s="140"/>
      <c r="AL2" s="76">
        <v>0</v>
      </c>
      <c r="AM2" s="76">
        <v>0</v>
      </c>
      <c r="AN2" s="76">
        <v>0</v>
      </c>
      <c r="AO2" s="81">
        <v>0</v>
      </c>
      <c r="AP2" s="142">
        <v>0</v>
      </c>
      <c r="AQ2" s="76">
        <v>0</v>
      </c>
      <c r="AR2" s="76">
        <v>0</v>
      </c>
      <c r="AS2" s="76"/>
      <c r="AT2" s="141"/>
      <c r="AU2" s="140">
        <v>0</v>
      </c>
      <c r="AV2" s="76">
        <v>0</v>
      </c>
      <c r="AW2" s="76">
        <v>0</v>
      </c>
      <c r="AX2" s="76">
        <v>0</v>
      </c>
      <c r="AY2" s="81">
        <v>0</v>
      </c>
      <c r="AZ2" s="142">
        <v>0</v>
      </c>
      <c r="BA2" s="76">
        <v>0</v>
      </c>
      <c r="BB2" s="76">
        <v>0</v>
      </c>
      <c r="BC2" s="76">
        <v>0</v>
      </c>
      <c r="BD2" s="141">
        <v>0</v>
      </c>
      <c r="BE2" s="140"/>
      <c r="BF2" s="76"/>
      <c r="BG2" s="76">
        <v>0</v>
      </c>
      <c r="BH2" s="76">
        <v>0</v>
      </c>
      <c r="BI2" s="81">
        <v>0</v>
      </c>
      <c r="BJ2" s="142">
        <v>0</v>
      </c>
      <c r="BK2" s="76">
        <v>0</v>
      </c>
      <c r="BL2" s="76">
        <v>0</v>
      </c>
      <c r="BM2" s="76">
        <v>0</v>
      </c>
      <c r="BN2" s="141">
        <v>0</v>
      </c>
      <c r="BO2" s="140">
        <v>0</v>
      </c>
      <c r="BP2" s="76">
        <v>0</v>
      </c>
      <c r="BQ2" s="76"/>
      <c r="BR2" s="76"/>
      <c r="BS2" s="81">
        <v>0</v>
      </c>
      <c r="BT2" s="142"/>
      <c r="BU2" s="76"/>
      <c r="BV2" s="76">
        <v>0</v>
      </c>
      <c r="BW2" s="76">
        <v>0</v>
      </c>
      <c r="BX2" s="141">
        <v>0</v>
      </c>
      <c r="BY2" s="140">
        <v>0</v>
      </c>
      <c r="BZ2" s="76"/>
      <c r="CA2" s="76"/>
      <c r="CB2" s="76">
        <v>0</v>
      </c>
      <c r="CC2" s="81">
        <v>0</v>
      </c>
      <c r="CD2" s="142">
        <v>0</v>
      </c>
      <c r="CE2" s="76"/>
      <c r="CF2" s="76"/>
      <c r="CG2" s="76">
        <v>0</v>
      </c>
      <c r="CH2" s="81">
        <v>0</v>
      </c>
      <c r="CI2" s="142">
        <v>0</v>
      </c>
      <c r="CJ2" s="76"/>
      <c r="CK2" s="76"/>
      <c r="CL2" s="76"/>
      <c r="CM2" s="141"/>
      <c r="CN2" s="234"/>
      <c r="CO2" s="234"/>
      <c r="CP2" s="234"/>
      <c r="CQ2" s="234"/>
      <c r="CR2" s="234"/>
      <c r="CS2" s="234"/>
      <c r="CT2" s="234"/>
      <c r="CU2" s="234"/>
      <c r="CV2" s="234"/>
      <c r="CW2" s="234"/>
      <c r="CX2" s="234"/>
      <c r="CY2" s="234"/>
      <c r="CZ2" s="234"/>
      <c r="DA2" s="234"/>
      <c r="DB2" s="234"/>
      <c r="DC2" s="234"/>
      <c r="DD2" s="234"/>
      <c r="DE2" s="234"/>
      <c r="DF2" s="234"/>
      <c r="DG2" s="234"/>
      <c r="DH2" s="234"/>
      <c r="DI2" s="234"/>
      <c r="DJ2" s="234"/>
      <c r="DK2" s="234"/>
      <c r="DL2" s="234"/>
      <c r="DM2" s="234"/>
      <c r="DN2" s="234"/>
      <c r="DO2" s="234"/>
      <c r="DP2" s="234"/>
      <c r="DQ2" s="220"/>
    </row>
    <row r="3" spans="1:121" ht="111" customHeight="1" x14ac:dyDescent="0.2">
      <c r="A3" s="184"/>
      <c r="I3" s="644" t="s">
        <v>35</v>
      </c>
      <c r="J3" s="645"/>
      <c r="K3" s="646"/>
      <c r="L3" s="143" t="s">
        <v>1044</v>
      </c>
      <c r="M3" s="144" t="s">
        <v>1044</v>
      </c>
      <c r="N3" s="144" t="s">
        <v>1044</v>
      </c>
      <c r="O3" s="144" t="s">
        <v>1044</v>
      </c>
      <c r="P3" s="145" t="s">
        <v>1044</v>
      </c>
      <c r="Q3" s="143"/>
      <c r="R3" s="146"/>
      <c r="S3" s="288" t="s">
        <v>1044</v>
      </c>
      <c r="T3" s="146">
        <v>5</v>
      </c>
      <c r="U3" s="317" t="s">
        <v>1044</v>
      </c>
      <c r="V3" s="147">
        <v>5</v>
      </c>
      <c r="W3" s="146">
        <v>5</v>
      </c>
      <c r="X3" s="146">
        <v>5</v>
      </c>
      <c r="Y3" s="288" t="s">
        <v>1044</v>
      </c>
      <c r="Z3" s="148">
        <v>5</v>
      </c>
      <c r="AA3" s="149">
        <v>5</v>
      </c>
      <c r="AB3" s="146">
        <v>5</v>
      </c>
      <c r="AC3" s="146">
        <v>5</v>
      </c>
      <c r="AD3" s="146">
        <v>5</v>
      </c>
      <c r="AE3" s="150" t="s">
        <v>135</v>
      </c>
      <c r="AF3" s="147" t="s">
        <v>135</v>
      </c>
      <c r="AG3" s="146">
        <v>5</v>
      </c>
      <c r="AH3" s="146">
        <v>5</v>
      </c>
      <c r="AI3" s="146" t="s">
        <v>1044</v>
      </c>
      <c r="AJ3" s="148"/>
      <c r="AK3" s="149"/>
      <c r="AL3" s="146">
        <v>1</v>
      </c>
      <c r="AM3" s="146">
        <v>1</v>
      </c>
      <c r="AN3" s="146">
        <v>1</v>
      </c>
      <c r="AO3" s="150">
        <v>1</v>
      </c>
      <c r="AP3" s="147">
        <v>1</v>
      </c>
      <c r="AQ3" s="146">
        <v>1</v>
      </c>
      <c r="AR3" s="146">
        <v>1</v>
      </c>
      <c r="AS3" s="151"/>
      <c r="AT3" s="148"/>
      <c r="AU3" s="149" t="s">
        <v>135</v>
      </c>
      <c r="AV3" s="146" t="s">
        <v>135</v>
      </c>
      <c r="AW3" s="146" t="s">
        <v>135</v>
      </c>
      <c r="AX3" s="146" t="s">
        <v>135</v>
      </c>
      <c r="AY3" s="150" t="s">
        <v>135</v>
      </c>
      <c r="AZ3" s="147">
        <v>4</v>
      </c>
      <c r="BA3" s="146">
        <v>2</v>
      </c>
      <c r="BB3" s="146">
        <v>2</v>
      </c>
      <c r="BC3" s="146">
        <v>2</v>
      </c>
      <c r="BD3" s="148">
        <v>2</v>
      </c>
      <c r="BE3" s="149"/>
      <c r="BF3" s="146"/>
      <c r="BG3" s="146" t="s">
        <v>135</v>
      </c>
      <c r="BH3" s="146" t="s">
        <v>135</v>
      </c>
      <c r="BI3" s="150" t="s">
        <v>135</v>
      </c>
      <c r="BJ3" s="147" t="s">
        <v>135</v>
      </c>
      <c r="BK3" s="146" t="s">
        <v>135</v>
      </c>
      <c r="BL3" s="146">
        <v>4</v>
      </c>
      <c r="BM3" s="146">
        <v>2</v>
      </c>
      <c r="BN3" s="148">
        <v>2</v>
      </c>
      <c r="BO3" s="149">
        <v>2</v>
      </c>
      <c r="BP3" s="146">
        <v>2</v>
      </c>
      <c r="BQ3" s="146"/>
      <c r="BR3" s="146"/>
      <c r="BS3" s="150">
        <v>3</v>
      </c>
      <c r="BT3" s="147"/>
      <c r="BU3" s="146"/>
      <c r="BV3" s="146" t="s">
        <v>135</v>
      </c>
      <c r="BW3" s="146" t="s">
        <v>135</v>
      </c>
      <c r="BX3" s="148" t="s">
        <v>135</v>
      </c>
      <c r="BY3" s="149" t="s">
        <v>135</v>
      </c>
      <c r="BZ3" s="146"/>
      <c r="CA3" s="146"/>
      <c r="CB3" s="146" t="s">
        <v>135</v>
      </c>
      <c r="CC3" s="150" t="s">
        <v>135</v>
      </c>
      <c r="CD3" s="147" t="s">
        <v>135</v>
      </c>
      <c r="CE3" s="146"/>
      <c r="CF3" s="146"/>
      <c r="CG3" s="146">
        <v>5</v>
      </c>
      <c r="CH3" s="150" t="s">
        <v>1044</v>
      </c>
      <c r="CI3" s="147" t="s">
        <v>1044</v>
      </c>
      <c r="CJ3" s="144"/>
      <c r="CK3" s="144"/>
      <c r="CL3" s="144"/>
      <c r="CM3" s="145"/>
      <c r="CN3" s="343"/>
      <c r="CO3" s="343"/>
      <c r="CP3" s="343"/>
      <c r="CQ3" s="343"/>
      <c r="CR3" s="343"/>
      <c r="CS3" s="343"/>
      <c r="CT3" s="343"/>
      <c r="CU3" s="343"/>
      <c r="CV3" s="343"/>
      <c r="CW3" s="343"/>
      <c r="CX3" s="343"/>
      <c r="CY3" s="343"/>
      <c r="CZ3" s="343"/>
      <c r="DA3" s="343"/>
      <c r="DB3" s="343"/>
      <c r="DC3" s="343"/>
      <c r="DD3" s="343"/>
      <c r="DE3" s="343"/>
      <c r="DF3" s="343"/>
      <c r="DG3" s="343"/>
      <c r="DH3" s="343"/>
      <c r="DI3" s="343"/>
      <c r="DJ3" s="343"/>
      <c r="DK3" s="343"/>
      <c r="DL3" s="343"/>
      <c r="DM3" s="343"/>
      <c r="DN3" s="343"/>
      <c r="DO3" s="343"/>
      <c r="DP3" s="343"/>
      <c r="DQ3" s="343"/>
    </row>
    <row r="4" spans="1:121" s="344" customFormat="1" ht="156.75" customHeight="1" x14ac:dyDescent="0.2">
      <c r="A4" s="184"/>
      <c r="B4" s="220"/>
      <c r="C4" s="220"/>
      <c r="D4" s="220"/>
      <c r="F4" s="220"/>
      <c r="G4" s="220"/>
      <c r="H4" s="227"/>
      <c r="I4" s="647" t="s">
        <v>36</v>
      </c>
      <c r="J4" s="648"/>
      <c r="K4" s="649"/>
      <c r="L4" s="143" t="s">
        <v>1044</v>
      </c>
      <c r="M4" s="144" t="s">
        <v>1044</v>
      </c>
      <c r="N4" s="144" t="s">
        <v>1044</v>
      </c>
      <c r="O4" s="144" t="s">
        <v>1044</v>
      </c>
      <c r="P4" s="145" t="s">
        <v>1044</v>
      </c>
      <c r="Q4" s="143"/>
      <c r="R4" s="146"/>
      <c r="S4" s="146" t="s">
        <v>136</v>
      </c>
      <c r="T4" s="146" t="s">
        <v>137</v>
      </c>
      <c r="U4" s="150" t="s">
        <v>138</v>
      </c>
      <c r="V4" s="147" t="s">
        <v>139</v>
      </c>
      <c r="W4" s="146" t="s">
        <v>140</v>
      </c>
      <c r="X4" s="146" t="s">
        <v>141</v>
      </c>
      <c r="Y4" s="146" t="s">
        <v>142</v>
      </c>
      <c r="Z4" s="148" t="s">
        <v>143</v>
      </c>
      <c r="AA4" s="149" t="s">
        <v>144</v>
      </c>
      <c r="AB4" s="146" t="s">
        <v>145</v>
      </c>
      <c r="AC4" s="146" t="s">
        <v>146</v>
      </c>
      <c r="AD4" s="146" t="s">
        <v>147</v>
      </c>
      <c r="AE4" s="150" t="s">
        <v>148</v>
      </c>
      <c r="AF4" s="147" t="s">
        <v>149</v>
      </c>
      <c r="AG4" s="146" t="s">
        <v>922</v>
      </c>
      <c r="AH4" s="146" t="s">
        <v>921</v>
      </c>
      <c r="AI4" s="146" t="s">
        <v>1049</v>
      </c>
      <c r="AJ4" s="148"/>
      <c r="AK4" s="149"/>
      <c r="AL4" s="146" t="s">
        <v>150</v>
      </c>
      <c r="AM4" s="146" t="s">
        <v>151</v>
      </c>
      <c r="AN4" s="146" t="s">
        <v>152</v>
      </c>
      <c r="AO4" s="150" t="s">
        <v>153</v>
      </c>
      <c r="AP4" s="147" t="s">
        <v>154</v>
      </c>
      <c r="AQ4" s="146" t="s">
        <v>155</v>
      </c>
      <c r="AR4" s="146" t="s">
        <v>156</v>
      </c>
      <c r="AS4" s="151"/>
      <c r="AT4" s="148"/>
      <c r="AU4" s="149" t="s">
        <v>157</v>
      </c>
      <c r="AV4" s="146" t="s">
        <v>158</v>
      </c>
      <c r="AW4" s="146" t="s">
        <v>159</v>
      </c>
      <c r="AX4" s="146" t="s">
        <v>160</v>
      </c>
      <c r="AY4" s="150" t="s">
        <v>161</v>
      </c>
      <c r="AZ4" s="147" t="s">
        <v>162</v>
      </c>
      <c r="BA4" s="146" t="s">
        <v>163</v>
      </c>
      <c r="BB4" s="146" t="s">
        <v>164</v>
      </c>
      <c r="BC4" s="146" t="s">
        <v>165</v>
      </c>
      <c r="BD4" s="148" t="s">
        <v>166</v>
      </c>
      <c r="BE4" s="149"/>
      <c r="BF4" s="146"/>
      <c r="BG4" s="146" t="s">
        <v>167</v>
      </c>
      <c r="BH4" s="146" t="s">
        <v>168</v>
      </c>
      <c r="BI4" s="150" t="s">
        <v>169</v>
      </c>
      <c r="BJ4" s="147" t="s">
        <v>170</v>
      </c>
      <c r="BK4" s="146" t="s">
        <v>171</v>
      </c>
      <c r="BL4" s="146" t="s">
        <v>172</v>
      </c>
      <c r="BM4" s="146" t="s">
        <v>173</v>
      </c>
      <c r="BN4" s="148" t="s">
        <v>174</v>
      </c>
      <c r="BO4" s="149" t="s">
        <v>175</v>
      </c>
      <c r="BP4" s="146" t="s">
        <v>176</v>
      </c>
      <c r="BQ4" s="146"/>
      <c r="BR4" s="146"/>
      <c r="BS4" s="150" t="s">
        <v>177</v>
      </c>
      <c r="BT4" s="147"/>
      <c r="BU4" s="146"/>
      <c r="BV4" s="146" t="s">
        <v>178</v>
      </c>
      <c r="BW4" s="146" t="s">
        <v>179</v>
      </c>
      <c r="BX4" s="148" t="s">
        <v>180</v>
      </c>
      <c r="BY4" s="149" t="s">
        <v>181</v>
      </c>
      <c r="BZ4" s="146"/>
      <c r="CA4" s="146"/>
      <c r="CB4" s="146" t="s">
        <v>182</v>
      </c>
      <c r="CC4" s="150" t="s">
        <v>183</v>
      </c>
      <c r="CD4" s="147" t="s">
        <v>622</v>
      </c>
      <c r="CE4" s="146"/>
      <c r="CF4" s="146"/>
      <c r="CG4" s="146" t="s">
        <v>623</v>
      </c>
      <c r="CH4" s="150" t="s">
        <v>41</v>
      </c>
      <c r="CI4" s="147" t="s">
        <v>42</v>
      </c>
      <c r="CJ4" s="144"/>
      <c r="CK4" s="144"/>
      <c r="CL4" s="144"/>
      <c r="CM4" s="145"/>
      <c r="CN4" s="343"/>
      <c r="CO4" s="343"/>
      <c r="CP4" s="343"/>
      <c r="CQ4" s="343"/>
      <c r="CR4" s="343"/>
      <c r="CS4" s="343"/>
      <c r="CT4" s="343"/>
      <c r="CU4" s="343"/>
      <c r="CV4" s="343"/>
      <c r="CW4" s="343"/>
      <c r="CX4" s="343"/>
      <c r="CY4" s="343"/>
      <c r="CZ4" s="343"/>
      <c r="DA4" s="343"/>
      <c r="DB4" s="343"/>
      <c r="DC4" s="343"/>
      <c r="DD4" s="343"/>
      <c r="DE4" s="234"/>
      <c r="DF4" s="343"/>
      <c r="DG4" s="234"/>
      <c r="DH4" s="343"/>
      <c r="DI4" s="234"/>
      <c r="DJ4" s="343"/>
      <c r="DK4" s="234"/>
      <c r="DL4" s="343"/>
      <c r="DM4" s="234"/>
      <c r="DN4" s="343"/>
      <c r="DO4" s="234"/>
      <c r="DP4" s="343"/>
      <c r="DQ4" s="343"/>
    </row>
    <row r="5" spans="1:121" s="220" customFormat="1" ht="409.5" customHeight="1" x14ac:dyDescent="0.2">
      <c r="A5" s="184"/>
      <c r="H5" s="345" t="s">
        <v>25</v>
      </c>
      <c r="I5" s="694" t="s">
        <v>11</v>
      </c>
      <c r="J5" s="695"/>
      <c r="K5" s="696"/>
      <c r="L5" s="143" t="s">
        <v>130</v>
      </c>
      <c r="M5" s="144" t="s">
        <v>131</v>
      </c>
      <c r="N5" s="144" t="s">
        <v>132</v>
      </c>
      <c r="O5" s="144" t="s">
        <v>133</v>
      </c>
      <c r="P5" s="145" t="s">
        <v>134</v>
      </c>
      <c r="Q5" s="143"/>
      <c r="R5" s="152" t="s">
        <v>43</v>
      </c>
      <c r="S5" s="151" t="s">
        <v>184</v>
      </c>
      <c r="T5" s="151" t="s">
        <v>185</v>
      </c>
      <c r="U5" s="153" t="s">
        <v>624</v>
      </c>
      <c r="V5" s="154" t="s">
        <v>186</v>
      </c>
      <c r="W5" s="151" t="s">
        <v>187</v>
      </c>
      <c r="X5" s="151" t="s">
        <v>188</v>
      </c>
      <c r="Y5" s="151" t="s">
        <v>625</v>
      </c>
      <c r="Z5" s="155" t="s">
        <v>189</v>
      </c>
      <c r="AA5" s="156" t="s">
        <v>190</v>
      </c>
      <c r="AB5" s="151" t="s">
        <v>191</v>
      </c>
      <c r="AC5" s="151" t="s">
        <v>192</v>
      </c>
      <c r="AD5" s="151" t="s">
        <v>193</v>
      </c>
      <c r="AE5" s="157" t="s">
        <v>627</v>
      </c>
      <c r="AF5" s="154" t="s">
        <v>626</v>
      </c>
      <c r="AG5" s="158" t="s">
        <v>952</v>
      </c>
      <c r="AH5" s="159" t="s">
        <v>953</v>
      </c>
      <c r="AI5" s="159" t="s">
        <v>1048</v>
      </c>
      <c r="AJ5" s="155"/>
      <c r="AK5" s="160" t="s">
        <v>628</v>
      </c>
      <c r="AL5" s="151" t="s">
        <v>194</v>
      </c>
      <c r="AM5" s="151" t="s">
        <v>195</v>
      </c>
      <c r="AN5" s="151" t="s">
        <v>196</v>
      </c>
      <c r="AO5" s="153" t="s">
        <v>197</v>
      </c>
      <c r="AP5" s="154" t="s">
        <v>198</v>
      </c>
      <c r="AQ5" s="151" t="s">
        <v>199</v>
      </c>
      <c r="AR5" s="151" t="s">
        <v>200</v>
      </c>
      <c r="AS5" s="151"/>
      <c r="AT5" s="161" t="s">
        <v>629</v>
      </c>
      <c r="AU5" s="156" t="s">
        <v>201</v>
      </c>
      <c r="AV5" s="151" t="s">
        <v>202</v>
      </c>
      <c r="AW5" s="151" t="s">
        <v>203</v>
      </c>
      <c r="AX5" s="151" t="s">
        <v>204</v>
      </c>
      <c r="AY5" s="153" t="s">
        <v>205</v>
      </c>
      <c r="AZ5" s="154" t="s">
        <v>206</v>
      </c>
      <c r="BA5" s="151" t="s">
        <v>630</v>
      </c>
      <c r="BB5" s="151" t="s">
        <v>631</v>
      </c>
      <c r="BC5" s="151" t="s">
        <v>632</v>
      </c>
      <c r="BD5" s="155" t="s">
        <v>633</v>
      </c>
      <c r="BE5" s="156"/>
      <c r="BF5" s="152" t="s">
        <v>634</v>
      </c>
      <c r="BG5" s="151" t="s">
        <v>207</v>
      </c>
      <c r="BH5" s="151" t="s">
        <v>208</v>
      </c>
      <c r="BI5" s="153" t="s">
        <v>209</v>
      </c>
      <c r="BJ5" s="154" t="s">
        <v>210</v>
      </c>
      <c r="BK5" s="151" t="s">
        <v>635</v>
      </c>
      <c r="BL5" s="151" t="s">
        <v>211</v>
      </c>
      <c r="BM5" s="158" t="s">
        <v>636</v>
      </c>
      <c r="BN5" s="162" t="s">
        <v>637</v>
      </c>
      <c r="BO5" s="156" t="s">
        <v>638</v>
      </c>
      <c r="BP5" s="151" t="s">
        <v>639</v>
      </c>
      <c r="BQ5" s="151"/>
      <c r="BR5" s="152" t="s">
        <v>44</v>
      </c>
      <c r="BS5" s="157" t="s">
        <v>212</v>
      </c>
      <c r="BT5" s="163"/>
      <c r="BU5" s="152" t="s">
        <v>640</v>
      </c>
      <c r="BV5" s="158" t="s">
        <v>213</v>
      </c>
      <c r="BW5" s="151" t="s">
        <v>214</v>
      </c>
      <c r="BX5" s="162" t="s">
        <v>215</v>
      </c>
      <c r="BY5" s="164" t="s">
        <v>216</v>
      </c>
      <c r="BZ5" s="151"/>
      <c r="CA5" s="152" t="s">
        <v>641</v>
      </c>
      <c r="CB5" s="151" t="s">
        <v>217</v>
      </c>
      <c r="CC5" s="153" t="s">
        <v>218</v>
      </c>
      <c r="CD5" s="165" t="s">
        <v>219</v>
      </c>
      <c r="CE5" s="151"/>
      <c r="CF5" s="151"/>
      <c r="CG5" s="151" t="s">
        <v>642</v>
      </c>
      <c r="CH5" s="153" t="s">
        <v>45</v>
      </c>
      <c r="CI5" s="154" t="s">
        <v>643</v>
      </c>
      <c r="CJ5" s="144"/>
      <c r="CK5" s="144"/>
      <c r="CL5" s="144"/>
      <c r="CM5" s="145"/>
      <c r="CN5" s="346"/>
      <c r="CO5" s="347"/>
      <c r="CP5" s="346"/>
      <c r="CQ5" s="347"/>
      <c r="CR5" s="346"/>
      <c r="CS5" s="347"/>
      <c r="CT5" s="346"/>
      <c r="CU5" s="347"/>
      <c r="CV5" s="346"/>
      <c r="CW5" s="348"/>
      <c r="CX5" s="346"/>
      <c r="CY5" s="348"/>
      <c r="CZ5" s="346"/>
      <c r="DA5" s="346"/>
      <c r="DB5" s="346"/>
      <c r="DC5" s="347"/>
      <c r="DD5" s="346"/>
      <c r="DE5" s="346"/>
      <c r="DF5" s="346"/>
      <c r="DG5" s="346"/>
      <c r="DH5" s="346"/>
      <c r="DI5" s="346"/>
      <c r="DJ5" s="346"/>
      <c r="DK5" s="347"/>
      <c r="DL5" s="346"/>
      <c r="DM5" s="348"/>
      <c r="DN5" s="346"/>
      <c r="DO5" s="346"/>
      <c r="DP5" s="346"/>
      <c r="DQ5" s="348"/>
    </row>
    <row r="6" spans="1:121" s="220" customFormat="1" ht="140.25" customHeight="1" thickBot="1" x14ac:dyDescent="0.3">
      <c r="A6" s="184"/>
      <c r="D6" s="224"/>
      <c r="E6" s="226" t="s">
        <v>24</v>
      </c>
      <c r="I6" s="697" t="s">
        <v>37</v>
      </c>
      <c r="J6" s="698"/>
      <c r="K6" s="699"/>
      <c r="L6" s="166" t="s">
        <v>1044</v>
      </c>
      <c r="M6" s="167" t="s">
        <v>1044</v>
      </c>
      <c r="N6" s="167" t="s">
        <v>1044</v>
      </c>
      <c r="O6" s="167" t="s">
        <v>1044</v>
      </c>
      <c r="P6" s="168" t="s">
        <v>1044</v>
      </c>
      <c r="Q6" s="166"/>
      <c r="R6" s="169"/>
      <c r="S6" s="169" t="s">
        <v>220</v>
      </c>
      <c r="T6" s="169" t="s">
        <v>221</v>
      </c>
      <c r="U6" s="170" t="s">
        <v>222</v>
      </c>
      <c r="V6" s="171" t="s">
        <v>223</v>
      </c>
      <c r="W6" s="169" t="s">
        <v>224</v>
      </c>
      <c r="X6" s="169" t="s">
        <v>225</v>
      </c>
      <c r="Y6" s="169" t="s">
        <v>226</v>
      </c>
      <c r="Z6" s="172" t="s">
        <v>227</v>
      </c>
      <c r="AA6" s="173" t="s">
        <v>228</v>
      </c>
      <c r="AB6" s="169" t="s">
        <v>229</v>
      </c>
      <c r="AC6" s="169" t="s">
        <v>230</v>
      </c>
      <c r="AD6" s="169" t="s">
        <v>231</v>
      </c>
      <c r="AE6" s="170" t="s">
        <v>232</v>
      </c>
      <c r="AF6" s="171" t="s">
        <v>233</v>
      </c>
      <c r="AG6" s="169" t="s">
        <v>919</v>
      </c>
      <c r="AH6" s="169" t="s">
        <v>920</v>
      </c>
      <c r="AI6" s="169" t="s">
        <v>1047</v>
      </c>
      <c r="AJ6" s="172"/>
      <c r="AK6" s="173"/>
      <c r="AL6" s="169" t="s">
        <v>46</v>
      </c>
      <c r="AM6" s="169" t="s">
        <v>47</v>
      </c>
      <c r="AN6" s="169" t="s">
        <v>48</v>
      </c>
      <c r="AO6" s="170" t="s">
        <v>49</v>
      </c>
      <c r="AP6" s="171" t="s">
        <v>50</v>
      </c>
      <c r="AQ6" s="169" t="s">
        <v>234</v>
      </c>
      <c r="AR6" s="169" t="s">
        <v>51</v>
      </c>
      <c r="AS6" s="174"/>
      <c r="AT6" s="172"/>
      <c r="AU6" s="173" t="s">
        <v>235</v>
      </c>
      <c r="AV6" s="169" t="s">
        <v>236</v>
      </c>
      <c r="AW6" s="169" t="s">
        <v>237</v>
      </c>
      <c r="AX6" s="169" t="s">
        <v>238</v>
      </c>
      <c r="AY6" s="170" t="s">
        <v>239</v>
      </c>
      <c r="AZ6" s="171" t="s">
        <v>240</v>
      </c>
      <c r="BA6" s="169" t="s">
        <v>52</v>
      </c>
      <c r="BB6" s="169" t="s">
        <v>53</v>
      </c>
      <c r="BC6" s="169" t="s">
        <v>54</v>
      </c>
      <c r="BD6" s="172" t="s">
        <v>55</v>
      </c>
      <c r="BE6" s="173"/>
      <c r="BF6" s="169"/>
      <c r="BG6" s="169" t="s">
        <v>241</v>
      </c>
      <c r="BH6" s="169" t="s">
        <v>242</v>
      </c>
      <c r="BI6" s="170" t="s">
        <v>243</v>
      </c>
      <c r="BJ6" s="171" t="s">
        <v>244</v>
      </c>
      <c r="BK6" s="169" t="s">
        <v>245</v>
      </c>
      <c r="BL6" s="169" t="s">
        <v>246</v>
      </c>
      <c r="BM6" s="169" t="s">
        <v>56</v>
      </c>
      <c r="BN6" s="172" t="s">
        <v>57</v>
      </c>
      <c r="BO6" s="173" t="s">
        <v>58</v>
      </c>
      <c r="BP6" s="169" t="s">
        <v>59</v>
      </c>
      <c r="BQ6" s="169"/>
      <c r="BR6" s="169"/>
      <c r="BS6" s="170" t="s">
        <v>247</v>
      </c>
      <c r="BT6" s="171"/>
      <c r="BU6" s="169"/>
      <c r="BV6" s="169" t="s">
        <v>644</v>
      </c>
      <c r="BW6" s="169" t="s">
        <v>645</v>
      </c>
      <c r="BX6" s="172" t="s">
        <v>646</v>
      </c>
      <c r="BY6" s="173" t="s">
        <v>647</v>
      </c>
      <c r="BZ6" s="169"/>
      <c r="CA6" s="169"/>
      <c r="CB6" s="169" t="s">
        <v>60</v>
      </c>
      <c r="CC6" s="170" t="s">
        <v>61</v>
      </c>
      <c r="CD6" s="171" t="s">
        <v>249</v>
      </c>
      <c r="CE6" s="169"/>
      <c r="CF6" s="169"/>
      <c r="CG6" s="169" t="s">
        <v>648</v>
      </c>
      <c r="CH6" s="170" t="s">
        <v>62</v>
      </c>
      <c r="CI6" s="171" t="s">
        <v>62</v>
      </c>
      <c r="CJ6" s="167"/>
      <c r="CK6" s="167"/>
      <c r="CL6" s="167"/>
      <c r="CM6" s="168"/>
      <c r="CN6" s="343"/>
      <c r="CO6" s="343"/>
      <c r="CP6" s="343"/>
      <c r="CQ6" s="349"/>
      <c r="CR6" s="348"/>
      <c r="CS6" s="348"/>
      <c r="CT6" s="349"/>
      <c r="CU6" s="350"/>
      <c r="CV6" s="351"/>
      <c r="CW6" s="352"/>
      <c r="CX6" s="352"/>
      <c r="CY6" s="352"/>
      <c r="CZ6" s="353"/>
      <c r="DA6" s="354"/>
      <c r="DB6" s="354"/>
      <c r="DC6" s="354"/>
      <c r="DD6" s="343"/>
      <c r="DE6" s="354"/>
      <c r="DF6" s="355"/>
      <c r="DG6" s="354"/>
      <c r="DH6" s="355"/>
      <c r="DI6" s="354"/>
      <c r="DJ6" s="355"/>
      <c r="DK6" s="354"/>
      <c r="DL6" s="355"/>
      <c r="DM6" s="354"/>
      <c r="DN6" s="355"/>
      <c r="DO6" s="354"/>
      <c r="DP6" s="355"/>
      <c r="DQ6" s="355"/>
    </row>
    <row r="7" spans="1:121" s="316" customFormat="1" ht="25.5" customHeight="1" x14ac:dyDescent="0.25">
      <c r="A7" s="700" t="s">
        <v>3</v>
      </c>
      <c r="B7" s="703" t="s">
        <v>13</v>
      </c>
      <c r="C7" s="703" t="s">
        <v>1</v>
      </c>
      <c r="D7" s="703" t="s">
        <v>23</v>
      </c>
      <c r="E7" s="703" t="s">
        <v>11</v>
      </c>
      <c r="F7" s="703" t="s">
        <v>22</v>
      </c>
      <c r="G7" s="703" t="s">
        <v>37</v>
      </c>
      <c r="H7" s="706" t="s">
        <v>12</v>
      </c>
      <c r="I7" s="709" t="s">
        <v>2</v>
      </c>
      <c r="J7" s="710"/>
      <c r="K7" s="711"/>
      <c r="L7" s="136">
        <v>1</v>
      </c>
      <c r="M7" s="103">
        <v>2</v>
      </c>
      <c r="N7" s="103">
        <v>3</v>
      </c>
      <c r="O7" s="103">
        <v>4</v>
      </c>
      <c r="P7" s="137">
        <v>5</v>
      </c>
      <c r="Q7" s="136"/>
      <c r="R7" s="103"/>
      <c r="S7" s="103"/>
      <c r="T7" s="103"/>
      <c r="U7" s="138"/>
      <c r="V7" s="139"/>
      <c r="W7" s="103"/>
      <c r="X7" s="103"/>
      <c r="Y7" s="103"/>
      <c r="Z7" s="137"/>
      <c r="AA7" s="136"/>
      <c r="AB7" s="103"/>
      <c r="AC7" s="103"/>
      <c r="AD7" s="103"/>
      <c r="AE7" s="138"/>
      <c r="AF7" s="139"/>
      <c r="AG7" s="103"/>
      <c r="AH7" s="103"/>
      <c r="AI7" s="103"/>
      <c r="AJ7" s="137"/>
      <c r="AK7" s="136"/>
      <c r="AL7" s="103"/>
      <c r="AM7" s="103"/>
      <c r="AN7" s="103"/>
      <c r="AO7" s="138"/>
      <c r="AP7" s="139"/>
      <c r="AQ7" s="103"/>
      <c r="AR7" s="103"/>
      <c r="AS7" s="103"/>
      <c r="AT7" s="137"/>
      <c r="AU7" s="136"/>
      <c r="AV7" s="103"/>
      <c r="AW7" s="103"/>
      <c r="AX7" s="103"/>
      <c r="AY7" s="138"/>
      <c r="AZ7" s="139"/>
      <c r="BA7" s="103"/>
      <c r="BB7" s="103"/>
      <c r="BC7" s="103"/>
      <c r="BD7" s="137"/>
      <c r="BE7" s="136"/>
      <c r="BF7" s="103"/>
      <c r="BG7" s="103"/>
      <c r="BH7" s="103"/>
      <c r="BI7" s="138"/>
      <c r="BJ7" s="139"/>
      <c r="BK7" s="103"/>
      <c r="BL7" s="103"/>
      <c r="BM7" s="103"/>
      <c r="BN7" s="137"/>
      <c r="BO7" s="136"/>
      <c r="BP7" s="103"/>
      <c r="BQ7" s="103"/>
      <c r="BR7" s="103"/>
      <c r="BS7" s="138"/>
      <c r="BT7" s="139"/>
      <c r="BU7" s="103"/>
      <c r="BV7" s="103"/>
      <c r="BW7" s="103"/>
      <c r="BX7" s="137"/>
      <c r="BY7" s="136"/>
      <c r="BZ7" s="103"/>
      <c r="CA7" s="103"/>
      <c r="CB7" s="103"/>
      <c r="CC7" s="138"/>
      <c r="CD7" s="139"/>
      <c r="CE7" s="103"/>
      <c r="CF7" s="103"/>
      <c r="CG7" s="103"/>
      <c r="CH7" s="138"/>
      <c r="CI7" s="139"/>
      <c r="CJ7" s="215"/>
      <c r="CK7" s="215"/>
      <c r="CL7" s="215"/>
      <c r="CM7" s="216"/>
    </row>
    <row r="8" spans="1:121" s="316" customFormat="1" ht="25.5" customHeight="1" x14ac:dyDescent="0.25">
      <c r="A8" s="701"/>
      <c r="B8" s="704"/>
      <c r="C8" s="704"/>
      <c r="D8" s="704"/>
      <c r="E8" s="704"/>
      <c r="F8" s="704"/>
      <c r="G8" s="704"/>
      <c r="H8" s="707"/>
      <c r="I8" s="262"/>
      <c r="J8" s="712" t="s">
        <v>4</v>
      </c>
      <c r="K8" s="713"/>
      <c r="L8" s="140"/>
      <c r="M8" s="76"/>
      <c r="N8" s="76"/>
      <c r="O8" s="76"/>
      <c r="P8" s="141"/>
      <c r="Q8" s="140"/>
      <c r="R8" s="76"/>
      <c r="S8" s="76"/>
      <c r="T8" s="76"/>
      <c r="U8" s="81"/>
      <c r="V8" s="142"/>
      <c r="W8" s="76"/>
      <c r="X8" s="76"/>
      <c r="Y8" s="76"/>
      <c r="Z8" s="141"/>
      <c r="AA8" s="140"/>
      <c r="AB8" s="76"/>
      <c r="AC8" s="76"/>
      <c r="AD8" s="76"/>
      <c r="AE8" s="81"/>
      <c r="AF8" s="142"/>
      <c r="AG8" s="76"/>
      <c r="AH8" s="76"/>
      <c r="AI8" s="76"/>
      <c r="AJ8" s="141"/>
      <c r="AK8" s="140"/>
      <c r="AL8" s="76"/>
      <c r="AM8" s="76"/>
      <c r="AN8" s="76"/>
      <c r="AO8" s="81"/>
      <c r="AP8" s="142"/>
      <c r="AQ8" s="76"/>
      <c r="AR8" s="76"/>
      <c r="AS8" s="76"/>
      <c r="AT8" s="141"/>
      <c r="AU8" s="140"/>
      <c r="AV8" s="76"/>
      <c r="AW8" s="76"/>
      <c r="AX8" s="76"/>
      <c r="AY8" s="81"/>
      <c r="AZ8" s="142"/>
      <c r="BA8" s="76"/>
      <c r="BB8" s="76"/>
      <c r="BC8" s="76"/>
      <c r="BD8" s="141"/>
      <c r="BE8" s="140"/>
      <c r="BF8" s="76"/>
      <c r="BG8" s="76"/>
      <c r="BH8" s="76"/>
      <c r="BI8" s="81"/>
      <c r="BJ8" s="142"/>
      <c r="BK8" s="76"/>
      <c r="BL8" s="76"/>
      <c r="BM8" s="254"/>
      <c r="BN8" s="265"/>
      <c r="BO8" s="140"/>
      <c r="BP8" s="76"/>
      <c r="BQ8" s="76"/>
      <c r="BR8" s="76"/>
      <c r="BS8" s="81"/>
      <c r="BT8" s="142"/>
      <c r="BU8" s="76"/>
      <c r="BV8" s="76"/>
      <c r="BW8" s="76"/>
      <c r="BX8" s="141"/>
      <c r="BY8" s="140"/>
      <c r="BZ8" s="76"/>
      <c r="CA8" s="76"/>
      <c r="CB8" s="76"/>
      <c r="CC8" s="81"/>
      <c r="CD8" s="142"/>
      <c r="CE8" s="76"/>
      <c r="CF8" s="76"/>
      <c r="CG8" s="76"/>
      <c r="CH8" s="81"/>
      <c r="CI8" s="142"/>
      <c r="CJ8" s="199"/>
      <c r="CK8" s="199"/>
      <c r="CL8" s="199"/>
      <c r="CM8" s="200"/>
    </row>
    <row r="9" spans="1:121" s="316" customFormat="1" ht="25.5" customHeight="1" thickBot="1" x14ac:dyDescent="0.3">
      <c r="A9" s="702"/>
      <c r="B9" s="705"/>
      <c r="C9" s="705"/>
      <c r="D9" s="705"/>
      <c r="E9" s="705"/>
      <c r="F9" s="705"/>
      <c r="G9" s="705"/>
      <c r="H9" s="708"/>
      <c r="I9" s="356"/>
      <c r="J9" s="357"/>
      <c r="K9" s="205" t="s">
        <v>5</v>
      </c>
      <c r="L9" s="266"/>
      <c r="M9" s="255"/>
      <c r="N9" s="255"/>
      <c r="O9" s="255"/>
      <c r="P9" s="267"/>
      <c r="Q9" s="266"/>
      <c r="R9" s="89"/>
      <c r="S9" s="89"/>
      <c r="T9" s="89"/>
      <c r="U9" s="268"/>
      <c r="V9" s="269"/>
      <c r="W9" s="89"/>
      <c r="X9" s="89"/>
      <c r="Y9" s="89"/>
      <c r="Z9" s="270"/>
      <c r="AA9" s="271"/>
      <c r="AB9" s="89"/>
      <c r="AC9" s="89"/>
      <c r="AD9" s="89"/>
      <c r="AE9" s="268"/>
      <c r="AF9" s="269"/>
      <c r="AG9" s="89"/>
      <c r="AH9" s="89"/>
      <c r="AI9" s="89"/>
      <c r="AJ9" s="270"/>
      <c r="AK9" s="271"/>
      <c r="AL9" s="89" t="s">
        <v>910</v>
      </c>
      <c r="AM9" s="89">
        <v>18</v>
      </c>
      <c r="AN9" s="89">
        <v>1</v>
      </c>
      <c r="AO9" s="268">
        <v>19</v>
      </c>
      <c r="AP9" s="269">
        <v>1</v>
      </c>
      <c r="AQ9" s="89">
        <v>19</v>
      </c>
      <c r="AR9" s="89"/>
      <c r="AS9" s="89"/>
      <c r="AT9" s="270"/>
      <c r="AU9" s="271">
        <v>2</v>
      </c>
      <c r="AV9" s="89">
        <v>2</v>
      </c>
      <c r="AW9" s="89"/>
      <c r="AX9" s="89"/>
      <c r="AY9" s="268"/>
      <c r="AZ9" s="269"/>
      <c r="BA9" s="89">
        <v>1</v>
      </c>
      <c r="BB9" s="89">
        <v>20</v>
      </c>
      <c r="BC9" s="89">
        <v>1</v>
      </c>
      <c r="BD9" s="270">
        <v>20</v>
      </c>
      <c r="BE9" s="271"/>
      <c r="BF9" s="89"/>
      <c r="BG9" s="89">
        <v>2</v>
      </c>
      <c r="BH9" s="89">
        <v>2</v>
      </c>
      <c r="BI9" s="268"/>
      <c r="BJ9" s="269"/>
      <c r="BK9" s="89"/>
      <c r="BL9" s="89"/>
      <c r="BM9" s="89">
        <v>1</v>
      </c>
      <c r="BN9" s="270">
        <v>20</v>
      </c>
      <c r="BO9" s="271">
        <v>1</v>
      </c>
      <c r="BP9" s="89">
        <v>20</v>
      </c>
      <c r="BQ9" s="89"/>
      <c r="BR9" s="89"/>
      <c r="BS9" s="268"/>
      <c r="BT9" s="269"/>
      <c r="BU9" s="89"/>
      <c r="BV9" s="255">
        <v>2</v>
      </c>
      <c r="BW9" s="255" t="s">
        <v>250</v>
      </c>
      <c r="BX9" s="270">
        <v>2</v>
      </c>
      <c r="BY9" s="266" t="s">
        <v>250</v>
      </c>
      <c r="BZ9" s="89"/>
      <c r="CA9" s="89"/>
      <c r="CB9" s="89"/>
      <c r="CC9" s="268"/>
      <c r="CD9" s="269"/>
      <c r="CE9" s="89"/>
      <c r="CF9" s="89"/>
      <c r="CG9" s="89"/>
      <c r="CH9" s="268"/>
      <c r="CI9" s="269"/>
      <c r="CJ9" s="204"/>
      <c r="CK9" s="204"/>
      <c r="CL9" s="204"/>
      <c r="CM9" s="205"/>
    </row>
    <row r="10" spans="1:121" ht="25.5" customHeight="1" x14ac:dyDescent="0.25">
      <c r="A10" s="318">
        <v>251</v>
      </c>
      <c r="B10" s="75">
        <v>0</v>
      </c>
      <c r="C10" s="75" t="s">
        <v>135</v>
      </c>
      <c r="D10" s="92" t="s">
        <v>524</v>
      </c>
      <c r="E10" s="93" t="s">
        <v>525</v>
      </c>
      <c r="F10" s="130"/>
      <c r="G10" s="92" t="s">
        <v>526</v>
      </c>
      <c r="H10" s="113" t="s">
        <v>879</v>
      </c>
      <c r="I10" s="259"/>
      <c r="J10" s="130"/>
      <c r="K10" s="260"/>
      <c r="L10" s="308"/>
      <c r="M10" s="304"/>
      <c r="N10" s="304"/>
      <c r="O10" s="304"/>
      <c r="P10" s="359"/>
      <c r="Q10" s="272"/>
      <c r="R10" s="92"/>
      <c r="S10" s="304"/>
      <c r="T10" s="304"/>
      <c r="U10" s="361"/>
      <c r="V10" s="362"/>
      <c r="W10" s="304"/>
      <c r="X10" s="304"/>
      <c r="Y10" s="304"/>
      <c r="Z10" s="359"/>
      <c r="AA10" s="308"/>
      <c r="AB10" s="304"/>
      <c r="AC10" s="304"/>
      <c r="AD10" s="304"/>
      <c r="AE10" s="361"/>
      <c r="AF10" s="362"/>
      <c r="AG10" s="304"/>
      <c r="AH10" s="304"/>
      <c r="AI10" s="304"/>
      <c r="AJ10" s="273"/>
      <c r="AK10" s="272"/>
      <c r="AL10" s="304"/>
      <c r="AM10" s="304"/>
      <c r="AN10" s="304"/>
      <c r="AO10" s="361"/>
      <c r="AP10" s="362"/>
      <c r="AQ10" s="304"/>
      <c r="AR10" s="304"/>
      <c r="AS10" s="92"/>
      <c r="AT10" s="273"/>
      <c r="AU10" s="308"/>
      <c r="AV10" s="304"/>
      <c r="AW10" s="304"/>
      <c r="AX10" s="304"/>
      <c r="AY10" s="361"/>
      <c r="AZ10" s="362"/>
      <c r="BA10" s="304"/>
      <c r="BB10" s="304"/>
      <c r="BC10" s="304"/>
      <c r="BD10" s="359"/>
      <c r="BE10" s="272"/>
      <c r="BF10" s="92"/>
      <c r="BG10" s="304"/>
      <c r="BH10" s="304"/>
      <c r="BI10" s="361"/>
      <c r="BJ10" s="362"/>
      <c r="BK10" s="304"/>
      <c r="BL10" s="304"/>
      <c r="BM10" s="304"/>
      <c r="BN10" s="359"/>
      <c r="BO10" s="308"/>
      <c r="BP10" s="304"/>
      <c r="BQ10" s="92"/>
      <c r="BR10" s="92"/>
      <c r="BS10" s="361"/>
      <c r="BT10" s="258"/>
      <c r="BU10" s="92"/>
      <c r="BV10" s="304"/>
      <c r="BW10" s="304"/>
      <c r="BX10" s="359"/>
      <c r="BY10" s="308"/>
      <c r="BZ10" s="92"/>
      <c r="CA10" s="92"/>
      <c r="CB10" s="304"/>
      <c r="CC10" s="361"/>
      <c r="CD10" s="362"/>
      <c r="CE10" s="92"/>
      <c r="CF10" s="92"/>
      <c r="CG10" s="304"/>
      <c r="CH10" s="363" t="s">
        <v>40</v>
      </c>
      <c r="CI10" s="364" t="s">
        <v>40</v>
      </c>
      <c r="CJ10" s="210"/>
      <c r="CK10" s="210"/>
      <c r="CL10" s="210"/>
      <c r="CM10" s="211"/>
      <c r="CN10" s="366"/>
      <c r="CO10" s="366"/>
      <c r="CP10" s="366"/>
      <c r="CQ10" s="366"/>
      <c r="CR10" s="366"/>
      <c r="CS10" s="366"/>
      <c r="CT10" s="366"/>
      <c r="CU10" s="366"/>
      <c r="CV10" s="366"/>
      <c r="CW10" s="366"/>
      <c r="CX10" s="366"/>
      <c r="CY10" s="366"/>
      <c r="CZ10" s="366"/>
      <c r="DA10" s="366"/>
      <c r="DB10" s="366"/>
      <c r="DC10" s="366"/>
      <c r="DD10" s="366"/>
      <c r="DE10" s="366"/>
      <c r="DF10" s="366"/>
      <c r="DG10" s="366"/>
      <c r="DH10" s="366"/>
      <c r="DI10" s="366"/>
      <c r="DJ10" s="366"/>
      <c r="DK10" s="366"/>
      <c r="DL10" s="366"/>
      <c r="DM10" s="366"/>
      <c r="DN10" s="366"/>
    </row>
    <row r="11" spans="1:121" ht="25.5" customHeight="1" x14ac:dyDescent="0.25">
      <c r="A11" s="324">
        <v>252</v>
      </c>
      <c r="B11" s="72">
        <v>0</v>
      </c>
      <c r="C11" s="72" t="s">
        <v>135</v>
      </c>
      <c r="D11" s="79" t="s">
        <v>527</v>
      </c>
      <c r="E11" s="77" t="s">
        <v>528</v>
      </c>
      <c r="F11" s="76"/>
      <c r="G11" s="79" t="s">
        <v>529</v>
      </c>
      <c r="H11" s="134" t="s">
        <v>880</v>
      </c>
      <c r="I11" s="142">
        <v>4</v>
      </c>
      <c r="J11" s="76"/>
      <c r="K11" s="141"/>
      <c r="L11" s="367"/>
      <c r="M11" s="307"/>
      <c r="N11" s="307"/>
      <c r="O11" s="368" t="s">
        <v>122</v>
      </c>
      <c r="P11" s="369"/>
      <c r="Q11" s="274"/>
      <c r="R11" s="79"/>
      <c r="S11" s="307"/>
      <c r="T11" s="307"/>
      <c r="U11" s="370"/>
      <c r="V11" s="306"/>
      <c r="W11" s="307"/>
      <c r="X11" s="307"/>
      <c r="Y11" s="307"/>
      <c r="Z11" s="369"/>
      <c r="AA11" s="367"/>
      <c r="AB11" s="307"/>
      <c r="AC11" s="307"/>
      <c r="AD11" s="307"/>
      <c r="AE11" s="370"/>
      <c r="AF11" s="306"/>
      <c r="AG11" s="307"/>
      <c r="AH11" s="307"/>
      <c r="AI11" s="307"/>
      <c r="AJ11" s="178"/>
      <c r="AK11" s="274"/>
      <c r="AL11" s="307"/>
      <c r="AM11" s="307"/>
      <c r="AN11" s="307"/>
      <c r="AO11" s="370"/>
      <c r="AP11" s="306"/>
      <c r="AQ11" s="307"/>
      <c r="AR11" s="307"/>
      <c r="AS11" s="79"/>
      <c r="AT11" s="178"/>
      <c r="AU11" s="367"/>
      <c r="AV11" s="307"/>
      <c r="AW11" s="307"/>
      <c r="AX11" s="371" t="s">
        <v>120</v>
      </c>
      <c r="AY11" s="370"/>
      <c r="AZ11" s="306"/>
      <c r="BA11" s="307"/>
      <c r="BB11" s="307"/>
      <c r="BC11" s="307"/>
      <c r="BD11" s="372" t="s">
        <v>121</v>
      </c>
      <c r="BE11" s="274"/>
      <c r="BF11" s="79"/>
      <c r="BG11" s="307"/>
      <c r="BH11" s="307"/>
      <c r="BI11" s="370"/>
      <c r="BJ11" s="306"/>
      <c r="BK11" s="307"/>
      <c r="BL11" s="307"/>
      <c r="BM11" s="307"/>
      <c r="BN11" s="369"/>
      <c r="BO11" s="367"/>
      <c r="BP11" s="307"/>
      <c r="BQ11" s="79"/>
      <c r="BR11" s="79"/>
      <c r="BS11" s="370"/>
      <c r="BT11" s="261"/>
      <c r="BU11" s="79"/>
      <c r="BV11" s="307"/>
      <c r="BW11" s="307"/>
      <c r="BX11" s="369"/>
      <c r="BY11" s="367"/>
      <c r="BZ11" s="79"/>
      <c r="CA11" s="79"/>
      <c r="CB11" s="307"/>
      <c r="CC11" s="370"/>
      <c r="CD11" s="306"/>
      <c r="CE11" s="79"/>
      <c r="CF11" s="79"/>
      <c r="CG11" s="307"/>
      <c r="CH11" s="374" t="s">
        <v>40</v>
      </c>
      <c r="CI11" s="373" t="s">
        <v>40</v>
      </c>
      <c r="CJ11" s="202"/>
      <c r="CK11" s="202"/>
      <c r="CL11" s="202"/>
      <c r="CM11" s="203"/>
      <c r="CN11" s="366"/>
      <c r="CO11" s="366"/>
      <c r="CP11" s="366"/>
      <c r="CQ11" s="366"/>
      <c r="CR11" s="366"/>
      <c r="CS11" s="366"/>
      <c r="CT11" s="366"/>
      <c r="CU11" s="366"/>
      <c r="CV11" s="366"/>
      <c r="CW11" s="366"/>
      <c r="CX11" s="366"/>
      <c r="CY11" s="366"/>
      <c r="CZ11" s="366"/>
      <c r="DA11" s="366"/>
      <c r="DB11" s="375"/>
      <c r="DC11" s="366"/>
      <c r="DD11" s="366"/>
      <c r="DE11" s="366"/>
      <c r="DF11" s="366"/>
      <c r="DG11" s="366"/>
      <c r="DH11" s="366"/>
      <c r="DI11" s="366"/>
      <c r="DJ11" s="366"/>
      <c r="DK11" s="366"/>
      <c r="DL11" s="366"/>
      <c r="DM11" s="366"/>
      <c r="DN11" s="366"/>
    </row>
    <row r="12" spans="1:121" ht="25.5" customHeight="1" x14ac:dyDescent="0.25">
      <c r="A12" s="324">
        <v>253</v>
      </c>
      <c r="B12" s="72">
        <v>0</v>
      </c>
      <c r="C12" s="72" t="s">
        <v>135</v>
      </c>
      <c r="D12" s="79" t="s">
        <v>530</v>
      </c>
      <c r="E12" s="77" t="s">
        <v>531</v>
      </c>
      <c r="F12" s="76"/>
      <c r="G12" s="79" t="s">
        <v>532</v>
      </c>
      <c r="H12" s="134" t="s">
        <v>890</v>
      </c>
      <c r="I12" s="142"/>
      <c r="J12" s="76"/>
      <c r="K12" s="141"/>
      <c r="L12" s="367"/>
      <c r="M12" s="307"/>
      <c r="N12" s="307"/>
      <c r="O12" s="307"/>
      <c r="P12" s="369"/>
      <c r="Q12" s="274"/>
      <c r="R12" s="79"/>
      <c r="S12" s="307"/>
      <c r="T12" s="307"/>
      <c r="U12" s="370"/>
      <c r="V12" s="306"/>
      <c r="W12" s="307"/>
      <c r="X12" s="307"/>
      <c r="Y12" s="307"/>
      <c r="Z12" s="369"/>
      <c r="AA12" s="367"/>
      <c r="AB12" s="307"/>
      <c r="AC12" s="307"/>
      <c r="AD12" s="307"/>
      <c r="AE12" s="370"/>
      <c r="AF12" s="306"/>
      <c r="AG12" s="307"/>
      <c r="AH12" s="307"/>
      <c r="AI12" s="307"/>
      <c r="AJ12" s="178"/>
      <c r="AK12" s="274"/>
      <c r="AL12" s="307"/>
      <c r="AM12" s="307"/>
      <c r="AN12" s="307"/>
      <c r="AO12" s="370"/>
      <c r="AP12" s="306"/>
      <c r="AQ12" s="307"/>
      <c r="AR12" s="307"/>
      <c r="AS12" s="79"/>
      <c r="AT12" s="178"/>
      <c r="AU12" s="367"/>
      <c r="AV12" s="307"/>
      <c r="AW12" s="307"/>
      <c r="AX12" s="307"/>
      <c r="AY12" s="374" t="s">
        <v>122</v>
      </c>
      <c r="AZ12" s="306"/>
      <c r="BA12" s="307"/>
      <c r="BB12" s="307"/>
      <c r="BC12" s="307"/>
      <c r="BD12" s="369"/>
      <c r="BE12" s="274"/>
      <c r="BF12" s="79"/>
      <c r="BG12" s="307"/>
      <c r="BH12" s="307"/>
      <c r="BI12" s="370"/>
      <c r="BJ12" s="306"/>
      <c r="BK12" s="307"/>
      <c r="BL12" s="307"/>
      <c r="BM12" s="307"/>
      <c r="BN12" s="369"/>
      <c r="BO12" s="367"/>
      <c r="BP12" s="307"/>
      <c r="BQ12" s="79"/>
      <c r="BR12" s="79"/>
      <c r="BS12" s="370"/>
      <c r="BT12" s="261"/>
      <c r="BU12" s="79"/>
      <c r="BV12" s="307"/>
      <c r="BW12" s="307"/>
      <c r="BX12" s="369"/>
      <c r="BY12" s="367"/>
      <c r="BZ12" s="79"/>
      <c r="CA12" s="79"/>
      <c r="CB12" s="307"/>
      <c r="CC12" s="370"/>
      <c r="CD12" s="306"/>
      <c r="CE12" s="79"/>
      <c r="CF12" s="79"/>
      <c r="CG12" s="307"/>
      <c r="CH12" s="370"/>
      <c r="CI12" s="306"/>
      <c r="CJ12" s="202"/>
      <c r="CK12" s="202"/>
      <c r="CL12" s="202"/>
      <c r="CM12" s="203"/>
      <c r="CN12" s="366"/>
      <c r="CO12" s="366"/>
      <c r="CP12" s="366"/>
      <c r="CQ12" s="366"/>
      <c r="CR12" s="366"/>
      <c r="CS12" s="366"/>
      <c r="CT12" s="366"/>
      <c r="CU12" s="366"/>
      <c r="CV12" s="366"/>
      <c r="CW12" s="366"/>
      <c r="CX12" s="366"/>
      <c r="CY12" s="366"/>
      <c r="CZ12" s="366"/>
      <c r="DA12" s="366"/>
      <c r="DB12" s="366"/>
      <c r="DC12" s="366"/>
      <c r="DD12" s="366"/>
      <c r="DE12" s="366"/>
      <c r="DF12" s="366"/>
      <c r="DG12" s="366"/>
      <c r="DH12" s="366"/>
      <c r="DI12" s="366"/>
      <c r="DJ12" s="366"/>
      <c r="DK12" s="366"/>
      <c r="DL12" s="366"/>
      <c r="DM12" s="366"/>
      <c r="DN12" s="366"/>
    </row>
    <row r="13" spans="1:121" ht="25.5" customHeight="1" x14ac:dyDescent="0.25">
      <c r="A13" s="324">
        <v>254</v>
      </c>
      <c r="B13" s="72">
        <v>0</v>
      </c>
      <c r="C13" s="72" t="s">
        <v>1044</v>
      </c>
      <c r="D13" s="79" t="s">
        <v>1044</v>
      </c>
      <c r="E13" s="77" t="s">
        <v>898</v>
      </c>
      <c r="F13" s="76"/>
      <c r="G13" s="79" t="s">
        <v>895</v>
      </c>
      <c r="H13" s="134" t="s">
        <v>892</v>
      </c>
      <c r="I13" s="142">
        <v>4</v>
      </c>
      <c r="J13" s="76"/>
      <c r="K13" s="141"/>
      <c r="L13" s="367"/>
      <c r="M13" s="307"/>
      <c r="N13" s="307"/>
      <c r="O13" s="368" t="s">
        <v>122</v>
      </c>
      <c r="P13" s="369"/>
      <c r="Q13" s="274"/>
      <c r="R13" s="79"/>
      <c r="S13" s="307"/>
      <c r="T13" s="307"/>
      <c r="U13" s="370"/>
      <c r="V13" s="306"/>
      <c r="W13" s="307"/>
      <c r="X13" s="307"/>
      <c r="Y13" s="307"/>
      <c r="Z13" s="369"/>
      <c r="AA13" s="367"/>
      <c r="AB13" s="307"/>
      <c r="AC13" s="307"/>
      <c r="AD13" s="307"/>
      <c r="AE13" s="370"/>
      <c r="AF13" s="306"/>
      <c r="AG13" s="307"/>
      <c r="AH13" s="307"/>
      <c r="AI13" s="307"/>
      <c r="AJ13" s="178"/>
      <c r="AK13" s="274"/>
      <c r="AL13" s="307"/>
      <c r="AM13" s="307"/>
      <c r="AN13" s="307"/>
      <c r="AO13" s="370"/>
      <c r="AP13" s="306"/>
      <c r="AQ13" s="307"/>
      <c r="AR13" s="307"/>
      <c r="AS13" s="79"/>
      <c r="AT13" s="178"/>
      <c r="AU13" s="367"/>
      <c r="AV13" s="307"/>
      <c r="AW13" s="307"/>
      <c r="AX13" s="371" t="s">
        <v>120</v>
      </c>
      <c r="AY13" s="370"/>
      <c r="AZ13" s="306"/>
      <c r="BA13" s="307"/>
      <c r="BB13" s="307"/>
      <c r="BC13" s="307"/>
      <c r="BD13" s="372" t="s">
        <v>121</v>
      </c>
      <c r="BE13" s="274"/>
      <c r="BF13" s="79"/>
      <c r="BG13" s="307"/>
      <c r="BH13" s="307"/>
      <c r="BI13" s="370"/>
      <c r="BJ13" s="306"/>
      <c r="BK13" s="307"/>
      <c r="BL13" s="307"/>
      <c r="BM13" s="307"/>
      <c r="BN13" s="369"/>
      <c r="BO13" s="367"/>
      <c r="BP13" s="307"/>
      <c r="BQ13" s="79"/>
      <c r="BR13" s="79"/>
      <c r="BS13" s="370"/>
      <c r="BT13" s="261"/>
      <c r="BU13" s="79"/>
      <c r="BV13" s="307"/>
      <c r="BW13" s="307"/>
      <c r="BX13" s="369"/>
      <c r="BY13" s="367"/>
      <c r="BZ13" s="79"/>
      <c r="CA13" s="79"/>
      <c r="CB13" s="307"/>
      <c r="CC13" s="370"/>
      <c r="CD13" s="306"/>
      <c r="CE13" s="79"/>
      <c r="CF13" s="79"/>
      <c r="CG13" s="307"/>
      <c r="CH13" s="374" t="s">
        <v>40</v>
      </c>
      <c r="CI13" s="373" t="s">
        <v>40</v>
      </c>
      <c r="CJ13" s="202"/>
      <c r="CK13" s="202"/>
      <c r="CL13" s="202"/>
      <c r="CM13" s="203"/>
      <c r="CN13" s="366"/>
      <c r="CO13" s="366"/>
      <c r="CP13" s="366"/>
      <c r="CQ13" s="366"/>
      <c r="CR13" s="366"/>
      <c r="CS13" s="366"/>
      <c r="CT13" s="366"/>
      <c r="CU13" s="366"/>
      <c r="CV13" s="366"/>
      <c r="CW13" s="366"/>
      <c r="CX13" s="366"/>
      <c r="CY13" s="366"/>
      <c r="CZ13" s="366"/>
      <c r="DA13" s="366"/>
      <c r="DB13" s="366"/>
      <c r="DC13" s="366"/>
      <c r="DD13" s="366"/>
      <c r="DE13" s="366"/>
      <c r="DF13" s="366"/>
      <c r="DG13" s="366"/>
      <c r="DH13" s="366"/>
      <c r="DI13" s="366"/>
      <c r="DJ13" s="366"/>
      <c r="DK13" s="366"/>
      <c r="DL13" s="366"/>
      <c r="DM13" s="366"/>
      <c r="DN13" s="366"/>
    </row>
    <row r="14" spans="1:121" ht="25.5" customHeight="1" thickBot="1" x14ac:dyDescent="0.3">
      <c r="A14" s="325">
        <v>255</v>
      </c>
      <c r="B14" s="73">
        <v>0</v>
      </c>
      <c r="C14" s="73" t="s">
        <v>1044</v>
      </c>
      <c r="D14" s="74" t="s">
        <v>1044</v>
      </c>
      <c r="E14" s="126" t="s">
        <v>899</v>
      </c>
      <c r="F14" s="89"/>
      <c r="G14" s="74" t="s">
        <v>896</v>
      </c>
      <c r="H14" s="135" t="s">
        <v>893</v>
      </c>
      <c r="I14" s="269">
        <v>4</v>
      </c>
      <c r="J14" s="89"/>
      <c r="K14" s="270"/>
      <c r="L14" s="383"/>
      <c r="M14" s="379"/>
      <c r="N14" s="379"/>
      <c r="O14" s="454" t="s">
        <v>122</v>
      </c>
      <c r="P14" s="382"/>
      <c r="Q14" s="275"/>
      <c r="R14" s="74"/>
      <c r="S14" s="379"/>
      <c r="T14" s="379"/>
      <c r="U14" s="380"/>
      <c r="V14" s="381"/>
      <c r="W14" s="379"/>
      <c r="X14" s="379"/>
      <c r="Y14" s="379"/>
      <c r="Z14" s="382"/>
      <c r="AA14" s="383"/>
      <c r="AB14" s="379"/>
      <c r="AC14" s="379"/>
      <c r="AD14" s="379"/>
      <c r="AE14" s="380"/>
      <c r="AF14" s="381"/>
      <c r="AG14" s="379"/>
      <c r="AH14" s="379"/>
      <c r="AI14" s="379"/>
      <c r="AJ14" s="276"/>
      <c r="AK14" s="275"/>
      <c r="AL14" s="379"/>
      <c r="AM14" s="379"/>
      <c r="AN14" s="379"/>
      <c r="AO14" s="380"/>
      <c r="AP14" s="381"/>
      <c r="AQ14" s="379"/>
      <c r="AR14" s="379"/>
      <c r="AS14" s="74"/>
      <c r="AT14" s="276"/>
      <c r="AU14" s="457" t="s">
        <v>582</v>
      </c>
      <c r="AV14" s="379"/>
      <c r="AW14" s="379"/>
      <c r="AX14" s="385" t="s">
        <v>120</v>
      </c>
      <c r="AY14" s="380"/>
      <c r="AZ14" s="381"/>
      <c r="BA14" s="379"/>
      <c r="BB14" s="379"/>
      <c r="BC14" s="379"/>
      <c r="BD14" s="378" t="s">
        <v>121</v>
      </c>
      <c r="BE14" s="275"/>
      <c r="BF14" s="74"/>
      <c r="BG14" s="379"/>
      <c r="BH14" s="379"/>
      <c r="BI14" s="380"/>
      <c r="BJ14" s="381"/>
      <c r="BK14" s="379"/>
      <c r="BL14" s="379"/>
      <c r="BM14" s="379"/>
      <c r="BN14" s="382"/>
      <c r="BO14" s="383"/>
      <c r="BP14" s="379"/>
      <c r="BQ14" s="74"/>
      <c r="BR14" s="74"/>
      <c r="BS14" s="380"/>
      <c r="BT14" s="277"/>
      <c r="BU14" s="74"/>
      <c r="BV14" s="379"/>
      <c r="BW14" s="379"/>
      <c r="BX14" s="382"/>
      <c r="BY14" s="383"/>
      <c r="BZ14" s="74"/>
      <c r="CA14" s="74"/>
      <c r="CB14" s="379"/>
      <c r="CC14" s="380"/>
      <c r="CD14" s="381"/>
      <c r="CE14" s="74"/>
      <c r="CF14" s="74"/>
      <c r="CG14" s="379"/>
      <c r="CH14" s="386" t="s">
        <v>40</v>
      </c>
      <c r="CI14" s="384" t="s">
        <v>40</v>
      </c>
      <c r="CJ14" s="206"/>
      <c r="CK14" s="206"/>
      <c r="CL14" s="206"/>
      <c r="CM14" s="207"/>
      <c r="CN14" s="366"/>
      <c r="CO14" s="366"/>
      <c r="CP14" s="366"/>
      <c r="CQ14" s="366"/>
      <c r="CR14" s="366"/>
      <c r="CS14" s="366"/>
      <c r="CT14" s="366"/>
      <c r="CU14" s="366"/>
      <c r="CV14" s="366"/>
      <c r="CW14" s="366"/>
      <c r="CX14" s="366"/>
      <c r="CY14" s="366"/>
      <c r="CZ14" s="366"/>
      <c r="DA14" s="366"/>
      <c r="DB14" s="366"/>
      <c r="DC14" s="366"/>
      <c r="DD14" s="366"/>
      <c r="DE14" s="366"/>
      <c r="DF14" s="366"/>
      <c r="DG14" s="366"/>
      <c r="DH14" s="366"/>
      <c r="DI14" s="366"/>
      <c r="DJ14" s="366"/>
      <c r="DK14" s="366"/>
      <c r="DL14" s="366"/>
      <c r="DM14" s="366"/>
      <c r="DN14" s="366"/>
    </row>
    <row r="15" spans="1:121" ht="25.5" customHeight="1" x14ac:dyDescent="0.25">
      <c r="A15" s="318">
        <v>256</v>
      </c>
      <c r="B15" s="75">
        <v>0</v>
      </c>
      <c r="C15" s="75" t="s">
        <v>1044</v>
      </c>
      <c r="D15" s="92" t="s">
        <v>1044</v>
      </c>
      <c r="E15" s="93" t="s">
        <v>900</v>
      </c>
      <c r="F15" s="130"/>
      <c r="G15" s="92" t="s">
        <v>897</v>
      </c>
      <c r="H15" s="113" t="s">
        <v>894</v>
      </c>
      <c r="I15" s="259">
        <v>4</v>
      </c>
      <c r="J15" s="130"/>
      <c r="K15" s="260"/>
      <c r="L15" s="308"/>
      <c r="M15" s="304"/>
      <c r="N15" s="304"/>
      <c r="O15" s="455" t="s">
        <v>122</v>
      </c>
      <c r="P15" s="359"/>
      <c r="Q15" s="272"/>
      <c r="R15" s="92"/>
      <c r="S15" s="304"/>
      <c r="T15" s="304"/>
      <c r="U15" s="361"/>
      <c r="V15" s="362"/>
      <c r="W15" s="304"/>
      <c r="X15" s="304"/>
      <c r="Y15" s="304"/>
      <c r="Z15" s="359"/>
      <c r="AA15" s="308"/>
      <c r="AB15" s="304"/>
      <c r="AC15" s="304"/>
      <c r="AD15" s="304"/>
      <c r="AE15" s="361"/>
      <c r="AF15" s="362"/>
      <c r="AG15" s="304"/>
      <c r="AH15" s="304"/>
      <c r="AI15" s="304"/>
      <c r="AJ15" s="273"/>
      <c r="AK15" s="272"/>
      <c r="AL15" s="304"/>
      <c r="AM15" s="304"/>
      <c r="AN15" s="304"/>
      <c r="AO15" s="361"/>
      <c r="AP15" s="362"/>
      <c r="AQ15" s="304"/>
      <c r="AR15" s="304"/>
      <c r="AS15" s="92"/>
      <c r="AT15" s="273"/>
      <c r="AU15" s="308"/>
      <c r="AV15" s="304"/>
      <c r="AW15" s="304"/>
      <c r="AX15" s="360" t="s">
        <v>120</v>
      </c>
      <c r="AY15" s="361"/>
      <c r="AZ15" s="362"/>
      <c r="BA15" s="304"/>
      <c r="BB15" s="304"/>
      <c r="BC15" s="304"/>
      <c r="BD15" s="365" t="s">
        <v>121</v>
      </c>
      <c r="BE15" s="272"/>
      <c r="BF15" s="92"/>
      <c r="BG15" s="304"/>
      <c r="BH15" s="304"/>
      <c r="BI15" s="361"/>
      <c r="BJ15" s="362"/>
      <c r="BK15" s="304"/>
      <c r="BL15" s="304"/>
      <c r="BM15" s="304"/>
      <c r="BN15" s="359"/>
      <c r="BO15" s="308"/>
      <c r="BP15" s="304"/>
      <c r="BQ15" s="92"/>
      <c r="BR15" s="92"/>
      <c r="BS15" s="361"/>
      <c r="BT15" s="258"/>
      <c r="BU15" s="92"/>
      <c r="BV15" s="304"/>
      <c r="BW15" s="304"/>
      <c r="BX15" s="359"/>
      <c r="BY15" s="308"/>
      <c r="BZ15" s="92"/>
      <c r="CA15" s="92"/>
      <c r="CB15" s="304"/>
      <c r="CC15" s="361"/>
      <c r="CD15" s="362"/>
      <c r="CE15" s="92"/>
      <c r="CF15" s="92"/>
      <c r="CG15" s="304"/>
      <c r="CH15" s="363" t="s">
        <v>40</v>
      </c>
      <c r="CI15" s="364" t="s">
        <v>40</v>
      </c>
      <c r="CJ15" s="210"/>
      <c r="CK15" s="210"/>
      <c r="CL15" s="210"/>
      <c r="CM15" s="211"/>
      <c r="CN15" s="366"/>
      <c r="CO15" s="366"/>
      <c r="CP15" s="366"/>
      <c r="CQ15" s="366"/>
      <c r="CR15" s="366"/>
      <c r="CS15" s="366"/>
      <c r="CT15" s="366"/>
      <c r="CU15" s="366"/>
      <c r="CV15" s="366"/>
      <c r="CW15" s="366"/>
      <c r="CX15" s="366"/>
      <c r="CY15" s="366"/>
      <c r="CZ15" s="366"/>
      <c r="DA15" s="366"/>
      <c r="DB15" s="366"/>
      <c r="DC15" s="366"/>
      <c r="DD15" s="366"/>
      <c r="DE15" s="366"/>
      <c r="DF15" s="366"/>
      <c r="DG15" s="366"/>
      <c r="DH15" s="366"/>
      <c r="DI15" s="366"/>
      <c r="DJ15" s="366"/>
      <c r="DK15" s="366"/>
      <c r="DL15" s="366"/>
      <c r="DM15" s="366"/>
      <c r="DN15" s="366"/>
    </row>
    <row r="16" spans="1:121" ht="25.5" customHeight="1" x14ac:dyDescent="0.25">
      <c r="A16" s="324">
        <v>257</v>
      </c>
      <c r="B16" s="72"/>
      <c r="C16" s="72"/>
      <c r="D16" s="79"/>
      <c r="E16" s="77"/>
      <c r="F16" s="76"/>
      <c r="G16" s="79"/>
      <c r="H16" s="134"/>
      <c r="I16" s="142"/>
      <c r="J16" s="76"/>
      <c r="K16" s="141"/>
      <c r="L16" s="274"/>
      <c r="M16" s="79"/>
      <c r="N16" s="79"/>
      <c r="O16" s="79"/>
      <c r="P16" s="178"/>
      <c r="Q16" s="274"/>
      <c r="R16" s="79"/>
      <c r="S16" s="79"/>
      <c r="T16" s="79"/>
      <c r="U16" s="134"/>
      <c r="V16" s="261"/>
      <c r="W16" s="79"/>
      <c r="X16" s="79"/>
      <c r="Y16" s="79"/>
      <c r="Z16" s="178"/>
      <c r="AA16" s="274"/>
      <c r="AB16" s="79"/>
      <c r="AC16" s="79"/>
      <c r="AD16" s="79"/>
      <c r="AE16" s="134"/>
      <c r="AF16" s="261"/>
      <c r="AG16" s="79"/>
      <c r="AH16" s="79"/>
      <c r="AI16" s="79"/>
      <c r="AJ16" s="178"/>
      <c r="AK16" s="274"/>
      <c r="AL16" s="79"/>
      <c r="AM16" s="79"/>
      <c r="AN16" s="79"/>
      <c r="AO16" s="134"/>
      <c r="AP16" s="261"/>
      <c r="AQ16" s="79"/>
      <c r="AR16" s="79"/>
      <c r="AS16" s="79"/>
      <c r="AT16" s="178"/>
      <c r="AU16" s="274"/>
      <c r="AV16" s="79"/>
      <c r="AW16" s="79"/>
      <c r="AX16" s="79"/>
      <c r="AY16" s="134"/>
      <c r="AZ16" s="261"/>
      <c r="BA16" s="79"/>
      <c r="BB16" s="79"/>
      <c r="BC16" s="79"/>
      <c r="BD16" s="178"/>
      <c r="BE16" s="274"/>
      <c r="BF16" s="79"/>
      <c r="BG16" s="79"/>
      <c r="BH16" s="79"/>
      <c r="BI16" s="134"/>
      <c r="BJ16" s="261"/>
      <c r="BK16" s="79"/>
      <c r="BL16" s="79"/>
      <c r="BM16" s="79"/>
      <c r="BN16" s="178"/>
      <c r="BO16" s="274"/>
      <c r="BP16" s="79"/>
      <c r="BQ16" s="79"/>
      <c r="BR16" s="79"/>
      <c r="BS16" s="134"/>
      <c r="BT16" s="261"/>
      <c r="BU16" s="79"/>
      <c r="BV16" s="79"/>
      <c r="BW16" s="79"/>
      <c r="BX16" s="178"/>
      <c r="BY16" s="274"/>
      <c r="BZ16" s="79"/>
      <c r="CA16" s="79"/>
      <c r="CB16" s="79"/>
      <c r="CC16" s="134"/>
      <c r="CD16" s="261"/>
      <c r="CE16" s="79"/>
      <c r="CF16" s="79"/>
      <c r="CG16" s="79"/>
      <c r="CH16" s="134"/>
      <c r="CI16" s="261"/>
      <c r="CJ16" s="202"/>
      <c r="CK16" s="202"/>
      <c r="CL16" s="202"/>
      <c r="CM16" s="203"/>
      <c r="CN16" s="366"/>
      <c r="CO16" s="366"/>
      <c r="CP16" s="366"/>
      <c r="CQ16" s="366"/>
      <c r="CR16" s="366"/>
      <c r="CS16" s="366"/>
      <c r="CT16" s="366"/>
      <c r="CU16" s="366"/>
      <c r="CV16" s="366"/>
      <c r="CW16" s="366"/>
      <c r="CX16" s="366"/>
      <c r="CY16" s="366"/>
      <c r="CZ16" s="366"/>
      <c r="DA16" s="366"/>
      <c r="DB16" s="366"/>
      <c r="DC16" s="366"/>
      <c r="DD16" s="366"/>
      <c r="DE16" s="366"/>
      <c r="DF16" s="366"/>
      <c r="DG16" s="366"/>
      <c r="DH16" s="366"/>
      <c r="DI16" s="366"/>
      <c r="DJ16" s="366"/>
      <c r="DK16" s="366"/>
      <c r="DL16" s="366"/>
      <c r="DM16" s="366"/>
      <c r="DN16" s="366"/>
    </row>
    <row r="17" spans="1:118" ht="25.5" customHeight="1" x14ac:dyDescent="0.25">
      <c r="A17" s="324">
        <v>258</v>
      </c>
      <c r="B17" s="72">
        <v>0</v>
      </c>
      <c r="C17" s="79" t="s">
        <v>135</v>
      </c>
      <c r="D17" s="79" t="s">
        <v>533</v>
      </c>
      <c r="E17" s="77" t="s">
        <v>534</v>
      </c>
      <c r="F17" s="76"/>
      <c r="G17" s="95" t="s">
        <v>114</v>
      </c>
      <c r="H17" s="97" t="s">
        <v>609</v>
      </c>
      <c r="I17" s="142"/>
      <c r="J17" s="76"/>
      <c r="K17" s="141"/>
      <c r="L17" s="367"/>
      <c r="M17" s="307"/>
      <c r="N17" s="307"/>
      <c r="O17" s="307"/>
      <c r="P17" s="369"/>
      <c r="Q17" s="274"/>
      <c r="R17" s="76"/>
      <c r="S17" s="310"/>
      <c r="T17" s="310"/>
      <c r="U17" s="412"/>
      <c r="V17" s="413"/>
      <c r="W17" s="310"/>
      <c r="X17" s="310"/>
      <c r="Y17" s="310"/>
      <c r="Z17" s="411"/>
      <c r="AA17" s="485"/>
      <c r="AB17" s="310"/>
      <c r="AC17" s="310"/>
      <c r="AD17" s="310"/>
      <c r="AE17" s="412"/>
      <c r="AF17" s="413"/>
      <c r="AG17" s="310"/>
      <c r="AH17" s="310"/>
      <c r="AI17" s="310"/>
      <c r="AJ17" s="141"/>
      <c r="AK17" s="140"/>
      <c r="AL17" s="310"/>
      <c r="AM17" s="310"/>
      <c r="AN17" s="310"/>
      <c r="AO17" s="412"/>
      <c r="AP17" s="413"/>
      <c r="AQ17" s="310"/>
      <c r="AR17" s="310"/>
      <c r="AS17" s="76"/>
      <c r="AT17" s="141"/>
      <c r="AU17" s="485"/>
      <c r="AV17" s="310"/>
      <c r="AW17" s="310"/>
      <c r="AX17" s="310"/>
      <c r="AY17" s="412"/>
      <c r="AZ17" s="413"/>
      <c r="BA17" s="310"/>
      <c r="BB17" s="310"/>
      <c r="BC17" s="310"/>
      <c r="BD17" s="411"/>
      <c r="BE17" s="140"/>
      <c r="BF17" s="76"/>
      <c r="BG17" s="307"/>
      <c r="BH17" s="307"/>
      <c r="BI17" s="370"/>
      <c r="BJ17" s="306"/>
      <c r="BK17" s="310"/>
      <c r="BL17" s="307"/>
      <c r="BM17" s="307"/>
      <c r="BN17" s="369"/>
      <c r="BO17" s="367"/>
      <c r="BP17" s="307"/>
      <c r="BQ17" s="76"/>
      <c r="BR17" s="76"/>
      <c r="BS17" s="412"/>
      <c r="BT17" s="142"/>
      <c r="BU17" s="76"/>
      <c r="BV17" s="310"/>
      <c r="BW17" s="310"/>
      <c r="BX17" s="411"/>
      <c r="BY17" s="485"/>
      <c r="BZ17" s="76"/>
      <c r="CA17" s="76"/>
      <c r="CB17" s="310"/>
      <c r="CC17" s="412"/>
      <c r="CD17" s="413"/>
      <c r="CE17" s="76"/>
      <c r="CF17" s="79"/>
      <c r="CG17" s="310"/>
      <c r="CH17" s="374" t="s">
        <v>40</v>
      </c>
      <c r="CI17" s="373" t="s">
        <v>40</v>
      </c>
      <c r="CJ17" s="202"/>
      <c r="CK17" s="202"/>
      <c r="CL17" s="202"/>
      <c r="CM17" s="203"/>
      <c r="CN17" s="366"/>
      <c r="CO17" s="366"/>
      <c r="CP17" s="366"/>
      <c r="CQ17" s="366"/>
      <c r="CR17" s="366"/>
      <c r="CS17" s="366"/>
      <c r="CT17" s="366"/>
      <c r="CU17" s="366"/>
      <c r="CV17" s="366"/>
      <c r="CW17" s="366"/>
      <c r="CX17" s="366"/>
      <c r="CY17" s="366"/>
      <c r="CZ17" s="366"/>
      <c r="DA17" s="366"/>
      <c r="DB17" s="366"/>
      <c r="DC17" s="366"/>
      <c r="DD17" s="366"/>
      <c r="DE17" s="366"/>
      <c r="DF17" s="366"/>
      <c r="DG17" s="366"/>
      <c r="DH17" s="366"/>
      <c r="DI17" s="366"/>
      <c r="DJ17" s="366"/>
      <c r="DK17" s="366"/>
      <c r="DL17" s="366"/>
      <c r="DM17" s="366"/>
      <c r="DN17" s="366"/>
    </row>
    <row r="18" spans="1:118" ht="25.5" customHeight="1" x14ac:dyDescent="0.25">
      <c r="A18" s="324">
        <v>259</v>
      </c>
      <c r="B18" s="72">
        <v>0</v>
      </c>
      <c r="C18" s="79" t="s">
        <v>135</v>
      </c>
      <c r="D18" s="79" t="s">
        <v>535</v>
      </c>
      <c r="E18" s="77" t="s">
        <v>536</v>
      </c>
      <c r="F18" s="76"/>
      <c r="G18" s="95" t="s">
        <v>537</v>
      </c>
      <c r="H18" s="97" t="s">
        <v>915</v>
      </c>
      <c r="I18" s="142">
        <v>5</v>
      </c>
      <c r="J18" s="76"/>
      <c r="K18" s="141"/>
      <c r="L18" s="446"/>
      <c r="M18" s="297"/>
      <c r="N18" s="297"/>
      <c r="O18" s="297"/>
      <c r="P18" s="372" t="s">
        <v>122</v>
      </c>
      <c r="Q18" s="274"/>
      <c r="R18" s="76"/>
      <c r="S18" s="310"/>
      <c r="T18" s="310"/>
      <c r="U18" s="412"/>
      <c r="V18" s="413"/>
      <c r="W18" s="310"/>
      <c r="X18" s="310"/>
      <c r="Y18" s="310"/>
      <c r="Z18" s="411"/>
      <c r="AA18" s="485"/>
      <c r="AB18" s="310"/>
      <c r="AC18" s="310"/>
      <c r="AD18" s="310"/>
      <c r="AE18" s="412"/>
      <c r="AF18" s="413"/>
      <c r="AG18" s="310"/>
      <c r="AH18" s="310"/>
      <c r="AI18" s="310"/>
      <c r="AJ18" s="141"/>
      <c r="AK18" s="140"/>
      <c r="AL18" s="310"/>
      <c r="AM18" s="310"/>
      <c r="AN18" s="310"/>
      <c r="AO18" s="412"/>
      <c r="AP18" s="413"/>
      <c r="AQ18" s="310"/>
      <c r="AR18" s="310"/>
      <c r="AS18" s="76"/>
      <c r="AT18" s="141"/>
      <c r="AU18" s="485"/>
      <c r="AV18" s="310"/>
      <c r="AW18" s="310"/>
      <c r="AX18" s="310"/>
      <c r="AY18" s="412"/>
      <c r="AZ18" s="413"/>
      <c r="BA18" s="310"/>
      <c r="BB18" s="310"/>
      <c r="BC18" s="310"/>
      <c r="BD18" s="411"/>
      <c r="BE18" s="140"/>
      <c r="BF18" s="76"/>
      <c r="BG18" s="307"/>
      <c r="BH18" s="307"/>
      <c r="BI18" s="370"/>
      <c r="BJ18" s="373" t="s">
        <v>120</v>
      </c>
      <c r="BK18" s="310"/>
      <c r="BL18" s="307"/>
      <c r="BM18" s="307"/>
      <c r="BN18" s="369"/>
      <c r="BO18" s="367"/>
      <c r="BP18" s="371" t="s">
        <v>121</v>
      </c>
      <c r="BQ18" s="76"/>
      <c r="BR18" s="76"/>
      <c r="BS18" s="412"/>
      <c r="BT18" s="142"/>
      <c r="BU18" s="76"/>
      <c r="BV18" s="310"/>
      <c r="BW18" s="310"/>
      <c r="BX18" s="411"/>
      <c r="BY18" s="485"/>
      <c r="BZ18" s="76"/>
      <c r="CA18" s="76"/>
      <c r="CB18" s="310"/>
      <c r="CC18" s="412"/>
      <c r="CD18" s="413"/>
      <c r="CE18" s="76"/>
      <c r="CF18" s="79"/>
      <c r="CG18" s="310"/>
      <c r="CH18" s="374" t="s">
        <v>40</v>
      </c>
      <c r="CI18" s="373" t="s">
        <v>40</v>
      </c>
      <c r="CJ18" s="202"/>
      <c r="CK18" s="202"/>
      <c r="CL18" s="202"/>
      <c r="CM18" s="203"/>
      <c r="CN18" s="366"/>
      <c r="CO18" s="366"/>
      <c r="CP18" s="366"/>
      <c r="CQ18" s="366"/>
      <c r="CR18" s="366"/>
      <c r="CS18" s="366"/>
      <c r="CT18" s="366"/>
      <c r="CU18" s="366"/>
      <c r="CV18" s="366"/>
      <c r="CW18" s="366"/>
      <c r="CX18" s="366"/>
      <c r="CY18" s="366"/>
      <c r="CZ18" s="366"/>
      <c r="DA18" s="366"/>
      <c r="DB18" s="366"/>
      <c r="DC18" s="366"/>
      <c r="DD18" s="366"/>
      <c r="DE18" s="366"/>
      <c r="DF18" s="366"/>
      <c r="DG18" s="366"/>
      <c r="DH18" s="366"/>
      <c r="DI18" s="366"/>
      <c r="DJ18" s="366"/>
      <c r="DK18" s="366"/>
      <c r="DL18" s="366"/>
      <c r="DM18" s="366"/>
      <c r="DN18" s="366"/>
    </row>
    <row r="19" spans="1:118" ht="25.5" customHeight="1" thickBot="1" x14ac:dyDescent="0.3">
      <c r="A19" s="331">
        <v>260</v>
      </c>
      <c r="B19" s="82">
        <v>0</v>
      </c>
      <c r="C19" s="190" t="s">
        <v>135</v>
      </c>
      <c r="D19" s="190" t="s">
        <v>538</v>
      </c>
      <c r="E19" s="117" t="s">
        <v>539</v>
      </c>
      <c r="F19" s="99"/>
      <c r="G19" s="101" t="s">
        <v>540</v>
      </c>
      <c r="H19" s="102" t="s">
        <v>610</v>
      </c>
      <c r="I19" s="257"/>
      <c r="J19" s="99"/>
      <c r="K19" s="264"/>
      <c r="L19" s="395"/>
      <c r="M19" s="390"/>
      <c r="N19" s="390"/>
      <c r="O19" s="390"/>
      <c r="P19" s="391"/>
      <c r="Q19" s="278"/>
      <c r="R19" s="99"/>
      <c r="S19" s="422"/>
      <c r="T19" s="422"/>
      <c r="U19" s="424"/>
      <c r="V19" s="425"/>
      <c r="W19" s="422"/>
      <c r="X19" s="422"/>
      <c r="Y19" s="422"/>
      <c r="Z19" s="423"/>
      <c r="AA19" s="491"/>
      <c r="AB19" s="422"/>
      <c r="AC19" s="422"/>
      <c r="AD19" s="422"/>
      <c r="AE19" s="424"/>
      <c r="AF19" s="425"/>
      <c r="AG19" s="422"/>
      <c r="AH19" s="422"/>
      <c r="AI19" s="422"/>
      <c r="AJ19" s="264"/>
      <c r="AK19" s="450"/>
      <c r="AL19" s="422"/>
      <c r="AM19" s="422"/>
      <c r="AN19" s="422"/>
      <c r="AO19" s="424"/>
      <c r="AP19" s="425"/>
      <c r="AQ19" s="422"/>
      <c r="AR19" s="422"/>
      <c r="AS19" s="99"/>
      <c r="AT19" s="264"/>
      <c r="AU19" s="491"/>
      <c r="AV19" s="422"/>
      <c r="AW19" s="422"/>
      <c r="AX19" s="422"/>
      <c r="AY19" s="424"/>
      <c r="AZ19" s="425"/>
      <c r="BA19" s="422"/>
      <c r="BB19" s="422"/>
      <c r="BC19" s="422"/>
      <c r="BD19" s="423"/>
      <c r="BE19" s="450"/>
      <c r="BF19" s="99"/>
      <c r="BG19" s="390"/>
      <c r="BH19" s="390"/>
      <c r="BI19" s="393"/>
      <c r="BJ19" s="394"/>
      <c r="BK19" s="422"/>
      <c r="BL19" s="390"/>
      <c r="BM19" s="390"/>
      <c r="BN19" s="391"/>
      <c r="BO19" s="395"/>
      <c r="BP19" s="390"/>
      <c r="BQ19" s="99"/>
      <c r="BR19" s="99"/>
      <c r="BS19" s="424"/>
      <c r="BT19" s="257"/>
      <c r="BU19" s="99"/>
      <c r="BV19" s="422"/>
      <c r="BW19" s="422"/>
      <c r="BX19" s="423"/>
      <c r="BY19" s="491"/>
      <c r="BZ19" s="99"/>
      <c r="CA19" s="99"/>
      <c r="CB19" s="422"/>
      <c r="CC19" s="424"/>
      <c r="CD19" s="425"/>
      <c r="CE19" s="99"/>
      <c r="CF19" s="190"/>
      <c r="CG19" s="422"/>
      <c r="CH19" s="396" t="s">
        <v>40</v>
      </c>
      <c r="CI19" s="397" t="s">
        <v>40</v>
      </c>
      <c r="CJ19" s="213"/>
      <c r="CK19" s="213"/>
      <c r="CL19" s="213"/>
      <c r="CM19" s="214"/>
      <c r="CN19" s="366"/>
      <c r="CO19" s="366"/>
      <c r="CP19" s="366"/>
      <c r="CQ19" s="366"/>
      <c r="CR19" s="366"/>
      <c r="CS19" s="366"/>
      <c r="CT19" s="366"/>
      <c r="CU19" s="366"/>
      <c r="CV19" s="366"/>
      <c r="CW19" s="366"/>
      <c r="CX19" s="366"/>
      <c r="CY19" s="366"/>
      <c r="CZ19" s="366"/>
      <c r="DA19" s="366"/>
      <c r="DB19" s="366"/>
      <c r="DC19" s="366"/>
      <c r="DD19" s="366"/>
      <c r="DE19" s="366"/>
      <c r="DF19" s="366"/>
      <c r="DG19" s="366"/>
      <c r="DH19" s="366"/>
      <c r="DI19" s="366"/>
      <c r="DJ19" s="366"/>
      <c r="DK19" s="366"/>
      <c r="DL19" s="366"/>
      <c r="DM19" s="366"/>
      <c r="DN19" s="366"/>
    </row>
    <row r="20" spans="1:118" ht="25.5" customHeight="1" x14ac:dyDescent="0.25">
      <c r="A20" s="332">
        <v>261</v>
      </c>
      <c r="B20" s="85">
        <v>0</v>
      </c>
      <c r="C20" s="87" t="s">
        <v>135</v>
      </c>
      <c r="D20" s="87" t="s">
        <v>1023</v>
      </c>
      <c r="E20" s="133" t="s">
        <v>1024</v>
      </c>
      <c r="F20" s="103"/>
      <c r="G20" s="105" t="s">
        <v>1025</v>
      </c>
      <c r="H20" s="106" t="s">
        <v>1025</v>
      </c>
      <c r="I20" s="139"/>
      <c r="J20" s="103"/>
      <c r="K20" s="137"/>
      <c r="L20" s="407"/>
      <c r="M20" s="402"/>
      <c r="N20" s="402"/>
      <c r="O20" s="402"/>
      <c r="P20" s="403"/>
      <c r="Q20" s="281"/>
      <c r="R20" s="103"/>
      <c r="S20" s="426"/>
      <c r="T20" s="426"/>
      <c r="U20" s="428"/>
      <c r="V20" s="429"/>
      <c r="W20" s="426"/>
      <c r="X20" s="426"/>
      <c r="Y20" s="426"/>
      <c r="Z20" s="427"/>
      <c r="AA20" s="484"/>
      <c r="AB20" s="426"/>
      <c r="AC20" s="426"/>
      <c r="AD20" s="426"/>
      <c r="AE20" s="428"/>
      <c r="AF20" s="429"/>
      <c r="AG20" s="426"/>
      <c r="AH20" s="426"/>
      <c r="AI20" s="426"/>
      <c r="AJ20" s="137"/>
      <c r="AK20" s="136"/>
      <c r="AL20" s="426"/>
      <c r="AM20" s="426"/>
      <c r="AN20" s="426"/>
      <c r="AO20" s="428"/>
      <c r="AP20" s="429"/>
      <c r="AQ20" s="426"/>
      <c r="AR20" s="426"/>
      <c r="AS20" s="103"/>
      <c r="AT20" s="137"/>
      <c r="AU20" s="484"/>
      <c r="AV20" s="426"/>
      <c r="AW20" s="426"/>
      <c r="AX20" s="426"/>
      <c r="AY20" s="428"/>
      <c r="AZ20" s="429"/>
      <c r="BA20" s="426"/>
      <c r="BB20" s="426"/>
      <c r="BC20" s="426"/>
      <c r="BD20" s="427"/>
      <c r="BE20" s="136"/>
      <c r="BF20" s="103"/>
      <c r="BG20" s="402"/>
      <c r="BH20" s="402"/>
      <c r="BI20" s="405"/>
      <c r="BJ20" s="406"/>
      <c r="BK20" s="426"/>
      <c r="BL20" s="402"/>
      <c r="BM20" s="402"/>
      <c r="BN20" s="403"/>
      <c r="BO20" s="407"/>
      <c r="BP20" s="402"/>
      <c r="BQ20" s="103"/>
      <c r="BR20" s="103"/>
      <c r="BS20" s="428"/>
      <c r="BT20" s="139"/>
      <c r="BU20" s="103"/>
      <c r="BV20" s="426"/>
      <c r="BW20" s="426"/>
      <c r="BX20" s="427"/>
      <c r="BY20" s="484"/>
      <c r="BZ20" s="103"/>
      <c r="CA20" s="103"/>
      <c r="CB20" s="426"/>
      <c r="CC20" s="428"/>
      <c r="CD20" s="429"/>
      <c r="CE20" s="103"/>
      <c r="CF20" s="87"/>
      <c r="CG20" s="426"/>
      <c r="CH20" s="405"/>
      <c r="CI20" s="406"/>
      <c r="CJ20" s="217"/>
      <c r="CK20" s="217"/>
      <c r="CL20" s="217"/>
      <c r="CM20" s="218"/>
      <c r="CN20" s="366"/>
      <c r="CO20" s="366"/>
      <c r="CP20" s="366"/>
      <c r="CQ20" s="366"/>
      <c r="CR20" s="366"/>
      <c r="CS20" s="366"/>
      <c r="CT20" s="366"/>
      <c r="CU20" s="366"/>
      <c r="CV20" s="366"/>
      <c r="CW20" s="366"/>
      <c r="CX20" s="366"/>
      <c r="CY20" s="366"/>
      <c r="CZ20" s="366"/>
      <c r="DA20" s="366"/>
      <c r="DB20" s="366"/>
      <c r="DC20" s="366"/>
      <c r="DD20" s="366"/>
      <c r="DE20" s="366"/>
      <c r="DF20" s="366"/>
      <c r="DG20" s="366"/>
      <c r="DH20" s="366"/>
      <c r="DI20" s="366"/>
      <c r="DJ20" s="366"/>
      <c r="DK20" s="366"/>
      <c r="DL20" s="366"/>
      <c r="DM20" s="366"/>
      <c r="DN20" s="366"/>
    </row>
    <row r="21" spans="1:118" ht="25.5" customHeight="1" x14ac:dyDescent="0.2">
      <c r="A21" s="324">
        <v>262</v>
      </c>
      <c r="B21" s="72">
        <v>0</v>
      </c>
      <c r="C21" s="79" t="s">
        <v>135</v>
      </c>
      <c r="D21" s="79" t="s">
        <v>541</v>
      </c>
      <c r="E21" s="77" t="s">
        <v>781</v>
      </c>
      <c r="F21" s="76"/>
      <c r="G21" s="95" t="s">
        <v>542</v>
      </c>
      <c r="H21" s="97" t="s">
        <v>542</v>
      </c>
      <c r="I21" s="142"/>
      <c r="J21" s="76"/>
      <c r="K21" s="141"/>
      <c r="L21" s="367"/>
      <c r="M21" s="307"/>
      <c r="N21" s="307"/>
      <c r="O21" s="307"/>
      <c r="P21" s="369"/>
      <c r="Q21" s="274"/>
      <c r="R21" s="76"/>
      <c r="S21" s="310"/>
      <c r="T21" s="310"/>
      <c r="U21" s="412"/>
      <c r="V21" s="413"/>
      <c r="W21" s="310"/>
      <c r="X21" s="310"/>
      <c r="Y21" s="310"/>
      <c r="Z21" s="411"/>
      <c r="AA21" s="485"/>
      <c r="AB21" s="310"/>
      <c r="AC21" s="310"/>
      <c r="AD21" s="310"/>
      <c r="AE21" s="412"/>
      <c r="AF21" s="413"/>
      <c r="AG21" s="310"/>
      <c r="AH21" s="310"/>
      <c r="AI21" s="310"/>
      <c r="AJ21" s="141"/>
      <c r="AK21" s="140"/>
      <c r="AL21" s="310"/>
      <c r="AM21" s="310"/>
      <c r="AN21" s="310"/>
      <c r="AO21" s="412"/>
      <c r="AP21" s="413"/>
      <c r="AQ21" s="310"/>
      <c r="AR21" s="310"/>
      <c r="AS21" s="76"/>
      <c r="AT21" s="141"/>
      <c r="AU21" s="485"/>
      <c r="AV21" s="310"/>
      <c r="AW21" s="310"/>
      <c r="AX21" s="310"/>
      <c r="AY21" s="412"/>
      <c r="AZ21" s="413"/>
      <c r="BA21" s="310"/>
      <c r="BB21" s="310"/>
      <c r="BC21" s="310"/>
      <c r="BD21" s="411"/>
      <c r="BE21" s="140"/>
      <c r="BF21" s="76"/>
      <c r="BG21" s="307"/>
      <c r="BH21" s="307"/>
      <c r="BI21" s="370"/>
      <c r="BJ21" s="306"/>
      <c r="BK21" s="310"/>
      <c r="BL21" s="307"/>
      <c r="BM21" s="307"/>
      <c r="BN21" s="369"/>
      <c r="BO21" s="367"/>
      <c r="BP21" s="307"/>
      <c r="BQ21" s="76"/>
      <c r="BR21" s="76"/>
      <c r="BS21" s="412"/>
      <c r="BT21" s="142"/>
      <c r="BU21" s="76"/>
      <c r="BV21" s="310"/>
      <c r="BW21" s="310"/>
      <c r="BX21" s="411"/>
      <c r="BY21" s="485"/>
      <c r="BZ21" s="76"/>
      <c r="CA21" s="76"/>
      <c r="CB21" s="310"/>
      <c r="CC21" s="412"/>
      <c r="CD21" s="413"/>
      <c r="CE21" s="76"/>
      <c r="CF21" s="79"/>
      <c r="CG21" s="310"/>
      <c r="CH21" s="374" t="s">
        <v>40</v>
      </c>
      <c r="CI21" s="373" t="s">
        <v>40</v>
      </c>
      <c r="CJ21" s="202"/>
      <c r="CK21" s="202"/>
      <c r="CL21" s="202"/>
      <c r="CM21" s="203"/>
    </row>
    <row r="22" spans="1:118" ht="25.5" customHeight="1" x14ac:dyDescent="0.2">
      <c r="A22" s="324">
        <v>263</v>
      </c>
      <c r="B22" s="72">
        <v>0</v>
      </c>
      <c r="C22" s="79" t="s">
        <v>135</v>
      </c>
      <c r="D22" s="79" t="s">
        <v>543</v>
      </c>
      <c r="E22" s="77" t="s">
        <v>782</v>
      </c>
      <c r="F22" s="76"/>
      <c r="G22" s="95" t="s">
        <v>544</v>
      </c>
      <c r="H22" s="97" t="s">
        <v>544</v>
      </c>
      <c r="I22" s="142">
        <v>5</v>
      </c>
      <c r="J22" s="76"/>
      <c r="K22" s="141"/>
      <c r="L22" s="446"/>
      <c r="M22" s="297"/>
      <c r="N22" s="297"/>
      <c r="O22" s="297"/>
      <c r="P22" s="372" t="s">
        <v>122</v>
      </c>
      <c r="Q22" s="274"/>
      <c r="R22" s="76"/>
      <c r="S22" s="310"/>
      <c r="T22" s="310"/>
      <c r="U22" s="412"/>
      <c r="V22" s="413"/>
      <c r="W22" s="310"/>
      <c r="X22" s="310"/>
      <c r="Y22" s="310"/>
      <c r="Z22" s="411"/>
      <c r="AA22" s="485"/>
      <c r="AB22" s="310"/>
      <c r="AC22" s="310"/>
      <c r="AD22" s="310"/>
      <c r="AE22" s="412"/>
      <c r="AF22" s="413"/>
      <c r="AG22" s="310"/>
      <c r="AH22" s="310"/>
      <c r="AI22" s="310"/>
      <c r="AJ22" s="141"/>
      <c r="AK22" s="140"/>
      <c r="AL22" s="310"/>
      <c r="AM22" s="310"/>
      <c r="AN22" s="310"/>
      <c r="AO22" s="412"/>
      <c r="AP22" s="413"/>
      <c r="AQ22" s="310"/>
      <c r="AR22" s="310"/>
      <c r="AS22" s="76"/>
      <c r="AT22" s="141"/>
      <c r="AU22" s="485"/>
      <c r="AV22" s="310"/>
      <c r="AW22" s="310"/>
      <c r="AX22" s="310"/>
      <c r="AY22" s="412"/>
      <c r="AZ22" s="413"/>
      <c r="BA22" s="310"/>
      <c r="BB22" s="310"/>
      <c r="BC22" s="310"/>
      <c r="BD22" s="411"/>
      <c r="BE22" s="140"/>
      <c r="BF22" s="76"/>
      <c r="BG22" s="307"/>
      <c r="BH22" s="307"/>
      <c r="BI22" s="370"/>
      <c r="BJ22" s="373" t="s">
        <v>120</v>
      </c>
      <c r="BK22" s="310"/>
      <c r="BL22" s="307"/>
      <c r="BM22" s="307"/>
      <c r="BN22" s="369"/>
      <c r="BO22" s="367"/>
      <c r="BP22" s="371" t="s">
        <v>121</v>
      </c>
      <c r="BQ22" s="76"/>
      <c r="BR22" s="76"/>
      <c r="BS22" s="412"/>
      <c r="BT22" s="142"/>
      <c r="BU22" s="76"/>
      <c r="BV22" s="310"/>
      <c r="BW22" s="310"/>
      <c r="BX22" s="411"/>
      <c r="BY22" s="485"/>
      <c r="BZ22" s="76"/>
      <c r="CA22" s="76"/>
      <c r="CB22" s="310"/>
      <c r="CC22" s="412"/>
      <c r="CD22" s="413"/>
      <c r="CE22" s="76"/>
      <c r="CF22" s="79"/>
      <c r="CG22" s="310"/>
      <c r="CH22" s="374" t="s">
        <v>40</v>
      </c>
      <c r="CI22" s="373" t="s">
        <v>40</v>
      </c>
      <c r="CJ22" s="202"/>
      <c r="CK22" s="202"/>
      <c r="CL22" s="202"/>
      <c r="CM22" s="203"/>
    </row>
    <row r="23" spans="1:118" ht="25.5" customHeight="1" x14ac:dyDescent="0.2">
      <c r="A23" s="324">
        <v>264</v>
      </c>
      <c r="B23" s="72">
        <v>0</v>
      </c>
      <c r="C23" s="79" t="s">
        <v>135</v>
      </c>
      <c r="D23" s="79" t="s">
        <v>1026</v>
      </c>
      <c r="E23" s="77" t="s">
        <v>1027</v>
      </c>
      <c r="F23" s="76"/>
      <c r="G23" s="95" t="s">
        <v>1028</v>
      </c>
      <c r="H23" s="97" t="s">
        <v>1028</v>
      </c>
      <c r="I23" s="142"/>
      <c r="J23" s="76"/>
      <c r="K23" s="141"/>
      <c r="L23" s="367"/>
      <c r="M23" s="307"/>
      <c r="N23" s="307"/>
      <c r="O23" s="307"/>
      <c r="P23" s="369"/>
      <c r="Q23" s="274"/>
      <c r="R23" s="76"/>
      <c r="S23" s="310"/>
      <c r="T23" s="310"/>
      <c r="U23" s="412"/>
      <c r="V23" s="413"/>
      <c r="W23" s="310"/>
      <c r="X23" s="310"/>
      <c r="Y23" s="310"/>
      <c r="Z23" s="411"/>
      <c r="AA23" s="485"/>
      <c r="AB23" s="310"/>
      <c r="AC23" s="310"/>
      <c r="AD23" s="310"/>
      <c r="AE23" s="412"/>
      <c r="AF23" s="413"/>
      <c r="AG23" s="310"/>
      <c r="AH23" s="310"/>
      <c r="AI23" s="310"/>
      <c r="AJ23" s="141"/>
      <c r="AK23" s="140"/>
      <c r="AL23" s="310"/>
      <c r="AM23" s="310"/>
      <c r="AN23" s="310"/>
      <c r="AO23" s="412"/>
      <c r="AP23" s="413"/>
      <c r="AQ23" s="310"/>
      <c r="AR23" s="310"/>
      <c r="AS23" s="76"/>
      <c r="AT23" s="141"/>
      <c r="AU23" s="485"/>
      <c r="AV23" s="310"/>
      <c r="AW23" s="310"/>
      <c r="AX23" s="310"/>
      <c r="AY23" s="412"/>
      <c r="AZ23" s="413"/>
      <c r="BA23" s="310"/>
      <c r="BB23" s="310"/>
      <c r="BC23" s="310"/>
      <c r="BD23" s="411"/>
      <c r="BE23" s="140"/>
      <c r="BF23" s="76"/>
      <c r="BG23" s="307"/>
      <c r="BH23" s="307"/>
      <c r="BI23" s="370"/>
      <c r="BJ23" s="306"/>
      <c r="BK23" s="310"/>
      <c r="BL23" s="307"/>
      <c r="BM23" s="307"/>
      <c r="BN23" s="369"/>
      <c r="BO23" s="367"/>
      <c r="BP23" s="307"/>
      <c r="BQ23" s="76"/>
      <c r="BR23" s="76"/>
      <c r="BS23" s="412"/>
      <c r="BT23" s="142"/>
      <c r="BU23" s="76"/>
      <c r="BV23" s="310"/>
      <c r="BW23" s="310"/>
      <c r="BX23" s="411"/>
      <c r="BY23" s="485"/>
      <c r="BZ23" s="76"/>
      <c r="CA23" s="76"/>
      <c r="CB23" s="310"/>
      <c r="CC23" s="412"/>
      <c r="CD23" s="413"/>
      <c r="CE23" s="76"/>
      <c r="CF23" s="79"/>
      <c r="CG23" s="310"/>
      <c r="CH23" s="370"/>
      <c r="CI23" s="306"/>
      <c r="CJ23" s="202"/>
      <c r="CK23" s="202"/>
      <c r="CL23" s="202"/>
      <c r="CM23" s="203"/>
    </row>
    <row r="24" spans="1:118" ht="25.5" customHeight="1" thickBot="1" x14ac:dyDescent="0.25">
      <c r="A24" s="325">
        <v>265</v>
      </c>
      <c r="B24" s="73">
        <v>0</v>
      </c>
      <c r="C24" s="74" t="s">
        <v>135</v>
      </c>
      <c r="D24" s="74" t="s">
        <v>545</v>
      </c>
      <c r="E24" s="126" t="s">
        <v>546</v>
      </c>
      <c r="F24" s="89"/>
      <c r="G24" s="125" t="s">
        <v>547</v>
      </c>
      <c r="H24" s="198" t="s">
        <v>547</v>
      </c>
      <c r="I24" s="269">
        <v>5</v>
      </c>
      <c r="J24" s="89" t="s">
        <v>64</v>
      </c>
      <c r="K24" s="270">
        <v>9</v>
      </c>
      <c r="L24" s="376"/>
      <c r="M24" s="377"/>
      <c r="N24" s="377"/>
      <c r="O24" s="377"/>
      <c r="P24" s="378" t="s">
        <v>122</v>
      </c>
      <c r="Q24" s="275"/>
      <c r="R24" s="89"/>
      <c r="S24" s="414"/>
      <c r="T24" s="414"/>
      <c r="U24" s="416"/>
      <c r="V24" s="417"/>
      <c r="W24" s="414"/>
      <c r="X24" s="414"/>
      <c r="Y24" s="414"/>
      <c r="Z24" s="415"/>
      <c r="AA24" s="482"/>
      <c r="AB24" s="414"/>
      <c r="AC24" s="414"/>
      <c r="AD24" s="414"/>
      <c r="AE24" s="416"/>
      <c r="AF24" s="417"/>
      <c r="AG24" s="414"/>
      <c r="AH24" s="414"/>
      <c r="AI24" s="414"/>
      <c r="AJ24" s="270"/>
      <c r="AK24" s="271"/>
      <c r="AL24" s="414"/>
      <c r="AM24" s="414"/>
      <c r="AN24" s="414"/>
      <c r="AO24" s="416"/>
      <c r="AP24" s="417"/>
      <c r="AQ24" s="414"/>
      <c r="AR24" s="414"/>
      <c r="AS24" s="89"/>
      <c r="AT24" s="270"/>
      <c r="AU24" s="482"/>
      <c r="AV24" s="414"/>
      <c r="AW24" s="414"/>
      <c r="AX24" s="414"/>
      <c r="AY24" s="416"/>
      <c r="AZ24" s="417"/>
      <c r="BA24" s="414"/>
      <c r="BB24" s="414"/>
      <c r="BC24" s="414"/>
      <c r="BD24" s="415"/>
      <c r="BE24" s="271"/>
      <c r="BF24" s="89"/>
      <c r="BG24" s="385" t="s">
        <v>582</v>
      </c>
      <c r="BH24" s="379"/>
      <c r="BI24" s="380"/>
      <c r="BJ24" s="384" t="s">
        <v>120</v>
      </c>
      <c r="BK24" s="414"/>
      <c r="BL24" s="379"/>
      <c r="BM24" s="379"/>
      <c r="BN24" s="382"/>
      <c r="BO24" s="383"/>
      <c r="BP24" s="385" t="s">
        <v>121</v>
      </c>
      <c r="BQ24" s="89"/>
      <c r="BR24" s="89"/>
      <c r="BS24" s="416"/>
      <c r="BT24" s="269"/>
      <c r="BU24" s="89"/>
      <c r="BV24" s="414"/>
      <c r="BW24" s="414"/>
      <c r="BX24" s="415"/>
      <c r="BY24" s="482"/>
      <c r="BZ24" s="89"/>
      <c r="CA24" s="89"/>
      <c r="CB24" s="414"/>
      <c r="CC24" s="416"/>
      <c r="CD24" s="417"/>
      <c r="CE24" s="89"/>
      <c r="CF24" s="74"/>
      <c r="CG24" s="414"/>
      <c r="CH24" s="386" t="s">
        <v>40</v>
      </c>
      <c r="CI24" s="384" t="s">
        <v>40</v>
      </c>
      <c r="CJ24" s="206"/>
      <c r="CK24" s="206"/>
      <c r="CL24" s="206"/>
      <c r="CM24" s="207"/>
    </row>
    <row r="25" spans="1:118" ht="25.5" customHeight="1" x14ac:dyDescent="0.2">
      <c r="A25" s="318">
        <v>266</v>
      </c>
      <c r="B25" s="75">
        <v>0</v>
      </c>
      <c r="C25" s="92" t="s">
        <v>135</v>
      </c>
      <c r="D25" s="92" t="s">
        <v>548</v>
      </c>
      <c r="E25" s="93" t="s">
        <v>549</v>
      </c>
      <c r="F25" s="130"/>
      <c r="G25" s="129" t="s">
        <v>550</v>
      </c>
      <c r="H25" s="181" t="s">
        <v>881</v>
      </c>
      <c r="I25" s="259"/>
      <c r="J25" s="130"/>
      <c r="K25" s="260">
        <v>12</v>
      </c>
      <c r="L25" s="308"/>
      <c r="M25" s="304"/>
      <c r="N25" s="304"/>
      <c r="O25" s="304"/>
      <c r="P25" s="359"/>
      <c r="Q25" s="272"/>
      <c r="R25" s="130"/>
      <c r="S25" s="418"/>
      <c r="T25" s="418"/>
      <c r="U25" s="420"/>
      <c r="V25" s="421"/>
      <c r="W25" s="418"/>
      <c r="X25" s="418"/>
      <c r="Y25" s="418"/>
      <c r="Z25" s="419"/>
      <c r="AA25" s="483"/>
      <c r="AB25" s="418"/>
      <c r="AC25" s="418"/>
      <c r="AD25" s="418"/>
      <c r="AE25" s="420"/>
      <c r="AF25" s="421"/>
      <c r="AG25" s="418"/>
      <c r="AH25" s="418"/>
      <c r="AI25" s="418"/>
      <c r="AJ25" s="260"/>
      <c r="AK25" s="448"/>
      <c r="AL25" s="418"/>
      <c r="AM25" s="418"/>
      <c r="AN25" s="418"/>
      <c r="AO25" s="420"/>
      <c r="AP25" s="421"/>
      <c r="AQ25" s="418"/>
      <c r="AR25" s="418"/>
      <c r="AS25" s="130"/>
      <c r="AT25" s="260"/>
      <c r="AU25" s="483"/>
      <c r="AV25" s="418"/>
      <c r="AW25" s="418"/>
      <c r="AX25" s="418"/>
      <c r="AY25" s="420"/>
      <c r="AZ25" s="421"/>
      <c r="BA25" s="418"/>
      <c r="BB25" s="418"/>
      <c r="BC25" s="418"/>
      <c r="BD25" s="419"/>
      <c r="BE25" s="448"/>
      <c r="BF25" s="130"/>
      <c r="BG25" s="304"/>
      <c r="BH25" s="304"/>
      <c r="BI25" s="361"/>
      <c r="BJ25" s="362"/>
      <c r="BK25" s="418"/>
      <c r="BL25" s="304"/>
      <c r="BM25" s="304"/>
      <c r="BN25" s="359"/>
      <c r="BO25" s="308"/>
      <c r="BP25" s="304"/>
      <c r="BQ25" s="130"/>
      <c r="BR25" s="130"/>
      <c r="BS25" s="420"/>
      <c r="BT25" s="259"/>
      <c r="BU25" s="130"/>
      <c r="BV25" s="418"/>
      <c r="BW25" s="418"/>
      <c r="BX25" s="419"/>
      <c r="BY25" s="483"/>
      <c r="BZ25" s="130"/>
      <c r="CA25" s="130"/>
      <c r="CB25" s="418"/>
      <c r="CC25" s="420"/>
      <c r="CD25" s="421"/>
      <c r="CE25" s="130"/>
      <c r="CF25" s="92"/>
      <c r="CG25" s="418"/>
      <c r="CH25" s="363" t="s">
        <v>40</v>
      </c>
      <c r="CI25" s="364" t="s">
        <v>40</v>
      </c>
      <c r="CJ25" s="210"/>
      <c r="CK25" s="210"/>
      <c r="CL25" s="210"/>
      <c r="CM25" s="211"/>
    </row>
    <row r="26" spans="1:118" ht="25.5" customHeight="1" x14ac:dyDescent="0.2">
      <c r="A26" s="324">
        <v>267</v>
      </c>
      <c r="B26" s="72">
        <v>0</v>
      </c>
      <c r="C26" s="79" t="s">
        <v>135</v>
      </c>
      <c r="D26" s="79" t="s">
        <v>1029</v>
      </c>
      <c r="E26" s="77" t="s">
        <v>1030</v>
      </c>
      <c r="F26" s="76"/>
      <c r="G26" s="95" t="s">
        <v>1031</v>
      </c>
      <c r="H26" s="97" t="s">
        <v>1031</v>
      </c>
      <c r="I26" s="142"/>
      <c r="J26" s="76"/>
      <c r="K26" s="141"/>
      <c r="L26" s="367"/>
      <c r="M26" s="307"/>
      <c r="N26" s="307"/>
      <c r="O26" s="307"/>
      <c r="P26" s="369"/>
      <c r="Q26" s="274"/>
      <c r="R26" s="76"/>
      <c r="S26" s="310"/>
      <c r="T26" s="310"/>
      <c r="U26" s="412"/>
      <c r="V26" s="413"/>
      <c r="W26" s="310"/>
      <c r="X26" s="310"/>
      <c r="Y26" s="310"/>
      <c r="Z26" s="411"/>
      <c r="AA26" s="485"/>
      <c r="AB26" s="310"/>
      <c r="AC26" s="310"/>
      <c r="AD26" s="310"/>
      <c r="AE26" s="412"/>
      <c r="AF26" s="413"/>
      <c r="AG26" s="310"/>
      <c r="AH26" s="310"/>
      <c r="AI26" s="310"/>
      <c r="AJ26" s="141"/>
      <c r="AK26" s="140"/>
      <c r="AL26" s="310"/>
      <c r="AM26" s="310"/>
      <c r="AN26" s="310"/>
      <c r="AO26" s="412"/>
      <c r="AP26" s="413"/>
      <c r="AQ26" s="310"/>
      <c r="AR26" s="310"/>
      <c r="AS26" s="76"/>
      <c r="AT26" s="141"/>
      <c r="AU26" s="485"/>
      <c r="AV26" s="310"/>
      <c r="AW26" s="310"/>
      <c r="AX26" s="310"/>
      <c r="AY26" s="412"/>
      <c r="AZ26" s="413"/>
      <c r="BA26" s="310"/>
      <c r="BB26" s="310"/>
      <c r="BC26" s="310"/>
      <c r="BD26" s="411"/>
      <c r="BE26" s="140"/>
      <c r="BF26" s="76"/>
      <c r="BG26" s="307"/>
      <c r="BH26" s="307"/>
      <c r="BI26" s="370"/>
      <c r="BJ26" s="306"/>
      <c r="BK26" s="310"/>
      <c r="BL26" s="307"/>
      <c r="BM26" s="307"/>
      <c r="BN26" s="369"/>
      <c r="BO26" s="367"/>
      <c r="BP26" s="307"/>
      <c r="BQ26" s="76"/>
      <c r="BR26" s="76"/>
      <c r="BS26" s="412"/>
      <c r="BT26" s="142"/>
      <c r="BU26" s="76"/>
      <c r="BV26" s="310"/>
      <c r="BW26" s="310"/>
      <c r="BX26" s="411"/>
      <c r="BY26" s="485"/>
      <c r="BZ26" s="76"/>
      <c r="CA26" s="76"/>
      <c r="CB26" s="310"/>
      <c r="CC26" s="412"/>
      <c r="CD26" s="413"/>
      <c r="CE26" s="76"/>
      <c r="CF26" s="79"/>
      <c r="CG26" s="310"/>
      <c r="CH26" s="370"/>
      <c r="CI26" s="306"/>
      <c r="CJ26" s="202"/>
      <c r="CK26" s="202"/>
      <c r="CL26" s="202"/>
      <c r="CM26" s="203"/>
    </row>
    <row r="27" spans="1:118" ht="25.5" customHeight="1" x14ac:dyDescent="0.2">
      <c r="A27" s="324">
        <v>268</v>
      </c>
      <c r="B27" s="72">
        <v>0</v>
      </c>
      <c r="C27" s="79" t="s">
        <v>135</v>
      </c>
      <c r="D27" s="79" t="s">
        <v>551</v>
      </c>
      <c r="E27" s="77" t="s">
        <v>552</v>
      </c>
      <c r="F27" s="76"/>
      <c r="G27" s="95" t="s">
        <v>115</v>
      </c>
      <c r="H27" s="97" t="s">
        <v>115</v>
      </c>
      <c r="I27" s="142">
        <v>5</v>
      </c>
      <c r="J27" s="76" t="s">
        <v>64</v>
      </c>
      <c r="K27" s="141">
        <v>9</v>
      </c>
      <c r="L27" s="446"/>
      <c r="M27" s="297"/>
      <c r="N27" s="297"/>
      <c r="O27" s="297"/>
      <c r="P27" s="372" t="s">
        <v>122</v>
      </c>
      <c r="Q27" s="274"/>
      <c r="R27" s="76"/>
      <c r="S27" s="310"/>
      <c r="T27" s="310"/>
      <c r="U27" s="412"/>
      <c r="V27" s="413"/>
      <c r="W27" s="310"/>
      <c r="X27" s="310"/>
      <c r="Y27" s="310"/>
      <c r="Z27" s="411"/>
      <c r="AA27" s="485"/>
      <c r="AB27" s="310"/>
      <c r="AC27" s="310"/>
      <c r="AD27" s="310"/>
      <c r="AE27" s="412"/>
      <c r="AF27" s="413"/>
      <c r="AG27" s="310"/>
      <c r="AH27" s="310"/>
      <c r="AI27" s="310"/>
      <c r="AJ27" s="141"/>
      <c r="AK27" s="140"/>
      <c r="AL27" s="310"/>
      <c r="AM27" s="310"/>
      <c r="AN27" s="310"/>
      <c r="AO27" s="412"/>
      <c r="AP27" s="413"/>
      <c r="AQ27" s="310"/>
      <c r="AR27" s="310"/>
      <c r="AS27" s="76"/>
      <c r="AT27" s="141"/>
      <c r="AU27" s="485"/>
      <c r="AV27" s="310"/>
      <c r="AW27" s="310"/>
      <c r="AX27" s="310"/>
      <c r="AY27" s="412"/>
      <c r="AZ27" s="413"/>
      <c r="BA27" s="310"/>
      <c r="BB27" s="310"/>
      <c r="BC27" s="310"/>
      <c r="BD27" s="411"/>
      <c r="BE27" s="140"/>
      <c r="BF27" s="76"/>
      <c r="BG27" s="371" t="s">
        <v>582</v>
      </c>
      <c r="BH27" s="307"/>
      <c r="BI27" s="370"/>
      <c r="BJ27" s="373" t="s">
        <v>120</v>
      </c>
      <c r="BK27" s="310"/>
      <c r="BL27" s="307"/>
      <c r="BM27" s="307"/>
      <c r="BN27" s="369"/>
      <c r="BO27" s="367"/>
      <c r="BP27" s="371" t="s">
        <v>121</v>
      </c>
      <c r="BQ27" s="76"/>
      <c r="BR27" s="76"/>
      <c r="BS27" s="412"/>
      <c r="BT27" s="142"/>
      <c r="BU27" s="76"/>
      <c r="BV27" s="310"/>
      <c r="BW27" s="310"/>
      <c r="BX27" s="411"/>
      <c r="BY27" s="485"/>
      <c r="BZ27" s="76"/>
      <c r="CA27" s="76"/>
      <c r="CB27" s="310"/>
      <c r="CC27" s="412"/>
      <c r="CD27" s="413"/>
      <c r="CE27" s="76"/>
      <c r="CF27" s="79"/>
      <c r="CG27" s="310"/>
      <c r="CH27" s="374" t="s">
        <v>40</v>
      </c>
      <c r="CI27" s="373" t="s">
        <v>40</v>
      </c>
      <c r="CJ27" s="202"/>
      <c r="CK27" s="202"/>
      <c r="CL27" s="202"/>
      <c r="CM27" s="203"/>
    </row>
    <row r="28" spans="1:118" ht="25.5" customHeight="1" x14ac:dyDescent="0.2">
      <c r="A28" s="324">
        <v>269</v>
      </c>
      <c r="B28" s="72">
        <v>0</v>
      </c>
      <c r="C28" s="79" t="s">
        <v>135</v>
      </c>
      <c r="D28" s="79" t="s">
        <v>553</v>
      </c>
      <c r="E28" s="77" t="s">
        <v>554</v>
      </c>
      <c r="F28" s="76"/>
      <c r="G28" s="95" t="s">
        <v>116</v>
      </c>
      <c r="H28" s="97" t="s">
        <v>116</v>
      </c>
      <c r="I28" s="142">
        <v>5</v>
      </c>
      <c r="J28" s="76"/>
      <c r="K28" s="141">
        <v>9</v>
      </c>
      <c r="L28" s="446"/>
      <c r="M28" s="297"/>
      <c r="N28" s="297"/>
      <c r="O28" s="297"/>
      <c r="P28" s="372" t="s">
        <v>122</v>
      </c>
      <c r="Q28" s="274"/>
      <c r="R28" s="76"/>
      <c r="S28" s="310"/>
      <c r="T28" s="310"/>
      <c r="U28" s="412"/>
      <c r="V28" s="413"/>
      <c r="W28" s="310"/>
      <c r="X28" s="310"/>
      <c r="Y28" s="310"/>
      <c r="Z28" s="411"/>
      <c r="AA28" s="485"/>
      <c r="AB28" s="310"/>
      <c r="AC28" s="310"/>
      <c r="AD28" s="310"/>
      <c r="AE28" s="412"/>
      <c r="AF28" s="413"/>
      <c r="AG28" s="310"/>
      <c r="AH28" s="310"/>
      <c r="AI28" s="310"/>
      <c r="AJ28" s="141"/>
      <c r="AK28" s="140"/>
      <c r="AL28" s="310"/>
      <c r="AM28" s="310"/>
      <c r="AN28" s="310"/>
      <c r="AO28" s="412"/>
      <c r="AP28" s="413"/>
      <c r="AQ28" s="310"/>
      <c r="AR28" s="310"/>
      <c r="AS28" s="76"/>
      <c r="AT28" s="141"/>
      <c r="AU28" s="485"/>
      <c r="AV28" s="310"/>
      <c r="AW28" s="310"/>
      <c r="AX28" s="310"/>
      <c r="AY28" s="412"/>
      <c r="AZ28" s="413"/>
      <c r="BA28" s="310"/>
      <c r="BB28" s="310"/>
      <c r="BC28" s="310"/>
      <c r="BD28" s="411"/>
      <c r="BE28" s="140"/>
      <c r="BF28" s="76"/>
      <c r="BG28" s="371" t="s">
        <v>582</v>
      </c>
      <c r="BH28" s="307"/>
      <c r="BI28" s="370"/>
      <c r="BJ28" s="373" t="s">
        <v>120</v>
      </c>
      <c r="BK28" s="310"/>
      <c r="BL28" s="307"/>
      <c r="BM28" s="307"/>
      <c r="BN28" s="369"/>
      <c r="BO28" s="367"/>
      <c r="BP28" s="371" t="s">
        <v>121</v>
      </c>
      <c r="BQ28" s="76"/>
      <c r="BR28" s="76"/>
      <c r="BS28" s="412"/>
      <c r="BT28" s="142"/>
      <c r="BU28" s="76"/>
      <c r="BV28" s="310"/>
      <c r="BW28" s="310"/>
      <c r="BX28" s="411"/>
      <c r="BY28" s="485"/>
      <c r="BZ28" s="76"/>
      <c r="CA28" s="76"/>
      <c r="CB28" s="310"/>
      <c r="CC28" s="412"/>
      <c r="CD28" s="413"/>
      <c r="CE28" s="76"/>
      <c r="CF28" s="79"/>
      <c r="CG28" s="310"/>
      <c r="CH28" s="374" t="s">
        <v>40</v>
      </c>
      <c r="CI28" s="373" t="s">
        <v>40</v>
      </c>
      <c r="CJ28" s="202"/>
      <c r="CK28" s="202"/>
      <c r="CL28" s="202"/>
      <c r="CM28" s="203"/>
    </row>
    <row r="29" spans="1:118" ht="25.5" customHeight="1" thickBot="1" x14ac:dyDescent="0.25">
      <c r="A29" s="331">
        <v>270</v>
      </c>
      <c r="B29" s="82">
        <v>0</v>
      </c>
      <c r="C29" s="82" t="s">
        <v>135</v>
      </c>
      <c r="D29" s="190" t="s">
        <v>555</v>
      </c>
      <c r="E29" s="117" t="s">
        <v>556</v>
      </c>
      <c r="F29" s="99"/>
      <c r="G29" s="190" t="s">
        <v>557</v>
      </c>
      <c r="H29" s="195" t="s">
        <v>882</v>
      </c>
      <c r="I29" s="257">
        <v>5</v>
      </c>
      <c r="J29" s="99" t="s">
        <v>64</v>
      </c>
      <c r="K29" s="264">
        <v>15</v>
      </c>
      <c r="L29" s="445"/>
      <c r="M29" s="463"/>
      <c r="N29" s="463"/>
      <c r="O29" s="463"/>
      <c r="P29" s="398" t="s">
        <v>122</v>
      </c>
      <c r="Q29" s="278"/>
      <c r="R29" s="190"/>
      <c r="S29" s="390"/>
      <c r="T29" s="390"/>
      <c r="U29" s="393"/>
      <c r="V29" s="394"/>
      <c r="W29" s="390"/>
      <c r="X29" s="390"/>
      <c r="Y29" s="390"/>
      <c r="Z29" s="391"/>
      <c r="AA29" s="395"/>
      <c r="AB29" s="390"/>
      <c r="AC29" s="390"/>
      <c r="AD29" s="390"/>
      <c r="AE29" s="393"/>
      <c r="AF29" s="394"/>
      <c r="AG29" s="390"/>
      <c r="AH29" s="390"/>
      <c r="AI29" s="390"/>
      <c r="AJ29" s="279"/>
      <c r="AK29" s="278"/>
      <c r="AL29" s="390"/>
      <c r="AM29" s="390"/>
      <c r="AN29" s="390"/>
      <c r="AO29" s="393"/>
      <c r="AP29" s="394"/>
      <c r="AQ29" s="390"/>
      <c r="AR29" s="390"/>
      <c r="AS29" s="190"/>
      <c r="AT29" s="279"/>
      <c r="AU29" s="395"/>
      <c r="AV29" s="390"/>
      <c r="AW29" s="390"/>
      <c r="AX29" s="390"/>
      <c r="AY29" s="393"/>
      <c r="AZ29" s="394"/>
      <c r="BA29" s="390"/>
      <c r="BB29" s="390"/>
      <c r="BC29" s="390"/>
      <c r="BD29" s="391"/>
      <c r="BE29" s="278"/>
      <c r="BF29" s="190"/>
      <c r="BG29" s="390"/>
      <c r="BH29" s="390"/>
      <c r="BI29" s="393"/>
      <c r="BJ29" s="397" t="s">
        <v>120</v>
      </c>
      <c r="BK29" s="390"/>
      <c r="BL29" s="390"/>
      <c r="BM29" s="390"/>
      <c r="BN29" s="391"/>
      <c r="BO29" s="395"/>
      <c r="BP29" s="392" t="s">
        <v>121</v>
      </c>
      <c r="BQ29" s="190"/>
      <c r="BR29" s="190"/>
      <c r="BS29" s="393"/>
      <c r="BT29" s="280"/>
      <c r="BU29" s="190"/>
      <c r="BV29" s="390"/>
      <c r="BW29" s="390"/>
      <c r="BX29" s="391"/>
      <c r="BY29" s="395"/>
      <c r="BZ29" s="190"/>
      <c r="CA29" s="190"/>
      <c r="CB29" s="390"/>
      <c r="CC29" s="393"/>
      <c r="CD29" s="394"/>
      <c r="CE29" s="190"/>
      <c r="CF29" s="190"/>
      <c r="CG29" s="390"/>
      <c r="CH29" s="396" t="s">
        <v>40</v>
      </c>
      <c r="CI29" s="397" t="s">
        <v>40</v>
      </c>
      <c r="CJ29" s="213"/>
      <c r="CK29" s="213"/>
      <c r="CL29" s="213"/>
      <c r="CM29" s="214"/>
    </row>
    <row r="30" spans="1:118" ht="25.5" customHeight="1" x14ac:dyDescent="0.2">
      <c r="A30" s="332">
        <v>271</v>
      </c>
      <c r="B30" s="85">
        <v>0</v>
      </c>
      <c r="C30" s="85" t="s">
        <v>135</v>
      </c>
      <c r="D30" s="87" t="s">
        <v>558</v>
      </c>
      <c r="E30" s="133" t="s">
        <v>559</v>
      </c>
      <c r="F30" s="103"/>
      <c r="G30" s="87" t="s">
        <v>117</v>
      </c>
      <c r="H30" s="194" t="s">
        <v>117</v>
      </c>
      <c r="I30" s="139"/>
      <c r="J30" s="103"/>
      <c r="K30" s="137"/>
      <c r="L30" s="407"/>
      <c r="M30" s="402"/>
      <c r="N30" s="402"/>
      <c r="O30" s="402"/>
      <c r="P30" s="403"/>
      <c r="Q30" s="281"/>
      <c r="R30" s="87"/>
      <c r="S30" s="402"/>
      <c r="T30" s="402"/>
      <c r="U30" s="405"/>
      <c r="V30" s="406"/>
      <c r="W30" s="402"/>
      <c r="X30" s="402"/>
      <c r="Y30" s="402"/>
      <c r="Z30" s="403"/>
      <c r="AA30" s="407"/>
      <c r="AB30" s="402"/>
      <c r="AC30" s="402"/>
      <c r="AD30" s="402"/>
      <c r="AE30" s="405"/>
      <c r="AF30" s="406"/>
      <c r="AG30" s="402"/>
      <c r="AH30" s="402"/>
      <c r="AI30" s="402"/>
      <c r="AJ30" s="282"/>
      <c r="AK30" s="281"/>
      <c r="AL30" s="402"/>
      <c r="AM30" s="402"/>
      <c r="AN30" s="402"/>
      <c r="AO30" s="405"/>
      <c r="AP30" s="406"/>
      <c r="AQ30" s="402"/>
      <c r="AR30" s="402"/>
      <c r="AS30" s="87"/>
      <c r="AT30" s="282"/>
      <c r="AU30" s="407"/>
      <c r="AV30" s="402"/>
      <c r="AW30" s="402"/>
      <c r="AX30" s="402"/>
      <c r="AY30" s="405"/>
      <c r="AZ30" s="406"/>
      <c r="BA30" s="402"/>
      <c r="BB30" s="402"/>
      <c r="BC30" s="402"/>
      <c r="BD30" s="403"/>
      <c r="BE30" s="281"/>
      <c r="BF30" s="87"/>
      <c r="BG30" s="402"/>
      <c r="BH30" s="402"/>
      <c r="BI30" s="405"/>
      <c r="BJ30" s="406"/>
      <c r="BK30" s="402"/>
      <c r="BL30" s="402"/>
      <c r="BM30" s="402"/>
      <c r="BN30" s="403"/>
      <c r="BO30" s="407"/>
      <c r="BP30" s="402"/>
      <c r="BQ30" s="87"/>
      <c r="BR30" s="87"/>
      <c r="BS30" s="405"/>
      <c r="BT30" s="283"/>
      <c r="BU30" s="87"/>
      <c r="BV30" s="402"/>
      <c r="BW30" s="402"/>
      <c r="BX30" s="403"/>
      <c r="BY30" s="407"/>
      <c r="BZ30" s="87"/>
      <c r="CA30" s="87"/>
      <c r="CB30" s="402"/>
      <c r="CC30" s="405"/>
      <c r="CD30" s="406"/>
      <c r="CE30" s="87"/>
      <c r="CF30" s="87"/>
      <c r="CG30" s="402"/>
      <c r="CH30" s="408" t="s">
        <v>40</v>
      </c>
      <c r="CI30" s="409" t="s">
        <v>40</v>
      </c>
      <c r="CJ30" s="217"/>
      <c r="CK30" s="217"/>
      <c r="CL30" s="217"/>
      <c r="CM30" s="218"/>
    </row>
    <row r="31" spans="1:118" ht="25.5" customHeight="1" x14ac:dyDescent="0.2">
      <c r="A31" s="324">
        <v>272</v>
      </c>
      <c r="B31" s="72">
        <v>0</v>
      </c>
      <c r="C31" s="72" t="s">
        <v>135</v>
      </c>
      <c r="D31" s="79" t="s">
        <v>560</v>
      </c>
      <c r="E31" s="77" t="s">
        <v>561</v>
      </c>
      <c r="F31" s="76"/>
      <c r="G31" s="79" t="s">
        <v>562</v>
      </c>
      <c r="H31" s="134" t="s">
        <v>883</v>
      </c>
      <c r="I31" s="142">
        <v>5</v>
      </c>
      <c r="J31" s="76" t="s">
        <v>64</v>
      </c>
      <c r="K31" s="141">
        <v>15</v>
      </c>
      <c r="L31" s="446"/>
      <c r="M31" s="297"/>
      <c r="N31" s="297"/>
      <c r="O31" s="297"/>
      <c r="P31" s="372" t="s">
        <v>122</v>
      </c>
      <c r="Q31" s="274"/>
      <c r="R31" s="79"/>
      <c r="S31" s="307"/>
      <c r="T31" s="307"/>
      <c r="U31" s="370"/>
      <c r="V31" s="306"/>
      <c r="W31" s="307"/>
      <c r="X31" s="307"/>
      <c r="Y31" s="307"/>
      <c r="Z31" s="369"/>
      <c r="AA31" s="367"/>
      <c r="AB31" s="307"/>
      <c r="AC31" s="307"/>
      <c r="AD31" s="307"/>
      <c r="AE31" s="370"/>
      <c r="AF31" s="306"/>
      <c r="AG31" s="307"/>
      <c r="AH31" s="307"/>
      <c r="AI31" s="307"/>
      <c r="AJ31" s="178"/>
      <c r="AK31" s="274"/>
      <c r="AL31" s="307"/>
      <c r="AM31" s="307"/>
      <c r="AN31" s="307"/>
      <c r="AO31" s="370"/>
      <c r="AP31" s="306"/>
      <c r="AQ31" s="307"/>
      <c r="AR31" s="307"/>
      <c r="AS31" s="79"/>
      <c r="AT31" s="178"/>
      <c r="AU31" s="367"/>
      <c r="AV31" s="307"/>
      <c r="AW31" s="307"/>
      <c r="AX31" s="307"/>
      <c r="AY31" s="370"/>
      <c r="AZ31" s="306"/>
      <c r="BA31" s="307"/>
      <c r="BB31" s="307"/>
      <c r="BC31" s="307"/>
      <c r="BD31" s="369"/>
      <c r="BE31" s="274"/>
      <c r="BF31" s="79"/>
      <c r="BG31" s="307"/>
      <c r="BH31" s="307"/>
      <c r="BI31" s="370"/>
      <c r="BJ31" s="373" t="s">
        <v>120</v>
      </c>
      <c r="BK31" s="307"/>
      <c r="BL31" s="307"/>
      <c r="BM31" s="307"/>
      <c r="BN31" s="369"/>
      <c r="BO31" s="367"/>
      <c r="BP31" s="371" t="s">
        <v>121</v>
      </c>
      <c r="BQ31" s="79"/>
      <c r="BR31" s="79"/>
      <c r="BS31" s="370"/>
      <c r="BT31" s="261"/>
      <c r="BU31" s="79"/>
      <c r="BV31" s="307"/>
      <c r="BW31" s="307"/>
      <c r="BX31" s="369"/>
      <c r="BY31" s="367"/>
      <c r="BZ31" s="79"/>
      <c r="CA31" s="79"/>
      <c r="CB31" s="307"/>
      <c r="CC31" s="370"/>
      <c r="CD31" s="306"/>
      <c r="CE31" s="79"/>
      <c r="CF31" s="79"/>
      <c r="CG31" s="307"/>
      <c r="CH31" s="374" t="s">
        <v>40</v>
      </c>
      <c r="CI31" s="373" t="s">
        <v>40</v>
      </c>
      <c r="CJ31" s="202"/>
      <c r="CK31" s="202"/>
      <c r="CL31" s="202"/>
      <c r="CM31" s="203"/>
    </row>
    <row r="32" spans="1:118" ht="25.5" customHeight="1" x14ac:dyDescent="0.2">
      <c r="A32" s="324">
        <v>273</v>
      </c>
      <c r="B32" s="72">
        <v>0</v>
      </c>
      <c r="C32" s="72" t="s">
        <v>135</v>
      </c>
      <c r="D32" s="79" t="s">
        <v>563</v>
      </c>
      <c r="E32" s="77" t="s">
        <v>564</v>
      </c>
      <c r="F32" s="76"/>
      <c r="G32" s="79" t="s">
        <v>565</v>
      </c>
      <c r="H32" s="134" t="s">
        <v>565</v>
      </c>
      <c r="I32" s="142"/>
      <c r="J32" s="76"/>
      <c r="K32" s="141"/>
      <c r="L32" s="367"/>
      <c r="M32" s="307"/>
      <c r="N32" s="307"/>
      <c r="O32" s="307"/>
      <c r="P32" s="369"/>
      <c r="Q32" s="274"/>
      <c r="R32" s="79"/>
      <c r="S32" s="307"/>
      <c r="T32" s="307"/>
      <c r="U32" s="370"/>
      <c r="V32" s="306"/>
      <c r="W32" s="307"/>
      <c r="X32" s="307"/>
      <c r="Y32" s="307"/>
      <c r="Z32" s="369"/>
      <c r="AA32" s="367"/>
      <c r="AB32" s="307"/>
      <c r="AC32" s="307"/>
      <c r="AD32" s="307"/>
      <c r="AE32" s="370"/>
      <c r="AF32" s="306"/>
      <c r="AG32" s="307"/>
      <c r="AH32" s="307"/>
      <c r="AI32" s="307"/>
      <c r="AJ32" s="178"/>
      <c r="AK32" s="274"/>
      <c r="AL32" s="307"/>
      <c r="AM32" s="307"/>
      <c r="AN32" s="307"/>
      <c r="AO32" s="370"/>
      <c r="AP32" s="306"/>
      <c r="AQ32" s="307"/>
      <c r="AR32" s="307"/>
      <c r="AS32" s="79"/>
      <c r="AT32" s="178"/>
      <c r="AU32" s="367"/>
      <c r="AV32" s="307"/>
      <c r="AW32" s="307"/>
      <c r="AX32" s="307"/>
      <c r="AY32" s="370"/>
      <c r="AZ32" s="306"/>
      <c r="BA32" s="307"/>
      <c r="BB32" s="307"/>
      <c r="BC32" s="307"/>
      <c r="BD32" s="369"/>
      <c r="BE32" s="274"/>
      <c r="BF32" s="79"/>
      <c r="BG32" s="307"/>
      <c r="BH32" s="307"/>
      <c r="BI32" s="370"/>
      <c r="BJ32" s="306"/>
      <c r="BK32" s="307"/>
      <c r="BL32" s="307"/>
      <c r="BM32" s="307"/>
      <c r="BN32" s="369"/>
      <c r="BO32" s="367"/>
      <c r="BP32" s="307"/>
      <c r="BQ32" s="79"/>
      <c r="BR32" s="79"/>
      <c r="BS32" s="370"/>
      <c r="BT32" s="261"/>
      <c r="BU32" s="79"/>
      <c r="BV32" s="307"/>
      <c r="BW32" s="307"/>
      <c r="BX32" s="369"/>
      <c r="BY32" s="367"/>
      <c r="BZ32" s="79"/>
      <c r="CA32" s="79"/>
      <c r="CB32" s="307"/>
      <c r="CC32" s="370"/>
      <c r="CD32" s="306"/>
      <c r="CE32" s="79"/>
      <c r="CF32" s="79"/>
      <c r="CG32" s="307"/>
      <c r="CH32" s="374" t="s">
        <v>40</v>
      </c>
      <c r="CI32" s="373" t="s">
        <v>40</v>
      </c>
      <c r="CJ32" s="202"/>
      <c r="CK32" s="202"/>
      <c r="CL32" s="202"/>
      <c r="CM32" s="203"/>
    </row>
    <row r="33" spans="1:91" ht="25.5" customHeight="1" x14ac:dyDescent="0.2">
      <c r="A33" s="324">
        <v>274</v>
      </c>
      <c r="B33" s="72">
        <v>0</v>
      </c>
      <c r="C33" s="72" t="s">
        <v>135</v>
      </c>
      <c r="D33" s="79" t="s">
        <v>1032</v>
      </c>
      <c r="E33" s="77" t="s">
        <v>1033</v>
      </c>
      <c r="F33" s="76"/>
      <c r="G33" s="79" t="s">
        <v>1034</v>
      </c>
      <c r="H33" s="134" t="s">
        <v>1034</v>
      </c>
      <c r="I33" s="142"/>
      <c r="J33" s="76"/>
      <c r="K33" s="141"/>
      <c r="L33" s="367"/>
      <c r="M33" s="307"/>
      <c r="N33" s="307"/>
      <c r="O33" s="307"/>
      <c r="P33" s="369"/>
      <c r="Q33" s="274"/>
      <c r="R33" s="79"/>
      <c r="S33" s="307"/>
      <c r="T33" s="307"/>
      <c r="U33" s="370"/>
      <c r="V33" s="306"/>
      <c r="W33" s="307"/>
      <c r="X33" s="307"/>
      <c r="Y33" s="307"/>
      <c r="Z33" s="369"/>
      <c r="AA33" s="367"/>
      <c r="AB33" s="307"/>
      <c r="AC33" s="307"/>
      <c r="AD33" s="307"/>
      <c r="AE33" s="370"/>
      <c r="AF33" s="306"/>
      <c r="AG33" s="307"/>
      <c r="AH33" s="307"/>
      <c r="AI33" s="307"/>
      <c r="AJ33" s="178"/>
      <c r="AK33" s="274"/>
      <c r="AL33" s="307"/>
      <c r="AM33" s="307"/>
      <c r="AN33" s="307"/>
      <c r="AO33" s="370"/>
      <c r="AP33" s="306"/>
      <c r="AQ33" s="307"/>
      <c r="AR33" s="307"/>
      <c r="AS33" s="79"/>
      <c r="AT33" s="178"/>
      <c r="AU33" s="367"/>
      <c r="AV33" s="307"/>
      <c r="AW33" s="307"/>
      <c r="AX33" s="307"/>
      <c r="AY33" s="370"/>
      <c r="AZ33" s="306"/>
      <c r="BA33" s="307"/>
      <c r="BB33" s="307"/>
      <c r="BC33" s="307"/>
      <c r="BD33" s="369"/>
      <c r="BE33" s="274"/>
      <c r="BF33" s="79"/>
      <c r="BG33" s="307"/>
      <c r="BH33" s="307"/>
      <c r="BI33" s="370"/>
      <c r="BJ33" s="306"/>
      <c r="BK33" s="307"/>
      <c r="BL33" s="307"/>
      <c r="BM33" s="307"/>
      <c r="BN33" s="369"/>
      <c r="BO33" s="367"/>
      <c r="BP33" s="307"/>
      <c r="BQ33" s="79"/>
      <c r="BR33" s="79"/>
      <c r="BS33" s="370"/>
      <c r="BT33" s="261"/>
      <c r="BU33" s="79"/>
      <c r="BV33" s="307"/>
      <c r="BW33" s="307"/>
      <c r="BX33" s="369"/>
      <c r="BY33" s="367"/>
      <c r="BZ33" s="79"/>
      <c r="CA33" s="79"/>
      <c r="CB33" s="307"/>
      <c r="CC33" s="370"/>
      <c r="CD33" s="306"/>
      <c r="CE33" s="79"/>
      <c r="CF33" s="79"/>
      <c r="CG33" s="307"/>
      <c r="CH33" s="370"/>
      <c r="CI33" s="306"/>
      <c r="CJ33" s="202"/>
      <c r="CK33" s="202"/>
      <c r="CL33" s="202"/>
      <c r="CM33" s="203"/>
    </row>
    <row r="34" spans="1:91" ht="25.5" customHeight="1" thickBot="1" x14ac:dyDescent="0.25">
      <c r="A34" s="325">
        <v>275</v>
      </c>
      <c r="B34" s="73">
        <v>0</v>
      </c>
      <c r="C34" s="73" t="s">
        <v>135</v>
      </c>
      <c r="D34" s="74" t="s">
        <v>333</v>
      </c>
      <c r="E34" s="126" t="s">
        <v>566</v>
      </c>
      <c r="F34" s="89"/>
      <c r="G34" s="74" t="s">
        <v>783</v>
      </c>
      <c r="H34" s="135" t="s">
        <v>567</v>
      </c>
      <c r="I34" s="269"/>
      <c r="J34" s="89"/>
      <c r="K34" s="270"/>
      <c r="L34" s="383"/>
      <c r="M34" s="379"/>
      <c r="N34" s="379"/>
      <c r="O34" s="379"/>
      <c r="P34" s="382"/>
      <c r="Q34" s="275"/>
      <c r="R34" s="74"/>
      <c r="S34" s="379"/>
      <c r="T34" s="379"/>
      <c r="U34" s="380"/>
      <c r="V34" s="381"/>
      <c r="W34" s="379"/>
      <c r="X34" s="379"/>
      <c r="Y34" s="379"/>
      <c r="Z34" s="382"/>
      <c r="AA34" s="383"/>
      <c r="AB34" s="379"/>
      <c r="AC34" s="379"/>
      <c r="AD34" s="379"/>
      <c r="AE34" s="380"/>
      <c r="AF34" s="384" t="s">
        <v>120</v>
      </c>
      <c r="AG34" s="379"/>
      <c r="AH34" s="379"/>
      <c r="AI34" s="379"/>
      <c r="AJ34" s="276"/>
      <c r="AK34" s="275"/>
      <c r="AL34" s="379"/>
      <c r="AM34" s="379"/>
      <c r="AN34" s="379"/>
      <c r="AO34" s="380"/>
      <c r="AP34" s="381"/>
      <c r="AQ34" s="379"/>
      <c r="AR34" s="379"/>
      <c r="AS34" s="74"/>
      <c r="AT34" s="276"/>
      <c r="AU34" s="383"/>
      <c r="AV34" s="379"/>
      <c r="AW34" s="379"/>
      <c r="AX34" s="379"/>
      <c r="AY34" s="380"/>
      <c r="AZ34" s="381"/>
      <c r="BA34" s="379"/>
      <c r="BB34" s="379"/>
      <c r="BC34" s="379"/>
      <c r="BD34" s="382"/>
      <c r="BE34" s="275"/>
      <c r="BF34" s="74"/>
      <c r="BG34" s="379"/>
      <c r="BH34" s="379"/>
      <c r="BI34" s="380"/>
      <c r="BJ34" s="381"/>
      <c r="BK34" s="379"/>
      <c r="BL34" s="379"/>
      <c r="BM34" s="379"/>
      <c r="BN34" s="382"/>
      <c r="BO34" s="383"/>
      <c r="BP34" s="379"/>
      <c r="BQ34" s="74"/>
      <c r="BR34" s="74"/>
      <c r="BS34" s="380"/>
      <c r="BT34" s="277"/>
      <c r="BU34" s="74"/>
      <c r="BV34" s="379"/>
      <c r="BW34" s="379"/>
      <c r="BX34" s="382"/>
      <c r="BY34" s="383"/>
      <c r="BZ34" s="74"/>
      <c r="CA34" s="74"/>
      <c r="CB34" s="379"/>
      <c r="CC34" s="380"/>
      <c r="CD34" s="381"/>
      <c r="CE34" s="74"/>
      <c r="CF34" s="74"/>
      <c r="CG34" s="379"/>
      <c r="CH34" s="380"/>
      <c r="CI34" s="381"/>
      <c r="CJ34" s="206"/>
      <c r="CK34" s="206"/>
      <c r="CL34" s="206"/>
      <c r="CM34" s="207"/>
    </row>
    <row r="35" spans="1:91" ht="25.5" customHeight="1" x14ac:dyDescent="0.2">
      <c r="A35" s="318">
        <v>276</v>
      </c>
      <c r="B35" s="75">
        <v>0</v>
      </c>
      <c r="C35" s="75" t="s">
        <v>135</v>
      </c>
      <c r="D35" s="92" t="s">
        <v>568</v>
      </c>
      <c r="E35" s="93" t="s">
        <v>569</v>
      </c>
      <c r="F35" s="130"/>
      <c r="G35" s="92" t="s">
        <v>611</v>
      </c>
      <c r="H35" s="113" t="s">
        <v>611</v>
      </c>
      <c r="I35" s="259"/>
      <c r="J35" s="130"/>
      <c r="K35" s="260"/>
      <c r="L35" s="308"/>
      <c r="M35" s="304"/>
      <c r="N35" s="304"/>
      <c r="O35" s="304"/>
      <c r="P35" s="359"/>
      <c r="Q35" s="272"/>
      <c r="R35" s="92"/>
      <c r="S35" s="304"/>
      <c r="T35" s="304"/>
      <c r="U35" s="361"/>
      <c r="V35" s="362"/>
      <c r="W35" s="304"/>
      <c r="X35" s="304"/>
      <c r="Y35" s="304"/>
      <c r="Z35" s="359"/>
      <c r="AA35" s="308"/>
      <c r="AB35" s="304"/>
      <c r="AC35" s="304"/>
      <c r="AD35" s="304"/>
      <c r="AE35" s="361"/>
      <c r="AF35" s="362"/>
      <c r="AG35" s="304"/>
      <c r="AH35" s="304"/>
      <c r="AI35" s="304"/>
      <c r="AJ35" s="273"/>
      <c r="AK35" s="272"/>
      <c r="AL35" s="304"/>
      <c r="AM35" s="304"/>
      <c r="AN35" s="304"/>
      <c r="AO35" s="361"/>
      <c r="AP35" s="362"/>
      <c r="AQ35" s="304"/>
      <c r="AR35" s="304"/>
      <c r="AS35" s="92"/>
      <c r="AT35" s="273"/>
      <c r="AU35" s="308"/>
      <c r="AV35" s="304"/>
      <c r="AW35" s="304"/>
      <c r="AX35" s="304"/>
      <c r="AY35" s="361"/>
      <c r="AZ35" s="362"/>
      <c r="BA35" s="304"/>
      <c r="BB35" s="304"/>
      <c r="BC35" s="304"/>
      <c r="BD35" s="359"/>
      <c r="BE35" s="272"/>
      <c r="BF35" s="92"/>
      <c r="BG35" s="304"/>
      <c r="BH35" s="304"/>
      <c r="BI35" s="361"/>
      <c r="BJ35" s="362"/>
      <c r="BK35" s="304"/>
      <c r="BL35" s="304"/>
      <c r="BM35" s="304"/>
      <c r="BN35" s="359"/>
      <c r="BO35" s="308"/>
      <c r="BP35" s="304"/>
      <c r="BQ35" s="92"/>
      <c r="BR35" s="92"/>
      <c r="BS35" s="361"/>
      <c r="BT35" s="258"/>
      <c r="BU35" s="92"/>
      <c r="BV35" s="304"/>
      <c r="BW35" s="304"/>
      <c r="BX35" s="359"/>
      <c r="BY35" s="308"/>
      <c r="BZ35" s="92"/>
      <c r="CA35" s="92"/>
      <c r="CB35" s="304"/>
      <c r="CC35" s="361"/>
      <c r="CD35" s="362"/>
      <c r="CE35" s="92"/>
      <c r="CF35" s="92"/>
      <c r="CG35" s="304"/>
      <c r="CH35" s="363" t="s">
        <v>40</v>
      </c>
      <c r="CI35" s="364" t="s">
        <v>40</v>
      </c>
      <c r="CJ35" s="210"/>
      <c r="CK35" s="210"/>
      <c r="CL35" s="210"/>
      <c r="CM35" s="211"/>
    </row>
    <row r="36" spans="1:91" ht="25.5" customHeight="1" x14ac:dyDescent="0.2">
      <c r="A36" s="324">
        <v>277</v>
      </c>
      <c r="B36" s="72">
        <v>0</v>
      </c>
      <c r="C36" s="72" t="s">
        <v>135</v>
      </c>
      <c r="D36" s="79" t="s">
        <v>334</v>
      </c>
      <c r="E36" s="77" t="s">
        <v>570</v>
      </c>
      <c r="F36" s="76"/>
      <c r="G36" s="79" t="s">
        <v>335</v>
      </c>
      <c r="H36" s="134" t="s">
        <v>884</v>
      </c>
      <c r="I36" s="142">
        <v>5</v>
      </c>
      <c r="J36" s="76"/>
      <c r="K36" s="141"/>
      <c r="L36" s="446"/>
      <c r="M36" s="297"/>
      <c r="N36" s="297"/>
      <c r="O36" s="297"/>
      <c r="P36" s="372" t="s">
        <v>122</v>
      </c>
      <c r="Q36" s="274"/>
      <c r="R36" s="79"/>
      <c r="S36" s="307"/>
      <c r="T36" s="307"/>
      <c r="U36" s="370"/>
      <c r="V36" s="306"/>
      <c r="W36" s="307"/>
      <c r="X36" s="307"/>
      <c r="Y36" s="307"/>
      <c r="Z36" s="369"/>
      <c r="AA36" s="367"/>
      <c r="AB36" s="307"/>
      <c r="AC36" s="307"/>
      <c r="AD36" s="307"/>
      <c r="AE36" s="370"/>
      <c r="AF36" s="306"/>
      <c r="AG36" s="307"/>
      <c r="AH36" s="307"/>
      <c r="AI36" s="307"/>
      <c r="AJ36" s="178"/>
      <c r="AK36" s="274"/>
      <c r="AL36" s="307"/>
      <c r="AM36" s="307"/>
      <c r="AN36" s="307"/>
      <c r="AO36" s="370"/>
      <c r="AP36" s="306"/>
      <c r="AQ36" s="307"/>
      <c r="AR36" s="307"/>
      <c r="AS36" s="79"/>
      <c r="AT36" s="178"/>
      <c r="AU36" s="367"/>
      <c r="AV36" s="307"/>
      <c r="AW36" s="307"/>
      <c r="AX36" s="307"/>
      <c r="AY36" s="370"/>
      <c r="AZ36" s="306"/>
      <c r="BA36" s="307"/>
      <c r="BB36" s="307"/>
      <c r="BC36" s="307"/>
      <c r="BD36" s="369"/>
      <c r="BE36" s="274"/>
      <c r="BF36" s="79"/>
      <c r="BG36" s="307"/>
      <c r="BH36" s="307"/>
      <c r="BI36" s="370"/>
      <c r="BJ36" s="373" t="s">
        <v>120</v>
      </c>
      <c r="BK36" s="307"/>
      <c r="BL36" s="307"/>
      <c r="BM36" s="307"/>
      <c r="BN36" s="369"/>
      <c r="BO36" s="367"/>
      <c r="BP36" s="371" t="s">
        <v>121</v>
      </c>
      <c r="BQ36" s="79"/>
      <c r="BR36" s="79"/>
      <c r="BS36" s="370"/>
      <c r="BT36" s="261"/>
      <c r="BU36" s="79"/>
      <c r="BV36" s="307"/>
      <c r="BW36" s="307"/>
      <c r="BX36" s="369"/>
      <c r="BY36" s="367"/>
      <c r="BZ36" s="79"/>
      <c r="CA36" s="79"/>
      <c r="CB36" s="307"/>
      <c r="CC36" s="370"/>
      <c r="CD36" s="306"/>
      <c r="CE36" s="79"/>
      <c r="CF36" s="79"/>
      <c r="CG36" s="307"/>
      <c r="CH36" s="374" t="s">
        <v>40</v>
      </c>
      <c r="CI36" s="373" t="s">
        <v>40</v>
      </c>
      <c r="CJ36" s="202"/>
      <c r="CK36" s="202"/>
      <c r="CL36" s="202"/>
      <c r="CM36" s="203"/>
    </row>
    <row r="37" spans="1:91" ht="25.5" customHeight="1" x14ac:dyDescent="0.2">
      <c r="A37" s="324">
        <v>278</v>
      </c>
      <c r="B37" s="72">
        <v>0</v>
      </c>
      <c r="C37" s="72" t="s">
        <v>135</v>
      </c>
      <c r="D37" s="79" t="s">
        <v>571</v>
      </c>
      <c r="E37" s="77" t="s">
        <v>572</v>
      </c>
      <c r="F37" s="76"/>
      <c r="G37" s="79" t="s">
        <v>573</v>
      </c>
      <c r="H37" s="134" t="s">
        <v>885</v>
      </c>
      <c r="I37" s="142">
        <v>5</v>
      </c>
      <c r="J37" s="76"/>
      <c r="K37" s="141"/>
      <c r="L37" s="446"/>
      <c r="M37" s="297"/>
      <c r="N37" s="297"/>
      <c r="O37" s="297"/>
      <c r="P37" s="372" t="s">
        <v>122</v>
      </c>
      <c r="Q37" s="274"/>
      <c r="R37" s="79"/>
      <c r="S37" s="307"/>
      <c r="T37" s="307"/>
      <c r="U37" s="370"/>
      <c r="V37" s="306"/>
      <c r="W37" s="307"/>
      <c r="X37" s="307"/>
      <c r="Y37" s="307"/>
      <c r="Z37" s="369"/>
      <c r="AA37" s="367"/>
      <c r="AB37" s="307"/>
      <c r="AC37" s="307"/>
      <c r="AD37" s="307"/>
      <c r="AE37" s="370"/>
      <c r="AF37" s="306"/>
      <c r="AG37" s="307"/>
      <c r="AH37" s="307"/>
      <c r="AI37" s="307"/>
      <c r="AJ37" s="178"/>
      <c r="AK37" s="274"/>
      <c r="AL37" s="307"/>
      <c r="AM37" s="307"/>
      <c r="AN37" s="307"/>
      <c r="AO37" s="370"/>
      <c r="AP37" s="306"/>
      <c r="AQ37" s="307"/>
      <c r="AR37" s="307"/>
      <c r="AS37" s="79"/>
      <c r="AT37" s="178"/>
      <c r="AU37" s="367"/>
      <c r="AV37" s="307"/>
      <c r="AW37" s="307"/>
      <c r="AX37" s="307"/>
      <c r="AY37" s="370"/>
      <c r="AZ37" s="306"/>
      <c r="BA37" s="307"/>
      <c r="BB37" s="307"/>
      <c r="BC37" s="307"/>
      <c r="BD37" s="369"/>
      <c r="BE37" s="274"/>
      <c r="BF37" s="79"/>
      <c r="BG37" s="307"/>
      <c r="BH37" s="307"/>
      <c r="BI37" s="370"/>
      <c r="BJ37" s="373" t="s">
        <v>120</v>
      </c>
      <c r="BK37" s="307"/>
      <c r="BL37" s="307"/>
      <c r="BM37" s="307"/>
      <c r="BN37" s="369"/>
      <c r="BO37" s="367"/>
      <c r="BP37" s="371" t="s">
        <v>121</v>
      </c>
      <c r="BQ37" s="79"/>
      <c r="BR37" s="79"/>
      <c r="BS37" s="370"/>
      <c r="BT37" s="261"/>
      <c r="BU37" s="79"/>
      <c r="BV37" s="307"/>
      <c r="BW37" s="307"/>
      <c r="BX37" s="369"/>
      <c r="BY37" s="367"/>
      <c r="BZ37" s="79"/>
      <c r="CA37" s="79"/>
      <c r="CB37" s="307"/>
      <c r="CC37" s="370"/>
      <c r="CD37" s="306"/>
      <c r="CE37" s="79"/>
      <c r="CF37" s="79"/>
      <c r="CG37" s="307"/>
      <c r="CH37" s="374" t="s">
        <v>40</v>
      </c>
      <c r="CI37" s="373" t="s">
        <v>40</v>
      </c>
      <c r="CJ37" s="202"/>
      <c r="CK37" s="202"/>
      <c r="CL37" s="202"/>
      <c r="CM37" s="203"/>
    </row>
    <row r="38" spans="1:91" ht="25.5" customHeight="1" x14ac:dyDescent="0.2">
      <c r="A38" s="324">
        <v>279</v>
      </c>
      <c r="B38" s="72">
        <v>0</v>
      </c>
      <c r="C38" s="72" t="s">
        <v>135</v>
      </c>
      <c r="D38" s="79" t="s">
        <v>574</v>
      </c>
      <c r="E38" s="77" t="s">
        <v>575</v>
      </c>
      <c r="F38" s="76"/>
      <c r="G38" s="79" t="s">
        <v>576</v>
      </c>
      <c r="H38" s="134" t="s">
        <v>886</v>
      </c>
      <c r="I38" s="142"/>
      <c r="J38" s="76"/>
      <c r="K38" s="141"/>
      <c r="L38" s="367"/>
      <c r="M38" s="307"/>
      <c r="N38" s="307"/>
      <c r="O38" s="307"/>
      <c r="P38" s="369"/>
      <c r="Q38" s="274"/>
      <c r="R38" s="79"/>
      <c r="S38" s="307"/>
      <c r="T38" s="307"/>
      <c r="U38" s="370"/>
      <c r="V38" s="306"/>
      <c r="W38" s="307"/>
      <c r="X38" s="307"/>
      <c r="Y38" s="307"/>
      <c r="Z38" s="369"/>
      <c r="AA38" s="367"/>
      <c r="AB38" s="307"/>
      <c r="AC38" s="307"/>
      <c r="AD38" s="307"/>
      <c r="AE38" s="370"/>
      <c r="AF38" s="306"/>
      <c r="AG38" s="307"/>
      <c r="AH38" s="307"/>
      <c r="AI38" s="307"/>
      <c r="AJ38" s="178"/>
      <c r="AK38" s="274"/>
      <c r="AL38" s="307"/>
      <c r="AM38" s="307"/>
      <c r="AN38" s="307"/>
      <c r="AO38" s="370"/>
      <c r="AP38" s="306"/>
      <c r="AQ38" s="307"/>
      <c r="AR38" s="307"/>
      <c r="AS38" s="79"/>
      <c r="AT38" s="178"/>
      <c r="AU38" s="367"/>
      <c r="AV38" s="307"/>
      <c r="AW38" s="307"/>
      <c r="AX38" s="307"/>
      <c r="AY38" s="370"/>
      <c r="AZ38" s="306"/>
      <c r="BA38" s="307"/>
      <c r="BB38" s="307"/>
      <c r="BC38" s="307"/>
      <c r="BD38" s="369"/>
      <c r="BE38" s="274"/>
      <c r="BF38" s="79"/>
      <c r="BG38" s="307"/>
      <c r="BH38" s="307"/>
      <c r="BI38" s="370"/>
      <c r="BJ38" s="306"/>
      <c r="BK38" s="307"/>
      <c r="BL38" s="307"/>
      <c r="BM38" s="307"/>
      <c r="BN38" s="369"/>
      <c r="BO38" s="367"/>
      <c r="BP38" s="307"/>
      <c r="BQ38" s="79"/>
      <c r="BR38" s="79"/>
      <c r="BS38" s="370"/>
      <c r="BT38" s="261"/>
      <c r="BU38" s="79"/>
      <c r="BV38" s="307"/>
      <c r="BW38" s="307"/>
      <c r="BX38" s="369"/>
      <c r="BY38" s="367"/>
      <c r="BZ38" s="79"/>
      <c r="CA38" s="79"/>
      <c r="CB38" s="307"/>
      <c r="CC38" s="370"/>
      <c r="CD38" s="306"/>
      <c r="CE38" s="79"/>
      <c r="CF38" s="79"/>
      <c r="CG38" s="307"/>
      <c r="CH38" s="374" t="s">
        <v>40</v>
      </c>
      <c r="CI38" s="373" t="s">
        <v>40</v>
      </c>
      <c r="CJ38" s="202"/>
      <c r="CK38" s="202"/>
      <c r="CL38" s="202"/>
      <c r="CM38" s="203"/>
    </row>
    <row r="39" spans="1:91" ht="25.5" customHeight="1" thickBot="1" x14ac:dyDescent="0.25">
      <c r="A39" s="331">
        <v>280</v>
      </c>
      <c r="B39" s="82">
        <v>0</v>
      </c>
      <c r="C39" s="82" t="s">
        <v>135</v>
      </c>
      <c r="D39" s="190" t="s">
        <v>577</v>
      </c>
      <c r="E39" s="117" t="s">
        <v>578</v>
      </c>
      <c r="F39" s="99"/>
      <c r="G39" s="190" t="s">
        <v>579</v>
      </c>
      <c r="H39" s="195" t="s">
        <v>887</v>
      </c>
      <c r="I39" s="257">
        <v>5</v>
      </c>
      <c r="J39" s="99"/>
      <c r="K39" s="264"/>
      <c r="L39" s="445"/>
      <c r="M39" s="463"/>
      <c r="N39" s="463"/>
      <c r="O39" s="463"/>
      <c r="P39" s="398" t="s">
        <v>122</v>
      </c>
      <c r="Q39" s="278"/>
      <c r="R39" s="190"/>
      <c r="S39" s="390"/>
      <c r="T39" s="390"/>
      <c r="U39" s="393"/>
      <c r="V39" s="394"/>
      <c r="W39" s="390"/>
      <c r="X39" s="390"/>
      <c r="Y39" s="390"/>
      <c r="Z39" s="391"/>
      <c r="AA39" s="395"/>
      <c r="AB39" s="390"/>
      <c r="AC39" s="390"/>
      <c r="AD39" s="390"/>
      <c r="AE39" s="393"/>
      <c r="AF39" s="394"/>
      <c r="AG39" s="390"/>
      <c r="AH39" s="390"/>
      <c r="AI39" s="390"/>
      <c r="AJ39" s="279"/>
      <c r="AK39" s="278"/>
      <c r="AL39" s="390"/>
      <c r="AM39" s="390"/>
      <c r="AN39" s="390"/>
      <c r="AO39" s="393"/>
      <c r="AP39" s="394"/>
      <c r="AQ39" s="390"/>
      <c r="AR39" s="390"/>
      <c r="AS39" s="190"/>
      <c r="AT39" s="279"/>
      <c r="AU39" s="395"/>
      <c r="AV39" s="390"/>
      <c r="AW39" s="390"/>
      <c r="AX39" s="390"/>
      <c r="AY39" s="393"/>
      <c r="AZ39" s="394"/>
      <c r="BA39" s="390"/>
      <c r="BB39" s="390"/>
      <c r="BC39" s="390"/>
      <c r="BD39" s="391"/>
      <c r="BE39" s="278"/>
      <c r="BF39" s="190"/>
      <c r="BG39" s="390"/>
      <c r="BH39" s="390"/>
      <c r="BI39" s="393"/>
      <c r="BJ39" s="397" t="s">
        <v>120</v>
      </c>
      <c r="BK39" s="390"/>
      <c r="BL39" s="390"/>
      <c r="BM39" s="390"/>
      <c r="BN39" s="391"/>
      <c r="BO39" s="395"/>
      <c r="BP39" s="392" t="s">
        <v>121</v>
      </c>
      <c r="BQ39" s="190"/>
      <c r="BR39" s="190"/>
      <c r="BS39" s="393"/>
      <c r="BT39" s="280"/>
      <c r="BU39" s="190"/>
      <c r="BV39" s="390"/>
      <c r="BW39" s="390"/>
      <c r="BX39" s="391"/>
      <c r="BY39" s="395"/>
      <c r="BZ39" s="190"/>
      <c r="CA39" s="190"/>
      <c r="CB39" s="390"/>
      <c r="CC39" s="393"/>
      <c r="CD39" s="394"/>
      <c r="CE39" s="190"/>
      <c r="CF39" s="190"/>
      <c r="CG39" s="390"/>
      <c r="CH39" s="396" t="s">
        <v>40</v>
      </c>
      <c r="CI39" s="397" t="s">
        <v>40</v>
      </c>
      <c r="CJ39" s="213"/>
      <c r="CK39" s="213"/>
      <c r="CL39" s="213"/>
      <c r="CM39" s="214"/>
    </row>
    <row r="40" spans="1:91" ht="25.5" customHeight="1" x14ac:dyDescent="0.2">
      <c r="A40" s="332">
        <v>281</v>
      </c>
      <c r="B40" s="85">
        <v>0</v>
      </c>
      <c r="C40" s="85" t="s">
        <v>135</v>
      </c>
      <c r="D40" s="87" t="s">
        <v>530</v>
      </c>
      <c r="E40" s="133" t="s">
        <v>784</v>
      </c>
      <c r="F40" s="103"/>
      <c r="G40" s="87" t="s">
        <v>580</v>
      </c>
      <c r="H40" s="194" t="s">
        <v>891</v>
      </c>
      <c r="I40" s="139"/>
      <c r="J40" s="103"/>
      <c r="K40" s="137"/>
      <c r="L40" s="281"/>
      <c r="M40" s="87"/>
      <c r="N40" s="87"/>
      <c r="O40" s="87"/>
      <c r="P40" s="282"/>
      <c r="Q40" s="281"/>
      <c r="R40" s="87"/>
      <c r="S40" s="87"/>
      <c r="T40" s="87"/>
      <c r="U40" s="194"/>
      <c r="V40" s="283"/>
      <c r="W40" s="87"/>
      <c r="X40" s="87"/>
      <c r="Y40" s="87"/>
      <c r="Z40" s="282"/>
      <c r="AA40" s="281"/>
      <c r="AB40" s="87"/>
      <c r="AC40" s="87"/>
      <c r="AD40" s="87"/>
      <c r="AE40" s="194"/>
      <c r="AF40" s="283"/>
      <c r="AG40" s="87"/>
      <c r="AH40" s="87"/>
      <c r="AI40" s="87"/>
      <c r="AJ40" s="282"/>
      <c r="AK40" s="281"/>
      <c r="AL40" s="87"/>
      <c r="AM40" s="87"/>
      <c r="AN40" s="87"/>
      <c r="AO40" s="194"/>
      <c r="AP40" s="283"/>
      <c r="AQ40" s="87"/>
      <c r="AR40" s="87"/>
      <c r="AS40" s="87"/>
      <c r="AT40" s="282"/>
      <c r="AU40" s="281"/>
      <c r="AV40" s="87"/>
      <c r="AW40" s="87"/>
      <c r="AX40" s="87"/>
      <c r="AY40" s="194"/>
      <c r="AZ40" s="283"/>
      <c r="BA40" s="87"/>
      <c r="BB40" s="87"/>
      <c r="BC40" s="87"/>
      <c r="BD40" s="282"/>
      <c r="BE40" s="281"/>
      <c r="BF40" s="87"/>
      <c r="BG40" s="87"/>
      <c r="BH40" s="87"/>
      <c r="BI40" s="194"/>
      <c r="BJ40" s="283"/>
      <c r="BK40" s="460" t="s">
        <v>122</v>
      </c>
      <c r="BL40" s="87"/>
      <c r="BM40" s="87"/>
      <c r="BN40" s="282"/>
      <c r="BO40" s="281"/>
      <c r="BP40" s="87"/>
      <c r="BQ40" s="87"/>
      <c r="BR40" s="87"/>
      <c r="BS40" s="194"/>
      <c r="BT40" s="283"/>
      <c r="BU40" s="87"/>
      <c r="BV40" s="87"/>
      <c r="BW40" s="87"/>
      <c r="BX40" s="282"/>
      <c r="BY40" s="281"/>
      <c r="BZ40" s="87"/>
      <c r="CA40" s="87"/>
      <c r="CB40" s="87"/>
      <c r="CC40" s="194"/>
      <c r="CD40" s="283"/>
      <c r="CE40" s="87"/>
      <c r="CF40" s="87"/>
      <c r="CG40" s="87"/>
      <c r="CH40" s="194"/>
      <c r="CI40" s="283"/>
      <c r="CJ40" s="217"/>
      <c r="CK40" s="217"/>
      <c r="CL40" s="217"/>
      <c r="CM40" s="218"/>
    </row>
    <row r="41" spans="1:91" ht="25.5" customHeight="1" x14ac:dyDescent="0.2">
      <c r="A41" s="324">
        <v>282</v>
      </c>
      <c r="B41" s="72">
        <v>0</v>
      </c>
      <c r="C41" s="72" t="s">
        <v>1044</v>
      </c>
      <c r="D41" s="79" t="s">
        <v>1044</v>
      </c>
      <c r="E41" s="77" t="s">
        <v>901</v>
      </c>
      <c r="F41" s="76"/>
      <c r="G41" s="79" t="s">
        <v>902</v>
      </c>
      <c r="H41" s="134" t="s">
        <v>903</v>
      </c>
      <c r="I41" s="142">
        <v>5</v>
      </c>
      <c r="J41" s="76"/>
      <c r="K41" s="141"/>
      <c r="L41" s="446"/>
      <c r="M41" s="297"/>
      <c r="N41" s="297"/>
      <c r="O41" s="297"/>
      <c r="P41" s="372" t="s">
        <v>122</v>
      </c>
      <c r="Q41" s="274"/>
      <c r="R41" s="79"/>
      <c r="S41" s="307"/>
      <c r="T41" s="307"/>
      <c r="U41" s="370"/>
      <c r="V41" s="306"/>
      <c r="W41" s="307"/>
      <c r="X41" s="307"/>
      <c r="Y41" s="307"/>
      <c r="Z41" s="369"/>
      <c r="AA41" s="367"/>
      <c r="AB41" s="307"/>
      <c r="AC41" s="307"/>
      <c r="AD41" s="307"/>
      <c r="AE41" s="370"/>
      <c r="AF41" s="306"/>
      <c r="AG41" s="307"/>
      <c r="AH41" s="307"/>
      <c r="AI41" s="307"/>
      <c r="AJ41" s="178"/>
      <c r="AK41" s="274"/>
      <c r="AL41" s="307"/>
      <c r="AM41" s="307"/>
      <c r="AN41" s="307"/>
      <c r="AO41" s="370"/>
      <c r="AP41" s="306"/>
      <c r="AQ41" s="307"/>
      <c r="AR41" s="307"/>
      <c r="AS41" s="79"/>
      <c r="AT41" s="178"/>
      <c r="AU41" s="367"/>
      <c r="AV41" s="307"/>
      <c r="AW41" s="307"/>
      <c r="AX41" s="307"/>
      <c r="AY41" s="370"/>
      <c r="AZ41" s="306"/>
      <c r="BA41" s="307"/>
      <c r="BB41" s="307"/>
      <c r="BC41" s="307"/>
      <c r="BD41" s="369"/>
      <c r="BE41" s="274"/>
      <c r="BF41" s="79"/>
      <c r="BG41" s="307"/>
      <c r="BH41" s="307"/>
      <c r="BI41" s="370"/>
      <c r="BJ41" s="373" t="s">
        <v>120</v>
      </c>
      <c r="BK41" s="307"/>
      <c r="BL41" s="307"/>
      <c r="BM41" s="307"/>
      <c r="BN41" s="369"/>
      <c r="BO41" s="367"/>
      <c r="BP41" s="371" t="s">
        <v>121</v>
      </c>
      <c r="BQ41" s="79"/>
      <c r="BR41" s="79"/>
      <c r="BS41" s="370"/>
      <c r="BT41" s="261"/>
      <c r="BU41" s="79"/>
      <c r="BV41" s="307"/>
      <c r="BW41" s="307"/>
      <c r="BX41" s="369"/>
      <c r="BY41" s="367"/>
      <c r="BZ41" s="79"/>
      <c r="CA41" s="79"/>
      <c r="CB41" s="307"/>
      <c r="CC41" s="370"/>
      <c r="CD41" s="306"/>
      <c r="CE41" s="79"/>
      <c r="CF41" s="79"/>
      <c r="CG41" s="307"/>
      <c r="CH41" s="374" t="s">
        <v>40</v>
      </c>
      <c r="CI41" s="373" t="s">
        <v>40</v>
      </c>
      <c r="CJ41" s="202"/>
      <c r="CK41" s="202"/>
      <c r="CL41" s="202"/>
      <c r="CM41" s="203"/>
    </row>
    <row r="42" spans="1:91" ht="25.5" customHeight="1" x14ac:dyDescent="0.2">
      <c r="A42" s="324">
        <v>283</v>
      </c>
      <c r="B42" s="72">
        <v>0</v>
      </c>
      <c r="C42" s="72" t="s">
        <v>1044</v>
      </c>
      <c r="D42" s="79" t="s">
        <v>1044</v>
      </c>
      <c r="E42" s="77" t="s">
        <v>904</v>
      </c>
      <c r="F42" s="76"/>
      <c r="G42" s="79" t="s">
        <v>905</v>
      </c>
      <c r="H42" s="134" t="s">
        <v>906</v>
      </c>
      <c r="I42" s="142">
        <v>5</v>
      </c>
      <c r="J42" s="76"/>
      <c r="K42" s="141"/>
      <c r="L42" s="446"/>
      <c r="M42" s="297"/>
      <c r="N42" s="297"/>
      <c r="O42" s="297"/>
      <c r="P42" s="372" t="s">
        <v>122</v>
      </c>
      <c r="Q42" s="274"/>
      <c r="R42" s="79"/>
      <c r="S42" s="307"/>
      <c r="T42" s="307"/>
      <c r="U42" s="370"/>
      <c r="V42" s="306"/>
      <c r="W42" s="307"/>
      <c r="X42" s="307"/>
      <c r="Y42" s="307"/>
      <c r="Z42" s="369"/>
      <c r="AA42" s="367"/>
      <c r="AB42" s="307"/>
      <c r="AC42" s="307"/>
      <c r="AD42" s="307"/>
      <c r="AE42" s="370"/>
      <c r="AF42" s="306"/>
      <c r="AG42" s="307"/>
      <c r="AH42" s="307"/>
      <c r="AI42" s="307"/>
      <c r="AJ42" s="178"/>
      <c r="AK42" s="274"/>
      <c r="AL42" s="307"/>
      <c r="AM42" s="307"/>
      <c r="AN42" s="307"/>
      <c r="AO42" s="370"/>
      <c r="AP42" s="306"/>
      <c r="AQ42" s="307"/>
      <c r="AR42" s="307"/>
      <c r="AS42" s="79"/>
      <c r="AT42" s="178"/>
      <c r="AU42" s="367"/>
      <c r="AV42" s="307"/>
      <c r="AW42" s="307"/>
      <c r="AX42" s="307"/>
      <c r="AY42" s="370"/>
      <c r="AZ42" s="306"/>
      <c r="BA42" s="307"/>
      <c r="BB42" s="307"/>
      <c r="BC42" s="307"/>
      <c r="BD42" s="369"/>
      <c r="BE42" s="274"/>
      <c r="BF42" s="79"/>
      <c r="BG42" s="371" t="s">
        <v>582</v>
      </c>
      <c r="BH42" s="307"/>
      <c r="BI42" s="370"/>
      <c r="BJ42" s="373" t="s">
        <v>120</v>
      </c>
      <c r="BK42" s="307"/>
      <c r="BL42" s="307"/>
      <c r="BM42" s="307"/>
      <c r="BN42" s="369"/>
      <c r="BO42" s="367"/>
      <c r="BP42" s="371" t="s">
        <v>121</v>
      </c>
      <c r="BQ42" s="79"/>
      <c r="BR42" s="79"/>
      <c r="BS42" s="370"/>
      <c r="BT42" s="261"/>
      <c r="BU42" s="79"/>
      <c r="BV42" s="307"/>
      <c r="BW42" s="307"/>
      <c r="BX42" s="369"/>
      <c r="BY42" s="367"/>
      <c r="BZ42" s="79"/>
      <c r="CA42" s="79"/>
      <c r="CB42" s="307"/>
      <c r="CC42" s="370"/>
      <c r="CD42" s="306"/>
      <c r="CE42" s="79"/>
      <c r="CF42" s="79"/>
      <c r="CG42" s="307"/>
      <c r="CH42" s="374" t="s">
        <v>40</v>
      </c>
      <c r="CI42" s="373" t="s">
        <v>40</v>
      </c>
      <c r="CJ42" s="202"/>
      <c r="CK42" s="202"/>
      <c r="CL42" s="202"/>
      <c r="CM42" s="203"/>
    </row>
    <row r="43" spans="1:91" ht="25.5" customHeight="1" x14ac:dyDescent="0.2">
      <c r="A43" s="324">
        <v>284</v>
      </c>
      <c r="B43" s="72">
        <v>0</v>
      </c>
      <c r="C43" s="72" t="s">
        <v>1044</v>
      </c>
      <c r="D43" s="79" t="s">
        <v>1044</v>
      </c>
      <c r="E43" s="77" t="s">
        <v>907</v>
      </c>
      <c r="F43" s="76"/>
      <c r="G43" s="79" t="s">
        <v>908</v>
      </c>
      <c r="H43" s="134" t="s">
        <v>909</v>
      </c>
      <c r="I43" s="142">
        <v>5</v>
      </c>
      <c r="J43" s="76"/>
      <c r="K43" s="141"/>
      <c r="L43" s="446"/>
      <c r="M43" s="297"/>
      <c r="N43" s="297"/>
      <c r="O43" s="297"/>
      <c r="P43" s="372" t="s">
        <v>122</v>
      </c>
      <c r="Q43" s="274"/>
      <c r="R43" s="79"/>
      <c r="S43" s="307"/>
      <c r="T43" s="307"/>
      <c r="U43" s="370"/>
      <c r="V43" s="306"/>
      <c r="W43" s="307"/>
      <c r="X43" s="307"/>
      <c r="Y43" s="307"/>
      <c r="Z43" s="369"/>
      <c r="AA43" s="367"/>
      <c r="AB43" s="307"/>
      <c r="AC43" s="307"/>
      <c r="AD43" s="307"/>
      <c r="AE43" s="370"/>
      <c r="AF43" s="306"/>
      <c r="AG43" s="307"/>
      <c r="AH43" s="307"/>
      <c r="AI43" s="307"/>
      <c r="AJ43" s="178"/>
      <c r="AK43" s="274"/>
      <c r="AL43" s="307"/>
      <c r="AM43" s="307"/>
      <c r="AN43" s="307"/>
      <c r="AO43" s="370"/>
      <c r="AP43" s="306"/>
      <c r="AQ43" s="307"/>
      <c r="AR43" s="307"/>
      <c r="AS43" s="79"/>
      <c r="AT43" s="178"/>
      <c r="AU43" s="367"/>
      <c r="AV43" s="307"/>
      <c r="AW43" s="307"/>
      <c r="AX43" s="307"/>
      <c r="AY43" s="370"/>
      <c r="AZ43" s="306"/>
      <c r="BA43" s="307"/>
      <c r="BB43" s="307"/>
      <c r="BC43" s="307"/>
      <c r="BD43" s="369"/>
      <c r="BE43" s="274"/>
      <c r="BF43" s="79"/>
      <c r="BG43" s="307"/>
      <c r="BH43" s="307"/>
      <c r="BI43" s="370"/>
      <c r="BJ43" s="373" t="s">
        <v>120</v>
      </c>
      <c r="BK43" s="307"/>
      <c r="BL43" s="307"/>
      <c r="BM43" s="307"/>
      <c r="BN43" s="369"/>
      <c r="BO43" s="367"/>
      <c r="BP43" s="371" t="s">
        <v>121</v>
      </c>
      <c r="BQ43" s="79"/>
      <c r="BR43" s="79"/>
      <c r="BS43" s="370"/>
      <c r="BT43" s="261"/>
      <c r="BU43" s="79"/>
      <c r="BV43" s="307"/>
      <c r="BW43" s="307"/>
      <c r="BX43" s="369"/>
      <c r="BY43" s="367"/>
      <c r="BZ43" s="79"/>
      <c r="CA43" s="79"/>
      <c r="CB43" s="307"/>
      <c r="CC43" s="370"/>
      <c r="CD43" s="306"/>
      <c r="CE43" s="79"/>
      <c r="CF43" s="79"/>
      <c r="CG43" s="307"/>
      <c r="CH43" s="374" t="s">
        <v>40</v>
      </c>
      <c r="CI43" s="373" t="s">
        <v>40</v>
      </c>
      <c r="CJ43" s="202"/>
      <c r="CK43" s="202"/>
      <c r="CL43" s="202"/>
      <c r="CM43" s="203"/>
    </row>
    <row r="44" spans="1:91" ht="25.5" customHeight="1" thickBot="1" x14ac:dyDescent="0.3">
      <c r="A44" s="325">
        <v>285</v>
      </c>
      <c r="B44" s="197"/>
      <c r="C44" s="509"/>
      <c r="D44" s="125"/>
      <c r="E44" s="197"/>
      <c r="F44" s="125"/>
      <c r="G44" s="125"/>
      <c r="H44" s="198"/>
      <c r="I44" s="243"/>
      <c r="J44" s="197"/>
      <c r="K44" s="512"/>
      <c r="L44" s="238"/>
      <c r="M44" s="197"/>
      <c r="N44" s="197"/>
      <c r="O44" s="197"/>
      <c r="P44" s="248"/>
      <c r="Q44" s="238"/>
      <c r="R44" s="197"/>
      <c r="S44" s="197"/>
      <c r="T44" s="197"/>
      <c r="U44" s="252"/>
      <c r="V44" s="243"/>
      <c r="W44" s="197"/>
      <c r="X44" s="197"/>
      <c r="Y44" s="197"/>
      <c r="Z44" s="248"/>
      <c r="AA44" s="238"/>
      <c r="AB44" s="197"/>
      <c r="AC44" s="197"/>
      <c r="AD44" s="197"/>
      <c r="AE44" s="252"/>
      <c r="AF44" s="243"/>
      <c r="AG44" s="197"/>
      <c r="AH44" s="197"/>
      <c r="AI44" s="197"/>
      <c r="AJ44" s="248"/>
      <c r="AK44" s="238"/>
      <c r="AL44" s="197"/>
      <c r="AM44" s="197"/>
      <c r="AN44" s="197"/>
      <c r="AO44" s="252"/>
      <c r="AP44" s="243"/>
      <c r="AQ44" s="197"/>
      <c r="AR44" s="197"/>
      <c r="AS44" s="197"/>
      <c r="AT44" s="248"/>
      <c r="AU44" s="238"/>
      <c r="AV44" s="197"/>
      <c r="AW44" s="197"/>
      <c r="AX44" s="197"/>
      <c r="AY44" s="252"/>
      <c r="AZ44" s="243"/>
      <c r="BA44" s="197"/>
      <c r="BB44" s="197"/>
      <c r="BC44" s="197"/>
      <c r="BD44" s="248"/>
      <c r="BE44" s="238"/>
      <c r="BF44" s="197"/>
      <c r="BG44" s="197"/>
      <c r="BH44" s="197"/>
      <c r="BI44" s="252"/>
      <c r="BJ44" s="243"/>
      <c r="BK44" s="197"/>
      <c r="BL44" s="197"/>
      <c r="BM44" s="197"/>
      <c r="BN44" s="248"/>
      <c r="BO44" s="238"/>
      <c r="BP44" s="197"/>
      <c r="BQ44" s="197"/>
      <c r="BR44" s="197"/>
      <c r="BS44" s="252"/>
      <c r="BT44" s="243"/>
      <c r="BU44" s="197"/>
      <c r="BV44" s="197"/>
      <c r="BW44" s="197"/>
      <c r="BX44" s="248"/>
      <c r="BY44" s="238"/>
      <c r="BZ44" s="197"/>
      <c r="CA44" s="197"/>
      <c r="CB44" s="197"/>
      <c r="CC44" s="252"/>
      <c r="CD44" s="243"/>
      <c r="CE44" s="197"/>
      <c r="CF44" s="197"/>
      <c r="CG44" s="197"/>
      <c r="CH44" s="252"/>
      <c r="CI44" s="243"/>
      <c r="CJ44" s="197"/>
      <c r="CK44" s="197"/>
      <c r="CL44" s="197"/>
      <c r="CM44" s="248"/>
    </row>
    <row r="45" spans="1:91" ht="25.5" customHeight="1" x14ac:dyDescent="0.25">
      <c r="A45" s="318">
        <v>286</v>
      </c>
      <c r="B45" s="196"/>
      <c r="C45" s="505"/>
      <c r="D45" s="129"/>
      <c r="E45" s="196"/>
      <c r="F45" s="129"/>
      <c r="G45" s="129"/>
      <c r="H45" s="181"/>
      <c r="I45" s="244"/>
      <c r="J45" s="196"/>
      <c r="K45" s="513"/>
      <c r="L45" s="239"/>
      <c r="M45" s="196"/>
      <c r="N45" s="196"/>
      <c r="O45" s="196"/>
      <c r="P45" s="249"/>
      <c r="Q45" s="239"/>
      <c r="R45" s="196"/>
      <c r="S45" s="196"/>
      <c r="T45" s="196"/>
      <c r="U45" s="253"/>
      <c r="V45" s="244"/>
      <c r="W45" s="196"/>
      <c r="X45" s="196"/>
      <c r="Y45" s="196"/>
      <c r="Z45" s="249"/>
      <c r="AA45" s="239"/>
      <c r="AB45" s="196"/>
      <c r="AC45" s="196"/>
      <c r="AD45" s="196"/>
      <c r="AE45" s="253"/>
      <c r="AF45" s="244"/>
      <c r="AG45" s="196"/>
      <c r="AH45" s="196"/>
      <c r="AI45" s="196"/>
      <c r="AJ45" s="249"/>
      <c r="AK45" s="239"/>
      <c r="AL45" s="196"/>
      <c r="AM45" s="196"/>
      <c r="AN45" s="196"/>
      <c r="AO45" s="253"/>
      <c r="AP45" s="244"/>
      <c r="AQ45" s="196"/>
      <c r="AR45" s="196"/>
      <c r="AS45" s="196"/>
      <c r="AT45" s="249"/>
      <c r="AU45" s="239"/>
      <c r="AV45" s="196"/>
      <c r="AW45" s="196"/>
      <c r="AX45" s="196"/>
      <c r="AY45" s="253"/>
      <c r="AZ45" s="244"/>
      <c r="BA45" s="196"/>
      <c r="BB45" s="196"/>
      <c r="BC45" s="196"/>
      <c r="BD45" s="249"/>
      <c r="BE45" s="239"/>
      <c r="BF45" s="196"/>
      <c r="BG45" s="196"/>
      <c r="BH45" s="196"/>
      <c r="BI45" s="253"/>
      <c r="BJ45" s="244"/>
      <c r="BK45" s="196"/>
      <c r="BL45" s="196"/>
      <c r="BM45" s="196"/>
      <c r="BN45" s="249"/>
      <c r="BO45" s="239"/>
      <c r="BP45" s="196"/>
      <c r="BQ45" s="196"/>
      <c r="BR45" s="196"/>
      <c r="BS45" s="253"/>
      <c r="BT45" s="244"/>
      <c r="BU45" s="196"/>
      <c r="BV45" s="196"/>
      <c r="BW45" s="196"/>
      <c r="BX45" s="249"/>
      <c r="BY45" s="239"/>
      <c r="BZ45" s="196"/>
      <c r="CA45" s="196"/>
      <c r="CB45" s="196"/>
      <c r="CC45" s="253"/>
      <c r="CD45" s="244"/>
      <c r="CE45" s="196"/>
      <c r="CF45" s="196"/>
      <c r="CG45" s="196"/>
      <c r="CH45" s="253"/>
      <c r="CI45" s="244"/>
      <c r="CJ45" s="196"/>
      <c r="CK45" s="196"/>
      <c r="CL45" s="196"/>
      <c r="CM45" s="249"/>
    </row>
    <row r="46" spans="1:91" ht="25.5" customHeight="1" x14ac:dyDescent="0.25">
      <c r="A46" s="324">
        <v>287</v>
      </c>
      <c r="B46" s="96"/>
      <c r="C46" s="506"/>
      <c r="D46" s="95"/>
      <c r="E46" s="96"/>
      <c r="F46" s="95"/>
      <c r="G46" s="95"/>
      <c r="H46" s="97"/>
      <c r="I46" s="240"/>
      <c r="J46" s="96"/>
      <c r="K46" s="514"/>
      <c r="L46" s="235"/>
      <c r="M46" s="96"/>
      <c r="N46" s="96"/>
      <c r="O46" s="96"/>
      <c r="P46" s="245"/>
      <c r="Q46" s="235"/>
      <c r="R46" s="96"/>
      <c r="S46" s="96"/>
      <c r="T46" s="96"/>
      <c r="U46" s="179"/>
      <c r="V46" s="240"/>
      <c r="W46" s="96"/>
      <c r="X46" s="96"/>
      <c r="Y46" s="96"/>
      <c r="Z46" s="245"/>
      <c r="AA46" s="235"/>
      <c r="AB46" s="96"/>
      <c r="AC46" s="96"/>
      <c r="AD46" s="96"/>
      <c r="AE46" s="179"/>
      <c r="AF46" s="240"/>
      <c r="AG46" s="96"/>
      <c r="AH46" s="96"/>
      <c r="AI46" s="96"/>
      <c r="AJ46" s="245"/>
      <c r="AK46" s="235"/>
      <c r="AL46" s="96"/>
      <c r="AM46" s="96"/>
      <c r="AN46" s="96"/>
      <c r="AO46" s="179"/>
      <c r="AP46" s="240"/>
      <c r="AQ46" s="96"/>
      <c r="AR46" s="96"/>
      <c r="AS46" s="96"/>
      <c r="AT46" s="245"/>
      <c r="AU46" s="235"/>
      <c r="AV46" s="96"/>
      <c r="AW46" s="96"/>
      <c r="AX46" s="96"/>
      <c r="AY46" s="179"/>
      <c r="AZ46" s="240"/>
      <c r="BA46" s="96"/>
      <c r="BB46" s="96"/>
      <c r="BC46" s="96"/>
      <c r="BD46" s="245"/>
      <c r="BE46" s="235"/>
      <c r="BF46" s="96"/>
      <c r="BG46" s="96"/>
      <c r="BH46" s="96"/>
      <c r="BI46" s="179"/>
      <c r="BJ46" s="240"/>
      <c r="BK46" s="96"/>
      <c r="BL46" s="96"/>
      <c r="BM46" s="96"/>
      <c r="BN46" s="245"/>
      <c r="BO46" s="235"/>
      <c r="BP46" s="96"/>
      <c r="BQ46" s="96"/>
      <c r="BR46" s="96"/>
      <c r="BS46" s="179"/>
      <c r="BT46" s="240"/>
      <c r="BU46" s="96"/>
      <c r="BV46" s="96"/>
      <c r="BW46" s="96"/>
      <c r="BX46" s="245"/>
      <c r="BY46" s="235"/>
      <c r="BZ46" s="96"/>
      <c r="CA46" s="96"/>
      <c r="CB46" s="96"/>
      <c r="CC46" s="179"/>
      <c r="CD46" s="240"/>
      <c r="CE46" s="96"/>
      <c r="CF46" s="96"/>
      <c r="CG46" s="96"/>
      <c r="CH46" s="179"/>
      <c r="CI46" s="240"/>
      <c r="CJ46" s="96"/>
      <c r="CK46" s="96"/>
      <c r="CL46" s="96"/>
      <c r="CM46" s="245"/>
    </row>
    <row r="47" spans="1:91" ht="25.5" customHeight="1" x14ac:dyDescent="0.25">
      <c r="A47" s="324">
        <v>288</v>
      </c>
      <c r="B47" s="96"/>
      <c r="C47" s="506"/>
      <c r="D47" s="95"/>
      <c r="E47" s="96"/>
      <c r="F47" s="95"/>
      <c r="G47" s="95"/>
      <c r="H47" s="97"/>
      <c r="I47" s="240"/>
      <c r="J47" s="96"/>
      <c r="K47" s="514"/>
      <c r="L47" s="235"/>
      <c r="M47" s="96"/>
      <c r="N47" s="96"/>
      <c r="O47" s="96"/>
      <c r="P47" s="245"/>
      <c r="Q47" s="235"/>
      <c r="R47" s="96"/>
      <c r="S47" s="96"/>
      <c r="T47" s="96"/>
      <c r="U47" s="179"/>
      <c r="V47" s="240"/>
      <c r="W47" s="96"/>
      <c r="X47" s="96"/>
      <c r="Y47" s="96"/>
      <c r="Z47" s="245"/>
      <c r="AA47" s="235"/>
      <c r="AB47" s="96"/>
      <c r="AC47" s="96"/>
      <c r="AD47" s="96"/>
      <c r="AE47" s="179"/>
      <c r="AF47" s="240"/>
      <c r="AG47" s="96"/>
      <c r="AH47" s="96"/>
      <c r="AI47" s="96"/>
      <c r="AJ47" s="245"/>
      <c r="AK47" s="235"/>
      <c r="AL47" s="96"/>
      <c r="AM47" s="96"/>
      <c r="AN47" s="96"/>
      <c r="AO47" s="179"/>
      <c r="AP47" s="240"/>
      <c r="AQ47" s="96"/>
      <c r="AR47" s="96"/>
      <c r="AS47" s="96"/>
      <c r="AT47" s="245"/>
      <c r="AU47" s="235"/>
      <c r="AV47" s="96"/>
      <c r="AW47" s="96"/>
      <c r="AX47" s="96"/>
      <c r="AY47" s="179"/>
      <c r="AZ47" s="240"/>
      <c r="BA47" s="96"/>
      <c r="BB47" s="96"/>
      <c r="BC47" s="96"/>
      <c r="BD47" s="245"/>
      <c r="BE47" s="235"/>
      <c r="BF47" s="96"/>
      <c r="BG47" s="96"/>
      <c r="BH47" s="96"/>
      <c r="BI47" s="179"/>
      <c r="BJ47" s="240"/>
      <c r="BK47" s="96"/>
      <c r="BL47" s="96"/>
      <c r="BM47" s="96"/>
      <c r="BN47" s="245"/>
      <c r="BO47" s="235"/>
      <c r="BP47" s="96"/>
      <c r="BQ47" s="96"/>
      <c r="BR47" s="96"/>
      <c r="BS47" s="179"/>
      <c r="BT47" s="240"/>
      <c r="BU47" s="96"/>
      <c r="BV47" s="96"/>
      <c r="BW47" s="96"/>
      <c r="BX47" s="245"/>
      <c r="BY47" s="235"/>
      <c r="BZ47" s="96"/>
      <c r="CA47" s="96"/>
      <c r="CB47" s="96"/>
      <c r="CC47" s="179"/>
      <c r="CD47" s="240"/>
      <c r="CE47" s="96"/>
      <c r="CF47" s="96"/>
      <c r="CG47" s="96"/>
      <c r="CH47" s="179"/>
      <c r="CI47" s="240"/>
      <c r="CJ47" s="96"/>
      <c r="CK47" s="96"/>
      <c r="CL47" s="96"/>
      <c r="CM47" s="245"/>
    </row>
    <row r="48" spans="1:91" ht="25.5" customHeight="1" x14ac:dyDescent="0.25">
      <c r="A48" s="324">
        <v>289</v>
      </c>
      <c r="B48" s="96"/>
      <c r="C48" s="506"/>
      <c r="D48" s="95"/>
      <c r="E48" s="96"/>
      <c r="F48" s="95"/>
      <c r="G48" s="95"/>
      <c r="H48" s="97"/>
      <c r="I48" s="240"/>
      <c r="J48" s="96"/>
      <c r="K48" s="514"/>
      <c r="L48" s="235"/>
      <c r="M48" s="96"/>
      <c r="N48" s="96"/>
      <c r="O48" s="96"/>
      <c r="P48" s="245"/>
      <c r="Q48" s="235"/>
      <c r="R48" s="96"/>
      <c r="S48" s="96"/>
      <c r="T48" s="96"/>
      <c r="U48" s="179"/>
      <c r="V48" s="240"/>
      <c r="W48" s="96"/>
      <c r="X48" s="96"/>
      <c r="Y48" s="96"/>
      <c r="Z48" s="245"/>
      <c r="AA48" s="235"/>
      <c r="AB48" s="96"/>
      <c r="AC48" s="96"/>
      <c r="AD48" s="96"/>
      <c r="AE48" s="179"/>
      <c r="AF48" s="240"/>
      <c r="AG48" s="96"/>
      <c r="AH48" s="96"/>
      <c r="AI48" s="96"/>
      <c r="AJ48" s="245"/>
      <c r="AK48" s="235"/>
      <c r="AL48" s="96"/>
      <c r="AM48" s="96"/>
      <c r="AN48" s="96"/>
      <c r="AO48" s="179"/>
      <c r="AP48" s="240"/>
      <c r="AQ48" s="96"/>
      <c r="AR48" s="96"/>
      <c r="AS48" s="96"/>
      <c r="AT48" s="245"/>
      <c r="AU48" s="235"/>
      <c r="AV48" s="96"/>
      <c r="AW48" s="96"/>
      <c r="AX48" s="96"/>
      <c r="AY48" s="179"/>
      <c r="AZ48" s="240"/>
      <c r="BA48" s="96"/>
      <c r="BB48" s="96"/>
      <c r="BC48" s="96"/>
      <c r="BD48" s="245"/>
      <c r="BE48" s="235"/>
      <c r="BF48" s="96"/>
      <c r="BG48" s="96"/>
      <c r="BH48" s="96"/>
      <c r="BI48" s="179"/>
      <c r="BJ48" s="240"/>
      <c r="BK48" s="96"/>
      <c r="BL48" s="96"/>
      <c r="BM48" s="96"/>
      <c r="BN48" s="245"/>
      <c r="BO48" s="235"/>
      <c r="BP48" s="96"/>
      <c r="BQ48" s="96"/>
      <c r="BR48" s="96"/>
      <c r="BS48" s="179"/>
      <c r="BT48" s="240"/>
      <c r="BU48" s="96"/>
      <c r="BV48" s="96"/>
      <c r="BW48" s="96"/>
      <c r="BX48" s="245"/>
      <c r="BY48" s="235"/>
      <c r="BZ48" s="96"/>
      <c r="CA48" s="96"/>
      <c r="CB48" s="96"/>
      <c r="CC48" s="179"/>
      <c r="CD48" s="240"/>
      <c r="CE48" s="96"/>
      <c r="CF48" s="96"/>
      <c r="CG48" s="96"/>
      <c r="CH48" s="179"/>
      <c r="CI48" s="240"/>
      <c r="CJ48" s="96"/>
      <c r="CK48" s="96"/>
      <c r="CL48" s="96"/>
      <c r="CM48" s="245"/>
    </row>
    <row r="49" spans="1:91" ht="25.5" customHeight="1" thickBot="1" x14ac:dyDescent="0.3">
      <c r="A49" s="331">
        <v>290</v>
      </c>
      <c r="B49" s="100"/>
      <c r="C49" s="510"/>
      <c r="D49" s="101"/>
      <c r="E49" s="100"/>
      <c r="F49" s="101"/>
      <c r="G49" s="101"/>
      <c r="H49" s="102"/>
      <c r="I49" s="241"/>
      <c r="J49" s="100"/>
      <c r="K49" s="515"/>
      <c r="L49" s="236"/>
      <c r="M49" s="100"/>
      <c r="N49" s="100"/>
      <c r="O49" s="100"/>
      <c r="P49" s="246"/>
      <c r="Q49" s="236"/>
      <c r="R49" s="100"/>
      <c r="S49" s="100"/>
      <c r="T49" s="100"/>
      <c r="U49" s="250"/>
      <c r="V49" s="241"/>
      <c r="W49" s="100"/>
      <c r="X49" s="100"/>
      <c r="Y49" s="100"/>
      <c r="Z49" s="246"/>
      <c r="AA49" s="236"/>
      <c r="AB49" s="100"/>
      <c r="AC49" s="100"/>
      <c r="AD49" s="100"/>
      <c r="AE49" s="250"/>
      <c r="AF49" s="241"/>
      <c r="AG49" s="100"/>
      <c r="AH49" s="100"/>
      <c r="AI49" s="100"/>
      <c r="AJ49" s="246"/>
      <c r="AK49" s="236"/>
      <c r="AL49" s="100"/>
      <c r="AM49" s="100"/>
      <c r="AN49" s="100"/>
      <c r="AO49" s="250"/>
      <c r="AP49" s="241"/>
      <c r="AQ49" s="100"/>
      <c r="AR49" s="100"/>
      <c r="AS49" s="100"/>
      <c r="AT49" s="246"/>
      <c r="AU49" s="236"/>
      <c r="AV49" s="100"/>
      <c r="AW49" s="100"/>
      <c r="AX49" s="100"/>
      <c r="AY49" s="250"/>
      <c r="AZ49" s="241"/>
      <c r="BA49" s="100"/>
      <c r="BB49" s="100"/>
      <c r="BC49" s="100"/>
      <c r="BD49" s="246"/>
      <c r="BE49" s="236"/>
      <c r="BF49" s="100"/>
      <c r="BG49" s="100"/>
      <c r="BH49" s="100"/>
      <c r="BI49" s="250"/>
      <c r="BJ49" s="241"/>
      <c r="BK49" s="100"/>
      <c r="BL49" s="100"/>
      <c r="BM49" s="100"/>
      <c r="BN49" s="246"/>
      <c r="BO49" s="236"/>
      <c r="BP49" s="100"/>
      <c r="BQ49" s="100"/>
      <c r="BR49" s="100"/>
      <c r="BS49" s="250"/>
      <c r="BT49" s="241"/>
      <c r="BU49" s="100"/>
      <c r="BV49" s="100"/>
      <c r="BW49" s="100"/>
      <c r="BX49" s="246"/>
      <c r="BY49" s="236"/>
      <c r="BZ49" s="100"/>
      <c r="CA49" s="100"/>
      <c r="CB49" s="100"/>
      <c r="CC49" s="250"/>
      <c r="CD49" s="241"/>
      <c r="CE49" s="100"/>
      <c r="CF49" s="100"/>
      <c r="CG49" s="100"/>
      <c r="CH49" s="250"/>
      <c r="CI49" s="241"/>
      <c r="CJ49" s="100"/>
      <c r="CK49" s="100"/>
      <c r="CL49" s="100"/>
      <c r="CM49" s="246"/>
    </row>
    <row r="50" spans="1:91" ht="25.5" customHeight="1" x14ac:dyDescent="0.25">
      <c r="A50" s="332">
        <v>291</v>
      </c>
      <c r="B50" s="104"/>
      <c r="C50" s="511"/>
      <c r="D50" s="105"/>
      <c r="E50" s="104"/>
      <c r="F50" s="105"/>
      <c r="G50" s="105"/>
      <c r="H50" s="106"/>
      <c r="I50" s="242"/>
      <c r="J50" s="104"/>
      <c r="K50" s="516"/>
      <c r="L50" s="237"/>
      <c r="M50" s="104"/>
      <c r="N50" s="104"/>
      <c r="O50" s="104"/>
      <c r="P50" s="247"/>
      <c r="Q50" s="237"/>
      <c r="R50" s="104"/>
      <c r="S50" s="104"/>
      <c r="T50" s="104"/>
      <c r="U50" s="251"/>
      <c r="V50" s="242"/>
      <c r="W50" s="104"/>
      <c r="X50" s="104"/>
      <c r="Y50" s="104"/>
      <c r="Z50" s="247"/>
      <c r="AA50" s="237"/>
      <c r="AB50" s="104"/>
      <c r="AC50" s="104"/>
      <c r="AD50" s="104"/>
      <c r="AE50" s="251"/>
      <c r="AF50" s="242"/>
      <c r="AG50" s="104"/>
      <c r="AH50" s="104"/>
      <c r="AI50" s="104"/>
      <c r="AJ50" s="247"/>
      <c r="AK50" s="237"/>
      <c r="AL50" s="104"/>
      <c r="AM50" s="104"/>
      <c r="AN50" s="104"/>
      <c r="AO50" s="251"/>
      <c r="AP50" s="242"/>
      <c r="AQ50" s="104"/>
      <c r="AR50" s="104"/>
      <c r="AS50" s="104"/>
      <c r="AT50" s="247"/>
      <c r="AU50" s="237"/>
      <c r="AV50" s="104"/>
      <c r="AW50" s="104"/>
      <c r="AX50" s="104"/>
      <c r="AY50" s="251"/>
      <c r="AZ50" s="242"/>
      <c r="BA50" s="104"/>
      <c r="BB50" s="104"/>
      <c r="BC50" s="104"/>
      <c r="BD50" s="247"/>
      <c r="BE50" s="237"/>
      <c r="BF50" s="104"/>
      <c r="BG50" s="104"/>
      <c r="BH50" s="104"/>
      <c r="BI50" s="251"/>
      <c r="BJ50" s="242"/>
      <c r="BK50" s="104"/>
      <c r="BL50" s="104"/>
      <c r="BM50" s="104"/>
      <c r="BN50" s="247"/>
      <c r="BO50" s="237"/>
      <c r="BP50" s="104"/>
      <c r="BQ50" s="104"/>
      <c r="BR50" s="104"/>
      <c r="BS50" s="251"/>
      <c r="BT50" s="242"/>
      <c r="BU50" s="104"/>
      <c r="BV50" s="104"/>
      <c r="BW50" s="104"/>
      <c r="BX50" s="247"/>
      <c r="BY50" s="237"/>
      <c r="BZ50" s="104"/>
      <c r="CA50" s="104"/>
      <c r="CB50" s="104"/>
      <c r="CC50" s="251"/>
      <c r="CD50" s="242"/>
      <c r="CE50" s="104"/>
      <c r="CF50" s="104"/>
      <c r="CG50" s="104"/>
      <c r="CH50" s="251"/>
      <c r="CI50" s="242"/>
      <c r="CJ50" s="104"/>
      <c r="CK50" s="104"/>
      <c r="CL50" s="104"/>
      <c r="CM50" s="247"/>
    </row>
    <row r="51" spans="1:91" ht="25.5" customHeight="1" x14ac:dyDescent="0.25">
      <c r="A51" s="324">
        <v>292</v>
      </c>
      <c r="B51" s="96"/>
      <c r="C51" s="506"/>
      <c r="D51" s="95"/>
      <c r="E51" s="96"/>
      <c r="F51" s="95"/>
      <c r="G51" s="95"/>
      <c r="H51" s="97"/>
      <c r="I51" s="240"/>
      <c r="J51" s="96"/>
      <c r="K51" s="514"/>
      <c r="L51" s="235"/>
      <c r="M51" s="96"/>
      <c r="N51" s="96"/>
      <c r="O51" s="96"/>
      <c r="P51" s="245"/>
      <c r="Q51" s="235"/>
      <c r="R51" s="96"/>
      <c r="S51" s="96"/>
      <c r="T51" s="96"/>
      <c r="U51" s="179"/>
      <c r="V51" s="240"/>
      <c r="W51" s="96"/>
      <c r="X51" s="96"/>
      <c r="Y51" s="96"/>
      <c r="Z51" s="245"/>
      <c r="AA51" s="235"/>
      <c r="AB51" s="96"/>
      <c r="AC51" s="96"/>
      <c r="AD51" s="96"/>
      <c r="AE51" s="179"/>
      <c r="AF51" s="240"/>
      <c r="AG51" s="96"/>
      <c r="AH51" s="96"/>
      <c r="AI51" s="96"/>
      <c r="AJ51" s="245"/>
      <c r="AK51" s="235"/>
      <c r="AL51" s="96"/>
      <c r="AM51" s="96"/>
      <c r="AN51" s="96"/>
      <c r="AO51" s="179"/>
      <c r="AP51" s="240"/>
      <c r="AQ51" s="96"/>
      <c r="AR51" s="96"/>
      <c r="AS51" s="96"/>
      <c r="AT51" s="245"/>
      <c r="AU51" s="235"/>
      <c r="AV51" s="96"/>
      <c r="AW51" s="96"/>
      <c r="AX51" s="96"/>
      <c r="AY51" s="179"/>
      <c r="AZ51" s="240"/>
      <c r="BA51" s="96"/>
      <c r="BB51" s="96"/>
      <c r="BC51" s="96"/>
      <c r="BD51" s="245"/>
      <c r="BE51" s="235"/>
      <c r="BF51" s="96"/>
      <c r="BG51" s="96"/>
      <c r="BH51" s="96"/>
      <c r="BI51" s="179"/>
      <c r="BJ51" s="240"/>
      <c r="BK51" s="96"/>
      <c r="BL51" s="96"/>
      <c r="BM51" s="96"/>
      <c r="BN51" s="245"/>
      <c r="BO51" s="235"/>
      <c r="BP51" s="96"/>
      <c r="BQ51" s="96"/>
      <c r="BR51" s="96"/>
      <c r="BS51" s="179"/>
      <c r="BT51" s="240"/>
      <c r="BU51" s="96"/>
      <c r="BV51" s="96"/>
      <c r="BW51" s="96"/>
      <c r="BX51" s="245"/>
      <c r="BY51" s="235"/>
      <c r="BZ51" s="96"/>
      <c r="CA51" s="96"/>
      <c r="CB51" s="96"/>
      <c r="CC51" s="179"/>
      <c r="CD51" s="240"/>
      <c r="CE51" s="96"/>
      <c r="CF51" s="96"/>
      <c r="CG51" s="96"/>
      <c r="CH51" s="179"/>
      <c r="CI51" s="240"/>
      <c r="CJ51" s="96"/>
      <c r="CK51" s="96"/>
      <c r="CL51" s="96"/>
      <c r="CM51" s="245"/>
    </row>
    <row r="52" spans="1:91" ht="25.5" customHeight="1" x14ac:dyDescent="0.25">
      <c r="A52" s="324">
        <v>293</v>
      </c>
      <c r="B52" s="96"/>
      <c r="C52" s="506"/>
      <c r="D52" s="95"/>
      <c r="E52" s="96"/>
      <c r="F52" s="95"/>
      <c r="G52" s="95"/>
      <c r="H52" s="97"/>
      <c r="I52" s="240"/>
      <c r="J52" s="96"/>
      <c r="K52" s="514"/>
      <c r="L52" s="235"/>
      <c r="M52" s="96"/>
      <c r="N52" s="96"/>
      <c r="O52" s="96"/>
      <c r="P52" s="245"/>
      <c r="Q52" s="235"/>
      <c r="R52" s="96"/>
      <c r="S52" s="96"/>
      <c r="T52" s="96"/>
      <c r="U52" s="179"/>
      <c r="V52" s="240"/>
      <c r="W52" s="96"/>
      <c r="X52" s="96"/>
      <c r="Y52" s="96"/>
      <c r="Z52" s="245"/>
      <c r="AA52" s="235"/>
      <c r="AB52" s="96"/>
      <c r="AC52" s="96"/>
      <c r="AD52" s="96"/>
      <c r="AE52" s="179"/>
      <c r="AF52" s="240"/>
      <c r="AG52" s="96"/>
      <c r="AH52" s="96"/>
      <c r="AI52" s="96"/>
      <c r="AJ52" s="245"/>
      <c r="AK52" s="235"/>
      <c r="AL52" s="96"/>
      <c r="AM52" s="96"/>
      <c r="AN52" s="96"/>
      <c r="AO52" s="179"/>
      <c r="AP52" s="240"/>
      <c r="AQ52" s="96"/>
      <c r="AR52" s="96"/>
      <c r="AS52" s="96"/>
      <c r="AT52" s="245"/>
      <c r="AU52" s="235"/>
      <c r="AV52" s="96"/>
      <c r="AW52" s="96"/>
      <c r="AX52" s="96"/>
      <c r="AY52" s="179"/>
      <c r="AZ52" s="240"/>
      <c r="BA52" s="96"/>
      <c r="BB52" s="96"/>
      <c r="BC52" s="96"/>
      <c r="BD52" s="245"/>
      <c r="BE52" s="235"/>
      <c r="BF52" s="96"/>
      <c r="BG52" s="96"/>
      <c r="BH52" s="96"/>
      <c r="BI52" s="179"/>
      <c r="BJ52" s="240"/>
      <c r="BK52" s="96"/>
      <c r="BL52" s="96"/>
      <c r="BM52" s="96"/>
      <c r="BN52" s="245"/>
      <c r="BO52" s="235"/>
      <c r="BP52" s="96"/>
      <c r="BQ52" s="96"/>
      <c r="BR52" s="96"/>
      <c r="BS52" s="179"/>
      <c r="BT52" s="240"/>
      <c r="BU52" s="96"/>
      <c r="BV52" s="96"/>
      <c r="BW52" s="96"/>
      <c r="BX52" s="245"/>
      <c r="BY52" s="235"/>
      <c r="BZ52" s="96"/>
      <c r="CA52" s="96"/>
      <c r="CB52" s="96"/>
      <c r="CC52" s="179"/>
      <c r="CD52" s="240"/>
      <c r="CE52" s="96"/>
      <c r="CF52" s="96"/>
      <c r="CG52" s="96"/>
      <c r="CH52" s="179"/>
      <c r="CI52" s="240"/>
      <c r="CJ52" s="96"/>
      <c r="CK52" s="96"/>
      <c r="CL52" s="96"/>
      <c r="CM52" s="245"/>
    </row>
    <row r="53" spans="1:91" ht="25.5" customHeight="1" x14ac:dyDescent="0.25">
      <c r="A53" s="324">
        <v>294</v>
      </c>
      <c r="B53" s="96"/>
      <c r="C53" s="506"/>
      <c r="D53" s="95"/>
      <c r="E53" s="96"/>
      <c r="F53" s="95"/>
      <c r="G53" s="95"/>
      <c r="H53" s="97"/>
      <c r="I53" s="240"/>
      <c r="J53" s="96"/>
      <c r="K53" s="514"/>
      <c r="L53" s="235"/>
      <c r="M53" s="96"/>
      <c r="N53" s="96"/>
      <c r="O53" s="96"/>
      <c r="P53" s="245"/>
      <c r="Q53" s="235"/>
      <c r="R53" s="96"/>
      <c r="S53" s="96"/>
      <c r="T53" s="96"/>
      <c r="U53" s="179"/>
      <c r="V53" s="240"/>
      <c r="W53" s="96"/>
      <c r="X53" s="96"/>
      <c r="Y53" s="96"/>
      <c r="Z53" s="245"/>
      <c r="AA53" s="235"/>
      <c r="AB53" s="96"/>
      <c r="AC53" s="96"/>
      <c r="AD53" s="96"/>
      <c r="AE53" s="179"/>
      <c r="AF53" s="240"/>
      <c r="AG53" s="96"/>
      <c r="AH53" s="96"/>
      <c r="AI53" s="96"/>
      <c r="AJ53" s="245"/>
      <c r="AK53" s="235"/>
      <c r="AL53" s="96"/>
      <c r="AM53" s="96"/>
      <c r="AN53" s="96"/>
      <c r="AO53" s="179"/>
      <c r="AP53" s="240"/>
      <c r="AQ53" s="96"/>
      <c r="AR53" s="96"/>
      <c r="AS53" s="96"/>
      <c r="AT53" s="245"/>
      <c r="AU53" s="235"/>
      <c r="AV53" s="96"/>
      <c r="AW53" s="96"/>
      <c r="AX53" s="96"/>
      <c r="AY53" s="179"/>
      <c r="AZ53" s="240"/>
      <c r="BA53" s="96"/>
      <c r="BB53" s="96"/>
      <c r="BC53" s="96"/>
      <c r="BD53" s="245"/>
      <c r="BE53" s="235"/>
      <c r="BF53" s="96"/>
      <c r="BG53" s="96"/>
      <c r="BH53" s="96"/>
      <c r="BI53" s="179"/>
      <c r="BJ53" s="240"/>
      <c r="BK53" s="96"/>
      <c r="BL53" s="96"/>
      <c r="BM53" s="96"/>
      <c r="BN53" s="245"/>
      <c r="BO53" s="235"/>
      <c r="BP53" s="96"/>
      <c r="BQ53" s="96"/>
      <c r="BR53" s="96"/>
      <c r="BS53" s="179"/>
      <c r="BT53" s="240"/>
      <c r="BU53" s="96"/>
      <c r="BV53" s="96"/>
      <c r="BW53" s="96"/>
      <c r="BX53" s="245"/>
      <c r="BY53" s="235"/>
      <c r="BZ53" s="96"/>
      <c r="CA53" s="96"/>
      <c r="CB53" s="96"/>
      <c r="CC53" s="179"/>
      <c r="CD53" s="240"/>
      <c r="CE53" s="96"/>
      <c r="CF53" s="96"/>
      <c r="CG53" s="96"/>
      <c r="CH53" s="179"/>
      <c r="CI53" s="240"/>
      <c r="CJ53" s="96"/>
      <c r="CK53" s="96"/>
      <c r="CL53" s="96"/>
      <c r="CM53" s="245"/>
    </row>
    <row r="54" spans="1:91" ht="25.5" customHeight="1" thickBot="1" x14ac:dyDescent="0.3">
      <c r="A54" s="325">
        <v>295</v>
      </c>
      <c r="B54" s="197"/>
      <c r="C54" s="509"/>
      <c r="D54" s="125"/>
      <c r="E54" s="197"/>
      <c r="F54" s="125"/>
      <c r="G54" s="125"/>
      <c r="H54" s="198"/>
      <c r="I54" s="243"/>
      <c r="J54" s="197"/>
      <c r="K54" s="512"/>
      <c r="L54" s="238"/>
      <c r="M54" s="197"/>
      <c r="N54" s="197"/>
      <c r="O54" s="197"/>
      <c r="P54" s="248"/>
      <c r="Q54" s="238"/>
      <c r="R54" s="197"/>
      <c r="S54" s="197"/>
      <c r="T54" s="197"/>
      <c r="U54" s="252"/>
      <c r="V54" s="243"/>
      <c r="W54" s="197"/>
      <c r="X54" s="197"/>
      <c r="Y54" s="197"/>
      <c r="Z54" s="248"/>
      <c r="AA54" s="238"/>
      <c r="AB54" s="197"/>
      <c r="AC54" s="197"/>
      <c r="AD54" s="197"/>
      <c r="AE54" s="252"/>
      <c r="AF54" s="243"/>
      <c r="AG54" s="197"/>
      <c r="AH54" s="197"/>
      <c r="AI54" s="197"/>
      <c r="AJ54" s="248"/>
      <c r="AK54" s="238"/>
      <c r="AL54" s="197"/>
      <c r="AM54" s="197"/>
      <c r="AN54" s="197"/>
      <c r="AO54" s="252"/>
      <c r="AP54" s="243"/>
      <c r="AQ54" s="197"/>
      <c r="AR54" s="197"/>
      <c r="AS54" s="197"/>
      <c r="AT54" s="248"/>
      <c r="AU54" s="238"/>
      <c r="AV54" s="197"/>
      <c r="AW54" s="197"/>
      <c r="AX54" s="197"/>
      <c r="AY54" s="252"/>
      <c r="AZ54" s="243"/>
      <c r="BA54" s="197"/>
      <c r="BB54" s="197"/>
      <c r="BC54" s="197"/>
      <c r="BD54" s="248"/>
      <c r="BE54" s="238"/>
      <c r="BF54" s="197"/>
      <c r="BG54" s="197"/>
      <c r="BH54" s="197"/>
      <c r="BI54" s="252"/>
      <c r="BJ54" s="243"/>
      <c r="BK54" s="197"/>
      <c r="BL54" s="197"/>
      <c r="BM54" s="197"/>
      <c r="BN54" s="248"/>
      <c r="BO54" s="238"/>
      <c r="BP54" s="197"/>
      <c r="BQ54" s="197"/>
      <c r="BR54" s="197"/>
      <c r="BS54" s="252"/>
      <c r="BT54" s="243"/>
      <c r="BU54" s="197"/>
      <c r="BV54" s="197"/>
      <c r="BW54" s="197"/>
      <c r="BX54" s="248"/>
      <c r="BY54" s="238"/>
      <c r="BZ54" s="197"/>
      <c r="CA54" s="197"/>
      <c r="CB54" s="197"/>
      <c r="CC54" s="252"/>
      <c r="CD54" s="243"/>
      <c r="CE54" s="197"/>
      <c r="CF54" s="197"/>
      <c r="CG54" s="197"/>
      <c r="CH54" s="252"/>
      <c r="CI54" s="243"/>
      <c r="CJ54" s="197"/>
      <c r="CK54" s="197"/>
      <c r="CL54" s="197"/>
      <c r="CM54" s="248"/>
    </row>
    <row r="55" spans="1:91" ht="25.5" customHeight="1" x14ac:dyDescent="0.25">
      <c r="A55" s="318">
        <v>296</v>
      </c>
      <c r="B55" s="196"/>
      <c r="C55" s="505"/>
      <c r="D55" s="129"/>
      <c r="E55" s="196"/>
      <c r="F55" s="129"/>
      <c r="G55" s="129"/>
      <c r="H55" s="181"/>
      <c r="I55" s="244"/>
      <c r="J55" s="196"/>
      <c r="K55" s="513"/>
      <c r="L55" s="239"/>
      <c r="M55" s="196"/>
      <c r="N55" s="196"/>
      <c r="O55" s="196"/>
      <c r="P55" s="249"/>
      <c r="Q55" s="239"/>
      <c r="R55" s="196"/>
      <c r="S55" s="196"/>
      <c r="T55" s="196"/>
      <c r="U55" s="253"/>
      <c r="V55" s="244"/>
      <c r="W55" s="196"/>
      <c r="X55" s="196"/>
      <c r="Y55" s="196"/>
      <c r="Z55" s="249"/>
      <c r="AA55" s="239"/>
      <c r="AB55" s="196"/>
      <c r="AC55" s="196"/>
      <c r="AD55" s="196"/>
      <c r="AE55" s="253"/>
      <c r="AF55" s="244"/>
      <c r="AG55" s="196"/>
      <c r="AH55" s="196"/>
      <c r="AI55" s="196"/>
      <c r="AJ55" s="249"/>
      <c r="AK55" s="239"/>
      <c r="AL55" s="196"/>
      <c r="AM55" s="196"/>
      <c r="AN55" s="196"/>
      <c r="AO55" s="253"/>
      <c r="AP55" s="244"/>
      <c r="AQ55" s="196"/>
      <c r="AR55" s="196"/>
      <c r="AS55" s="196"/>
      <c r="AT55" s="249"/>
      <c r="AU55" s="239"/>
      <c r="AV55" s="196"/>
      <c r="AW55" s="196"/>
      <c r="AX55" s="196"/>
      <c r="AY55" s="253"/>
      <c r="AZ55" s="244"/>
      <c r="BA55" s="196"/>
      <c r="BB55" s="196"/>
      <c r="BC55" s="196"/>
      <c r="BD55" s="249"/>
      <c r="BE55" s="239"/>
      <c r="BF55" s="196"/>
      <c r="BG55" s="196"/>
      <c r="BH55" s="196"/>
      <c r="BI55" s="253"/>
      <c r="BJ55" s="244"/>
      <c r="BK55" s="196"/>
      <c r="BL55" s="196"/>
      <c r="BM55" s="196"/>
      <c r="BN55" s="249"/>
      <c r="BO55" s="239"/>
      <c r="BP55" s="196"/>
      <c r="BQ55" s="196"/>
      <c r="BR55" s="196"/>
      <c r="BS55" s="253"/>
      <c r="BT55" s="244"/>
      <c r="BU55" s="196"/>
      <c r="BV55" s="196"/>
      <c r="BW55" s="196"/>
      <c r="BX55" s="249"/>
      <c r="BY55" s="239"/>
      <c r="BZ55" s="196"/>
      <c r="CA55" s="196"/>
      <c r="CB55" s="196"/>
      <c r="CC55" s="253"/>
      <c r="CD55" s="244"/>
      <c r="CE55" s="196"/>
      <c r="CF55" s="196"/>
      <c r="CG55" s="196"/>
      <c r="CH55" s="253"/>
      <c r="CI55" s="244"/>
      <c r="CJ55" s="196"/>
      <c r="CK55" s="196"/>
      <c r="CL55" s="196"/>
      <c r="CM55" s="249"/>
    </row>
    <row r="56" spans="1:91" ht="25.5" customHeight="1" x14ac:dyDescent="0.25">
      <c r="A56" s="324">
        <v>297</v>
      </c>
      <c r="B56" s="96"/>
      <c r="C56" s="506"/>
      <c r="D56" s="95"/>
      <c r="E56" s="96"/>
      <c r="F56" s="95"/>
      <c r="G56" s="95"/>
      <c r="H56" s="97"/>
      <c r="I56" s="240"/>
      <c r="J56" s="96"/>
      <c r="K56" s="514"/>
      <c r="L56" s="235"/>
      <c r="M56" s="96"/>
      <c r="N56" s="96"/>
      <c r="O56" s="96"/>
      <c r="P56" s="245"/>
      <c r="Q56" s="235"/>
      <c r="R56" s="96"/>
      <c r="S56" s="96"/>
      <c r="T56" s="96"/>
      <c r="U56" s="179"/>
      <c r="V56" s="240"/>
      <c r="W56" s="96"/>
      <c r="X56" s="96"/>
      <c r="Y56" s="96"/>
      <c r="Z56" s="245"/>
      <c r="AA56" s="235"/>
      <c r="AB56" s="96"/>
      <c r="AC56" s="96"/>
      <c r="AD56" s="96"/>
      <c r="AE56" s="179"/>
      <c r="AF56" s="240"/>
      <c r="AG56" s="96"/>
      <c r="AH56" s="96"/>
      <c r="AI56" s="96"/>
      <c r="AJ56" s="245"/>
      <c r="AK56" s="235"/>
      <c r="AL56" s="96"/>
      <c r="AM56" s="96"/>
      <c r="AN56" s="96"/>
      <c r="AO56" s="179"/>
      <c r="AP56" s="240"/>
      <c r="AQ56" s="96"/>
      <c r="AR56" s="96"/>
      <c r="AS56" s="96"/>
      <c r="AT56" s="245"/>
      <c r="AU56" s="235"/>
      <c r="AV56" s="96"/>
      <c r="AW56" s="96"/>
      <c r="AX56" s="96"/>
      <c r="AY56" s="179"/>
      <c r="AZ56" s="240"/>
      <c r="BA56" s="96"/>
      <c r="BB56" s="96"/>
      <c r="BC56" s="96"/>
      <c r="BD56" s="245"/>
      <c r="BE56" s="235"/>
      <c r="BF56" s="96"/>
      <c r="BG56" s="96"/>
      <c r="BH56" s="96"/>
      <c r="BI56" s="179"/>
      <c r="BJ56" s="240"/>
      <c r="BK56" s="96"/>
      <c r="BL56" s="96"/>
      <c r="BM56" s="96"/>
      <c r="BN56" s="245"/>
      <c r="BO56" s="235"/>
      <c r="BP56" s="96"/>
      <c r="BQ56" s="96"/>
      <c r="BR56" s="96"/>
      <c r="BS56" s="179"/>
      <c r="BT56" s="240"/>
      <c r="BU56" s="96"/>
      <c r="BV56" s="96"/>
      <c r="BW56" s="96"/>
      <c r="BX56" s="245"/>
      <c r="BY56" s="235"/>
      <c r="BZ56" s="96"/>
      <c r="CA56" s="96"/>
      <c r="CB56" s="96"/>
      <c r="CC56" s="179"/>
      <c r="CD56" s="240"/>
      <c r="CE56" s="96"/>
      <c r="CF56" s="96"/>
      <c r="CG56" s="96"/>
      <c r="CH56" s="179"/>
      <c r="CI56" s="240"/>
      <c r="CJ56" s="96"/>
      <c r="CK56" s="96"/>
      <c r="CL56" s="96"/>
      <c r="CM56" s="245"/>
    </row>
    <row r="57" spans="1:91" ht="25.5" customHeight="1" x14ac:dyDescent="0.25">
      <c r="A57" s="324">
        <v>298</v>
      </c>
      <c r="B57" s="96"/>
      <c r="C57" s="506"/>
      <c r="D57" s="95"/>
      <c r="E57" s="96"/>
      <c r="F57" s="95"/>
      <c r="G57" s="95"/>
      <c r="H57" s="97"/>
      <c r="I57" s="240"/>
      <c r="J57" s="96"/>
      <c r="K57" s="514"/>
      <c r="L57" s="235"/>
      <c r="M57" s="96"/>
      <c r="N57" s="96"/>
      <c r="O57" s="96"/>
      <c r="P57" s="245"/>
      <c r="Q57" s="235"/>
      <c r="R57" s="96"/>
      <c r="S57" s="96"/>
      <c r="T57" s="96"/>
      <c r="U57" s="179"/>
      <c r="V57" s="240"/>
      <c r="W57" s="96"/>
      <c r="X57" s="96"/>
      <c r="Y57" s="96"/>
      <c r="Z57" s="245"/>
      <c r="AA57" s="235"/>
      <c r="AB57" s="96"/>
      <c r="AC57" s="96"/>
      <c r="AD57" s="96"/>
      <c r="AE57" s="179"/>
      <c r="AF57" s="240"/>
      <c r="AG57" s="96"/>
      <c r="AH57" s="96"/>
      <c r="AI57" s="96"/>
      <c r="AJ57" s="245"/>
      <c r="AK57" s="235"/>
      <c r="AL57" s="96"/>
      <c r="AM57" s="96"/>
      <c r="AN57" s="96"/>
      <c r="AO57" s="179"/>
      <c r="AP57" s="240"/>
      <c r="AQ57" s="96"/>
      <c r="AR57" s="96"/>
      <c r="AS57" s="96"/>
      <c r="AT57" s="245"/>
      <c r="AU57" s="235"/>
      <c r="AV57" s="96"/>
      <c r="AW57" s="96"/>
      <c r="AX57" s="96"/>
      <c r="AY57" s="179"/>
      <c r="AZ57" s="240"/>
      <c r="BA57" s="96"/>
      <c r="BB57" s="96"/>
      <c r="BC57" s="96"/>
      <c r="BD57" s="245"/>
      <c r="BE57" s="235"/>
      <c r="BF57" s="96"/>
      <c r="BG57" s="96"/>
      <c r="BH57" s="96"/>
      <c r="BI57" s="179"/>
      <c r="BJ57" s="240"/>
      <c r="BK57" s="96"/>
      <c r="BL57" s="96"/>
      <c r="BM57" s="96"/>
      <c r="BN57" s="245"/>
      <c r="BO57" s="235"/>
      <c r="BP57" s="96"/>
      <c r="BQ57" s="96"/>
      <c r="BR57" s="96"/>
      <c r="BS57" s="179"/>
      <c r="BT57" s="240"/>
      <c r="BU57" s="96"/>
      <c r="BV57" s="96"/>
      <c r="BW57" s="96"/>
      <c r="BX57" s="245"/>
      <c r="BY57" s="235"/>
      <c r="BZ57" s="96"/>
      <c r="CA57" s="96"/>
      <c r="CB57" s="96"/>
      <c r="CC57" s="179"/>
      <c r="CD57" s="240"/>
      <c r="CE57" s="96"/>
      <c r="CF57" s="96"/>
      <c r="CG57" s="96"/>
      <c r="CH57" s="179"/>
      <c r="CI57" s="240"/>
      <c r="CJ57" s="96"/>
      <c r="CK57" s="96"/>
      <c r="CL57" s="96"/>
      <c r="CM57" s="245"/>
    </row>
    <row r="58" spans="1:91" ht="25.5" customHeight="1" x14ac:dyDescent="0.25">
      <c r="A58" s="507"/>
      <c r="B58" s="96"/>
      <c r="C58" s="506"/>
      <c r="D58" s="95"/>
      <c r="E58" s="96"/>
      <c r="F58" s="95"/>
      <c r="G58" s="95"/>
      <c r="H58" s="97"/>
      <c r="I58" s="240"/>
      <c r="J58" s="96"/>
      <c r="K58" s="514"/>
      <c r="L58" s="235"/>
      <c r="M58" s="96"/>
      <c r="N58" s="96"/>
      <c r="O58" s="96"/>
      <c r="P58" s="245"/>
      <c r="Q58" s="235"/>
      <c r="R58" s="96"/>
      <c r="S58" s="96"/>
      <c r="T58" s="96"/>
      <c r="U58" s="179"/>
      <c r="V58" s="240"/>
      <c r="W58" s="96"/>
      <c r="X58" s="96"/>
      <c r="Y58" s="96"/>
      <c r="Z58" s="245"/>
      <c r="AA58" s="235"/>
      <c r="AB58" s="96"/>
      <c r="AC58" s="96"/>
      <c r="AD58" s="96"/>
      <c r="AE58" s="179"/>
      <c r="AF58" s="240"/>
      <c r="AG58" s="96"/>
      <c r="AH58" s="96"/>
      <c r="AI58" s="96"/>
      <c r="AJ58" s="245"/>
      <c r="AK58" s="235"/>
      <c r="AL58" s="96"/>
      <c r="AM58" s="96"/>
      <c r="AN58" s="96"/>
      <c r="AO58" s="179"/>
      <c r="AP58" s="240"/>
      <c r="AQ58" s="96"/>
      <c r="AR58" s="96"/>
      <c r="AS58" s="96"/>
      <c r="AT58" s="245"/>
      <c r="AU58" s="235"/>
      <c r="AV58" s="96"/>
      <c r="AW58" s="96"/>
      <c r="AX58" s="96"/>
      <c r="AY58" s="179"/>
      <c r="AZ58" s="240"/>
      <c r="BA58" s="96"/>
      <c r="BB58" s="96"/>
      <c r="BC58" s="96"/>
      <c r="BD58" s="245"/>
      <c r="BE58" s="235"/>
      <c r="BF58" s="96"/>
      <c r="BG58" s="96"/>
      <c r="BH58" s="96"/>
      <c r="BI58" s="179"/>
      <c r="BJ58" s="240"/>
      <c r="BK58" s="96"/>
      <c r="BL58" s="96"/>
      <c r="BM58" s="96"/>
      <c r="BN58" s="245"/>
      <c r="BO58" s="235"/>
      <c r="BP58" s="96"/>
      <c r="BQ58" s="96"/>
      <c r="BR58" s="96"/>
      <c r="BS58" s="179"/>
      <c r="BT58" s="240"/>
      <c r="BU58" s="96"/>
      <c r="BV58" s="96"/>
      <c r="BW58" s="96"/>
      <c r="BX58" s="245"/>
      <c r="BY58" s="235"/>
      <c r="BZ58" s="96"/>
      <c r="CA58" s="96"/>
      <c r="CB58" s="96"/>
      <c r="CC58" s="179"/>
      <c r="CD58" s="240"/>
      <c r="CE58" s="96"/>
      <c r="CF58" s="96"/>
      <c r="CG58" s="96"/>
      <c r="CH58" s="179"/>
      <c r="CI58" s="240"/>
      <c r="CJ58" s="96"/>
      <c r="CK58" s="96"/>
      <c r="CL58" s="96"/>
      <c r="CM58" s="245"/>
    </row>
    <row r="59" spans="1:91" ht="25.5" customHeight="1" thickBot="1" x14ac:dyDescent="0.3">
      <c r="A59" s="508"/>
      <c r="B59" s="197"/>
      <c r="C59" s="509"/>
      <c r="D59" s="125"/>
      <c r="E59" s="197"/>
      <c r="F59" s="125"/>
      <c r="G59" s="125"/>
      <c r="H59" s="198"/>
      <c r="I59" s="243"/>
      <c r="J59" s="197"/>
      <c r="K59" s="512"/>
      <c r="L59" s="238"/>
      <c r="M59" s="197"/>
      <c r="N59" s="197"/>
      <c r="O59" s="197"/>
      <c r="P59" s="248"/>
      <c r="Q59" s="238"/>
      <c r="R59" s="197"/>
      <c r="S59" s="197"/>
      <c r="T59" s="197"/>
      <c r="U59" s="252"/>
      <c r="V59" s="243"/>
      <c r="W59" s="197"/>
      <c r="X59" s="197"/>
      <c r="Y59" s="197"/>
      <c r="Z59" s="248"/>
      <c r="AA59" s="238"/>
      <c r="AB59" s="197"/>
      <c r="AC59" s="197"/>
      <c r="AD59" s="197"/>
      <c r="AE59" s="252"/>
      <c r="AF59" s="243"/>
      <c r="AG59" s="197"/>
      <c r="AH59" s="197"/>
      <c r="AI59" s="197"/>
      <c r="AJ59" s="248"/>
      <c r="AK59" s="238"/>
      <c r="AL59" s="197"/>
      <c r="AM59" s="197"/>
      <c r="AN59" s="197"/>
      <c r="AO59" s="252"/>
      <c r="AP59" s="243"/>
      <c r="AQ59" s="197"/>
      <c r="AR59" s="197"/>
      <c r="AS59" s="197"/>
      <c r="AT59" s="248"/>
      <c r="AU59" s="238"/>
      <c r="AV59" s="197"/>
      <c r="AW59" s="197"/>
      <c r="AX59" s="197"/>
      <c r="AY59" s="252"/>
      <c r="AZ59" s="243"/>
      <c r="BA59" s="197"/>
      <c r="BB59" s="197"/>
      <c r="BC59" s="197"/>
      <c r="BD59" s="248"/>
      <c r="BE59" s="238"/>
      <c r="BF59" s="197"/>
      <c r="BG59" s="197"/>
      <c r="BH59" s="197"/>
      <c r="BI59" s="252"/>
      <c r="BJ59" s="243"/>
      <c r="BK59" s="197"/>
      <c r="BL59" s="197"/>
      <c r="BM59" s="197"/>
      <c r="BN59" s="248"/>
      <c r="BO59" s="238"/>
      <c r="BP59" s="197"/>
      <c r="BQ59" s="197"/>
      <c r="BR59" s="197"/>
      <c r="BS59" s="252"/>
      <c r="BT59" s="243"/>
      <c r="BU59" s="197"/>
      <c r="BV59" s="197"/>
      <c r="BW59" s="197"/>
      <c r="BX59" s="248"/>
      <c r="BY59" s="238"/>
      <c r="BZ59" s="197"/>
      <c r="CA59" s="197"/>
      <c r="CB59" s="197"/>
      <c r="CC59" s="252"/>
      <c r="CD59" s="243"/>
      <c r="CE59" s="197"/>
      <c r="CF59" s="197"/>
      <c r="CG59" s="197"/>
      <c r="CH59" s="252"/>
      <c r="CI59" s="243"/>
      <c r="CJ59" s="197"/>
      <c r="CK59" s="197"/>
      <c r="CL59" s="197"/>
      <c r="CM59" s="248"/>
    </row>
    <row r="60" spans="1:91" ht="15" customHeight="1" thickBot="1" x14ac:dyDescent="0.25">
      <c r="A60" s="430"/>
      <c r="B60" s="222"/>
      <c r="C60" s="315"/>
      <c r="D60" s="221"/>
      <c r="F60" s="431"/>
      <c r="G60" s="431"/>
      <c r="H60" s="431"/>
      <c r="I60" s="431"/>
      <c r="J60" s="431"/>
      <c r="K60" s="431"/>
      <c r="L60" s="431"/>
      <c r="M60" s="431"/>
      <c r="N60" s="431"/>
      <c r="O60" s="431"/>
      <c r="P60" s="220"/>
      <c r="Q60" s="220"/>
      <c r="R60" s="220"/>
      <c r="S60" s="220"/>
      <c r="T60" s="220"/>
      <c r="U60" s="220"/>
      <c r="V60" s="220"/>
      <c r="W60" s="220"/>
      <c r="X60" s="220"/>
      <c r="Y60" s="220"/>
      <c r="Z60" s="220"/>
      <c r="AA60" s="220"/>
      <c r="AB60" s="220"/>
      <c r="AC60" s="220"/>
      <c r="AD60" s="220"/>
      <c r="AE60" s="220"/>
      <c r="AF60" s="220"/>
      <c r="AG60" s="220"/>
      <c r="AH60" s="220"/>
      <c r="AI60" s="220"/>
      <c r="AJ60" s="220"/>
      <c r="AK60" s="220"/>
      <c r="AL60" s="220"/>
      <c r="AM60" s="220"/>
      <c r="AN60" s="220"/>
      <c r="AO60" s="220"/>
      <c r="AP60" s="220"/>
      <c r="AQ60" s="220"/>
      <c r="AR60" s="220"/>
      <c r="AS60" s="220"/>
      <c r="AT60" s="220"/>
      <c r="AU60" s="220"/>
      <c r="AV60" s="220"/>
      <c r="AW60" s="220"/>
      <c r="AX60" s="220"/>
      <c r="AY60" s="220"/>
      <c r="AZ60" s="220"/>
      <c r="BA60" s="220"/>
      <c r="BB60" s="220"/>
      <c r="BC60" s="220"/>
      <c r="BD60" s="220"/>
      <c r="BE60" s="220"/>
      <c r="BF60" s="220"/>
      <c r="BG60" s="220"/>
      <c r="BH60" s="220"/>
      <c r="BI60" s="220"/>
      <c r="BJ60" s="220"/>
      <c r="BK60" s="220"/>
      <c r="BL60" s="220"/>
      <c r="BM60" s="220"/>
      <c r="BN60" s="220"/>
      <c r="BO60" s="220"/>
      <c r="BP60" s="220"/>
      <c r="BQ60" s="220"/>
      <c r="BR60" s="220"/>
      <c r="BS60" s="220"/>
      <c r="BT60" s="220"/>
      <c r="BU60" s="220"/>
      <c r="BV60" s="220"/>
      <c r="BW60" s="220"/>
      <c r="BX60" s="220"/>
      <c r="BY60" s="220"/>
      <c r="BZ60" s="220"/>
      <c r="CA60" s="220"/>
      <c r="CB60" s="220"/>
      <c r="CC60" s="220"/>
      <c r="CD60" s="220"/>
      <c r="CE60" s="220"/>
      <c r="CF60" s="220"/>
      <c r="CG60" s="231"/>
      <c r="CH60" s="231"/>
      <c r="CI60" s="231"/>
      <c r="CJ60" s="231"/>
      <c r="CK60" s="231"/>
      <c r="CL60" s="231"/>
      <c r="CM60" s="432"/>
    </row>
    <row r="61" spans="1:91" ht="25.5" customHeight="1" thickBot="1" x14ac:dyDescent="0.25">
      <c r="A61" s="682" t="s">
        <v>19</v>
      </c>
      <c r="B61" s="683"/>
      <c r="C61" s="684"/>
      <c r="D61" s="433"/>
      <c r="E61" s="685" t="s">
        <v>16</v>
      </c>
      <c r="F61" s="683"/>
      <c r="G61" s="684"/>
      <c r="H61" s="434" t="s">
        <v>7</v>
      </c>
      <c r="I61" s="435" t="s">
        <v>6</v>
      </c>
      <c r="J61" s="435" t="s">
        <v>1088</v>
      </c>
      <c r="K61" s="435" t="s">
        <v>15</v>
      </c>
      <c r="L61" s="672"/>
      <c r="M61" s="686"/>
      <c r="N61" s="686"/>
      <c r="O61" s="686"/>
      <c r="P61" s="686"/>
      <c r="Q61" s="686"/>
      <c r="R61" s="686"/>
      <c r="S61" s="686"/>
      <c r="T61" s="686"/>
      <c r="U61" s="686"/>
      <c r="V61" s="686"/>
      <c r="W61" s="686"/>
      <c r="X61" s="686"/>
      <c r="Y61" s="686"/>
      <c r="Z61" s="686"/>
      <c r="AA61" s="686"/>
      <c r="AB61" s="686"/>
      <c r="AC61" s="686"/>
      <c r="AD61" s="686"/>
      <c r="AE61" s="686"/>
      <c r="AF61" s="686"/>
      <c r="AG61" s="686"/>
      <c r="AH61" s="686"/>
      <c r="AI61" s="686"/>
      <c r="AJ61" s="686"/>
      <c r="AK61" s="686"/>
      <c r="AL61" s="686"/>
      <c r="AM61" s="686"/>
      <c r="AN61" s="686"/>
      <c r="AO61" s="686"/>
      <c r="AP61" s="686"/>
      <c r="AQ61" s="686"/>
      <c r="AR61" s="686"/>
      <c r="AS61" s="686"/>
      <c r="AT61" s="686"/>
      <c r="AU61" s="686"/>
      <c r="AV61" s="686"/>
      <c r="AW61" s="686"/>
      <c r="AX61" s="686"/>
      <c r="AY61" s="686"/>
      <c r="AZ61" s="686"/>
      <c r="BA61" s="686"/>
      <c r="BB61" s="686"/>
      <c r="BC61" s="686"/>
      <c r="BD61" s="686"/>
      <c r="BE61" s="687"/>
      <c r="BF61" s="676"/>
      <c r="BG61" s="676"/>
      <c r="BH61" s="676"/>
      <c r="BI61" s="676"/>
      <c r="BJ61" s="676"/>
      <c r="BK61" s="676"/>
      <c r="BL61" s="676"/>
      <c r="BM61" s="676"/>
      <c r="BN61" s="676"/>
      <c r="BO61" s="676"/>
      <c r="BP61" s="676"/>
      <c r="BQ61" s="676"/>
      <c r="BR61" s="676"/>
      <c r="BS61" s="676"/>
      <c r="BT61" s="676"/>
      <c r="BU61" s="677"/>
      <c r="BV61" s="672"/>
      <c r="BW61" s="668"/>
      <c r="BX61" s="668"/>
      <c r="BY61" s="668"/>
      <c r="BZ61" s="668"/>
      <c r="CA61" s="668"/>
      <c r="CB61" s="668"/>
      <c r="CC61" s="668"/>
      <c r="CD61" s="668"/>
      <c r="CE61" s="668"/>
      <c r="CF61" s="668"/>
      <c r="CG61" s="668"/>
      <c r="CH61" s="668"/>
      <c r="CI61" s="668"/>
      <c r="CJ61" s="668"/>
      <c r="CK61" s="668"/>
      <c r="CL61" s="668"/>
      <c r="CM61" s="669"/>
    </row>
    <row r="62" spans="1:91" ht="25.5" customHeight="1" x14ac:dyDescent="0.2">
      <c r="A62" s="674">
        <f>IF('Title Page'!K22&lt;&gt;"",'Title Page'!K22,"")</f>
        <v>0</v>
      </c>
      <c r="B62" s="675"/>
      <c r="C62" s="675"/>
      <c r="D62" s="130"/>
      <c r="E62" s="656" t="str">
        <f>IF('Title Page'!L22&lt;&gt;"",'Title Page'!L22,"")</f>
        <v>Issued For Construction, Concise Job # PEM029-001</v>
      </c>
      <c r="F62" s="656"/>
      <c r="G62" s="656"/>
      <c r="H62" s="436">
        <f>IF('Title Page'!R22&lt;&gt;"",'Title Page'!R22,"")</f>
        <v>41520</v>
      </c>
      <c r="I62" s="436" t="str">
        <f>IF('Title Page'!S22&lt;&gt;"",'Title Page'!S22,"")</f>
        <v>MHS</v>
      </c>
      <c r="J62" s="436" t="str">
        <f>IF('Title Page'!T22&lt;&gt;"",'Title Page'!T22,"")</f>
        <v>TJG</v>
      </c>
      <c r="K62" s="437" t="str">
        <f>IF('Title Page'!V22&lt;&gt;"",'Title Page'!V22,"")</f>
        <v/>
      </c>
      <c r="L62" s="688"/>
      <c r="M62" s="689"/>
      <c r="N62" s="689"/>
      <c r="O62" s="689"/>
      <c r="P62" s="689"/>
      <c r="Q62" s="689"/>
      <c r="R62" s="689"/>
      <c r="S62" s="689"/>
      <c r="T62" s="689"/>
      <c r="U62" s="689"/>
      <c r="V62" s="689"/>
      <c r="W62" s="689"/>
      <c r="X62" s="689"/>
      <c r="Y62" s="689"/>
      <c r="Z62" s="689"/>
      <c r="AA62" s="689"/>
      <c r="AB62" s="689"/>
      <c r="AC62" s="689"/>
      <c r="AD62" s="689"/>
      <c r="AE62" s="689"/>
      <c r="AF62" s="689"/>
      <c r="AG62" s="689"/>
      <c r="AH62" s="689"/>
      <c r="AI62" s="689"/>
      <c r="AJ62" s="689"/>
      <c r="AK62" s="689"/>
      <c r="AL62" s="689"/>
      <c r="AM62" s="689"/>
      <c r="AN62" s="689"/>
      <c r="AO62" s="689"/>
      <c r="AP62" s="689"/>
      <c r="AQ62" s="689"/>
      <c r="AR62" s="689"/>
      <c r="AS62" s="689"/>
      <c r="AT62" s="689"/>
      <c r="AU62" s="689"/>
      <c r="AV62" s="689"/>
      <c r="AW62" s="689"/>
      <c r="AX62" s="689"/>
      <c r="AY62" s="689"/>
      <c r="AZ62" s="689"/>
      <c r="BA62" s="689"/>
      <c r="BB62" s="689"/>
      <c r="BC62" s="689"/>
      <c r="BD62" s="689"/>
      <c r="BE62" s="690"/>
      <c r="BF62" s="678"/>
      <c r="BG62" s="678"/>
      <c r="BH62" s="678"/>
      <c r="BI62" s="678"/>
      <c r="BJ62" s="678"/>
      <c r="BK62" s="678"/>
      <c r="BL62" s="678"/>
      <c r="BM62" s="678"/>
      <c r="BN62" s="678"/>
      <c r="BO62" s="678"/>
      <c r="BP62" s="678"/>
      <c r="BQ62" s="678"/>
      <c r="BR62" s="678"/>
      <c r="BS62" s="678"/>
      <c r="BT62" s="678"/>
      <c r="BU62" s="679"/>
      <c r="BV62" s="673"/>
      <c r="BW62" s="670"/>
      <c r="BX62" s="670"/>
      <c r="BY62" s="670"/>
      <c r="BZ62" s="670"/>
      <c r="CA62" s="670"/>
      <c r="CB62" s="670"/>
      <c r="CC62" s="670"/>
      <c r="CD62" s="670"/>
      <c r="CE62" s="670"/>
      <c r="CF62" s="670"/>
      <c r="CG62" s="670"/>
      <c r="CH62" s="670"/>
      <c r="CI62" s="670"/>
      <c r="CJ62" s="670"/>
      <c r="CK62" s="670"/>
      <c r="CL62" s="670"/>
      <c r="CM62" s="671"/>
    </row>
    <row r="63" spans="1:91" ht="25.5" customHeight="1" thickBot="1" x14ac:dyDescent="0.25">
      <c r="A63" s="654" t="str">
        <f>IF('Title Page'!K23&lt;&gt;"",'Title Page'!K23,"")</f>
        <v/>
      </c>
      <c r="B63" s="655"/>
      <c r="C63" s="655"/>
      <c r="D63" s="130"/>
      <c r="E63" s="656" t="str">
        <f>IF('Title Page'!L23&lt;&gt;"",'Title Page'!L23,"")</f>
        <v/>
      </c>
      <c r="F63" s="656"/>
      <c r="G63" s="656"/>
      <c r="H63" s="436" t="str">
        <f>IF('Title Page'!R23&lt;&gt;"",'Title Page'!R23,"")</f>
        <v/>
      </c>
      <c r="I63" s="436" t="str">
        <f>IF('Title Page'!S23&lt;&gt;"",'Title Page'!S23,"")</f>
        <v/>
      </c>
      <c r="J63" s="436" t="str">
        <f>IF('Title Page'!T23&lt;&gt;"",'Title Page'!T23,"")</f>
        <v/>
      </c>
      <c r="K63" s="437" t="str">
        <f>IF('Title Page'!V23&lt;&gt;"",'Title Page'!V23,"")</f>
        <v/>
      </c>
      <c r="L63" s="688"/>
      <c r="M63" s="689"/>
      <c r="N63" s="689"/>
      <c r="O63" s="689"/>
      <c r="P63" s="689"/>
      <c r="Q63" s="689"/>
      <c r="R63" s="689"/>
      <c r="S63" s="689"/>
      <c r="T63" s="689"/>
      <c r="U63" s="689"/>
      <c r="V63" s="689"/>
      <c r="W63" s="689"/>
      <c r="X63" s="689"/>
      <c r="Y63" s="689"/>
      <c r="Z63" s="689"/>
      <c r="AA63" s="689"/>
      <c r="AB63" s="689"/>
      <c r="AC63" s="689"/>
      <c r="AD63" s="689"/>
      <c r="AE63" s="689"/>
      <c r="AF63" s="689"/>
      <c r="AG63" s="689"/>
      <c r="AH63" s="689"/>
      <c r="AI63" s="689"/>
      <c r="AJ63" s="689"/>
      <c r="AK63" s="689"/>
      <c r="AL63" s="689"/>
      <c r="AM63" s="689"/>
      <c r="AN63" s="689"/>
      <c r="AO63" s="689"/>
      <c r="AP63" s="689"/>
      <c r="AQ63" s="689"/>
      <c r="AR63" s="689"/>
      <c r="AS63" s="689"/>
      <c r="AT63" s="689"/>
      <c r="AU63" s="689"/>
      <c r="AV63" s="689"/>
      <c r="AW63" s="689"/>
      <c r="AX63" s="689"/>
      <c r="AY63" s="689"/>
      <c r="AZ63" s="689"/>
      <c r="BA63" s="689"/>
      <c r="BB63" s="689"/>
      <c r="BC63" s="689"/>
      <c r="BD63" s="689"/>
      <c r="BE63" s="690"/>
      <c r="BF63" s="680"/>
      <c r="BG63" s="680"/>
      <c r="BH63" s="680"/>
      <c r="BI63" s="680"/>
      <c r="BJ63" s="680"/>
      <c r="BK63" s="680"/>
      <c r="BL63" s="680"/>
      <c r="BM63" s="680"/>
      <c r="BN63" s="680"/>
      <c r="BO63" s="680"/>
      <c r="BP63" s="680"/>
      <c r="BQ63" s="680"/>
      <c r="BR63" s="680"/>
      <c r="BS63" s="680"/>
      <c r="BT63" s="680"/>
      <c r="BU63" s="681"/>
      <c r="BV63" s="666"/>
      <c r="BW63" s="663"/>
      <c r="BX63" s="663"/>
      <c r="BY63" s="663"/>
      <c r="BZ63" s="663"/>
      <c r="CA63" s="663"/>
      <c r="CB63" s="663"/>
      <c r="CC63" s="663"/>
      <c r="CD63" s="663"/>
      <c r="CE63" s="663"/>
      <c r="CF63" s="663"/>
      <c r="CG63" s="663"/>
      <c r="CH63" s="663"/>
      <c r="CI63" s="663"/>
      <c r="CJ63" s="663"/>
      <c r="CK63" s="663"/>
      <c r="CL63" s="663"/>
      <c r="CM63" s="653"/>
    </row>
    <row r="64" spans="1:91" ht="27" customHeight="1" x14ac:dyDescent="0.2">
      <c r="A64" s="654" t="str">
        <f>IF('Title Page'!K24&lt;&gt;"",'Title Page'!K24,"")</f>
        <v/>
      </c>
      <c r="B64" s="655"/>
      <c r="C64" s="655"/>
      <c r="D64" s="130"/>
      <c r="E64" s="656" t="str">
        <f>IF('Title Page'!L24&lt;&gt;"",'Title Page'!L24,"")</f>
        <v/>
      </c>
      <c r="F64" s="656"/>
      <c r="G64" s="656"/>
      <c r="H64" s="436" t="str">
        <f>IF('Title Page'!R24&lt;&gt;"",'Title Page'!R24,"")</f>
        <v/>
      </c>
      <c r="I64" s="436" t="str">
        <f>IF('Title Page'!S24&lt;&gt;"",'Title Page'!S24,"")</f>
        <v/>
      </c>
      <c r="J64" s="436" t="str">
        <f>IF('Title Page'!T24&lt;&gt;"",'Title Page'!T24,"")</f>
        <v/>
      </c>
      <c r="K64" s="437" t="str">
        <f>IF('Title Page'!V24&lt;&gt;"",'Title Page'!V24,"")</f>
        <v/>
      </c>
      <c r="L64" s="688"/>
      <c r="M64" s="689"/>
      <c r="N64" s="689"/>
      <c r="O64" s="689"/>
      <c r="P64" s="689"/>
      <c r="Q64" s="689"/>
      <c r="R64" s="689"/>
      <c r="S64" s="689"/>
      <c r="T64" s="689"/>
      <c r="U64" s="689"/>
      <c r="V64" s="689"/>
      <c r="W64" s="689"/>
      <c r="X64" s="689"/>
      <c r="Y64" s="689"/>
      <c r="Z64" s="689"/>
      <c r="AA64" s="689"/>
      <c r="AB64" s="689"/>
      <c r="AC64" s="689"/>
      <c r="AD64" s="689"/>
      <c r="AE64" s="689"/>
      <c r="AF64" s="689"/>
      <c r="AG64" s="689"/>
      <c r="AH64" s="689"/>
      <c r="AI64" s="689"/>
      <c r="AJ64" s="689"/>
      <c r="AK64" s="689"/>
      <c r="AL64" s="689"/>
      <c r="AM64" s="689"/>
      <c r="AN64" s="689"/>
      <c r="AO64" s="689"/>
      <c r="AP64" s="689"/>
      <c r="AQ64" s="689"/>
      <c r="AR64" s="689"/>
      <c r="AS64" s="689"/>
      <c r="AT64" s="689"/>
      <c r="AU64" s="689"/>
      <c r="AV64" s="689"/>
      <c r="AW64" s="689"/>
      <c r="AX64" s="689"/>
      <c r="AY64" s="689"/>
      <c r="AZ64" s="689"/>
      <c r="BA64" s="689"/>
      <c r="BB64" s="689"/>
      <c r="BC64" s="689"/>
      <c r="BD64" s="689"/>
      <c r="BE64" s="690"/>
      <c r="BF64" s="668"/>
      <c r="BG64" s="668"/>
      <c r="BH64" s="668"/>
      <c r="BI64" s="668"/>
      <c r="BJ64" s="668"/>
      <c r="BK64" s="668"/>
      <c r="BL64" s="668"/>
      <c r="BM64" s="668"/>
      <c r="BN64" s="668"/>
      <c r="BO64" s="668"/>
      <c r="BP64" s="668"/>
      <c r="BQ64" s="668"/>
      <c r="BR64" s="668"/>
      <c r="BS64" s="668"/>
      <c r="BT64" s="668"/>
      <c r="BU64" s="669"/>
      <c r="BV64" s="635" t="str">
        <f>'Title Page'!AA6</f>
        <v>Chickadee Creek Pump Station 04-22-061-15 W5M
Pembina Pipeline Corporation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SHUTDOWN KEY</v>
      </c>
      <c r="BW64" s="636"/>
      <c r="BX64" s="636"/>
      <c r="BY64" s="636"/>
      <c r="BZ64" s="636"/>
      <c r="CA64" s="636"/>
      <c r="CB64" s="636"/>
      <c r="CC64" s="636"/>
      <c r="CD64" s="636"/>
      <c r="CE64" s="636"/>
      <c r="CF64" s="636"/>
      <c r="CG64" s="636"/>
      <c r="CH64" s="636"/>
      <c r="CI64" s="636"/>
      <c r="CJ64" s="636"/>
      <c r="CK64" s="636"/>
      <c r="CL64" s="636"/>
      <c r="CM64" s="637"/>
    </row>
    <row r="65" spans="1:91" ht="25.5" customHeight="1" x14ac:dyDescent="0.2">
      <c r="A65" s="654" t="str">
        <f>IF('Title Page'!K25&lt;&gt;"",'Title Page'!K25,"")</f>
        <v/>
      </c>
      <c r="B65" s="655"/>
      <c r="C65" s="655"/>
      <c r="D65" s="130"/>
      <c r="E65" s="656" t="str">
        <f>IF('Title Page'!L25&lt;&gt;"",'Title Page'!L25,"")</f>
        <v/>
      </c>
      <c r="F65" s="656"/>
      <c r="G65" s="656"/>
      <c r="H65" s="436" t="str">
        <f>IF('Title Page'!R25&lt;&gt;"",'Title Page'!R25,"")</f>
        <v/>
      </c>
      <c r="I65" s="436" t="str">
        <f>IF('Title Page'!S25&lt;&gt;"",'Title Page'!S25,"")</f>
        <v/>
      </c>
      <c r="J65" s="436" t="str">
        <f>IF('Title Page'!T25&lt;&gt;"",'Title Page'!T25,"")</f>
        <v/>
      </c>
      <c r="K65" s="437" t="str">
        <f>IF('Title Page'!V25&lt;&gt;"",'Title Page'!V25,"")</f>
        <v/>
      </c>
      <c r="L65" s="688"/>
      <c r="M65" s="689"/>
      <c r="N65" s="689"/>
      <c r="O65" s="689"/>
      <c r="P65" s="689"/>
      <c r="Q65" s="689"/>
      <c r="R65" s="689"/>
      <c r="S65" s="689"/>
      <c r="T65" s="689"/>
      <c r="U65" s="689"/>
      <c r="V65" s="689"/>
      <c r="W65" s="689"/>
      <c r="X65" s="689"/>
      <c r="Y65" s="689"/>
      <c r="Z65" s="689"/>
      <c r="AA65" s="689"/>
      <c r="AB65" s="689"/>
      <c r="AC65" s="689"/>
      <c r="AD65" s="689"/>
      <c r="AE65" s="689"/>
      <c r="AF65" s="689"/>
      <c r="AG65" s="689"/>
      <c r="AH65" s="689"/>
      <c r="AI65" s="689"/>
      <c r="AJ65" s="689"/>
      <c r="AK65" s="689"/>
      <c r="AL65" s="689"/>
      <c r="AM65" s="689"/>
      <c r="AN65" s="689"/>
      <c r="AO65" s="689"/>
      <c r="AP65" s="689"/>
      <c r="AQ65" s="689"/>
      <c r="AR65" s="689"/>
      <c r="AS65" s="689"/>
      <c r="AT65" s="689"/>
      <c r="AU65" s="689"/>
      <c r="AV65" s="689"/>
      <c r="AW65" s="689"/>
      <c r="AX65" s="689"/>
      <c r="AY65" s="689"/>
      <c r="AZ65" s="689"/>
      <c r="BA65" s="689"/>
      <c r="BB65" s="689"/>
      <c r="BC65" s="689"/>
      <c r="BD65" s="689"/>
      <c r="BE65" s="690"/>
      <c r="BF65" s="670"/>
      <c r="BG65" s="670"/>
      <c r="BH65" s="670"/>
      <c r="BI65" s="670"/>
      <c r="BJ65" s="670"/>
      <c r="BK65" s="670"/>
      <c r="BL65" s="670"/>
      <c r="BM65" s="670"/>
      <c r="BN65" s="670"/>
      <c r="BO65" s="670"/>
      <c r="BP65" s="670"/>
      <c r="BQ65" s="670"/>
      <c r="BR65" s="670"/>
      <c r="BS65" s="670"/>
      <c r="BT65" s="670"/>
      <c r="BU65" s="671"/>
      <c r="BV65" s="638"/>
      <c r="BW65" s="639"/>
      <c r="BX65" s="639"/>
      <c r="BY65" s="639"/>
      <c r="BZ65" s="639"/>
      <c r="CA65" s="639"/>
      <c r="CB65" s="639"/>
      <c r="CC65" s="639"/>
      <c r="CD65" s="639"/>
      <c r="CE65" s="639"/>
      <c r="CF65" s="639"/>
      <c r="CG65" s="639"/>
      <c r="CH65" s="639"/>
      <c r="CI65" s="639"/>
      <c r="CJ65" s="639"/>
      <c r="CK65" s="639"/>
      <c r="CL65" s="639"/>
      <c r="CM65" s="640"/>
    </row>
    <row r="66" spans="1:91" ht="25.5" customHeight="1" thickBot="1" x14ac:dyDescent="0.25">
      <c r="A66" s="654" t="str">
        <f>IF('Title Page'!K26&lt;&gt;"",'Title Page'!K26,"")</f>
        <v/>
      </c>
      <c r="B66" s="655"/>
      <c r="C66" s="655"/>
      <c r="D66" s="130"/>
      <c r="E66" s="656" t="str">
        <f>IF('Title Page'!L26&lt;&gt;"",'Title Page'!L26,"")</f>
        <v/>
      </c>
      <c r="F66" s="656"/>
      <c r="G66" s="656"/>
      <c r="H66" s="436" t="str">
        <f>IF('Title Page'!R26&lt;&gt;"",'Title Page'!R26,"")</f>
        <v/>
      </c>
      <c r="I66" s="436" t="str">
        <f>IF('Title Page'!S26&lt;&gt;"",'Title Page'!S26,"")</f>
        <v/>
      </c>
      <c r="J66" s="436" t="str">
        <f>IF('Title Page'!T26&lt;&gt;"",'Title Page'!T26,"")</f>
        <v/>
      </c>
      <c r="K66" s="437" t="str">
        <f>IF('Title Page'!V26&lt;&gt;"",'Title Page'!V26,"")</f>
        <v/>
      </c>
      <c r="L66" s="688"/>
      <c r="M66" s="689"/>
      <c r="N66" s="689"/>
      <c r="O66" s="689"/>
      <c r="P66" s="689"/>
      <c r="Q66" s="689"/>
      <c r="R66" s="689"/>
      <c r="S66" s="689"/>
      <c r="T66" s="689"/>
      <c r="U66" s="689"/>
      <c r="V66" s="689"/>
      <c r="W66" s="689"/>
      <c r="X66" s="689"/>
      <c r="Y66" s="689"/>
      <c r="Z66" s="689"/>
      <c r="AA66" s="689"/>
      <c r="AB66" s="689"/>
      <c r="AC66" s="689"/>
      <c r="AD66" s="689"/>
      <c r="AE66" s="689"/>
      <c r="AF66" s="689"/>
      <c r="AG66" s="689"/>
      <c r="AH66" s="689"/>
      <c r="AI66" s="689"/>
      <c r="AJ66" s="689"/>
      <c r="AK66" s="689"/>
      <c r="AL66" s="689"/>
      <c r="AM66" s="689"/>
      <c r="AN66" s="689"/>
      <c r="AO66" s="689"/>
      <c r="AP66" s="689"/>
      <c r="AQ66" s="689"/>
      <c r="AR66" s="689"/>
      <c r="AS66" s="689"/>
      <c r="AT66" s="689"/>
      <c r="AU66" s="689"/>
      <c r="AV66" s="689"/>
      <c r="AW66" s="689"/>
      <c r="AX66" s="689"/>
      <c r="AY66" s="689"/>
      <c r="AZ66" s="689"/>
      <c r="BA66" s="689"/>
      <c r="BB66" s="689"/>
      <c r="BC66" s="689"/>
      <c r="BD66" s="689"/>
      <c r="BE66" s="690"/>
      <c r="BF66" s="663"/>
      <c r="BG66" s="663"/>
      <c r="BH66" s="663"/>
      <c r="BI66" s="663"/>
      <c r="BJ66" s="663"/>
      <c r="BK66" s="663"/>
      <c r="BL66" s="663"/>
      <c r="BM66" s="663"/>
      <c r="BN66" s="663"/>
      <c r="BO66" s="663"/>
      <c r="BP66" s="663"/>
      <c r="BQ66" s="663"/>
      <c r="BR66" s="663"/>
      <c r="BS66" s="663"/>
      <c r="BT66" s="663"/>
      <c r="BU66" s="653"/>
      <c r="BV66" s="641"/>
      <c r="BW66" s="642"/>
      <c r="BX66" s="642"/>
      <c r="BY66" s="642"/>
      <c r="BZ66" s="642"/>
      <c r="CA66" s="642"/>
      <c r="CB66" s="642"/>
      <c r="CC66" s="642"/>
      <c r="CD66" s="642"/>
      <c r="CE66" s="642"/>
      <c r="CF66" s="642"/>
      <c r="CG66" s="642"/>
      <c r="CH66" s="642"/>
      <c r="CI66" s="642"/>
      <c r="CJ66" s="642"/>
      <c r="CK66" s="642"/>
      <c r="CL66" s="642"/>
      <c r="CM66" s="643"/>
    </row>
    <row r="67" spans="1:91" ht="25.5" customHeight="1" x14ac:dyDescent="0.2">
      <c r="A67" s="654" t="str">
        <f>IF('Title Page'!K27&lt;&gt;"",'Title Page'!K27,"")</f>
        <v/>
      </c>
      <c r="B67" s="655"/>
      <c r="C67" s="655"/>
      <c r="D67" s="130"/>
      <c r="E67" s="656" t="str">
        <f>IF('Title Page'!L27&lt;&gt;"",'Title Page'!L27,"")</f>
        <v/>
      </c>
      <c r="F67" s="656"/>
      <c r="G67" s="656"/>
      <c r="H67" s="436" t="str">
        <f>IF('Title Page'!R27&lt;&gt;"",'Title Page'!R27,"")</f>
        <v/>
      </c>
      <c r="I67" s="436" t="str">
        <f>IF('Title Page'!S27&lt;&gt;"",'Title Page'!S27,"")</f>
        <v/>
      </c>
      <c r="J67" s="436" t="str">
        <f>IF('Title Page'!T27&lt;&gt;"",'Title Page'!T27,"")</f>
        <v/>
      </c>
      <c r="K67" s="437" t="str">
        <f>IF('Title Page'!V27&lt;&gt;"",'Title Page'!V27,"")</f>
        <v/>
      </c>
      <c r="L67" s="688"/>
      <c r="M67" s="689"/>
      <c r="N67" s="689"/>
      <c r="O67" s="689"/>
      <c r="P67" s="689"/>
      <c r="Q67" s="689"/>
      <c r="R67" s="689"/>
      <c r="S67" s="689"/>
      <c r="T67" s="689"/>
      <c r="U67" s="689"/>
      <c r="V67" s="689"/>
      <c r="W67" s="689"/>
      <c r="X67" s="689"/>
      <c r="Y67" s="689"/>
      <c r="Z67" s="689"/>
      <c r="AA67" s="689"/>
      <c r="AB67" s="689"/>
      <c r="AC67" s="689"/>
      <c r="AD67" s="689"/>
      <c r="AE67" s="689"/>
      <c r="AF67" s="689"/>
      <c r="AG67" s="689"/>
      <c r="AH67" s="689"/>
      <c r="AI67" s="689"/>
      <c r="AJ67" s="689"/>
      <c r="AK67" s="689"/>
      <c r="AL67" s="689"/>
      <c r="AM67" s="689"/>
      <c r="AN67" s="689"/>
      <c r="AO67" s="689"/>
      <c r="AP67" s="689"/>
      <c r="AQ67" s="689"/>
      <c r="AR67" s="689"/>
      <c r="AS67" s="689"/>
      <c r="AT67" s="689"/>
      <c r="AU67" s="689"/>
      <c r="AV67" s="689"/>
      <c r="AW67" s="689"/>
      <c r="AX67" s="689"/>
      <c r="AY67" s="689"/>
      <c r="AZ67" s="689"/>
      <c r="BA67" s="689"/>
      <c r="BB67" s="689"/>
      <c r="BC67" s="689"/>
      <c r="BD67" s="689"/>
      <c r="BE67" s="690"/>
      <c r="BF67" s="657" t="s">
        <v>26</v>
      </c>
      <c r="BG67" s="657"/>
      <c r="BH67" s="657"/>
      <c r="BI67" s="657"/>
      <c r="BJ67" s="657"/>
      <c r="BK67" s="657"/>
      <c r="BL67" s="657"/>
      <c r="BM67" s="657"/>
      <c r="BN67" s="657"/>
      <c r="BO67" s="657"/>
      <c r="BP67" s="657"/>
      <c r="BQ67" s="657"/>
      <c r="BR67" s="657"/>
      <c r="BS67" s="657"/>
      <c r="BT67" s="657"/>
      <c r="BU67" s="658"/>
      <c r="BV67" s="659" t="s">
        <v>8</v>
      </c>
      <c r="BW67" s="657"/>
      <c r="BX67" s="660"/>
      <c r="BY67" s="661" t="s">
        <v>9</v>
      </c>
      <c r="BZ67" s="657"/>
      <c r="CA67" s="657"/>
      <c r="CB67" s="657"/>
      <c r="CC67" s="657"/>
      <c r="CD67" s="657"/>
      <c r="CE67" s="657"/>
      <c r="CF67" s="657"/>
      <c r="CG67" s="657"/>
      <c r="CH67" s="657"/>
      <c r="CI67" s="657"/>
      <c r="CJ67" s="657"/>
      <c r="CK67" s="660"/>
      <c r="CL67" s="661" t="s">
        <v>10</v>
      </c>
      <c r="CM67" s="658"/>
    </row>
    <row r="68" spans="1:91" ht="25.5" customHeight="1" x14ac:dyDescent="0.2">
      <c r="A68" s="654" t="str">
        <f>IF('Title Page'!K28&lt;&gt;"",'Title Page'!K28,"")</f>
        <v/>
      </c>
      <c r="B68" s="655"/>
      <c r="C68" s="655"/>
      <c r="D68" s="130"/>
      <c r="E68" s="656" t="str">
        <f>IF('Title Page'!L28&lt;&gt;"",'Title Page'!L28,"")</f>
        <v/>
      </c>
      <c r="F68" s="656"/>
      <c r="G68" s="656"/>
      <c r="H68" s="436" t="str">
        <f>IF('Title Page'!R28&lt;&gt;"",'Title Page'!R28,"")</f>
        <v/>
      </c>
      <c r="I68" s="436" t="str">
        <f>IF('Title Page'!S28&lt;&gt;"",'Title Page'!S28,"")</f>
        <v/>
      </c>
      <c r="J68" s="436" t="str">
        <f>IF('Title Page'!T28&lt;&gt;"",'Title Page'!T28,"")</f>
        <v/>
      </c>
      <c r="K68" s="437" t="str">
        <f>IF('Title Page'!V28&lt;&gt;"",'Title Page'!V28,"")</f>
        <v/>
      </c>
      <c r="L68" s="688"/>
      <c r="M68" s="689"/>
      <c r="N68" s="689"/>
      <c r="O68" s="689"/>
      <c r="P68" s="689"/>
      <c r="Q68" s="689"/>
      <c r="R68" s="689"/>
      <c r="S68" s="689"/>
      <c r="T68" s="689"/>
      <c r="U68" s="689"/>
      <c r="V68" s="689"/>
      <c r="W68" s="689"/>
      <c r="X68" s="689"/>
      <c r="Y68" s="689"/>
      <c r="Z68" s="689"/>
      <c r="AA68" s="689"/>
      <c r="AB68" s="689"/>
      <c r="AC68" s="689"/>
      <c r="AD68" s="689"/>
      <c r="AE68" s="689"/>
      <c r="AF68" s="689"/>
      <c r="AG68" s="689"/>
      <c r="AH68" s="689"/>
      <c r="AI68" s="689"/>
      <c r="AJ68" s="689"/>
      <c r="AK68" s="689"/>
      <c r="AL68" s="689"/>
      <c r="AM68" s="689"/>
      <c r="AN68" s="689"/>
      <c r="AO68" s="689"/>
      <c r="AP68" s="689"/>
      <c r="AQ68" s="689"/>
      <c r="AR68" s="689"/>
      <c r="AS68" s="689"/>
      <c r="AT68" s="689"/>
      <c r="AU68" s="689"/>
      <c r="AV68" s="689"/>
      <c r="AW68" s="689"/>
      <c r="AX68" s="689"/>
      <c r="AY68" s="689"/>
      <c r="AZ68" s="689"/>
      <c r="BA68" s="689"/>
      <c r="BB68" s="689"/>
      <c r="BC68" s="689"/>
      <c r="BD68" s="689"/>
      <c r="BE68" s="690"/>
      <c r="BF68" s="662" t="str">
        <f>'Title Page'!Z21</f>
        <v>PEM029-001</v>
      </c>
      <c r="BG68" s="662"/>
      <c r="BH68" s="662"/>
      <c r="BI68" s="662"/>
      <c r="BJ68" s="662"/>
      <c r="BK68" s="662"/>
      <c r="BL68" s="662"/>
      <c r="BM68" s="662"/>
      <c r="BN68" s="662"/>
      <c r="BO68" s="662"/>
      <c r="BP68" s="662"/>
      <c r="BQ68" s="662"/>
      <c r="BR68" s="662"/>
      <c r="BS68" s="662"/>
      <c r="BT68" s="662"/>
      <c r="BU68" s="651"/>
      <c r="BV68" s="664" t="str">
        <f>'Title Page'!AA21</f>
        <v>None</v>
      </c>
      <c r="BW68" s="662"/>
      <c r="BX68" s="665"/>
      <c r="BY68" s="650" t="str">
        <f ca="1">BF68&amp;"-SDK-"&amp;RIGHT(RIGHT(CELL("filename",H7),LEN(CELL("filename",H7))-FIND("]",CELL("filename",H7))),LEN(RIGHT(CELL("filename",H7),LEN(CELL("filename",H7))-FIND("]",CELL("filename",H7))))-12)</f>
        <v>PEM029-001-SDK-6</v>
      </c>
      <c r="BZ68" s="662"/>
      <c r="CA68" s="662"/>
      <c r="CB68" s="662"/>
      <c r="CC68" s="662"/>
      <c r="CD68" s="662"/>
      <c r="CE68" s="662"/>
      <c r="CF68" s="662"/>
      <c r="CG68" s="662"/>
      <c r="CH68" s="662"/>
      <c r="CI68" s="662"/>
      <c r="CJ68" s="662"/>
      <c r="CK68" s="665"/>
      <c r="CL68" s="650">
        <f>'Title Page'!X21</f>
        <v>0</v>
      </c>
      <c r="CM68" s="651"/>
    </row>
    <row r="69" spans="1:91" ht="25.5" customHeight="1" thickBot="1" x14ac:dyDescent="0.25">
      <c r="A69" s="654" t="str">
        <f>IF('Title Page'!K29&lt;&gt;"",'Title Page'!K29,"")</f>
        <v/>
      </c>
      <c r="B69" s="655"/>
      <c r="C69" s="655"/>
      <c r="D69" s="130"/>
      <c r="E69" s="656" t="str">
        <f>IF('Title Page'!L29&lt;&gt;"",'Title Page'!L29,"")</f>
        <v/>
      </c>
      <c r="F69" s="656"/>
      <c r="G69" s="656"/>
      <c r="H69" s="436" t="str">
        <f>IF('Title Page'!R29&lt;&gt;"",'Title Page'!R29,"")</f>
        <v/>
      </c>
      <c r="I69" s="436" t="str">
        <f>IF('Title Page'!S29&lt;&gt;"",'Title Page'!S29,"")</f>
        <v/>
      </c>
      <c r="J69" s="436" t="str">
        <f>IF('Title Page'!T29&lt;&gt;"",'Title Page'!T29,"")</f>
        <v/>
      </c>
      <c r="K69" s="437" t="str">
        <f>IF('Title Page'!V29&lt;&gt;"",'Title Page'!V29,"")</f>
        <v/>
      </c>
      <c r="L69" s="691"/>
      <c r="M69" s="692"/>
      <c r="N69" s="692"/>
      <c r="O69" s="692"/>
      <c r="P69" s="692"/>
      <c r="Q69" s="692"/>
      <c r="R69" s="692"/>
      <c r="S69" s="692"/>
      <c r="T69" s="692"/>
      <c r="U69" s="692"/>
      <c r="V69" s="692"/>
      <c r="W69" s="692"/>
      <c r="X69" s="692"/>
      <c r="Y69" s="692"/>
      <c r="Z69" s="692"/>
      <c r="AA69" s="692"/>
      <c r="AB69" s="692"/>
      <c r="AC69" s="692"/>
      <c r="AD69" s="692"/>
      <c r="AE69" s="692"/>
      <c r="AF69" s="692"/>
      <c r="AG69" s="692"/>
      <c r="AH69" s="692"/>
      <c r="AI69" s="692"/>
      <c r="AJ69" s="692"/>
      <c r="AK69" s="692"/>
      <c r="AL69" s="692"/>
      <c r="AM69" s="692"/>
      <c r="AN69" s="692"/>
      <c r="AO69" s="692"/>
      <c r="AP69" s="692"/>
      <c r="AQ69" s="692"/>
      <c r="AR69" s="692"/>
      <c r="AS69" s="692"/>
      <c r="AT69" s="692"/>
      <c r="AU69" s="692"/>
      <c r="AV69" s="692"/>
      <c r="AW69" s="692"/>
      <c r="AX69" s="692"/>
      <c r="AY69" s="692"/>
      <c r="AZ69" s="692"/>
      <c r="BA69" s="692"/>
      <c r="BB69" s="692"/>
      <c r="BC69" s="692"/>
      <c r="BD69" s="692"/>
      <c r="BE69" s="693"/>
      <c r="BF69" s="663"/>
      <c r="BG69" s="663"/>
      <c r="BH69" s="663"/>
      <c r="BI69" s="663"/>
      <c r="BJ69" s="663"/>
      <c r="BK69" s="663"/>
      <c r="BL69" s="663"/>
      <c r="BM69" s="663"/>
      <c r="BN69" s="663"/>
      <c r="BO69" s="663"/>
      <c r="BP69" s="663"/>
      <c r="BQ69" s="663"/>
      <c r="BR69" s="663"/>
      <c r="BS69" s="663"/>
      <c r="BT69" s="663"/>
      <c r="BU69" s="653"/>
      <c r="BV69" s="666"/>
      <c r="BW69" s="663"/>
      <c r="BX69" s="667"/>
      <c r="BY69" s="652"/>
      <c r="BZ69" s="663"/>
      <c r="CA69" s="663"/>
      <c r="CB69" s="663"/>
      <c r="CC69" s="663"/>
      <c r="CD69" s="663"/>
      <c r="CE69" s="663"/>
      <c r="CF69" s="663"/>
      <c r="CG69" s="663"/>
      <c r="CH69" s="663"/>
      <c r="CI69" s="663"/>
      <c r="CJ69" s="663"/>
      <c r="CK69" s="667"/>
      <c r="CL69" s="652"/>
      <c r="CM69" s="653"/>
    </row>
    <row r="70" spans="1:91" ht="12" customHeight="1" x14ac:dyDescent="0.25">
      <c r="A70" s="438"/>
      <c r="B70" s="439"/>
      <c r="C70" s="439"/>
      <c r="D70" s="439"/>
      <c r="E70" s="228"/>
      <c r="F70" s="440"/>
      <c r="G70" s="440"/>
      <c r="H70" s="440"/>
      <c r="I70" s="441"/>
      <c r="BL70" s="305"/>
      <c r="BM70" s="305"/>
      <c r="BN70" s="305"/>
      <c r="BO70" s="305"/>
      <c r="BP70" s="305"/>
      <c r="BQ70" s="305"/>
      <c r="BR70" s="305"/>
      <c r="BS70" s="305"/>
      <c r="BT70" s="443"/>
      <c r="CD70" s="228"/>
      <c r="CE70" s="228"/>
      <c r="CF70" s="228"/>
      <c r="CG70" s="228"/>
      <c r="CH70" s="228"/>
      <c r="CI70" s="228"/>
      <c r="CJ70" s="228"/>
      <c r="CK70" s="228"/>
      <c r="CL70" s="228"/>
      <c r="CM70" s="228"/>
    </row>
  </sheetData>
  <mergeCells count="45">
    <mergeCell ref="BF64:BU66"/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A67:C67"/>
    <mergeCell ref="E67:G67"/>
    <mergeCell ref="BF67:BU67"/>
    <mergeCell ref="BV67:BX67"/>
    <mergeCell ref="BY67:CK67"/>
    <mergeCell ref="A61:C61"/>
    <mergeCell ref="E61:G61"/>
    <mergeCell ref="BV64:CM66"/>
    <mergeCell ref="A65:C65"/>
    <mergeCell ref="E65:G65"/>
    <mergeCell ref="A66:C66"/>
    <mergeCell ref="E66:G66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  <mergeCell ref="G7:G9"/>
    <mergeCell ref="H7:H9"/>
    <mergeCell ref="I7:K7"/>
    <mergeCell ref="J8:K8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18" orientation="landscape" r:id="rId1"/>
  <headerFooter alignWithMargins="0">
    <oddFooter xml:space="preserve">&amp;L&amp;F&amp;C&amp;D&amp;RLauren Concise Design Shutdown Key 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Source</vt:lpstr>
      <vt:lpstr>Title Page</vt:lpstr>
      <vt:lpstr>SD Key Page 1</vt:lpstr>
      <vt:lpstr>SD Key Page 2</vt:lpstr>
      <vt:lpstr>SD Key Page 3</vt:lpstr>
      <vt:lpstr>SD Key Page 4</vt:lpstr>
      <vt:lpstr>SD Key Page 5</vt:lpstr>
      <vt:lpstr>SD Key Page 6</vt:lpstr>
      <vt:lpstr>'SD Key Page 1'!Print_Area</vt:lpstr>
      <vt:lpstr>'SD Key Page 2'!Print_Area</vt:lpstr>
      <vt:lpstr>'SD Key Page 3'!Print_Area</vt:lpstr>
      <vt:lpstr>'SD Key Page 4'!Print_Area</vt:lpstr>
      <vt:lpstr>'SD Key Page 5'!Print_Area</vt:lpstr>
      <vt:lpstr>'SD Key Page 6'!Print_Area</vt:lpstr>
      <vt:lpstr>Source!Print_Area</vt:lpstr>
      <vt:lpstr>'Title Page'!Print_Area</vt:lpstr>
    </vt:vector>
  </TitlesOfParts>
  <Company>Concise Design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Travis J Gall</cp:lastModifiedBy>
  <cp:lastPrinted>2013-09-03T19:44:52Z</cp:lastPrinted>
  <dcterms:created xsi:type="dcterms:W3CDTF">2005-06-01T17:04:52Z</dcterms:created>
  <dcterms:modified xsi:type="dcterms:W3CDTF">2013-09-06T06:21:13Z</dcterms:modified>
</cp:coreProperties>
</file>