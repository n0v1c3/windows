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00000000-0000-0000-0000-000000000000}"/>
  <workbookPr codeName="ThisWorkbook" defaultThemeVersion="124226"/>
  <bookViews>
    <workbookView xWindow="360" yWindow="45" windowWidth="8595" windowHeight="2385" firstSheet="1" activeTab="5"/>
  </bookViews>
  <sheets>
    <sheet name="FBD Lookup" sheetId="1" r:id="rId1"/>
    <sheet name="PLC Export" sheetId="7" r:id="rId2"/>
    <sheet name="Message Lookup" sheetId="6" r:id="rId3"/>
    <sheet name="Header" sheetId="3" r:id="rId4"/>
    <sheet name="Raw" sheetId="2" r:id="rId5"/>
    <sheet name="Build" sheetId="4" r:id="rId6"/>
    <sheet name="Sheet5" sheetId="5" r:id="rId7"/>
  </sheets>
  <calcPr calcId="144525"/>
</workbook>
</file>

<file path=xl/calcChain.xml><?xml version="1.0" encoding="utf-8"?>
<calcChain xmlns="http://schemas.openxmlformats.org/spreadsheetml/2006/main">
  <c r="AW115" i="7" l="1"/>
  <c r="AW116" i="7"/>
  <c r="AW117" i="7"/>
  <c r="AW118" i="7"/>
  <c r="AW119" i="7"/>
  <c r="AW120" i="7"/>
  <c r="AW121" i="7"/>
  <c r="AW122" i="7"/>
  <c r="AW123" i="7"/>
  <c r="AW124" i="7"/>
  <c r="AW125" i="7"/>
  <c r="AW126" i="7"/>
  <c r="AW127" i="7"/>
  <c r="AW128" i="7"/>
  <c r="AW129" i="7"/>
  <c r="AW130" i="7"/>
  <c r="AW131" i="7"/>
  <c r="AW132" i="7"/>
  <c r="AW133" i="7"/>
  <c r="AW134" i="7"/>
  <c r="AW135" i="7"/>
  <c r="AW136" i="7"/>
  <c r="AW137" i="7"/>
  <c r="AW138" i="7"/>
  <c r="AW139" i="7"/>
  <c r="AW140" i="7"/>
  <c r="AW141" i="7"/>
  <c r="AW142" i="7"/>
  <c r="AW143" i="7"/>
  <c r="AW144" i="7"/>
  <c r="AW145" i="7"/>
  <c r="AW146" i="7"/>
  <c r="AW147" i="7"/>
  <c r="AW148" i="7"/>
  <c r="AW149" i="7"/>
  <c r="AW150" i="7"/>
  <c r="AW151" i="7"/>
  <c r="AW152" i="7"/>
  <c r="AW153" i="7"/>
  <c r="AW154" i="7"/>
  <c r="AW155" i="7"/>
  <c r="AW156" i="7"/>
  <c r="AW157" i="7"/>
  <c r="AW158" i="7"/>
  <c r="AW159" i="7"/>
  <c r="AW160" i="7"/>
  <c r="AW161" i="7"/>
  <c r="AW162" i="7"/>
  <c r="AW163" i="7"/>
  <c r="AW164" i="7"/>
  <c r="AW165" i="7"/>
  <c r="AW166" i="7"/>
  <c r="AW167" i="7"/>
  <c r="AW168" i="7"/>
  <c r="AW169" i="7"/>
  <c r="AW170" i="7"/>
  <c r="AW171" i="7"/>
  <c r="AW172" i="7"/>
  <c r="AW173" i="7"/>
  <c r="AW174" i="7"/>
  <c r="AW175" i="7"/>
  <c r="AW176" i="7"/>
  <c r="AW177" i="7"/>
  <c r="AW178" i="7"/>
  <c r="AW179" i="7"/>
  <c r="AW180" i="7"/>
  <c r="AW181" i="7"/>
  <c r="AW182" i="7"/>
  <c r="AW183" i="7"/>
  <c r="AW184" i="7"/>
  <c r="AW185" i="7"/>
  <c r="AW186" i="7"/>
  <c r="AW187" i="7"/>
  <c r="AW188" i="7"/>
  <c r="AW189" i="7"/>
  <c r="AW190" i="7"/>
  <c r="AW191" i="7"/>
  <c r="AW192" i="7"/>
  <c r="AW193" i="7"/>
  <c r="AW194" i="7"/>
  <c r="AW195" i="7"/>
  <c r="AW196" i="7"/>
  <c r="AW197" i="7"/>
  <c r="AW198" i="7"/>
  <c r="AW199" i="7"/>
  <c r="AW200" i="7"/>
  <c r="AW201" i="7"/>
  <c r="AW202" i="7"/>
  <c r="AW203" i="7"/>
  <c r="AW204" i="7"/>
  <c r="AW205" i="7"/>
  <c r="AW206" i="7"/>
  <c r="AW207" i="7"/>
  <c r="AW208" i="7"/>
  <c r="AW209" i="7"/>
  <c r="AW210" i="7"/>
  <c r="AW211" i="7"/>
  <c r="AW212" i="7"/>
  <c r="AW213" i="7"/>
  <c r="AW214" i="7"/>
  <c r="AW215" i="7"/>
  <c r="AW216" i="7"/>
  <c r="AW217" i="7"/>
  <c r="AW218" i="7"/>
  <c r="AW219" i="7"/>
  <c r="AW220" i="7"/>
  <c r="AW221" i="7"/>
  <c r="AW222" i="7"/>
  <c r="AW223" i="7"/>
  <c r="AW224" i="7"/>
  <c r="AW225" i="7"/>
  <c r="AW226" i="7"/>
  <c r="AW227" i="7"/>
  <c r="AW228" i="7"/>
  <c r="AW229" i="7"/>
  <c r="AW230" i="7"/>
  <c r="AW231" i="7"/>
  <c r="AW232" i="7"/>
  <c r="AW233" i="7"/>
  <c r="AW234" i="7"/>
  <c r="AW235" i="7"/>
  <c r="AW236" i="7"/>
  <c r="AW237" i="7"/>
  <c r="AW238" i="7"/>
  <c r="AW239" i="7"/>
  <c r="AW240" i="7"/>
  <c r="AW241" i="7"/>
  <c r="AW242" i="7"/>
  <c r="AW243" i="7"/>
  <c r="AW244" i="7"/>
  <c r="AW245" i="7"/>
  <c r="AW246" i="7"/>
  <c r="AW247" i="7"/>
  <c r="AW248" i="7"/>
  <c r="AW249" i="7"/>
  <c r="AW250" i="7"/>
  <c r="AW251" i="7"/>
  <c r="AW252" i="7"/>
  <c r="AW253" i="7"/>
  <c r="AW254" i="7"/>
  <c r="AW255" i="7"/>
  <c r="AW256" i="7"/>
  <c r="AW257" i="7"/>
  <c r="AW258" i="7"/>
  <c r="AW259" i="7"/>
  <c r="AW260" i="7"/>
  <c r="AW261" i="7"/>
  <c r="AW262" i="7"/>
  <c r="AW263" i="7"/>
  <c r="AW264" i="7"/>
  <c r="AW265" i="7"/>
  <c r="AW266" i="7"/>
  <c r="AW267" i="7"/>
  <c r="AW268" i="7"/>
  <c r="AW269" i="7"/>
  <c r="AW270" i="7"/>
  <c r="AW271" i="7"/>
  <c r="AW272" i="7"/>
  <c r="AW273" i="7"/>
  <c r="AW274" i="7"/>
  <c r="AW275" i="7"/>
  <c r="AW276" i="7"/>
  <c r="AW277" i="7"/>
  <c r="AW278" i="7"/>
  <c r="AW279" i="7"/>
  <c r="AW280" i="7"/>
  <c r="AW281" i="7"/>
  <c r="AW282" i="7"/>
  <c r="AW283" i="7"/>
  <c r="AW284" i="7"/>
  <c r="AW285" i="7"/>
  <c r="AW286" i="7"/>
  <c r="AW287" i="7"/>
  <c r="AW288" i="7"/>
  <c r="AW289" i="7"/>
  <c r="AW290" i="7"/>
  <c r="AW291" i="7"/>
  <c r="AW292" i="7"/>
  <c r="AW293" i="7"/>
  <c r="AW294" i="7"/>
  <c r="AW295" i="7"/>
  <c r="AW296" i="7"/>
  <c r="AW297" i="7"/>
  <c r="AW298" i="7"/>
  <c r="AW299" i="7"/>
  <c r="AW300" i="7"/>
  <c r="AW301" i="7"/>
  <c r="AW302" i="7"/>
  <c r="AW303" i="7"/>
  <c r="AW304" i="7"/>
  <c r="AW305" i="7"/>
  <c r="AW306" i="7"/>
  <c r="AW307" i="7"/>
  <c r="AW308" i="7"/>
  <c r="AW309" i="7"/>
  <c r="AW310" i="7"/>
  <c r="AW311" i="7"/>
  <c r="AW312" i="7"/>
  <c r="AW313" i="7"/>
  <c r="AW314" i="7"/>
  <c r="AW315" i="7"/>
  <c r="AW316" i="7"/>
  <c r="AW317" i="7"/>
  <c r="AW318" i="7"/>
  <c r="AW319" i="7"/>
  <c r="AW320" i="7"/>
  <c r="AW321" i="7"/>
  <c r="AW322" i="7"/>
  <c r="AW323" i="7"/>
  <c r="AW324" i="7"/>
  <c r="AW325" i="7"/>
  <c r="AW326" i="7"/>
  <c r="AW327" i="7"/>
  <c r="AW328" i="7"/>
  <c r="AW329" i="7"/>
  <c r="AW330" i="7"/>
  <c r="AW331" i="7"/>
  <c r="AW332" i="7"/>
  <c r="AW333" i="7"/>
  <c r="AW334" i="7"/>
  <c r="AW335" i="7"/>
  <c r="AW336" i="7"/>
  <c r="AW337" i="7"/>
  <c r="AW338" i="7"/>
  <c r="AW339" i="7"/>
  <c r="AW340" i="7"/>
  <c r="AW341" i="7"/>
  <c r="AW342" i="7"/>
  <c r="AW343" i="7"/>
  <c r="AW344" i="7"/>
  <c r="AW345" i="7"/>
  <c r="AW346" i="7"/>
  <c r="AW347" i="7"/>
  <c r="AW348" i="7"/>
  <c r="AW349" i="7"/>
  <c r="AW350" i="7"/>
  <c r="AW351" i="7"/>
  <c r="AW352" i="7"/>
  <c r="AW353" i="7"/>
  <c r="AW354" i="7"/>
  <c r="AW355" i="7"/>
  <c r="AW356" i="7"/>
  <c r="AW357" i="7"/>
  <c r="AW358" i="7"/>
  <c r="AW359" i="7"/>
  <c r="AW360" i="7"/>
  <c r="AW361" i="7"/>
  <c r="AW362" i="7"/>
  <c r="AW363" i="7"/>
  <c r="AW364" i="7"/>
  <c r="AW365" i="7"/>
  <c r="AW366" i="7"/>
  <c r="AW367" i="7"/>
  <c r="AW368" i="7"/>
  <c r="AW369" i="7"/>
  <c r="AW370" i="7"/>
  <c r="AW371" i="7"/>
  <c r="AW372" i="7"/>
  <c r="AW373" i="7"/>
  <c r="AW374" i="7"/>
  <c r="AW375" i="7"/>
  <c r="AW376" i="7"/>
  <c r="AW377" i="7"/>
  <c r="AW378" i="7"/>
  <c r="AW379" i="7"/>
  <c r="AW380" i="7"/>
  <c r="AW381" i="7"/>
  <c r="AW382" i="7"/>
  <c r="AW383" i="7"/>
  <c r="AW384" i="7"/>
  <c r="AW385" i="7"/>
  <c r="AW386" i="7"/>
  <c r="AW387" i="7"/>
  <c r="AW388" i="7"/>
  <c r="AW389" i="7"/>
  <c r="AW390" i="7"/>
  <c r="AW391" i="7"/>
  <c r="AW392" i="7"/>
  <c r="AW393" i="7"/>
  <c r="AW394" i="7"/>
  <c r="AW395" i="7"/>
  <c r="AW396" i="7"/>
  <c r="AW397" i="7"/>
  <c r="AW398" i="7"/>
  <c r="AW399" i="7"/>
  <c r="AW400" i="7"/>
  <c r="AW401" i="7"/>
  <c r="AW402" i="7"/>
  <c r="AW403" i="7"/>
  <c r="AW404" i="7"/>
  <c r="AW405" i="7"/>
  <c r="AW406" i="7"/>
  <c r="AW407" i="7"/>
  <c r="AW408" i="7"/>
  <c r="AW409" i="7"/>
  <c r="AW410" i="7"/>
  <c r="AW411" i="7"/>
  <c r="AW412" i="7"/>
  <c r="AW413" i="7"/>
  <c r="AW414" i="7"/>
  <c r="AW415" i="7"/>
  <c r="AW416" i="7"/>
  <c r="AW417" i="7"/>
  <c r="AW418" i="7"/>
  <c r="AW419" i="7"/>
  <c r="AW420" i="7"/>
  <c r="AW421" i="7"/>
  <c r="AW422" i="7"/>
  <c r="AW423" i="7"/>
  <c r="AW424" i="7"/>
  <c r="AW425" i="7"/>
  <c r="AW426" i="7"/>
  <c r="AW427" i="7"/>
  <c r="AW428" i="7"/>
  <c r="AW429" i="7"/>
  <c r="AW430" i="7"/>
  <c r="AW431" i="7"/>
  <c r="AW432" i="7"/>
  <c r="AW433" i="7"/>
  <c r="AW434" i="7"/>
  <c r="AW435" i="7"/>
  <c r="AW436" i="7"/>
  <c r="AW437" i="7"/>
  <c r="AW438" i="7"/>
  <c r="AW439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17" i="7"/>
  <c r="AW18" i="7"/>
  <c r="AW19" i="7"/>
  <c r="AW20" i="7"/>
  <c r="AW21" i="7"/>
  <c r="AW22" i="7"/>
  <c r="AW23" i="7"/>
  <c r="AW24" i="7"/>
  <c r="AW25" i="7"/>
  <c r="AW26" i="7"/>
  <c r="AW27" i="7"/>
  <c r="AW28" i="7"/>
  <c r="AW29" i="7"/>
  <c r="AW30" i="7"/>
  <c r="AW31" i="7"/>
  <c r="AW32" i="7"/>
  <c r="AW33" i="7"/>
  <c r="AW34" i="7"/>
  <c r="AW35" i="7"/>
  <c r="AW36" i="7"/>
  <c r="AW37" i="7"/>
  <c r="AW38" i="7"/>
  <c r="AW39" i="7"/>
  <c r="AW40" i="7"/>
  <c r="AW41" i="7"/>
  <c r="AW42" i="7"/>
  <c r="AW43" i="7"/>
  <c r="AW44" i="7"/>
  <c r="AW45" i="7"/>
  <c r="AW46" i="7"/>
  <c r="AW47" i="7"/>
  <c r="AW48" i="7"/>
  <c r="AW49" i="7"/>
  <c r="AW50" i="7"/>
  <c r="AW51" i="7"/>
  <c r="AW52" i="7"/>
  <c r="AW53" i="7"/>
  <c r="AW54" i="7"/>
  <c r="AW55" i="7"/>
  <c r="AW56" i="7"/>
  <c r="AW57" i="7"/>
  <c r="AW58" i="7"/>
  <c r="AW59" i="7"/>
  <c r="AW60" i="7"/>
  <c r="AW61" i="7"/>
  <c r="AW62" i="7"/>
  <c r="AW63" i="7"/>
  <c r="AW64" i="7"/>
  <c r="AW65" i="7"/>
  <c r="AW66" i="7"/>
  <c r="AW67" i="7"/>
  <c r="AW68" i="7"/>
  <c r="AW69" i="7"/>
  <c r="AW70" i="7"/>
  <c r="AW71" i="7"/>
  <c r="AW72" i="7"/>
  <c r="AW73" i="7"/>
  <c r="AW74" i="7"/>
  <c r="AW75" i="7"/>
  <c r="AW76" i="7"/>
  <c r="AW77" i="7"/>
  <c r="AW78" i="7"/>
  <c r="AW79" i="7"/>
  <c r="AW80" i="7"/>
  <c r="AW81" i="7"/>
  <c r="AW82" i="7"/>
  <c r="AW83" i="7"/>
  <c r="AW84" i="7"/>
  <c r="AW85" i="7"/>
  <c r="AW86" i="7"/>
  <c r="AW87" i="7"/>
  <c r="AW88" i="7"/>
  <c r="AW89" i="7"/>
  <c r="AW90" i="7"/>
  <c r="AW91" i="7"/>
  <c r="AW92" i="7"/>
  <c r="AW93" i="7"/>
  <c r="AW94" i="7"/>
  <c r="AW95" i="7"/>
  <c r="AW96" i="7"/>
  <c r="AW97" i="7"/>
  <c r="AW98" i="7"/>
  <c r="AW99" i="7"/>
  <c r="AW100" i="7"/>
  <c r="AW101" i="7"/>
  <c r="AW102" i="7"/>
  <c r="AW103" i="7"/>
  <c r="AW104" i="7"/>
  <c r="AW105" i="7"/>
  <c r="AW106" i="7"/>
  <c r="AW107" i="7"/>
  <c r="AW108" i="7"/>
  <c r="AW109" i="7"/>
  <c r="AW110" i="7"/>
  <c r="AW111" i="7"/>
  <c r="AW112" i="7"/>
  <c r="AW113" i="7"/>
  <c r="AW114" i="7"/>
  <c r="AW3" i="7"/>
  <c r="I10" i="2" l="1"/>
  <c r="F26" i="2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3" i="1"/>
  <c r="G2" i="2"/>
  <c r="G1" i="2"/>
  <c r="Q1" i="2"/>
</calcChain>
</file>

<file path=xl/sharedStrings.xml><?xml version="1.0" encoding="utf-8"?>
<sst xmlns="http://schemas.openxmlformats.org/spreadsheetml/2006/main" count="19153" uniqueCount="4578">
  <si>
    <t>/program/FBDSource/networkFBD/FFBBlock/#id</t>
  </si>
  <si>
    <t>/program/FBDSource/networkFBD/FFBBlock/@additionnalPinNumber</t>
  </si>
  <si>
    <t>/program/FBDSource/networkFBD/FFBBlock/@enEnO</t>
  </si>
  <si>
    <t>/program/FBDSource/networkFBD/FFBBlock/@height</t>
  </si>
  <si>
    <t>/program/FBDSource/networkFBD/FFBBlock/@instanceName</t>
  </si>
  <si>
    <t>/program/FBDSource/networkFBD/FFBBlock/@typeName</t>
  </si>
  <si>
    <t>/program/FBDSource/networkFBD/FFBBlock/@width</t>
  </si>
  <si>
    <t>/program/FBDSource/networkFBD/FFBBlock/descriptionFFB/@execAfter</t>
  </si>
  <si>
    <t>/program/FBDSource/networkFBD/FFBBlock/descriptionFFB/inputVariable/@effectiveParameter</t>
  </si>
  <si>
    <t>BIT_TO_WORD</t>
  </si>
  <si>
    <t>STN_MSO_TANK_LEVEL_BYPASSED</t>
  </si>
  <si>
    <t>STN_SUMP_LEVEL_BYPASSED</t>
  </si>
  <si>
    <t>STN_LOW_DISCH_BYPASSED</t>
  </si>
  <si>
    <t>STN_BSW_200_BYPASSED</t>
  </si>
  <si>
    <t>STN_BSW_300_BYPASSED</t>
  </si>
  <si>
    <t>PLC_IO_FAULT</t>
  </si>
  <si>
    <t>PLC_FAULT</t>
  </si>
  <si>
    <t>AIT_101_AHH_L</t>
  </si>
  <si>
    <t>AIT_101_AH_L</t>
  </si>
  <si>
    <t>AIT_101_AL_L</t>
  </si>
  <si>
    <t>AIT_101_ALL_L</t>
  </si>
  <si>
    <t>AIT_101_M_L</t>
  </si>
  <si>
    <t>AIT_201_AHH_L</t>
  </si>
  <si>
    <t>AIT_201_AH_L</t>
  </si>
  <si>
    <t>AIT_201_AL_L</t>
  </si>
  <si>
    <t>AIT_201_ALL_L</t>
  </si>
  <si>
    <t>AIT_201_M_L</t>
  </si>
  <si>
    <t>AIT_301_AHH_L</t>
  </si>
  <si>
    <t>AIT_301_AH_L</t>
  </si>
  <si>
    <t>AIT_301_AL_L</t>
  </si>
  <si>
    <t>AIT_301_ALL_L</t>
  </si>
  <si>
    <t>AIT_301_M_L</t>
  </si>
  <si>
    <t>AIT_401_AHH_L</t>
  </si>
  <si>
    <t>AIT_401_AH_L</t>
  </si>
  <si>
    <t>AIT_401_AL_L</t>
  </si>
  <si>
    <t>AIT_401_ALL_L</t>
  </si>
  <si>
    <t>AIT_401_M_L</t>
  </si>
  <si>
    <t>BSW_200_AHH_L</t>
  </si>
  <si>
    <t>BSW_200_AH_L</t>
  </si>
  <si>
    <t>BSW_200_AL_L</t>
  </si>
  <si>
    <t>BSW_200_ALL_L</t>
  </si>
  <si>
    <t>BSW_200_M_L</t>
  </si>
  <si>
    <t>BSW_300_AHH_L</t>
  </si>
  <si>
    <t>BSW_300_AH_L</t>
  </si>
  <si>
    <t>BSW_300_AL_L</t>
  </si>
  <si>
    <t>BSW_300_ALL_L</t>
  </si>
  <si>
    <t>BSW_300_M_L</t>
  </si>
  <si>
    <t>DT_100_AHH_L</t>
  </si>
  <si>
    <t>DT_100_AH_L</t>
  </si>
  <si>
    <t>DT_100_AL_L</t>
  </si>
  <si>
    <t>DT_100_ALL_L</t>
  </si>
  <si>
    <t>DT_100_M_L</t>
  </si>
  <si>
    <t>DT_200_AHH_L</t>
  </si>
  <si>
    <t>DT_200_AH_L</t>
  </si>
  <si>
    <t>DT_200_AL_L</t>
  </si>
  <si>
    <t>DT_200_ALL_L</t>
  </si>
  <si>
    <t>DT_200_M_L</t>
  </si>
  <si>
    <t>DT_303_AHH_L</t>
  </si>
  <si>
    <t>DT_303_AH_L</t>
  </si>
  <si>
    <t>DT_303_AL_L</t>
  </si>
  <si>
    <t>DT_303_ALL_L</t>
  </si>
  <si>
    <t>DT_303_M_L</t>
  </si>
  <si>
    <t>FT_100_AHH_L</t>
  </si>
  <si>
    <t>FT_100_AH_L</t>
  </si>
  <si>
    <t>FT_100_AL_L</t>
  </si>
  <si>
    <t>FT_100_ALL_L</t>
  </si>
  <si>
    <t>FT_100_M_L</t>
  </si>
  <si>
    <t>FT_200_AHH_L</t>
  </si>
  <si>
    <t>FT_200_AH_L</t>
  </si>
  <si>
    <t>FT_200_AL_L</t>
  </si>
  <si>
    <t>FT_200_ALL_L</t>
  </si>
  <si>
    <t>FT_200_M_L</t>
  </si>
  <si>
    <t>FT_303_AHH_L</t>
  </si>
  <si>
    <t>FT_303_M_L</t>
  </si>
  <si>
    <t>H2S_100_AHH_L</t>
  </si>
  <si>
    <t>H2S_100_AH_L</t>
  </si>
  <si>
    <t>H2S_100_AL_L</t>
  </si>
  <si>
    <t>H2S_100_ALL_L</t>
  </si>
  <si>
    <t>H2S_100_M_L</t>
  </si>
  <si>
    <t>H2S_105_AHH_L</t>
  </si>
  <si>
    <t>H2S_105_AH_L</t>
  </si>
  <si>
    <t>H2S_105_AL_L</t>
  </si>
  <si>
    <t>H2S_105_ALL_L</t>
  </si>
  <si>
    <t>H2S_105_M_L</t>
  </si>
  <si>
    <t>H2S_200_AHH_L</t>
  </si>
  <si>
    <t>H2S_200_AH_L</t>
  </si>
  <si>
    <t>H2S_200_AL_L</t>
  </si>
  <si>
    <t>H2S_200_ALL_L</t>
  </si>
  <si>
    <t>H2S_200_M_L</t>
  </si>
  <si>
    <t>LEL_100_AHH_L</t>
  </si>
  <si>
    <t>LEL_100_AH_L</t>
  </si>
  <si>
    <t>LEL_100_AL_L</t>
  </si>
  <si>
    <t>LEL_100_ALL_L</t>
  </si>
  <si>
    <t>LEL_100_M_L</t>
  </si>
  <si>
    <t>LEL_105_AHH_L</t>
  </si>
  <si>
    <t>LEL_105_AH_L</t>
  </si>
  <si>
    <t>LEL_105_AL_L</t>
  </si>
  <si>
    <t>LEL_105_ALL_L</t>
  </si>
  <si>
    <t>LEL_105_M_L</t>
  </si>
  <si>
    <t>LEL_200_AHH_L</t>
  </si>
  <si>
    <t>LEL_200_AH_L</t>
  </si>
  <si>
    <t>LEL_200_AL_L</t>
  </si>
  <si>
    <t>LEL_200_ALL_L</t>
  </si>
  <si>
    <t>LEL_200_M_L</t>
  </si>
  <si>
    <t>LEL_300_AHH_L</t>
  </si>
  <si>
    <t>LEL_300_AH_L</t>
  </si>
  <si>
    <t>LEL_300_AL_L</t>
  </si>
  <si>
    <t>LEL_300_ALL_L</t>
  </si>
  <si>
    <t>LEL_300_M_L</t>
  </si>
  <si>
    <t>LEL_400_AHH_L</t>
  </si>
  <si>
    <t>LEL_400_AH_L</t>
  </si>
  <si>
    <t>LEL_400_AL_L</t>
  </si>
  <si>
    <t>LEL_400_ALL_L</t>
  </si>
  <si>
    <t>LEL_400_M_L</t>
  </si>
  <si>
    <t>LIT_105_AHH_L</t>
  </si>
  <si>
    <t>LIT_105_AH_L</t>
  </si>
  <si>
    <t>LIT_105_AL_L</t>
  </si>
  <si>
    <t>LIT_105_ALL_L</t>
  </si>
  <si>
    <t>LIT_105_M_L</t>
  </si>
  <si>
    <t>LT_171_AHH_L</t>
  </si>
  <si>
    <t>LT_171_AH_L</t>
  </si>
  <si>
    <t>LT_171_AL_L</t>
  </si>
  <si>
    <t>LT_171_ALL_L</t>
  </si>
  <si>
    <t>LT_171_M_L</t>
  </si>
  <si>
    <t>LT_371_AHH_L</t>
  </si>
  <si>
    <t>LT_371_AH_L</t>
  </si>
  <si>
    <t>LT_371_AL_L</t>
  </si>
  <si>
    <t>LT_371_ALL_L</t>
  </si>
  <si>
    <t>LT_371_M_L</t>
  </si>
  <si>
    <t>LT_471_AHH_L</t>
  </si>
  <si>
    <t>LT_471_AH_L</t>
  </si>
  <si>
    <t>LT_471_AL_L</t>
  </si>
  <si>
    <t>LT_471_ALL_L</t>
  </si>
  <si>
    <t>LT_471_M_L</t>
  </si>
  <si>
    <t>P1_SP_AHH_L</t>
  </si>
  <si>
    <t>P1_SP_AH_L</t>
  </si>
  <si>
    <t>P1_SP_AL_L</t>
  </si>
  <si>
    <t>P1_SP_ALL_L</t>
  </si>
  <si>
    <t>P1_SP_M_L</t>
  </si>
  <si>
    <t>P2_SP_AHH_L</t>
  </si>
  <si>
    <t>P2_SP_AH_L</t>
  </si>
  <si>
    <t>P2_SP_AL_L</t>
  </si>
  <si>
    <t>P2_SP_ALL_L</t>
  </si>
  <si>
    <t>P2_SP_M_L</t>
  </si>
  <si>
    <t>P4_SP_AHH_L</t>
  </si>
  <si>
    <t>P4_SP_AH_L</t>
  </si>
  <si>
    <t>P4_SP_AL_L</t>
  </si>
  <si>
    <t>P4_SP_ALL_L</t>
  </si>
  <si>
    <t>P4_SP_M_L</t>
  </si>
  <si>
    <t>PIT_101_AHH_L</t>
  </si>
  <si>
    <t>PIT_101_AH_L</t>
  </si>
  <si>
    <t>PIT_101_AL_L</t>
  </si>
  <si>
    <t>PIT_101_ALL_L</t>
  </si>
  <si>
    <t>PIT_101_M_L</t>
  </si>
  <si>
    <t>PIT_102_AHH_L</t>
  </si>
  <si>
    <t>PIT_102_AH_L</t>
  </si>
  <si>
    <t>PIT_102_AL_L</t>
  </si>
  <si>
    <t>PIT_102_ALL_L</t>
  </si>
  <si>
    <t>PIT_102_M_L</t>
  </si>
  <si>
    <t>PIT_202_AHH_L</t>
  </si>
  <si>
    <t>PIT_202_AH_L</t>
  </si>
  <si>
    <t>PIT_202_AL_L</t>
  </si>
  <si>
    <t>PIT_202_ALL_L</t>
  </si>
  <si>
    <t>PIT_202_M_L</t>
  </si>
  <si>
    <t>PIT_203_AHH_L</t>
  </si>
  <si>
    <t>PIT_203_AH_L</t>
  </si>
  <si>
    <t>PIT_301_ALL_L</t>
  </si>
  <si>
    <t>PIT_301_M_L</t>
  </si>
  <si>
    <t>PIT_302_AHH_L</t>
  </si>
  <si>
    <t>PIT_302_AH_L</t>
  </si>
  <si>
    <t>PIT_302_AL_L</t>
  </si>
  <si>
    <t>PIT_302_ALL_L</t>
  </si>
  <si>
    <t>PIT_302_M_L</t>
  </si>
  <si>
    <t>PIT_307_AHH_L</t>
  </si>
  <si>
    <t>PIT_307_AH_L</t>
  </si>
  <si>
    <t>PIT_307_AL_L</t>
  </si>
  <si>
    <t>PIT_307_ALL_L</t>
  </si>
  <si>
    <t>PIT_307_M_L</t>
  </si>
  <si>
    <t>PIT_400_AHH_L</t>
  </si>
  <si>
    <t>PIT_400_AH_L</t>
  </si>
  <si>
    <t>PIT_400_AL_L</t>
  </si>
  <si>
    <t>PIT_400_ALL_L</t>
  </si>
  <si>
    <t>PIT_400_M_L</t>
  </si>
  <si>
    <t>TIT_100_AHH_L</t>
  </si>
  <si>
    <t>TIT_100_AH_L</t>
  </si>
  <si>
    <t>TIT_100_AL_L</t>
  </si>
  <si>
    <t>TIT_100_ALL_L</t>
  </si>
  <si>
    <t>TIT_100_M_L</t>
  </si>
  <si>
    <t>TIT_200_AHH_L</t>
  </si>
  <si>
    <t>TIT_200_AH_L</t>
  </si>
  <si>
    <t>TIT_200_AL_L</t>
  </si>
  <si>
    <t>TIT_200_ALL_L</t>
  </si>
  <si>
    <t>TIT_200_M_L</t>
  </si>
  <si>
    <t>TIT_303_AHH_L</t>
  </si>
  <si>
    <t>TIT_303_AH_L</t>
  </si>
  <si>
    <t>TIT_303_AL_L</t>
  </si>
  <si>
    <t>TIT_303_ALL_L</t>
  </si>
  <si>
    <t>TIT_303_M_L</t>
  </si>
  <si>
    <t>VT_100_AHH_L</t>
  </si>
  <si>
    <t>VT_100_AH_L</t>
  </si>
  <si>
    <t>VT_100_AL_L</t>
  </si>
  <si>
    <t>VT_100_ALL_L</t>
  </si>
  <si>
    <t>VT_100_M_L</t>
  </si>
  <si>
    <t>VT_200_AHH_L</t>
  </si>
  <si>
    <t>VT_200_AH_L</t>
  </si>
  <si>
    <t>VT_200_AL_L</t>
  </si>
  <si>
    <t>VT_200_ALL_L</t>
  </si>
  <si>
    <t>VT_200_M_L</t>
  </si>
  <si>
    <t>VT_400_AHH_L</t>
  </si>
  <si>
    <t>VT_400_AH_L</t>
  </si>
  <si>
    <t>VT_400_AL_L</t>
  </si>
  <si>
    <t>VT_400_ALL_L</t>
  </si>
  <si>
    <t>VT_400_M_L</t>
  </si>
  <si>
    <t>AC27_L</t>
  </si>
  <si>
    <t>ESD86_100_L</t>
  </si>
  <si>
    <t>ESD86_2_L</t>
  </si>
  <si>
    <t>ESD86_200_L</t>
  </si>
  <si>
    <t>ESD86_400_L</t>
  </si>
  <si>
    <t>GFR_50_51_AL_L</t>
  </si>
  <si>
    <t>LSH_171_L</t>
  </si>
  <si>
    <t>LSHH_100_L</t>
  </si>
  <si>
    <t>LSHH_200_L</t>
  </si>
  <si>
    <t>LSHH_300_L</t>
  </si>
  <si>
    <t>LSHH_305_L</t>
  </si>
  <si>
    <t>LSHH_400_L</t>
  </si>
  <si>
    <t>DI_100_STD_AHH_L</t>
  </si>
  <si>
    <t>DI_100_STD_AH_L</t>
  </si>
  <si>
    <t>DI_100_STD_AL_L</t>
  </si>
  <si>
    <t>DI_100_STD_ALL_L</t>
  </si>
  <si>
    <t>DI_200_STD_AHH_L</t>
  </si>
  <si>
    <t>DI_200_STD_AH_L</t>
  </si>
  <si>
    <t>DI_200_STD_AL_L</t>
  </si>
  <si>
    <t>DI_200_STD_ALL_L</t>
  </si>
  <si>
    <t>DI_303_C3_STD_AHH_L</t>
  </si>
  <si>
    <t>DI_303_C3_STD_AH_L</t>
  </si>
  <si>
    <t>DI_303_C3_STD_AL_L</t>
  </si>
  <si>
    <t>DI_303_C3_STD_ALL_L</t>
  </si>
  <si>
    <t>DI_303_C5_STD_AHH_L</t>
  </si>
  <si>
    <t>DI_303_C5_STD_AH_L</t>
  </si>
  <si>
    <t>DI_303_C5_STD_AL_L</t>
  </si>
  <si>
    <t>DI_303_C5_STD_ALL_L</t>
  </si>
  <si>
    <t>MPR_100_AL_L</t>
  </si>
  <si>
    <t>MPR_100_F_L</t>
  </si>
  <si>
    <t>MPR_200_AL_L</t>
  </si>
  <si>
    <t>MPR_200_F_L</t>
  </si>
  <si>
    <t>MPR_400_AL_L</t>
  </si>
  <si>
    <t>MPR_400_F_L</t>
  </si>
  <si>
    <t>P1_F_L</t>
  </si>
  <si>
    <t>P1_FAIL_L</t>
  </si>
  <si>
    <t>P1_HX_L</t>
  </si>
  <si>
    <t>P2_F_L</t>
  </si>
  <si>
    <t>P2_FAIL_L</t>
  </si>
  <si>
    <t>P2_HX_L</t>
  </si>
  <si>
    <t>P3_FAIL_L</t>
  </si>
  <si>
    <t>P3_HX_L</t>
  </si>
  <si>
    <t>P3_OL_L</t>
  </si>
  <si>
    <t>P4_F_L</t>
  </si>
  <si>
    <t>P4_FAIL_L</t>
  </si>
  <si>
    <t>P4_HX_L</t>
  </si>
  <si>
    <t>ESDV_200_HX_L</t>
  </si>
  <si>
    <t>ESDV_200_F_L</t>
  </si>
  <si>
    <t>ESDV_302_HX_L</t>
  </si>
  <si>
    <t>ESDV_302_F_L</t>
  </si>
  <si>
    <t>POV_100_HX_L</t>
  </si>
  <si>
    <t>POV_100_F_L</t>
  </si>
  <si>
    <t>POV_101_HX_L</t>
  </si>
  <si>
    <t>POV_101_F_L</t>
  </si>
  <si>
    <t>POV_102_HX_L</t>
  </si>
  <si>
    <t>POV_102_F_L</t>
  </si>
  <si>
    <t>POV_200_HX_L</t>
  </si>
  <si>
    <t>POV_200_F_L</t>
  </si>
  <si>
    <t>POV_201_HX_L</t>
  </si>
  <si>
    <t>POV_201_F_L</t>
  </si>
  <si>
    <t>POV_202_HX_L</t>
  </si>
  <si>
    <t>POV_202_F_L</t>
  </si>
  <si>
    <t>POV_300_HX_L</t>
  </si>
  <si>
    <t>POV_300_F_L</t>
  </si>
  <si>
    <t>POV_301_HX_L</t>
  </si>
  <si>
    <t>POV_301_F_L</t>
  </si>
  <si>
    <t>POV_302_HX_L</t>
  </si>
  <si>
    <t>AIT_101_BYPASSED</t>
  </si>
  <si>
    <t>AIT_201_BYPASSED</t>
  </si>
  <si>
    <t>AIT_301_BYPASSED</t>
  </si>
  <si>
    <t>AIT_401_BYPASSED</t>
  </si>
  <si>
    <t>BSW_200_BYPASSED</t>
  </si>
  <si>
    <t>BSW_300_BYPASSED</t>
  </si>
  <si>
    <t>DT_100_BYPASSED</t>
  </si>
  <si>
    <t>DT_200_BYPASSED</t>
  </si>
  <si>
    <t>DT_303_BYPASSED</t>
  </si>
  <si>
    <t>FT_100_BYPASSED</t>
  </si>
  <si>
    <t>FT_200_BYPASSED</t>
  </si>
  <si>
    <t>FT_303_BYPASSED</t>
  </si>
  <si>
    <t>H2S_100_BYPASSED</t>
  </si>
  <si>
    <t>H2S_105_BYPASSED</t>
  </si>
  <si>
    <t>H2S_200_BYPASSED</t>
  </si>
  <si>
    <t>LEL_100_BYPASSED</t>
  </si>
  <si>
    <t>LEL_105_BYPASSED</t>
  </si>
  <si>
    <t>LEL_200_BYPASSED</t>
  </si>
  <si>
    <t>LEL_300_BYPASSED</t>
  </si>
  <si>
    <t>LEL_400_BYPASSED</t>
  </si>
  <si>
    <t>LIT_105_BYPASSED</t>
  </si>
  <si>
    <t>LT_171_BYPASSED</t>
  </si>
  <si>
    <t>LT_371_BYPASSED</t>
  </si>
  <si>
    <t>LT_471_BYPASSED</t>
  </si>
  <si>
    <t>P1_SP_BYPASSED</t>
  </si>
  <si>
    <t>P2_SP_BYPASSED</t>
  </si>
  <si>
    <t>P4_SP_BYPASSED</t>
  </si>
  <si>
    <t>PIT_101_BYPASSED</t>
  </si>
  <si>
    <t>PIT_102_BYPASSED</t>
  </si>
  <si>
    <t>PIT_202_BYPASSED</t>
  </si>
  <si>
    <t>PIT_203_BYPASSED</t>
  </si>
  <si>
    <t>PIT_204_BYPASSED</t>
  </si>
  <si>
    <t>PIT_300_BYPASSED</t>
  </si>
  <si>
    <t>PIT_301_BYPASSED</t>
  </si>
  <si>
    <t>PIT_302_BYPASSED</t>
  </si>
  <si>
    <t>PIT_307_BYPASSED</t>
  </si>
  <si>
    <t>PIT_400_BYPASSED</t>
  </si>
  <si>
    <t>TIT_100_BYPASSED</t>
  </si>
  <si>
    <t>TIT_200_BYPASSED</t>
  </si>
  <si>
    <t>TIT_303_BYPASSED</t>
  </si>
  <si>
    <t>VT_100_BYPASSED</t>
  </si>
  <si>
    <t>VT_200_BYPASSED</t>
  </si>
  <si>
    <t>VT_400_BYPASSED</t>
  </si>
  <si>
    <t>PIT_203_AL_L</t>
  </si>
  <si>
    <t>PIT_203_ALL_L</t>
  </si>
  <si>
    <t>PIT_203_M_L</t>
  </si>
  <si>
    <t>PIT_204_AHH_L</t>
  </si>
  <si>
    <t>PIT_204_AH_L</t>
  </si>
  <si>
    <t>PIT_204_AL_L</t>
  </si>
  <si>
    <t>PIT_204_ALL_L</t>
  </si>
  <si>
    <t>PIT_204_M_L</t>
  </si>
  <si>
    <t>PIT_300_AHH_L</t>
  </si>
  <si>
    <t>PIT_300_AH_L</t>
  </si>
  <si>
    <t>PIT_300_AL_L</t>
  </si>
  <si>
    <t>PIT_300_ALL_L</t>
  </si>
  <si>
    <t>PIT_300_M_L</t>
  </si>
  <si>
    <t>PIT_301_AHH_L</t>
  </si>
  <si>
    <t>PIT_301_AH_L</t>
  </si>
  <si>
    <t>PIT_301_AL_L</t>
  </si>
  <si>
    <t>STN_ESD_FR_ECC_L</t>
  </si>
  <si>
    <t>STN_STOP_FR_ECC</t>
  </si>
  <si>
    <t>STN_LOCKOUT</t>
  </si>
  <si>
    <t>STN_PERMISSIVE</t>
  </si>
  <si>
    <t>STN_IN_LOCAL</t>
  </si>
  <si>
    <t>PLC_BATT_L</t>
  </si>
  <si>
    <t>PRODUCER_COMM_F_L</t>
  </si>
  <si>
    <t>STN_COMMF_W_ECC</t>
  </si>
  <si>
    <t>FQI_100_COMM_F_L</t>
  </si>
  <si>
    <t>FQI_200_COMM_F_L</t>
  </si>
  <si>
    <t>FQI_303_C3_COMM_F_L</t>
  </si>
  <si>
    <t>FQI_303_C5_COMM_F_L</t>
  </si>
  <si>
    <t>BSW_200_COMM_F_L</t>
  </si>
  <si>
    <t>BSW_300_COMM_F_L</t>
  </si>
  <si>
    <t>/program/FBDSource/networkFBD/FFBBlock/descriptionFFB/inputVariable/@formalParameter</t>
  </si>
  <si>
    <t>EN</t>
  </si>
  <si>
    <t>BIT0</t>
  </si>
  <si>
    <t>BIT1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</si>
  <si>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</si>
  <si>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</si>
  <si>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</si>
  <si>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</si>
  <si>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</si>
  <si>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</si>
  <si>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</si>
  <si>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</si>
  <si>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</si>
  <si>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</si>
  <si>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</si>
  <si>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</si>
  <si>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</si>
  <si>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</si>
  <si>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AlarmEnable001=1</t>
  </si>
  <si>
    <t>wMessageLen001-000=46</t>
  </si>
  <si>
    <t xml:space="preserve">S t a t i o n   E S D   f r o m   S C A D A   </t>
  </si>
  <si>
    <t>AlarmColor001=255</t>
  </si>
  <si>
    <t>AlarmOn001=1</t>
  </si>
  <si>
    <t>AlarmScreenID001=0</t>
  </si>
  <si>
    <t>AlarmLEDEnable001=1</t>
  </si>
  <si>
    <t>AlarmMailAttachScreen0001=0</t>
  </si>
  <si>
    <t>wMailToLen0001=2</t>
  </si>
  <si>
    <t xml:space="preserve">  </t>
  </si>
  <si>
    <t>wMailCopyToLen0001=2</t>
  </si>
  <si>
    <t>wMailBlindCopyToLen0001=2</t>
  </si>
  <si>
    <t>wMailContentLen0001-000=2</t>
  </si>
  <si>
    <t>[Alarm]</t>
  </si>
  <si>
    <t>ReadAlarmLink=1</t>
  </si>
  <si>
    <t>SampleCycle=2.000000</t>
  </si>
  <si>
    <t>RecordNumber=40</t>
  </si>
  <si>
    <t>Hold=0</t>
  </si>
  <si>
    <t>AlmHoldPlace=0</t>
  </si>
  <si>
    <t>AlarmTurnOffScrnSaver=1</t>
  </si>
  <si>
    <t>wFont001=Arial</t>
  </si>
  <si>
    <t>wFontRatio001=100</t>
  </si>
  <si>
    <t>wMessageSize001=12</t>
  </si>
  <si>
    <t>EanbleMovingSign=1</t>
  </si>
  <si>
    <t>Position=0</t>
  </si>
  <si>
    <t>Direction=0</t>
  </si>
  <si>
    <t>MoveCount=1</t>
  </si>
  <si>
    <t>MoveTime=100</t>
  </si>
  <si>
    <t>BackgroundColor=16777215</t>
  </si>
  <si>
    <t>AlarmCount=2048</t>
  </si>
  <si>
    <t>ReadAlarmVar=HMI_ALARM_WORD</t>
  </si>
  <si>
    <t>Alarm Message</t>
  </si>
  <si>
    <t>Station ESD from SCADA</t>
  </si>
  <si>
    <t>id</t>
  </si>
  <si>
    <t>/dataBlock/variables/@name</t>
  </si>
  <si>
    <t>/dataBlock/variables/@topologicalAddress</t>
  </si>
  <si>
    <t>/dataBlock/variables/@typeName</t>
  </si>
  <si>
    <t>/dataBlock/variables/attribute/@name</t>
  </si>
  <si>
    <t>/dataBlock/variables/attribute/@value</t>
  </si>
  <si>
    <t>/dataBlock/variables/attribute/@value/#agg</t>
  </si>
  <si>
    <t>/dataBlock/variables/comment</t>
  </si>
  <si>
    <t>EBOOL</t>
  </si>
  <si>
    <t>P-1 Vibration Alarm Lo Condition</t>
  </si>
  <si>
    <t>DQ-303 Corrected Density C3/C5 Alarm Hi Latched</t>
  </si>
  <si>
    <t>TIT-303 MSO Meter Rum Temp Alarm Hi Latched</t>
  </si>
  <si>
    <t>P1 mode hand alarm latched</t>
  </si>
  <si>
    <t>P4 MOTOR PROTECTION RELAY THERMAL ALARM Latched</t>
  </si>
  <si>
    <t>Sump Tank LEL Alarm LoLo Latched</t>
  </si>
  <si>
    <t>BSW-200 MSO Stytem Water Cut Meter Alarm Hi Latched</t>
  </si>
  <si>
    <t>P-4 Seal Pot Pressure Bypassed</t>
  </si>
  <si>
    <t>P-2 Discharge Pressure Alarm Lo Condition</t>
  </si>
  <si>
    <t>DQ-200 Corrected Density MSO Meter 200 Alarm HiHi Latched</t>
  </si>
  <si>
    <t>DI-200 Standard density alarm High High latched</t>
  </si>
  <si>
    <t>BSW-300 MSO Stytem Water Cut Meter Alarm LoLo Latched</t>
  </si>
  <si>
    <t>FQ-100 Corrected Net Volume MSO Meter 100 Bypassed</t>
  </si>
  <si>
    <t>Sump Tank LEL Alarm HiHi Latched</t>
  </si>
  <si>
    <t>P-2 VFD Speed Bypassed</t>
  </si>
  <si>
    <t>P1 MOTOR PROTECTION RELAY FAULT Latched</t>
  </si>
  <si>
    <t>Sump Tank LevelAlarm Hi Latched</t>
  </si>
  <si>
    <t>DI-100 Standard density alarm Low Low latched</t>
  </si>
  <si>
    <t>P-2 FIRE Alarm Lo Condition</t>
  </si>
  <si>
    <t>MSO Procucer Tank Level Alarm LoLo Latched</t>
  </si>
  <si>
    <t>P-3 FIRE Bypassed</t>
  </si>
  <si>
    <t>Pump 4 seal leak detection level alarm latched</t>
  </si>
  <si>
    <t>P-2 Discharge Pressure Bypassed</t>
  </si>
  <si>
    <t>BSW-200 MSO Stytem Water Cut Meter Alarm HiHi Latched</t>
  </si>
  <si>
    <t>BOOL</t>
  </si>
  <si>
    <t>POV-201 Fault Latch</t>
  </si>
  <si>
    <t>C3+ Procucer Tank Level Alarm Lo Condition</t>
  </si>
  <si>
    <t>TIT-200 MSO Meter Rum Temp Alarm Hi Latched</t>
  </si>
  <si>
    <t>FQI-100 Comm Fail Alarm Latched</t>
  </si>
  <si>
    <t>P4 mode hand alarm latched</t>
  </si>
  <si>
    <t>TIT-200 MSO Meter Rum Temp Bypassed</t>
  </si>
  <si>
    <t>P-1 VFD Speed Bypassed</t>
  </si>
  <si>
    <t>TIT-200 MSO Meter Rum Temp Alarm LoLo Latched</t>
  </si>
  <si>
    <t>MSO Meter Rum Temp Alarm Hi Latched</t>
  </si>
  <si>
    <t>PLC Fault (0=BAD, 1=OK)</t>
  </si>
  <si>
    <t>BSW-200 MSO Stytem Water Cut Meter Alarm LoLo Latched</t>
  </si>
  <si>
    <t>MSO Procucer Tank Level Alarm Lo Condition</t>
  </si>
  <si>
    <t>P-1 Discharge Pressure Bypassed</t>
  </si>
  <si>
    <t>C5+ Procucer Tank Level Alarm Hi Latched</t>
  </si>
  <si>
    <t>P-3 Seal Pot Pressure Alarm Lo Condition</t>
  </si>
  <si>
    <t>FQ-200 Corrected Net Volume MSO Meter 200 Alarm HiHi Latched</t>
  </si>
  <si>
    <t>Station sump level bypassed</t>
  </si>
  <si>
    <t>Sump Tank LEL Alarm Lo Condition</t>
  </si>
  <si>
    <t>FQ-200 Corrected Net Volume MSO Meter 200 Alarm Lo Condition</t>
  </si>
  <si>
    <t>C5+ Procucer Tank Level Alarm Malfunction Latched</t>
  </si>
  <si>
    <t>P-3 Seal Leak LEL Alarm Lo Condition</t>
  </si>
  <si>
    <t>P-1 FIRE Alarm Hi Latched</t>
  </si>
  <si>
    <t>Station in Local</t>
  </si>
  <si>
    <t>P4 MOTOR PROTECTION RELAY FAULT Latched</t>
  </si>
  <si>
    <t>TIT-303 MSO Meter Rum Temp Alarm HiHi Latched</t>
  </si>
  <si>
    <t>P-3 Seal Leak LEL Alarm HiHi Latched</t>
  </si>
  <si>
    <t>TIT-200 MSO Meter Rum Temp Alarm HiHi Latched</t>
  </si>
  <si>
    <t>P-2 H2S Monitor Alarm Hi Latched</t>
  </si>
  <si>
    <t>FQ-303 Corrected Net Volume C3/C5 Alarm Malfunction Latched</t>
  </si>
  <si>
    <t>P-4 FIRE Alarm Malfunction Latched</t>
  </si>
  <si>
    <t>BSW-200 Comms Fail Alarm Latched</t>
  </si>
  <si>
    <t>P2 VFD fault Latched</t>
  </si>
  <si>
    <t>P-4 FIRE Bypassed</t>
  </si>
  <si>
    <t>Pump 1 ESD push button alarm latched</t>
  </si>
  <si>
    <t>P3 Overload alarm latched</t>
  </si>
  <si>
    <t>P2 Fail alarm latched</t>
  </si>
  <si>
    <t>MSO Discharge Pressure Alarm HiHi Latched</t>
  </si>
  <si>
    <t>P-1 Vibration Alarm Malfunction Latched</t>
  </si>
  <si>
    <t>P-1 LEL Alarm Lo Condition</t>
  </si>
  <si>
    <t>BSW-300 MSO Stytem Water Cut Meter Alarm Malfunction Latched</t>
  </si>
  <si>
    <t>P-1 FIRE Alarm Malfunction Latched</t>
  </si>
  <si>
    <t>TIT-303 MSO Meter Rum Temp Bypassed</t>
  </si>
  <si>
    <t>P-2 FIRE Alarm HiHi Latched</t>
  </si>
  <si>
    <t>POV-202 IN REMOTE (HAND) alarm latched</t>
  </si>
  <si>
    <t>AC fail from MCC alarm latched</t>
  </si>
  <si>
    <t>FQ-303 Corrected Net Volume C3/C5 Bypassed</t>
  </si>
  <si>
    <t>POV-200 Fault Latch</t>
  </si>
  <si>
    <t>Flare liquid trap level High High level alarm latched</t>
  </si>
  <si>
    <t>P-1 Vibration Bypassed</t>
  </si>
  <si>
    <t>MSO Discharge Pressure Alarm Lo Condition</t>
  </si>
  <si>
    <t>P-1 LEL Alarm Malfunction Latched</t>
  </si>
  <si>
    <t>P-4 Seal Pot Pressure Alarm LoLo Latched</t>
  </si>
  <si>
    <t>P-4 Seal Pot Pressure Alarm Lo Condition</t>
  </si>
  <si>
    <t>P-3 FIRE Alarm Hi Latched</t>
  </si>
  <si>
    <t>P-2 VFD Speed Alarm Lo Condition</t>
  </si>
  <si>
    <t>BSW-300 MSO Stytem Water Cut Meter Bypassed</t>
  </si>
  <si>
    <t>P-2 Discharge Pressure Alarm Hi Latched</t>
  </si>
  <si>
    <t>P-3 Seal Pot Pressure Alarm Malfunction Latched</t>
  </si>
  <si>
    <t>P-2 LEL Alarm LoLo Latched</t>
  </si>
  <si>
    <t>FQ-100 Corrected Net Volume MSO Meter 100 Alarm Hi Latched</t>
  </si>
  <si>
    <t>MSO Meter Rum Temp Alarm HiHi Latched</t>
  </si>
  <si>
    <t>TIT-200 MSO Meter Rum Temp Alarm Malfunction Latched</t>
  </si>
  <si>
    <t>DI-100 Standard density alarm High High latched</t>
  </si>
  <si>
    <t>DI-200 Standard density alarm Low latched</t>
  </si>
  <si>
    <t>DQ-100 Corrected Density MSO Meter 100 Bypassed</t>
  </si>
  <si>
    <t>DQ-200 Corrected Density MSO Meter 200 Alarm Malfunction Latched</t>
  </si>
  <si>
    <t>P-4 Seal Pot Pressure Alarm Malfunction Latched</t>
  </si>
  <si>
    <t>C3+ Procucer Tank Level Alarm Malfunction Latched</t>
  </si>
  <si>
    <t>P-3 Seal Pot Pressure Alarm LoLo Latched</t>
  </si>
  <si>
    <t>Sump Tank LevelAlarm Malfunction Latched</t>
  </si>
  <si>
    <t>P2 MOTOR PROTECTION RELAY FAULT Latched</t>
  </si>
  <si>
    <t>DQ-100 Corrected Density MSO Meter 100 Alarm LoLo Latched</t>
  </si>
  <si>
    <t>50 / 51 ground fault alarm latched</t>
  </si>
  <si>
    <t>DQ-200 Corrected Density MSO Meter 200 Alarm Hi Latched</t>
  </si>
  <si>
    <t>Sump Tank LevelAlarm HiHi Latched</t>
  </si>
  <si>
    <t>P-1 LEL Bypassed</t>
  </si>
  <si>
    <t>P-4 FIRE Alarm Hi Latched</t>
  </si>
  <si>
    <t>P-1 Vibration Alarm Hi Latched</t>
  </si>
  <si>
    <t>P1 Fail alarm latched</t>
  </si>
  <si>
    <t>Pump 1 seal leak detection level alarm latched</t>
  </si>
  <si>
    <t>BSW-300 MSO Stytem Water Cut Meter Alarm Lo Condition</t>
  </si>
  <si>
    <t>C3+ Procucer Tank Level Alarm HiHi Latched</t>
  </si>
  <si>
    <t>C5+ Procucer Tank Level Alarm HiHi Latched</t>
  </si>
  <si>
    <t>Sump Tank LevelAlarm Lo Condition</t>
  </si>
  <si>
    <t>Pump 4 ESD push button alarm latched</t>
  </si>
  <si>
    <t>P-4 Seal Leak LEL Alarm Malfunction Latched</t>
  </si>
  <si>
    <t>POV-101 in auto alarm latched</t>
  </si>
  <si>
    <t>POV-302 IN REMOTE (HAND) alarm latched</t>
  </si>
  <si>
    <t>FQI-200 Comm Fail Alarm Latched</t>
  </si>
  <si>
    <t>P-1 Discharge Pressure Alarm Lo Condition</t>
  </si>
  <si>
    <t>P1 VFD fault Latched</t>
  </si>
  <si>
    <t>Sump Tank H2S Monitor Alarm Hi Latched</t>
  </si>
  <si>
    <t>P-4 FIRE Alarm LoLo Latched</t>
  </si>
  <si>
    <t>C3+ Procucer Tank Level Alarm Hi Latched</t>
  </si>
  <si>
    <t>PLC IO Fail</t>
  </si>
  <si>
    <t>P3 mode hand alarm latched</t>
  </si>
  <si>
    <t>DQ-303 Corrected Density C3/C5 Alarm HiHi Latched</t>
  </si>
  <si>
    <t>P-2 H2S Monitor Alarm LoLo Latched</t>
  </si>
  <si>
    <t>Sump Tank LevelAlarm LoLo Latched</t>
  </si>
  <si>
    <t>P-3 Seal Pot Pressure Alarm Hi Latched</t>
  </si>
  <si>
    <t>P-2 Discharge Pressure Alarm HiHi Latched</t>
  </si>
  <si>
    <t>Pump 2 ESD push button alarm latched</t>
  </si>
  <si>
    <t>BSW-300 Comms Fail Alarm Latched</t>
  </si>
  <si>
    <t>P-4 Seal Leak LEL Alarm Hi Latched</t>
  </si>
  <si>
    <t>P-2 H2S Monitor Alarm Lo Condition</t>
  </si>
  <si>
    <t>BSW-300 MSO Stytem Water Cut Meter Alarm HiHi Latched</t>
  </si>
  <si>
    <t>FQ-200 Corrected Net Volume MSO Meter 200 Alarm Hi Latched</t>
  </si>
  <si>
    <t>P2 MOTOR PROTECTION RELAY THERMAL ALARM Latched</t>
  </si>
  <si>
    <t>P-2 H2S Monitor Alarm HiHi Latched</t>
  </si>
  <si>
    <t>P-1 Vibration Alarm LoLo Latched</t>
  </si>
  <si>
    <t>BSW-200 MSO Stytem Water Cut Meter Bypassed</t>
  </si>
  <si>
    <t>P-2 Discharge Pressure Alarm LoLo Latched</t>
  </si>
  <si>
    <t>P-1 FIRE Alarm HiHi Latched</t>
  </si>
  <si>
    <t>P-1 VFD Speed Alarm LoLo Latched</t>
  </si>
  <si>
    <t>P-1 FIRE Alarm Lo Condition</t>
  </si>
  <si>
    <t>Sump Tank LEL Alarm Malfunction Latched</t>
  </si>
  <si>
    <t>P-1 Vibration Alarm HiHi Latched</t>
  </si>
  <si>
    <t>MSO Meter Rum Temp Alarm LoLo Latched</t>
  </si>
  <si>
    <t>ESDV-302 IN REMOTE (HAND) alarm latched</t>
  </si>
  <si>
    <t>FQ-100 Corrected Net Volume MSO Meter 100 Alarm HiHi Latched</t>
  </si>
  <si>
    <t>P-1 VFD Speed Alarm HiHi Latched</t>
  </si>
  <si>
    <t>C3+ Procucer Tank Level Alarm LoLo Latched</t>
  </si>
  <si>
    <t>Pump 3 seal leak detection level alarm latched</t>
  </si>
  <si>
    <t>P-1 Discharge Pressure Alarm Malfunction Latched</t>
  </si>
  <si>
    <t>POV-101 Fault Latch</t>
  </si>
  <si>
    <t>Station tank level bypassed</t>
  </si>
  <si>
    <t>P-1 FIRE Alarm LoLo Latched</t>
  </si>
  <si>
    <t>P-2 FIRE Bypassed</t>
  </si>
  <si>
    <t>P-1 H2S Monitor Alarm Hi Latched</t>
  </si>
  <si>
    <t>P3 Fail alarm latched</t>
  </si>
  <si>
    <t>MSO Discharge Pressure Alarm Hi Latched</t>
  </si>
  <si>
    <t>MSO Discharge Pressure Alarm Malfunction Latched</t>
  </si>
  <si>
    <t>MSO Procucer Tank Level Bypassed</t>
  </si>
  <si>
    <t>P-1 Discharge Pressure Alarm LoLo Latched</t>
  </si>
  <si>
    <t>P-1 FIRE Bypassed</t>
  </si>
  <si>
    <t>P4 Fail alarm latched</t>
  </si>
  <si>
    <t>P-2 LEL Alarm Malfunction Latched</t>
  </si>
  <si>
    <t>POV-100 IN REMOTE (HAND) alarm latched</t>
  </si>
  <si>
    <t>POV-300 Fault Latch</t>
  </si>
  <si>
    <t>MSO Procucer Tank Level Alarm HiHi Latched</t>
  </si>
  <si>
    <t>P-4 Seal Pot Pressure Alarm Hi Latched</t>
  </si>
  <si>
    <t>DQ-303 Corrected Density C3/C5 Bypassed</t>
  </si>
  <si>
    <t>P-3 Seal Pot Pressure Bypassed</t>
  </si>
  <si>
    <t>P-2 VFD Speed Alarm Hi Latched</t>
  </si>
  <si>
    <t>P-3 FIRE Alarm Lo Condition</t>
  </si>
  <si>
    <t>P-1 H2S Monitor Alarm HiHi Latched</t>
  </si>
  <si>
    <t>FQ-100 Corrected Net Volume MSO Meter 100 Alarm Malfunction Latched</t>
  </si>
  <si>
    <t>FQ-100 Corrected Net Volume MSO Meter 100 Alarm LoLo Latched</t>
  </si>
  <si>
    <t>P-3 Seal Leak LEL Alarm LoLo Latched</t>
  </si>
  <si>
    <t>P-2 FIRE Alarm LoLo Latched</t>
  </si>
  <si>
    <t>FQ-200 Corrected Net Volume MSO Meter 200 Alarm LoLo Latched</t>
  </si>
  <si>
    <t>P-4 FIRE Alarm Lo Condition</t>
  </si>
  <si>
    <t>P-4 Seal Leak LEL Alarm LoLo Latched</t>
  </si>
  <si>
    <t>P-1 VFD Speed Alarm Lo Condition</t>
  </si>
  <si>
    <t>DQ-100 Corrected Density MSO Meter 100 Alarm Lo Condition</t>
  </si>
  <si>
    <t>FQ-200 Corrected Net Volume MSO Meter 200 Bypassed</t>
  </si>
  <si>
    <t>P-2 LEL Bypassed</t>
  </si>
  <si>
    <t>C3+ Procucer Tank Level Bypassed</t>
  </si>
  <si>
    <t>TIT-303 MSO Meter Rum Temp Alarm LoLo Latched</t>
  </si>
  <si>
    <t>P-4 FIRE Alarm HiHi Latched</t>
  </si>
  <si>
    <t>P-1 Discharge Pressure Alarm Hi Latched</t>
  </si>
  <si>
    <t>P-3 Seal Pot Pressure Alarm HiHi Latched</t>
  </si>
  <si>
    <t>PRODUCER COMM FAIL Alarm Latched</t>
  </si>
  <si>
    <t>P-2 VFD Speed Alarm Malfunction Latched</t>
  </si>
  <si>
    <t>BSW-300 MSO Stytem Water Cut Meter Alarm Hi Latched</t>
  </si>
  <si>
    <t>P1 MOTOR PROTECTION RELAY THERMAL ALARM Latched</t>
  </si>
  <si>
    <t>P-1 VFD Speed Alarm Malfunction Latched</t>
  </si>
  <si>
    <t>P-4 Seal Leak LEL Alarm HiHi Latched</t>
  </si>
  <si>
    <t>P-3 Seal Leak LEL Alarm Malfunction Latched</t>
  </si>
  <si>
    <t>P-2 LEL Alarm Hi Latched</t>
  </si>
  <si>
    <t>DQ-303 Corrected Density C3/C5 Alarm Lo Condition</t>
  </si>
  <si>
    <t>MSO Procucer Tank Level Alarm Malfunction Latched</t>
  </si>
  <si>
    <t>P-4 Seal Leak LEL Alarm Lo Condition</t>
  </si>
  <si>
    <t>POV-102 Fault Latch</t>
  </si>
  <si>
    <t>P-1 LEL Alarm HiHi Latched</t>
  </si>
  <si>
    <t>P-2 VFD Speed Alarm LoLo Latched</t>
  </si>
  <si>
    <t>Station BS&amp;W 200 bypassed</t>
  </si>
  <si>
    <t>P-2 H2S Monitor Alarm Malfunction Latched</t>
  </si>
  <si>
    <t>Sump Tank H2S Monitor Alarm Lo Condition</t>
  </si>
  <si>
    <t>Sump Tank LEL Bypassed</t>
  </si>
  <si>
    <t>TIT-303 MSO Meter Rum Temp Alarm Lo Condition</t>
  </si>
  <si>
    <t>POV-300 in auto conditioned</t>
  </si>
  <si>
    <t>POV-301 Fault Latch</t>
  </si>
  <si>
    <t>Sump Tank LevelBypassed</t>
  </si>
  <si>
    <t>FQ-303 Corrected Net Volume C3/C5 Alarm HiHi Latched</t>
  </si>
  <si>
    <t>P-2 FIRE Alarm Hi Latched</t>
  </si>
  <si>
    <t>DQ-100 Corrected Density MSO Meter 100 Alarm Malfunction Latched</t>
  </si>
  <si>
    <t>Pump 2 seal leak detection level alarm latched</t>
  </si>
  <si>
    <t>P-2 VFD Speed Alarm HiHi Latched</t>
  </si>
  <si>
    <t>MSO Meter Rum Temp Alarm Malfunction Latched</t>
  </si>
  <si>
    <t>ESDV-200 Fault Latch</t>
  </si>
  <si>
    <t>P-1 LEL Alarm LoLo Latched</t>
  </si>
  <si>
    <t>FQ-200 Corrected Net Volume MSO Meter 200 Alarm Malfunction Latched</t>
  </si>
  <si>
    <t>TIT-200 MSO Meter Rum Temp Alarm Lo Condition</t>
  </si>
  <si>
    <t>P-4 Seal Pot Pressure Alarm HiHi Latched</t>
  </si>
  <si>
    <t>P-3 FIRE Alarm HiHi Latched</t>
  </si>
  <si>
    <t>P-3 Seal Leak LEL Bypassed</t>
  </si>
  <si>
    <t>MSO Meter Rum Temp Alarm Lo Condition</t>
  </si>
  <si>
    <t>MSO Procucer Tank Level Alarm Hi Latched</t>
  </si>
  <si>
    <t>POV-201 MAINTENANCE MODE (HAND) Alarm Latched</t>
  </si>
  <si>
    <t>P-1 H2S Monitor Alarm Lo Condition</t>
  </si>
  <si>
    <t>BSW-200 MSO Stytem Water Cut Meter Alarm Lo Condition</t>
  </si>
  <si>
    <t>TIT-303 MSO Meter Rum Temp Alarm Malfunction Latched</t>
  </si>
  <si>
    <t>PLC battery low alarm latched</t>
  </si>
  <si>
    <t>P-4 Seal Leak LEL Bypassed</t>
  </si>
  <si>
    <t>POV-301 IN REMOTE (HAND) alarm latched</t>
  </si>
  <si>
    <t>P-1 H2S Monitor Alarm Malfunction Latched</t>
  </si>
  <si>
    <t>DQ-100 Corrected Density MSO Meter 100 Alarm HiHi Latched</t>
  </si>
  <si>
    <t>DI-100 Standard density alarm Low latched</t>
  </si>
  <si>
    <t>P-3 FIRE Alarm LoLo Latched</t>
  </si>
  <si>
    <t>C5+ Procucer Tank Level Alarm Lo Condition</t>
  </si>
  <si>
    <t>BSW-200 MSO Stytem Water Cut Meter Alarm Malfunction Latched</t>
  </si>
  <si>
    <t>P-2 LEL Alarm HiHi Latched</t>
  </si>
  <si>
    <t>DQ-303 Corrected Density C3/C5 Alarm Malfunction Latched</t>
  </si>
  <si>
    <t>P-3 Seal Leak LEL Alarm Hi Latched</t>
  </si>
  <si>
    <t>Sump Tank H2S Monitor Bypassed</t>
  </si>
  <si>
    <t>P-1 H2S Monitor Bypassed</t>
  </si>
  <si>
    <t>Sump Tank H2S Monitor Alarm Malfunction Latched</t>
  </si>
  <si>
    <t>POV-100 Fault Latch</t>
  </si>
  <si>
    <t>Sump Tank LEL Alarm Hi Latched</t>
  </si>
  <si>
    <t>C5+ Procucer Tank Level Bypassed</t>
  </si>
  <si>
    <t>FQI-303 C3+ COMMS Alarm Latched</t>
  </si>
  <si>
    <t>MSO Discharge Pressure Alarm LoLo Latched</t>
  </si>
  <si>
    <t>POV-200 not in auto Alarm Latched</t>
  </si>
  <si>
    <t>P-2 Discharge Pressure Alarm Malfunction Latched</t>
  </si>
  <si>
    <t>P-2 FIRE Alarm Malfunction Latched</t>
  </si>
  <si>
    <t>DQ-200 Corrected Density MSO Meter 200 Bypassed</t>
  </si>
  <si>
    <t>P-1 Discharge Pressure Alarm HiHi Latched</t>
  </si>
  <si>
    <t>POV-102 in auto alarm latched</t>
  </si>
  <si>
    <t>ESDV-200 IN REMOTE (HAND) alarm latched</t>
  </si>
  <si>
    <t>POV-202 Fault Latch</t>
  </si>
  <si>
    <t>Station low discharge bypassed</t>
  </si>
  <si>
    <t>FQI-303 Comms Fault Alarm Latch</t>
  </si>
  <si>
    <t>P-1 LEL Alarm Hi Latched</t>
  </si>
  <si>
    <t>Station BS&amp;W 300 bypassed</t>
  </si>
  <si>
    <t>DI-200 Standard density alarm Low Low latched</t>
  </si>
  <si>
    <t>Sump Tank H2S Monitor Alarm HiHi Latched</t>
  </si>
  <si>
    <t>DQ-303 Corrected Density C3/C5 Alarm LoLo Latched</t>
  </si>
  <si>
    <t>P4 VFD fault Latched</t>
  </si>
  <si>
    <t>P-3 FIRE Alarm Malfunction Latched</t>
  </si>
  <si>
    <t>P-1 VFD Speed Alarm Hi Latched</t>
  </si>
  <si>
    <t>HMI_ALARM_WORD</t>
  </si>
  <si>
    <t>%MW6000</t>
  </si>
  <si>
    <t>ARRAY[0..30] OF WORD</t>
  </si>
  <si>
    <t>TimeStampSource</t>
  </si>
  <si>
    <t>DQ-100 Corrected Density MSO Meter 100 Alarm Hi Latched</t>
  </si>
  <si>
    <t>P2 mode hand alarm latched</t>
  </si>
  <si>
    <t>Station Lockout Global Shutdown</t>
  </si>
  <si>
    <t>P-2 H2S Monitor Bypassed</t>
  </si>
  <si>
    <t>FQ-100 Corrected Net Volume MSO Meter 100 Alarm Lo Condition</t>
  </si>
  <si>
    <t>ESDV-302 Fault Latch</t>
  </si>
  <si>
    <t>MCC Building esd push button alarm altched</t>
  </si>
  <si>
    <t>DQ-200 Corrected Density MSO Meter 200 Alarm LoLo Latched</t>
  </si>
  <si>
    <t>Sump Tank H2S Monitor Alarm LoLo Latched</t>
  </si>
  <si>
    <t>MSO Meter Rum Temp Bypassed</t>
  </si>
  <si>
    <t>P-2 LEL Alarm Lo Condition</t>
  </si>
  <si>
    <t>High level sampler cabinet alarm latched</t>
  </si>
  <si>
    <t>P-1 H2S Monitor Alarm LoLo Latched</t>
  </si>
  <si>
    <t>C5+ Procucer Tank Level Alarm LoLo Latched</t>
  </si>
  <si>
    <t>DQ-200 Corrected Density MSO Meter 200 Alarm Lo Condition</t>
  </si>
  <si>
    <t>MSO Discharge Pressure Bypassed</t>
  </si>
  <si>
    <t>AlarmEnable002=1</t>
  </si>
  <si>
    <t>AlarmEnable003=1</t>
  </si>
  <si>
    <t>AlarmEnable004=1</t>
  </si>
  <si>
    <t>AlarmEnable005=1</t>
  </si>
  <si>
    <t>AlarmEnable006=1</t>
  </si>
  <si>
    <t>AlarmEnable007=1</t>
  </si>
  <si>
    <t>AlarmEnable008=1</t>
  </si>
  <si>
    <t>AlarmEnable009=1</t>
  </si>
  <si>
    <t>AlarmEnable0100=1</t>
  </si>
  <si>
    <t>AlarmEnable0101=1</t>
  </si>
  <si>
    <t>AlarmEnable0102=1</t>
  </si>
  <si>
    <t>AlarmEnable0103=1</t>
  </si>
  <si>
    <t>AlarmEnable0104=1</t>
  </si>
  <si>
    <t>AlarmEnable0105=1</t>
  </si>
  <si>
    <t>AlarmEnable0106=1</t>
  </si>
  <si>
    <t>AlarmEnable0107=1</t>
  </si>
  <si>
    <t>AlarmEnable0108=1</t>
  </si>
  <si>
    <t>AlarmEnable0109=1</t>
  </si>
  <si>
    <t>AlarmEnable0110=1</t>
  </si>
  <si>
    <t>AlarmEnable0111=1</t>
  </si>
  <si>
    <t>AlarmEnable0112=1</t>
  </si>
  <si>
    <t>AlarmEnable0113=1</t>
  </si>
  <si>
    <t>AlarmEnable0114=1</t>
  </si>
  <si>
    <t>AlarmEnable0115=1</t>
  </si>
  <si>
    <t>AlarmEnable0116=1</t>
  </si>
  <si>
    <t>AlarmEnable0117=1</t>
  </si>
  <si>
    <t>AlarmEnable0118=1</t>
  </si>
  <si>
    <t>AlarmEnable0119=1</t>
  </si>
  <si>
    <t>AlarmEnable0120=1</t>
  </si>
  <si>
    <t>AlarmEnable0121=1</t>
  </si>
  <si>
    <t>AlarmEnable0122=1</t>
  </si>
  <si>
    <t>AlarmEnable0123=1</t>
  </si>
  <si>
    <t>AlarmEnable0124=1</t>
  </si>
  <si>
    <t>AlarmEnable0125=1</t>
  </si>
  <si>
    <t>AlarmEnable0126=1</t>
  </si>
  <si>
    <t>AlarmEnable0127=1</t>
  </si>
  <si>
    <t>AlarmEnable0128=1</t>
  </si>
  <si>
    <t>AlarmEnable0129=1</t>
  </si>
  <si>
    <t>AlarmEnable0130=1</t>
  </si>
  <si>
    <t>AlarmEnable0131=1</t>
  </si>
  <si>
    <t>AlarmEnable0132=1</t>
  </si>
  <si>
    <t>AlarmEnable0133=1</t>
  </si>
  <si>
    <t>AlarmEnable0134=1</t>
  </si>
  <si>
    <t>AlarmEnable0135=1</t>
  </si>
  <si>
    <t>AlarmEnable0136=1</t>
  </si>
  <si>
    <t>AlarmEnable0137=1</t>
  </si>
  <si>
    <t>AlarmEnable0138=1</t>
  </si>
  <si>
    <t>AlarmEnable0139=1</t>
  </si>
  <si>
    <t>AlarmEnable0140=1</t>
  </si>
  <si>
    <t>AlarmEnable0141=1</t>
  </si>
  <si>
    <t>AlarmEnable0142=1</t>
  </si>
  <si>
    <t>AlarmEnable0143=1</t>
  </si>
  <si>
    <t>AlarmEnable0144=1</t>
  </si>
  <si>
    <t>AlarmEnable0145=1</t>
  </si>
  <si>
    <t>AlarmEnable0146=1</t>
  </si>
  <si>
    <t>AlarmEnable0147=1</t>
  </si>
  <si>
    <t>AlarmEnable0148=1</t>
  </si>
  <si>
    <t>AlarmEnable0149=1</t>
  </si>
  <si>
    <t>AlarmEnable0150=1</t>
  </si>
  <si>
    <t>AlarmEnable0151=1</t>
  </si>
  <si>
    <t>AlarmEnable0152=1</t>
  </si>
  <si>
    <t>AlarmEnable0153=1</t>
  </si>
  <si>
    <t>AlarmEnable0154=1</t>
  </si>
  <si>
    <t>AlarmEnable0155=1</t>
  </si>
  <si>
    <t>AlarmEnable0156=1</t>
  </si>
  <si>
    <t>AlarmEnable0157=1</t>
  </si>
  <si>
    <t>AlarmEnable0158=1</t>
  </si>
  <si>
    <t>AlarmEnable0159=1</t>
  </si>
  <si>
    <t>AlarmEnable0160=1</t>
  </si>
  <si>
    <t>AlarmEnable0161=1</t>
  </si>
  <si>
    <t>AlarmEnable0162=1</t>
  </si>
  <si>
    <t>AlarmEnable0163=1</t>
  </si>
  <si>
    <t>AlarmEnable0164=1</t>
  </si>
  <si>
    <t>AlarmEnable0165=1</t>
  </si>
  <si>
    <t>AlarmEnable0166=1</t>
  </si>
  <si>
    <t>AlarmEnable0167=1</t>
  </si>
  <si>
    <t>AlarmEnable0168=1</t>
  </si>
  <si>
    <t>AlarmEnable0169=1</t>
  </si>
  <si>
    <t>AlarmEnable0170=1</t>
  </si>
  <si>
    <t>AlarmEnable0171=1</t>
  </si>
  <si>
    <t>AlarmEnable0172=1</t>
  </si>
  <si>
    <t>AlarmEnable0173=1</t>
  </si>
  <si>
    <t>AlarmEnable0174=1</t>
  </si>
  <si>
    <t>AlarmEnable0175=1</t>
  </si>
  <si>
    <t>AlarmEnable0176=1</t>
  </si>
  <si>
    <t>AlarmEnable0177=1</t>
  </si>
  <si>
    <t>AlarmEnable0178=1</t>
  </si>
  <si>
    <t>AlarmEnable0179=1</t>
  </si>
  <si>
    <t>AlarmEnable0180=1</t>
  </si>
  <si>
    <t>AlarmEnable0181=1</t>
  </si>
  <si>
    <t>AlarmEnable0182=1</t>
  </si>
  <si>
    <t>AlarmEnable0183=1</t>
  </si>
  <si>
    <t>AlarmEnable0184=1</t>
  </si>
  <si>
    <t>AlarmEnable0185=1</t>
  </si>
  <si>
    <t>AlarmEnable0186=1</t>
  </si>
  <si>
    <t>AlarmEnable0187=1</t>
  </si>
  <si>
    <t>AlarmEnable0188=1</t>
  </si>
  <si>
    <t>AlarmEnable0189=1</t>
  </si>
  <si>
    <t>AlarmEnable0190=1</t>
  </si>
  <si>
    <t>AlarmEnable0191=1</t>
  </si>
  <si>
    <t>AlarmEnable0192=1</t>
  </si>
  <si>
    <t>AlarmEnable0193=1</t>
  </si>
  <si>
    <t>AlarmEnable0194=1</t>
  </si>
  <si>
    <t>AlarmEnable0195=1</t>
  </si>
  <si>
    <t>AlarmEnable0196=1</t>
  </si>
  <si>
    <t>AlarmEnable0197=1</t>
  </si>
  <si>
    <t>AlarmEnable0198=1</t>
  </si>
  <si>
    <t>AlarmEnable0199=1</t>
  </si>
  <si>
    <t>AlarmEnable0200=1</t>
  </si>
  <si>
    <t>AlarmEnable0201=1</t>
  </si>
  <si>
    <t>AlarmEnable0202=1</t>
  </si>
  <si>
    <t>AlarmEnable0203=1</t>
  </si>
  <si>
    <t>AlarmEnable0204=1</t>
  </si>
  <si>
    <t>AlarmEnable0205=1</t>
  </si>
  <si>
    <t>AlarmEnable0206=1</t>
  </si>
  <si>
    <t>AlarmEnable0207=1</t>
  </si>
  <si>
    <t>AlarmEnable0208=1</t>
  </si>
  <si>
    <t>AlarmEnable0209=1</t>
  </si>
  <si>
    <t>AlarmEnable0210=1</t>
  </si>
  <si>
    <t>AlarmEnable0211=1</t>
  </si>
  <si>
    <t>AlarmEnable0212=1</t>
  </si>
  <si>
    <t>AlarmEnable0213=1</t>
  </si>
  <si>
    <t>AlarmEnable0214=1</t>
  </si>
  <si>
    <t>AlarmEnable0215=1</t>
  </si>
  <si>
    <t>AlarmEnable0216=1</t>
  </si>
  <si>
    <t>AlarmEnable0217=1</t>
  </si>
  <si>
    <t>AlarmEnable0218=1</t>
  </si>
  <si>
    <t>AlarmEnable0219=1</t>
  </si>
  <si>
    <t>AlarmEnable0220=1</t>
  </si>
  <si>
    <t>AlarmEnable0221=1</t>
  </si>
  <si>
    <t>AlarmEnable0222=1</t>
  </si>
  <si>
    <t>AlarmEnable0223=1</t>
  </si>
  <si>
    <t>AlarmEnable0224=1</t>
  </si>
  <si>
    <t>AlarmEnable0225=1</t>
  </si>
  <si>
    <t>AlarmEnable0226=1</t>
  </si>
  <si>
    <t>AlarmEnable0227=1</t>
  </si>
  <si>
    <t>AlarmEnable0228=1</t>
  </si>
  <si>
    <t>AlarmEnable0229=1</t>
  </si>
  <si>
    <t>AlarmEnable0230=1</t>
  </si>
  <si>
    <t>AlarmEnable0231=1</t>
  </si>
  <si>
    <t>AlarmEnable0232=1</t>
  </si>
  <si>
    <t>AlarmEnable0233=1</t>
  </si>
  <si>
    <t>AlarmEnable0234=1</t>
  </si>
  <si>
    <t>AlarmEnable0235=1</t>
  </si>
  <si>
    <t>AlarmEnable0236=1</t>
  </si>
  <si>
    <t>AlarmEnable0237=1</t>
  </si>
  <si>
    <t>AlarmEnable0238=1</t>
  </si>
  <si>
    <t>AlarmEnable0239=1</t>
  </si>
  <si>
    <t>AlarmEnable0240=1</t>
  </si>
  <si>
    <t>AlarmEnable0241=1</t>
  </si>
  <si>
    <t>AlarmEnable0242=1</t>
  </si>
  <si>
    <t>AlarmEnable0243=1</t>
  </si>
  <si>
    <t>AlarmEnable0244=1</t>
  </si>
  <si>
    <t>AlarmEnable0245=1</t>
  </si>
  <si>
    <t>AlarmEnable0246=1</t>
  </si>
  <si>
    <t>AlarmEnable0247=1</t>
  </si>
  <si>
    <t>AlarmEnable0248=1</t>
  </si>
  <si>
    <t>AlarmEnable0249=1</t>
  </si>
  <si>
    <t>AlarmEnable0250=1</t>
  </si>
  <si>
    <t>AlarmEnable0251=1</t>
  </si>
  <si>
    <t>AlarmEnable0252=1</t>
  </si>
  <si>
    <t>AlarmEnable0253=1</t>
  </si>
  <si>
    <t>AlarmEnable0254=1</t>
  </si>
  <si>
    <t>AlarmEnable0255=1</t>
  </si>
  <si>
    <t>AlarmEnable0256=1</t>
  </si>
  <si>
    <t>AlarmEnable0257=1</t>
  </si>
  <si>
    <t>AlarmEnable0258=1</t>
  </si>
  <si>
    <t>AlarmEnable0259=1</t>
  </si>
  <si>
    <t>AlarmEnable0260=1</t>
  </si>
  <si>
    <t>AlarmEnable0261=1</t>
  </si>
  <si>
    <t>AlarmEnable0262=1</t>
  </si>
  <si>
    <t>AlarmEnable0263=1</t>
  </si>
  <si>
    <t>AlarmEnable0264=1</t>
  </si>
  <si>
    <t>AlarmEnable0265=1</t>
  </si>
  <si>
    <t>AlarmEnable0266=1</t>
  </si>
  <si>
    <t>AlarmEnable0267=1</t>
  </si>
  <si>
    <t>AlarmEnable0268=1</t>
  </si>
  <si>
    <t>AlarmEnable0269=1</t>
  </si>
  <si>
    <t>AlarmEnable0270=1</t>
  </si>
  <si>
    <t>AlarmEnable0271=1</t>
  </si>
  <si>
    <t>AlarmEnable0272=1</t>
  </si>
  <si>
    <t>AlarmEnable0273=1</t>
  </si>
  <si>
    <t>AlarmEnable0274=1</t>
  </si>
  <si>
    <t>AlarmEnable0275=1</t>
  </si>
  <si>
    <t>AlarmEnable0276=1</t>
  </si>
  <si>
    <t>AlarmEnable0277=1</t>
  </si>
  <si>
    <t>AlarmEnable0278=1</t>
  </si>
  <si>
    <t>AlarmEnable0279=1</t>
  </si>
  <si>
    <t>AlarmEnable0280=1</t>
  </si>
  <si>
    <t>AlarmEnable0281=1</t>
  </si>
  <si>
    <t>AlarmEnable0282=1</t>
  </si>
  <si>
    <t>AlarmEnable0283=1</t>
  </si>
  <si>
    <t>AlarmEnable0284=1</t>
  </si>
  <si>
    <t>AlarmEnable0285=1</t>
  </si>
  <si>
    <t>AlarmEnable0286=1</t>
  </si>
  <si>
    <t>AlarmEnable0287=1</t>
  </si>
  <si>
    <t>AlarmEnable0288=1</t>
  </si>
  <si>
    <t>AlarmEnable0289=1</t>
  </si>
  <si>
    <t>AlarmEnable0290=1</t>
  </si>
  <si>
    <t>AlarmEnable0291=1</t>
  </si>
  <si>
    <t>AlarmEnable0292=1</t>
  </si>
  <si>
    <t>AlarmEnable0293=1</t>
  </si>
  <si>
    <t>AlarmEnable0294=1</t>
  </si>
  <si>
    <t>AlarmEnable0295=1</t>
  </si>
  <si>
    <t>AlarmEnable0296=1</t>
  </si>
  <si>
    <t>AlarmEnable0297=1</t>
  </si>
  <si>
    <t>AlarmEnable0298=1</t>
  </si>
  <si>
    <t>AlarmEnable0299=1</t>
  </si>
  <si>
    <t>AlarmEnable0300=1</t>
  </si>
  <si>
    <t>AlarmEnable0301=1</t>
  </si>
  <si>
    <t>AlarmEnable0302=1</t>
  </si>
  <si>
    <t>AlarmEnable0303=1</t>
  </si>
  <si>
    <t>AlarmEnable0304=1</t>
  </si>
  <si>
    <t>AlarmEnable0305=1</t>
  </si>
  <si>
    <t>AlarmEnable0306=1</t>
  </si>
  <si>
    <t>AlarmEnable0307=1</t>
  </si>
  <si>
    <t>AlarmEnable0308=1</t>
  </si>
  <si>
    <t>AlarmEnable0309=1</t>
  </si>
  <si>
    <t>AlarmEnable0310=1</t>
  </si>
  <si>
    <t>AlarmEnable0311=1</t>
  </si>
  <si>
    <t>AlarmEnable0312=1</t>
  </si>
  <si>
    <t>AlarmEnable0313=1</t>
  </si>
  <si>
    <t>AlarmEnable0314=1</t>
  </si>
  <si>
    <t>AlarmEnable0315=1</t>
  </si>
  <si>
    <t>AlarmEnable0316=1</t>
  </si>
  <si>
    <t>AlarmEnable0317=1</t>
  </si>
  <si>
    <t>AlarmEnable0318=1</t>
  </si>
  <si>
    <t>AlarmEnable0319=1</t>
  </si>
  <si>
    <t>AlarmEnable0320=1</t>
  </si>
  <si>
    <t>AlarmEnable0321=1</t>
  </si>
  <si>
    <t>AlarmEnable0322=1</t>
  </si>
  <si>
    <t>AlarmEnable0323=1</t>
  </si>
  <si>
    <t>AlarmEnable0324=1</t>
  </si>
  <si>
    <t>AlarmEnable0325=1</t>
  </si>
  <si>
    <t>AlarmEnable0326=1</t>
  </si>
  <si>
    <t>AlarmEnable0327=1</t>
  </si>
  <si>
    <t>AlarmEnable0328=1</t>
  </si>
  <si>
    <t>AlarmEnable0329=1</t>
  </si>
  <si>
    <t>AlarmEnable0330=1</t>
  </si>
  <si>
    <t>AlarmEnable0331=1</t>
  </si>
  <si>
    <t>AlarmEnable0332=1</t>
  </si>
  <si>
    <t>AlarmEnable0333=1</t>
  </si>
  <si>
    <t>AlarmEnable0334=1</t>
  </si>
  <si>
    <t>AlarmEnable0335=1</t>
  </si>
  <si>
    <t>AlarmEnable0336=1</t>
  </si>
  <si>
    <t>AlarmEnable0337=1</t>
  </si>
  <si>
    <t>AlarmEnable0338=1</t>
  </si>
  <si>
    <t>AlarmEnable0339=1</t>
  </si>
  <si>
    <t>AlarmEnable0340=1</t>
  </si>
  <si>
    <t>AlarmEnable0341=1</t>
  </si>
  <si>
    <t>AlarmEnable0342=1</t>
  </si>
  <si>
    <t>AlarmEnable0343=1</t>
  </si>
  <si>
    <t>AlarmEnable0344=1</t>
  </si>
  <si>
    <t>AlarmEnable0345=1</t>
  </si>
  <si>
    <t>AlarmEnable0346=1</t>
  </si>
  <si>
    <t>AlarmEnable0347=1</t>
  </si>
  <si>
    <t>AlarmEnable0348=1</t>
  </si>
  <si>
    <t>AlarmEnable0349=1</t>
  </si>
  <si>
    <t>AlarmEnable0350=1</t>
  </si>
  <si>
    <t>AlarmEnable0351=1</t>
  </si>
  <si>
    <t>AlarmEnable0352=1</t>
  </si>
  <si>
    <t>/FBDExchangeFile</t>
  </si>
  <si>
    <t>/contentHeader/@dateTime</t>
  </si>
  <si>
    <t>/contentHeader/@name</t>
  </si>
  <si>
    <t>/contentHeader/@version</t>
  </si>
  <si>
    <t>/fileHeader/@company</t>
  </si>
  <si>
    <t>/fileHeader/@content</t>
  </si>
  <si>
    <t>/fileHeader/@dateTime</t>
  </si>
  <si>
    <t>/fileHeader/@DTDVersion</t>
  </si>
  <si>
    <t>/fileHeader/@DTDVersion/#agg</t>
  </si>
  <si>
    <t>/fileHeader/@product</t>
  </si>
  <si>
    <t>/program/FBDSource/@nbColumns</t>
  </si>
  <si>
    <t>/program/FBDSource/@nbRows</t>
  </si>
  <si>
    <t>/program/FBDSource/networkFBD/FFBBlock/descriptionFFB/inputVariable/@invertedPin</t>
  </si>
  <si>
    <t>/program/FBDSource/networkFBD/FFBBlock/descriptionFFB/outputVariable/@effectiveParameter</t>
  </si>
  <si>
    <t>/program/FBDSource/networkFBD/FFBBlock/descriptionFFB/outputVariable/@formalParameter</t>
  </si>
  <si>
    <t>/program/FBDSource/networkFBD/FFBBlock/descriptionFFB/outputVariable/@invertedPin</t>
  </si>
  <si>
    <t>/program/FBDSource/networkFBD/FFBBlock/objPosition/@posX</t>
  </si>
  <si>
    <t>/program/FBDSource/networkFBD/FFBBlock/objPosition/@posX/#agg</t>
  </si>
  <si>
    <t>/program/FBDSource/networkFBD/FFBBlock/objPosition/@posY</t>
  </si>
  <si>
    <t>/program/FBDSource/networkFBD/FFBBlock/objPosition/@posY/#agg</t>
  </si>
  <si>
    <t>/program/FBDSource/networkFBD/textBox</t>
  </si>
  <si>
    <t>/program/FBDSource/networkFBD/textBox/@height</t>
  </si>
  <si>
    <t>/program/FBDSource/networkFBD/textBox/@height/#agg</t>
  </si>
  <si>
    <t>/program/FBDSource/networkFBD/textBox/@width</t>
  </si>
  <si>
    <t>/program/FBDSource/networkFBD/textBox/@width/#agg</t>
  </si>
  <si>
    <t>/program/FBDSource/networkFBD/textBox/objPosition/@posX</t>
  </si>
  <si>
    <t>/program/FBDSource/networkFBD/textBox/objPosition/@posX/#agg</t>
  </si>
  <si>
    <t>/program/FBDSource/networkFBD/textBox/objPosition/@posY</t>
  </si>
  <si>
    <t>/program/FBDSource/networkFBD/textBox/objPosition/@posY/#agg</t>
  </si>
  <si>
    <t>/program/identProgram/@name</t>
  </si>
  <si>
    <t>/program/identProgram/@task</t>
  </si>
  <si>
    <t>/program/identProgram/@type</t>
  </si>
  <si>
    <t>PPL026-001</t>
  </si>
  <si>
    <t>Schneider Automation</t>
  </si>
  <si>
    <t>Derived Function Block source file</t>
  </si>
  <si>
    <t>Unity Pro XL V11.0 - 151207</t>
  </si>
  <si>
    <t>Alarm bits to HMI</t>
  </si>
  <si>
    <t>ALARMS_TO_HMI</t>
  </si>
  <si>
    <t>MAST</t>
  </si>
  <si>
    <t>section</t>
  </si>
  <si>
    <t>ENO</t>
  </si>
  <si>
    <t>HMI_ALARM_WORD[1]</t>
  </si>
  <si>
    <t>OUT</t>
  </si>
  <si>
    <t>HMI_ALARM_WORD[2]</t>
  </si>
  <si>
    <t>HMI_ALARM_WORD[3]</t>
  </si>
  <si>
    <t>HMI_ALARM_WORD[4]</t>
  </si>
  <si>
    <t>HMI_ALARM_WORD[5]</t>
  </si>
  <si>
    <t>HMI_ALARM_WORD[6]</t>
  </si>
  <si>
    <t>HMI_ALARM_WORD[7]</t>
  </si>
  <si>
    <t>HMI_ALARM_WORD[8]</t>
  </si>
  <si>
    <t>HMI_ALARM_WORD[9]</t>
  </si>
  <si>
    <t>HMI_ALARM_WORD[10]</t>
  </si>
  <si>
    <t>HMI_ALARM_WORD[12]</t>
  </si>
  <si>
    <t>HMI_ALARM_WORD[13]</t>
  </si>
  <si>
    <t>HMI_ALARM_WORD[14]</t>
  </si>
  <si>
    <t>HMI_ALARM_WORD[19]</t>
  </si>
  <si>
    <t>HMI_ALARM_WORD[18]</t>
  </si>
  <si>
    <t>HMI_ALARM_WORD[20]</t>
  </si>
  <si>
    <t>HMI_ALARM_WORD[21]</t>
  </si>
  <si>
    <t>HMI_ALARM_WORD[15]</t>
  </si>
  <si>
    <t>HMI_ALARM_WORD[16]</t>
  </si>
  <si>
    <t>HMI_ALARM_WORD[17]</t>
  </si>
  <si>
    <t>HMI_ALARM_WORD[11]</t>
  </si>
  <si>
    <t>HMI_ALARM_WORD[0]</t>
  </si>
  <si>
    <t>wMessageLen0100-000=54</t>
  </si>
  <si>
    <t>wMessageLen0101-000=50</t>
  </si>
  <si>
    <t>wMessageLen0102-000=54</t>
  </si>
  <si>
    <t>wMessageLen0103-000=54</t>
  </si>
  <si>
    <t>wMessageLen0104-000=68</t>
  </si>
  <si>
    <t>wMessageLen0105-000=66</t>
  </si>
  <si>
    <t>wMessageLen0106-000=62</t>
  </si>
  <si>
    <t>wMessageLen0107-000=66</t>
  </si>
  <si>
    <t>wMessageLen0108-000=66</t>
  </si>
  <si>
    <t>wMessageLen0109-000=80</t>
  </si>
  <si>
    <t>wMessageLen0110-000=54</t>
  </si>
  <si>
    <t>wMessageLen0111-000=50</t>
  </si>
  <si>
    <t>wMessageLen0112-000=54</t>
  </si>
  <si>
    <t>wMessageLen0113-000=54</t>
  </si>
  <si>
    <t>wMessageLen0114-000=68</t>
  </si>
  <si>
    <t>wMessageLen0115-000=74</t>
  </si>
  <si>
    <t>wMessageLen0116-000=70</t>
  </si>
  <si>
    <t>wMessageLen0117-000=74</t>
  </si>
  <si>
    <t>wMessageLen0118-000=74</t>
  </si>
  <si>
    <t>wMessageLen0119-000=88</t>
  </si>
  <si>
    <t>wMessageLen0120-000=74</t>
  </si>
  <si>
    <t>wMessageLen0121-000=70</t>
  </si>
  <si>
    <t>wMessageLen0122-000=74</t>
  </si>
  <si>
    <t>wMessageLen0123-000=74</t>
  </si>
  <si>
    <t>wMessageLen0124-000=88</t>
  </si>
  <si>
    <t>wMessageLen0125-000=68</t>
  </si>
  <si>
    <t>wMessageLen0126-000=64</t>
  </si>
  <si>
    <t>wMessageLen0127-000=68</t>
  </si>
  <si>
    <t>wMessageLen0128-000=68</t>
  </si>
  <si>
    <t>wMessageLen0129-000=82</t>
  </si>
  <si>
    <t>wMessageLen0130-000=86</t>
  </si>
  <si>
    <t>wMessageLen0131-000=82</t>
  </si>
  <si>
    <t>wMessageLen0132-000=86</t>
  </si>
  <si>
    <t>wMessageLen0133-000=86</t>
  </si>
  <si>
    <t>wMessageLen0134-000=100</t>
  </si>
  <si>
    <t>wMessageLen0135-000=86</t>
  </si>
  <si>
    <t>wMessageLen0136-000=82</t>
  </si>
  <si>
    <t>wMessageLen0137-000=86</t>
  </si>
  <si>
    <t>wMessageLen0138-000=86</t>
  </si>
  <si>
    <t>wMessageLen0139-000=100</t>
  </si>
  <si>
    <t>wMessageLen0140-000=86</t>
  </si>
  <si>
    <t>wMessageLen0141-000=82</t>
  </si>
  <si>
    <t>wMessageLen0142-000=86</t>
  </si>
  <si>
    <t>wMessageLen0143-000=86</t>
  </si>
  <si>
    <t>wMessageLen0144-000=100</t>
  </si>
  <si>
    <t>wMessageLen0145-000=66</t>
  </si>
  <si>
    <t>wMessageLen0146-000=62</t>
  </si>
  <si>
    <t>wMessageLen0147-000=66</t>
  </si>
  <si>
    <t>wMessageLen0148-000=66</t>
  </si>
  <si>
    <t>wMessageLen0149-000=80</t>
  </si>
  <si>
    <t>wMessageLen0150-000=66</t>
  </si>
  <si>
    <t>wMessageLen0151-000=62</t>
  </si>
  <si>
    <t>wMessageLen0152-000=66</t>
  </si>
  <si>
    <t>wMessageLen0153-000=66</t>
  </si>
  <si>
    <t>wMessageLen0154-000=80</t>
  </si>
  <si>
    <t>wMessageLen0155-000=4</t>
  </si>
  <si>
    <t>wMessageLen0156-000=4</t>
  </si>
  <si>
    <t>wMessageLen0157-000=4</t>
  </si>
  <si>
    <t>wMessageLen0158-000=4</t>
  </si>
  <si>
    <t>wMessageLen0159-000=4</t>
  </si>
  <si>
    <t>wMessageLen0160-000=4</t>
  </si>
  <si>
    <t>wMessageLen0161-000=4</t>
  </si>
  <si>
    <t>wMessageLen0162-000=4</t>
  </si>
  <si>
    <t>wMessageLen0163-000=4</t>
  </si>
  <si>
    <t>wMessageLen0164-000=4</t>
  </si>
  <si>
    <t>wMessageLen0165-000=84</t>
  </si>
  <si>
    <t>wMessageLen0166-000=80</t>
  </si>
  <si>
    <t>wMessageLen0167-000=84</t>
  </si>
  <si>
    <t>wMessageLen0168-000=84</t>
  </si>
  <si>
    <t>wMessageLen0169-000=98</t>
  </si>
  <si>
    <t>wMessageLen0170-000=84</t>
  </si>
  <si>
    <t>wMessageLen0171-000=80</t>
  </si>
  <si>
    <t>wMessageLen0172-000=84</t>
  </si>
  <si>
    <t>wMessageLen0173-000=84</t>
  </si>
  <si>
    <t>wMessageLen0174-000=98</t>
  </si>
  <si>
    <t>wMessageLen0175-000=84</t>
  </si>
  <si>
    <t>wMessageLen0176-000=80</t>
  </si>
  <si>
    <t>wMessageLen0193-000=4</t>
  </si>
  <si>
    <t>wMessageLen0194-000=4</t>
  </si>
  <si>
    <t>wMessageLen0195-000=4</t>
  </si>
  <si>
    <t>wMessageLen0196-000=4</t>
  </si>
  <si>
    <t>wMessageLen0197-000=4</t>
  </si>
  <si>
    <t>wMessageLen0198-000=4</t>
  </si>
  <si>
    <t>wMessageLen0199-000=4</t>
  </si>
  <si>
    <t>wMessageLen0200-000=4</t>
  </si>
  <si>
    <t>wMessageLen0201-000=4</t>
  </si>
  <si>
    <t>wMessageLen0202-000=4</t>
  </si>
  <si>
    <t>wMessageLen0203-000=4</t>
  </si>
  <si>
    <t>wMessageLen0204-000=4</t>
  </si>
  <si>
    <t>wMessageLen0205-000=82</t>
  </si>
  <si>
    <t>wMessageLen0206-000=78</t>
  </si>
  <si>
    <t>wMessageLen0207-000=82</t>
  </si>
  <si>
    <t>wMessageLen0208-000=82</t>
  </si>
  <si>
    <t>wMessageLen0209-000=96</t>
  </si>
  <si>
    <t>wMessageLen0210-000=76</t>
  </si>
  <si>
    <t>wMessageLen0211-000=72</t>
  </si>
  <si>
    <t>wMessageLen0212-000=76</t>
  </si>
  <si>
    <t>wMessageLen0213-000=76</t>
  </si>
  <si>
    <t>wMessageLen0214-000=90</t>
  </si>
  <si>
    <t>wMessageLen0215-000=92</t>
  </si>
  <si>
    <t>wMessageLen0216-000=88</t>
  </si>
  <si>
    <t>wMessageLen0217-000=92</t>
  </si>
  <si>
    <t>wMessageLen0218-000=92</t>
  </si>
  <si>
    <t>wMessageLen0219-000=106</t>
  </si>
  <si>
    <t>wMessageLen0220-000=92</t>
  </si>
  <si>
    <t>wMessageLen0221-000=88</t>
  </si>
  <si>
    <t>wMessageLen0222-000=92</t>
  </si>
  <si>
    <t>wMessageLen0223-000=92</t>
  </si>
  <si>
    <t>wMessageLen0224-000=106</t>
  </si>
  <si>
    <t>wMessageLen0225-000=66</t>
  </si>
  <si>
    <t>wMessageLen0226-000=62</t>
  </si>
  <si>
    <t>wMessageLen0227-000=66</t>
  </si>
  <si>
    <t>wMessageLen0228-000=66</t>
  </si>
  <si>
    <t>wMessageLen0229-000=80</t>
  </si>
  <si>
    <t>wMessageLen0230-000=4</t>
  </si>
  <si>
    <t>wMessageLen0231-000=4</t>
  </si>
  <si>
    <t>wMessageLen0232-000=4</t>
  </si>
  <si>
    <t>wMessageLen0233-000=4</t>
  </si>
  <si>
    <t>wMessageLen0234-000=4</t>
  </si>
  <si>
    <t>wMessageLen0235-000=4</t>
  </si>
  <si>
    <t>wMessageLen0236-000=4</t>
  </si>
  <si>
    <t>wMessageLen0237-000=4</t>
  </si>
  <si>
    <t>wMessageLen0238-000=4</t>
  </si>
  <si>
    <t>wMessageLen0239-000=4</t>
  </si>
  <si>
    <t>wMessageLen0240-000=2</t>
  </si>
  <si>
    <t>wMessageLen0305-000=2</t>
  </si>
  <si>
    <t>wMessageLen0306-000=2</t>
  </si>
  <si>
    <t>wMessageLen0307-000=2</t>
  </si>
  <si>
    <t>wMessageLen0308-000=2</t>
  </si>
  <si>
    <t>wMessageLen0309-000=62</t>
  </si>
  <si>
    <t>wMessageLen0310-000=74</t>
  </si>
  <si>
    <t>wMessageLen0311-000=86</t>
  </si>
  <si>
    <t>wMessageLen0312-000=74</t>
  </si>
  <si>
    <t>wMessageLen0313-000=74</t>
  </si>
  <si>
    <t>wMessageLen0314-000=70</t>
  </si>
  <si>
    <t>wMessageLen0315-000=82</t>
  </si>
  <si>
    <t>wMessageLen0316-000=94</t>
  </si>
  <si>
    <t>wMessageLen0317-000=94</t>
  </si>
  <si>
    <t>wMessageLen0318-000=94</t>
  </si>
  <si>
    <t>wMessageLen0319-000=108</t>
  </si>
  <si>
    <t>wMessageLen0320-000=94</t>
  </si>
  <si>
    <t>wMessageLen0289-000=96</t>
  </si>
  <si>
    <t>wMessageLen0290-000=96</t>
  </si>
  <si>
    <t>wMessageLen0291-000=84</t>
  </si>
  <si>
    <t>wMessageLen0292-000=92</t>
  </si>
  <si>
    <t>wMessageLen0293-000=96</t>
  </si>
  <si>
    <t>wMessageLen0294-000=96</t>
  </si>
  <si>
    <t>wMessageLen0295-000=84</t>
  </si>
  <si>
    <t>wMessageLen0296-000=92</t>
  </si>
  <si>
    <t>wMessageLen0297-000=4</t>
  </si>
  <si>
    <t>wMessageLen0298-000=4</t>
  </si>
  <si>
    <t>wMessageLen0299-000=4</t>
  </si>
  <si>
    <t>wMessageLen0300-000=4</t>
  </si>
  <si>
    <t>wMessageLen0301-000=4</t>
  </si>
  <si>
    <t>wMessageLen0302-000=4</t>
  </si>
  <si>
    <t>wMessageLen0303-000=4</t>
  </si>
  <si>
    <t>wMessageLen0304-000=4</t>
  </si>
  <si>
    <t>wMessageLen0321-000=96</t>
  </si>
  <si>
    <t>wMessageLen0322-000=80</t>
  </si>
  <si>
    <t>wMessageLen0323-000=96</t>
  </si>
  <si>
    <t>wMessageLen0324-000=80</t>
  </si>
  <si>
    <t>wMessageLen0325-000=96</t>
  </si>
  <si>
    <t>wMessageLen0326-000=80</t>
  </si>
  <si>
    <t>wMessageLen0327-000=42</t>
  </si>
  <si>
    <t>wMessageLen0328-000=44</t>
  </si>
  <si>
    <t>wMessageLen0329-000=54</t>
  </si>
  <si>
    <t>wMessageLen0330-000=42</t>
  </si>
  <si>
    <t>wMessageLen0331-000=44</t>
  </si>
  <si>
    <t>wMessageLen0332-000=54</t>
  </si>
  <si>
    <t>wMessageLen0333-000=44</t>
  </si>
  <si>
    <t>wMessageLen0334-000=54</t>
  </si>
  <si>
    <t>wMessageLen0335-000=52</t>
  </si>
  <si>
    <t>wMessageLen0336-000=42</t>
  </si>
  <si>
    <t>wMessageLen0337-000=44</t>
  </si>
  <si>
    <t>wMessageLen0338-000=54</t>
  </si>
  <si>
    <t>wMessageLen0339-000=80</t>
  </si>
  <si>
    <t>wMessageLen0340-000=42</t>
  </si>
  <si>
    <t>wMessageLen0341-000=80</t>
  </si>
  <si>
    <t>wMessageLen0342-000=42</t>
  </si>
  <si>
    <t>wMessageLen0343-000=78</t>
  </si>
  <si>
    <t>wMessageLen0344-000=40</t>
  </si>
  <si>
    <t>wMessageLen0345-000=60</t>
  </si>
  <si>
    <t>wMessageLen0346-000=40</t>
  </si>
  <si>
    <t>wMessageLen0347-000=60</t>
  </si>
  <si>
    <t>wMessageLen0348-000=40</t>
  </si>
  <si>
    <t>wMessageLen0349-000=68</t>
  </si>
  <si>
    <t>wMessageLen0350-000=40</t>
  </si>
  <si>
    <t>wMessageLen0351-000=92</t>
  </si>
  <si>
    <t>wMessageLen0352-000=40</t>
  </si>
  <si>
    <t>wMessageLen0289-000=78</t>
  </si>
  <si>
    <t>wMessageLen0290-000=40</t>
  </si>
  <si>
    <t>wMessageLen0291-000=56</t>
  </si>
  <si>
    <t>wMessageLen0292-000=40</t>
  </si>
  <si>
    <t>wMessageLen0293-000=78</t>
  </si>
  <si>
    <t>wMessageLen0294-000=40</t>
  </si>
  <si>
    <t>wMessageLen0295-000=78</t>
  </si>
  <si>
    <t>wMessageLen0296-000=40</t>
  </si>
  <si>
    <t>wMessageLen0297-000=2</t>
  </si>
  <si>
    <t>wMessageLen0298-000=2</t>
  </si>
  <si>
    <t>wMessageLen0299-000=2</t>
  </si>
  <si>
    <t>wMessageLen0300-000=2</t>
  </si>
  <si>
    <t>wMessageLen0301-000=2</t>
  </si>
  <si>
    <t>wMessageLen0302-000=2</t>
  </si>
  <si>
    <t>wMessageLen0303-000=2</t>
  </si>
  <si>
    <t>wMessageLen0304-000=2</t>
  </si>
  <si>
    <t>wMessageLen0241-000=36</t>
  </si>
  <si>
    <t>wMessageLen0242-000=36</t>
  </si>
  <si>
    <t>wMessageLen0243-000=36</t>
  </si>
  <si>
    <t>wMessageLen0244-000=36</t>
  </si>
  <si>
    <t>wMessageLen0245-000=88</t>
  </si>
  <si>
    <t>wMessageLen0246-000=88</t>
  </si>
  <si>
    <t>wMessageLen0247-000=96</t>
  </si>
  <si>
    <t>wMessageLen0248-000=96</t>
  </si>
  <si>
    <t>wMessageLen0249-000=80</t>
  </si>
  <si>
    <t>wMessageLen0250-000=102</t>
  </si>
  <si>
    <t>wMessageLen0251-000=102</t>
  </si>
  <si>
    <t>wMessageLen0252-000=86</t>
  </si>
  <si>
    <t>wMessageLen0253-000=50</t>
  </si>
  <si>
    <t>wMessageLen0254-000=62</t>
  </si>
  <si>
    <t>wMessageLen0255-000=50</t>
  </si>
  <si>
    <t>wMessageLen0256-000=34</t>
  </si>
  <si>
    <t>wMessageLen0257-000=46</t>
  </si>
  <si>
    <t>wMessageLen0258-000=34</t>
  </si>
  <si>
    <t>wMessageLen0259-000=54</t>
  </si>
  <si>
    <t>wMessageLen0260-000=54</t>
  </si>
  <si>
    <t>wMessageLen0261-000=48</t>
  </si>
  <si>
    <t>wMessageLen0262-000=66</t>
  </si>
  <si>
    <t>wMessageLen0263-000=66</t>
  </si>
  <si>
    <t>wMessageLen0264-000=66</t>
  </si>
  <si>
    <t>wMessageLen0265-000=46</t>
  </si>
  <si>
    <t>wMessageLen0266-000=46</t>
  </si>
  <si>
    <t>wMessageLen0267-000=4</t>
  </si>
  <si>
    <t>wMessageLen0268-000=4</t>
  </si>
  <si>
    <t>wMessageLen0269-000=64</t>
  </si>
  <si>
    <t>wMessageLen0270-000=64</t>
  </si>
  <si>
    <t>wMessageLen0271-000=64</t>
  </si>
  <si>
    <t>wMessageLen0272-000=4</t>
  </si>
  <si>
    <t>wMessageLen0273-000=62</t>
  </si>
  <si>
    <t>wMessageLen0274-000=4</t>
  </si>
  <si>
    <t>wMessageLen0275-000=4</t>
  </si>
  <si>
    <t>wMessageLen0276-000=4</t>
  </si>
  <si>
    <t>wMessageLen0277-000=62</t>
  </si>
  <si>
    <t>wMessageLen0278-000=56</t>
  </si>
  <si>
    <t>wMessageLen0279-000=72</t>
  </si>
  <si>
    <t>wMessageLen0280-000=72</t>
  </si>
  <si>
    <t>wMessageLen0281-000=46</t>
  </si>
  <si>
    <t>wMessageLen0282-000=4</t>
  </si>
  <si>
    <t>wMessageLen0283-000=4</t>
  </si>
  <si>
    <t>wMessageLen0284-000=2</t>
  </si>
  <si>
    <t>wMessageLen0285-000=2</t>
  </si>
  <si>
    <t>wMessageLen0286-000=2</t>
  </si>
  <si>
    <t>wMessageLen0287-000=2</t>
  </si>
  <si>
    <t>wMessageLen0288-000=2</t>
  </si>
  <si>
    <t>wMessageLen0177-000=84</t>
  </si>
  <si>
    <t>wMessageLen0178-000=84</t>
  </si>
  <si>
    <t>wMessageLen0179-000=98</t>
  </si>
  <si>
    <t>wMessageLen0180-000=4</t>
  </si>
  <si>
    <t>wMessageLen0181-000=4</t>
  </si>
  <si>
    <t>wMessageLen0182-000=4</t>
  </si>
  <si>
    <t>wMessageLen0183-000=4</t>
  </si>
  <si>
    <t>wMessageLen0184-000=4</t>
  </si>
  <si>
    <t>wMessageLen0185-000=82</t>
  </si>
  <si>
    <t>wMessageLen0186-000=78</t>
  </si>
  <si>
    <t>wMessageLen0187-000=82</t>
  </si>
  <si>
    <t>wMessageLen0188-000=82</t>
  </si>
  <si>
    <t>wMessageLen0189-000=96</t>
  </si>
  <si>
    <t>wMessageLen0190-000=4</t>
  </si>
  <si>
    <t>wMessageLen0191-000=4</t>
  </si>
  <si>
    <t>wMessageLen0192-000=4</t>
  </si>
  <si>
    <t>wMessageLen001-000=4</t>
  </si>
  <si>
    <t>wMessageLen002-000=4</t>
  </si>
  <si>
    <t>wMessageLen003-000=64</t>
  </si>
  <si>
    <t>wMessageLen004-000=4</t>
  </si>
  <si>
    <t>wMessageLen005-000=34</t>
  </si>
  <si>
    <t>wMessageLen006-000=60</t>
  </si>
  <si>
    <t>wMessageLen007-000=2</t>
  </si>
  <si>
    <t>wMessageLen008-000=2</t>
  </si>
  <si>
    <t>wMessageLen009-000=66</t>
  </si>
  <si>
    <t>AlarmEnable017=1</t>
  </si>
  <si>
    <t>wMessageLen017-000=2</t>
  </si>
  <si>
    <t>AlarmColor017=255</t>
  </si>
  <si>
    <t>AlarmOn017=1</t>
  </si>
  <si>
    <t>AlarmScreenID017=0</t>
  </si>
  <si>
    <t>AlarmLEDEnable017=1</t>
  </si>
  <si>
    <t>AlarmEnable018=1</t>
  </si>
  <si>
    <t>wMessageLen018-000=56</t>
  </si>
  <si>
    <t>AlarmColor018=255</t>
  </si>
  <si>
    <t>AlarmOn018=1</t>
  </si>
  <si>
    <t>AlarmScreenID018=0</t>
  </si>
  <si>
    <t>AlarmLEDEnable018=1</t>
  </si>
  <si>
    <t>AlarmEnable019=1</t>
  </si>
  <si>
    <t>wMessageLen019-000=56</t>
  </si>
  <si>
    <t>AlarmColor019=255</t>
  </si>
  <si>
    <t>AlarmOn019=1</t>
  </si>
  <si>
    <t>AlarmScreenID019=0</t>
  </si>
  <si>
    <t>AlarmLEDEnable019=1</t>
  </si>
  <si>
    <t>AlarmEnable020=1</t>
  </si>
  <si>
    <t>wMessageLen020-000=62</t>
  </si>
  <si>
    <t>AlarmColor020=255</t>
  </si>
  <si>
    <t>AlarmOn020=1</t>
  </si>
  <si>
    <t>AlarmScreenID020=0</t>
  </si>
  <si>
    <t>AlarmLEDEnable020=1</t>
  </si>
  <si>
    <t>AlarmEnable021=1</t>
  </si>
  <si>
    <t>wMessageLen021-000=52</t>
  </si>
  <si>
    <t>AlarmColor021=255</t>
  </si>
  <si>
    <t>AlarmOn021=1</t>
  </si>
  <si>
    <t>AlarmScreenID021=0</t>
  </si>
  <si>
    <t>AlarmLEDEnable021=1</t>
  </si>
  <si>
    <t>AlarmEnable022=1</t>
  </si>
  <si>
    <t>wMessageLen022-000=52</t>
  </si>
  <si>
    <t>AlarmColor022=255</t>
  </si>
  <si>
    <t>AlarmOn022=1</t>
  </si>
  <si>
    <t>AlarmScreenID022=0</t>
  </si>
  <si>
    <t>AlarmLEDEnable022=1</t>
  </si>
  <si>
    <t>AlarmEnable023=1</t>
  </si>
  <si>
    <t>wMessageLen023-000=24</t>
  </si>
  <si>
    <t>AlarmColor023=255</t>
  </si>
  <si>
    <t>AlarmOn023=1</t>
  </si>
  <si>
    <t>AlarmScreenID023=0</t>
  </si>
  <si>
    <t>AlarmLEDEnable023=1</t>
  </si>
  <si>
    <t>AlarmEnable024=1</t>
  </si>
  <si>
    <t>wMessageLen024-000=48</t>
  </si>
  <si>
    <t>AlarmColor024=255</t>
  </si>
  <si>
    <t>AlarmOn024=1</t>
  </si>
  <si>
    <t>AlarmScreenID024=0</t>
  </si>
  <si>
    <t>AlarmLEDEnable024=1</t>
  </si>
  <si>
    <t>AlarmEnable025=1</t>
  </si>
  <si>
    <t>wMessageLen025-000=56</t>
  </si>
  <si>
    <t>AlarmColor025=255</t>
  </si>
  <si>
    <t>AlarmOn025=1</t>
  </si>
  <si>
    <t>AlarmScreenID025=0</t>
  </si>
  <si>
    <t>AlarmLEDEnable025=1</t>
  </si>
  <si>
    <t>AlarmEnable026=1</t>
  </si>
  <si>
    <t>wMessageLen026-000=52</t>
  </si>
  <si>
    <t>AlarmColor026=255</t>
  </si>
  <si>
    <t>AlarmOn026=1</t>
  </si>
  <si>
    <t>AlarmScreenID026=0</t>
  </si>
  <si>
    <t>AlarmLEDEnable026=1</t>
  </si>
  <si>
    <t>AlarmEnable027=1</t>
  </si>
  <si>
    <t>wMessageLen027-000=56</t>
  </si>
  <si>
    <t>AlarmColor027=255</t>
  </si>
  <si>
    <t>AlarmOn027=1</t>
  </si>
  <si>
    <t>AlarmScreenID027=0</t>
  </si>
  <si>
    <t>AlarmLEDEnable027=1</t>
  </si>
  <si>
    <t>AlarmEnable028=1</t>
  </si>
  <si>
    <t>wMessageLen028-000=56</t>
  </si>
  <si>
    <t>AlarmColor028=255</t>
  </si>
  <si>
    <t>AlarmOn028=1</t>
  </si>
  <si>
    <t>AlarmScreenID028=0</t>
  </si>
  <si>
    <t>AlarmLEDEnable028=1</t>
  </si>
  <si>
    <t>AlarmEnable029=1</t>
  </si>
  <si>
    <t>wMessageLen029-000=70</t>
  </si>
  <si>
    <t>AlarmColor029=255</t>
  </si>
  <si>
    <t>AlarmOn029=1</t>
  </si>
  <si>
    <t>AlarmScreenID029=0</t>
  </si>
  <si>
    <t>AlarmLEDEnable029=1</t>
  </si>
  <si>
    <t>AlarmEnable030=1</t>
  </si>
  <si>
    <t>wMessageLen030-000=56</t>
  </si>
  <si>
    <t>AlarmColor030=255</t>
  </si>
  <si>
    <t>AlarmOn030=1</t>
  </si>
  <si>
    <t>AlarmScreenID030=0</t>
  </si>
  <si>
    <t>AlarmLEDEnable030=1</t>
  </si>
  <si>
    <t>AlarmEnable031=1</t>
  </si>
  <si>
    <t>wMessageLen031-000=52</t>
  </si>
  <si>
    <t>AlarmColor031=255</t>
  </si>
  <si>
    <t>AlarmOn031=1</t>
  </si>
  <si>
    <t>AlarmScreenID031=0</t>
  </si>
  <si>
    <t>AlarmLEDEnable031=1</t>
  </si>
  <si>
    <t>AlarmEnable032=1</t>
  </si>
  <si>
    <t>wMessageLen032-000=56</t>
  </si>
  <si>
    <t>AlarmColor032=255</t>
  </si>
  <si>
    <t>AlarmOn032=1</t>
  </si>
  <si>
    <t>AlarmScreenID032=0</t>
  </si>
  <si>
    <t>AlarmLEDEnable032=1</t>
  </si>
  <si>
    <t>AlarmEnable033=1</t>
  </si>
  <si>
    <t>wMessageLen033-000=56</t>
  </si>
  <si>
    <t>AlarmColor033=255</t>
  </si>
  <si>
    <t>AlarmOn033=1</t>
  </si>
  <si>
    <t>AlarmScreenID033=0</t>
  </si>
  <si>
    <t>AlarmLEDEnable033=1</t>
  </si>
  <si>
    <t>AlarmEnable034=1</t>
  </si>
  <si>
    <t>wMessageLen034-000=70</t>
  </si>
  <si>
    <t>AlarmColor034=255</t>
  </si>
  <si>
    <t>AlarmOn034=1</t>
  </si>
  <si>
    <t>AlarmScreenID034=0</t>
  </si>
  <si>
    <t>AlarmLEDEnable034=1</t>
  </si>
  <si>
    <t>AlarmEnable035=1</t>
  </si>
  <si>
    <t>wMessageLen035-000=56</t>
  </si>
  <si>
    <t>AlarmColor035=255</t>
  </si>
  <si>
    <t>AlarmOn035=1</t>
  </si>
  <si>
    <t>AlarmScreenID035=0</t>
  </si>
  <si>
    <t>AlarmLEDEnable035=1</t>
  </si>
  <si>
    <t>AlarmEnable036=1</t>
  </si>
  <si>
    <t>wMessageLen036-000=52</t>
  </si>
  <si>
    <t>AlarmColor036=255</t>
  </si>
  <si>
    <t>AlarmOn036=1</t>
  </si>
  <si>
    <t>AlarmScreenID036=0</t>
  </si>
  <si>
    <t>AlarmLEDEnable036=1</t>
  </si>
  <si>
    <t>AlarmEnable037=1</t>
  </si>
  <si>
    <t>wMessageLen037-000=56</t>
  </si>
  <si>
    <t>AlarmColor037=255</t>
  </si>
  <si>
    <t>AlarmOn037=1</t>
  </si>
  <si>
    <t>AlarmScreenID037=0</t>
  </si>
  <si>
    <t>AlarmLEDEnable037=1</t>
  </si>
  <si>
    <t>AlarmEnable038=1</t>
  </si>
  <si>
    <t>wMessageLen038-000=56</t>
  </si>
  <si>
    <t>AlarmColor038=255</t>
  </si>
  <si>
    <t>AlarmOn038=1</t>
  </si>
  <si>
    <t>AlarmScreenID038=0</t>
  </si>
  <si>
    <t>AlarmLEDEnable038=1</t>
  </si>
  <si>
    <t>AlarmEnable039=1</t>
  </si>
  <si>
    <t>wMessageLen039-000=70</t>
  </si>
  <si>
    <t>AlarmColor039=255</t>
  </si>
  <si>
    <t>AlarmOn039=1</t>
  </si>
  <si>
    <t>AlarmScreenID039=0</t>
  </si>
  <si>
    <t>AlarmLEDEnable039=1</t>
  </si>
  <si>
    <t>AlarmEnable040=1</t>
  </si>
  <si>
    <t>wMessageLen040-000=56</t>
  </si>
  <si>
    <t>AlarmColor040=255</t>
  </si>
  <si>
    <t>AlarmOn040=1</t>
  </si>
  <si>
    <t>AlarmScreenID040=0</t>
  </si>
  <si>
    <t>AlarmLEDEnable040=1</t>
  </si>
  <si>
    <t>AlarmEnable041=1</t>
  </si>
  <si>
    <t>wMessageLen041-000=52</t>
  </si>
  <si>
    <t>AlarmColor041=255</t>
  </si>
  <si>
    <t>AlarmOn041=1</t>
  </si>
  <si>
    <t>AlarmScreenID041=0</t>
  </si>
  <si>
    <t>AlarmLEDEnable041=1</t>
  </si>
  <si>
    <t>AlarmEnable042=1</t>
  </si>
  <si>
    <t>wMessageLen042-000=56</t>
  </si>
  <si>
    <t>AlarmColor042=255</t>
  </si>
  <si>
    <t>AlarmOn042=1</t>
  </si>
  <si>
    <t>AlarmScreenID042=0</t>
  </si>
  <si>
    <t>AlarmLEDEnable042=1</t>
  </si>
  <si>
    <t>AlarmEnable043=1</t>
  </si>
  <si>
    <t>wMessageLen043-000=56</t>
  </si>
  <si>
    <t>AlarmColor043=255</t>
  </si>
  <si>
    <t>AlarmOn043=1</t>
  </si>
  <si>
    <t>AlarmScreenID043=0</t>
  </si>
  <si>
    <t>AlarmLEDEnable043=1</t>
  </si>
  <si>
    <t>AlarmEnable044=1</t>
  </si>
  <si>
    <t>wMessageLen044-000=70</t>
  </si>
  <si>
    <t>AlarmColor044=255</t>
  </si>
  <si>
    <t>AlarmOn044=1</t>
  </si>
  <si>
    <t>AlarmScreenID044=0</t>
  </si>
  <si>
    <t>AlarmLEDEnable044=1</t>
  </si>
  <si>
    <t>AlarmEnable045=1</t>
  </si>
  <si>
    <t>wMessageLen045-000=108</t>
  </si>
  <si>
    <t>AlarmColor045=255</t>
  </si>
  <si>
    <t>AlarmOn045=1</t>
  </si>
  <si>
    <t>AlarmScreenID045=0</t>
  </si>
  <si>
    <t>AlarmLEDEnable045=1</t>
  </si>
  <si>
    <t>AlarmEnable046=1</t>
  </si>
  <si>
    <t>wMessageLen046-000=104</t>
  </si>
  <si>
    <t>AlarmColor046=255</t>
  </si>
  <si>
    <t>AlarmOn046=1</t>
  </si>
  <si>
    <t>AlarmScreenID046=0</t>
  </si>
  <si>
    <t>AlarmLEDEnable046=1</t>
  </si>
  <si>
    <t>AlarmEnable047=1</t>
  </si>
  <si>
    <t>wMessageLen047-000=108</t>
  </si>
  <si>
    <t>AlarmColor047=255</t>
  </si>
  <si>
    <t>AlarmOn047=1</t>
  </si>
  <si>
    <t>AlarmScreenID047=0</t>
  </si>
  <si>
    <t>AlarmLEDEnable047=1</t>
  </si>
  <si>
    <t>AlarmEnable048=1</t>
  </si>
  <si>
    <t>wMessageLen048-000=108</t>
  </si>
  <si>
    <t>AlarmColor048=255</t>
  </si>
  <si>
    <t>AlarmOn048=1</t>
  </si>
  <si>
    <t>AlarmScreenID048=0</t>
  </si>
  <si>
    <t>AlarmLEDEnable048=1</t>
  </si>
  <si>
    <t>AlarmEnable049=1</t>
  </si>
  <si>
    <t>wMessageLen049-000=122</t>
  </si>
  <si>
    <t>AlarmColor049=255</t>
  </si>
  <si>
    <t>AlarmOn049=1</t>
  </si>
  <si>
    <t>AlarmScreenID049=0</t>
  </si>
  <si>
    <t>AlarmLEDEnable049=1</t>
  </si>
  <si>
    <t>AlarmEnable050=1</t>
  </si>
  <si>
    <t>wMessageLen050-000=108</t>
  </si>
  <si>
    <t>AlarmColor050=255</t>
  </si>
  <si>
    <t>AlarmOn050=1</t>
  </si>
  <si>
    <t>AlarmScreenID050=0</t>
  </si>
  <si>
    <t>AlarmLEDEnable050=1</t>
  </si>
  <si>
    <t>AlarmEnable051=1</t>
  </si>
  <si>
    <t>wMessageLen051-000=104</t>
  </si>
  <si>
    <t>AlarmColor051=255</t>
  </si>
  <si>
    <t>AlarmOn051=1</t>
  </si>
  <si>
    <t>AlarmScreenID051=0</t>
  </si>
  <si>
    <t>AlarmLEDEnable051=1</t>
  </si>
  <si>
    <t>AlarmEnable052=1</t>
  </si>
  <si>
    <t>wMessageLen052-000=108</t>
  </si>
  <si>
    <t>AlarmColor052=255</t>
  </si>
  <si>
    <t>AlarmOn052=1</t>
  </si>
  <si>
    <t>AlarmScreenID052=0</t>
  </si>
  <si>
    <t>AlarmLEDEnable052=1</t>
  </si>
  <si>
    <t>AlarmEnable053=1</t>
  </si>
  <si>
    <t>wMessageLen053-000=108</t>
  </si>
  <si>
    <t>AlarmColor053=255</t>
  </si>
  <si>
    <t>AlarmOn053=1</t>
  </si>
  <si>
    <t>AlarmScreenID053=0</t>
  </si>
  <si>
    <t>AlarmLEDEnable053=1</t>
  </si>
  <si>
    <t>AlarmEnable054=1</t>
  </si>
  <si>
    <t>wMessageLen054-000=122</t>
  </si>
  <si>
    <t>AlarmColor054=255</t>
  </si>
  <si>
    <t>AlarmOn054=1</t>
  </si>
  <si>
    <t>AlarmScreenID054=0</t>
  </si>
  <si>
    <t>AlarmLEDEnable054=1</t>
  </si>
  <si>
    <t>AlarmEnable055=1</t>
  </si>
  <si>
    <t>wMessageLen055-000=116</t>
  </si>
  <si>
    <t>AlarmColor055=255</t>
  </si>
  <si>
    <t>AlarmOn055=1</t>
  </si>
  <si>
    <t>AlarmScreenID055=0</t>
  </si>
  <si>
    <t>AlarmLEDEnable055=1</t>
  </si>
  <si>
    <t>AlarmEnable056=1</t>
  </si>
  <si>
    <t>wMessageLen056-000=112</t>
  </si>
  <si>
    <t>AlarmColor056=255</t>
  </si>
  <si>
    <t>AlarmOn056=1</t>
  </si>
  <si>
    <t>AlarmScreenID056=0</t>
  </si>
  <si>
    <t>AlarmLEDEnable056=1</t>
  </si>
  <si>
    <t>AlarmEnable057=1</t>
  </si>
  <si>
    <t>wMessageLen057-000=116</t>
  </si>
  <si>
    <t>AlarmColor057=255</t>
  </si>
  <si>
    <t>AlarmOn057=1</t>
  </si>
  <si>
    <t>AlarmScreenID057=0</t>
  </si>
  <si>
    <t>AlarmLEDEnable057=1</t>
  </si>
  <si>
    <t>AlarmEnable058=1</t>
  </si>
  <si>
    <t>wMessageLen058-000=116</t>
  </si>
  <si>
    <t>AlarmColor058=255</t>
  </si>
  <si>
    <t>AlarmOn058=1</t>
  </si>
  <si>
    <t>AlarmScreenID058=0</t>
  </si>
  <si>
    <t>AlarmLEDEnable058=1</t>
  </si>
  <si>
    <t>AlarmEnable059=1</t>
  </si>
  <si>
    <t>wMessageLen059-000=130</t>
  </si>
  <si>
    <t>AlarmColor059=255</t>
  </si>
  <si>
    <t>AlarmOn059=1</t>
  </si>
  <si>
    <t>AlarmScreenID059=0</t>
  </si>
  <si>
    <t>AlarmLEDEnable059=1</t>
  </si>
  <si>
    <t>AlarmEnable060=1</t>
  </si>
  <si>
    <t>wMessageLen060-000=116</t>
  </si>
  <si>
    <t>AlarmColor060=255</t>
  </si>
  <si>
    <t>AlarmOn060=1</t>
  </si>
  <si>
    <t>AlarmScreenID060=0</t>
  </si>
  <si>
    <t>AlarmLEDEnable060=1</t>
  </si>
  <si>
    <t>AlarmEnable061=1</t>
  </si>
  <si>
    <t>wMessageLen061-000=112</t>
  </si>
  <si>
    <t>AlarmColor061=255</t>
  </si>
  <si>
    <t>AlarmOn061=1</t>
  </si>
  <si>
    <t>AlarmScreenID061=0</t>
  </si>
  <si>
    <t>AlarmLEDEnable061=1</t>
  </si>
  <si>
    <t>AlarmEnable062=1</t>
  </si>
  <si>
    <t>wMessageLen062-000=116</t>
  </si>
  <si>
    <t>AlarmColor062=255</t>
  </si>
  <si>
    <t>AlarmOn062=1</t>
  </si>
  <si>
    <t>AlarmScreenID062=0</t>
  </si>
  <si>
    <t>AlarmLEDEnable062=1</t>
  </si>
  <si>
    <t>AlarmEnable063=1</t>
  </si>
  <si>
    <t>wMessageLen063-000=116</t>
  </si>
  <si>
    <t>AlarmColor063=255</t>
  </si>
  <si>
    <t>AlarmOn063=1</t>
  </si>
  <si>
    <t>AlarmScreenID063=0</t>
  </si>
  <si>
    <t>AlarmLEDEnable063=1</t>
  </si>
  <si>
    <t>AlarmEnable064=1</t>
  </si>
  <si>
    <t>wMessageLen064-000=130</t>
  </si>
  <si>
    <t>AlarmColor064=255</t>
  </si>
  <si>
    <t>AlarmOn064=1</t>
  </si>
  <si>
    <t>AlarmScreenID064=0</t>
  </si>
  <si>
    <t>AlarmLEDEnable064=1</t>
  </si>
  <si>
    <t>AlarmEnable065=1</t>
  </si>
  <si>
    <t>wMessageLen065-000=100</t>
  </si>
  <si>
    <t>AlarmColor065=255</t>
  </si>
  <si>
    <t>AlarmOn065=1</t>
  </si>
  <si>
    <t>AlarmScreenID065=0</t>
  </si>
  <si>
    <t>AlarmLEDEnable065=1</t>
  </si>
  <si>
    <t>AlarmEnable066=1</t>
  </si>
  <si>
    <t>wMessageLen066-000=96</t>
  </si>
  <si>
    <t>AlarmColor066=255</t>
  </si>
  <si>
    <t>AlarmOn066=1</t>
  </si>
  <si>
    <t>AlarmScreenID066=0</t>
  </si>
  <si>
    <t>AlarmLEDEnable066=1</t>
  </si>
  <si>
    <t>AlarmEnable067=1</t>
  </si>
  <si>
    <t>wMessageLen067-000=100</t>
  </si>
  <si>
    <t>AlarmColor067=255</t>
  </si>
  <si>
    <t>AlarmOn067=1</t>
  </si>
  <si>
    <t>AlarmScreenID067=0</t>
  </si>
  <si>
    <t>AlarmLEDEnable067=1</t>
  </si>
  <si>
    <t>AlarmEnable068=1</t>
  </si>
  <si>
    <t>wMessageLen068-000=100</t>
  </si>
  <si>
    <t>AlarmColor068=255</t>
  </si>
  <si>
    <t>AlarmOn068=1</t>
  </si>
  <si>
    <t>AlarmScreenID068=0</t>
  </si>
  <si>
    <t>AlarmLEDEnable068=1</t>
  </si>
  <si>
    <t>AlarmEnable069=1</t>
  </si>
  <si>
    <t>wMessageLen069-000=114</t>
  </si>
  <si>
    <t>AlarmColor069=255</t>
  </si>
  <si>
    <t>AlarmOn069=1</t>
  </si>
  <si>
    <t>AlarmScreenID069=0</t>
  </si>
  <si>
    <t>AlarmLEDEnable069=1</t>
  </si>
  <si>
    <t>AlarmEnable070=1</t>
  </si>
  <si>
    <t>wMessageLen070-000=122</t>
  </si>
  <si>
    <t>AlarmColor070=255</t>
  </si>
  <si>
    <t>AlarmOn070=1</t>
  </si>
  <si>
    <t>AlarmScreenID070=0</t>
  </si>
  <si>
    <t>AlarmLEDEnable070=1</t>
  </si>
  <si>
    <t>AlarmEnable071=1</t>
  </si>
  <si>
    <t>wMessageLen071-000=118</t>
  </si>
  <si>
    <t>AlarmColor071=255</t>
  </si>
  <si>
    <t>AlarmOn071=1</t>
  </si>
  <si>
    <t>AlarmScreenID071=0</t>
  </si>
  <si>
    <t>AlarmLEDEnable071=1</t>
  </si>
  <si>
    <t>AlarmEnable072=1</t>
  </si>
  <si>
    <t>wMessageLen072-000=122</t>
  </si>
  <si>
    <t>AlarmColor072=255</t>
  </si>
  <si>
    <t>AlarmOn072=1</t>
  </si>
  <si>
    <t>AlarmScreenID072=0</t>
  </si>
  <si>
    <t>AlarmLEDEnable072=1</t>
  </si>
  <si>
    <t>AlarmEnable073=1</t>
  </si>
  <si>
    <t>wMessageLen073-000=122</t>
  </si>
  <si>
    <t>AlarmColor073=255</t>
  </si>
  <si>
    <t>AlarmOn073=1</t>
  </si>
  <si>
    <t>AlarmScreenID073=0</t>
  </si>
  <si>
    <t>AlarmLEDEnable073=1</t>
  </si>
  <si>
    <t>AlarmEnable074=1</t>
  </si>
  <si>
    <t>wMessageLen074-000=136</t>
  </si>
  <si>
    <t>AlarmColor074=255</t>
  </si>
  <si>
    <t>AlarmOn074=1</t>
  </si>
  <si>
    <t>AlarmScreenID074=0</t>
  </si>
  <si>
    <t>AlarmLEDEnable074=1</t>
  </si>
  <si>
    <t>AlarmEnable075=1</t>
  </si>
  <si>
    <t>wMessageLen075-000=122</t>
  </si>
  <si>
    <t>AlarmColor075=255</t>
  </si>
  <si>
    <t>AlarmOn075=1</t>
  </si>
  <si>
    <t>AlarmScreenID075=0</t>
  </si>
  <si>
    <t>AlarmLEDEnable075=1</t>
  </si>
  <si>
    <t>AlarmEnable076=1</t>
  </si>
  <si>
    <t>wMessageLen076-000=118</t>
  </si>
  <si>
    <t>AlarmColor076=255</t>
  </si>
  <si>
    <t>AlarmOn076=1</t>
  </si>
  <si>
    <t>AlarmScreenID076=0</t>
  </si>
  <si>
    <t>AlarmLEDEnable076=1</t>
  </si>
  <si>
    <t>AlarmEnable077=1</t>
  </si>
  <si>
    <t>wMessageLen077-000=122</t>
  </si>
  <si>
    <t>AlarmColor077=255</t>
  </si>
  <si>
    <t>AlarmOn077=1</t>
  </si>
  <si>
    <t>AlarmScreenID077=0</t>
  </si>
  <si>
    <t>AlarmLEDEnable077=1</t>
  </si>
  <si>
    <t>AlarmEnable078=1</t>
  </si>
  <si>
    <t>wMessageLen078-000=122</t>
  </si>
  <si>
    <t>AlarmColor078=255</t>
  </si>
  <si>
    <t>AlarmOn078=1</t>
  </si>
  <si>
    <t>AlarmScreenID078=0</t>
  </si>
  <si>
    <t>AlarmLEDEnable078=1</t>
  </si>
  <si>
    <t>AlarmEnable079=1</t>
  </si>
  <si>
    <t>wMessageLen079-000=136</t>
  </si>
  <si>
    <t>AlarmColor079=255</t>
  </si>
  <si>
    <t>AlarmOn079=1</t>
  </si>
  <si>
    <t>AlarmScreenID079=0</t>
  </si>
  <si>
    <t>AlarmLEDEnable079=1</t>
  </si>
  <si>
    <t>AlarmEnable080=1</t>
  </si>
  <si>
    <t>wMessageLen080-000=106</t>
  </si>
  <si>
    <t>AlarmColor080=255</t>
  </si>
  <si>
    <t>AlarmOn080=1</t>
  </si>
  <si>
    <t>AlarmScreenID080=0</t>
  </si>
  <si>
    <t>AlarmLEDEnable080=1</t>
  </si>
  <si>
    <t>AlarmEnable081=1</t>
  </si>
  <si>
    <t>wMessageLen081-000=96</t>
  </si>
  <si>
    <t>AlarmColor081=255</t>
  </si>
  <si>
    <t>AlarmOn081=1</t>
  </si>
  <si>
    <t>AlarmScreenID081=0</t>
  </si>
  <si>
    <t>AlarmLEDEnable081=1</t>
  </si>
  <si>
    <t>AlarmEnable082=1</t>
  </si>
  <si>
    <t>wMessageLen082-000=100</t>
  </si>
  <si>
    <t>AlarmColor082=255</t>
  </si>
  <si>
    <t>AlarmOn082=1</t>
  </si>
  <si>
    <t>AlarmScreenID082=0</t>
  </si>
  <si>
    <t>AlarmLEDEnable082=1</t>
  </si>
  <si>
    <t>AlarmEnable083=1</t>
  </si>
  <si>
    <t>wMessageLen083-000=100</t>
  </si>
  <si>
    <t>AlarmColor083=255</t>
  </si>
  <si>
    <t>AlarmOn083=1</t>
  </si>
  <si>
    <t>AlarmScreenID083=0</t>
  </si>
  <si>
    <t>AlarmLEDEnable083=1</t>
  </si>
  <si>
    <t>AlarmEnable084=1</t>
  </si>
  <si>
    <t>wMessageLen084-000=120</t>
  </si>
  <si>
    <t>AlarmColor084=255</t>
  </si>
  <si>
    <t>AlarmOn084=1</t>
  </si>
  <si>
    <t>AlarmScreenID084=0</t>
  </si>
  <si>
    <t>AlarmLEDEnable084=1</t>
  </si>
  <si>
    <t>AlarmEnable085=1</t>
  </si>
  <si>
    <t>wMessageLen085-000=70</t>
  </si>
  <si>
    <t>AlarmColor085=255</t>
  </si>
  <si>
    <t>AlarmOn085=1</t>
  </si>
  <si>
    <t>AlarmScreenID085=0</t>
  </si>
  <si>
    <t>AlarmLEDEnable085=1</t>
  </si>
  <si>
    <t>AlarmEnable086=1</t>
  </si>
  <si>
    <t>wMessageLen086-000=66</t>
  </si>
  <si>
    <t>AlarmColor086=255</t>
  </si>
  <si>
    <t>AlarmOn086=1</t>
  </si>
  <si>
    <t>AlarmScreenID086=0</t>
  </si>
  <si>
    <t>AlarmLEDEnable086=1</t>
  </si>
  <si>
    <t>AlarmEnable087=1</t>
  </si>
  <si>
    <t>wMessageLen087-000=70</t>
  </si>
  <si>
    <t>AlarmColor087=255</t>
  </si>
  <si>
    <t>AlarmOn087=1</t>
  </si>
  <si>
    <t>AlarmScreenID087=0</t>
  </si>
  <si>
    <t>AlarmLEDEnable087=1</t>
  </si>
  <si>
    <t>AlarmEnable088=1</t>
  </si>
  <si>
    <t>wMessageLen088-000=70</t>
  </si>
  <si>
    <t>AlarmColor088=255</t>
  </si>
  <si>
    <t>AlarmOn088=1</t>
  </si>
  <si>
    <t>AlarmScreenID088=0</t>
  </si>
  <si>
    <t>AlarmLEDEnable088=1</t>
  </si>
  <si>
    <t>AlarmEnable089=1</t>
  </si>
  <si>
    <t>wMessageLen089-000=84</t>
  </si>
  <si>
    <t>AlarmColor089=255</t>
  </si>
  <si>
    <t>AlarmOn089=1</t>
  </si>
  <si>
    <t>AlarmScreenID089=0</t>
  </si>
  <si>
    <t>AlarmLEDEnable089=1</t>
  </si>
  <si>
    <t>AlarmEnable090=1</t>
  </si>
  <si>
    <t>wMessageLen090-000=82</t>
  </si>
  <si>
    <t>AlarmColor090=255</t>
  </si>
  <si>
    <t>AlarmOn090=1</t>
  </si>
  <si>
    <t>AlarmScreenID090=0</t>
  </si>
  <si>
    <t>AlarmLEDEnable090=1</t>
  </si>
  <si>
    <t>AlarmEnable091=1</t>
  </si>
  <si>
    <t>wMessageLen091-000=78</t>
  </si>
  <si>
    <t>AlarmColor091=255</t>
  </si>
  <si>
    <t>AlarmOn091=1</t>
  </si>
  <si>
    <t>AlarmScreenID091=0</t>
  </si>
  <si>
    <t>AlarmLEDEnable091=1</t>
  </si>
  <si>
    <t>AlarmEnable092=1</t>
  </si>
  <si>
    <t>wMessageLen092-000=82</t>
  </si>
  <si>
    <t>AlarmColor092=255</t>
  </si>
  <si>
    <t>AlarmOn092=1</t>
  </si>
  <si>
    <t>AlarmScreenID092=0</t>
  </si>
  <si>
    <t>AlarmLEDEnable092=1</t>
  </si>
  <si>
    <t>AlarmEnable093=1</t>
  </si>
  <si>
    <t>wMessageLen093-000=82</t>
  </si>
  <si>
    <t>AlarmColor093=255</t>
  </si>
  <si>
    <t>AlarmOn093=1</t>
  </si>
  <si>
    <t>AlarmScreenID093=0</t>
  </si>
  <si>
    <t>AlarmLEDEnable093=1</t>
  </si>
  <si>
    <t>AlarmEnable094=1</t>
  </si>
  <si>
    <t>wMessageLen094-000=96</t>
  </si>
  <si>
    <t>AlarmColor094=255</t>
  </si>
  <si>
    <t>AlarmOn094=1</t>
  </si>
  <si>
    <t>AlarmScreenID094=0</t>
  </si>
  <si>
    <t>AlarmLEDEnable094=1</t>
  </si>
  <si>
    <t>AlarmEnable095=1</t>
  </si>
  <si>
    <t>wMessageLen095-000=70</t>
  </si>
  <si>
    <t>AlarmColor095=255</t>
  </si>
  <si>
    <t>AlarmOn095=1</t>
  </si>
  <si>
    <t>AlarmScreenID095=0</t>
  </si>
  <si>
    <t>AlarmLEDEnable095=1</t>
  </si>
  <si>
    <t>AlarmEnable096=1</t>
  </si>
  <si>
    <t>wMessageLen096-000=66</t>
  </si>
  <si>
    <t>AlarmColor096=255</t>
  </si>
  <si>
    <t>AlarmOn096=1</t>
  </si>
  <si>
    <t>AlarmScreenID096=0</t>
  </si>
  <si>
    <t>AlarmLEDEnable096=1</t>
  </si>
  <si>
    <t>AlarmEnable097=1</t>
  </si>
  <si>
    <t>wMessageLen097-000=70</t>
  </si>
  <si>
    <t>AlarmColor097=255</t>
  </si>
  <si>
    <t>AlarmOn097=1</t>
  </si>
  <si>
    <t>AlarmScreenID097=0</t>
  </si>
  <si>
    <t>AlarmLEDEnable097=1</t>
  </si>
  <si>
    <t>AlarmEnable098=1</t>
  </si>
  <si>
    <t>wMessageLen098-000=70</t>
  </si>
  <si>
    <t>AlarmColor098=255</t>
  </si>
  <si>
    <t>AlarmOn098=1</t>
  </si>
  <si>
    <t>AlarmScreenID098=0</t>
  </si>
  <si>
    <t>AlarmLEDEnable098=1</t>
  </si>
  <si>
    <t>AlarmEnable099=1</t>
  </si>
  <si>
    <t>wMessageLen099-000=84</t>
  </si>
  <si>
    <t>AlarmColor099=255</t>
  </si>
  <si>
    <t>AlarmOn099=1</t>
  </si>
  <si>
    <t>AlarmScreenID099=0</t>
  </si>
  <si>
    <t>AlarmLEDEnable099=1</t>
  </si>
  <si>
    <t>AlarmColor0100=255</t>
  </si>
  <si>
    <t>AlarmOn0100=1</t>
  </si>
  <si>
    <t>AlarmScreenID0100=0</t>
  </si>
  <si>
    <t>AlarmLEDEnable0100=1</t>
  </si>
  <si>
    <t>AlarmMailAttachScreen0100=1</t>
  </si>
  <si>
    <t>AlarmColor0101=255</t>
  </si>
  <si>
    <t>AlarmOn0101=1</t>
  </si>
  <si>
    <t>AlarmScreenID0101=0</t>
  </si>
  <si>
    <t>AlarmLEDEnable0101=1</t>
  </si>
  <si>
    <t>AlarmMailAttachScreen0101=1</t>
  </si>
  <si>
    <t>AlarmColor0102=255</t>
  </si>
  <si>
    <t>AlarmOn0102=1</t>
  </si>
  <si>
    <t>AlarmScreenID0102=0</t>
  </si>
  <si>
    <t>AlarmLEDEnable0102=1</t>
  </si>
  <si>
    <t>AlarmMailAttachScreen0102=1</t>
  </si>
  <si>
    <t>AlarmColor0103=255</t>
  </si>
  <si>
    <t>AlarmOn0103=1</t>
  </si>
  <si>
    <t>AlarmScreenID0103=0</t>
  </si>
  <si>
    <t>AlarmLEDEnable0103=1</t>
  </si>
  <si>
    <t>AlarmMailAttachScreen0103=1</t>
  </si>
  <si>
    <t>AlarmColor0104=255</t>
  </si>
  <si>
    <t>AlarmOn0104=1</t>
  </si>
  <si>
    <t>AlarmScreenID0104=0</t>
  </si>
  <si>
    <t>AlarmLEDEnable0104=1</t>
  </si>
  <si>
    <t>AlarmMailAttachScreen0104=1</t>
  </si>
  <si>
    <t>AlarmColor0105=255</t>
  </si>
  <si>
    <t>AlarmOn0105=1</t>
  </si>
  <si>
    <t>AlarmScreenID0105=0</t>
  </si>
  <si>
    <t>AlarmLEDEnable0105=1</t>
  </si>
  <si>
    <t>AlarmMailAttachScreen0105=1</t>
  </si>
  <si>
    <t>AlarmColor0106=255</t>
  </si>
  <si>
    <t>AlarmOn0106=1</t>
  </si>
  <si>
    <t>AlarmScreenID0106=0</t>
  </si>
  <si>
    <t>AlarmLEDEnable0106=1</t>
  </si>
  <si>
    <t>AlarmMailAttachScreen0106=1</t>
  </si>
  <si>
    <t>AlarmColor0107=255</t>
  </si>
  <si>
    <t>AlarmOn0107=1</t>
  </si>
  <si>
    <t>AlarmScreenID0107=0</t>
  </si>
  <si>
    <t>AlarmLEDEnable0107=1</t>
  </si>
  <si>
    <t>AlarmMailAttachScreen0107=1</t>
  </si>
  <si>
    <t>AlarmColor0108=255</t>
  </si>
  <si>
    <t>AlarmOn0108=1</t>
  </si>
  <si>
    <t>AlarmScreenID0108=0</t>
  </si>
  <si>
    <t>AlarmLEDEnable0108=1</t>
  </si>
  <si>
    <t>AlarmMailAttachScreen0108=1</t>
  </si>
  <si>
    <t>AlarmColor0109=255</t>
  </si>
  <si>
    <t>AlarmOn0109=1</t>
  </si>
  <si>
    <t>AlarmScreenID0109=0</t>
  </si>
  <si>
    <t>AlarmLEDEnable0109=1</t>
  </si>
  <si>
    <t>AlarmMailAttachScreen0109=1</t>
  </si>
  <si>
    <t>AlarmColor0110=255</t>
  </si>
  <si>
    <t>AlarmOn0110=1</t>
  </si>
  <si>
    <t>AlarmScreenID0110=0</t>
  </si>
  <si>
    <t>AlarmLEDEnable0110=1</t>
  </si>
  <si>
    <t>AlarmMailAttachScreen0110=1</t>
  </si>
  <si>
    <t>AlarmColor0111=255</t>
  </si>
  <si>
    <t>AlarmOn0111=1</t>
  </si>
  <si>
    <t>AlarmScreenID0111=0</t>
  </si>
  <si>
    <t>AlarmLEDEnable0111=1</t>
  </si>
  <si>
    <t>AlarmMailAttachScreen0111=1</t>
  </si>
  <si>
    <t>AlarmColor0112=255</t>
  </si>
  <si>
    <t>AlarmOn0112=1</t>
  </si>
  <si>
    <t>AlarmScreenID0112=0</t>
  </si>
  <si>
    <t>AlarmLEDEnable0112=1</t>
  </si>
  <si>
    <t>AlarmMailAttachScreen0112=1</t>
  </si>
  <si>
    <t>AlarmColor0113=255</t>
  </si>
  <si>
    <t>AlarmOn0113=1</t>
  </si>
  <si>
    <t>AlarmScreenID0113=0</t>
  </si>
  <si>
    <t>AlarmLEDEnable0113=1</t>
  </si>
  <si>
    <t>AlarmMailAttachScreen0113=1</t>
  </si>
  <si>
    <t>AlarmColor0114=255</t>
  </si>
  <si>
    <t>AlarmOn0114=1</t>
  </si>
  <si>
    <t>AlarmScreenID0114=0</t>
  </si>
  <si>
    <t>AlarmLEDEnable0114=1</t>
  </si>
  <si>
    <t>AlarmMailAttachScreen0114=1</t>
  </si>
  <si>
    <t>AlarmColor0115=255</t>
  </si>
  <si>
    <t>AlarmOn0115=1</t>
  </si>
  <si>
    <t>AlarmScreenID0115=0</t>
  </si>
  <si>
    <t>AlarmLEDEnable0115=1</t>
  </si>
  <si>
    <t>AlarmMailAttachScreen0115=1</t>
  </si>
  <si>
    <t>AlarmColor0116=255</t>
  </si>
  <si>
    <t>AlarmOn0116=1</t>
  </si>
  <si>
    <t>AlarmScreenID0116=0</t>
  </si>
  <si>
    <t>AlarmLEDEnable0116=1</t>
  </si>
  <si>
    <t>AlarmMailAttachScreen0116=1</t>
  </si>
  <si>
    <t>AlarmColor0117=255</t>
  </si>
  <si>
    <t>AlarmOn0117=1</t>
  </si>
  <si>
    <t>AlarmScreenID0117=0</t>
  </si>
  <si>
    <t>AlarmLEDEnable0117=1</t>
  </si>
  <si>
    <t>AlarmMailAttachScreen0117=1</t>
  </si>
  <si>
    <t>AlarmColor0118=255</t>
  </si>
  <si>
    <t>AlarmOn0118=1</t>
  </si>
  <si>
    <t>AlarmScreenID0118=0</t>
  </si>
  <si>
    <t>AlarmLEDEnable0118=1</t>
  </si>
  <si>
    <t>AlarmMailAttachScreen0118=1</t>
  </si>
  <si>
    <t>AlarmColor0119=255</t>
  </si>
  <si>
    <t>AlarmOn0119=1</t>
  </si>
  <si>
    <t>AlarmScreenID0119=0</t>
  </si>
  <si>
    <t>AlarmLEDEnable0119=1</t>
  </si>
  <si>
    <t>AlarmMailAttachScreen0119=1</t>
  </si>
  <si>
    <t>AlarmColor0120=255</t>
  </si>
  <si>
    <t>AlarmOn0120=1</t>
  </si>
  <si>
    <t>AlarmScreenID0120=0</t>
  </si>
  <si>
    <t>AlarmLEDEnable0120=1</t>
  </si>
  <si>
    <t>AlarmMailAttachScreen0120=1</t>
  </si>
  <si>
    <t>AlarmColor0121=255</t>
  </si>
  <si>
    <t>AlarmOn0121=1</t>
  </si>
  <si>
    <t>AlarmScreenID0121=0</t>
  </si>
  <si>
    <t>AlarmLEDEnable0121=1</t>
  </si>
  <si>
    <t>AlarmMailAttachScreen0121=1</t>
  </si>
  <si>
    <t>AlarmColor0122=255</t>
  </si>
  <si>
    <t>AlarmOn0122=1</t>
  </si>
  <si>
    <t>AlarmScreenID0122=0</t>
  </si>
  <si>
    <t>AlarmLEDEnable0122=1</t>
  </si>
  <si>
    <t>AlarmMailAttachScreen0122=1</t>
  </si>
  <si>
    <t>AlarmColor0123=255</t>
  </si>
  <si>
    <t>AlarmOn0123=1</t>
  </si>
  <si>
    <t>AlarmScreenID0123=0</t>
  </si>
  <si>
    <t>AlarmLEDEnable0123=1</t>
  </si>
  <si>
    <t>AlarmMailAttachScreen0123=1</t>
  </si>
  <si>
    <t>AlarmColor0124=255</t>
  </si>
  <si>
    <t>AlarmOn0124=1</t>
  </si>
  <si>
    <t>AlarmScreenID0124=0</t>
  </si>
  <si>
    <t>AlarmLEDEnable0124=1</t>
  </si>
  <si>
    <t>AlarmMailAttachScreen0124=1</t>
  </si>
  <si>
    <t>AlarmColor0125=255</t>
  </si>
  <si>
    <t>AlarmOn0125=1</t>
  </si>
  <si>
    <t>AlarmScreenID0125=0</t>
  </si>
  <si>
    <t>AlarmLEDEnable0125=1</t>
  </si>
  <si>
    <t>AlarmMailAttachScreen0125=1</t>
  </si>
  <si>
    <t>AlarmColor0126=255</t>
  </si>
  <si>
    <t>AlarmOn0126=1</t>
  </si>
  <si>
    <t>AlarmScreenID0126=0</t>
  </si>
  <si>
    <t>AlarmLEDEnable0126=1</t>
  </si>
  <si>
    <t>AlarmMailAttachScreen0126=1</t>
  </si>
  <si>
    <t>AlarmColor0127=255</t>
  </si>
  <si>
    <t>AlarmOn0127=1</t>
  </si>
  <si>
    <t>AlarmScreenID0127=0</t>
  </si>
  <si>
    <t>AlarmLEDEnable0127=1</t>
  </si>
  <si>
    <t>AlarmMailAttachScreen0127=1</t>
  </si>
  <si>
    <t>AlarmColor0128=255</t>
  </si>
  <si>
    <t>AlarmOn0128=1</t>
  </si>
  <si>
    <t>AlarmScreenID0128=0</t>
  </si>
  <si>
    <t>AlarmLEDEnable0128=1</t>
  </si>
  <si>
    <t>AlarmMailAttachScreen0128=1</t>
  </si>
  <si>
    <t>AlarmColor0129=255</t>
  </si>
  <si>
    <t>AlarmOn0129=1</t>
  </si>
  <si>
    <t>AlarmScreenID0129=0</t>
  </si>
  <si>
    <t>AlarmLEDEnable0129=1</t>
  </si>
  <si>
    <t>AlarmMailAttachScreen0129=1</t>
  </si>
  <si>
    <t>AlarmColor0130=255</t>
  </si>
  <si>
    <t>AlarmOn0130=1</t>
  </si>
  <si>
    <t>AlarmScreenID0130=0</t>
  </si>
  <si>
    <t>AlarmLEDEnable0130=1</t>
  </si>
  <si>
    <t>AlarmMailAttachScreen0130=1</t>
  </si>
  <si>
    <t>AlarmColor0131=255</t>
  </si>
  <si>
    <t>AlarmOn0131=1</t>
  </si>
  <si>
    <t>AlarmScreenID0131=0</t>
  </si>
  <si>
    <t>AlarmLEDEnable0131=1</t>
  </si>
  <si>
    <t>AlarmMailAttachScreen0131=1</t>
  </si>
  <si>
    <t>AlarmColor0132=255</t>
  </si>
  <si>
    <t>AlarmOn0132=1</t>
  </si>
  <si>
    <t>AlarmScreenID0132=0</t>
  </si>
  <si>
    <t>AlarmLEDEnable0132=1</t>
  </si>
  <si>
    <t>AlarmMailAttachScreen0132=1</t>
  </si>
  <si>
    <t>AlarmColor0133=255</t>
  </si>
  <si>
    <t>AlarmOn0133=1</t>
  </si>
  <si>
    <t>AlarmScreenID0133=0</t>
  </si>
  <si>
    <t>AlarmLEDEnable0133=1</t>
  </si>
  <si>
    <t>AlarmMailAttachScreen0133=1</t>
  </si>
  <si>
    <t>AlarmColor0134=255</t>
  </si>
  <si>
    <t>AlarmOn0134=1</t>
  </si>
  <si>
    <t>AlarmScreenID0134=0</t>
  </si>
  <si>
    <t>AlarmLEDEnable0134=1</t>
  </si>
  <si>
    <t>AlarmMailAttachScreen0134=1</t>
  </si>
  <si>
    <t>AlarmColor0135=255</t>
  </si>
  <si>
    <t>AlarmOn0135=1</t>
  </si>
  <si>
    <t>AlarmScreenID0135=0</t>
  </si>
  <si>
    <t>AlarmLEDEnable0135=1</t>
  </si>
  <si>
    <t>AlarmMailAttachScreen0135=1</t>
  </si>
  <si>
    <t>AlarmColor0136=255</t>
  </si>
  <si>
    <t>AlarmOn0136=1</t>
  </si>
  <si>
    <t>AlarmScreenID0136=0</t>
  </si>
  <si>
    <t>AlarmLEDEnable0136=1</t>
  </si>
  <si>
    <t>AlarmMailAttachScreen0136=1</t>
  </si>
  <si>
    <t>AlarmColor0137=255</t>
  </si>
  <si>
    <t>AlarmOn0137=1</t>
  </si>
  <si>
    <t>AlarmScreenID0137=0</t>
  </si>
  <si>
    <t>AlarmLEDEnable0137=1</t>
  </si>
  <si>
    <t>AlarmMailAttachScreen0137=1</t>
  </si>
  <si>
    <t>AlarmColor0138=255</t>
  </si>
  <si>
    <t>AlarmOn0138=1</t>
  </si>
  <si>
    <t>AlarmScreenID0138=0</t>
  </si>
  <si>
    <t>AlarmLEDEnable0138=1</t>
  </si>
  <si>
    <t>AlarmMailAttachScreen0138=1</t>
  </si>
  <si>
    <t>AlarmColor0139=255</t>
  </si>
  <si>
    <t>AlarmOn0139=1</t>
  </si>
  <si>
    <t>AlarmScreenID0139=0</t>
  </si>
  <si>
    <t>AlarmLEDEnable0139=1</t>
  </si>
  <si>
    <t>AlarmMailAttachScreen0139=1</t>
  </si>
  <si>
    <t>AlarmColor0140=255</t>
  </si>
  <si>
    <t>AlarmOn0140=1</t>
  </si>
  <si>
    <t>AlarmScreenID0140=0</t>
  </si>
  <si>
    <t>AlarmLEDEnable0140=1</t>
  </si>
  <si>
    <t>AlarmMailAttachScreen0140=1</t>
  </si>
  <si>
    <t>AlarmColor0141=255</t>
  </si>
  <si>
    <t>AlarmOn0141=1</t>
  </si>
  <si>
    <t>AlarmScreenID0141=0</t>
  </si>
  <si>
    <t>AlarmLEDEnable0141=1</t>
  </si>
  <si>
    <t>AlarmMailAttachScreen0141=1</t>
  </si>
  <si>
    <t>AlarmColor0142=255</t>
  </si>
  <si>
    <t>AlarmOn0142=1</t>
  </si>
  <si>
    <t>AlarmScreenID0142=0</t>
  </si>
  <si>
    <t>AlarmLEDEnable0142=1</t>
  </si>
  <si>
    <t>AlarmMailAttachScreen0142=1</t>
  </si>
  <si>
    <t>AlarmColor0143=255</t>
  </si>
  <si>
    <t>AlarmOn0143=1</t>
  </si>
  <si>
    <t>AlarmScreenID0143=0</t>
  </si>
  <si>
    <t>AlarmLEDEnable0143=1</t>
  </si>
  <si>
    <t>AlarmMailAttachScreen0143=1</t>
  </si>
  <si>
    <t>AlarmColor0144=255</t>
  </si>
  <si>
    <t>AlarmOn0144=1</t>
  </si>
  <si>
    <t>AlarmScreenID0144=0</t>
  </si>
  <si>
    <t>AlarmLEDEnable0144=1</t>
  </si>
  <si>
    <t>AlarmMailAttachScreen0144=1</t>
  </si>
  <si>
    <t>AlarmColor0145=255</t>
  </si>
  <si>
    <t>AlarmOn0145=1</t>
  </si>
  <si>
    <t>AlarmScreenID0145=0</t>
  </si>
  <si>
    <t>AlarmLEDEnable0145=1</t>
  </si>
  <si>
    <t>AlarmMailAttachScreen0145=1</t>
  </si>
  <si>
    <t>AlarmColor0146=255</t>
  </si>
  <si>
    <t>AlarmOn0146=1</t>
  </si>
  <si>
    <t>AlarmScreenID0146=0</t>
  </si>
  <si>
    <t>AlarmLEDEnable0146=1</t>
  </si>
  <si>
    <t>AlarmMailAttachScreen0146=1</t>
  </si>
  <si>
    <t>AlarmColor0147=255</t>
  </si>
  <si>
    <t>AlarmOn0147=1</t>
  </si>
  <si>
    <t>AlarmScreenID0147=0</t>
  </si>
  <si>
    <t>AlarmLEDEnable0147=1</t>
  </si>
  <si>
    <t>AlarmMailAttachScreen0147=1</t>
  </si>
  <si>
    <t>AlarmColor0148=255</t>
  </si>
  <si>
    <t>AlarmOn0148=1</t>
  </si>
  <si>
    <t>AlarmScreenID0148=0</t>
  </si>
  <si>
    <t>AlarmLEDEnable0148=1</t>
  </si>
  <si>
    <t>AlarmMailAttachScreen0148=1</t>
  </si>
  <si>
    <t>AlarmColor0149=255</t>
  </si>
  <si>
    <t>AlarmOn0149=1</t>
  </si>
  <si>
    <t>AlarmScreenID0149=0</t>
  </si>
  <si>
    <t>AlarmLEDEnable0149=1</t>
  </si>
  <si>
    <t>AlarmMailAttachScreen0149=1</t>
  </si>
  <si>
    <t>AlarmColor0150=255</t>
  </si>
  <si>
    <t>AlarmOn0150=1</t>
  </si>
  <si>
    <t>AlarmScreenID0150=0</t>
  </si>
  <si>
    <t>AlarmLEDEnable0150=1</t>
  </si>
  <si>
    <t>AlarmMailAttachScreen0150=1</t>
  </si>
  <si>
    <t>AlarmColor0151=255</t>
  </si>
  <si>
    <t>AlarmOn0151=1</t>
  </si>
  <si>
    <t>AlarmScreenID0151=0</t>
  </si>
  <si>
    <t>AlarmLEDEnable0151=1</t>
  </si>
  <si>
    <t>AlarmMailAttachScreen0151=1</t>
  </si>
  <si>
    <t>AlarmColor0152=255</t>
  </si>
  <si>
    <t>AlarmOn0152=1</t>
  </si>
  <si>
    <t>AlarmScreenID0152=0</t>
  </si>
  <si>
    <t>AlarmLEDEnable0152=1</t>
  </si>
  <si>
    <t>AlarmMailAttachScreen0152=1</t>
  </si>
  <si>
    <t>AlarmColor0153=255</t>
  </si>
  <si>
    <t>AlarmOn0153=1</t>
  </si>
  <si>
    <t>AlarmScreenID0153=0</t>
  </si>
  <si>
    <t>AlarmLEDEnable0153=1</t>
  </si>
  <si>
    <t>AlarmMailAttachScreen0153=1</t>
  </si>
  <si>
    <t>AlarmColor0154=255</t>
  </si>
  <si>
    <t>AlarmOn0154=1</t>
  </si>
  <si>
    <t>AlarmScreenID0154=0</t>
  </si>
  <si>
    <t>AlarmLEDEnable0154=1</t>
  </si>
  <si>
    <t>AlarmMailAttachScreen0154=1</t>
  </si>
  <si>
    <t>AlarmColor0155=255</t>
  </si>
  <si>
    <t>AlarmOn0155=1</t>
  </si>
  <si>
    <t>AlarmScreenID0155=0</t>
  </si>
  <si>
    <t>AlarmLEDEnable0155=1</t>
  </si>
  <si>
    <t>AlarmMailAttachScreen0155=1</t>
  </si>
  <si>
    <t>AlarmColor0156=255</t>
  </si>
  <si>
    <t>AlarmOn0156=1</t>
  </si>
  <si>
    <t>AlarmScreenID0156=0</t>
  </si>
  <si>
    <t>AlarmLEDEnable0156=1</t>
  </si>
  <si>
    <t>AlarmMailAttachScreen0156=1</t>
  </si>
  <si>
    <t>AlarmColor0157=255</t>
  </si>
  <si>
    <t>AlarmOn0157=1</t>
  </si>
  <si>
    <t>AlarmScreenID0157=0</t>
  </si>
  <si>
    <t>AlarmLEDEnable0157=1</t>
  </si>
  <si>
    <t>AlarmMailAttachScreen0157=1</t>
  </si>
  <si>
    <t>AlarmColor0158=255</t>
  </si>
  <si>
    <t>AlarmOn0158=1</t>
  </si>
  <si>
    <t>AlarmScreenID0158=0</t>
  </si>
  <si>
    <t>AlarmLEDEnable0158=1</t>
  </si>
  <si>
    <t>AlarmMailAttachScreen0158=1</t>
  </si>
  <si>
    <t>AlarmColor0159=255</t>
  </si>
  <si>
    <t>AlarmOn0159=1</t>
  </si>
  <si>
    <t>AlarmScreenID0159=0</t>
  </si>
  <si>
    <t>AlarmLEDEnable0159=1</t>
  </si>
  <si>
    <t>AlarmMailAttachScreen0159=1</t>
  </si>
  <si>
    <t>AlarmColor0160=255</t>
  </si>
  <si>
    <t>AlarmOn0160=1</t>
  </si>
  <si>
    <t>AlarmScreenID0160=0</t>
  </si>
  <si>
    <t>AlarmLEDEnable0160=1</t>
  </si>
  <si>
    <t>AlarmMailAttachScreen0160=1</t>
  </si>
  <si>
    <t>AlarmColor0161=255</t>
  </si>
  <si>
    <t>AlarmOn0161=1</t>
  </si>
  <si>
    <t>AlarmScreenID0161=0</t>
  </si>
  <si>
    <t>AlarmLEDEnable0161=1</t>
  </si>
  <si>
    <t>AlarmMailAttachScreen0161=1</t>
  </si>
  <si>
    <t>AlarmColor0162=255</t>
  </si>
  <si>
    <t>AlarmOn0162=1</t>
  </si>
  <si>
    <t>AlarmScreenID0162=0</t>
  </si>
  <si>
    <t>AlarmLEDEnable0162=1</t>
  </si>
  <si>
    <t>AlarmMailAttachScreen0162=1</t>
  </si>
  <si>
    <t>AlarmColor0163=255</t>
  </si>
  <si>
    <t>AlarmOn0163=1</t>
  </si>
  <si>
    <t>AlarmScreenID0163=0</t>
  </si>
  <si>
    <t>AlarmLEDEnable0163=1</t>
  </si>
  <si>
    <t>AlarmMailAttachScreen0163=1</t>
  </si>
  <si>
    <t>AlarmColor0164=255</t>
  </si>
  <si>
    <t>AlarmOn0164=1</t>
  </si>
  <si>
    <t>AlarmScreenID0164=0</t>
  </si>
  <si>
    <t>AlarmLEDEnable0164=1</t>
  </si>
  <si>
    <t>AlarmMailAttachScreen0164=1</t>
  </si>
  <si>
    <t>AlarmColor0165=255</t>
  </si>
  <si>
    <t>AlarmOn0165=1</t>
  </si>
  <si>
    <t>AlarmScreenID0165=0</t>
  </si>
  <si>
    <t>AlarmLEDEnable0165=1</t>
  </si>
  <si>
    <t>AlarmMailAttachScreen0165=1</t>
  </si>
  <si>
    <t>AlarmColor0166=255</t>
  </si>
  <si>
    <t>AlarmOn0166=1</t>
  </si>
  <si>
    <t>AlarmScreenID0166=0</t>
  </si>
  <si>
    <t>AlarmLEDEnable0166=1</t>
  </si>
  <si>
    <t>AlarmMailAttachScreen0166=1</t>
  </si>
  <si>
    <t>AlarmColor0167=255</t>
  </si>
  <si>
    <t>AlarmOn0167=1</t>
  </si>
  <si>
    <t>AlarmScreenID0167=0</t>
  </si>
  <si>
    <t>AlarmLEDEnable0167=1</t>
  </si>
  <si>
    <t>AlarmMailAttachScreen0167=1</t>
  </si>
  <si>
    <t>AlarmColor0168=255</t>
  </si>
  <si>
    <t>AlarmOn0168=1</t>
  </si>
  <si>
    <t>AlarmScreenID0168=0</t>
  </si>
  <si>
    <t>AlarmLEDEnable0168=1</t>
  </si>
  <si>
    <t>AlarmMailAttachScreen0168=1</t>
  </si>
  <si>
    <t>AlarmColor0169=255</t>
  </si>
  <si>
    <t>AlarmOn0169=1</t>
  </si>
  <si>
    <t>AlarmScreenID0169=0</t>
  </si>
  <si>
    <t>AlarmLEDEnable0169=1</t>
  </si>
  <si>
    <t>AlarmMailAttachScreen0169=1</t>
  </si>
  <si>
    <t>AlarmColor0170=255</t>
  </si>
  <si>
    <t>AlarmOn0170=1</t>
  </si>
  <si>
    <t>AlarmScreenID0170=0</t>
  </si>
  <si>
    <t>AlarmLEDEnable0170=1</t>
  </si>
  <si>
    <t>AlarmMailAttachScreen0170=1</t>
  </si>
  <si>
    <t>AlarmColor0171=255</t>
  </si>
  <si>
    <t>AlarmOn0171=1</t>
  </si>
  <si>
    <t>AlarmScreenID0171=0</t>
  </si>
  <si>
    <t>AlarmLEDEnable0171=1</t>
  </si>
  <si>
    <t>AlarmMailAttachScreen0171=1</t>
  </si>
  <si>
    <t>AlarmColor0172=255</t>
  </si>
  <si>
    <t>AlarmOn0172=1</t>
  </si>
  <si>
    <t>AlarmScreenID0172=0</t>
  </si>
  <si>
    <t>AlarmLEDEnable0172=1</t>
  </si>
  <si>
    <t>AlarmMailAttachScreen0172=1</t>
  </si>
  <si>
    <t>AlarmColor0173=255</t>
  </si>
  <si>
    <t>AlarmOn0173=1</t>
  </si>
  <si>
    <t>AlarmScreenID0173=0</t>
  </si>
  <si>
    <t>AlarmLEDEnable0173=1</t>
  </si>
  <si>
    <t>AlarmMailAttachScreen0173=1</t>
  </si>
  <si>
    <t>AlarmColor0174=255</t>
  </si>
  <si>
    <t>AlarmOn0174=1</t>
  </si>
  <si>
    <t>AlarmScreenID0174=0</t>
  </si>
  <si>
    <t>AlarmLEDEnable0174=1</t>
  </si>
  <si>
    <t>AlarmMailAttachScreen0174=1</t>
  </si>
  <si>
    <t>AlarmColor0175=255</t>
  </si>
  <si>
    <t>AlarmOn0175=1</t>
  </si>
  <si>
    <t>AlarmScreenID0175=0</t>
  </si>
  <si>
    <t>AlarmLEDEnable0175=1</t>
  </si>
  <si>
    <t>AlarmMailAttachScreen0175=1</t>
  </si>
  <si>
    <t>AlarmColor0176=255</t>
  </si>
  <si>
    <t>AlarmOn0176=1</t>
  </si>
  <si>
    <t>AlarmScreenID0176=0</t>
  </si>
  <si>
    <t>AlarmLEDEnable0176=1</t>
  </si>
  <si>
    <t>AlarmMailAttachScreen0176=1</t>
  </si>
  <si>
    <t>AlarmColor0193=255</t>
  </si>
  <si>
    <t>AlarmOn0193=1</t>
  </si>
  <si>
    <t>AlarmScreenID0193=0</t>
  </si>
  <si>
    <t>AlarmLEDEnable0193=1</t>
  </si>
  <si>
    <t>AlarmMailAttachScreen0193=1</t>
  </si>
  <si>
    <t>AlarmColor0194=255</t>
  </si>
  <si>
    <t>AlarmOn0194=1</t>
  </si>
  <si>
    <t>AlarmScreenID0194=0</t>
  </si>
  <si>
    <t>AlarmLEDEnable0194=1</t>
  </si>
  <si>
    <t>AlarmMailAttachScreen0194=1</t>
  </si>
  <si>
    <t>AlarmColor0195=255</t>
  </si>
  <si>
    <t>AlarmOn0195=1</t>
  </si>
  <si>
    <t>AlarmScreenID0195=0</t>
  </si>
  <si>
    <t>AlarmLEDEnable0195=1</t>
  </si>
  <si>
    <t>AlarmMailAttachScreen0195=1</t>
  </si>
  <si>
    <t>AlarmColor0196=255</t>
  </si>
  <si>
    <t>AlarmOn0196=1</t>
  </si>
  <si>
    <t>AlarmScreenID0196=0</t>
  </si>
  <si>
    <t>AlarmLEDEnable0196=1</t>
  </si>
  <si>
    <t>AlarmMailAttachScreen0196=1</t>
  </si>
  <si>
    <t>AlarmColor0197=255</t>
  </si>
  <si>
    <t>AlarmOn0197=1</t>
  </si>
  <si>
    <t>AlarmScreenID0197=0</t>
  </si>
  <si>
    <t>AlarmLEDEnable0197=1</t>
  </si>
  <si>
    <t>AlarmMailAttachScreen0197=1</t>
  </si>
  <si>
    <t>AlarmColor0198=255</t>
  </si>
  <si>
    <t>AlarmOn0198=1</t>
  </si>
  <si>
    <t>AlarmScreenID0198=0</t>
  </si>
  <si>
    <t>AlarmLEDEnable0198=1</t>
  </si>
  <si>
    <t>AlarmMailAttachScreen0198=1</t>
  </si>
  <si>
    <t>AlarmColor0199=255</t>
  </si>
  <si>
    <t>AlarmOn0199=1</t>
  </si>
  <si>
    <t>AlarmScreenID0199=0</t>
  </si>
  <si>
    <t>AlarmLEDEnable0199=1</t>
  </si>
  <si>
    <t>AlarmMailAttachScreen0199=1</t>
  </si>
  <si>
    <t>AlarmColor0200=255</t>
  </si>
  <si>
    <t>AlarmOn0200=1</t>
  </si>
  <si>
    <t>AlarmScreenID0200=0</t>
  </si>
  <si>
    <t>AlarmLEDEnable0200=1</t>
  </si>
  <si>
    <t>AlarmMailAttachScreen0200=1</t>
  </si>
  <si>
    <t>AlarmColor0201=255</t>
  </si>
  <si>
    <t>AlarmOn0201=1</t>
  </si>
  <si>
    <t>AlarmScreenID0201=0</t>
  </si>
  <si>
    <t>AlarmLEDEnable0201=1</t>
  </si>
  <si>
    <t>AlarmMailAttachScreen0201=1</t>
  </si>
  <si>
    <t>AlarmColor0202=255</t>
  </si>
  <si>
    <t>AlarmOn0202=1</t>
  </si>
  <si>
    <t>AlarmScreenID0202=0</t>
  </si>
  <si>
    <t>AlarmLEDEnable0202=1</t>
  </si>
  <si>
    <t>AlarmMailAttachScreen0202=1</t>
  </si>
  <si>
    <t>AlarmColor0203=255</t>
  </si>
  <si>
    <t>AlarmOn0203=1</t>
  </si>
  <si>
    <t>AlarmScreenID0203=0</t>
  </si>
  <si>
    <t>AlarmLEDEnable0203=1</t>
  </si>
  <si>
    <t>AlarmMailAttachScreen0203=1</t>
  </si>
  <si>
    <t>AlarmColor0204=255</t>
  </si>
  <si>
    <t>AlarmOn0204=1</t>
  </si>
  <si>
    <t>AlarmScreenID0204=0</t>
  </si>
  <si>
    <t>AlarmLEDEnable0204=1</t>
  </si>
  <si>
    <t>AlarmMailAttachScreen0204=1</t>
  </si>
  <si>
    <t>AlarmColor0205=255</t>
  </si>
  <si>
    <t>AlarmOn0205=1</t>
  </si>
  <si>
    <t>AlarmScreenID0205=0</t>
  </si>
  <si>
    <t>AlarmLEDEnable0205=1</t>
  </si>
  <si>
    <t>AlarmMailAttachScreen0205=1</t>
  </si>
  <si>
    <t>AlarmColor0206=255</t>
  </si>
  <si>
    <t>AlarmOn0206=1</t>
  </si>
  <si>
    <t>AlarmScreenID0206=0</t>
  </si>
  <si>
    <t>AlarmLEDEnable0206=1</t>
  </si>
  <si>
    <t>AlarmMailAttachScreen0206=1</t>
  </si>
  <si>
    <t>AlarmColor0207=255</t>
  </si>
  <si>
    <t>AlarmOn0207=1</t>
  </si>
  <si>
    <t>AlarmScreenID0207=0</t>
  </si>
  <si>
    <t>AlarmLEDEnable0207=1</t>
  </si>
  <si>
    <t>AlarmMailAttachScreen0207=1</t>
  </si>
  <si>
    <t>AlarmColor0208=255</t>
  </si>
  <si>
    <t>AlarmOn0208=1</t>
  </si>
  <si>
    <t>AlarmScreenID0208=0</t>
  </si>
  <si>
    <t>AlarmLEDEnable0208=1</t>
  </si>
  <si>
    <t>AlarmMailAttachScreen0208=1</t>
  </si>
  <si>
    <t>AlarmColor0209=255</t>
  </si>
  <si>
    <t>AlarmOn0209=1</t>
  </si>
  <si>
    <t>AlarmScreenID0209=0</t>
  </si>
  <si>
    <t>AlarmLEDEnable0209=1</t>
  </si>
  <si>
    <t>AlarmMailAttachScreen0209=1</t>
  </si>
  <si>
    <t>AlarmColor0210=255</t>
  </si>
  <si>
    <t>AlarmOn0210=1</t>
  </si>
  <si>
    <t>AlarmScreenID0210=0</t>
  </si>
  <si>
    <t>AlarmLEDEnable0210=1</t>
  </si>
  <si>
    <t>AlarmMailAttachScreen0210=1</t>
  </si>
  <si>
    <t>AlarmColor0211=255</t>
  </si>
  <si>
    <t>AlarmOn0211=1</t>
  </si>
  <si>
    <t>AlarmScreenID0211=0</t>
  </si>
  <si>
    <t>AlarmLEDEnable0211=1</t>
  </si>
  <si>
    <t>AlarmMailAttachScreen0211=1</t>
  </si>
  <si>
    <t>AlarmColor0212=255</t>
  </si>
  <si>
    <t>AlarmOn0212=1</t>
  </si>
  <si>
    <t>AlarmScreenID0212=0</t>
  </si>
  <si>
    <t>AlarmLEDEnable0212=1</t>
  </si>
  <si>
    <t>AlarmMailAttachScreen0212=1</t>
  </si>
  <si>
    <t>AlarmColor0213=255</t>
  </si>
  <si>
    <t>AlarmOn0213=1</t>
  </si>
  <si>
    <t>AlarmScreenID0213=0</t>
  </si>
  <si>
    <t>AlarmLEDEnable0213=1</t>
  </si>
  <si>
    <t>AlarmMailAttachScreen0213=1</t>
  </si>
  <si>
    <t>AlarmColor0214=255</t>
  </si>
  <si>
    <t>AlarmOn0214=1</t>
  </si>
  <si>
    <t>AlarmScreenID0214=0</t>
  </si>
  <si>
    <t>AlarmLEDEnable0214=1</t>
  </si>
  <si>
    <t>AlarmMailAttachScreen0214=1</t>
  </si>
  <si>
    <t>AlarmColor0215=255</t>
  </si>
  <si>
    <t>AlarmOn0215=1</t>
  </si>
  <si>
    <t>AlarmScreenID0215=0</t>
  </si>
  <si>
    <t>AlarmLEDEnable0215=1</t>
  </si>
  <si>
    <t>AlarmMailAttachScreen0215=1</t>
  </si>
  <si>
    <t>AlarmColor0216=255</t>
  </si>
  <si>
    <t>AlarmOn0216=1</t>
  </si>
  <si>
    <t>AlarmScreenID0216=0</t>
  </si>
  <si>
    <t>AlarmLEDEnable0216=1</t>
  </si>
  <si>
    <t>AlarmMailAttachScreen0216=1</t>
  </si>
  <si>
    <t>AlarmColor0217=255</t>
  </si>
  <si>
    <t>AlarmOn0217=1</t>
  </si>
  <si>
    <t>AlarmScreenID0217=0</t>
  </si>
  <si>
    <t>AlarmLEDEnable0217=1</t>
  </si>
  <si>
    <t>AlarmMailAttachScreen0217=1</t>
  </si>
  <si>
    <t>AlarmColor0218=255</t>
  </si>
  <si>
    <t>AlarmOn0218=1</t>
  </si>
  <si>
    <t>AlarmScreenID0218=0</t>
  </si>
  <si>
    <t>AlarmLEDEnable0218=1</t>
  </si>
  <si>
    <t>AlarmMailAttachScreen0218=1</t>
  </si>
  <si>
    <t>AlarmColor0219=255</t>
  </si>
  <si>
    <t>AlarmOn0219=1</t>
  </si>
  <si>
    <t>AlarmScreenID0219=0</t>
  </si>
  <si>
    <t>AlarmLEDEnable0219=1</t>
  </si>
  <si>
    <t>AlarmMailAttachScreen0219=1</t>
  </si>
  <si>
    <t>AlarmColor0220=255</t>
  </si>
  <si>
    <t>AlarmOn0220=1</t>
  </si>
  <si>
    <t>AlarmScreenID0220=0</t>
  </si>
  <si>
    <t>AlarmLEDEnable0220=1</t>
  </si>
  <si>
    <t>AlarmMailAttachScreen0220=1</t>
  </si>
  <si>
    <t>AlarmColor0221=255</t>
  </si>
  <si>
    <t>AlarmOn0221=1</t>
  </si>
  <si>
    <t>AlarmScreenID0221=0</t>
  </si>
  <si>
    <t>AlarmLEDEnable0221=1</t>
  </si>
  <si>
    <t>AlarmMailAttachScreen0221=1</t>
  </si>
  <si>
    <t>AlarmColor0222=255</t>
  </si>
  <si>
    <t>AlarmOn0222=1</t>
  </si>
  <si>
    <t>AlarmScreenID0222=0</t>
  </si>
  <si>
    <t>AlarmLEDEnable0222=1</t>
  </si>
  <si>
    <t>AlarmMailAttachScreen0222=1</t>
  </si>
  <si>
    <t>AlarmColor0223=255</t>
  </si>
  <si>
    <t>AlarmOn0223=1</t>
  </si>
  <si>
    <t>AlarmScreenID0223=0</t>
  </si>
  <si>
    <t>AlarmLEDEnable0223=1</t>
  </si>
  <si>
    <t>AlarmMailAttachScreen0223=1</t>
  </si>
  <si>
    <t>AlarmColor0224=255</t>
  </si>
  <si>
    <t>AlarmOn0224=1</t>
  </si>
  <si>
    <t>AlarmScreenID0224=0</t>
  </si>
  <si>
    <t>AlarmLEDEnable0224=1</t>
  </si>
  <si>
    <t>AlarmMailAttachScreen0224=1</t>
  </si>
  <si>
    <t>AlarmColor0225=255</t>
  </si>
  <si>
    <t>AlarmOn0225=1</t>
  </si>
  <si>
    <t>AlarmScreenID0225=0</t>
  </si>
  <si>
    <t>AlarmLEDEnable0225=1</t>
  </si>
  <si>
    <t>AlarmMailAttachScreen0225=1</t>
  </si>
  <si>
    <t>AlarmColor0226=255</t>
  </si>
  <si>
    <t>AlarmOn0226=1</t>
  </si>
  <si>
    <t>AlarmScreenID0226=0</t>
  </si>
  <si>
    <t>AlarmLEDEnable0226=1</t>
  </si>
  <si>
    <t>AlarmMailAttachScreen0226=1</t>
  </si>
  <si>
    <t>AlarmColor0227=255</t>
  </si>
  <si>
    <t>AlarmOn0227=1</t>
  </si>
  <si>
    <t>AlarmScreenID0227=0</t>
  </si>
  <si>
    <t>AlarmLEDEnable0227=1</t>
  </si>
  <si>
    <t>AlarmMailAttachScreen0227=1</t>
  </si>
  <si>
    <t>AlarmColor0228=255</t>
  </si>
  <si>
    <t>AlarmOn0228=1</t>
  </si>
  <si>
    <t>AlarmScreenID0228=0</t>
  </si>
  <si>
    <t>AlarmLEDEnable0228=1</t>
  </si>
  <si>
    <t>AlarmMailAttachScreen0228=1</t>
  </si>
  <si>
    <t>AlarmColor0229=255</t>
  </si>
  <si>
    <t>AlarmOn0229=1</t>
  </si>
  <si>
    <t>AlarmScreenID0229=0</t>
  </si>
  <si>
    <t>AlarmLEDEnable0229=1</t>
  </si>
  <si>
    <t>AlarmMailAttachScreen0229=1</t>
  </si>
  <si>
    <t>AlarmColor0230=255</t>
  </si>
  <si>
    <t>AlarmOn0230=1</t>
  </si>
  <si>
    <t>AlarmScreenID0230=0</t>
  </si>
  <si>
    <t>AlarmLEDEnable0230=1</t>
  </si>
  <si>
    <t>AlarmMailAttachScreen0230=1</t>
  </si>
  <si>
    <t>AlarmColor0231=255</t>
  </si>
  <si>
    <t>AlarmOn0231=1</t>
  </si>
  <si>
    <t>AlarmScreenID0231=0</t>
  </si>
  <si>
    <t>AlarmLEDEnable0231=1</t>
  </si>
  <si>
    <t>AlarmMailAttachScreen0231=1</t>
  </si>
  <si>
    <t>AlarmColor0232=255</t>
  </si>
  <si>
    <t>AlarmOn0232=1</t>
  </si>
  <si>
    <t>AlarmScreenID0232=0</t>
  </si>
  <si>
    <t>AlarmLEDEnable0232=1</t>
  </si>
  <si>
    <t>AlarmMailAttachScreen0232=1</t>
  </si>
  <si>
    <t>AlarmColor0233=255</t>
  </si>
  <si>
    <t>AlarmOn0233=1</t>
  </si>
  <si>
    <t>AlarmScreenID0233=0</t>
  </si>
  <si>
    <t>AlarmLEDEnable0233=1</t>
  </si>
  <si>
    <t>AlarmMailAttachScreen0233=1</t>
  </si>
  <si>
    <t>AlarmColor0234=255</t>
  </si>
  <si>
    <t>AlarmOn0234=1</t>
  </si>
  <si>
    <t>AlarmScreenID0234=0</t>
  </si>
  <si>
    <t>AlarmLEDEnable0234=1</t>
  </si>
  <si>
    <t>AlarmMailAttachScreen0234=1</t>
  </si>
  <si>
    <t>AlarmColor0235=255</t>
  </si>
  <si>
    <t>AlarmOn0235=1</t>
  </si>
  <si>
    <t>AlarmScreenID0235=0</t>
  </si>
  <si>
    <t>AlarmLEDEnable0235=1</t>
  </si>
  <si>
    <t>AlarmMailAttachScreen0235=1</t>
  </si>
  <si>
    <t>AlarmColor0236=255</t>
  </si>
  <si>
    <t>AlarmOn0236=1</t>
  </si>
  <si>
    <t>AlarmScreenID0236=0</t>
  </si>
  <si>
    <t>AlarmLEDEnable0236=1</t>
  </si>
  <si>
    <t>AlarmMailAttachScreen0236=1</t>
  </si>
  <si>
    <t>AlarmColor0237=255</t>
  </si>
  <si>
    <t>AlarmOn0237=1</t>
  </si>
  <si>
    <t>AlarmScreenID0237=0</t>
  </si>
  <si>
    <t>AlarmLEDEnable0237=1</t>
  </si>
  <si>
    <t>AlarmMailAttachScreen0237=1</t>
  </si>
  <si>
    <t>AlarmColor0238=255</t>
  </si>
  <si>
    <t>AlarmOn0238=1</t>
  </si>
  <si>
    <t>AlarmScreenID0238=0</t>
  </si>
  <si>
    <t>AlarmLEDEnable0238=1</t>
  </si>
  <si>
    <t>AlarmMailAttachScreen0238=1</t>
  </si>
  <si>
    <t>AlarmColor0239=255</t>
  </si>
  <si>
    <t>AlarmOn0239=1</t>
  </si>
  <si>
    <t>AlarmScreenID0239=0</t>
  </si>
  <si>
    <t>AlarmLEDEnable0239=1</t>
  </si>
  <si>
    <t>AlarmMailAttachScreen0239=1</t>
  </si>
  <si>
    <t>AlarmColor0240=255</t>
  </si>
  <si>
    <t>AlarmOn0240=1</t>
  </si>
  <si>
    <t>AlarmScreenID0240=0</t>
  </si>
  <si>
    <t>AlarmLEDEnable0240=1</t>
  </si>
  <si>
    <t>AlarmMailAttachScreen0240=1</t>
  </si>
  <si>
    <t>AlarmColor0305=255</t>
  </si>
  <si>
    <t>AlarmOn0305=1</t>
  </si>
  <si>
    <t>AlarmScreenID0305=0</t>
  </si>
  <si>
    <t>AlarmLEDEnable0305=1</t>
  </si>
  <si>
    <t>AlarmMailAttachScreen0305=1</t>
  </si>
  <si>
    <t>AlarmColor0306=255</t>
  </si>
  <si>
    <t>AlarmOn0306=1</t>
  </si>
  <si>
    <t>AlarmScreenID0306=0</t>
  </si>
  <si>
    <t>AlarmLEDEnable0306=1</t>
  </si>
  <si>
    <t>AlarmMailAttachScreen0306=1</t>
  </si>
  <si>
    <t>AlarmColor0307=255</t>
  </si>
  <si>
    <t>AlarmOn0307=1</t>
  </si>
  <si>
    <t>AlarmScreenID0307=0</t>
  </si>
  <si>
    <t>AlarmLEDEnable0307=1</t>
  </si>
  <si>
    <t>AlarmMailAttachScreen0307=1</t>
  </si>
  <si>
    <t>AlarmColor0308=255</t>
  </si>
  <si>
    <t>AlarmOn0308=1</t>
  </si>
  <si>
    <t>AlarmScreenID0308=0</t>
  </si>
  <si>
    <t>AlarmLEDEnable0308=1</t>
  </si>
  <si>
    <t>AlarmMailAttachScreen0308=1</t>
  </si>
  <si>
    <t>AlarmColor0309=255</t>
  </si>
  <si>
    <t>AlarmOn0309=1</t>
  </si>
  <si>
    <t>AlarmScreenID0309=0</t>
  </si>
  <si>
    <t>AlarmLEDEnable0309=1</t>
  </si>
  <si>
    <t>AlarmMailAttachScreen0309=1</t>
  </si>
  <si>
    <t>AlarmColor0310=255</t>
  </si>
  <si>
    <t>AlarmOn0310=1</t>
  </si>
  <si>
    <t>AlarmScreenID0310=0</t>
  </si>
  <si>
    <t>AlarmLEDEnable0310=1</t>
  </si>
  <si>
    <t>AlarmMailAttachScreen0310=1</t>
  </si>
  <si>
    <t>AlarmColor0311=255</t>
  </si>
  <si>
    <t>AlarmOn0311=1</t>
  </si>
  <si>
    <t>AlarmScreenID0311=0</t>
  </si>
  <si>
    <t>AlarmLEDEnable0311=1</t>
  </si>
  <si>
    <t>AlarmMailAttachScreen0311=1</t>
  </si>
  <si>
    <t>AlarmColor0312=255</t>
  </si>
  <si>
    <t>AlarmOn0312=1</t>
  </si>
  <si>
    <t>AlarmScreenID0312=0</t>
  </si>
  <si>
    <t>AlarmLEDEnable0312=1</t>
  </si>
  <si>
    <t>AlarmMailAttachScreen0312=1</t>
  </si>
  <si>
    <t>AlarmColor0313=255</t>
  </si>
  <si>
    <t>AlarmOn0313=1</t>
  </si>
  <si>
    <t>AlarmScreenID0313=0</t>
  </si>
  <si>
    <t>AlarmLEDEnable0313=1</t>
  </si>
  <si>
    <t>AlarmMailAttachScreen0313=1</t>
  </si>
  <si>
    <t>AlarmColor0314=255</t>
  </si>
  <si>
    <t>AlarmOn0314=1</t>
  </si>
  <si>
    <t>AlarmScreenID0314=0</t>
  </si>
  <si>
    <t>AlarmLEDEnable0314=1</t>
  </si>
  <si>
    <t>AlarmMailAttachScreen0314=1</t>
  </si>
  <si>
    <t>AlarmColor0315=255</t>
  </si>
  <si>
    <t>AlarmOn0315=1</t>
  </si>
  <si>
    <t>AlarmScreenID0315=0</t>
  </si>
  <si>
    <t>AlarmLEDEnable0315=1</t>
  </si>
  <si>
    <t>AlarmMailAttachScreen0315=1</t>
  </si>
  <si>
    <t>AlarmColor0316=255</t>
  </si>
  <si>
    <t>AlarmOn0316=1</t>
  </si>
  <si>
    <t>AlarmScreenID0316=0</t>
  </si>
  <si>
    <t>AlarmLEDEnable0316=1</t>
  </si>
  <si>
    <t>AlarmMailAttachScreen0316=1</t>
  </si>
  <si>
    <t>AlarmColor0317=255</t>
  </si>
  <si>
    <t>AlarmOn0317=1</t>
  </si>
  <si>
    <t>AlarmScreenID0317=0</t>
  </si>
  <si>
    <t>AlarmLEDEnable0317=1</t>
  </si>
  <si>
    <t>AlarmMailAttachScreen0317=1</t>
  </si>
  <si>
    <t>AlarmColor0318=255</t>
  </si>
  <si>
    <t>AlarmOn0318=1</t>
  </si>
  <si>
    <t>AlarmScreenID0318=0</t>
  </si>
  <si>
    <t>AlarmLEDEnable0318=1</t>
  </si>
  <si>
    <t>AlarmMailAttachScreen0318=1</t>
  </si>
  <si>
    <t>AlarmColor0319=255</t>
  </si>
  <si>
    <t>AlarmOn0319=1</t>
  </si>
  <si>
    <t>AlarmScreenID0319=0</t>
  </si>
  <si>
    <t>AlarmLEDEnable0319=1</t>
  </si>
  <si>
    <t>AlarmMailAttachScreen0319=1</t>
  </si>
  <si>
    <t>AlarmColor0320=255</t>
  </si>
  <si>
    <t>AlarmOn0320=1</t>
  </si>
  <si>
    <t>AlarmScreenID0320=0</t>
  </si>
  <si>
    <t>AlarmLEDEnable0320=1</t>
  </si>
  <si>
    <t>AlarmMailAttachScreen0320=1</t>
  </si>
  <si>
    <t>AlarmColor0289=255</t>
  </si>
  <si>
    <t>AlarmOn0289=1</t>
  </si>
  <si>
    <t>AlarmScreenID0289=0</t>
  </si>
  <si>
    <t>AlarmLEDEnable0289=1</t>
  </si>
  <si>
    <t>AlarmMailAttachScreen0289=1</t>
  </si>
  <si>
    <t>AlarmColor0290=255</t>
  </si>
  <si>
    <t>AlarmOn0290=1</t>
  </si>
  <si>
    <t>AlarmScreenID0290=0</t>
  </si>
  <si>
    <t>AlarmLEDEnable0290=1</t>
  </si>
  <si>
    <t>AlarmMailAttachScreen0290=1</t>
  </si>
  <si>
    <t>AlarmColor0291=255</t>
  </si>
  <si>
    <t>AlarmOn0291=1</t>
  </si>
  <si>
    <t>AlarmScreenID0291=0</t>
  </si>
  <si>
    <t>AlarmLEDEnable0291=1</t>
  </si>
  <si>
    <t>AlarmMailAttachScreen0291=1</t>
  </si>
  <si>
    <t>AlarmColor0292=255</t>
  </si>
  <si>
    <t>AlarmOn0292=1</t>
  </si>
  <si>
    <t>AlarmScreenID0292=0</t>
  </si>
  <si>
    <t>AlarmLEDEnable0292=1</t>
  </si>
  <si>
    <t>AlarmMailAttachScreen0292=1</t>
  </si>
  <si>
    <t>AlarmColor0293=255</t>
  </si>
  <si>
    <t>AlarmOn0293=1</t>
  </si>
  <si>
    <t>AlarmScreenID0293=0</t>
  </si>
  <si>
    <t>AlarmLEDEnable0293=1</t>
  </si>
  <si>
    <t>AlarmMailAttachScreen0293=1</t>
  </si>
  <si>
    <t>AlarmColor0294=255</t>
  </si>
  <si>
    <t>AlarmOn0294=1</t>
  </si>
  <si>
    <t>AlarmScreenID0294=0</t>
  </si>
  <si>
    <t>AlarmLEDEnable0294=1</t>
  </si>
  <si>
    <t>AlarmMailAttachScreen0294=1</t>
  </si>
  <si>
    <t>AlarmColor0295=255</t>
  </si>
  <si>
    <t>AlarmOn0295=1</t>
  </si>
  <si>
    <t>AlarmScreenID0295=0</t>
  </si>
  <si>
    <t>AlarmLEDEnable0295=1</t>
  </si>
  <si>
    <t>AlarmMailAttachScreen0295=1</t>
  </si>
  <si>
    <t>AlarmColor0296=255</t>
  </si>
  <si>
    <t>AlarmOn0296=1</t>
  </si>
  <si>
    <t>AlarmScreenID0296=0</t>
  </si>
  <si>
    <t>AlarmLEDEnable0296=1</t>
  </si>
  <si>
    <t>AlarmMailAttachScreen0296=1</t>
  </si>
  <si>
    <t>AlarmColor0297=255</t>
  </si>
  <si>
    <t>AlarmOn0297=1</t>
  </si>
  <si>
    <t>AlarmScreenID0297=0</t>
  </si>
  <si>
    <t>AlarmLEDEnable0297=1</t>
  </si>
  <si>
    <t>AlarmMailAttachScreen0297=1</t>
  </si>
  <si>
    <t>AlarmColor0298=255</t>
  </si>
  <si>
    <t>AlarmOn0298=1</t>
  </si>
  <si>
    <t>AlarmScreenID0298=0</t>
  </si>
  <si>
    <t>AlarmLEDEnable0298=1</t>
  </si>
  <si>
    <t>AlarmMailAttachScreen0298=1</t>
  </si>
  <si>
    <t>AlarmColor0299=255</t>
  </si>
  <si>
    <t>AlarmOn0299=1</t>
  </si>
  <si>
    <t>AlarmScreenID0299=0</t>
  </si>
  <si>
    <t>AlarmLEDEnable0299=1</t>
  </si>
  <si>
    <t>AlarmMailAttachScreen0299=1</t>
  </si>
  <si>
    <t>AlarmColor0300=255</t>
  </si>
  <si>
    <t>AlarmOn0300=1</t>
  </si>
  <si>
    <t>AlarmScreenID0300=0</t>
  </si>
  <si>
    <t>AlarmLEDEnable0300=1</t>
  </si>
  <si>
    <t>AlarmMailAttachScreen0300=1</t>
  </si>
  <si>
    <t>AlarmColor0301=255</t>
  </si>
  <si>
    <t>AlarmOn0301=1</t>
  </si>
  <si>
    <t>AlarmScreenID0301=0</t>
  </si>
  <si>
    <t>AlarmLEDEnable0301=1</t>
  </si>
  <si>
    <t>AlarmMailAttachScreen0301=1</t>
  </si>
  <si>
    <t>AlarmColor0302=255</t>
  </si>
  <si>
    <t>AlarmOn0302=1</t>
  </si>
  <si>
    <t>AlarmScreenID0302=0</t>
  </si>
  <si>
    <t>AlarmLEDEnable0302=1</t>
  </si>
  <si>
    <t>AlarmMailAttachScreen0302=1</t>
  </si>
  <si>
    <t>AlarmColor0303=255</t>
  </si>
  <si>
    <t>AlarmOn0303=1</t>
  </si>
  <si>
    <t>AlarmScreenID0303=0</t>
  </si>
  <si>
    <t>AlarmLEDEnable0303=1</t>
  </si>
  <si>
    <t>AlarmMailAttachScreen0303=1</t>
  </si>
  <si>
    <t>AlarmColor0304=255</t>
  </si>
  <si>
    <t>AlarmOn0304=1</t>
  </si>
  <si>
    <t>AlarmScreenID0304=0</t>
  </si>
  <si>
    <t>AlarmLEDEnable0304=1</t>
  </si>
  <si>
    <t>AlarmMailAttachScreen0304=1</t>
  </si>
  <si>
    <t>AlarmColor0321=255</t>
  </si>
  <si>
    <t>AlarmOn0321=1</t>
  </si>
  <si>
    <t>AlarmScreenID0321=0</t>
  </si>
  <si>
    <t>AlarmLEDEnable0321=1</t>
  </si>
  <si>
    <t>AlarmMailAttachScreen0321=1</t>
  </si>
  <si>
    <t>AlarmColor0322=255</t>
  </si>
  <si>
    <t>AlarmOn0322=1</t>
  </si>
  <si>
    <t>AlarmScreenID0322=0</t>
  </si>
  <si>
    <t>AlarmLEDEnable0322=1</t>
  </si>
  <si>
    <t>AlarmMailAttachScreen0322=1</t>
  </si>
  <si>
    <t>AlarmColor0323=255</t>
  </si>
  <si>
    <t>AlarmOn0323=1</t>
  </si>
  <si>
    <t>AlarmScreenID0323=0</t>
  </si>
  <si>
    <t>AlarmLEDEnable0323=1</t>
  </si>
  <si>
    <t>AlarmMailAttachScreen0323=1</t>
  </si>
  <si>
    <t>AlarmColor0324=255</t>
  </si>
  <si>
    <t>AlarmOn0324=1</t>
  </si>
  <si>
    <t>AlarmScreenID0324=0</t>
  </si>
  <si>
    <t>AlarmLEDEnable0324=1</t>
  </si>
  <si>
    <t>AlarmMailAttachScreen0324=1</t>
  </si>
  <si>
    <t>AlarmColor0325=255</t>
  </si>
  <si>
    <t>AlarmOn0325=1</t>
  </si>
  <si>
    <t>AlarmScreenID0325=0</t>
  </si>
  <si>
    <t>AlarmLEDEnable0325=1</t>
  </si>
  <si>
    <t>AlarmMailAttachScreen0325=1</t>
  </si>
  <si>
    <t>AlarmColor0326=255</t>
  </si>
  <si>
    <t>AlarmOn0326=1</t>
  </si>
  <si>
    <t>AlarmScreenID0326=0</t>
  </si>
  <si>
    <t>AlarmLEDEnable0326=1</t>
  </si>
  <si>
    <t>AlarmMailAttachScreen0326=1</t>
  </si>
  <si>
    <t>AlarmColor0327=255</t>
  </si>
  <si>
    <t>AlarmOn0327=1</t>
  </si>
  <si>
    <t>AlarmScreenID0327=0</t>
  </si>
  <si>
    <t>AlarmLEDEnable0327=1</t>
  </si>
  <si>
    <t>AlarmMailAttachScreen0327=1</t>
  </si>
  <si>
    <t>AlarmColor0328=255</t>
  </si>
  <si>
    <t>AlarmOn0328=1</t>
  </si>
  <si>
    <t>AlarmScreenID0328=0</t>
  </si>
  <si>
    <t>AlarmLEDEnable0328=1</t>
  </si>
  <si>
    <t>AlarmMailAttachScreen0328=1</t>
  </si>
  <si>
    <t>AlarmColor0329=255</t>
  </si>
  <si>
    <t>AlarmOn0329=1</t>
  </si>
  <si>
    <t>AlarmScreenID0329=0</t>
  </si>
  <si>
    <t>AlarmLEDEnable0329=1</t>
  </si>
  <si>
    <t>AlarmMailAttachScreen0329=1</t>
  </si>
  <si>
    <t>AlarmColor0330=255</t>
  </si>
  <si>
    <t>AlarmOn0330=1</t>
  </si>
  <si>
    <t>AlarmScreenID0330=0</t>
  </si>
  <si>
    <t>AlarmLEDEnable0330=1</t>
  </si>
  <si>
    <t>AlarmMailAttachScreen0330=1</t>
  </si>
  <si>
    <t>AlarmColor0331=255</t>
  </si>
  <si>
    <t>AlarmOn0331=1</t>
  </si>
  <si>
    <t>AlarmScreenID0331=0</t>
  </si>
  <si>
    <t>AlarmLEDEnable0331=1</t>
  </si>
  <si>
    <t>AlarmMailAttachScreen0331=1</t>
  </si>
  <si>
    <t>AlarmColor0332=255</t>
  </si>
  <si>
    <t>AlarmOn0332=1</t>
  </si>
  <si>
    <t>AlarmScreenID0332=0</t>
  </si>
  <si>
    <t>AlarmLEDEnable0332=1</t>
  </si>
  <si>
    <t>AlarmMailAttachScreen0332=1</t>
  </si>
  <si>
    <t>AlarmColor0333=255</t>
  </si>
  <si>
    <t>AlarmOn0333=1</t>
  </si>
  <si>
    <t>AlarmScreenID0333=0</t>
  </si>
  <si>
    <t>AlarmLEDEnable0333=1</t>
  </si>
  <si>
    <t>AlarmMailAttachScreen0333=1</t>
  </si>
  <si>
    <t>AlarmColor0334=255</t>
  </si>
  <si>
    <t>AlarmOn0334=1</t>
  </si>
  <si>
    <t>AlarmScreenID0334=0</t>
  </si>
  <si>
    <t>AlarmLEDEnable0334=1</t>
  </si>
  <si>
    <t>AlarmMailAttachScreen0334=1</t>
  </si>
  <si>
    <t>AlarmColor0335=255</t>
  </si>
  <si>
    <t>AlarmOn0335=1</t>
  </si>
  <si>
    <t>AlarmScreenID0335=0</t>
  </si>
  <si>
    <t>AlarmLEDEnable0335=1</t>
  </si>
  <si>
    <t>AlarmMailAttachScreen0335=1</t>
  </si>
  <si>
    <t>AlarmColor0336=255</t>
  </si>
  <si>
    <t>AlarmOn0336=1</t>
  </si>
  <si>
    <t>AlarmScreenID0336=0</t>
  </si>
  <si>
    <t>AlarmLEDEnable0336=1</t>
  </si>
  <si>
    <t>AlarmMailAttachScreen0336=1</t>
  </si>
  <si>
    <t>AlarmColor0337=255</t>
  </si>
  <si>
    <t>AlarmOn0337=1</t>
  </si>
  <si>
    <t>AlarmScreenID0337=0</t>
  </si>
  <si>
    <t>AlarmLEDEnable0337=1</t>
  </si>
  <si>
    <t>AlarmMailAttachScreen0337=1</t>
  </si>
  <si>
    <t>AlarmColor0338=255</t>
  </si>
  <si>
    <t>AlarmOn0338=1</t>
  </si>
  <si>
    <t>AlarmScreenID0338=0</t>
  </si>
  <si>
    <t>AlarmLEDEnable0338=1</t>
  </si>
  <si>
    <t>AlarmMailAttachScreen0338=1</t>
  </si>
  <si>
    <t>AlarmColor0339=255</t>
  </si>
  <si>
    <t>AlarmOn0339=1</t>
  </si>
  <si>
    <t>AlarmScreenID0339=0</t>
  </si>
  <si>
    <t>AlarmLEDEnable0339=1</t>
  </si>
  <si>
    <t>AlarmMailAttachScreen0339=1</t>
  </si>
  <si>
    <t>AlarmColor0340=255</t>
  </si>
  <si>
    <t>AlarmOn0340=1</t>
  </si>
  <si>
    <t>AlarmScreenID0340=0</t>
  </si>
  <si>
    <t>AlarmLEDEnable0340=1</t>
  </si>
  <si>
    <t>AlarmMailAttachScreen0340=1</t>
  </si>
  <si>
    <t>AlarmColor0341=255</t>
  </si>
  <si>
    <t>AlarmOn0341=1</t>
  </si>
  <si>
    <t>AlarmScreenID0341=0</t>
  </si>
  <si>
    <t>AlarmLEDEnable0341=1</t>
  </si>
  <si>
    <t>AlarmMailAttachScreen0341=1</t>
  </si>
  <si>
    <t>AlarmColor0342=255</t>
  </si>
  <si>
    <t>AlarmOn0342=1</t>
  </si>
  <si>
    <t>AlarmScreenID0342=0</t>
  </si>
  <si>
    <t>AlarmLEDEnable0342=1</t>
  </si>
  <si>
    <t>AlarmMailAttachScreen0342=1</t>
  </si>
  <si>
    <t>AlarmColor0343=255</t>
  </si>
  <si>
    <t>AlarmOn0343=1</t>
  </si>
  <si>
    <t>AlarmScreenID0343=0</t>
  </si>
  <si>
    <t>AlarmLEDEnable0343=1</t>
  </si>
  <si>
    <t>AlarmMailAttachScreen0343=1</t>
  </si>
  <si>
    <t>AlarmColor0344=255</t>
  </si>
  <si>
    <t>AlarmOn0344=1</t>
  </si>
  <si>
    <t>AlarmScreenID0344=0</t>
  </si>
  <si>
    <t>AlarmLEDEnable0344=1</t>
  </si>
  <si>
    <t>AlarmMailAttachScreen0344=1</t>
  </si>
  <si>
    <t>AlarmColor0345=255</t>
  </si>
  <si>
    <t>AlarmOn0345=1</t>
  </si>
  <si>
    <t>AlarmScreenID0345=0</t>
  </si>
  <si>
    <t>AlarmLEDEnable0345=1</t>
  </si>
  <si>
    <t>AlarmMailAttachScreen0345=1</t>
  </si>
  <si>
    <t>AlarmColor0346=255</t>
  </si>
  <si>
    <t>AlarmOn0346=1</t>
  </si>
  <si>
    <t>AlarmScreenID0346=0</t>
  </si>
  <si>
    <t>AlarmLEDEnable0346=1</t>
  </si>
  <si>
    <t>AlarmMailAttachScreen0346=1</t>
  </si>
  <si>
    <t>AlarmColor0347=255</t>
  </si>
  <si>
    <t>AlarmOn0347=1</t>
  </si>
  <si>
    <t>AlarmScreenID0347=0</t>
  </si>
  <si>
    <t>AlarmLEDEnable0347=1</t>
  </si>
  <si>
    <t>AlarmMailAttachScreen0347=1</t>
  </si>
  <si>
    <t>AlarmColor0348=255</t>
  </si>
  <si>
    <t>AlarmOn0348=1</t>
  </si>
  <si>
    <t>AlarmScreenID0348=0</t>
  </si>
  <si>
    <t>AlarmLEDEnable0348=1</t>
  </si>
  <si>
    <t>AlarmMailAttachScreen0348=1</t>
  </si>
  <si>
    <t>AlarmColor0349=255</t>
  </si>
  <si>
    <t>AlarmOn0349=1</t>
  </si>
  <si>
    <t>AlarmScreenID0349=0</t>
  </si>
  <si>
    <t>AlarmLEDEnable0349=1</t>
  </si>
  <si>
    <t>AlarmMailAttachScreen0349=1</t>
  </si>
  <si>
    <t>AlarmColor0350=255</t>
  </si>
  <si>
    <t>AlarmOn0350=1</t>
  </si>
  <si>
    <t>AlarmScreenID0350=0</t>
  </si>
  <si>
    <t>AlarmLEDEnable0350=1</t>
  </si>
  <si>
    <t>AlarmMailAttachScreen0350=1</t>
  </si>
  <si>
    <t>AlarmColor0351=255</t>
  </si>
  <si>
    <t>AlarmOn0351=1</t>
  </si>
  <si>
    <t>AlarmScreenID0351=0</t>
  </si>
  <si>
    <t>AlarmLEDEnable0351=1</t>
  </si>
  <si>
    <t>AlarmMailAttachScreen0351=1</t>
  </si>
  <si>
    <t>AlarmColor0352=255</t>
  </si>
  <si>
    <t>AlarmOn0352=1</t>
  </si>
  <si>
    <t>AlarmScreenID0352=0</t>
  </si>
  <si>
    <t>AlarmLEDEnable0352=1</t>
  </si>
  <si>
    <t>AlarmMailAttachScreen0352=1</t>
  </si>
  <si>
    <t>AlarmColor0241=255</t>
  </si>
  <si>
    <t>AlarmOn0241=1</t>
  </si>
  <si>
    <t>AlarmScreenID0241=0</t>
  </si>
  <si>
    <t>AlarmLEDEnable0241=1</t>
  </si>
  <si>
    <t>AlarmMailAttachScreen0241=1</t>
  </si>
  <si>
    <t>AlarmColor0242=255</t>
  </si>
  <si>
    <t>AlarmOn0242=1</t>
  </si>
  <si>
    <t>AlarmScreenID0242=0</t>
  </si>
  <si>
    <t>AlarmLEDEnable0242=1</t>
  </si>
  <si>
    <t>AlarmMailAttachScreen0242=1</t>
  </si>
  <si>
    <t>AlarmColor0243=255</t>
  </si>
  <si>
    <t>AlarmOn0243=1</t>
  </si>
  <si>
    <t>AlarmScreenID0243=0</t>
  </si>
  <si>
    <t>AlarmLEDEnable0243=1</t>
  </si>
  <si>
    <t>AlarmMailAttachScreen0243=1</t>
  </si>
  <si>
    <t>AlarmColor0244=255</t>
  </si>
  <si>
    <t>AlarmOn0244=1</t>
  </si>
  <si>
    <t>AlarmScreenID0244=0</t>
  </si>
  <si>
    <t>AlarmLEDEnable0244=1</t>
  </si>
  <si>
    <t>AlarmMailAttachScreen0244=1</t>
  </si>
  <si>
    <t>AlarmColor0245=255</t>
  </si>
  <si>
    <t>AlarmOn0245=1</t>
  </si>
  <si>
    <t>AlarmScreenID0245=0</t>
  </si>
  <si>
    <t>AlarmLEDEnable0245=1</t>
  </si>
  <si>
    <t>AlarmMailAttachScreen0245=1</t>
  </si>
  <si>
    <t>AlarmColor0246=255</t>
  </si>
  <si>
    <t>AlarmOn0246=1</t>
  </si>
  <si>
    <t>AlarmScreenID0246=0</t>
  </si>
  <si>
    <t>AlarmLEDEnable0246=1</t>
  </si>
  <si>
    <t>AlarmMailAttachScreen0246=1</t>
  </si>
  <si>
    <t>AlarmColor0247=255</t>
  </si>
  <si>
    <t>AlarmOn0247=1</t>
  </si>
  <si>
    <t>AlarmScreenID0247=0</t>
  </si>
  <si>
    <t>AlarmLEDEnable0247=1</t>
  </si>
  <si>
    <t>AlarmMailAttachScreen0247=1</t>
  </si>
  <si>
    <t>AlarmColor0248=255</t>
  </si>
  <si>
    <t>AlarmOn0248=1</t>
  </si>
  <si>
    <t>AlarmScreenID0248=0</t>
  </si>
  <si>
    <t>AlarmLEDEnable0248=1</t>
  </si>
  <si>
    <t>AlarmMailAttachScreen0248=1</t>
  </si>
  <si>
    <t>AlarmColor0249=255</t>
  </si>
  <si>
    <t>AlarmOn0249=1</t>
  </si>
  <si>
    <t>AlarmScreenID0249=0</t>
  </si>
  <si>
    <t>AlarmLEDEnable0249=1</t>
  </si>
  <si>
    <t>AlarmMailAttachScreen0249=1</t>
  </si>
  <si>
    <t>AlarmColor0250=255</t>
  </si>
  <si>
    <t>AlarmOn0250=1</t>
  </si>
  <si>
    <t>AlarmScreenID0250=0</t>
  </si>
  <si>
    <t>AlarmLEDEnable0250=1</t>
  </si>
  <si>
    <t>AlarmMailAttachScreen0250=1</t>
  </si>
  <si>
    <t>AlarmColor0251=255</t>
  </si>
  <si>
    <t>AlarmOn0251=1</t>
  </si>
  <si>
    <t>AlarmScreenID0251=0</t>
  </si>
  <si>
    <t>AlarmLEDEnable0251=1</t>
  </si>
  <si>
    <t>AlarmMailAttachScreen0251=1</t>
  </si>
  <si>
    <t>AlarmColor0252=255</t>
  </si>
  <si>
    <t>AlarmOn0252=1</t>
  </si>
  <si>
    <t>AlarmScreenID0252=0</t>
  </si>
  <si>
    <t>AlarmLEDEnable0252=1</t>
  </si>
  <si>
    <t>AlarmMailAttachScreen0252=1</t>
  </si>
  <si>
    <t>AlarmColor0253=255</t>
  </si>
  <si>
    <t>AlarmOn0253=1</t>
  </si>
  <si>
    <t>AlarmScreenID0253=0</t>
  </si>
  <si>
    <t>AlarmLEDEnable0253=1</t>
  </si>
  <si>
    <t>AlarmMailAttachScreen0253=1</t>
  </si>
  <si>
    <t>AlarmColor0254=255</t>
  </si>
  <si>
    <t>AlarmOn0254=1</t>
  </si>
  <si>
    <t>AlarmScreenID0254=0</t>
  </si>
  <si>
    <t>AlarmLEDEnable0254=1</t>
  </si>
  <si>
    <t>AlarmMailAttachScreen0254=1</t>
  </si>
  <si>
    <t>AlarmColor0255=255</t>
  </si>
  <si>
    <t>AlarmOn0255=1</t>
  </si>
  <si>
    <t>AlarmScreenID0255=0</t>
  </si>
  <si>
    <t>AlarmLEDEnable0255=1</t>
  </si>
  <si>
    <t>AlarmMailAttachScreen0255=1</t>
  </si>
  <si>
    <t>AlarmColor0256=255</t>
  </si>
  <si>
    <t>AlarmOn0256=1</t>
  </si>
  <si>
    <t>AlarmScreenID0256=0</t>
  </si>
  <si>
    <t>AlarmLEDEnable0256=1</t>
  </si>
  <si>
    <t>AlarmMailAttachScreen0256=1</t>
  </si>
  <si>
    <t>AlarmColor0257=255</t>
  </si>
  <si>
    <t>AlarmOn0257=1</t>
  </si>
  <si>
    <t>AlarmScreenID0257=0</t>
  </si>
  <si>
    <t>AlarmLEDEnable0257=1</t>
  </si>
  <si>
    <t>AlarmMailAttachScreen0257=1</t>
  </si>
  <si>
    <t>AlarmColor0258=255</t>
  </si>
  <si>
    <t>AlarmOn0258=1</t>
  </si>
  <si>
    <t>AlarmScreenID0258=0</t>
  </si>
  <si>
    <t>AlarmLEDEnable0258=1</t>
  </si>
  <si>
    <t>AlarmMailAttachScreen0258=1</t>
  </si>
  <si>
    <t>AlarmColor0259=255</t>
  </si>
  <si>
    <t>AlarmOn0259=1</t>
  </si>
  <si>
    <t>AlarmScreenID0259=0</t>
  </si>
  <si>
    <t>AlarmLEDEnable0259=1</t>
  </si>
  <si>
    <t>AlarmMailAttachScreen0259=1</t>
  </si>
  <si>
    <t>AlarmColor0260=255</t>
  </si>
  <si>
    <t>AlarmOn0260=1</t>
  </si>
  <si>
    <t>AlarmScreenID0260=0</t>
  </si>
  <si>
    <t>AlarmLEDEnable0260=1</t>
  </si>
  <si>
    <t>AlarmMailAttachScreen0260=1</t>
  </si>
  <si>
    <t>AlarmColor0261=255</t>
  </si>
  <si>
    <t>AlarmOn0261=1</t>
  </si>
  <si>
    <t>AlarmScreenID0261=0</t>
  </si>
  <si>
    <t>AlarmLEDEnable0261=1</t>
  </si>
  <si>
    <t>AlarmMailAttachScreen0261=1</t>
  </si>
  <si>
    <t>AlarmColor0262=255</t>
  </si>
  <si>
    <t>AlarmOn0262=1</t>
  </si>
  <si>
    <t>AlarmScreenID0262=0</t>
  </si>
  <si>
    <t>AlarmLEDEnable0262=1</t>
  </si>
  <si>
    <t>AlarmMailAttachScreen0262=1</t>
  </si>
  <si>
    <t>AlarmColor0263=255</t>
  </si>
  <si>
    <t>AlarmOn0263=1</t>
  </si>
  <si>
    <t>AlarmScreenID0263=0</t>
  </si>
  <si>
    <t>AlarmLEDEnable0263=1</t>
  </si>
  <si>
    <t>AlarmMailAttachScreen0263=1</t>
  </si>
  <si>
    <t>AlarmColor0264=255</t>
  </si>
  <si>
    <t>AlarmOn0264=1</t>
  </si>
  <si>
    <t>AlarmScreenID0264=0</t>
  </si>
  <si>
    <t>AlarmLEDEnable0264=1</t>
  </si>
  <si>
    <t>AlarmMailAttachScreen0264=1</t>
  </si>
  <si>
    <t>AlarmColor0265=255</t>
  </si>
  <si>
    <t>AlarmOn0265=1</t>
  </si>
  <si>
    <t>AlarmScreenID0265=0</t>
  </si>
  <si>
    <t>AlarmLEDEnable0265=1</t>
  </si>
  <si>
    <t>AlarmMailAttachScreen0265=1</t>
  </si>
  <si>
    <t>AlarmColor0266=255</t>
  </si>
  <si>
    <t>AlarmOn0266=1</t>
  </si>
  <si>
    <t>AlarmScreenID0266=0</t>
  </si>
  <si>
    <t>AlarmLEDEnable0266=1</t>
  </si>
  <si>
    <t>AlarmMailAttachScreen0266=1</t>
  </si>
  <si>
    <t>AlarmColor0267=255</t>
  </si>
  <si>
    <t>AlarmOn0267=1</t>
  </si>
  <si>
    <t>AlarmScreenID0267=0</t>
  </si>
  <si>
    <t>AlarmLEDEnable0267=1</t>
  </si>
  <si>
    <t>AlarmMailAttachScreen0267=1</t>
  </si>
  <si>
    <t>AlarmColor0268=255</t>
  </si>
  <si>
    <t>AlarmOn0268=1</t>
  </si>
  <si>
    <t>AlarmScreenID0268=0</t>
  </si>
  <si>
    <t>AlarmLEDEnable0268=1</t>
  </si>
  <si>
    <t>AlarmMailAttachScreen0268=1</t>
  </si>
  <si>
    <t>AlarmColor0269=255</t>
  </si>
  <si>
    <t>AlarmOn0269=1</t>
  </si>
  <si>
    <t>AlarmScreenID0269=0</t>
  </si>
  <si>
    <t>AlarmLEDEnable0269=1</t>
  </si>
  <si>
    <t>AlarmMailAttachScreen0269=1</t>
  </si>
  <si>
    <t>AlarmColor0270=255</t>
  </si>
  <si>
    <t>AlarmOn0270=1</t>
  </si>
  <si>
    <t>AlarmScreenID0270=0</t>
  </si>
  <si>
    <t>AlarmLEDEnable0270=1</t>
  </si>
  <si>
    <t>AlarmMailAttachScreen0270=1</t>
  </si>
  <si>
    <t>AlarmColor0271=255</t>
  </si>
  <si>
    <t>AlarmOn0271=1</t>
  </si>
  <si>
    <t>AlarmScreenID0271=0</t>
  </si>
  <si>
    <t>AlarmLEDEnable0271=1</t>
  </si>
  <si>
    <t>AlarmMailAttachScreen0271=1</t>
  </si>
  <si>
    <t>AlarmColor0272=255</t>
  </si>
  <si>
    <t>AlarmOn0272=1</t>
  </si>
  <si>
    <t>AlarmScreenID0272=0</t>
  </si>
  <si>
    <t>AlarmLEDEnable0272=1</t>
  </si>
  <si>
    <t>AlarmMailAttachScreen0272=1</t>
  </si>
  <si>
    <t>AlarmColor0273=255</t>
  </si>
  <si>
    <t>AlarmOn0273=1</t>
  </si>
  <si>
    <t>AlarmScreenID0273=0</t>
  </si>
  <si>
    <t>AlarmLEDEnable0273=1</t>
  </si>
  <si>
    <t>AlarmMailAttachScreen0273=1</t>
  </si>
  <si>
    <t>AlarmColor0274=255</t>
  </si>
  <si>
    <t>AlarmOn0274=1</t>
  </si>
  <si>
    <t>AlarmScreenID0274=0</t>
  </si>
  <si>
    <t>AlarmLEDEnable0274=1</t>
  </si>
  <si>
    <t>AlarmMailAttachScreen0274=1</t>
  </si>
  <si>
    <t>AlarmColor0275=255</t>
  </si>
  <si>
    <t>AlarmOn0275=1</t>
  </si>
  <si>
    <t>AlarmScreenID0275=0</t>
  </si>
  <si>
    <t>AlarmLEDEnable0275=1</t>
  </si>
  <si>
    <t>AlarmMailAttachScreen0275=1</t>
  </si>
  <si>
    <t>AlarmColor0276=255</t>
  </si>
  <si>
    <t>AlarmOn0276=1</t>
  </si>
  <si>
    <t>AlarmScreenID0276=0</t>
  </si>
  <si>
    <t>AlarmLEDEnable0276=1</t>
  </si>
  <si>
    <t>AlarmMailAttachScreen0276=1</t>
  </si>
  <si>
    <t>AlarmColor0277=255</t>
  </si>
  <si>
    <t>AlarmOn0277=1</t>
  </si>
  <si>
    <t>AlarmScreenID0277=0</t>
  </si>
  <si>
    <t>AlarmLEDEnable0277=1</t>
  </si>
  <si>
    <t>AlarmMailAttachScreen0277=1</t>
  </si>
  <si>
    <t>AlarmColor0278=255</t>
  </si>
  <si>
    <t>AlarmOn0278=1</t>
  </si>
  <si>
    <t>AlarmScreenID0278=0</t>
  </si>
  <si>
    <t>AlarmLEDEnable0278=1</t>
  </si>
  <si>
    <t>AlarmMailAttachScreen0278=1</t>
  </si>
  <si>
    <t>AlarmColor0279=255</t>
  </si>
  <si>
    <t>AlarmOn0279=1</t>
  </si>
  <si>
    <t>AlarmScreenID0279=0</t>
  </si>
  <si>
    <t>AlarmLEDEnable0279=1</t>
  </si>
  <si>
    <t>AlarmMailAttachScreen0279=1</t>
  </si>
  <si>
    <t>AlarmColor0280=255</t>
  </si>
  <si>
    <t>AlarmOn0280=1</t>
  </si>
  <si>
    <t>AlarmScreenID0280=0</t>
  </si>
  <si>
    <t>AlarmLEDEnable0280=1</t>
  </si>
  <si>
    <t>AlarmMailAttachScreen0280=1</t>
  </si>
  <si>
    <t>AlarmColor0281=255</t>
  </si>
  <si>
    <t>AlarmOn0281=1</t>
  </si>
  <si>
    <t>AlarmScreenID0281=0</t>
  </si>
  <si>
    <t>AlarmLEDEnable0281=1</t>
  </si>
  <si>
    <t>AlarmMailAttachScreen0281=1</t>
  </si>
  <si>
    <t>AlarmColor0282=255</t>
  </si>
  <si>
    <t>AlarmOn0282=1</t>
  </si>
  <si>
    <t>AlarmScreenID0282=0</t>
  </si>
  <si>
    <t>AlarmLEDEnable0282=1</t>
  </si>
  <si>
    <t>AlarmMailAttachScreen0282=1</t>
  </si>
  <si>
    <t>AlarmColor0283=255</t>
  </si>
  <si>
    <t>AlarmOn0283=1</t>
  </si>
  <si>
    <t>AlarmScreenID0283=0</t>
  </si>
  <si>
    <t>AlarmLEDEnable0283=1</t>
  </si>
  <si>
    <t>AlarmMailAttachScreen0283=1</t>
  </si>
  <si>
    <t>AlarmColor0284=255</t>
  </si>
  <si>
    <t>AlarmOn0284=1</t>
  </si>
  <si>
    <t>AlarmScreenID0284=0</t>
  </si>
  <si>
    <t>AlarmLEDEnable0284=1</t>
  </si>
  <si>
    <t>AlarmMailAttachScreen0284=1</t>
  </si>
  <si>
    <t>AlarmColor0285=255</t>
  </si>
  <si>
    <t>AlarmOn0285=1</t>
  </si>
  <si>
    <t>AlarmScreenID0285=0</t>
  </si>
  <si>
    <t>AlarmLEDEnable0285=1</t>
  </si>
  <si>
    <t>AlarmMailAttachScreen0285=1</t>
  </si>
  <si>
    <t>AlarmColor0286=255</t>
  </si>
  <si>
    <t>AlarmOn0286=1</t>
  </si>
  <si>
    <t>AlarmScreenID0286=0</t>
  </si>
  <si>
    <t>AlarmLEDEnable0286=1</t>
  </si>
  <si>
    <t>AlarmMailAttachScreen0286=1</t>
  </si>
  <si>
    <t>AlarmColor0287=255</t>
  </si>
  <si>
    <t>AlarmOn0287=1</t>
  </si>
  <si>
    <t>AlarmScreenID0287=0</t>
  </si>
  <si>
    <t>AlarmLEDEnable0287=1</t>
  </si>
  <si>
    <t>AlarmMailAttachScreen0287=1</t>
  </si>
  <si>
    <t>AlarmColor0288=255</t>
  </si>
  <si>
    <t>AlarmOn0288=1</t>
  </si>
  <si>
    <t>AlarmScreenID0288=0</t>
  </si>
  <si>
    <t>AlarmLEDEnable0288=1</t>
  </si>
  <si>
    <t>AlarmMailAttachScreen0288=1</t>
  </si>
  <si>
    <t>AlarmColor0177=255</t>
  </si>
  <si>
    <t>AlarmOn0177=1</t>
  </si>
  <si>
    <t>AlarmScreenID0177=0</t>
  </si>
  <si>
    <t>AlarmLEDEnable0177=1</t>
  </si>
  <si>
    <t>AlarmMailAttachScreen0177=1</t>
  </si>
  <si>
    <t>AlarmColor0178=255</t>
  </si>
  <si>
    <t>AlarmOn0178=1</t>
  </si>
  <si>
    <t>AlarmScreenID0178=0</t>
  </si>
  <si>
    <t>AlarmLEDEnable0178=1</t>
  </si>
  <si>
    <t>AlarmMailAttachScreen0178=1</t>
  </si>
  <si>
    <t>AlarmColor0179=255</t>
  </si>
  <si>
    <t>AlarmOn0179=1</t>
  </si>
  <si>
    <t>AlarmScreenID0179=0</t>
  </si>
  <si>
    <t>AlarmLEDEnable0179=1</t>
  </si>
  <si>
    <t>AlarmMailAttachScreen0179=1</t>
  </si>
  <si>
    <t>AlarmColor0180=255</t>
  </si>
  <si>
    <t>AlarmOn0180=1</t>
  </si>
  <si>
    <t>AlarmScreenID0180=0</t>
  </si>
  <si>
    <t>AlarmLEDEnable0180=1</t>
  </si>
  <si>
    <t>AlarmMailAttachScreen0180=1</t>
  </si>
  <si>
    <t>AlarmColor0181=255</t>
  </si>
  <si>
    <t>AlarmOn0181=1</t>
  </si>
  <si>
    <t>AlarmScreenID0181=0</t>
  </si>
  <si>
    <t>AlarmLEDEnable0181=1</t>
  </si>
  <si>
    <t>AlarmMailAttachScreen0181=1</t>
  </si>
  <si>
    <t>AlarmColor0182=255</t>
  </si>
  <si>
    <t>AlarmOn0182=1</t>
  </si>
  <si>
    <t>AlarmScreenID0182=0</t>
  </si>
  <si>
    <t>AlarmLEDEnable0182=1</t>
  </si>
  <si>
    <t>AlarmMailAttachScreen0182=1</t>
  </si>
  <si>
    <t>AlarmColor0183=255</t>
  </si>
  <si>
    <t>AlarmOn0183=1</t>
  </si>
  <si>
    <t>AlarmScreenID0183=0</t>
  </si>
  <si>
    <t>AlarmLEDEnable0183=1</t>
  </si>
  <si>
    <t>AlarmMailAttachScreen0183=1</t>
  </si>
  <si>
    <t>AlarmColor0184=255</t>
  </si>
  <si>
    <t>AlarmOn0184=1</t>
  </si>
  <si>
    <t>AlarmScreenID0184=0</t>
  </si>
  <si>
    <t>AlarmLEDEnable0184=1</t>
  </si>
  <si>
    <t>AlarmMailAttachScreen0184=1</t>
  </si>
  <si>
    <t>AlarmColor0185=255</t>
  </si>
  <si>
    <t>AlarmOn0185=1</t>
  </si>
  <si>
    <t>AlarmScreenID0185=0</t>
  </si>
  <si>
    <t>AlarmLEDEnable0185=1</t>
  </si>
  <si>
    <t>AlarmMailAttachScreen0185=1</t>
  </si>
  <si>
    <t>AlarmColor0186=255</t>
  </si>
  <si>
    <t>AlarmOn0186=1</t>
  </si>
  <si>
    <t>AlarmScreenID0186=0</t>
  </si>
  <si>
    <t>AlarmLEDEnable0186=1</t>
  </si>
  <si>
    <t>AlarmMailAttachScreen0186=1</t>
  </si>
  <si>
    <t>AlarmColor0187=255</t>
  </si>
  <si>
    <t>AlarmOn0187=1</t>
  </si>
  <si>
    <t>AlarmScreenID0187=0</t>
  </si>
  <si>
    <t>AlarmLEDEnable0187=1</t>
  </si>
  <si>
    <t>AlarmMailAttachScreen0187=1</t>
  </si>
  <si>
    <t>AlarmColor0188=255</t>
  </si>
  <si>
    <t>AlarmOn0188=1</t>
  </si>
  <si>
    <t>AlarmScreenID0188=0</t>
  </si>
  <si>
    <t>AlarmLEDEnable0188=1</t>
  </si>
  <si>
    <t>AlarmMailAttachScreen0188=1</t>
  </si>
  <si>
    <t>AlarmColor0189=255</t>
  </si>
  <si>
    <t>AlarmOn0189=1</t>
  </si>
  <si>
    <t>AlarmScreenID0189=0</t>
  </si>
  <si>
    <t>AlarmLEDEnable0189=1</t>
  </si>
  <si>
    <t>AlarmMailAttachScreen0189=1</t>
  </si>
  <si>
    <t>AlarmColor0190=255</t>
  </si>
  <si>
    <t>AlarmOn0190=1</t>
  </si>
  <si>
    <t>AlarmScreenID0190=0</t>
  </si>
  <si>
    <t>AlarmLEDEnable0190=1</t>
  </si>
  <si>
    <t>AlarmMailAttachScreen0190=1</t>
  </si>
  <si>
    <t>AlarmColor0191=255</t>
  </si>
  <si>
    <t>AlarmOn0191=1</t>
  </si>
  <si>
    <t>AlarmScreenID0191=0</t>
  </si>
  <si>
    <t>AlarmLEDEnable0191=1</t>
  </si>
  <si>
    <t>AlarmMailAttachScreen0191=1</t>
  </si>
  <si>
    <t>AlarmColor0192=255</t>
  </si>
  <si>
    <t>AlarmOn0192=1</t>
  </si>
  <si>
    <t>AlarmScreenID0192=0</t>
  </si>
  <si>
    <t>AlarmLEDEnable0192=1</t>
  </si>
  <si>
    <t>AlarmMailAttachScreen0192=1</t>
  </si>
  <si>
    <t>AlarmColor002=255</t>
  </si>
  <si>
    <t>AlarmOn002=1</t>
  </si>
  <si>
    <t>AlarmScreenID002=0</t>
  </si>
  <si>
    <t>AlarmLEDEnable002=1</t>
  </si>
  <si>
    <t>AlarmColor003=255</t>
  </si>
  <si>
    <t>AlarmOn003=1</t>
  </si>
  <si>
    <t>AlarmScreenID003=0</t>
  </si>
  <si>
    <t>AlarmLEDEnable003=1</t>
  </si>
  <si>
    <t>AlarmColor004=255</t>
  </si>
  <si>
    <t>AlarmOn004=1</t>
  </si>
  <si>
    <t>AlarmScreenID004=0</t>
  </si>
  <si>
    <t>AlarmLEDEnable004=1</t>
  </si>
  <si>
    <t>AlarmColor005=255</t>
  </si>
  <si>
    <t>AlarmOn005=1</t>
  </si>
  <si>
    <t>AlarmScreenID005=0</t>
  </si>
  <si>
    <t>AlarmLEDEnable005=1</t>
  </si>
  <si>
    <t>AlarmColor006=255</t>
  </si>
  <si>
    <t>AlarmOn006=1</t>
  </si>
  <si>
    <t>AlarmScreenID006=0</t>
  </si>
  <si>
    <t>AlarmLEDEnable006=1</t>
  </si>
  <si>
    <t>AlarmColor007=255</t>
  </si>
  <si>
    <t>AlarmOn007=1</t>
  </si>
  <si>
    <t>AlarmScreenID007=0</t>
  </si>
  <si>
    <t>AlarmLEDEnable007=1</t>
  </si>
  <si>
    <t>AlarmColor008=255</t>
  </si>
  <si>
    <t>AlarmOn008=1</t>
  </si>
  <si>
    <t>AlarmScreenID008=0</t>
  </si>
  <si>
    <t>AlarmLEDEnable008=1</t>
  </si>
  <si>
    <t>AlarmColor009=255</t>
  </si>
  <si>
    <t>AlarmOn009=1</t>
  </si>
  <si>
    <t>AlarmScreenID009=0</t>
  </si>
  <si>
    <t>AlarmLEDEnable009=1</t>
  </si>
  <si>
    <t>AlarmEnable010=1</t>
  </si>
  <si>
    <t>wMessageLen010-000=4</t>
  </si>
  <si>
    <t>AlarmColor010=255</t>
  </si>
  <si>
    <t>AlarmOn010=1</t>
  </si>
  <si>
    <t>AlarmScreenID010=0</t>
  </si>
  <si>
    <t>AlarmLEDEnable010=1</t>
  </si>
  <si>
    <t>AlarmEnable011=1</t>
  </si>
  <si>
    <t>wMessageLen011-000=64</t>
  </si>
  <si>
    <t>AlarmColor011=255</t>
  </si>
  <si>
    <t>AlarmOn011=1</t>
  </si>
  <si>
    <t>AlarmScreenID011=0</t>
  </si>
  <si>
    <t>AlarmLEDEnable011=1</t>
  </si>
  <si>
    <t>AlarmEnable012=1</t>
  </si>
  <si>
    <t>wMessageLen012-000=64</t>
  </si>
  <si>
    <t>AlarmColor012=255</t>
  </si>
  <si>
    <t>AlarmOn012=1</t>
  </si>
  <si>
    <t>AlarmScreenID012=0</t>
  </si>
  <si>
    <t>AlarmLEDEnable012=1</t>
  </si>
  <si>
    <t>AlarmEnable013=1</t>
  </si>
  <si>
    <t>wMessageLen013-000=64</t>
  </si>
  <si>
    <t>AlarmColor013=255</t>
  </si>
  <si>
    <t>AlarmOn013=1</t>
  </si>
  <si>
    <t>AlarmScreenID013=0</t>
  </si>
  <si>
    <t>AlarmLEDEnable013=1</t>
  </si>
  <si>
    <t>AlarmEnable014=1</t>
  </si>
  <si>
    <t>wMessageLen014-000=64</t>
  </si>
  <si>
    <t>AlarmColor014=255</t>
  </si>
  <si>
    <t>AlarmOn014=1</t>
  </si>
  <si>
    <t>AlarmScreenID014=0</t>
  </si>
  <si>
    <t>AlarmLEDEnable014=1</t>
  </si>
  <si>
    <t>AlarmEnable015=1</t>
  </si>
  <si>
    <t>wMessageLen015-000=66</t>
  </si>
  <si>
    <t>AlarmColor015=255</t>
  </si>
  <si>
    <t>AlarmOn015=1</t>
  </si>
  <si>
    <t>AlarmScreenID015=0</t>
  </si>
  <si>
    <t>AlarmLEDEnable015=1</t>
  </si>
  <si>
    <t>AlarmEnable016=1</t>
  </si>
  <si>
    <t>wMessageLen016-000=66</t>
  </si>
  <si>
    <t>AlarmColor016=255</t>
  </si>
  <si>
    <t>AlarmOn016=1</t>
  </si>
  <si>
    <t>AlarmScreenID016=0</t>
  </si>
  <si>
    <t>AlarmLEDEnable016=1</t>
  </si>
  <si>
    <t>AlarmMailAttachScreen0017=1</t>
  </si>
  <si>
    <t>AlarmMailAttachScreen0018=1</t>
  </si>
  <si>
    <t>AlarmMailAttachScreen0019=1</t>
  </si>
  <si>
    <t>AlarmMailAttachScreen0020=1</t>
  </si>
  <si>
    <t>AlarmMailAttachScreen0021=1</t>
  </si>
  <si>
    <t>AlarmMailAttachScreen0022=1</t>
  </si>
  <si>
    <t>AlarmMailAttachScreen0023=1</t>
  </si>
  <si>
    <t>AlarmMailAttachScreen0024=1</t>
  </si>
  <si>
    <t>AlarmMailAttachScreen0025=1</t>
  </si>
  <si>
    <t>AlarmMailAttachScreen0026=1</t>
  </si>
  <si>
    <t>AlarmMailAttachScreen0027=1</t>
  </si>
  <si>
    <t>AlarmMailAttachScreen0028=1</t>
  </si>
  <si>
    <t>AlarmMailAttachScreen0029=1</t>
  </si>
  <si>
    <t>AlarmMailAttachScreen0030=1</t>
  </si>
  <si>
    <t>AlarmMailAttachScreen0031=1</t>
  </si>
  <si>
    <t>AlarmMailAttachScreen0032=1</t>
  </si>
  <si>
    <t>AlarmMailAttachScreen0033=1</t>
  </si>
  <si>
    <t>AlarmMailAttachScreen0034=1</t>
  </si>
  <si>
    <t>AlarmMailAttachScreen0035=1</t>
  </si>
  <si>
    <t>AlarmMailAttachScreen0036=1</t>
  </si>
  <si>
    <t>AlarmMailAttachScreen0037=1</t>
  </si>
  <si>
    <t>AlarmMailAttachScreen0038=1</t>
  </si>
  <si>
    <t>AlarmMailAttachScreen0039=1</t>
  </si>
  <si>
    <t>AlarmMailAttachScreen0040=1</t>
  </si>
  <si>
    <t>AlarmMailAttachScreen0041=1</t>
  </si>
  <si>
    <t>AlarmMailAttachScreen0042=1</t>
  </si>
  <si>
    <t>AlarmMailAttachScreen0043=1</t>
  </si>
  <si>
    <t>AlarmMailAttachScreen0044=1</t>
  </si>
  <si>
    <t>AlarmMailAttachScreen0045=1</t>
  </si>
  <si>
    <t>AlarmMailAttachScreen0046=1</t>
  </si>
  <si>
    <t>AlarmMailAttachScreen0047=1</t>
  </si>
  <si>
    <t>AlarmMailAttachScreen0048=1</t>
  </si>
  <si>
    <t>AlarmMailAttachScreen0049=1</t>
  </si>
  <si>
    <t>AlarmMailAttachScreen0050=1</t>
  </si>
  <si>
    <t>AlarmMailAttachScreen0051=1</t>
  </si>
  <si>
    <t>AlarmMailAttachScreen0052=1</t>
  </si>
  <si>
    <t>AlarmMailAttachScreen0053=1</t>
  </si>
  <si>
    <t>AlarmMailAttachScreen0054=1</t>
  </si>
  <si>
    <t>AlarmMailAttachScreen0055=1</t>
  </si>
  <si>
    <t>AlarmMailAttachScreen0056=1</t>
  </si>
  <si>
    <t>AlarmMailAttachScreen0057=1</t>
  </si>
  <si>
    <t>AlarmMailAttachScreen0058=1</t>
  </si>
  <si>
    <t>AlarmMailAttachScreen0059=1</t>
  </si>
  <si>
    <t>AlarmMailAttachScreen0060=1</t>
  </si>
  <si>
    <t>AlarmMailAttachScreen0061=1</t>
  </si>
  <si>
    <t>AlarmMailAttachScreen0062=1</t>
  </si>
  <si>
    <t>AlarmMailAttachScreen0063=1</t>
  </si>
  <si>
    <t>AlarmMailAttachScreen0064=1</t>
  </si>
  <si>
    <t>AlarmMailAttachScreen0065=1</t>
  </si>
  <si>
    <t>AlarmMailAttachScreen0066=1</t>
  </si>
  <si>
    <t>AlarmMailAttachScreen0067=1</t>
  </si>
  <si>
    <t>AlarmMailAttachScreen0068=1</t>
  </si>
  <si>
    <t>AlarmMailAttachScreen0069=1</t>
  </si>
  <si>
    <t>AlarmMailAttachScreen0070=1</t>
  </si>
  <si>
    <t>AlarmMailAttachScreen0071=1</t>
  </si>
  <si>
    <t>AlarmMailAttachScreen0072=1</t>
  </si>
  <si>
    <t>AlarmMailAttachScreen0073=1</t>
  </si>
  <si>
    <t>AlarmMailAttachScreen0074=1</t>
  </si>
  <si>
    <t>AlarmMailAttachScreen0075=1</t>
  </si>
  <si>
    <t>AlarmMailAttachScreen0076=1</t>
  </si>
  <si>
    <t>AlarmMailAttachScreen0077=1</t>
  </si>
  <si>
    <t>AlarmMailAttachScreen0078=1</t>
  </si>
  <si>
    <t>AlarmMailAttachScreen0079=1</t>
  </si>
  <si>
    <t>AlarmMailAttachScreen0080=1</t>
  </si>
  <si>
    <t>AlarmMailAttachScreen0081=1</t>
  </si>
  <si>
    <t>AlarmMailAttachScreen0082=1</t>
  </si>
  <si>
    <t>AlarmMailAttachScreen0083=1</t>
  </si>
  <si>
    <t>AlarmMailAttachScreen0084=1</t>
  </si>
  <si>
    <t>AlarmMailAttachScreen0085=1</t>
  </si>
  <si>
    <t>AlarmMailAttachScreen0086=1</t>
  </si>
  <si>
    <t>AlarmMailAttachScreen0087=1</t>
  </si>
  <si>
    <t>AlarmMailAttachScreen0088=1</t>
  </si>
  <si>
    <t>AlarmMailAttachScreen0089=1</t>
  </si>
  <si>
    <t>AlarmMailAttachScreen0090=1</t>
  </si>
  <si>
    <t>AlarmMailAttachScreen0091=1</t>
  </si>
  <si>
    <t>AlarmMailAttachScreen0092=1</t>
  </si>
  <si>
    <t>AlarmMailAttachScreen0093=1</t>
  </si>
  <si>
    <t>AlarmMailAttachScreen0094=1</t>
  </si>
  <si>
    <t>AlarmMailAttachScreen0095=1</t>
  </si>
  <si>
    <t>AlarmMailAttachScreen0096=1</t>
  </si>
  <si>
    <t>AlarmMailAttachScreen0097=1</t>
  </si>
  <si>
    <t>AlarmMailAttachScreen0098=1</t>
  </si>
  <si>
    <t>AlarmMailAttachScreen0099=1</t>
  </si>
  <si>
    <t>AlarmMailAttachScreen0001=1</t>
  </si>
  <si>
    <t>AlarmMailAttachScreen0002=1</t>
  </si>
  <si>
    <t>AlarmMailAttachScreen0003=1</t>
  </si>
  <si>
    <t>AlarmMailAttachScreen0004=1</t>
  </si>
  <si>
    <t>AlarmMailAttachScreen0005=1</t>
  </si>
  <si>
    <t>AlarmMailAttachScreen0006=1</t>
  </si>
  <si>
    <t>AlarmMailAttachScreen0007=1</t>
  </si>
  <si>
    <t>AlarmMailAttachScreen0008=1</t>
  </si>
  <si>
    <t>AlarmMailAttachScreen0009=1</t>
  </si>
  <si>
    <t>AlarmMailAttachScreen0010=1</t>
  </si>
  <si>
    <t>AlarmMailAttachScreen0011=1</t>
  </si>
  <si>
    <t>AlarmMailAttachScreen0012=1</t>
  </si>
  <si>
    <t>AlarmMailAttachScreen0013=1</t>
  </si>
  <si>
    <t>AlarmMailAttachScreen0014=1</t>
  </si>
  <si>
    <t>AlarmMailAttachScreen0015=1</t>
  </si>
  <si>
    <t>AlarmMailAttachScreen0016=1</t>
  </si>
  <si>
    <t>wMailToLen0017=2</t>
  </si>
  <si>
    <t>wMailBlindCopyToLen0017=2</t>
  </si>
  <si>
    <t>wMailContentLen0017-000=2</t>
  </si>
  <si>
    <t>wMailToLen0018=2</t>
  </si>
  <si>
    <t>wMailBlindCopyToLen0018=2</t>
  </si>
  <si>
    <t>wMailContentLen0018-000=2</t>
  </si>
  <si>
    <t>wMailToLen0019=2</t>
  </si>
  <si>
    <t>wMailBlindCopyToLen0019=2</t>
  </si>
  <si>
    <t>wMailContentLen0019-000=2</t>
  </si>
  <si>
    <t>wMailToLen0020=2</t>
  </si>
  <si>
    <t>wMailBlindCopyToLen0020=2</t>
  </si>
  <si>
    <t>wMailContentLen0020-000=2</t>
  </si>
  <si>
    <t>wMailToLen0021=2</t>
  </si>
  <si>
    <t>wMailBlindCopyToLen0021=2</t>
  </si>
  <si>
    <t>wMailContentLen0021-000=2</t>
  </si>
  <si>
    <t>wMailToLen0022=2</t>
  </si>
  <si>
    <t>wMailBlindCopyToLen0022=2</t>
  </si>
  <si>
    <t>wMailContentLen0022-000=2</t>
  </si>
  <si>
    <t>wMailToLen0023=2</t>
  </si>
  <si>
    <t>wMailBlindCopyToLen0023=2</t>
  </si>
  <si>
    <t>wMailContentLen0023-000=2</t>
  </si>
  <si>
    <t>wMailToLen0024=2</t>
  </si>
  <si>
    <t>wMailBlindCopyToLen0024=2</t>
  </si>
  <si>
    <t>wMailContentLen0024-000=2</t>
  </si>
  <si>
    <t>wMailToLen0025=2</t>
  </si>
  <si>
    <t>wMailBlindCopyToLen0025=2</t>
  </si>
  <si>
    <t>wMailContentLen0025-000=2</t>
  </si>
  <si>
    <t>wMailToLen0026=2</t>
  </si>
  <si>
    <t>wMailBlindCopyToLen0026=2</t>
  </si>
  <si>
    <t>wMailContentLen0026-000=2</t>
  </si>
  <si>
    <t>wMailToLen0027=2</t>
  </si>
  <si>
    <t>wMailBlindCopyToLen0027=2</t>
  </si>
  <si>
    <t>wMailContentLen0027-000=2</t>
  </si>
  <si>
    <t>wMailToLen0028=2</t>
  </si>
  <si>
    <t>wMailBlindCopyToLen0028=2</t>
  </si>
  <si>
    <t>wMailContentLen0028-000=2</t>
  </si>
  <si>
    <t>wMailToLen0029=2</t>
  </si>
  <si>
    <t>wMailBlindCopyToLen0029=2</t>
  </si>
  <si>
    <t>wMailContentLen0029-000=2</t>
  </si>
  <si>
    <t>wMailToLen0030=2</t>
  </si>
  <si>
    <t>wMailBlindCopyToLen0030=2</t>
  </si>
  <si>
    <t>wMailContentLen0030-000=2</t>
  </si>
  <si>
    <t>wMailToLen0031=2</t>
  </si>
  <si>
    <t>wMailBlindCopyToLen0031=2</t>
  </si>
  <si>
    <t>wMailContentLen0031-000=2</t>
  </si>
  <si>
    <t>wMailToLen0032=2</t>
  </si>
  <si>
    <t>wMailBlindCopyToLen0032=2</t>
  </si>
  <si>
    <t>wMailContentLen0032-000=2</t>
  </si>
  <si>
    <t>wMailToLen0033=2</t>
  </si>
  <si>
    <t>wMailBlindCopyToLen0033=2</t>
  </si>
  <si>
    <t>wMailContentLen0033-000=2</t>
  </si>
  <si>
    <t>wMailToLen0034=2</t>
  </si>
  <si>
    <t>wMailBlindCopyToLen0034=2</t>
  </si>
  <si>
    <t>wMailContentLen0034-000=2</t>
  </si>
  <si>
    <t>wMailToLen0035=2</t>
  </si>
  <si>
    <t>wMailBlindCopyToLen0035=2</t>
  </si>
  <si>
    <t>wMailContentLen0035-000=2</t>
  </si>
  <si>
    <t>wMailToLen0036=2</t>
  </si>
  <si>
    <t>wMailBlindCopyToLen0036=2</t>
  </si>
  <si>
    <t>wMailContentLen0036-000=2</t>
  </si>
  <si>
    <t>wMailToLen0037=2</t>
  </si>
  <si>
    <t>wMailBlindCopyToLen0037=2</t>
  </si>
  <si>
    <t>wMailContentLen0037-000=2</t>
  </si>
  <si>
    <t>wMailToLen0038=2</t>
  </si>
  <si>
    <t>wMailBlindCopyToLen0038=2</t>
  </si>
  <si>
    <t>wMailContentLen0038-000=2</t>
  </si>
  <si>
    <t>wMailToLen0039=2</t>
  </si>
  <si>
    <t>wMailBlindCopyToLen0039=2</t>
  </si>
  <si>
    <t>wMailContentLen0039-000=2</t>
  </si>
  <si>
    <t>wMailToLen0040=2</t>
  </si>
  <si>
    <t>wMailBlindCopyToLen0040=2</t>
  </si>
  <si>
    <t>wMailContentLen0040-000=2</t>
  </si>
  <si>
    <t>wMailToLen0041=2</t>
  </si>
  <si>
    <t>wMailBlindCopyToLen0041=2</t>
  </si>
  <si>
    <t>wMailContentLen0041-000=2</t>
  </si>
  <si>
    <t>wMailToLen0042=2</t>
  </si>
  <si>
    <t>wMailBlindCopyToLen0042=2</t>
  </si>
  <si>
    <t>wMailContentLen0042-000=2</t>
  </si>
  <si>
    <t>wMailToLen0043=2</t>
  </si>
  <si>
    <t>wMailBlindCopyToLen0043=2</t>
  </si>
  <si>
    <t>wMailContentLen0043-000=2</t>
  </si>
  <si>
    <t>wMailToLen0044=2</t>
  </si>
  <si>
    <t>wMailBlindCopyToLen0044=2</t>
  </si>
  <si>
    <t>wMailContentLen0044-000=2</t>
  </si>
  <si>
    <t>wMailToLen0045=2</t>
  </si>
  <si>
    <t>wMailBlindCopyToLen0045=2</t>
  </si>
  <si>
    <t>wMailContentLen0045-000=2</t>
  </si>
  <si>
    <t>wMailToLen0046=2</t>
  </si>
  <si>
    <t>wMailBlindCopyToLen0046=2</t>
  </si>
  <si>
    <t>wMailContentLen0046-000=2</t>
  </si>
  <si>
    <t>wMailToLen0047=2</t>
  </si>
  <si>
    <t>wMailBlindCopyToLen0047=2</t>
  </si>
  <si>
    <t>wMailContentLen0047-000=2</t>
  </si>
  <si>
    <t>wMailToLen0048=2</t>
  </si>
  <si>
    <t>wMailBlindCopyToLen0048=2</t>
  </si>
  <si>
    <t>wMailContentLen0048-000=2</t>
  </si>
  <si>
    <t>wMailToLen0049=2</t>
  </si>
  <si>
    <t>wMailBlindCopyToLen0049=2</t>
  </si>
  <si>
    <t>wMailContentLen0049-000=2</t>
  </si>
  <si>
    <t>wMailToLen0050=2</t>
  </si>
  <si>
    <t>wMailBlindCopyToLen0050=2</t>
  </si>
  <si>
    <t>wMailContentLen0050-000=2</t>
  </si>
  <si>
    <t>wMailToLen0051=2</t>
  </si>
  <si>
    <t>wMailBlindCopyToLen0051=2</t>
  </si>
  <si>
    <t>wMailContentLen0051-000=2</t>
  </si>
  <si>
    <t>wMailToLen0052=2</t>
  </si>
  <si>
    <t>wMailBlindCopyToLen0052=2</t>
  </si>
  <si>
    <t>wMailContentLen0052-000=2</t>
  </si>
  <si>
    <t>wMailToLen0053=2</t>
  </si>
  <si>
    <t>wMailBlindCopyToLen0053=2</t>
  </si>
  <si>
    <t>wMailContentLen0053-000=2</t>
  </si>
  <si>
    <t>wMailToLen0054=2</t>
  </si>
  <si>
    <t>wMailBlindCopyToLen0054=2</t>
  </si>
  <si>
    <t>wMailContentLen0054-000=2</t>
  </si>
  <si>
    <t>wMailToLen0055=2</t>
  </si>
  <si>
    <t>wMailBlindCopyToLen0055=2</t>
  </si>
  <si>
    <t>wMailContentLen0055-000=2</t>
  </si>
  <si>
    <t>wMailToLen0056=2</t>
  </si>
  <si>
    <t>wMailBlindCopyToLen0056=2</t>
  </si>
  <si>
    <t>wMailContentLen0056-000=2</t>
  </si>
  <si>
    <t>wMailToLen0057=2</t>
  </si>
  <si>
    <t>wMailBlindCopyToLen0057=2</t>
  </si>
  <si>
    <t>wMailContentLen0057-000=2</t>
  </si>
  <si>
    <t>wMailToLen0058=2</t>
  </si>
  <si>
    <t>wMailBlindCopyToLen0058=2</t>
  </si>
  <si>
    <t>wMailContentLen0058-000=2</t>
  </si>
  <si>
    <t>wMailToLen0059=2</t>
  </si>
  <si>
    <t>wMailBlindCopyToLen0059=2</t>
  </si>
  <si>
    <t>wMailContentLen0059-000=2</t>
  </si>
  <si>
    <t>wMailToLen0060=2</t>
  </si>
  <si>
    <t>wMailBlindCopyToLen0060=2</t>
  </si>
  <si>
    <t>wMailContentLen0060-000=2</t>
  </si>
  <si>
    <t>wMailToLen0061=2</t>
  </si>
  <si>
    <t>wMailBlindCopyToLen0061=2</t>
  </si>
  <si>
    <t>wMailContentLen0061-000=2</t>
  </si>
  <si>
    <t>wMailToLen0062=2</t>
  </si>
  <si>
    <t>wMailBlindCopyToLen0062=2</t>
  </si>
  <si>
    <t>wMailContentLen0062-000=2</t>
  </si>
  <si>
    <t>wMailToLen0063=2</t>
  </si>
  <si>
    <t>wMailBlindCopyToLen0063=2</t>
  </si>
  <si>
    <t>wMailContentLen0063-000=2</t>
  </si>
  <si>
    <t>wMailToLen0064=2</t>
  </si>
  <si>
    <t>wMailBlindCopyToLen0064=2</t>
  </si>
  <si>
    <t>wMailContentLen0064-000=2</t>
  </si>
  <si>
    <t>wMailToLen0065=2</t>
  </si>
  <si>
    <t>wMailBlindCopyToLen0065=2</t>
  </si>
  <si>
    <t>wMailContentLen0065-000=2</t>
  </si>
  <si>
    <t>wMailToLen0066=2</t>
  </si>
  <si>
    <t>wMailBlindCopyToLen0066=2</t>
  </si>
  <si>
    <t>wMailContentLen0066-000=2</t>
  </si>
  <si>
    <t>wMailToLen0067=2</t>
  </si>
  <si>
    <t>wMailBlindCopyToLen0067=2</t>
  </si>
  <si>
    <t>wMailContentLen0067-000=2</t>
  </si>
  <si>
    <t>wMailToLen0068=2</t>
  </si>
  <si>
    <t>wMailBlindCopyToLen0068=2</t>
  </si>
  <si>
    <t>wMailContentLen0068-000=2</t>
  </si>
  <si>
    <t>wMailToLen0069=2</t>
  </si>
  <si>
    <t>wMailBlindCopyToLen0069=2</t>
  </si>
  <si>
    <t>wMailContentLen0069-000=2</t>
  </si>
  <si>
    <t>wMailToLen0070=2</t>
  </si>
  <si>
    <t>wMailBlindCopyToLen0070=2</t>
  </si>
  <si>
    <t>wMailContentLen0070-000=2</t>
  </si>
  <si>
    <t>wMailToLen0071=2</t>
  </si>
  <si>
    <t>wMailBlindCopyToLen0071=2</t>
  </si>
  <si>
    <t>wMailContentLen0071-000=2</t>
  </si>
  <si>
    <t>wMailToLen0072=2</t>
  </si>
  <si>
    <t>wMailBlindCopyToLen0072=2</t>
  </si>
  <si>
    <t>wMailContentLen0072-000=2</t>
  </si>
  <si>
    <t>wMailToLen0073=2</t>
  </si>
  <si>
    <t>wMailBlindCopyToLen0073=2</t>
  </si>
  <si>
    <t>wMailContentLen0073-000=2</t>
  </si>
  <si>
    <t>wMailToLen0074=2</t>
  </si>
  <si>
    <t>wMailBlindCopyToLen0074=2</t>
  </si>
  <si>
    <t>wMailContentLen0074-000=2</t>
  </si>
  <si>
    <t>wMailToLen0075=2</t>
  </si>
  <si>
    <t>wMailBlindCopyToLen0075=2</t>
  </si>
  <si>
    <t>wMailContentLen0075-000=2</t>
  </si>
  <si>
    <t>wMailToLen0076=2</t>
  </si>
  <si>
    <t>wMailBlindCopyToLen0076=2</t>
  </si>
  <si>
    <t>wMailContentLen0076-000=2</t>
  </si>
  <si>
    <t>wMailToLen0077=2</t>
  </si>
  <si>
    <t>wMailBlindCopyToLen0077=2</t>
  </si>
  <si>
    <t>wMailContentLen0077-000=2</t>
  </si>
  <si>
    <t>wMailToLen0078=2</t>
  </si>
  <si>
    <t>wMailBlindCopyToLen0078=2</t>
  </si>
  <si>
    <t>wMailContentLen0078-000=2</t>
  </si>
  <si>
    <t>wMailToLen0079=2</t>
  </si>
  <si>
    <t>wMailBlindCopyToLen0079=2</t>
  </si>
  <si>
    <t>wMailContentLen0079-000=2</t>
  </si>
  <si>
    <t>wMailToLen0080=2</t>
  </si>
  <si>
    <t>wMailBlindCopyToLen0080=2</t>
  </si>
  <si>
    <t>wMailContentLen0080-000=2</t>
  </si>
  <si>
    <t>wMailToLen0081=2</t>
  </si>
  <si>
    <t>wMailBlindCopyToLen0081=2</t>
  </si>
  <si>
    <t>wMailContentLen0081-000=2</t>
  </si>
  <si>
    <t>wMailToLen0082=2</t>
  </si>
  <si>
    <t>wMailBlindCopyToLen0082=2</t>
  </si>
  <si>
    <t>wMailContentLen0082-000=2</t>
  </si>
  <si>
    <t>wMailToLen0083=2</t>
  </si>
  <si>
    <t>wMailBlindCopyToLen0083=2</t>
  </si>
  <si>
    <t>wMailContentLen0083-000=2</t>
  </si>
  <si>
    <t>wMailToLen0084=2</t>
  </si>
  <si>
    <t>wMailBlindCopyToLen0084=2</t>
  </si>
  <si>
    <t>wMailContentLen0084-000=2</t>
  </si>
  <si>
    <t>wMailToLen0085=2</t>
  </si>
  <si>
    <t>wMailBlindCopyToLen0085=2</t>
  </si>
  <si>
    <t>wMailContentLen0085-000=2</t>
  </si>
  <si>
    <t>wMailToLen0086=2</t>
  </si>
  <si>
    <t>wMailBlindCopyToLen0086=2</t>
  </si>
  <si>
    <t>wMailContentLen0086-000=2</t>
  </si>
  <si>
    <t>wMailToLen0087=2</t>
  </si>
  <si>
    <t>wMailBlindCopyToLen0087=2</t>
  </si>
  <si>
    <t>wMailContentLen0087-000=2</t>
  </si>
  <si>
    <t>wMailToLen0088=2</t>
  </si>
  <si>
    <t>wMailBlindCopyToLen0088=2</t>
  </si>
  <si>
    <t>wMailContentLen0088-000=2</t>
  </si>
  <si>
    <t>wMailToLen0089=2</t>
  </si>
  <si>
    <t>wMailBlindCopyToLen0089=2</t>
  </si>
  <si>
    <t>wMailContentLen0089-000=2</t>
  </si>
  <si>
    <t>wMailToLen0090=2</t>
  </si>
  <si>
    <t>wMailBlindCopyToLen0090=2</t>
  </si>
  <si>
    <t>wMailContentLen0090-000=2</t>
  </si>
  <si>
    <t>wMailToLen0091=2</t>
  </si>
  <si>
    <t>wMailBlindCopyToLen0091=2</t>
  </si>
  <si>
    <t>wMailContentLen0091-000=2</t>
  </si>
  <si>
    <t>wMailToLen0092=2</t>
  </si>
  <si>
    <t>wMailBlindCopyToLen0092=2</t>
  </si>
  <si>
    <t>wMailContentLen0092-000=2</t>
  </si>
  <si>
    <t>wMailToLen0093=2</t>
  </si>
  <si>
    <t>wMailBlindCopyToLen0093=2</t>
  </si>
  <si>
    <t>wMailContentLen0093-000=2</t>
  </si>
  <si>
    <t>wMailToLen0094=2</t>
  </si>
  <si>
    <t>wMailBlindCopyToLen0094=2</t>
  </si>
  <si>
    <t>wMailContentLen0094-000=2</t>
  </si>
  <si>
    <t>wMailToLen0095=2</t>
  </si>
  <si>
    <t>wMailBlindCopyToLen0095=2</t>
  </si>
  <si>
    <t>wMailContentLen0095-000=2</t>
  </si>
  <si>
    <t>wMailToLen0096=2</t>
  </si>
  <si>
    <t>wMailBlindCopyToLen0096=2</t>
  </si>
  <si>
    <t>wMailContentLen0096-000=2</t>
  </si>
  <si>
    <t>wMailToLen0097=2</t>
  </si>
  <si>
    <t>wMailBlindCopyToLen0097=2</t>
  </si>
  <si>
    <t>wMailContentLen0097-000=2</t>
  </si>
  <si>
    <t>wMailToLen0098=2</t>
  </si>
  <si>
    <t>wMailBlindCopyToLen0098=2</t>
  </si>
  <si>
    <t>wMailContentLen0098-000=2</t>
  </si>
  <si>
    <t>wMailToLen0099=2</t>
  </si>
  <si>
    <t>wMailBlindCopyToLen0099=2</t>
  </si>
  <si>
    <t>wMailContentLen0099-000=2</t>
  </si>
  <si>
    <t>wMailToLen0100=2</t>
  </si>
  <si>
    <t>wMailBlindCopyToLen0100=2</t>
  </si>
  <si>
    <t>wMailContentLen0100-000=2</t>
  </si>
  <si>
    <t>wMailToLen0101=2</t>
  </si>
  <si>
    <t>wMailBlindCopyToLen0101=2</t>
  </si>
  <si>
    <t>wMailContentLen0101-000=2</t>
  </si>
  <si>
    <t>wMailToLen0102=2</t>
  </si>
  <si>
    <t>wMailBlindCopyToLen0102=2</t>
  </si>
  <si>
    <t>wMailContentLen0102-000=2</t>
  </si>
  <si>
    <t>wMailToLen0103=2</t>
  </si>
  <si>
    <t>wMailBlindCopyToLen0103=2</t>
  </si>
  <si>
    <t>wMailContentLen0103-000=2</t>
  </si>
  <si>
    <t>wMailToLen0104=2</t>
  </si>
  <si>
    <t>wMailBlindCopyToLen0104=2</t>
  </si>
  <si>
    <t>wMailContentLen0104-000=2</t>
  </si>
  <si>
    <t>wMailToLen0105=2</t>
  </si>
  <si>
    <t>wMailBlindCopyToLen0105=2</t>
  </si>
  <si>
    <t>wMailContentLen0105-000=2</t>
  </si>
  <si>
    <t>wMailToLen0106=2</t>
  </si>
  <si>
    <t>wMailBlindCopyToLen0106=2</t>
  </si>
  <si>
    <t>wMailContentLen0106-000=2</t>
  </si>
  <si>
    <t>wMailToLen0107=2</t>
  </si>
  <si>
    <t>wMailBlindCopyToLen0107=2</t>
  </si>
  <si>
    <t>wMailContentLen0107-000=2</t>
  </si>
  <si>
    <t>wMailToLen0108=2</t>
  </si>
  <si>
    <t>wMailBlindCopyToLen0108=2</t>
  </si>
  <si>
    <t>wMailContentLen0108-000=2</t>
  </si>
  <si>
    <t>wMailToLen0109=2</t>
  </si>
  <si>
    <t>wMailBlindCopyToLen0109=2</t>
  </si>
  <si>
    <t>wMailContentLen0109-000=2</t>
  </si>
  <si>
    <t>wMailToLen0110=2</t>
  </si>
  <si>
    <t>wMailBlindCopyToLen0110=2</t>
  </si>
  <si>
    <t>wMailContentLen0110-000=2</t>
  </si>
  <si>
    <t>wMailToLen0111=2</t>
  </si>
  <si>
    <t>wMailBlindCopyToLen0111=2</t>
  </si>
  <si>
    <t>wMailContentLen0111-000=2</t>
  </si>
  <si>
    <t>wMailToLen0112=2</t>
  </si>
  <si>
    <t>wMailBlindCopyToLen0112=2</t>
  </si>
  <si>
    <t>wMailContentLen0112-000=2</t>
  </si>
  <si>
    <t>wMailToLen0113=2</t>
  </si>
  <si>
    <t>wMailBlindCopyToLen0113=2</t>
  </si>
  <si>
    <t>wMailContentLen0113-000=2</t>
  </si>
  <si>
    <t>wMailToLen0114=2</t>
  </si>
  <si>
    <t>wMailBlindCopyToLen0114=2</t>
  </si>
  <si>
    <t>wMailContentLen0114-000=2</t>
  </si>
  <si>
    <t>wMailToLen0115=2</t>
  </si>
  <si>
    <t>wMailBlindCopyToLen0115=2</t>
  </si>
  <si>
    <t>wMailContentLen0115-000=2</t>
  </si>
  <si>
    <t>wMailToLen0116=2</t>
  </si>
  <si>
    <t>wMailBlindCopyToLen0116=2</t>
  </si>
  <si>
    <t>wMailContentLen0116-000=2</t>
  </si>
  <si>
    <t>wMailToLen0117=2</t>
  </si>
  <si>
    <t>wMailBlindCopyToLen0117=2</t>
  </si>
  <si>
    <t>wMailContentLen0117-000=2</t>
  </si>
  <si>
    <t>wMailToLen0118=2</t>
  </si>
  <si>
    <t>wMailBlindCopyToLen0118=2</t>
  </si>
  <si>
    <t>wMailContentLen0118-000=2</t>
  </si>
  <si>
    <t>wMailToLen0119=2</t>
  </si>
  <si>
    <t>wMailBlindCopyToLen0119=2</t>
  </si>
  <si>
    <t>wMailContentLen0119-000=2</t>
  </si>
  <si>
    <t>wMailToLen0120=2</t>
  </si>
  <si>
    <t>wMailBlindCopyToLen0120=2</t>
  </si>
  <si>
    <t>wMailContentLen0120-000=2</t>
  </si>
  <si>
    <t>wMailToLen0121=2</t>
  </si>
  <si>
    <t>wMailBlindCopyToLen0121=2</t>
  </si>
  <si>
    <t>wMailContentLen0121-000=2</t>
  </si>
  <si>
    <t>wMailToLen0122=2</t>
  </si>
  <si>
    <t>wMailBlindCopyToLen0122=2</t>
  </si>
  <si>
    <t>wMailContentLen0122-000=2</t>
  </si>
  <si>
    <t>wMailToLen0123=2</t>
  </si>
  <si>
    <t>wMailBlindCopyToLen0123=2</t>
  </si>
  <si>
    <t>wMailContentLen0123-000=2</t>
  </si>
  <si>
    <t>wMailToLen0124=2</t>
  </si>
  <si>
    <t>wMailBlindCopyToLen0124=2</t>
  </si>
  <si>
    <t>wMailContentLen0124-000=2</t>
  </si>
  <si>
    <t>wMailToLen0125=2</t>
  </si>
  <si>
    <t>wMailBlindCopyToLen0125=2</t>
  </si>
  <si>
    <t>wMailContentLen0125-000=2</t>
  </si>
  <si>
    <t>wMailToLen0126=2</t>
  </si>
  <si>
    <t>wMailBlindCopyToLen0126=2</t>
  </si>
  <si>
    <t>wMailContentLen0126-000=2</t>
  </si>
  <si>
    <t>wMailToLen0127=2</t>
  </si>
  <si>
    <t>wMailBlindCopyToLen0127=2</t>
  </si>
  <si>
    <t>wMailContentLen0127-000=2</t>
  </si>
  <si>
    <t>wMailToLen0128=2</t>
  </si>
  <si>
    <t>wMailBlindCopyToLen0128=2</t>
  </si>
  <si>
    <t>wMailContentLen0128-000=2</t>
  </si>
  <si>
    <t>wMailToLen0129=2</t>
  </si>
  <si>
    <t>wMailBlindCopyToLen0129=2</t>
  </si>
  <si>
    <t>wMailContentLen0129-000=2</t>
  </si>
  <si>
    <t>wMailToLen0130=2</t>
  </si>
  <si>
    <t>wMailBlindCopyToLen0130=2</t>
  </si>
  <si>
    <t>wMailContentLen0130-000=2</t>
  </si>
  <si>
    <t>wMailToLen0131=2</t>
  </si>
  <si>
    <t>wMailBlindCopyToLen0131=2</t>
  </si>
  <si>
    <t>wMailContentLen0131-000=2</t>
  </si>
  <si>
    <t>wMailToLen0132=2</t>
  </si>
  <si>
    <t>wMailBlindCopyToLen0132=2</t>
  </si>
  <si>
    <t>wMailContentLen0132-000=2</t>
  </si>
  <si>
    <t>wMailToLen0133=2</t>
  </si>
  <si>
    <t>wMailBlindCopyToLen0133=2</t>
  </si>
  <si>
    <t>wMailContentLen0133-000=2</t>
  </si>
  <si>
    <t>wMailToLen0134=2</t>
  </si>
  <si>
    <t>wMailBlindCopyToLen0134=2</t>
  </si>
  <si>
    <t>wMailContentLen0134-000=2</t>
  </si>
  <si>
    <t>wMailToLen0135=2</t>
  </si>
  <si>
    <t>wMailBlindCopyToLen0135=2</t>
  </si>
  <si>
    <t>wMailContentLen0135-000=2</t>
  </si>
  <si>
    <t>wMailToLen0136=2</t>
  </si>
  <si>
    <t>wMailBlindCopyToLen0136=2</t>
  </si>
  <si>
    <t>wMailContentLen0136-000=2</t>
  </si>
  <si>
    <t>wMailToLen0137=2</t>
  </si>
  <si>
    <t>wMailBlindCopyToLen0137=2</t>
  </si>
  <si>
    <t>wMailContentLen0137-000=2</t>
  </si>
  <si>
    <t>wMailToLen0138=2</t>
  </si>
  <si>
    <t>wMailBlindCopyToLen0138=2</t>
  </si>
  <si>
    <t>wMailContentLen0138-000=2</t>
  </si>
  <si>
    <t>wMailToLen0139=2</t>
  </si>
  <si>
    <t>wMailBlindCopyToLen0139=2</t>
  </si>
  <si>
    <t>wMailContentLen0139-000=2</t>
  </si>
  <si>
    <t>wMailToLen0140=2</t>
  </si>
  <si>
    <t>wMailBlindCopyToLen0140=2</t>
  </si>
  <si>
    <t>wMailContentLen0140-000=2</t>
  </si>
  <si>
    <t>wMailToLen0141=2</t>
  </si>
  <si>
    <t>wMailBlindCopyToLen0141=2</t>
  </si>
  <si>
    <t>wMailContentLen0141-000=2</t>
  </si>
  <si>
    <t>wMailToLen0142=2</t>
  </si>
  <si>
    <t>wMailBlindCopyToLen0142=2</t>
  </si>
  <si>
    <t>wMailContentLen0142-000=2</t>
  </si>
  <si>
    <t>wMailToLen0143=2</t>
  </si>
  <si>
    <t>wMailBlindCopyToLen0143=2</t>
  </si>
  <si>
    <t>wMailContentLen0143-000=2</t>
  </si>
  <si>
    <t>wMailToLen0144=2</t>
  </si>
  <si>
    <t>wMailBlindCopyToLen0144=2</t>
  </si>
  <si>
    <t>wMailContentLen0144-000=2</t>
  </si>
  <si>
    <t>wMailToLen0145=2</t>
  </si>
  <si>
    <t>wMailBlindCopyToLen0145=2</t>
  </si>
  <si>
    <t>wMailContentLen0145-000=2</t>
  </si>
  <si>
    <t>wMailToLen0146=2</t>
  </si>
  <si>
    <t>wMailBlindCopyToLen0146=2</t>
  </si>
  <si>
    <t>wMailContentLen0146-000=2</t>
  </si>
  <si>
    <t>wMailToLen0147=2</t>
  </si>
  <si>
    <t>wMailBlindCopyToLen0147=2</t>
  </si>
  <si>
    <t>wMailContentLen0147-000=2</t>
  </si>
  <si>
    <t>wMailToLen0148=2</t>
  </si>
  <si>
    <t>wMailBlindCopyToLen0148=2</t>
  </si>
  <si>
    <t>wMailContentLen0148-000=2</t>
  </si>
  <si>
    <t>wMailToLen0149=2</t>
  </si>
  <si>
    <t>wMailBlindCopyToLen0149=2</t>
  </si>
  <si>
    <t>wMailContentLen0149-000=2</t>
  </si>
  <si>
    <t>wMailToLen0150=2</t>
  </si>
  <si>
    <t>wMailBlindCopyToLen0150=2</t>
  </si>
  <si>
    <t>wMailContentLen0150-000=2</t>
  </si>
  <si>
    <t>wMailToLen0151=2</t>
  </si>
  <si>
    <t>wMailBlindCopyToLen0151=2</t>
  </si>
  <si>
    <t>wMailContentLen0151-000=2</t>
  </si>
  <si>
    <t>wMailToLen0152=2</t>
  </si>
  <si>
    <t>wMailBlindCopyToLen0152=2</t>
  </si>
  <si>
    <t>wMailContentLen0152-000=2</t>
  </si>
  <si>
    <t>wMailToLen0153=2</t>
  </si>
  <si>
    <t>wMailBlindCopyToLen0153=2</t>
  </si>
  <si>
    <t>wMailContentLen0153-000=2</t>
  </si>
  <si>
    <t>wMailToLen0154=2</t>
  </si>
  <si>
    <t>wMailBlindCopyToLen0154=2</t>
  </si>
  <si>
    <t>wMailContentLen0154-000=2</t>
  </si>
  <si>
    <t>wMailToLen0155=2</t>
  </si>
  <si>
    <t>wMailBlindCopyToLen0155=2</t>
  </si>
  <si>
    <t>wMailContentLen0155-000=2</t>
  </si>
  <si>
    <t>wMailToLen0156=2</t>
  </si>
  <si>
    <t>wMailBlindCopyToLen0156=2</t>
  </si>
  <si>
    <t>wMailContentLen0156-000=2</t>
  </si>
  <si>
    <t>wMailToLen0157=2</t>
  </si>
  <si>
    <t>wMailBlindCopyToLen0157=2</t>
  </si>
  <si>
    <t>wMailContentLen0157-000=2</t>
  </si>
  <si>
    <t>wMailToLen0158=2</t>
  </si>
  <si>
    <t>wMailBlindCopyToLen0158=2</t>
  </si>
  <si>
    <t>wMailContentLen0158-000=2</t>
  </si>
  <si>
    <t>wMailToLen0159=2</t>
  </si>
  <si>
    <t>wMailBlindCopyToLen0159=2</t>
  </si>
  <si>
    <t>wMailContentLen0159-000=2</t>
  </si>
  <si>
    <t>wMailToLen0160=2</t>
  </si>
  <si>
    <t>wMailBlindCopyToLen0160=2</t>
  </si>
  <si>
    <t>wMailContentLen0160-000=2</t>
  </si>
  <si>
    <t>wMailToLen0161=2</t>
  </si>
  <si>
    <t>wMailBlindCopyToLen0161=2</t>
  </si>
  <si>
    <t>wMailContentLen0161-000=2</t>
  </si>
  <si>
    <t>wMailToLen0162=2</t>
  </si>
  <si>
    <t>wMailBlindCopyToLen0162=2</t>
  </si>
  <si>
    <t>wMailContentLen0162-000=2</t>
  </si>
  <si>
    <t>wMailToLen0163=2</t>
  </si>
  <si>
    <t>wMailBlindCopyToLen0163=2</t>
  </si>
  <si>
    <t>wMailContentLen0163-000=2</t>
  </si>
  <si>
    <t>wMailToLen0164=2</t>
  </si>
  <si>
    <t>wMailBlindCopyToLen0164=2</t>
  </si>
  <si>
    <t>wMailContentLen0164-000=2</t>
  </si>
  <si>
    <t>wMailToLen0165=2</t>
  </si>
  <si>
    <t>wMailBlindCopyToLen0165=2</t>
  </si>
  <si>
    <t>wMailContentLen0165-000=2</t>
  </si>
  <si>
    <t>wMailToLen0166=2</t>
  </si>
  <si>
    <t>wMailBlindCopyToLen0166=2</t>
  </si>
  <si>
    <t>wMailContentLen0166-000=2</t>
  </si>
  <si>
    <t>wMailToLen0167=2</t>
  </si>
  <si>
    <t>wMailBlindCopyToLen0167=2</t>
  </si>
  <si>
    <t>wMailContentLen0167-000=2</t>
  </si>
  <si>
    <t>wMailToLen0168=2</t>
  </si>
  <si>
    <t>wMailBlindCopyToLen0168=2</t>
  </si>
  <si>
    <t>wMailContentLen0168-000=2</t>
  </si>
  <si>
    <t>wMailToLen0169=2</t>
  </si>
  <si>
    <t>wMailBlindCopyToLen0169=2</t>
  </si>
  <si>
    <t>wMailContentLen0169-000=2</t>
  </si>
  <si>
    <t>wMailToLen0170=2</t>
  </si>
  <si>
    <t>wMailBlindCopyToLen0170=2</t>
  </si>
  <si>
    <t>wMailContentLen0170-000=2</t>
  </si>
  <si>
    <t>wMailToLen0171=2</t>
  </si>
  <si>
    <t>wMailBlindCopyToLen0171=2</t>
  </si>
  <si>
    <t>wMailContentLen0171-000=2</t>
  </si>
  <si>
    <t>wMailToLen0172=2</t>
  </si>
  <si>
    <t>wMailBlindCopyToLen0172=2</t>
  </si>
  <si>
    <t>wMailContentLen0172-000=2</t>
  </si>
  <si>
    <t>wMailToLen0173=2</t>
  </si>
  <si>
    <t>wMailBlindCopyToLen0173=2</t>
  </si>
  <si>
    <t>wMailContentLen0173-000=2</t>
  </si>
  <si>
    <t>wMailToLen0174=2</t>
  </si>
  <si>
    <t>wMailBlindCopyToLen0174=2</t>
  </si>
  <si>
    <t>wMailContentLen0174-000=2</t>
  </si>
  <si>
    <t>wMailToLen0175=2</t>
  </si>
  <si>
    <t>wMailBlindCopyToLen0175=2</t>
  </si>
  <si>
    <t>wMailContentLen0175-000=2</t>
  </si>
  <si>
    <t>wMailToLen0176=2</t>
  </si>
  <si>
    <t>wMailBlindCopyToLen0176=2</t>
  </si>
  <si>
    <t>wMailContentLen0176-000=2</t>
  </si>
  <si>
    <t>wMailToLen0193=2</t>
  </si>
  <si>
    <t>wMailBlindCopyToLen0193=2</t>
  </si>
  <si>
    <t>wMailContentLen0193-000=2</t>
  </si>
  <si>
    <t>wMailToLen0194=2</t>
  </si>
  <si>
    <t>wMailBlindCopyToLen0194=2</t>
  </si>
  <si>
    <t>wMailContentLen0194-000=2</t>
  </si>
  <si>
    <t>wMailToLen0195=2</t>
  </si>
  <si>
    <t>wMailBlindCopyToLen0195=2</t>
  </si>
  <si>
    <t>wMailContentLen0195-000=2</t>
  </si>
  <si>
    <t>wMailToLen0196=2</t>
  </si>
  <si>
    <t>wMailBlindCopyToLen0196=2</t>
  </si>
  <si>
    <t>wMailContentLen0196-000=2</t>
  </si>
  <si>
    <t>wMailToLen0197=2</t>
  </si>
  <si>
    <t>wMailBlindCopyToLen0197=2</t>
  </si>
  <si>
    <t>wMailContentLen0197-000=2</t>
  </si>
  <si>
    <t>wMailToLen0198=2</t>
  </si>
  <si>
    <t>wMailBlindCopyToLen0198=2</t>
  </si>
  <si>
    <t>wMailContentLen0198-000=2</t>
  </si>
  <si>
    <t>wMailToLen0199=2</t>
  </si>
  <si>
    <t>wMailBlindCopyToLen0199=2</t>
  </si>
  <si>
    <t>wMailContentLen0199-000=2</t>
  </si>
  <si>
    <t>wMailToLen0200=2</t>
  </si>
  <si>
    <t>wMailBlindCopyToLen0200=2</t>
  </si>
  <si>
    <t>wMailContentLen0200-000=2</t>
  </si>
  <si>
    <t>wMailToLen0201=2</t>
  </si>
  <si>
    <t>wMailBlindCopyToLen0201=2</t>
  </si>
  <si>
    <t>wMailContentLen0201-000=2</t>
  </si>
  <si>
    <t>wMailToLen0202=2</t>
  </si>
  <si>
    <t>wMailBlindCopyToLen0202=2</t>
  </si>
  <si>
    <t>wMailContentLen0202-000=2</t>
  </si>
  <si>
    <t>wMailToLen0203=2</t>
  </si>
  <si>
    <t>wMailBlindCopyToLen0203=2</t>
  </si>
  <si>
    <t>wMailContentLen0203-000=2</t>
  </si>
  <si>
    <t>wMailToLen0204=2</t>
  </si>
  <si>
    <t>wMailBlindCopyToLen0204=2</t>
  </si>
  <si>
    <t>wMailContentLen0204-000=2</t>
  </si>
  <si>
    <t>wMailToLen0205=2</t>
  </si>
  <si>
    <t>wMailBlindCopyToLen0205=2</t>
  </si>
  <si>
    <t>wMailContentLen0205-000=2</t>
  </si>
  <si>
    <t>wMailToLen0206=2</t>
  </si>
  <si>
    <t>wMailBlindCopyToLen0206=2</t>
  </si>
  <si>
    <t>wMailContentLen0206-000=2</t>
  </si>
  <si>
    <t>wMailToLen0207=2</t>
  </si>
  <si>
    <t>wMailBlindCopyToLen0207=2</t>
  </si>
  <si>
    <t>wMailContentLen0207-000=2</t>
  </si>
  <si>
    <t>wMailToLen0208=2</t>
  </si>
  <si>
    <t>wMailBlindCopyToLen0208=2</t>
  </si>
  <si>
    <t>wMailContentLen0208-000=2</t>
  </si>
  <si>
    <t>wMailToLen0209=2</t>
  </si>
  <si>
    <t>wMailBlindCopyToLen0209=2</t>
  </si>
  <si>
    <t>wMailContentLen0209-000=2</t>
  </si>
  <si>
    <t>wMailToLen0210=2</t>
  </si>
  <si>
    <t>wMailBlindCopyToLen0210=2</t>
  </si>
  <si>
    <t>wMailContentLen0210-000=2</t>
  </si>
  <si>
    <t>wMailToLen0211=2</t>
  </si>
  <si>
    <t>wMailBlindCopyToLen0211=2</t>
  </si>
  <si>
    <t>wMailContentLen0211-000=2</t>
  </si>
  <si>
    <t>wMailToLen0212=2</t>
  </si>
  <si>
    <t>wMailBlindCopyToLen0212=2</t>
  </si>
  <si>
    <t>wMailContentLen0212-000=2</t>
  </si>
  <si>
    <t>wMailToLen0213=2</t>
  </si>
  <si>
    <t>wMailBlindCopyToLen0213=2</t>
  </si>
  <si>
    <t>wMailContentLen0213-000=2</t>
  </si>
  <si>
    <t>wMailToLen0214=2</t>
  </si>
  <si>
    <t>wMailBlindCopyToLen0214=2</t>
  </si>
  <si>
    <t>wMailContentLen0214-000=2</t>
  </si>
  <si>
    <t>wMailToLen0215=2</t>
  </si>
  <si>
    <t>wMailBlindCopyToLen0215=2</t>
  </si>
  <si>
    <t>wMailContentLen0215-000=2</t>
  </si>
  <si>
    <t>wMailToLen0216=2</t>
  </si>
  <si>
    <t>wMailBlindCopyToLen0216=2</t>
  </si>
  <si>
    <t>wMailContentLen0216-000=2</t>
  </si>
  <si>
    <t>wMailToLen0217=2</t>
  </si>
  <si>
    <t>wMailBlindCopyToLen0217=2</t>
  </si>
  <si>
    <t>wMailContentLen0217-000=2</t>
  </si>
  <si>
    <t>wMailToLen0218=2</t>
  </si>
  <si>
    <t>wMailBlindCopyToLen0218=2</t>
  </si>
  <si>
    <t>wMailContentLen0218-000=2</t>
  </si>
  <si>
    <t>wMailToLen0219=2</t>
  </si>
  <si>
    <t>wMailBlindCopyToLen0219=2</t>
  </si>
  <si>
    <t>wMailContentLen0219-000=2</t>
  </si>
  <si>
    <t>wMailToLen0220=2</t>
  </si>
  <si>
    <t>wMailBlindCopyToLen0220=2</t>
  </si>
  <si>
    <t>wMailContentLen0220-000=2</t>
  </si>
  <si>
    <t>wMailToLen0221=2</t>
  </si>
  <si>
    <t>wMailBlindCopyToLen0221=2</t>
  </si>
  <si>
    <t>wMailContentLen0221-000=2</t>
  </si>
  <si>
    <t>wMailToLen0222=2</t>
  </si>
  <si>
    <t>wMailBlindCopyToLen0222=2</t>
  </si>
  <si>
    <t>wMailContentLen0222-000=2</t>
  </si>
  <si>
    <t>wMailToLen0223=2</t>
  </si>
  <si>
    <t>wMailBlindCopyToLen0223=2</t>
  </si>
  <si>
    <t>wMailContentLen0223-000=2</t>
  </si>
  <si>
    <t>wMailToLen0224=2</t>
  </si>
  <si>
    <t>wMailBlindCopyToLen0224=2</t>
  </si>
  <si>
    <t>wMailContentLen0224-000=2</t>
  </si>
  <si>
    <t>wMailToLen0225=2</t>
  </si>
  <si>
    <t>wMailBlindCopyToLen0225=2</t>
  </si>
  <si>
    <t>wMailContentLen0225-000=2</t>
  </si>
  <si>
    <t>wMailToLen0226=2</t>
  </si>
  <si>
    <t>wMailBlindCopyToLen0226=2</t>
  </si>
  <si>
    <t>wMailContentLen0226-000=2</t>
  </si>
  <si>
    <t>wMailToLen0227=2</t>
  </si>
  <si>
    <t>wMailBlindCopyToLen0227=2</t>
  </si>
  <si>
    <t>wMailContentLen0227-000=2</t>
  </si>
  <si>
    <t>wMailToLen0228=2</t>
  </si>
  <si>
    <t>wMailBlindCopyToLen0228=2</t>
  </si>
  <si>
    <t>wMailContentLen0228-000=2</t>
  </si>
  <si>
    <t>wMailToLen0229=2</t>
  </si>
  <si>
    <t>wMailBlindCopyToLen0229=2</t>
  </si>
  <si>
    <t>wMailContentLen0229-000=2</t>
  </si>
  <si>
    <t>wMailToLen0230=2</t>
  </si>
  <si>
    <t>wMailBlindCopyToLen0230=2</t>
  </si>
  <si>
    <t>wMailContentLen0230-000=2</t>
  </si>
  <si>
    <t>wMailToLen0231=2</t>
  </si>
  <si>
    <t>wMailBlindCopyToLen0231=2</t>
  </si>
  <si>
    <t>wMailContentLen0231-000=2</t>
  </si>
  <si>
    <t>wMailToLen0232=2</t>
  </si>
  <si>
    <t>wMailBlindCopyToLen0232=2</t>
  </si>
  <si>
    <t>wMailContentLen0232-000=2</t>
  </si>
  <si>
    <t>wMailToLen0233=2</t>
  </si>
  <si>
    <t>wMailBlindCopyToLen0233=2</t>
  </si>
  <si>
    <t>wMailContentLen0233-000=2</t>
  </si>
  <si>
    <t>wMailToLen0234=2</t>
  </si>
  <si>
    <t>wMailBlindCopyToLen0234=2</t>
  </si>
  <si>
    <t>wMailContentLen0234-000=2</t>
  </si>
  <si>
    <t>wMailToLen0235=2</t>
  </si>
  <si>
    <t>wMailBlindCopyToLen0235=2</t>
  </si>
  <si>
    <t>wMailContentLen0235-000=2</t>
  </si>
  <si>
    <t>wMailToLen0236=2</t>
  </si>
  <si>
    <t>wMailBlindCopyToLen0236=2</t>
  </si>
  <si>
    <t>wMailContentLen0236-000=2</t>
  </si>
  <si>
    <t>wMailToLen0237=2</t>
  </si>
  <si>
    <t>wMailBlindCopyToLen0237=2</t>
  </si>
  <si>
    <t>wMailContentLen0237-000=2</t>
  </si>
  <si>
    <t>wMailToLen0238=2</t>
  </si>
  <si>
    <t>wMailBlindCopyToLen0238=2</t>
  </si>
  <si>
    <t>wMailContentLen0238-000=2</t>
  </si>
  <si>
    <t>wMailToLen0239=2</t>
  </si>
  <si>
    <t>wMailBlindCopyToLen0239=2</t>
  </si>
  <si>
    <t>wMailContentLen0239-000=2</t>
  </si>
  <si>
    <t>wMailToLen0240=2</t>
  </si>
  <si>
    <t>wMailBlindCopyToLen0240=2</t>
  </si>
  <si>
    <t>wMailContentLen0240-000=2</t>
  </si>
  <si>
    <t>wMailToLen0305=2</t>
  </si>
  <si>
    <t>wMailBlindCopyToLen0305=2</t>
  </si>
  <si>
    <t>wMailContentLen0305-000=2</t>
  </si>
  <si>
    <t>wMailToLen0306=2</t>
  </si>
  <si>
    <t>wMailBlindCopyToLen0306=2</t>
  </si>
  <si>
    <t>wMailContentLen0306-000=2</t>
  </si>
  <si>
    <t>wMailToLen0307=2</t>
  </si>
  <si>
    <t>wMailBlindCopyToLen0307=2</t>
  </si>
  <si>
    <t>wMailContentLen0307-000=2</t>
  </si>
  <si>
    <t>wMailToLen0308=2</t>
  </si>
  <si>
    <t>wMailBlindCopyToLen0308=2</t>
  </si>
  <si>
    <t>wMailContentLen0308-000=2</t>
  </si>
  <si>
    <t>wMailToLen0309=2</t>
  </si>
  <si>
    <t>wMailBlindCopyToLen0309=2</t>
  </si>
  <si>
    <t>wMailContentLen0309-000=2</t>
  </si>
  <si>
    <t>wMailToLen0310=2</t>
  </si>
  <si>
    <t>wMailBlindCopyToLen0310=2</t>
  </si>
  <si>
    <t>wMailContentLen0310-000=2</t>
  </si>
  <si>
    <t>wMailToLen0311=2</t>
  </si>
  <si>
    <t>wMailBlindCopyToLen0311=2</t>
  </si>
  <si>
    <t>wMailContentLen0311-000=2</t>
  </si>
  <si>
    <t>wMailToLen0312=2</t>
  </si>
  <si>
    <t>wMailBlindCopyToLen0312=2</t>
  </si>
  <si>
    <t>wMailContentLen0312-000=2</t>
  </si>
  <si>
    <t>wMailToLen0313=2</t>
  </si>
  <si>
    <t>wMailBlindCopyToLen0313=2</t>
  </si>
  <si>
    <t>wMailContentLen0313-000=2</t>
  </si>
  <si>
    <t>wMailToLen0314=2</t>
  </si>
  <si>
    <t>wMailBlindCopyToLen0314=2</t>
  </si>
  <si>
    <t>wMailContentLen0314-000=2</t>
  </si>
  <si>
    <t>wMailToLen0315=2</t>
  </si>
  <si>
    <t>wMailBlindCopyToLen0315=2</t>
  </si>
  <si>
    <t>wMailContentLen0315-000=2</t>
  </si>
  <si>
    <t>wMailToLen0316=2</t>
  </si>
  <si>
    <t>wMailBlindCopyToLen0316=2</t>
  </si>
  <si>
    <t>wMailContentLen0316-000=2</t>
  </si>
  <si>
    <t>wMailToLen0317=2</t>
  </si>
  <si>
    <t>wMailBlindCopyToLen0317=2</t>
  </si>
  <si>
    <t>wMailContentLen0317-000=2</t>
  </si>
  <si>
    <t>wMailToLen0318=2</t>
  </si>
  <si>
    <t>wMailBlindCopyToLen0318=2</t>
  </si>
  <si>
    <t>wMailContentLen0318-000=2</t>
  </si>
  <si>
    <t>wMailToLen0319=2</t>
  </si>
  <si>
    <t>wMailBlindCopyToLen0319=2</t>
  </si>
  <si>
    <t>wMailContentLen0319-000=2</t>
  </si>
  <si>
    <t>wMailToLen0320=2</t>
  </si>
  <si>
    <t>wMailBlindCopyToLen0320=2</t>
  </si>
  <si>
    <t>wMailContentLen0320-000=2</t>
  </si>
  <si>
    <t>wMailToLen0289=2</t>
  </si>
  <si>
    <t>wMailBlindCopyToLen0289=2</t>
  </si>
  <si>
    <t>wMailContentLen0289-000=2</t>
  </si>
  <si>
    <t>wMailToLen0290=2</t>
  </si>
  <si>
    <t>wMailBlindCopyToLen0290=2</t>
  </si>
  <si>
    <t>wMailContentLen0290-000=2</t>
  </si>
  <si>
    <t>wMailToLen0291=2</t>
  </si>
  <si>
    <t>wMailBlindCopyToLen0291=2</t>
  </si>
  <si>
    <t>wMailContentLen0291-000=2</t>
  </si>
  <si>
    <t>wMailToLen0292=2</t>
  </si>
  <si>
    <t>wMailBlindCopyToLen0292=2</t>
  </si>
  <si>
    <t>wMailContentLen0292-000=2</t>
  </si>
  <si>
    <t>wMailToLen0293=2</t>
  </si>
  <si>
    <t>wMailBlindCopyToLen0293=2</t>
  </si>
  <si>
    <t>wMailContentLen0293-000=2</t>
  </si>
  <si>
    <t>wMailToLen0294=2</t>
  </si>
  <si>
    <t>wMailBlindCopyToLen0294=2</t>
  </si>
  <si>
    <t>wMailContentLen0294-000=2</t>
  </si>
  <si>
    <t>wMailToLen0295=2</t>
  </si>
  <si>
    <t>wMailBlindCopyToLen0295=2</t>
  </si>
  <si>
    <t>wMailContentLen0295-000=2</t>
  </si>
  <si>
    <t>wMailToLen0296=2</t>
  </si>
  <si>
    <t>wMailBlindCopyToLen0296=2</t>
  </si>
  <si>
    <t>wMailContentLen0296-000=2</t>
  </si>
  <si>
    <t>wMailToLen0297=2</t>
  </si>
  <si>
    <t>wMailBlindCopyToLen0297=2</t>
  </si>
  <si>
    <t>wMailContentLen0297-000=2</t>
  </si>
  <si>
    <t>wMailToLen0298=2</t>
  </si>
  <si>
    <t>wMailBlindCopyToLen0298=2</t>
  </si>
  <si>
    <t>wMailContentLen0298-000=2</t>
  </si>
  <si>
    <t>wMailToLen0299=2</t>
  </si>
  <si>
    <t>wMailBlindCopyToLen0299=2</t>
  </si>
  <si>
    <t>wMailContentLen0299-000=2</t>
  </si>
  <si>
    <t>wMailToLen0300=2</t>
  </si>
  <si>
    <t>wMailBlindCopyToLen0300=2</t>
  </si>
  <si>
    <t>wMailContentLen0300-000=2</t>
  </si>
  <si>
    <t>wMailToLen0301=2</t>
  </si>
  <si>
    <t>wMailBlindCopyToLen0301=2</t>
  </si>
  <si>
    <t>wMailContentLen0301-000=2</t>
  </si>
  <si>
    <t>wMailToLen0302=2</t>
  </si>
  <si>
    <t>wMailBlindCopyToLen0302=2</t>
  </si>
  <si>
    <t>wMailContentLen0302-000=2</t>
  </si>
  <si>
    <t>wMailToLen0303=2</t>
  </si>
  <si>
    <t>wMailBlindCopyToLen0303=2</t>
  </si>
  <si>
    <t>wMailContentLen0303-000=2</t>
  </si>
  <si>
    <t>wMailToLen0304=2</t>
  </si>
  <si>
    <t>wMailBlindCopyToLen0304=2</t>
  </si>
  <si>
    <t>wMailContentLen0304-000=2</t>
  </si>
  <si>
    <t>wMailToLen0321=2</t>
  </si>
  <si>
    <t>wMailBlindCopyToLen0321=2</t>
  </si>
  <si>
    <t>wMailContentLen0321-000=2</t>
  </si>
  <si>
    <t>wMailToLen0322=2</t>
  </si>
  <si>
    <t>wMailBlindCopyToLen0322=2</t>
  </si>
  <si>
    <t>wMailContentLen0322-000=2</t>
  </si>
  <si>
    <t>wMailToLen0323=2</t>
  </si>
  <si>
    <t>wMailBlindCopyToLen0323=2</t>
  </si>
  <si>
    <t>wMailContentLen0323-000=2</t>
  </si>
  <si>
    <t>wMailToLen0324=2</t>
  </si>
  <si>
    <t>wMailBlindCopyToLen0324=2</t>
  </si>
  <si>
    <t>wMailContentLen0324-000=2</t>
  </si>
  <si>
    <t>wMailToLen0325=2</t>
  </si>
  <si>
    <t>wMailBlindCopyToLen0325=2</t>
  </si>
  <si>
    <t>wMailContentLen0325-000=2</t>
  </si>
  <si>
    <t>wMailToLen0326=2</t>
  </si>
  <si>
    <t>wMailBlindCopyToLen0326=2</t>
  </si>
  <si>
    <t>wMailContentLen0326-000=2</t>
  </si>
  <si>
    <t>wMailToLen0327=2</t>
  </si>
  <si>
    <t>wMailBlindCopyToLen0327=2</t>
  </si>
  <si>
    <t>wMailContentLen0327-000=2</t>
  </si>
  <si>
    <t>wMailToLen0328=2</t>
  </si>
  <si>
    <t>wMailBlindCopyToLen0328=2</t>
  </si>
  <si>
    <t>wMailContentLen0328-000=2</t>
  </si>
  <si>
    <t>wMailToLen0329=2</t>
  </si>
  <si>
    <t>wMailBlindCopyToLen0329=2</t>
  </si>
  <si>
    <t>wMailContentLen0329-000=2</t>
  </si>
  <si>
    <t>wMailToLen0330=2</t>
  </si>
  <si>
    <t>wMailBlindCopyToLen0330=2</t>
  </si>
  <si>
    <t>wMailContentLen0330-000=2</t>
  </si>
  <si>
    <t>wMailToLen0331=2</t>
  </si>
  <si>
    <t>wMailBlindCopyToLen0331=2</t>
  </si>
  <si>
    <t>wMailContentLen0331-000=2</t>
  </si>
  <si>
    <t>wMailToLen0332=2</t>
  </si>
  <si>
    <t>wMailBlindCopyToLen0332=2</t>
  </si>
  <si>
    <t>wMailContentLen0332-000=2</t>
  </si>
  <si>
    <t>wMailToLen0333=2</t>
  </si>
  <si>
    <t>wMailBlindCopyToLen0333=2</t>
  </si>
  <si>
    <t>wMailContentLen0333-000=2</t>
  </si>
  <si>
    <t>wMailToLen0334=2</t>
  </si>
  <si>
    <t>wMailBlindCopyToLen0334=2</t>
  </si>
  <si>
    <t>wMailContentLen0334-000=2</t>
  </si>
  <si>
    <t>wMailToLen0335=2</t>
  </si>
  <si>
    <t>wMailBlindCopyToLen0335=2</t>
  </si>
  <si>
    <t>wMailContentLen0335-000=2</t>
  </si>
  <si>
    <t>wMailToLen0336=2</t>
  </si>
  <si>
    <t>wMailBlindCopyToLen0336=2</t>
  </si>
  <si>
    <t>wMailContentLen0336-000=2</t>
  </si>
  <si>
    <t>wMailToLen0337=2</t>
  </si>
  <si>
    <t>wMailBlindCopyToLen0337=2</t>
  </si>
  <si>
    <t>wMailContentLen0337-000=2</t>
  </si>
  <si>
    <t>wMailToLen0338=2</t>
  </si>
  <si>
    <t>wMailBlindCopyToLen0338=2</t>
  </si>
  <si>
    <t>wMailContentLen0338-000=2</t>
  </si>
  <si>
    <t>wMailToLen0339=2</t>
  </si>
  <si>
    <t>wMailBlindCopyToLen0339=2</t>
  </si>
  <si>
    <t>wMailContentLen0339-000=2</t>
  </si>
  <si>
    <t>wMailToLen0340=2</t>
  </si>
  <si>
    <t>wMailBlindCopyToLen0340=2</t>
  </si>
  <si>
    <t>wMailContentLen0340-000=2</t>
  </si>
  <si>
    <t>wMailToLen0341=2</t>
  </si>
  <si>
    <t>wMailBlindCopyToLen0341=2</t>
  </si>
  <si>
    <t>wMailContentLen0341-000=2</t>
  </si>
  <si>
    <t>wMailToLen0342=2</t>
  </si>
  <si>
    <t>wMailBlindCopyToLen0342=2</t>
  </si>
  <si>
    <t>wMailContentLen0342-000=2</t>
  </si>
  <si>
    <t>wMailToLen0343=2</t>
  </si>
  <si>
    <t>wMailBlindCopyToLen0343=2</t>
  </si>
  <si>
    <t>wMailContentLen0343-000=2</t>
  </si>
  <si>
    <t>wMailToLen0344=2</t>
  </si>
  <si>
    <t>wMailBlindCopyToLen0344=2</t>
  </si>
  <si>
    <t>wMailContentLen0344-000=2</t>
  </si>
  <si>
    <t>wMailToLen0345=2</t>
  </si>
  <si>
    <t>wMailBlindCopyToLen0345=2</t>
  </si>
  <si>
    <t>wMailContentLen0345-000=2</t>
  </si>
  <si>
    <t>wMailToLen0346=2</t>
  </si>
  <si>
    <t>wMailBlindCopyToLen0346=2</t>
  </si>
  <si>
    <t>wMailContentLen0346-000=2</t>
  </si>
  <si>
    <t>wMailToLen0347=2</t>
  </si>
  <si>
    <t>wMailBlindCopyToLen0347=2</t>
  </si>
  <si>
    <t>wMailContentLen0347-000=2</t>
  </si>
  <si>
    <t>wMailToLen0348=2</t>
  </si>
  <si>
    <t>wMailBlindCopyToLen0348=2</t>
  </si>
  <si>
    <t>wMailContentLen0348-000=2</t>
  </si>
  <si>
    <t>wMailToLen0349=2</t>
  </si>
  <si>
    <t>wMailBlindCopyToLen0349=2</t>
  </si>
  <si>
    <t>wMailContentLen0349-000=2</t>
  </si>
  <si>
    <t>wMailToLen0350=2</t>
  </si>
  <si>
    <t>wMailBlindCopyToLen0350=2</t>
  </si>
  <si>
    <t>wMailContentLen0350-000=2</t>
  </si>
  <si>
    <t>wMailToLen0351=2</t>
  </si>
  <si>
    <t>wMailBlindCopyToLen0351=2</t>
  </si>
  <si>
    <t>wMailContentLen0351-000=2</t>
  </si>
  <si>
    <t>wMailToLen0352=2</t>
  </si>
  <si>
    <t>wMailBlindCopyToLen0352=2</t>
  </si>
  <si>
    <t>wMailContentLen0352-000=2</t>
  </si>
  <si>
    <t>wMailToLen0241=2</t>
  </si>
  <si>
    <t>wMailBlindCopyToLen0241=2</t>
  </si>
  <si>
    <t>wMailContentLen0241-000=2</t>
  </si>
  <si>
    <t>wMailToLen0242=2</t>
  </si>
  <si>
    <t>wMailBlindCopyToLen0242=2</t>
  </si>
  <si>
    <t>wMailContentLen0242-000=2</t>
  </si>
  <si>
    <t>wMailToLen0243=2</t>
  </si>
  <si>
    <t>wMailBlindCopyToLen0243=2</t>
  </si>
  <si>
    <t>wMailContentLen0243-000=2</t>
  </si>
  <si>
    <t>wMailToLen0244=2</t>
  </si>
  <si>
    <t>wMailBlindCopyToLen0244=2</t>
  </si>
  <si>
    <t>wMailContentLen0244-000=2</t>
  </si>
  <si>
    <t>wMailToLen0245=2</t>
  </si>
  <si>
    <t>wMailBlindCopyToLen0245=2</t>
  </si>
  <si>
    <t>wMailContentLen0245-000=2</t>
  </si>
  <si>
    <t>wMailToLen0246=2</t>
  </si>
  <si>
    <t>wMailBlindCopyToLen0246=2</t>
  </si>
  <si>
    <t>wMailContentLen0246-000=2</t>
  </si>
  <si>
    <t>wMailToLen0247=2</t>
  </si>
  <si>
    <t>wMailBlindCopyToLen0247=2</t>
  </si>
  <si>
    <t>wMailContentLen0247-000=2</t>
  </si>
  <si>
    <t>wMailToLen0248=2</t>
  </si>
  <si>
    <t>wMailBlindCopyToLen0248=2</t>
  </si>
  <si>
    <t>wMailContentLen0248-000=2</t>
  </si>
  <si>
    <t>wMailToLen0249=2</t>
  </si>
  <si>
    <t>wMailBlindCopyToLen0249=2</t>
  </si>
  <si>
    <t>wMailContentLen0249-000=2</t>
  </si>
  <si>
    <t>wMailToLen0250=2</t>
  </si>
  <si>
    <t>wMailBlindCopyToLen0250=2</t>
  </si>
  <si>
    <t>wMailContentLen0250-000=2</t>
  </si>
  <si>
    <t>wMailToLen0251=2</t>
  </si>
  <si>
    <t>wMailBlindCopyToLen0251=2</t>
  </si>
  <si>
    <t>wMailContentLen0251-000=2</t>
  </si>
  <si>
    <t>wMailToLen0252=2</t>
  </si>
  <si>
    <t>wMailBlindCopyToLen0252=2</t>
  </si>
  <si>
    <t>wMailContentLen0252-000=2</t>
  </si>
  <si>
    <t>wMailToLen0253=2</t>
  </si>
  <si>
    <t>wMailBlindCopyToLen0253=2</t>
  </si>
  <si>
    <t>wMailContentLen0253-000=2</t>
  </si>
  <si>
    <t>wMailToLen0254=2</t>
  </si>
  <si>
    <t>wMailBlindCopyToLen0254=2</t>
  </si>
  <si>
    <t>wMailContentLen0254-000=2</t>
  </si>
  <si>
    <t>wMailToLen0255=2</t>
  </si>
  <si>
    <t>wMailBlindCopyToLen0255=2</t>
  </si>
  <si>
    <t>wMailContentLen0255-000=2</t>
  </si>
  <si>
    <t>wMailToLen0256=2</t>
  </si>
  <si>
    <t>wMailBlindCopyToLen0256=2</t>
  </si>
  <si>
    <t>wMailContentLen0256-000=2</t>
  </si>
  <si>
    <t>wMailToLen0257=2</t>
  </si>
  <si>
    <t>wMailBlindCopyToLen0257=2</t>
  </si>
  <si>
    <t>wMailContentLen0257-000=2</t>
  </si>
  <si>
    <t>wMailToLen0258=2</t>
  </si>
  <si>
    <t>wMailBlindCopyToLen0258=2</t>
  </si>
  <si>
    <t>wMailContentLen0258-000=2</t>
  </si>
  <si>
    <t>wMailToLen0259=2</t>
  </si>
  <si>
    <t>wMailBlindCopyToLen0259=2</t>
  </si>
  <si>
    <t>wMailContentLen0259-000=2</t>
  </si>
  <si>
    <t>wMailToLen0260=2</t>
  </si>
  <si>
    <t>wMailBlindCopyToLen0260=2</t>
  </si>
  <si>
    <t>wMailContentLen0260-000=2</t>
  </si>
  <si>
    <t>wMailToLen0261=2</t>
  </si>
  <si>
    <t>wMailBlindCopyToLen0261=2</t>
  </si>
  <si>
    <t>wMailContentLen0261-000=2</t>
  </si>
  <si>
    <t>wMailToLen0262=2</t>
  </si>
  <si>
    <t>wMailBlindCopyToLen0262=2</t>
  </si>
  <si>
    <t>wMailContentLen0262-000=2</t>
  </si>
  <si>
    <t>wMailToLen0263=2</t>
  </si>
  <si>
    <t>wMailBlindCopyToLen0263=2</t>
  </si>
  <si>
    <t>wMailContentLen0263-000=2</t>
  </si>
  <si>
    <t>wMailToLen0264=2</t>
  </si>
  <si>
    <t>wMailBlindCopyToLen0264=2</t>
  </si>
  <si>
    <t>wMailContentLen0264-000=2</t>
  </si>
  <si>
    <t>wMailToLen0265=2</t>
  </si>
  <si>
    <t>wMailBlindCopyToLen0265=2</t>
  </si>
  <si>
    <t>wMailContentLen0265-000=2</t>
  </si>
  <si>
    <t>wMailToLen0266=2</t>
  </si>
  <si>
    <t>wMailBlindCopyToLen0266=2</t>
  </si>
  <si>
    <t>wMailContentLen0266-000=2</t>
  </si>
  <si>
    <t>wMailToLen0267=2</t>
  </si>
  <si>
    <t>wMailBlindCopyToLen0267=2</t>
  </si>
  <si>
    <t>wMailContentLen0267-000=2</t>
  </si>
  <si>
    <t>wMailToLen0268=2</t>
  </si>
  <si>
    <t>wMailBlindCopyToLen0268=2</t>
  </si>
  <si>
    <t>wMailContentLen0268-000=2</t>
  </si>
  <si>
    <t>wMailToLen0269=2</t>
  </si>
  <si>
    <t>wMailBlindCopyToLen0269=2</t>
  </si>
  <si>
    <t>wMailContentLen0269-000=2</t>
  </si>
  <si>
    <t>wMailToLen0270=2</t>
  </si>
  <si>
    <t>wMailBlindCopyToLen0270=2</t>
  </si>
  <si>
    <t>wMailContentLen0270-000=2</t>
  </si>
  <si>
    <t>wMailToLen0271=2</t>
  </si>
  <si>
    <t>wMailBlindCopyToLen0271=2</t>
  </si>
  <si>
    <t>wMailContentLen0271-000=2</t>
  </si>
  <si>
    <t>wMailToLen0272=2</t>
  </si>
  <si>
    <t>wMailBlindCopyToLen0272=2</t>
  </si>
  <si>
    <t>wMailContentLen0272-000=2</t>
  </si>
  <si>
    <t>wMailToLen0273=2</t>
  </si>
  <si>
    <t>wMailBlindCopyToLen0273=2</t>
  </si>
  <si>
    <t>wMailContentLen0273-000=2</t>
  </si>
  <si>
    <t>wMailToLen0274=2</t>
  </si>
  <si>
    <t>wMailBlindCopyToLen0274=2</t>
  </si>
  <si>
    <t>wMailContentLen0274-000=2</t>
  </si>
  <si>
    <t>wMailToLen0275=2</t>
  </si>
  <si>
    <t>wMailBlindCopyToLen0275=2</t>
  </si>
  <si>
    <t>wMailContentLen0275-000=2</t>
  </si>
  <si>
    <t>wMailToLen0276=2</t>
  </si>
  <si>
    <t>wMailBlindCopyToLen0276=2</t>
  </si>
  <si>
    <t>wMailContentLen0276-000=2</t>
  </si>
  <si>
    <t>wMailToLen0277=2</t>
  </si>
  <si>
    <t>wMailBlindCopyToLen0277=2</t>
  </si>
  <si>
    <t>wMailContentLen0277-000=2</t>
  </si>
  <si>
    <t>wMailToLen0278=2</t>
  </si>
  <si>
    <t>wMailBlindCopyToLen0278=2</t>
  </si>
  <si>
    <t>wMailContentLen0278-000=2</t>
  </si>
  <si>
    <t>wMailToLen0279=2</t>
  </si>
  <si>
    <t>wMailBlindCopyToLen0279=2</t>
  </si>
  <si>
    <t>wMailContentLen0279-000=2</t>
  </si>
  <si>
    <t>wMailToLen0280=2</t>
  </si>
  <si>
    <t>wMailBlindCopyToLen0280=2</t>
  </si>
  <si>
    <t>wMailContentLen0280-000=2</t>
  </si>
  <si>
    <t>wMailToLen0281=2</t>
  </si>
  <si>
    <t>wMailBlindCopyToLen0281=2</t>
  </si>
  <si>
    <t>wMailContentLen0281-000=2</t>
  </si>
  <si>
    <t>wMailToLen0282=2</t>
  </si>
  <si>
    <t>wMailBlindCopyToLen0282=2</t>
  </si>
  <si>
    <t>wMailContentLen0282-000=2</t>
  </si>
  <si>
    <t>wMailToLen0283=2</t>
  </si>
  <si>
    <t>wMailBlindCopyToLen0283=2</t>
  </si>
  <si>
    <t>wMailContentLen0283-000=2</t>
  </si>
  <si>
    <t>wMailToLen0284=2</t>
  </si>
  <si>
    <t>wMailBlindCopyToLen0284=2</t>
  </si>
  <si>
    <t>wMailContentLen0284-000=2</t>
  </si>
  <si>
    <t>wMailToLen0285=2</t>
  </si>
  <si>
    <t>wMailBlindCopyToLen0285=2</t>
  </si>
  <si>
    <t>wMailContentLen0285-000=2</t>
  </si>
  <si>
    <t>wMailToLen0286=2</t>
  </si>
  <si>
    <t>wMailBlindCopyToLen0286=2</t>
  </si>
  <si>
    <t>wMailContentLen0286-000=2</t>
  </si>
  <si>
    <t>wMailToLen0287=2</t>
  </si>
  <si>
    <t>wMailBlindCopyToLen0287=2</t>
  </si>
  <si>
    <t>wMailContentLen0287-000=2</t>
  </si>
  <si>
    <t>wMailToLen0288=2</t>
  </si>
  <si>
    <t>wMailBlindCopyToLen0288=2</t>
  </si>
  <si>
    <t>wMailContentLen0288-000=2</t>
  </si>
  <si>
    <t>wMailToLen0177=2</t>
  </si>
  <si>
    <t>wMailBlindCopyToLen0177=2</t>
  </si>
  <si>
    <t>wMailContentLen0177-000=2</t>
  </si>
  <si>
    <t>wMailToLen0178=2</t>
  </si>
  <si>
    <t>wMailBlindCopyToLen0178=2</t>
  </si>
  <si>
    <t>wMailContentLen0178-000=2</t>
  </si>
  <si>
    <t>wMailToLen0179=2</t>
  </si>
  <si>
    <t>wMailBlindCopyToLen0179=2</t>
  </si>
  <si>
    <t>wMailContentLen0179-000=2</t>
  </si>
  <si>
    <t>wMailToLen0180=2</t>
  </si>
  <si>
    <t>wMailBlindCopyToLen0180=2</t>
  </si>
  <si>
    <t>wMailContentLen0180-000=2</t>
  </si>
  <si>
    <t>wMailToLen0181=2</t>
  </si>
  <si>
    <t>wMailBlindCopyToLen0181=2</t>
  </si>
  <si>
    <t>wMailContentLen0181-000=2</t>
  </si>
  <si>
    <t>wMailToLen0182=2</t>
  </si>
  <si>
    <t>wMailBlindCopyToLen0182=2</t>
  </si>
  <si>
    <t>wMailContentLen0182-000=2</t>
  </si>
  <si>
    <t>wMailToLen0183=2</t>
  </si>
  <si>
    <t>wMailBlindCopyToLen0183=2</t>
  </si>
  <si>
    <t>wMailContentLen0183-000=2</t>
  </si>
  <si>
    <t>wMailToLen0184=2</t>
  </si>
  <si>
    <t>wMailBlindCopyToLen0184=2</t>
  </si>
  <si>
    <t>wMailContentLen0184-000=2</t>
  </si>
  <si>
    <t>wMailToLen0185=2</t>
  </si>
  <si>
    <t>wMailBlindCopyToLen0185=2</t>
  </si>
  <si>
    <t>wMailContentLen0185-000=2</t>
  </si>
  <si>
    <t>wMailToLen0186=2</t>
  </si>
  <si>
    <t>wMailBlindCopyToLen0186=2</t>
  </si>
  <si>
    <t>wMailContentLen0186-000=2</t>
  </si>
  <si>
    <t>wMailToLen0187=2</t>
  </si>
  <si>
    <t>wMailBlindCopyToLen0187=2</t>
  </si>
  <si>
    <t>wMailContentLen0187-000=2</t>
  </si>
  <si>
    <t>wMailToLen0188=2</t>
  </si>
  <si>
    <t>wMailBlindCopyToLen0188=2</t>
  </si>
  <si>
    <t>wMailContentLen0188-000=2</t>
  </si>
  <si>
    <t>wMailToLen0189=2</t>
  </si>
  <si>
    <t>wMailBlindCopyToLen0189=2</t>
  </si>
  <si>
    <t>wMailContentLen0189-000=2</t>
  </si>
  <si>
    <t>wMailToLen0190=2</t>
  </si>
  <si>
    <t>wMailBlindCopyToLen0190=2</t>
  </si>
  <si>
    <t>wMailContentLen0190-000=2</t>
  </si>
  <si>
    <t>wMailToLen0191=2</t>
  </si>
  <si>
    <t>wMailBlindCopyToLen0191=2</t>
  </si>
  <si>
    <t>wMailContentLen0191-000=2</t>
  </si>
  <si>
    <t>wMailToLen0192=2</t>
  </si>
  <si>
    <t>wMailBlindCopyToLen0192=2</t>
  </si>
  <si>
    <t>wMailContentLen0192-000=2</t>
  </si>
  <si>
    <t>wMailToLen0002=2</t>
  </si>
  <si>
    <t>wMailBlindCopyToLen0002=2</t>
  </si>
  <si>
    <t>wMailContentLen0002-000=2</t>
  </si>
  <si>
    <t>wMailToLen0003=2</t>
  </si>
  <si>
    <t>wMailBlindCopyToLen0003=2</t>
  </si>
  <si>
    <t>wMailContentLen0003-000=2</t>
  </si>
  <si>
    <t>wMailToLen0004=2</t>
  </si>
  <si>
    <t>wMailBlindCopyToLen0004=2</t>
  </si>
  <si>
    <t>wMailContentLen0004-000=2</t>
  </si>
  <si>
    <t>wMailToLen0005=2</t>
  </si>
  <si>
    <t>wMailBlindCopyToLen0005=2</t>
  </si>
  <si>
    <t>wMailContentLen0005-000=2</t>
  </si>
  <si>
    <t>wMailToLen0006=2</t>
  </si>
  <si>
    <t>wMailBlindCopyToLen0006=2</t>
  </si>
  <si>
    <t>wMailContentLen0006-000=2</t>
  </si>
  <si>
    <t>wMailToLen0007=2</t>
  </si>
  <si>
    <t>wMailBlindCopyToLen0007=2</t>
  </si>
  <si>
    <t>wMailContentLen0007-000=2</t>
  </si>
  <si>
    <t>wMailToLen0008=2</t>
  </si>
  <si>
    <t>wMailBlindCopyToLen0008=2</t>
  </si>
  <si>
    <t>wMailContentLen0008-000=2</t>
  </si>
  <si>
    <t>wMailToLen0009=2</t>
  </si>
  <si>
    <t>wMailBlindCopyToLen0009=2</t>
  </si>
  <si>
    <t>wMailContentLen0009-000=2</t>
  </si>
  <si>
    <t>wMailToLen0010=2</t>
  </si>
  <si>
    <t>wMailBlindCopyToLen0010=2</t>
  </si>
  <si>
    <t>wMailContentLen0010-000=2</t>
  </si>
  <si>
    <t>wMailToLen0011=2</t>
  </si>
  <si>
    <t>wMailBlindCopyToLen0011=2</t>
  </si>
  <si>
    <t>wMailContentLen0011-000=2</t>
  </si>
  <si>
    <t>wMailToLen0012=2</t>
  </si>
  <si>
    <t>wMailBlindCopyToLen0012=2</t>
  </si>
  <si>
    <t>wMailContentLen0012-000=2</t>
  </si>
  <si>
    <t>wMailToLen0013=2</t>
  </si>
  <si>
    <t>wMailBlindCopyToLen0013=2</t>
  </si>
  <si>
    <t>wMailContentLen0013-000=2</t>
  </si>
  <si>
    <t>wMailToLen0014=2</t>
  </si>
  <si>
    <t>wMailBlindCopyToLen0014=2</t>
  </si>
  <si>
    <t>wMailContentLen0014-000=2</t>
  </si>
  <si>
    <t>wMailToLen0015=2</t>
  </si>
  <si>
    <t>wMailBlindCopyToLen0015=2</t>
  </si>
  <si>
    <t>wMailContentLen0015-000=2</t>
  </si>
  <si>
    <t>wMailToLen0016=2</t>
  </si>
  <si>
    <t>wMailBlindCopyToLen0016=2</t>
  </si>
  <si>
    <t>wMailContentLen0016-000=2</t>
  </si>
  <si>
    <t>_x0001__x0001_</t>
  </si>
  <si>
    <t>S_x0001_t_x0001_a_x0001_t_x0001_i_x0001_o_x0001_n_x0001_ _x0001_t_x0001_a_x0001_n_x0001_k_x0001_ _x0001_l_x0001_e_x0001_v_x0001_e_x0001_l_x0001_ _x0001_b_x0001_y_x0001_p_x0001_a_x0001_s_x0001_s_x0001_e_x0001_d_x0001__x0001__x0001_</t>
  </si>
  <si>
    <t>S_x0001_t_x0001_a_x0001_t_x0001_i_x0001_o_x0001_n_x0001_ _x0001_s_x0001_u_x0001_m_x0001_p_x0001_ _x0001_l_x0001_e_x0001_v_x0001_e_x0001_l_x0001_ _x0001_b_x0001_y_x0001_p_x0001_a_x0001_s_x0001_s_x0001_e_x0001_d_x0001__x0001__x0001_</t>
  </si>
  <si>
    <t>S_x0001_t_x0001_a_x0001_t_x0001_i_x0001_o_x0001_n_x0001_ _x0001_l_x0001_o_x0001_w_x0001_ _x0001_d_x0001_i_x0001_s_x0001_c_x0001_h_x0001_a_x0001_r_x0001_g_x0001_e_x0001_ _x0001_b_x0001_y_x0001_p_x0001_a_x0001_s_x0001_s_x0001_e_x0001_d_x0001__x0001__x0001_</t>
  </si>
  <si>
    <t>S_x0001_t_x0001_a_x0001_t_x0001_i_x0001_o_x0001_n_x0001_ _x0001_B_x0001_S_x0001_&amp;_x0001_W_x0001_ _x0001_2_x0001_0_x0001_0_x0001_ _x0001_b_x0001_y_x0001_p_x0001_a_x0001_s_x0001_s_x0001_e_x0001_d_x0001__x0001__x0001_</t>
  </si>
  <si>
    <t>S_x0001_t_x0001_a_x0001_t_x0001_i_x0001_o_x0001_n_x0001_ _x0001_B_x0001_S_x0001_&amp;_x0001_W_x0001_ _x0001_3_x0001_0_x0001_0_x0001_ _x0001_b_x0001_y_x0001_p_x0001_a_x0001_s_x0001_s_x0001_e_x0001_d_x0001__x0001__x0001_</t>
  </si>
  <si>
    <t>P_x0001_L_x0001_C_x0001_ _x0001_I_x0001_O_x0001_ _x0001_F_x0001_a_x0001_i_x0001_l_x0001__x0001__x0001_</t>
  </si>
  <si>
    <t>P_x0001_L_x0001_C_x0001_ _x0001_F_x0001_a_x0001_u_x0001_l_x0001_t_x0001_ _x0001_(_x0001_0_x0001_=_x0001_B_x0001_A_x0001_D_x0001_,_x0001_ _x0001_1_x0001_=_x0001_O_x0001_K_x0001_)_x0001__x0001__x0001_</t>
  </si>
  <si>
    <t>P_x0001_-_x0001_1_x0001_ _x0001_F_x0001_I_x0001_R_x0001_E_x0001_ _x0001_A_x0001_l_x0001_a_x0001_r_x0001_m_x0001_ _x0001_H_x0001_i_x0001_H_x0001_i_x0001_ _x0001_L_x0001_a_x0001_t_x0001_c_x0001_h_x0001_e_x0001_d_x0001__x0001__x0001_</t>
  </si>
  <si>
    <t>P_x0001_-_x0001_1_x0001_ _x0001_F_x0001_I_x0001_R_x0001_E_x0001_ _x0001_A_x0001_l_x0001_a_x0001_r_x0001_m_x0001_ _x0001_H_x0001_i_x0001_ _x0001_L_x0001_a_x0001_t_x0001_c_x0001_h_x0001_e_x0001_d_x0001__x0001__x0001_</t>
  </si>
  <si>
    <t>P_x0001_-_x0001_1_x0001_ _x0001_F_x0001_I_x0001_R_x0001_E_x0001_ _x0001_A_x0001_l_x0001_a_x0001_r_x0001_m_x0001_ _x0001_L_x0001_o_x0001_ _x0001_C_x0001_o_x0001_n_x0001_d_x0001_i_x0001_t_x0001_i_x0001_o_x0001_n_x0001__x0001__x0001_</t>
  </si>
  <si>
    <t>P_x0001_-_x0001_1_x0001_ _x0001_F_x0001_I_x0001_R_x0001_E_x0001_ _x0001_A_x0001_l_x0001_a_x0001_r_x0001_m_x0001_ _x0001_L_x0001_o_x0001_L_x0001_o_x0001_ _x0001_L_x0001_a_x0001_t_x0001_c_x0001_h_x0001_e_x0001_d_x0001__x0001__x0001_</t>
  </si>
  <si>
    <t>P_x0001_-_x0001_1_x0001_ _x0001_F_x0001_I_x0001_R_x0001_E_x0001_ _x0001_A_x0001_l_x0001_a_x0001_r_x0001_m_x0001_ _x0001_M_x0001_a_x0001_l_x0001_f_x0001_u_x0001_n_x0001_c_x0001_t_x0001_i_x0001_o_x0001_n_x0001_ _x0001_L_x0001_a_x0001_t_x0001_c_x0001_h_x0001_e_x0001_d_x0001__x0001__x0001_</t>
  </si>
  <si>
    <t>P_x0001_-_x0001_2_x0001_ _x0001_F_x0001_I_x0001_R_x0001_E_x0001_ _x0001_A_x0001_l_x0001_a_x0001_r_x0001_m_x0001_ _x0001_H_x0001_i_x0001_H_x0001_i_x0001_ _x0001_L_x0001_a_x0001_t_x0001_c_x0001_h_x0001_e_x0001_d_x0001__x0001__x0001_</t>
  </si>
  <si>
    <t>P_x0001_-_x0001_2_x0001_ _x0001_F_x0001_I_x0001_R_x0001_E_x0001_ _x0001_A_x0001_l_x0001_a_x0001_r_x0001_m_x0001_ _x0001_H_x0001_i_x0001_ _x0001_L_x0001_a_x0001_t_x0001_c_x0001_h_x0001_e_x0001_d_x0001__x0001__x0001_</t>
  </si>
  <si>
    <t>P_x0001_-_x0001_2_x0001_ _x0001_F_x0001_I_x0001_R_x0001_E_x0001_ _x0001_A_x0001_l_x0001_a_x0001_r_x0001_m_x0001_ _x0001_L_x0001_o_x0001_ _x0001_C_x0001_o_x0001_n_x0001_d_x0001_i_x0001_t_x0001_i_x0001_o_x0001_n_x0001__x0001__x0001_</t>
  </si>
  <si>
    <t>P_x0001_-_x0001_2_x0001_ _x0001_F_x0001_I_x0001_R_x0001_E_x0001_ _x0001_A_x0001_l_x0001_a_x0001_r_x0001_m_x0001_ _x0001_L_x0001_o_x0001_L_x0001_o_x0001_ _x0001_L_x0001_a_x0001_t_x0001_c_x0001_h_x0001_e_x0001_d_x0001__x0001__x0001_</t>
  </si>
  <si>
    <t>P_x0001_-_x0001_2_x0001_ _x0001_F_x0001_I_x0001_R_x0001_E_x0001_ _x0001_A_x0001_l_x0001_a_x0001_r_x0001_m_x0001_ _x0001_M_x0001_a_x0001_l_x0001_f_x0001_u_x0001_n_x0001_c_x0001_t_x0001_i_x0001_o_x0001_n_x0001_ _x0001_L_x0001_a_x0001_t_x0001_c_x0001_h_x0001_e_x0001_d_x0001__x0001__x0001_</t>
  </si>
  <si>
    <t>P_x0001_-_x0001_3_x0001_ _x0001_F_x0001_I_x0001_R_x0001_E_x0001_ _x0001_A_x0001_l_x0001_a_x0001_r_x0001_m_x0001_ _x0001_H_x0001_i_x0001_H_x0001_i_x0001_ _x0001_L_x0001_a_x0001_t_x0001_c_x0001_h_x0001_e_x0001_d_x0001__x0001__x0001_</t>
  </si>
  <si>
    <t>P_x0001_-_x0001_3_x0001_ _x0001_F_x0001_I_x0001_R_x0001_E_x0001_ _x0001_A_x0001_l_x0001_a_x0001_r_x0001_m_x0001_ _x0001_H_x0001_i_x0001_ _x0001_L_x0001_a_x0001_t_x0001_c_x0001_h_x0001_e_x0001_d_x0001__x0001__x0001_</t>
  </si>
  <si>
    <t>P_x0001_-_x0001_3_x0001_ _x0001_F_x0001_I_x0001_R_x0001_E_x0001_ _x0001_A_x0001_l_x0001_a_x0001_r_x0001_m_x0001_ _x0001_L_x0001_o_x0001_ _x0001_C_x0001_o_x0001_n_x0001_d_x0001_i_x0001_t_x0001_i_x0001_o_x0001_n_x0001__x0001__x0001_</t>
  </si>
  <si>
    <t>P_x0001_-_x0001_3_x0001_ _x0001_F_x0001_I_x0001_R_x0001_E_x0001_ _x0001_A_x0001_l_x0001_a_x0001_r_x0001_m_x0001_ _x0001_L_x0001_o_x0001_L_x0001_o_x0001_ _x0001_L_x0001_a_x0001_t_x0001_c_x0001_h_x0001_e_x0001_d_x0001__x0001__x0001_</t>
  </si>
  <si>
    <t>P_x0001_-_x0001_3_x0001_ _x0001_F_x0001_I_x0001_R_x0001_E_x0001_ _x0001_A_x0001_l_x0001_a_x0001_r_x0001_m_x0001_ _x0001_M_x0001_a_x0001_l_x0001_f_x0001_u_x0001_n_x0001_c_x0001_t_x0001_i_x0001_o_x0001_n_x0001_ _x0001_L_x0001_a_x0001_t_x0001_c_x0001_h_x0001_e_x0001_d_x0001__x0001__x0001_</t>
  </si>
  <si>
    <t>P_x0001_-_x0001_4_x0001_ _x0001_F_x0001_I_x0001_R_x0001_E_x0001_ _x0001_A_x0001_l_x0001_a_x0001_r_x0001_m_x0001_ _x0001_H_x0001_i_x0001_H_x0001_i_x0001_ _x0001_L_x0001_a_x0001_t_x0001_c_x0001_h_x0001_e_x0001_d_x0001__x0001__x0001_</t>
  </si>
  <si>
    <t>P_x0001_-_x0001_4_x0001_ _x0001_F_x0001_I_x0001_R_x0001_E_x0001_ _x0001_A_x0001_l_x0001_a_x0001_r_x0001_m_x0001_ _x0001_H_x0001_i_x0001_ _x0001_L_x0001_a_x0001_t_x0001_c_x0001_h_x0001_e_x0001_d_x0001__x0001__x0001_</t>
  </si>
  <si>
    <t>P_x0001_-_x0001_4_x0001_ _x0001_F_x0001_I_x0001_R_x0001_E_x0001_ _x0001_A_x0001_l_x0001_a_x0001_r_x0001_m_x0001_ _x0001_L_x0001_o_x0001_ _x0001_C_x0001_o_x0001_n_x0001_d_x0001_i_x0001_t_x0001_i_x0001_o_x0001_n_x0001__x0001__x0001_</t>
  </si>
  <si>
    <t>P_x0001_-_x0001_4_x0001_ _x0001_F_x0001_I_x0001_R_x0001_E_x0001_ _x0001_A_x0001_l_x0001_a_x0001_r_x0001_m_x0001_ _x0001_L_x0001_o_x0001_L_x0001_o_x0001_ _x0001_L_x0001_a_x0001_t_x0001_c_x0001_h_x0001_e_x0001_d_x0001__x0001__x0001_</t>
  </si>
  <si>
    <t>P_x0001_-_x0001_4_x0001_ _x0001_F_x0001_I_x0001_R_x0001_E_x0001_ _x0001_A_x0001_l_x0001_a_x0001_r_x0001_m_x0001_ _x0001_M_x0001_a_x0001_l_x0001_f_x0001_u_x0001_n_x0001_c_x0001_t_x0001_i_x0001_o_x0001_n_x0001_ _x0001_L_x0001_a_x0001_t_x0001_c_x0001_h_x0001_e_x0001_d_x0001__x0001__x0001_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</si>
  <si>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_x0001_H_x0001_i_x0001_H_x0001_i_x0001_ _x0001_L_x0001_a_x0001_t_x0001_c_x0001_h_x0001_e_x0001_d_x0001__x0001__x0001_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</si>
  <si>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_x0001_H_x0001_i_x0001_ _x0001_L_x0001_a_x0001_t_x0001_c_x0001_h_x0001_e_x0001_d_x0001__x0001__x0001_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</si>
  <si>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_x0001_L_x0001_o_x0001_ _x0001_C_x0001_o_x0001_n_x0001_d_x0001_i_x0001_t_x0001_i_x0001_o_x0001_n_x0001__x0001__x0001_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</si>
  <si>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_x0001_L_x0001_o_x0001_L_x0001_o_x0001_ _x0001_L_x0001_a_x0001_t_x0001_c_x0001_h_x0001_e_x0001_d_x0001__x0001__x0001_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</si>
  <si>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_x0001_M_x0001_a_x0001_l_x0001_f_x0001_u_x0001_n_x0001_c_x0001_t_x0001_i_x0001_o_x0001_n_x0001_ _x0001_L_x0001_a_x0001_t_x0001_c_x0001_h_x0001_e_x0001_d_x0001__x0001__x0001_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</si>
  <si>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_x0001_H_x0001_i_x0001_H_x0001_i_x0001_ _x0001_L_x0001_a_x0001_t_x0001_c_x0001_h_x0001_e_x0001_d_x0001__x0001__x0001_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</si>
  <si>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_x0001_H_x0001_i_x0001_ _x0001_L_x0001_a_x0001_t_x0001_c_x0001_h_x0001_e_x0001_d_x0001__x0001__x0001_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</si>
  <si>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_x0001_L_x0001_o_x0001_ _x0001_C_x0001_o_x0001_n_x0001_d_x0001_i_x0001_t_x0001_i_x0001_o_x0001_n_x0001__x0001__x0001_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</si>
  <si>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_x0001_L_x0001_o_x0001_L_x0001_o_x0001_ _x0001_L_x0001_a_x0001_t_x0001_c_x0001_h_x0001_e_x0001_d_x0001__x0001__x0001_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</si>
  <si>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_x0001_A_x0001_l_x0001_a_x0001_r_x0001_m_x0001_ _x0001_M_x0001_a_x0001_l_x0001_f_x0001_u_x0001_n_x0001_c_x0001_t_x0001_i_x0001_o_x0001_n_x0001_ _x0001_L_x0001_a_x0001_t_x0001_c_x0001_h_x0001_e_x0001_d_x0001__x0001__x0001_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</si>
  <si>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_x0001_A_x0001_l_x0001_a_x0001_r_x0001_m_x0001_ _x0001_H_x0001_i_x0001_H_x0001_i_x0001_ _x0001_L_x0001_a_x0001_t_x0001_c_x0001_h_x0001_e_x0001_d_x0001__x0001__x0001_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</si>
  <si>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_x0001_A_x0001_l_x0001_a_x0001_r_x0001_m_x0001_ _x0001_H_x0001_i_x0001_ _x0001_L_x0001_a_x0001_t_x0001_c_x0001_h_x0001_e_x0001_d_x0001__x0001__x0001_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</si>
  <si>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_x0001_A_x0001_l_x0001_a_x0001_r_x0001_m_x0001_ _x0001_L_x0001_o_x0001_ _x0001_C_x0001_o_x0001_n_x0001_d_x0001_i_x0001_t_x0001_i_x0001_o_x0001_n_x0001__x0001__x0001_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</si>
  <si>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_x0001_A_x0001_l_x0001_a_x0001_r_x0001_m_x0001_ _x0001_L_x0001_o_x0001_L_x0001_o_x0001_ _x0001_L_x0001_a_x0001_t_x0001_c_x0001_h_x0001_e_x0001_d_x0001__x0001__x0001_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</si>
  <si>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_x0001_A_x0001_l_x0001_a_x0001_r_x0001_m_x0001_ _x0001_M_x0001_a_x0001_l_x0001_f_x0001_u_x0001_n_x0001_c_x0001_t_x0001_i_x0001_o_x0001_n_x0001_ _x0001_L_x0001_a_x0001_t_x0001_c_x0001_h_x0001_e_x0001_d_x0001__x0001__x0001_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</si>
  <si>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_x0001_A_x0001_l_x0001_a_x0001_r_x0001_m_x0001_ _x0001_H_x0001_i_x0001_H_x0001_i_x0001_ _x0001_L_x0001_a_x0001_t_x0001_c_x0001_h_x0001_e_x0001_d_x0001__x0001__x0001_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</si>
  <si>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_x0001_A_x0001_l_x0001_a_x0001_r_x0001_m_x0001_ _x0001_H_x0001_i_x0001_ _x0001_L_x0001_a_x0001_t_x0001_c_x0001_h_x0001_e_x0001_d_x0001__x0001__x0001_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</si>
  <si>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_x0001_A_x0001_l_x0001_a_x0001_r_x0001_m_x0001_ _x0001_L_x0001_o_x0001_ _x0001_C_x0001_o_x0001_n_x0001_d_x0001_i_x0001_t_x0001_i_x0001_o_x0001_n_x0001__x0001__x0001_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</si>
  <si>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_x0001_A_x0001_l_x0001_a_x0001_r_x0001_m_x0001_ _x0001_L_x0001_o_x0001_L_x0001_o_x0001_ _x0001_L_x0001_a_x0001_t_x0001_c_x0001_h_x0001_e_x0001_d_x0001__x0001__x0001_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</si>
  <si>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_x0001_A_x0001_l_x0001_a_x0001_r_x0001_m_x0001_ _x0001_M_x0001_a_x0001_l_x0001_f_x0001_u_x0001_n_x0001_c_x0001_t_x0001_i_x0001_o_x0001_n_x0001_ _x0001_L_x0001_a_x0001_t_x0001_c_x0001_h_x0001_e_x0001_d_x0001__x0001__x0001_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</si>
  <si>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_x0001_A_x0001_l_x0001_a_x0001_r_x0001_m_x0001_ _x0001_H_x0001_i_x0001_H_x0001_i_x0001_ _x0001_L_x0001_a_x0001_t_x0001_c_x0001_h_x0001_e_x0001_d_x0001__x0001__x0001_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</si>
  <si>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_x0001_A_x0001_l_x0001_a_x0001_r_x0001_m_x0001_ _x0001_H_x0001_i_x0001_ _x0001_L_x0001_a_x0001_t_x0001_c_x0001_h_x0001_e_x0001_d_x0001__x0001__x0001_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</si>
  <si>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_x0001_A_x0001_l_x0001_a_x0001_r_x0001_m_x0001_ _x0001_L_x0001_o_x0001_ _x0001_C_x0001_o_x0001_n_x0001_d_x0001_i_x0001_t_x0001_i_x0001_o_x0001_n_x0001__x0001__x0001_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</si>
  <si>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_x0001_A_x0001_l_x0001_a_x0001_r_x0001_m_x0001_ _x0001_L_x0001_o_x0001_L_x0001_o_x0001_ _x0001_L_x0001_a_x0001_t_x0001_c_x0001_h_x0001_e_x0001_d_x0001__x0001__x0001_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</si>
  <si>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_x0001_A_x0001_l_x0001_a_x0001_r_x0001_m_x0001_ _x0001_M_x0001_a_x0001_l_x0001_f_x0001_u_x0001_n_x0001_c_x0001_t_x0001_i_x0001_o_x0001_n_x0001_ _x0001_L_x0001_a_x0001_t_x0001_c_x0001_h_x0001_e_x0001_d_x0001__x0001__x0001_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</si>
  <si>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_x0001_A_x0001_l_x0001_a_x0001_r_x0001_m_x0001_ _x0001_H_x0001_i_x0001_H_x0001_i_x0001_ _x0001_L_x0001_a_x0001_t_x0001_c_x0001_h_x0001_e_x0001_d_x0001__x0001__x0001_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</si>
  <si>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_x0001_A_x0001_l_x0001_a_x0001_r_x0001_m_x0001_ _x0001_H_x0001_i_x0001_ _x0001_L_x0001_a_x0001_t_x0001_c_x0001_h_x0001_e_x0001_d_x0001__x0001__x0001_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</si>
  <si>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_x0001_A_x0001_l_x0001_a_x0001_r_x0001_m_x0001_ _x0001_L_x0001_o_x0001_ _x0001_C_x0001_o_x0001_n_x0001_d_x0001_i_x0001_t_x0001_i_x0001_o_x0001_n_x0001__x0001__x0001_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</si>
  <si>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_x0001_A_x0001_l_x0001_a_x0001_r_x0001_m_x0001_ _x0001_L_x0001_o_x0001_L_x0001_o_x0001_ _x0001_L_x0001_a_x0001_t_x0001_c_x0001_h_x0001_e_x0001_d_x0001__x0001__x0001_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</si>
  <si>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_x0001_A_x0001_l_x0001_a_x0001_r_x0001_m_x0001_ _x0001_M_x0001_a_x0001_l_x0001_f_x0001_u_x0001_n_x0001_c_x0001_t_x0001_i_x0001_o_x0001_n_x0001_ _x0001_L_x0001_a_x0001_t_x0001_c_x0001_h_x0001_e_x0001_d_x0001__x0001__x0001_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</si>
  <si>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_x0001_A_x0001_l_x0001_a_x0001_r_x0001_m_x0001_ _x0001_H_x0001_i_x0001_H_x0001_i_x0001_ _x0001_L_x0001_a_x0001_t_x0001_c_x0001_h_x0001_e_x0001_d_x0001__x0001__x0001_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</si>
  <si>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_x0001_A_x0001_l_x0001_a_x0001_r_x0001_m_x0001_ _x0001_H_x0001_i_x0001_ _x0001_L_x0001_a_x0001_t_x0001_c_x0001_h_x0001_e_x0001_d_x0001__x0001__x0001_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</si>
  <si>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_x0001_A_x0001_l_x0001_a_x0001_r_x0001_m_x0001_ _x0001_L_x0001_o_x0001_ _x0001_C_x0001_o_x0001_n_x0001_d_x0001_i_x0001_t_x0001_i_x0001_o_x0001_n_x0001__x0001__x0001_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</si>
  <si>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_x0001_A_x0001_l_x0001_a_x0001_r_x0001_m_x0001_ _x0001_L_x0001_o_x0001_L_x0001_o_x0001_ _x0001_L_x0001_a_x0001_t_x0001_c_x0001_h_x0001_e_x0001_d_x0001__x0001__x0001_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</si>
  <si>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_x0001_A_x0001_l_x0001_a_x0001_r_x0001_m_x0001_ _x0001_M_x0001_a_x0001_l_x0001_f_x0001_u_x0001_n_x0001_c_x0001_t_x0001_i_x0001_o_x0001_n_x0001_ _x0001_L_x0001_a_x0001_t_x0001_c_x0001_h_x0001_e_x0001_d_x0001__x0001__x0001_</t>
  </si>
  <si>
    <t>F_x0001_Q_x0001_-_x0001_3_x0001_0_x0001_3_x0001_ _x0001_C_x0001_o_x0001_r_x0001_r_x0001_e_x0001_c_x0001_t_x0001_e_x0001_d_x0001_ _x0001_N_x0001_e_x0001_t_x0001_ _x0001_V_x0001_o_x0001_l_x0001_u_x0001_m_x0001_e_x0001_ _x0001_C_x0001_3_x0001_/_x0001_C_x0001_5_x0001_ _x0001_A_x0001_l_x0001_a_x0001_r_x0001_m_x0001_ _x0001_H_x0001_i_x0001_H_x0001_i_x0001_ _x0001_L_x0001_a_x0001_t_x0001_c_x0001_h_x0001_e_x0001_d_x0001__x0001__x0001_</t>
  </si>
  <si>
    <t>F_x0001_Q_x0001_-_x0001_3_x0001_0_x0001_3_x0001_ _x0001_C_x0001_o_x0001_r_x0001_r_x0001_e_x0001_c_x0001_t_x0001_e_x0001_d_x0001_ _x0001_N_x0001_e_x0001_t_x0001_ _x0001_V_x0001_o_x0001_l_x0001_u_x0001_m_x0001_e_x0001_ _x0001_C_x0001_3_x0001_/_x0001_C_x0001_5_x0001_ _x0001_A_x0001_l_x0001_a_x0001_r_x0001_m_x0001_ _x0001_M_x0001_a_x0001_l_x0001_f_x0001_u_x0001_n_x0001_c_x0001_t_x0001_i_x0001_o_x0001_n_x0001_ _x0001_L_x0001_a_x0001_t_x0001_c_x0001_h_x0001_e_x0001_d_x0001__x0001__x0001_</t>
  </si>
  <si>
    <t>P_x0001_-_x0001_1_x0001_ _x0001_H_x0001_2_x0001_S_x0001_ _x0001_M_x0001_o_x0001_n_x0001_i_x0001_t_x0001_o_x0001_r_x0001_ _x0001_A_x0001_l_x0001_a_x0001_r_x0001_m_x0001_ _x0001_H_x0001_i_x0001_H_x0001_i_x0001_ _x0001_L_x0001_a_x0001_t_x0001_c_x0001_h_x0001_e_x0001_d_x0001__x0001__x0001_</t>
  </si>
  <si>
    <t>P_x0001_-_x0001_1_x0001_ _x0001_H_x0001_2_x0001_S_x0001_ _x0001_M_x0001_o_x0001_n_x0001_i_x0001_t_x0001_o_x0001_r_x0001_ _x0001_A_x0001_l_x0001_a_x0001_r_x0001_m_x0001_ _x0001_H_x0001_i_x0001_ _x0001_L_x0001_a_x0001_t_x0001_c_x0001_h_x0001_e_x0001_d_x0001__x0001__x0001_</t>
  </si>
  <si>
    <t>P_x0001_-_x0001_1_x0001_ _x0001_H_x0001_2_x0001_S_x0001_ _x0001_M_x0001_o_x0001_n_x0001_i_x0001_t_x0001_o_x0001_r_x0001_ _x0001_A_x0001_l_x0001_a_x0001_r_x0001_m_x0001_ _x0001_L_x0001_o_x0001_ _x0001_C_x0001_o_x0001_n_x0001_d_x0001_i_x0001_t_x0001_i_x0001_o_x0001_n_x0001__x0001__x0001_</t>
  </si>
  <si>
    <t>P_x0001_-_x0001_1_x0001_ _x0001_H_x0001_2_x0001_S_x0001_ _x0001_M_x0001_o_x0001_n_x0001_i_x0001_t_x0001_o_x0001_r_x0001_ _x0001_A_x0001_l_x0001_a_x0001_r_x0001_m_x0001_ _x0001_L_x0001_o_x0001_L_x0001_o_x0001_ _x0001_L_x0001_a_x0001_t_x0001_c_x0001_h_x0001_e_x0001_d_x0001__x0001__x0001_</t>
  </si>
  <si>
    <t>P_x0001_-_x0001_1_x0001_ _x0001_H_x0001_2_x0001_S_x0001_ _x0001_M_x0001_o_x0001_n_x0001_i_x0001_t_x0001_o_x0001_r_x0001_ _x0001_A_x0001_l_x0001_a_x0001_r_x0001_m_x0001_ _x0001_M_x0001_a_x0001_l_x0001_f_x0001_u_x0001_n_x0001_c_x0001_t_x0001_i_x0001_o_x0001_n_x0001_ _x0001_L_x0001_a_x0001_t_x0001_c_x0001_h_x0001_e_x0001_d_x0001__x0001__x0001_</t>
  </si>
  <si>
    <t>S_x0001_u_x0001_m_x0001_p_x0001_ _x0001_T_x0001_a_x0001_n_x0001_k_x0001_ _x0001_H_x0001_2_x0001_S_x0001_ _x0001_M_x0001_o_x0001_n_x0001_i_x0001_t_x0001_o_x0001_r_x0001_ _x0001_A_x0001_l_x0001_a_x0001_r_x0001_m_x0001_ _x0001_H_x0001_i_x0001_H_x0001_i_x0001_ _x0001_L_x0001_a_x0001_t_x0001_c_x0001_h_x0001_e_x0001_d_x0001__x0001__x0001_</t>
  </si>
  <si>
    <t>S_x0001_u_x0001_m_x0001_p_x0001_ _x0001_T_x0001_a_x0001_n_x0001_k_x0001_ _x0001_H_x0001_2_x0001_S_x0001_ _x0001_M_x0001_o_x0001_n_x0001_i_x0001_t_x0001_o_x0001_r_x0001_ _x0001_A_x0001_l_x0001_a_x0001_r_x0001_m_x0001_ _x0001_H_x0001_i_x0001_ _x0001_L_x0001_a_x0001_t_x0001_c_x0001_h_x0001_e_x0001_d_x0001__x0001__x0001_</t>
  </si>
  <si>
    <t>S_x0001_u_x0001_m_x0001_p_x0001_ _x0001_T_x0001_a_x0001_n_x0001_k_x0001_ _x0001_H_x0001_2_x0001_S_x0001_ _x0001_M_x0001_o_x0001_n_x0001_i_x0001_t_x0001_o_x0001_r_x0001_ _x0001_A_x0001_l_x0001_a_x0001_r_x0001_m_x0001_ _x0001_L_x0001_o_x0001_ _x0001_C_x0001_o_x0001_n_x0001_d_x0001_i_x0001_t_x0001_i_x0001_o_x0001_n_x0001__x0001__x0001_</t>
  </si>
  <si>
    <t>S_x0001_u_x0001_m_x0001_p_x0001_ _x0001_T_x0001_a_x0001_n_x0001_k_x0001_ _x0001_H_x0001_2_x0001_S_x0001_ _x0001_M_x0001_o_x0001_n_x0001_i_x0001_t_x0001_o_x0001_r_x0001_ _x0001_A_x0001_l_x0001_a_x0001_r_x0001_m_x0001_ _x0001_L_x0001_o_x0001_L_x0001_o_x0001_ _x0001_L_x0001_a_x0001_t_x0001_c_x0001_h_x0001_e_x0001_d_x0001__x0001__x0001_</t>
  </si>
  <si>
    <t>S_x0001_u_x0001_m_x0001_p_x0001_ _x0001_T_x0001_a_x0001_n_x0001_k_x0001_ _x0001_H_x0001_2_x0001_S_x0001_ _x0001_M_x0001_o_x0001_n_x0001_i_x0001_t_x0001_o_x0001_r_x0001_ _x0001_A_x0001_l_x0001_a_x0001_r_x0001_m_x0001_ _x0001_M_x0001_a_x0001_l_x0001_f_x0001_u_x0001_n_x0001_c_x0001_t_x0001_i_x0001_o_x0001_n_x0001_ _x0001_L_x0001_a_x0001_t_x0001_c_x0001_h_x0001_e_x0001_d_x0001__x0001__x0001_</t>
  </si>
  <si>
    <t>P_x0001_-_x0001_2_x0001_ _x0001_H_x0001_2_x0001_S_x0001_ _x0001_M_x0001_o_x0001_n_x0001_i_x0001_t_x0001_o_x0001_r_x0001_ _x0001_A_x0001_l_x0001_a_x0001_r_x0001_m_x0001_ _x0001_H_x0001_i_x0001_H_x0001_i_x0001_ _x0001_L_x0001_a_x0001_t_x0001_c_x0001_h_x0001_e_x0001_d_x0001__x0001__x0001_</t>
  </si>
  <si>
    <t>P_x0001_-_x0001_2_x0001_ _x0001_H_x0001_2_x0001_S_x0001_ _x0001_M_x0001_o_x0001_n_x0001_i_x0001_t_x0001_o_x0001_r_x0001_ _x0001_A_x0001_l_x0001_a_x0001_r_x0001_m_x0001_ _x0001_H_x0001_i_x0001_ _x0001_L_x0001_a_x0001_t_x0001_c_x0001_h_x0001_e_x0001_d_x0001__x0001__x0001_</t>
  </si>
  <si>
    <t>P_x0001_-_x0001_2_x0001_ _x0001_H_x0001_2_x0001_S_x0001_ _x0001_M_x0001_o_x0001_n_x0001_i_x0001_t_x0001_o_x0001_r_x0001_ _x0001_A_x0001_l_x0001_a_x0001_r_x0001_m_x0001_ _x0001_L_x0001_o_x0001_ _x0001_C_x0001_o_x0001_n_x0001_d_x0001_i_x0001_t_x0001_i_x0001_o_x0001_n_x0001__x0001__x0001_</t>
  </si>
  <si>
    <t>P_x0001_-_x0001_2_x0001_ _x0001_H_x0001_2_x0001_S_x0001_ _x0001_M_x0001_o_x0001_n_x0001_i_x0001_t_x0001_o_x0001_r_x0001_ _x0001_A_x0001_l_x0001_a_x0001_r_x0001_m_x0001_ _x0001_L_x0001_o_x0001_L_x0001_o_x0001_ _x0001_L_x0001_a_x0001_t_x0001_c_x0001_h_x0001_e_x0001_d_x0001__x0001__x0001_</t>
  </si>
  <si>
    <t>P_x0001_-_x0001_2_x0001_ _x0001_H_x0001_2_x0001_S_x0001_ _x0001_M_x0001_o_x0001_n_x0001_i_x0001_t_x0001_o_x0001_r_x0001_ _x0001_A_x0001_l_x0001_a_x0001_r_x0001_m_x0001_ _x0001_M_x0001_a_x0001_l_x0001_f_x0001_u_x0001_n_x0001_c_x0001_t_x0001_i_x0001_o_x0001_n_x0001_ _x0001_L_x0001_a_x0001_t_x0001_c_x0001_h_x0001_e_x0001_d_x0001__x0001__x0001_</t>
  </si>
  <si>
    <t>P_x0001_-_x0001_1_x0001_ _x0001_L_x0001_E_x0001_L_x0001_ _x0001_A_x0001_l_x0001_a_x0001_r_x0001_m_x0001_ _x0001_H_x0001_i_x0001_H_x0001_i_x0001_ _x0001_L_x0001_a_x0001_t_x0001_c_x0001_h_x0001_e_x0001_d_x0001__x0001__x0001_</t>
  </si>
  <si>
    <t>P_x0001_-_x0001_1_x0001_ _x0001_L_x0001_E_x0001_L_x0001_ _x0001_A_x0001_l_x0001_a_x0001_r_x0001_m_x0001_ _x0001_H_x0001_i_x0001_ _x0001_L_x0001_a_x0001_t_x0001_c_x0001_h_x0001_e_x0001_d_x0001__x0001__x0001_</t>
  </si>
  <si>
    <t>P_x0001_-_x0001_1_x0001_ _x0001_L_x0001_E_x0001_L_x0001_ _x0001_A_x0001_l_x0001_a_x0001_r_x0001_m_x0001_ _x0001_L_x0001_o_x0001_ _x0001_C_x0001_o_x0001_n_x0001_d_x0001_i_x0001_t_x0001_i_x0001_o_x0001_n_x0001__x0001__x0001_</t>
  </si>
  <si>
    <t>P_x0001_-_x0001_1_x0001_ _x0001_L_x0001_E_x0001_L_x0001_ _x0001_A_x0001_l_x0001_a_x0001_r_x0001_m_x0001_ _x0001_L_x0001_o_x0001_L_x0001_o_x0001_ _x0001_L_x0001_a_x0001_t_x0001_c_x0001_h_x0001_e_x0001_d_x0001__x0001__x0001_</t>
  </si>
  <si>
    <t>P_x0001_-_x0001_1_x0001_ _x0001_L_x0001_E_x0001_L_x0001_ _x0001_A_x0001_l_x0001_a_x0001_r_x0001_m_x0001_ _x0001_M_x0001_a_x0001_l_x0001_f_x0001_u_x0001_n_x0001_c_x0001_t_x0001_i_x0001_o_x0001_n_x0001_ _x0001_L_x0001_a_x0001_t_x0001_c_x0001_h_x0001_e_x0001_d_x0001__x0001__x0001_</t>
  </si>
  <si>
    <t>S_x0001_u_x0001_m_x0001_p_x0001_ _x0001_T_x0001_a_x0001_n_x0001_k_x0001_ _x0001_L_x0001_E_x0001_L_x0001_ _x0001_A_x0001_l_x0001_a_x0001_r_x0001_m_x0001_ _x0001_H_x0001_i_x0001_H_x0001_i_x0001_ _x0001_L_x0001_a_x0001_t_x0001_c_x0001_h_x0001_e_x0001_d_x0001__x0001__x0001_</t>
  </si>
  <si>
    <t>S_x0001_u_x0001_m_x0001_p_x0001_ _x0001_T_x0001_a_x0001_n_x0001_k_x0001_ _x0001_L_x0001_E_x0001_L_x0001_ _x0001_A_x0001_l_x0001_a_x0001_r_x0001_m_x0001_ _x0001_H_x0001_i_x0001_ _x0001_L_x0001_a_x0001_t_x0001_c_x0001_h_x0001_e_x0001_d_x0001__x0001__x0001_</t>
  </si>
  <si>
    <t>S_x0001_u_x0001_m_x0001_p_x0001_ _x0001_T_x0001_a_x0001_n_x0001_k_x0001_ _x0001_L_x0001_E_x0001_L_x0001_ _x0001_A_x0001_l_x0001_a_x0001_r_x0001_m_x0001_ _x0001_L_x0001_o_x0001_ _x0001_C_x0001_o_x0001_n_x0001_d_x0001_i_x0001_t_x0001_i_x0001_o_x0001_n_x0001__x0001__x0001_</t>
  </si>
  <si>
    <t>S_x0001_u_x0001_m_x0001_p_x0001_ _x0001_T_x0001_a_x0001_n_x0001_k_x0001_ _x0001_L_x0001_E_x0001_L_x0001_ _x0001_A_x0001_l_x0001_a_x0001_r_x0001_m_x0001_ _x0001_L_x0001_o_x0001_L_x0001_o_x0001_ _x0001_L_x0001_a_x0001_t_x0001_c_x0001_h_x0001_e_x0001_d_x0001__x0001__x0001_</t>
  </si>
  <si>
    <t>S_x0001_u_x0001_m_x0001_p_x0001_ _x0001_T_x0001_a_x0001_n_x0001_k_x0001_ _x0001_L_x0001_E_x0001_L_x0001_ _x0001_A_x0001_l_x0001_a_x0001_r_x0001_m_x0001_ _x0001_M_x0001_a_x0001_l_x0001_f_x0001_u_x0001_n_x0001_c_x0001_t_x0001_i_x0001_o_x0001_n_x0001_ _x0001_L_x0001_a_x0001_t_x0001_c_x0001_h_x0001_e_x0001_d_x0001__x0001__x0001_</t>
  </si>
  <si>
    <t>P_x0001_-_x0001_2_x0001_ _x0001_L_x0001_E_x0001_L_x0001_ _x0001_A_x0001_l_x0001_a_x0001_r_x0001_m_x0001_ _x0001_H_x0001_i_x0001_H_x0001_i_x0001_ _x0001_L_x0001_a_x0001_t_x0001_c_x0001_h_x0001_e_x0001_d_x0001__x0001__x0001_</t>
  </si>
  <si>
    <t>P_x0001_-_x0001_2_x0001_ _x0001_L_x0001_E_x0001_L_x0001_ _x0001_A_x0001_l_x0001_a_x0001_r_x0001_m_x0001_ _x0001_H_x0001_i_x0001_ _x0001_L_x0001_a_x0001_t_x0001_c_x0001_h_x0001_e_x0001_d_x0001__x0001__x0001_</t>
  </si>
  <si>
    <t>P_x0001_-_x0001_2_x0001_ _x0001_L_x0001_E_x0001_L_x0001_ _x0001_A_x0001_l_x0001_a_x0001_r_x0001_m_x0001_ _x0001_L_x0001_o_x0001_ _x0001_C_x0001_o_x0001_n_x0001_d_x0001_i_x0001_t_x0001_i_x0001_o_x0001_n_x0001__x0001__x0001_</t>
  </si>
  <si>
    <t>P_x0001_-_x0001_2_x0001_ _x0001_L_x0001_E_x0001_L_x0001_ _x0001_A_x0001_l_x0001_a_x0001_r_x0001_m_x0001_ _x0001_L_x0001_o_x0001_L_x0001_o_x0001_ _x0001_L_x0001_a_x0001_t_x0001_c_x0001_h_x0001_e_x0001_d_x0001__x0001__x0001_</t>
  </si>
  <si>
    <t>P_x0001_-_x0001_2_x0001_ _x0001_L_x0001_E_x0001_L_x0001_ _x0001_A_x0001_l_x0001_a_x0001_r_x0001_m_x0001_ _x0001_M_x0001_a_x0001_l_x0001_f_x0001_u_x0001_n_x0001_c_x0001_t_x0001_i_x0001_o_x0001_n_x0001_ _x0001_L_x0001_a_x0001_t_x0001_c_x0001_h_x0001_e_x0001_d_x0001__x0001__x0001_</t>
  </si>
  <si>
    <t>P_x0001_-_x0001_3_x0001_ _x0001_S_x0001_e_x0001_a_x0001_l_x0001_ _x0001_L_x0001_e_x0001_a_x0001_k_x0001_ _x0001_L_x0001_E_x0001_L_x0001_ _x0001_A_x0001_l_x0001_a_x0001_r_x0001_m_x0001_ _x0001_H_x0001_i_x0001_H_x0001_i_x0001_ _x0001_L_x0001_a_x0001_t_x0001_c_x0001_h_x0001_e_x0001_d_x0001__x0001__x0001_</t>
  </si>
  <si>
    <t>P_x0001_-_x0001_3_x0001_ _x0001_S_x0001_e_x0001_a_x0001_l_x0001_ _x0001_L_x0001_e_x0001_a_x0001_k_x0001_ _x0001_L_x0001_E_x0001_L_x0001_ _x0001_A_x0001_l_x0001_a_x0001_r_x0001_m_x0001_ _x0001_H_x0001_i_x0001_ _x0001_L_x0001_a_x0001_t_x0001_c_x0001_h_x0001_e_x0001_d_x0001__x0001__x0001_</t>
  </si>
  <si>
    <t>P_x0001_-_x0001_3_x0001_ _x0001_S_x0001_e_x0001_a_x0001_l_x0001_ _x0001_L_x0001_e_x0001_a_x0001_k_x0001_ _x0001_L_x0001_E_x0001_L_x0001_ _x0001_A_x0001_l_x0001_a_x0001_r_x0001_m_x0001_ _x0001_L_x0001_o_x0001_ _x0001_C_x0001_o_x0001_n_x0001_d_x0001_i_x0001_t_x0001_i_x0001_o_x0001_n_x0001__x0001__x0001_</t>
  </si>
  <si>
    <t>P_x0001_-_x0001_3_x0001_ _x0001_S_x0001_e_x0001_a_x0001_l_x0001_ _x0001_L_x0001_e_x0001_a_x0001_k_x0001_ _x0001_L_x0001_E_x0001_L_x0001_ _x0001_A_x0001_l_x0001_a_x0001_r_x0001_m_x0001_ _x0001_L_x0001_o_x0001_L_x0001_o_x0001_ _x0001_L_x0001_a_x0001_t_x0001_c_x0001_h_x0001_e_x0001_d_x0001__x0001__x0001_</t>
  </si>
  <si>
    <t>P_x0001_-_x0001_3_x0001_ _x0001_S_x0001_e_x0001_a_x0001_l_x0001_ _x0001_L_x0001_e_x0001_a_x0001_k_x0001_ _x0001_L_x0001_E_x0001_L_x0001_ _x0001_A_x0001_l_x0001_a_x0001_r_x0001_m_x0001_ _x0001_M_x0001_a_x0001_l_x0001_f_x0001_u_x0001_n_x0001_c_x0001_t_x0001_i_x0001_o_x0001_n_x0001_ _x0001_L_x0001_a_x0001_t_x0001_c_x0001_h_x0001_e_x0001_d_x0001__x0001__x0001_</t>
  </si>
  <si>
    <t>P_x0001_-_x0001_4_x0001_ _x0001_S_x0001_e_x0001_a_x0001_l_x0001_ _x0001_L_x0001_e_x0001_a_x0001_k_x0001_ _x0001_L_x0001_E_x0001_L_x0001_ _x0001_A_x0001_l_x0001_a_x0001_r_x0001_m_x0001_ _x0001_H_x0001_i_x0001_H_x0001_i_x0001_ _x0001_L_x0001_a_x0001_t_x0001_c_x0001_h_x0001_e_x0001_d_x0001__x0001__x0001_</t>
  </si>
  <si>
    <t>P_x0001_-_x0001_4_x0001_ _x0001_S_x0001_e_x0001_a_x0001_l_x0001_ _x0001_L_x0001_e_x0001_a_x0001_k_x0001_ _x0001_L_x0001_E_x0001_L_x0001_ _x0001_A_x0001_l_x0001_a_x0001_r_x0001_m_x0001_ _x0001_H_x0001_i_x0001_ _x0001_L_x0001_a_x0001_t_x0001_c_x0001_h_x0001_e_x0001_d_x0001__x0001__x0001_</t>
  </si>
  <si>
    <t>P_x0001_-_x0001_4_x0001_ _x0001_S_x0001_e_x0001_a_x0001_l_x0001_ _x0001_L_x0001_e_x0001_a_x0001_k_x0001_ _x0001_L_x0001_E_x0001_L_x0001_ _x0001_A_x0001_l_x0001_a_x0001_r_x0001_m_x0001_ _x0001_L_x0001_o_x0001_ _x0001_C_x0001_o_x0001_n_x0001_d_x0001_i_x0001_t_x0001_i_x0001_o_x0001_n_x0001__x0001__x0001_</t>
  </si>
  <si>
    <t>P_x0001_-_x0001_4_x0001_ _x0001_S_x0001_e_x0001_a_x0001_l_x0001_ _x0001_L_x0001_e_x0001_a_x0001_k_x0001_ _x0001_L_x0001_E_x0001_L_x0001_ _x0001_A_x0001_l_x0001_a_x0001_r_x0001_m_x0001_ _x0001_L_x0001_o_x0001_L_x0001_o_x0001_ _x0001_L_x0001_a_x0001_t_x0001_c_x0001_h_x0001_e_x0001_d_x0001__x0001__x0001_</t>
  </si>
  <si>
    <t>P_x0001_-_x0001_4_x0001_ _x0001_S_x0001_e_x0001_a_x0001_l_x0001_ _x0001_L_x0001_e_x0001_a_x0001_k_x0001_ _x0001_L_x0001_E_x0001_L_x0001_ _x0001_A_x0001_l_x0001_a_x0001_r_x0001_m_x0001_ _x0001_M_x0001_a_x0001_l_x0001_f_x0001_u_x0001_n_x0001_c_x0001_t_x0001_i_x0001_o_x0001_n_x0001_ _x0001_L_x0001_a_x0001_t_x0001_c_x0001_h_x0001_e_x0001_d_x0001__x0001__x0001_</t>
  </si>
  <si>
    <t>S_x0001_u_x0001_m_x0001_p_x0001_ _x0001_T_x0001_a_x0001_n_x0001_k_x0001_ _x0001_L_x0001_e_x0001_v_x0001_e_x0001_l_x0001_A_x0001_l_x0001_a_x0001_r_x0001_m_x0001_ _x0001_H_x0001_i_x0001_H_x0001_i_x0001_ _x0001_L_x0001_a_x0001_t_x0001_c_x0001_h_x0001_e_x0001_d_x0001__x0001__x0001_</t>
  </si>
  <si>
    <t>S_x0001_u_x0001_m_x0001_p_x0001_ _x0001_T_x0001_a_x0001_n_x0001_k_x0001_ _x0001_L_x0001_e_x0001_v_x0001_e_x0001_l_x0001_A_x0001_l_x0001_a_x0001_r_x0001_m_x0001_ _x0001_H_x0001_i_x0001_ _x0001_L_x0001_a_x0001_t_x0001_c_x0001_h_x0001_e_x0001_d_x0001__x0001__x0001_</t>
  </si>
  <si>
    <t>S_x0001_u_x0001_m_x0001_p_x0001_ _x0001_T_x0001_a_x0001_n_x0001_k_x0001_ _x0001_L_x0001_e_x0001_v_x0001_e_x0001_l_x0001_A_x0001_l_x0001_a_x0001_r_x0001_m_x0001_ _x0001_L_x0001_o_x0001_ _x0001_C_x0001_o_x0001_n_x0001_d_x0001_i_x0001_t_x0001_i_x0001_o_x0001_n_x0001__x0001__x0001_</t>
  </si>
  <si>
    <t>S_x0001_u_x0001_m_x0001_p_x0001_ _x0001_T_x0001_a_x0001_n_x0001_k_x0001_ _x0001_L_x0001_e_x0001_v_x0001_e_x0001_l_x0001_A_x0001_l_x0001_a_x0001_r_x0001_m_x0001_ _x0001_L_x0001_o_x0001_L_x0001_o_x0001_ _x0001_L_x0001_a_x0001_t_x0001_c_x0001_h_x0001_e_x0001_d_x0001__x0001__x0001_</t>
  </si>
  <si>
    <t>S_x0001_u_x0001_m_x0001_p_x0001_ _x0001_T_x0001_a_x0001_n_x0001_k_x0001_ _x0001_L_x0001_e_x0001_v_x0001_e_x0001_l_x0001_A_x0001_l_x0001_a_x0001_r_x0001_m_x0001_ _x0001_M_x0001_a_x0001_l_x0001_f_x0001_u_x0001_n_x0001_c_x0001_t_x0001_i_x0001_o_x0001_n_x0001_ _x0001_L_x0001_a_x0001_t_x0001_c_x0001_h_x0001_e_x0001_d_x0001__x0001__x0001_</t>
  </si>
  <si>
    <t>M_x0001_S_x0001_O_x0001_ _x0001_P_x0001_r_x0001_o_x0001_c_x0001_u_x0001_c_x0001_e_x0001_r_x0001_ _x0001_T_x0001_a_x0001_n_x0001_k_x0001_ _x0001_L_x0001_e_x0001_v_x0001_e_x0001_l_x0001_ _x0001_A_x0001_l_x0001_a_x0001_r_x0001_m_x0001_ _x0001_H_x0001_i_x0001_H_x0001_i_x0001_ _x0001_L_x0001_a_x0001_t_x0001_c_x0001_h_x0001_e_x0001_d_x0001__x0001__x0001_</t>
  </si>
  <si>
    <t>M_x0001_S_x0001_O_x0001_ _x0001_P_x0001_r_x0001_o_x0001_c_x0001_u_x0001_c_x0001_e_x0001_r_x0001_ _x0001_T_x0001_a_x0001_n_x0001_k_x0001_ _x0001_L_x0001_e_x0001_v_x0001_e_x0001_l_x0001_ _x0001_A_x0001_l_x0001_a_x0001_r_x0001_m_x0001_ _x0001_H_x0001_i_x0001_ _x0001_L_x0001_a_x0001_t_x0001_c_x0001_h_x0001_e_x0001_d_x0001__x0001__x0001_</t>
  </si>
  <si>
    <t>M_x0001_S_x0001_O_x0001_ _x0001_P_x0001_r_x0001_o_x0001_c_x0001_u_x0001_c_x0001_e_x0001_r_x0001_ _x0001_T_x0001_a_x0001_n_x0001_k_x0001_ _x0001_L_x0001_e_x0001_v_x0001_e_x0001_l_x0001_ _x0001_A_x0001_l_x0001_a_x0001_r_x0001_m_x0001_ _x0001_L_x0001_o_x0001_ _x0001_C_x0001_o_x0001_n_x0001_d_x0001_i_x0001_t_x0001_i_x0001_o_x0001_n_x0001__x0001__x0001_</t>
  </si>
  <si>
    <t>M_x0001_S_x0001_O_x0001_ _x0001_P_x0001_r_x0001_o_x0001_c_x0001_u_x0001_c_x0001_e_x0001_r_x0001_ _x0001_T_x0001_a_x0001_n_x0001_k_x0001_ _x0001_L_x0001_e_x0001_v_x0001_e_x0001_l_x0001_ _x0001_A_x0001_l_x0001_a_x0001_r_x0001_m_x0001_ _x0001_L_x0001_o_x0001_L_x0001_o_x0001_ _x0001_L_x0001_a_x0001_t_x0001_c_x0001_h_x0001_e_x0001_d_x0001__x0001__x0001_</t>
  </si>
  <si>
    <t>M_x0001_S_x0001_O_x0001_ _x0001_P_x0001_r_x0001_o_x0001_c_x0001_u_x0001_c_x0001_e_x0001_r_x0001_ _x0001_T_x0001_a_x0001_n_x0001_k_x0001_ _x0001_L_x0001_e_x0001_v_x0001_e_x0001_l_x0001_ _x0001_A_x0001_l_x0001_a_x0001_r_x0001_m_x0001_ _x0001_M_x0001_a_x0001_l_x0001_f_x0001_u_x0001_n_x0001_c_x0001_t_x0001_i_x0001_o_x0001_n_x0001_ _x0001_L_x0001_a_x0001_t_x0001_c_x0001_h_x0001_e_x0001_d_x0001__x0001__x0001_</t>
  </si>
  <si>
    <t>C_x0001_5_x0001_+_x0001_ _x0001_P_x0001_r_x0001_o_x0001_c_x0001_u_x0001_c_x0001_e_x0001_r_x0001_ _x0001_T_x0001_a_x0001_n_x0001_k_x0001_ _x0001_L_x0001_e_x0001_v_x0001_e_x0001_l_x0001_ _x0001_A_x0001_l_x0001_a_x0001_r_x0001_m_x0001_ _x0001_H_x0001_i_x0001_H_x0001_i_x0001_ _x0001_L_x0001_a_x0001_t_x0001_c_x0001_h_x0001_e_x0001_d_x0001__x0001__x0001_</t>
  </si>
  <si>
    <t>C_x0001_5_x0001_+_x0001_ _x0001_P_x0001_r_x0001_o_x0001_c_x0001_u_x0001_c_x0001_e_x0001_r_x0001_ _x0001_T_x0001_a_x0001_n_x0001_k_x0001_ _x0001_L_x0001_e_x0001_v_x0001_e_x0001_l_x0001_ _x0001_A_x0001_l_x0001_a_x0001_r_x0001_m_x0001_ _x0001_H_x0001_i_x0001_ _x0001_L_x0001_a_x0001_t_x0001_c_x0001_h_x0001_e_x0001_d_x0001__x0001__x0001_</t>
  </si>
  <si>
    <t>C_x0001_5_x0001_+_x0001_ _x0001_P_x0001_r_x0001_o_x0001_c_x0001_u_x0001_c_x0001_e_x0001_r_x0001_ _x0001_T_x0001_a_x0001_n_x0001_k_x0001_ _x0001_L_x0001_e_x0001_v_x0001_e_x0001_l_x0001_ _x0001_A_x0001_l_x0001_a_x0001_r_x0001_m_x0001_ _x0001_L_x0001_o_x0001_ _x0001_C_x0001_o_x0001_n_x0001_d_x0001_i_x0001_t_x0001_i_x0001_o_x0001_n_x0001__x0001__x0001_</t>
  </si>
  <si>
    <t>C_x0001_5_x0001_+_x0001_ _x0001_P_x0001_r_x0001_o_x0001_c_x0001_u_x0001_c_x0001_e_x0001_r_x0001_ _x0001_T_x0001_a_x0001_n_x0001_k_x0001_ _x0001_L_x0001_e_x0001_v_x0001_e_x0001_l_x0001_ _x0001_A_x0001_l_x0001_a_x0001_r_x0001_m_x0001_ _x0001_L_x0001_o_x0001_L_x0001_o_x0001_ _x0001_L_x0001_a_x0001_t_x0001_c_x0001_h_x0001_e_x0001_d_x0001__x0001__x0001_</t>
  </si>
  <si>
    <t>C_x0001_5_x0001_+_x0001_ _x0001_P_x0001_r_x0001_o_x0001_c_x0001_u_x0001_c_x0001_e_x0001_r_x0001_ _x0001_T_x0001_a_x0001_n_x0001_k_x0001_ _x0001_L_x0001_e_x0001_v_x0001_e_x0001_l_x0001_ _x0001_A_x0001_l_x0001_a_x0001_r_x0001_m_x0001_ _x0001_M_x0001_a_x0001_l_x0001_f_x0001_u_x0001_n_x0001_c_x0001_t_x0001_i_x0001_o_x0001_n_x0001_ _x0001_L_x0001_a_x0001_t_x0001_c_x0001_h_x0001_e_x0001_d_x0001__x0001__x0001_</t>
  </si>
  <si>
    <t>C_x0001_3_x0001_+_x0001_ _x0001_P_x0001_r_x0001_o_x0001_c_x0001_u_x0001_c_x0001_e_x0001_r_x0001_ _x0001_T_x0001_a_x0001_n_x0001_k_x0001_ _x0001_L_x0001_e_x0001_v_x0001_e_x0001_l_x0001_ _x0001_A_x0001_l_x0001_a_x0001_r_x0001_m_x0001_ _x0001_H_x0001_i_x0001_H_x0001_i_x0001_ _x0001_L_x0001_a_x0001_t_x0001_c_x0001_h_x0001_e_x0001_d_x0001__x0001__x0001_</t>
  </si>
  <si>
    <t>C_x0001_3_x0001_+_x0001_ _x0001_P_x0001_r_x0001_o_x0001_c_x0001_u_x0001_c_x0001_e_x0001_r_x0001_ _x0001_T_x0001_a_x0001_n_x0001_k_x0001_ _x0001_L_x0001_e_x0001_v_x0001_e_x0001_l_x0001_ _x0001_A_x0001_l_x0001_a_x0001_r_x0001_m_x0001_ _x0001_H_x0001_i_x0001_ _x0001_L_x0001_a_x0001_t_x0001_c_x0001_h_x0001_e_x0001_d_x0001__x0001__x0001_</t>
  </si>
  <si>
    <t>C_x0001_3_x0001_+_x0001_ _x0001_P_x0001_r_x0001_o_x0001_c_x0001_u_x0001_c_x0001_e_x0001_r_x0001_ _x0001_T_x0001_a_x0001_n_x0001_k_x0001_ _x0001_L_x0001_e_x0001_v_x0001_e_x0001_l_x0001_ _x0001_A_x0001_l_x0001_a_x0001_r_x0001_m_x0001_ _x0001_L_x0001_o_x0001_ _x0001_C_x0001_o_x0001_n_x0001_d_x0001_i_x0001_t_x0001_i_x0001_o_x0001_n_x0001__x0001__x0001_</t>
  </si>
  <si>
    <t>C_x0001_3_x0001_+_x0001_ _x0001_P_x0001_r_x0001_o_x0001_c_x0001_u_x0001_c_x0001_e_x0001_r_x0001_ _x0001_T_x0001_a_x0001_n_x0001_k_x0001_ _x0001_L_x0001_e_x0001_v_x0001_e_x0001_l_x0001_ _x0001_A_x0001_l_x0001_a_x0001_r_x0001_m_x0001_ _x0001_L_x0001_o_x0001_L_x0001_o_x0001_ _x0001_L_x0001_a_x0001_t_x0001_c_x0001_h_x0001_e_x0001_d_x0001__x0001__x0001_</t>
  </si>
  <si>
    <t>C_x0001_3_x0001_+_x0001_ _x0001_P_x0001_r_x0001_o_x0001_c_x0001_u_x0001_c_x0001_e_x0001_r_x0001_ _x0001_T_x0001_a_x0001_n_x0001_k_x0001_ _x0001_L_x0001_e_x0001_v_x0001_e_x0001_l_x0001_ _x0001_A_x0001_l_x0001_a_x0001_r_x0001_m_x0001_ _x0001_M_x0001_a_x0001_l_x0001_f_x0001_u_x0001_n_x0001_c_x0001_t_x0001_i_x0001_o_x0001_n_x0001_ _x0001_L_x0001_a_x0001_t_x0001_c_x0001_h_x0001_e_x0001_d_x0001__x0001__x0001_</t>
  </si>
  <si>
    <t>P_x0001_-_x0001_1_x0001_ _x0001_V_x0001_F_x0001_D_x0001_ _x0001_S_x0001_p_x0001_e_x0001_e_x0001_d_x0001_ _x0001_A_x0001_l_x0001_a_x0001_r_x0001_m_x0001_ _x0001_H_x0001_i_x0001_H_x0001_i_x0001_ _x0001_L_x0001_a_x0001_t_x0001_c_x0001_h_x0001_e_x0001_d_x0001__x0001__x0001_</t>
  </si>
  <si>
    <t>P_x0001_-_x0001_1_x0001_ _x0001_V_x0001_F_x0001_D_x0001_ _x0001_S_x0001_p_x0001_e_x0001_e_x0001_d_x0001_ _x0001_A_x0001_l_x0001_a_x0001_r_x0001_m_x0001_ _x0001_H_x0001_i_x0001_ _x0001_L_x0001_a_x0001_t_x0001_c_x0001_h_x0001_e_x0001_d_x0001__x0001__x0001_</t>
  </si>
  <si>
    <t>P_x0001_-_x0001_1_x0001_ _x0001_V_x0001_F_x0001_D_x0001_ _x0001_S_x0001_p_x0001_e_x0001_e_x0001_d_x0001_ _x0001_A_x0001_l_x0001_a_x0001_r_x0001_m_x0001_ _x0001_L_x0001_o_x0001_ _x0001_C_x0001_o_x0001_n_x0001_d_x0001_i_x0001_t_x0001_i_x0001_o_x0001_n_x0001__x0001__x0001_</t>
  </si>
  <si>
    <t>P_x0001_-_x0001_1_x0001_ _x0001_V_x0001_F_x0001_D_x0001_ _x0001_S_x0001_p_x0001_e_x0001_e_x0001_d_x0001_ _x0001_A_x0001_l_x0001_a_x0001_r_x0001_m_x0001_ _x0001_L_x0001_o_x0001_L_x0001_o_x0001_ _x0001_L_x0001_a_x0001_t_x0001_c_x0001_h_x0001_e_x0001_d_x0001__x0001__x0001_</t>
  </si>
  <si>
    <t>P_x0001_-_x0001_1_x0001_ _x0001_V_x0001_F_x0001_D_x0001_ _x0001_S_x0001_p_x0001_e_x0001_e_x0001_d_x0001_ _x0001_A_x0001_l_x0001_a_x0001_r_x0001_m_x0001_ _x0001_M_x0001_a_x0001_l_x0001_f_x0001_u_x0001_n_x0001_c_x0001_t_x0001_i_x0001_o_x0001_n_x0001_ _x0001_L_x0001_a_x0001_t_x0001_c_x0001_h_x0001_e_x0001_d_x0001__x0001__x0001_</t>
  </si>
  <si>
    <t>P_x0001_-_x0001_2_x0001_ _x0001_V_x0001_F_x0001_D_x0001_ _x0001_S_x0001_p_x0001_e_x0001_e_x0001_d_x0001_ _x0001_A_x0001_l_x0001_a_x0001_r_x0001_m_x0001_ _x0001_H_x0001_i_x0001_H_x0001_i_x0001_ _x0001_L_x0001_a_x0001_t_x0001_c_x0001_h_x0001_e_x0001_d_x0001__x0001__x0001_</t>
  </si>
  <si>
    <t>P_x0001_-_x0001_2_x0001_ _x0001_V_x0001_F_x0001_D_x0001_ _x0001_S_x0001_p_x0001_e_x0001_e_x0001_d_x0001_ _x0001_A_x0001_l_x0001_a_x0001_r_x0001_m_x0001_ _x0001_H_x0001_i_x0001_ _x0001_L_x0001_a_x0001_t_x0001_c_x0001_h_x0001_e_x0001_d_x0001__x0001__x0001_</t>
  </si>
  <si>
    <t>P_x0001_-_x0001_2_x0001_ _x0001_V_x0001_F_x0001_D_x0001_ _x0001_S_x0001_p_x0001_e_x0001_e_x0001_d_x0001_ _x0001_A_x0001_l_x0001_a_x0001_r_x0001_m_x0001_ _x0001_L_x0001_o_x0001_ _x0001_C_x0001_o_x0001_n_x0001_d_x0001_i_x0001_t_x0001_i_x0001_o_x0001_n_x0001__x0001__x0001_</t>
  </si>
  <si>
    <t>P_x0001_-_x0001_2_x0001_ _x0001_V_x0001_F_x0001_D_x0001_ _x0001_S_x0001_p_x0001_e_x0001_e_x0001_d_x0001_ _x0001_A_x0001_l_x0001_a_x0001_r_x0001_m_x0001_ _x0001_L_x0001_o_x0001_L_x0001_o_x0001_ _x0001_L_x0001_a_x0001_t_x0001_c_x0001_h_x0001_e_x0001_d_x0001__x0001__x0001_</t>
  </si>
  <si>
    <t>P_x0001_-_x0001_2_x0001_ _x0001_V_x0001_F_x0001_D_x0001_ _x0001_S_x0001_p_x0001_e_x0001_e_x0001_d_x0001_ _x0001_A_x0001_l_x0001_a_x0001_r_x0001_m_x0001_ _x0001_M_x0001_a_x0001_l_x0001_f_x0001_u_x0001_n_x0001_c_x0001_t_x0001_i_x0001_o_x0001_n_x0001_ _x0001_L_x0001_a_x0001_t_x0001_c_x0001_h_x0001_e_x0001_d_x0001__x0001__x0001_</t>
  </si>
  <si>
    <t>0_x0001__x0001__x0001_</t>
  </si>
  <si>
    <t>P_x0001_-_x0001_1_x0001_ _x0001_D_x0001_i_x0001_s_x0001_c_x0001_h_x0001_a_x0001_r_x0001_g_x0001_e_x0001_ _x0001_P_x0001_r_x0001_e_x0001_s_x0001_s_x0001_u_x0001_r_x0001_e_x0001_ _x0001_A_x0001_l_x0001_a_x0001_r_x0001_m_x0001_ _x0001_H_x0001_i_x0001_H_x0001_i_x0001_ _x0001_L_x0001_a_x0001_t_x0001_c_x0001_h_x0001_e_x0001_d_x0001__x0001__x0001_</t>
  </si>
  <si>
    <t>P_x0001_-_x0001_1_x0001_ _x0001_D_x0001_i_x0001_s_x0001_c_x0001_h_x0001_a_x0001_r_x0001_g_x0001_e_x0001_ _x0001_P_x0001_r_x0001_e_x0001_s_x0001_s_x0001_u_x0001_r_x0001_e_x0001_ _x0001_A_x0001_l_x0001_a_x0001_r_x0001_m_x0001_ _x0001_H_x0001_i_x0001_ _x0001_L_x0001_a_x0001_t_x0001_c_x0001_h_x0001_e_x0001_d_x0001__x0001__x0001_</t>
  </si>
  <si>
    <t>P_x0001_-_x0001_1_x0001_ _x0001_D_x0001_i_x0001_s_x0001_c_x0001_h_x0001_a_x0001_r_x0001_g_x0001_e_x0001_ _x0001_P_x0001_r_x0001_e_x0001_s_x0001_s_x0001_u_x0001_r_x0001_e_x0001_ _x0001_A_x0001_l_x0001_a_x0001_r_x0001_m_x0001_ _x0001_L_x0001_o_x0001_ _x0001_C_x0001_o_x0001_n_x0001_d_x0001_i_x0001_t_x0001_i_x0001_o_x0001_n_x0001__x0001__x0001_</t>
  </si>
  <si>
    <t>P_x0001_-_x0001_1_x0001_ _x0001_D_x0001_i_x0001_s_x0001_c_x0001_h_x0001_a_x0001_r_x0001_g_x0001_e_x0001_ _x0001_P_x0001_r_x0001_e_x0001_s_x0001_s_x0001_u_x0001_r_x0001_e_x0001_ _x0001_A_x0001_l_x0001_a_x0001_r_x0001_m_x0001_ _x0001_L_x0001_o_x0001_L_x0001_o_x0001_ _x0001_L_x0001_a_x0001_t_x0001_c_x0001_h_x0001_e_x0001_d_x0001__x0001__x0001_</t>
  </si>
  <si>
    <t>P_x0001_-_x0001_1_x0001_ _x0001_D_x0001_i_x0001_s_x0001_c_x0001_h_x0001_a_x0001_r_x0001_g_x0001_e_x0001_ _x0001_P_x0001_r_x0001_e_x0001_s_x0001_s_x0001_u_x0001_r_x0001_e_x0001_ _x0001_A_x0001_l_x0001_a_x0001_r_x0001_m_x0001_ _x0001_M_x0001_a_x0001_l_x0001_f_x0001_u_x0001_n_x0001_c_x0001_t_x0001_i_x0001_o_x0001_n_x0001_ _x0001_L_x0001_a_x0001_t_x0001_c_x0001_h_x0001_e_x0001_d_x0001__x0001__x0001_</t>
  </si>
  <si>
    <t>P_x0001_-_x0001_2_x0001_ _x0001_D_x0001_i_x0001_s_x0001_c_x0001_h_x0001_a_x0001_r_x0001_g_x0001_e_x0001_ _x0001_P_x0001_r_x0001_e_x0001_s_x0001_s_x0001_u_x0001_r_x0001_e_x0001_ _x0001_A_x0001_l_x0001_a_x0001_r_x0001_m_x0001_ _x0001_H_x0001_i_x0001_H_x0001_i_x0001_ _x0001_L_x0001_a_x0001_t_x0001_c_x0001_h_x0001_e_x0001_d_x0001__x0001__x0001_</t>
  </si>
  <si>
    <t>P_x0001_-_x0001_2_x0001_ _x0001_D_x0001_i_x0001_s_x0001_c_x0001_h_x0001_a_x0001_r_x0001_g_x0001_e_x0001_ _x0001_P_x0001_r_x0001_e_x0001_s_x0001_s_x0001_u_x0001_r_x0001_e_x0001_ _x0001_A_x0001_l_x0001_a_x0001_r_x0001_m_x0001_ _x0001_H_x0001_i_x0001_ _x0001_L_x0001_a_x0001_t_x0001_c_x0001_h_x0001_e_x0001_d_x0001__x0001__x0001_</t>
  </si>
  <si>
    <t>P_x0001_-_x0001_2_x0001_ _x0001_D_x0001_i_x0001_s_x0001_c_x0001_h_x0001_a_x0001_r_x0001_g_x0001_e_x0001_ _x0001_P_x0001_r_x0001_e_x0001_s_x0001_s_x0001_u_x0001_r_x0001_e_x0001_ _x0001_A_x0001_l_x0001_a_x0001_r_x0001_m_x0001_ _x0001_L_x0001_o_x0001_ _x0001_C_x0001_o_x0001_n_x0001_d_x0001_i_x0001_t_x0001_i_x0001_o_x0001_n_x0001__x0001__x0001_</t>
  </si>
  <si>
    <t>P_x0001_-_x0001_2_x0001_ _x0001_D_x0001_i_x0001_s_x0001_c_x0001_h_x0001_a_x0001_r_x0001_g_x0001_e_x0001_ _x0001_P_x0001_r_x0001_e_x0001_s_x0001_s_x0001_u_x0001_r_x0001_e_x0001_ _x0001_A_x0001_l_x0001_a_x0001_r_x0001_m_x0001_ _x0001_L_x0001_o_x0001_L_x0001_o_x0001_ _x0001_L_x0001_a_x0001_t_x0001_c_x0001_h_x0001_e_x0001_d_x0001__x0001__x0001_</t>
  </si>
  <si>
    <t>P_x0001_-_x0001_2_x0001_ _x0001_D_x0001_i_x0001_s_x0001_c_x0001_h_x0001_a_x0001_r_x0001_g_x0001_e_x0001_ _x0001_P_x0001_r_x0001_e_x0001_s_x0001_s_x0001_u_x0001_r_x0001_e_x0001_ _x0001_A_x0001_l_x0001_a_x0001_r_x0001_m_x0001_ _x0001_M_x0001_a_x0001_l_x0001_f_x0001_u_x0001_n_x0001_c_x0001_t_x0001_i_x0001_o_x0001_n_x0001_ _x0001_L_x0001_a_x0001_t_x0001_c_x0001_h_x0001_e_x0001_d_x0001__x0001__x0001_</t>
  </si>
  <si>
    <t>M_x0001_S_x0001_O_x0001_ _x0001_D_x0001_i_x0001_s_x0001_c_x0001_h_x0001_a_x0001_r_x0001_g_x0001_e_x0001_ _x0001_P_x0001_r_x0001_e_x0001_s_x0001_s_x0001_u_x0001_r_x0001_e_x0001_ _x0001_A_x0001_l_x0001_a_x0001_r_x0001_m_x0001_ _x0001_H_x0001_i_x0001_H_x0001_i_x0001_ _x0001_L_x0001_a_x0001_t_x0001_c_x0001_h_x0001_e_x0001_d_x0001__x0001__x0001_</t>
  </si>
  <si>
    <t>M_x0001_S_x0001_O_x0001_ _x0001_D_x0001_i_x0001_s_x0001_c_x0001_h_x0001_a_x0001_r_x0001_g_x0001_e_x0001_ _x0001_P_x0001_r_x0001_e_x0001_s_x0001_s_x0001_u_x0001_r_x0001_e_x0001_ _x0001_A_x0001_l_x0001_a_x0001_r_x0001_m_x0001_ _x0001_H_x0001_i_x0001_ _x0001_L_x0001_a_x0001_t_x0001_c_x0001_h_x0001_e_x0001_d_x0001__x0001__x0001_</t>
  </si>
  <si>
    <t>P_x0001_-_x0001_4_x0001_ _x0001_S_x0001_e_x0001_a_x0001_l_x0001_ _x0001_P_x0001_o_x0001_t_x0001_ _x0001_P_x0001_r_x0001_e_x0001_s_x0001_s_x0001_u_x0001_r_x0001_e_x0001_ _x0001_A_x0001_l_x0001_a_x0001_r_x0001_m_x0001_ _x0001_H_x0001_i_x0001_H_x0001_i_x0001_ _x0001_L_x0001_a_x0001_t_x0001_c_x0001_h_x0001_e_x0001_d_x0001__x0001__x0001_</t>
  </si>
  <si>
    <t>P_x0001_-_x0001_4_x0001_ _x0001_S_x0001_e_x0001_a_x0001_l_x0001_ _x0001_P_x0001_o_x0001_t_x0001_ _x0001_P_x0001_r_x0001_e_x0001_s_x0001_s_x0001_u_x0001_r_x0001_e_x0001_ _x0001_A_x0001_l_x0001_a_x0001_r_x0001_m_x0001_ _x0001_H_x0001_i_x0001_ _x0001_L_x0001_a_x0001_t_x0001_c_x0001_h_x0001_e_x0001_d_x0001__x0001__x0001_</t>
  </si>
  <si>
    <t>P_x0001_-_x0001_4_x0001_ _x0001_S_x0001_e_x0001_a_x0001_l_x0001_ _x0001_P_x0001_o_x0001_t_x0001_ _x0001_P_x0001_r_x0001_e_x0001_s_x0001_s_x0001_u_x0001_r_x0001_e_x0001_ _x0001_A_x0001_l_x0001_a_x0001_r_x0001_m_x0001_ _x0001_L_x0001_o_x0001_ _x0001_C_x0001_o_x0001_n_x0001_d_x0001_i_x0001_t_x0001_i_x0001_o_x0001_n_x0001__x0001__x0001_</t>
  </si>
  <si>
    <t>P_x0001_-_x0001_4_x0001_ _x0001_S_x0001_e_x0001_a_x0001_l_x0001_ _x0001_P_x0001_o_x0001_t_x0001_ _x0001_P_x0001_r_x0001_e_x0001_s_x0001_s_x0001_u_x0001_r_x0001_e_x0001_ _x0001_A_x0001_l_x0001_a_x0001_r_x0001_m_x0001_ _x0001_L_x0001_o_x0001_L_x0001_o_x0001_ _x0001_L_x0001_a_x0001_t_x0001_c_x0001_h_x0001_e_x0001_d_x0001__x0001__x0001_</t>
  </si>
  <si>
    <t>P_x0001_-_x0001_4_x0001_ _x0001_S_x0001_e_x0001_a_x0001_l_x0001_ _x0001_P_x0001_o_x0001_t_x0001_ _x0001_P_x0001_r_x0001_e_x0001_s_x0001_s_x0001_u_x0001_r_x0001_e_x0001_ _x0001_A_x0001_l_x0001_a_x0001_r_x0001_m_x0001_ _x0001_M_x0001_a_x0001_l_x0001_f_x0001_u_x0001_n_x0001_c_x0001_t_x0001_i_x0001_o_x0001_n_x0001_ _x0001_L_x0001_a_x0001_t_x0001_c_x0001_h_x0001_e_x0001_d_x0001__x0001__x0001_</t>
  </si>
  <si>
    <t>M_x0001_S_x0001_O_x0001_ _x0001_M_x0001_e_x0001_t_x0001_e_x0001_r_x0001_ _x0001_R_x0001_u_x0001_m_x0001_ _x0001_T_x0001_e_x0001_m_x0001_p_x0001_ _x0001_A_x0001_l_x0001_a_x0001_r_x0001_m_x0001_ _x0001_H_x0001_i_x0001_H_x0001_i_x0001_ _x0001_L_x0001_a_x0001_t_x0001_c_x0001_h_x0001_e_x0001_d_x0001__x0001__x0001_</t>
  </si>
  <si>
    <t>M_x0001_S_x0001_O_x0001_ _x0001_M_x0001_e_x0001_t_x0001_e_x0001_r_x0001_ _x0001_R_x0001_u_x0001_m_x0001_ _x0001_T_x0001_e_x0001_m_x0001_p_x0001_ _x0001_A_x0001_l_x0001_a_x0001_r_x0001_m_x0001_ _x0001_H_x0001_i_x0001_ _x0001_L_x0001_a_x0001_t_x0001_c_x0001_h_x0001_e_x0001_d_x0001__x0001__x0001_</t>
  </si>
  <si>
    <t>M_x0001_S_x0001_O_x0001_ _x0001_M_x0001_e_x0001_t_x0001_e_x0001_r_x0001_ _x0001_R_x0001_u_x0001_m_x0001_ _x0001_T_x0001_e_x0001_m_x0001_p_x0001_ _x0001_A_x0001_l_x0001_a_x0001_r_x0001_m_x0001_ _x0001_L_x0001_o_x0001_ _x0001_C_x0001_o_x0001_n_x0001_d_x0001_i_x0001_t_x0001_i_x0001_o_x0001_n_x0001__x0001__x0001_</t>
  </si>
  <si>
    <t>M_x0001_S_x0001_O_x0001_ _x0001_M_x0001_e_x0001_t_x0001_e_x0001_r_x0001_ _x0001_R_x0001_u_x0001_m_x0001_ _x0001_T_x0001_e_x0001_m_x0001_p_x0001_ _x0001_A_x0001_l_x0001_a_x0001_r_x0001_m_x0001_ _x0001_L_x0001_o_x0001_L_x0001_o_x0001_ _x0001_L_x0001_a_x0001_t_x0001_c_x0001_h_x0001_e_x0001_d_x0001__x0001__x0001_</t>
  </si>
  <si>
    <t>M_x0001_S_x0001_O_x0001_ _x0001_M_x0001_e_x0001_t_x0001_e_x0001_r_x0001_ _x0001_R_x0001_u_x0001_m_x0001_ _x0001_T_x0001_e_x0001_m_x0001_p_x0001_ _x0001_A_x0001_l_x0001_a_x0001_r_x0001_m_x0001_ _x0001_M_x0001_a_x0001_l_x0001_f_x0001_u_x0001_n_x0001_c_x0001_t_x0001_i_x0001_o_x0001_n_x0001_ _x0001_L_x0001_a_x0001_t_x0001_c_x0001_h_x0001_e_x0001_d_x0001__x0001__x0001_</t>
  </si>
  <si>
    <t>T_x0001_I_x0001_T_x0001_-_x0001_2_x0001_0_x0001_0_x0001_ _x0001_M_x0001_S_x0001_O_x0001_ _x0001_M_x0001_e_x0001_t_x0001_e_x0001_r_x0001_ _x0001_R_x0001_u_x0001_m_x0001_ _x0001_T_x0001_e_x0001_m_x0001_p_x0001_ _x0001_A_x0001_l_x0001_a_x0001_r_x0001_m_x0001_ _x0001_H_x0001_i_x0001_H_x0001_i_x0001_ _x0001_L_x0001_a_x0001_t_x0001_c_x0001_h_x0001_e_x0001_d_x0001__x0001__x0001_</t>
  </si>
  <si>
    <t>T_x0001_I_x0001_T_x0001_-_x0001_2_x0001_0_x0001_0_x0001_ _x0001_M_x0001_S_x0001_O_x0001_ _x0001_M_x0001_e_x0001_t_x0001_e_x0001_r_x0001_ _x0001_R_x0001_u_x0001_m_x0001_ _x0001_T_x0001_e_x0001_m_x0001_p_x0001_ _x0001_A_x0001_l_x0001_a_x0001_r_x0001_m_x0001_ _x0001_H_x0001_i_x0001_ _x0001_L_x0001_a_x0001_t_x0001_c_x0001_h_x0001_e_x0001_d_x0001__x0001__x0001_</t>
  </si>
  <si>
    <t>T_x0001_I_x0001_T_x0001_-_x0001_2_x0001_0_x0001_0_x0001_ _x0001_M_x0001_S_x0001_O_x0001_ _x0001_M_x0001_e_x0001_t_x0001_e_x0001_r_x0001_ _x0001_R_x0001_u_x0001_m_x0001_ _x0001_T_x0001_e_x0001_m_x0001_p_x0001_ _x0001_A_x0001_l_x0001_a_x0001_r_x0001_m_x0001_ _x0001_L_x0001_o_x0001_ _x0001_C_x0001_o_x0001_n_x0001_d_x0001_i_x0001_t_x0001_i_x0001_o_x0001_n_x0001__x0001__x0001_</t>
  </si>
  <si>
    <t>T_x0001_I_x0001_T_x0001_-_x0001_2_x0001_0_x0001_0_x0001_ _x0001_M_x0001_S_x0001_O_x0001_ _x0001_M_x0001_e_x0001_t_x0001_e_x0001_r_x0001_ _x0001_R_x0001_u_x0001_m_x0001_ _x0001_T_x0001_e_x0001_m_x0001_p_x0001_ _x0001_A_x0001_l_x0001_a_x0001_r_x0001_m_x0001_ _x0001_L_x0001_o_x0001_L_x0001_o_x0001_ _x0001_L_x0001_a_x0001_t_x0001_c_x0001_h_x0001_e_x0001_d_x0001__x0001__x0001_</t>
  </si>
  <si>
    <t>T_x0001_I_x0001_T_x0001_-_x0001_2_x0001_0_x0001_0_x0001_ _x0001_M_x0001_S_x0001_O_x0001_ _x0001_M_x0001_e_x0001_t_x0001_e_x0001_r_x0001_ _x0001_R_x0001_u_x0001_m_x0001_ _x0001_T_x0001_e_x0001_m_x0001_p_x0001_ _x0001_A_x0001_l_x0001_a_x0001_r_x0001_m_x0001_ _x0001_M_x0001_a_x0001_l_x0001_f_x0001_u_x0001_n_x0001_c_x0001_t_x0001_i_x0001_o_x0001_n_x0001_ _x0001_L_x0001_a_x0001_t_x0001_c_x0001_h_x0001_e_x0001_d_x0001__x0001__x0001_</t>
  </si>
  <si>
    <t>T_x0001_I_x0001_T_x0001_-_x0001_3_x0001_0_x0001_3_x0001_ _x0001_M_x0001_S_x0001_O_x0001_ _x0001_M_x0001_e_x0001_t_x0001_e_x0001_r_x0001_ _x0001_R_x0001_u_x0001_m_x0001_ _x0001_T_x0001_e_x0001_m_x0001_p_x0001_ _x0001_A_x0001_l_x0001_a_x0001_r_x0001_m_x0001_ _x0001_H_x0001_i_x0001_H_x0001_i_x0001_ _x0001_L_x0001_a_x0001_t_x0001_c_x0001_h_x0001_e_x0001_d_x0001__x0001__x0001_</t>
  </si>
  <si>
    <t>T_x0001_I_x0001_T_x0001_-_x0001_3_x0001_0_x0001_3_x0001_ _x0001_M_x0001_S_x0001_O_x0001_ _x0001_M_x0001_e_x0001_t_x0001_e_x0001_r_x0001_ _x0001_R_x0001_u_x0001_m_x0001_ _x0001_T_x0001_e_x0001_m_x0001_p_x0001_ _x0001_A_x0001_l_x0001_a_x0001_r_x0001_m_x0001_ _x0001_H_x0001_i_x0001_ _x0001_L_x0001_a_x0001_t_x0001_c_x0001_h_x0001_e_x0001_d_x0001__x0001__x0001_</t>
  </si>
  <si>
    <t>T_x0001_I_x0001_T_x0001_-_x0001_3_x0001_0_x0001_3_x0001_ _x0001_M_x0001_S_x0001_O_x0001_ _x0001_M_x0001_e_x0001_t_x0001_e_x0001_r_x0001_ _x0001_R_x0001_u_x0001_m_x0001_ _x0001_T_x0001_e_x0001_m_x0001_p_x0001_ _x0001_A_x0001_l_x0001_a_x0001_r_x0001_m_x0001_ _x0001_L_x0001_o_x0001_ _x0001_C_x0001_o_x0001_n_x0001_d_x0001_i_x0001_t_x0001_i_x0001_o_x0001_n_x0001__x0001__x0001_</t>
  </si>
  <si>
    <t>T_x0001_I_x0001_T_x0001_-_x0001_3_x0001_0_x0001_3_x0001_ _x0001_M_x0001_S_x0001_O_x0001_ _x0001_M_x0001_e_x0001_t_x0001_e_x0001_r_x0001_ _x0001_R_x0001_u_x0001_m_x0001_ _x0001_T_x0001_e_x0001_m_x0001_p_x0001_ _x0001_A_x0001_l_x0001_a_x0001_r_x0001_m_x0001_ _x0001_L_x0001_o_x0001_L_x0001_o_x0001_ _x0001_L_x0001_a_x0001_t_x0001_c_x0001_h_x0001_e_x0001_d_x0001__x0001__x0001_</t>
  </si>
  <si>
    <t>T_x0001_I_x0001_T_x0001_-_x0001_3_x0001_0_x0001_3_x0001_ _x0001_M_x0001_S_x0001_O_x0001_ _x0001_M_x0001_e_x0001_t_x0001_e_x0001_r_x0001_ _x0001_R_x0001_u_x0001_m_x0001_ _x0001_T_x0001_e_x0001_m_x0001_p_x0001_ _x0001_A_x0001_l_x0001_a_x0001_r_x0001_m_x0001_ _x0001_M_x0001_a_x0001_l_x0001_f_x0001_u_x0001_n_x0001_c_x0001_t_x0001_i_x0001_o_x0001_n_x0001_ _x0001_L_x0001_a_x0001_t_x0001_c_x0001_h_x0001_e_x0001_d_x0001__x0001__x0001_</t>
  </si>
  <si>
    <t>P_x0001_-_x0001_1_x0001_ _x0001_V_x0001_i_x0001_b_x0001_r_x0001_a_x0001_t_x0001_i_x0001_o_x0001_n_x0001_ _x0001_A_x0001_l_x0001_a_x0001_r_x0001_m_x0001_ _x0001_H_x0001_i_x0001_H_x0001_i_x0001_ _x0001_L_x0001_a_x0001_t_x0001_c_x0001_h_x0001_e_x0001_d_x0001__x0001__x0001_</t>
  </si>
  <si>
    <t>P_x0001_-_x0001_1_x0001_ _x0001_V_x0001_i_x0001_b_x0001_r_x0001_a_x0001_t_x0001_i_x0001_o_x0001_n_x0001_ _x0001_A_x0001_l_x0001_a_x0001_r_x0001_m_x0001_ _x0001_H_x0001_i_x0001_ _x0001_L_x0001_a_x0001_t_x0001_c_x0001_h_x0001_e_x0001_d_x0001__x0001__x0001_</t>
  </si>
  <si>
    <t>P_x0001_-_x0001_1_x0001_ _x0001_V_x0001_i_x0001_b_x0001_r_x0001_a_x0001_t_x0001_i_x0001_o_x0001_n_x0001_ _x0001_A_x0001_l_x0001_a_x0001_r_x0001_m_x0001_ _x0001_L_x0001_o_x0001_ _x0001_C_x0001_o_x0001_n_x0001_d_x0001_i_x0001_t_x0001_i_x0001_o_x0001_n_x0001__x0001__x0001_</t>
  </si>
  <si>
    <t>P_x0001_-_x0001_1_x0001_ _x0001_V_x0001_i_x0001_b_x0001_r_x0001_a_x0001_t_x0001_i_x0001_o_x0001_n_x0001_ _x0001_A_x0001_l_x0001_a_x0001_r_x0001_m_x0001_ _x0001_L_x0001_o_x0001_L_x0001_o_x0001_ _x0001_L_x0001_a_x0001_t_x0001_c_x0001_h_x0001_e_x0001_d_x0001__x0001__x0001_</t>
  </si>
  <si>
    <t>P_x0001_-_x0001_1_x0001_ _x0001_V_x0001_i_x0001_b_x0001_r_x0001_a_x0001_t_x0001_i_x0001_o_x0001_n_x0001_ _x0001_A_x0001_l_x0001_a_x0001_r_x0001_m_x0001_ _x0001_M_x0001_a_x0001_l_x0001_f_x0001_u_x0001_n_x0001_c_x0001_t_x0001_i_x0001_o_x0001_n_x0001_ _x0001_L_x0001_a_x0001_t_x0001_c_x0001_h_x0001_e_x0001_d_x0001__x0001__x0001_</t>
  </si>
  <si>
    <t>A_x0001_C_x0001_ _x0001_f_x0001_a_x0001_i_x0001_l_x0001_ _x0001_f_x0001_r_x0001_o_x0001_m_x0001_ _x0001_M_x0001_C_x0001_C_x0001_ _x0001_a_x0001_l_x0001_a_x0001_r_x0001_m_x0001_ _x0001_l_x0001_a_x0001_t_x0001_c_x0001_h_x0001_e_x0001_d_x0001__x0001__x0001_</t>
  </si>
  <si>
    <t>P_x0001_u_x0001_m_x0001_p_x0001_ _x0001_1_x0001_ _x0001_E_x0001_S_x0001_D_x0001_ _x0001_p_x0001_u_x0001_s_x0001_h_x0001_ _x0001_b_x0001_u_x0001_t_x0001_t_x0001_o_x0001_n_x0001_ _x0001_a_x0001_l_x0001_a_x0001_r_x0001_m_x0001_ _x0001_l_x0001_a_x0001_t_x0001_c_x0001_h_x0001_e_x0001_d_x0001__x0001__x0001_</t>
  </si>
  <si>
    <t>M_x0001_C_x0001_C_x0001_ _x0001_B_x0001_u_x0001_i_x0001_l_x0001_d_x0001_i_x0001_n_x0001_g_x0001_ _x0001_e_x0001_s_x0001_d_x0001_ _x0001_p_x0001_u_x0001_s_x0001_h_x0001_ _x0001_b_x0001_u_x0001_t_x0001_t_x0001_o_x0001_n_x0001_ _x0001_a_x0001_l_x0001_a_x0001_r_x0001_m_x0001_ _x0001_a_x0001_l_x0001_t_x0001_c_x0001_h_x0001_e_x0001_d_x0001__x0001__x0001_</t>
  </si>
  <si>
    <t>P_x0001_u_x0001_m_x0001_p_x0001_ _x0001_2_x0001_ _x0001_E_x0001_S_x0001_D_x0001_ _x0001_p_x0001_u_x0001_s_x0001_h_x0001_ _x0001_b_x0001_u_x0001_t_x0001_t_x0001_o_x0001_n_x0001_ _x0001_a_x0001_l_x0001_a_x0001_r_x0001_m_x0001_ _x0001_l_x0001_a_x0001_t_x0001_c_x0001_h_x0001_e_x0001_d_x0001__x0001__x0001_</t>
  </si>
  <si>
    <t>P_x0001_u_x0001_m_x0001_p_x0001_ _x0001_4_x0001_ _x0001_E_x0001_S_x0001_D_x0001_ _x0001_p_x0001_u_x0001_s_x0001_h_x0001_ _x0001_b_x0001_u_x0001_t_x0001_t_x0001_o_x0001_n_x0001_ _x0001_a_x0001_l_x0001_a_x0001_r_x0001_m_x0001_ _x0001_l_x0001_a_x0001_t_x0001_c_x0001_h_x0001_e_x0001_d_x0001__x0001__x0001_</t>
  </si>
  <si>
    <t>5_x0001_0_x0001_ _x0001_/_x0001_ _x0001_5_x0001_1_x0001_ _x0001_g_x0001_r_x0001_o_x0001_u_x0001_n_x0001_d_x0001_ _x0001_f_x0001_a_x0001_u_x0001_l_x0001_t_x0001_ _x0001_a_x0001_l_x0001_a_x0001_r_x0001_m_x0001_ _x0001_l_x0001_a_x0001_t_x0001_c_x0001_h_x0001_e_x0001_d_x0001__x0001__x0001_</t>
  </si>
  <si>
    <t>H_x0001_i_x0001_g_x0001_h_x0001_ _x0001_l_x0001_e_x0001_v_x0001_e_x0001_l_x0001_ _x0001_s_x0001_a_x0001_m_x0001_p_x0001_l_x0001_e_x0001_r_x0001_ _x0001_c_x0001_a_x0001_b_x0001_i_x0001_n_x0001_e_x0001_t_x0001_ _x0001_a_x0001_l_x0001_a_x0001_r_x0001_m_x0001_ _x0001_l_x0001_a_x0001_t_x0001_c_x0001_h_x0001_e_x0001_d_x0001__x0001__x0001_</t>
  </si>
  <si>
    <t>P_x0001_u_x0001_m_x0001_p_x0001_ _x0001_1_x0001_ _x0001_s_x0001_e_x0001_a_x0001_l_x0001_ _x0001_l_x0001_e_x0001_a_x0001_k_x0001_ _x0001_d_x0001_e_x0001_t_x0001_e_x0001_c_x0001_t_x0001_i_x0001_o_x0001_n_x0001_ _x0001_l_x0001_e_x0001_v_x0001_e_x0001_l_x0001_ _x0001_a_x0001_l_x0001_a_x0001_r_x0001_m_x0001_ _x0001_l_x0001_a_x0001_t_x0001_c_x0001_h_x0001_e_x0001_d_x0001__x0001__x0001_</t>
  </si>
  <si>
    <t>P_x0001_u_x0001_m_x0001_p_x0001_ _x0001_2_x0001_ _x0001_s_x0001_e_x0001_a_x0001_l_x0001_ _x0001_l_x0001_e_x0001_a_x0001_k_x0001_ _x0001_d_x0001_e_x0001_t_x0001_e_x0001_c_x0001_t_x0001_i_x0001_o_x0001_n_x0001_ _x0001_l_x0001_e_x0001_v_x0001_e_x0001_l_x0001_ _x0001_a_x0001_l_x0001_a_x0001_r_x0001_m_x0001_ _x0001_l_x0001_a_x0001_t_x0001_c_x0001_h_x0001_e_x0001_d_x0001__x0001__x0001_</t>
  </si>
  <si>
    <t>P_x0001_u_x0001_m_x0001_p_x0001_ _x0001_3_x0001_ _x0001_s_x0001_e_x0001_a_x0001_l_x0001_ _x0001_l_x0001_e_x0001_a_x0001_k_x0001_ _x0001_d_x0001_e_x0001_t_x0001_e_x0001_c_x0001_t_x0001_i_x0001_o_x0001_n_x0001_ _x0001_l_x0001_e_x0001_v_x0001_e_x0001_l_x0001_ _x0001_a_x0001_l_x0001_a_x0001_r_x0001_m_x0001_ _x0001_l_x0001_a_x0001_t_x0001_c_x0001_h_x0001_e_x0001_d_x0001__x0001__x0001_</t>
  </si>
  <si>
    <t>F_x0001_l_x0001_a_x0001_r_x0001_e_x0001_ _x0001_l_x0001_i_x0001_q_x0001_u_x0001_i_x0001_d_x0001_ _x0001_t_x0001_r_x0001_a_x0001_p_x0001_ _x0001_l_x0001_e_x0001_v_x0001_e_x0001_l_x0001_ _x0001_H_x0001_i_x0001_g_x0001_h_x0001_ _x0001_H_x0001_i_x0001_g_x0001_h_x0001_ _x0001_l_x0001_e_x0001_v_x0001_e_x0001_l_x0001_ _x0001_a_x0001_l_x0001_a_x0001_r_x0001_m_x0001_ _x0001_l_x0001_a_x0001_t_x0001_c_x0001_h_x0001_e_x0001_d_x0001__x0001__x0001_</t>
  </si>
  <si>
    <t>P_x0001_u_x0001_m_x0001_p_x0001_ _x0001_4_x0001_ _x0001_s_x0001_e_x0001_a_x0001_l_x0001_ _x0001_l_x0001_e_x0001_a_x0001_k_x0001_ _x0001_d_x0001_e_x0001_t_x0001_e_x0001_c_x0001_t_x0001_i_x0001_o_x0001_n_x0001_ _x0001_l_x0001_e_x0001_v_x0001_e_x0001_l_x0001_ _x0001_a_x0001_l_x0001_a_x0001_r_x0001_m_x0001_ _x0001_l_x0001_a_x0001_t_x0001_c_x0001_h_x0001_e_x0001_d_x0001__x0001__x0001_</t>
  </si>
  <si>
    <t>D_x0001_I_x0001_-_x0001_1_x0001_0_x0001_0_x0001_ _x0001_S_x0001_t_x0001_a_x0001_n_x0001_d_x0001_a_x0001_r_x0001_d_x0001_ _x0001_d_x0001_e_x0001_n_x0001_s_x0001_i_x0001_t_x0001_y_x0001_ _x0001_a_x0001_l_x0001_a_x0001_r_x0001_m_x0001_ _x0001_H_x0001_i_x0001_g_x0001_h_x0001_ _x0001_H_x0001_i_x0001_g_x0001_h_x0001_ _x0001_l_x0001_a_x0001_t_x0001_c_x0001_h_x0001_e_x0001_d_x0001__x0001__x0001_</t>
  </si>
  <si>
    <t>D_x0001_I_x0001_-_x0001_1_x0001_0_x0001_0_x0001_ _x0001_S_x0001_t_x0001_a_x0001_n_x0001_d_x0001_a_x0001_r_x0001_d_x0001_ _x0001_d_x0001_e_x0001_n_x0001_s_x0001_i_x0001_t_x0001_y_x0001_ _x0001_a_x0001_l_x0001_a_x0001_r_x0001_m_x0001_ _x0001_L_x0001_o_x0001_w_x0001_ _x0001_l_x0001_a_x0001_t_x0001_c_x0001_h_x0001_e_x0001_d_x0001__x0001__x0001_</t>
  </si>
  <si>
    <t>D_x0001_I_x0001_-_x0001_1_x0001_0_x0001_0_x0001_ _x0001_S_x0001_t_x0001_a_x0001_n_x0001_d_x0001_a_x0001_r_x0001_d_x0001_ _x0001_d_x0001_e_x0001_n_x0001_s_x0001_i_x0001_t_x0001_y_x0001_ _x0001_a_x0001_l_x0001_a_x0001_r_x0001_m_x0001_ _x0001_L_x0001_o_x0001_w_x0001_ _x0001_L_x0001_o_x0001_w_x0001_ _x0001_l_x0001_a_x0001_t_x0001_c_x0001_h_x0001_e_x0001_d_x0001__x0001__x0001_</t>
  </si>
  <si>
    <t>D_x0001_I_x0001_-_x0001_2_x0001_0_x0001_0_x0001_ _x0001_S_x0001_t_x0001_a_x0001_n_x0001_d_x0001_a_x0001_r_x0001_d_x0001_ _x0001_d_x0001_e_x0001_n_x0001_s_x0001_i_x0001_t_x0001_y_x0001_ _x0001_a_x0001_l_x0001_a_x0001_r_x0001_m_x0001_ _x0001_H_x0001_i_x0001_g_x0001_h_x0001_ _x0001_H_x0001_i_x0001_g_x0001_h_x0001_ _x0001_l_x0001_a_x0001_t_x0001_c_x0001_h_x0001_e_x0001_d_x0001__x0001__x0001_</t>
  </si>
  <si>
    <t>D_x0001_I_x0001_-_x0001_2_x0001_0_x0001_0_x0001_ _x0001_S_x0001_t_x0001_a_x0001_n_x0001_d_x0001_a_x0001_r_x0001_d_x0001_ _x0001_d_x0001_e_x0001_n_x0001_s_x0001_i_x0001_t_x0001_y_x0001_ _x0001_a_x0001_l_x0001_a_x0001_r_x0001_m_x0001_ _x0001_L_x0001_o_x0001_w_x0001_ _x0001_l_x0001_a_x0001_t_x0001_c_x0001_h_x0001_e_x0001_d_x0001__x0001__x0001_</t>
  </si>
  <si>
    <t>D_x0001_I_x0001_-_x0001_2_x0001_0_x0001_0_x0001_ _x0001_S_x0001_t_x0001_a_x0001_n_x0001_d_x0001_a_x0001_r_x0001_d_x0001_ _x0001_d_x0001_e_x0001_n_x0001_s_x0001_i_x0001_t_x0001_y_x0001_ _x0001_a_x0001_l_x0001_a_x0001_r_x0001_m_x0001_ _x0001_L_x0001_o_x0001_w_x0001_ _x0001_L_x0001_o_x0001_w_x0001_ _x0001_l_x0001_a_x0001_t_x0001_c_x0001_h_x0001_e_x0001_d_x0001__x0001__x0001_</t>
  </si>
  <si>
    <t>P_x0001_1_x0001_ _x0001_M_x0001_O_x0001_T_x0001_O_x0001_R_x0001_ _x0001_P_x0001_R_x0001_O_x0001_T_x0001_E_x0001_C_x0001_T_x0001_I_x0001_O_x0001_N_x0001_ _x0001_R_x0001_E_x0001_L_x0001_A_x0001_Y_x0001_ _x0001_T_x0001_H_x0001_E_x0001_R_x0001_M_x0001_A_x0001_L_x0001_ _x0001_A_x0001_L_x0001_A_x0001_R_x0001_M_x0001_ _x0001_L_x0001_a_x0001_t_x0001_c_x0001_h_x0001_e_x0001_d_x0001__x0001__x0001_</t>
  </si>
  <si>
    <t>P_x0001_1_x0001_ _x0001_M_x0001_O_x0001_T_x0001_O_x0001_R_x0001_ _x0001_P_x0001_R_x0001_O_x0001_T_x0001_E_x0001_C_x0001_T_x0001_I_x0001_O_x0001_N_x0001_ _x0001_R_x0001_E_x0001_L_x0001_A_x0001_Y_x0001_ _x0001_F_x0001_A_x0001_U_x0001_L_x0001_T_x0001_ _x0001_L_x0001_a_x0001_t_x0001_c_x0001_h_x0001_e_x0001_d_x0001__x0001__x0001_</t>
  </si>
  <si>
    <t>P_x0001_2_x0001_ _x0001_M_x0001_O_x0001_T_x0001_O_x0001_R_x0001_ _x0001_P_x0001_R_x0001_O_x0001_T_x0001_E_x0001_C_x0001_T_x0001_I_x0001_O_x0001_N_x0001_ _x0001_R_x0001_E_x0001_L_x0001_A_x0001_Y_x0001_ _x0001_T_x0001_H_x0001_E_x0001_R_x0001_M_x0001_A_x0001_L_x0001_ _x0001_A_x0001_L_x0001_A_x0001_R_x0001_M_x0001_ _x0001_L_x0001_a_x0001_t_x0001_c_x0001_h_x0001_e_x0001_d_x0001__x0001__x0001_</t>
  </si>
  <si>
    <t>P_x0001_2_x0001_ _x0001_M_x0001_O_x0001_T_x0001_O_x0001_R_x0001_ _x0001_P_x0001_R_x0001_O_x0001_T_x0001_E_x0001_C_x0001_T_x0001_I_x0001_O_x0001_N_x0001_ _x0001_R_x0001_E_x0001_L_x0001_A_x0001_Y_x0001_ _x0001_F_x0001_A_x0001_U_x0001_L_x0001_T_x0001_ _x0001_L_x0001_a_x0001_t_x0001_c_x0001_h_x0001_e_x0001_d_x0001__x0001__x0001_</t>
  </si>
  <si>
    <t>P_x0001_4_x0001_ _x0001_M_x0001_O_x0001_T_x0001_O_x0001_R_x0001_ _x0001_P_x0001_R_x0001_O_x0001_T_x0001_E_x0001_C_x0001_T_x0001_I_x0001_O_x0001_N_x0001_ _x0001_R_x0001_E_x0001_L_x0001_A_x0001_Y_x0001_ _x0001_T_x0001_H_x0001_E_x0001_R_x0001_M_x0001_A_x0001_L_x0001_ _x0001_A_x0001_L_x0001_A_x0001_R_x0001_M_x0001_ _x0001_L_x0001_a_x0001_t_x0001_c_x0001_h_x0001_e_x0001_d_x0001__x0001__x0001_</t>
  </si>
  <si>
    <t>P_x0001_4_x0001_ _x0001_M_x0001_O_x0001_T_x0001_O_x0001_R_x0001_ _x0001_P_x0001_R_x0001_O_x0001_T_x0001_E_x0001_C_x0001_T_x0001_I_x0001_O_x0001_N_x0001_ _x0001_R_x0001_E_x0001_L_x0001_A_x0001_Y_x0001_ _x0001_F_x0001_A_x0001_U_x0001_L_x0001_T_x0001_ _x0001_L_x0001_a_x0001_t_x0001_c_x0001_h_x0001_e_x0001_d_x0001__x0001__x0001_</t>
  </si>
  <si>
    <t>P_x0001_1_x0001_ _x0001_V_x0001_F_x0001_D_x0001_ _x0001_f_x0001_a_x0001_u_x0001_l_x0001_t_x0001_ _x0001_L_x0001_a_x0001_t_x0001_c_x0001_h_x0001_e_x0001_d_x0001__x0001__x0001_</t>
  </si>
  <si>
    <t>P_x0001_1_x0001_ _x0001_F_x0001_a_x0001_i_x0001_l_x0001_ _x0001_a_x0001_l_x0001_a_x0001_r_x0001_m_x0001_ _x0001_l_x0001_a_x0001_t_x0001_c_x0001_h_x0001_e_x0001_d_x0001__x0001__x0001_</t>
  </si>
  <si>
    <t>P_x0001_1_x0001_ _x0001_m_x0001_o_x0001_d_x0001_e_x0001_ _x0001_h_x0001_a_x0001_n_x0001_d_x0001_ _x0001_a_x0001_l_x0001_a_x0001_r_x0001_m_x0001_ _x0001_l_x0001_a_x0001_t_x0001_c_x0001_h_x0001_e_x0001_d_x0001__x0001__x0001_</t>
  </si>
  <si>
    <t>P_x0001_2_x0001_ _x0001_V_x0001_F_x0001_D_x0001_ _x0001_f_x0001_a_x0001_u_x0001_l_x0001_t_x0001_ _x0001_L_x0001_a_x0001_t_x0001_c_x0001_h_x0001_e_x0001_d_x0001__x0001__x0001_</t>
  </si>
  <si>
    <t>P_x0001_2_x0001_ _x0001_F_x0001_a_x0001_i_x0001_l_x0001_ _x0001_a_x0001_l_x0001_a_x0001_r_x0001_m_x0001_ _x0001_l_x0001_a_x0001_t_x0001_c_x0001_h_x0001_e_x0001_d_x0001__x0001__x0001_</t>
  </si>
  <si>
    <t>P_x0001_2_x0001_ _x0001_m_x0001_o_x0001_d_x0001_e_x0001_ _x0001_h_x0001_a_x0001_n_x0001_d_x0001_ _x0001_a_x0001_l_x0001_a_x0001_r_x0001_m_x0001_ _x0001_l_x0001_a_x0001_t_x0001_c_x0001_h_x0001_e_x0001_d_x0001__x0001__x0001_</t>
  </si>
  <si>
    <t>P_x0001_3_x0001_ _x0001_F_x0001_a_x0001_i_x0001_l_x0001_ _x0001_a_x0001_l_x0001_a_x0001_r_x0001_m_x0001_ _x0001_l_x0001_a_x0001_t_x0001_c_x0001_h_x0001_e_x0001_d_x0001__x0001__x0001_</t>
  </si>
  <si>
    <t>P_x0001_3_x0001_ _x0001_m_x0001_o_x0001_d_x0001_e_x0001_ _x0001_h_x0001_a_x0001_n_x0001_d_x0001_ _x0001_a_x0001_l_x0001_a_x0001_r_x0001_m_x0001_ _x0001_l_x0001_a_x0001_t_x0001_c_x0001_h_x0001_e_x0001_d_x0001__x0001__x0001_</t>
  </si>
  <si>
    <t>P_x0001_3_x0001_ _x0001_O_x0001_v_x0001_e_x0001_r_x0001_l_x0001_o_x0001_a_x0001_d_x0001_ _x0001_a_x0001_l_x0001_a_x0001_r_x0001_m_x0001_ _x0001_l_x0001_a_x0001_t_x0001_c_x0001_h_x0001_e_x0001_d_x0001__x0001__x0001_</t>
  </si>
  <si>
    <t>P_x0001_4_x0001_ _x0001_V_x0001_F_x0001_D_x0001_ _x0001_f_x0001_a_x0001_u_x0001_l_x0001_t_x0001_ _x0001_L_x0001_a_x0001_t_x0001_c_x0001_h_x0001_e_x0001_d_x0001__x0001__x0001_</t>
  </si>
  <si>
    <t>P_x0001_4_x0001_ _x0001_F_x0001_a_x0001_i_x0001_l_x0001_ _x0001_a_x0001_l_x0001_a_x0001_r_x0001_m_x0001_ _x0001_l_x0001_a_x0001_t_x0001_c_x0001_h_x0001_e_x0001_d_x0001__x0001__x0001_</t>
  </si>
  <si>
    <t>P_x0001_4_x0001_ _x0001_m_x0001_o_x0001_d_x0001_e_x0001_ _x0001_h_x0001_a_x0001_n_x0001_d_x0001_ _x0001_a_x0001_l_x0001_a_x0001_r_x0001_m_x0001_ _x0001_l_x0001_a_x0001_t_x0001_c_x0001_h_x0001_e_x0001_d_x0001__x0001__x0001_</t>
  </si>
  <si>
    <t>E_x0001_S_x0001_D_x0001_V_x0001_-_x0001_2_x0001_0_x0001_0_x0001_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</si>
  <si>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E_x0001_S_x0001_D_x0001_V_x0001_-_x0001_2_x0001_0_x0001_0_x0001_ _x0001_F_x0001_a_x0001_u_x0001_l_x0001_t_x0001_ _x0001_L_x0001_a_x0001_t_x0001_c_x0001_h_x0001__x0001__x0001_</t>
  </si>
  <si>
    <t>E_x0001_S_x0001_D_x0001_V_x0001_-_x0001_3_x0001_0_x0001_2_x0001_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</si>
  <si>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E_x0001_S_x0001_D_x0001_V_x0001_-_x0001_3_x0001_0_x0001_2_x0001_ _x0001_F_x0001_a_x0001_u_x0001_l_x0001_t_x0001_ _x0001_L_x0001_a_x0001_t_x0001_c_x0001_h_x0001__x0001__x0001_</t>
  </si>
  <si>
    <t>P_x0001_O_x0001_V_x0001_-_x0001_1_x0001_0_x0001_0_x0001_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</si>
  <si>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P_x0001_O_x0001_V_x0001_-_x0001_1_x0001_0_x0001_0_x0001_ _x0001_F_x0001_a_x0001_u_x0001_l_x0001_t_x0001_ _x0001_L_x0001_a_x0001_t_x0001_c_x0001_h_x0001__x0001__x0001_</t>
  </si>
  <si>
    <t>P_x0001_O_x0001_V_x0001_-_x0001_1_x0001_0_x0001_1_x0001_ _x0001_i_x0001_n_x0001_ _x0001_a_x0001_u_x0001_t_x0001_o_x0001_ _x0001_a_x0001_l_x0001_a_x0001_r_x0001_m_x0001_ _x0001_l_x0001_a_x0001_t_x0001_c_x0001_h_x0001_e_x0001_d_x0001__x0001__x0001_</t>
  </si>
  <si>
    <t>P_x0001_O_x0001_V_x0001_-_x0001_1_x0001_0_x0001_1_x0001_ _x0001_F_x0001_a_x0001_u_x0001_l_x0001_t_x0001_ _x0001_L_x0001_a_x0001_t_x0001_c_x0001_h_x0001__x0001__x0001_</t>
  </si>
  <si>
    <t>P_x0001_O_x0001_V_x0001_-_x0001_1_x0001_0_x0001_2_x0001_ _x0001_i_x0001_n_x0001_ _x0001_a_x0001_u_x0001_t_x0001_o_x0001_ _x0001_a_x0001_l_x0001_a_x0001_r_x0001_m_x0001_ _x0001_l_x0001_a_x0001_t_x0001_c_x0001_h_x0001_e_x0001_d_x0001__x0001__x0001_</t>
  </si>
  <si>
    <t>P_x0001_O_x0001_V_x0001_-_x0001_1_x0001_0_x0001_2_x0001_ _x0001_F_x0001_a_x0001_u_x0001_l_x0001_t_x0001_ _x0001_L_x0001_a_x0001_t_x0001_c_x0001_h_x0001__x0001__x0001_</t>
  </si>
  <si>
    <t>P_x0001_O_x0001_V_x0001_-_x0001_2_x0001_0_x0001_0_x0001_ _x0001_n_x0001_o_x0001_t_x0001_ _x0001_i_x0001_n_x0001_ _x0001_a_x0001_u_x0001_t_x0001_o_x0001_ _x0001_A_x0001_l_x0001_a_x0001_r_x0001_m_x0001_ _x0001_L_x0001_a_x0001_t_x0001_c_x0001_h_x0001_e_x0001_d_x0001__x0001__x0001_</t>
  </si>
  <si>
    <t>P_x0001_O_x0001_V_x0001_-_x0001_2_x0001_0_x0001_0_x0001_ _x0001_F_x0001_a_x0001_u_x0001_l_x0001_t_x0001_ _x0001_L_x0001_a_x0001_t_x0001_c_x0001_h_x0001__x0001__x0001_</t>
  </si>
  <si>
    <t>P_x0001_O_x0001_V_x0001_-_x0001_2_x0001_0_x0001_1_x0001_ _x0001_M_x0001_A_x0001_I_x0001_N_x0001_T_x0001_E_x0001_N_x0001_A_x0001_N_x0001_C_x0001_E_x0001_ _x0001_M_x0001_O_x0001_D_x0001_E_x0001_ _x0001_(_x0001_H_x0001_A_x0001_N_x0001_D_x0001_)_x0001_ _x0001_A_x0001_l_x0001_a_x0001_r_x0001_m_x0001_ _x0001_L_x0001_a_x0001_t_x0001_c_x0001_h_x0001_e_x0001_d_x0001__x0001__x0001_</t>
  </si>
  <si>
    <t>P_x0001_O_x0001_V_x0001_-_x0001_2_x0001_0_x0001_1_x0001_ _x0001_F_x0001_a_x0001_u_x0001_l_x0001_t_x0001_ _x0001_L_x0001_a_x0001_t_x0001_c_x0001_h_x0001__x0001__x0001_</t>
  </si>
  <si>
    <t>P_x0001_O_x0001_V_x0001_-_x0001_2_x0001_0_x0001_2_x0001_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</si>
  <si>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P_x0001_O_x0001_V_x0001_-_x0001_2_x0001_0_x0001_2_x0001_ _x0001_F_x0001_a_x0001_u_x0001_l_x0001_t_x0001_ _x0001_L_x0001_a_x0001_t_x0001_c_x0001_h_x0001__x0001__x0001_</t>
  </si>
  <si>
    <t>P_x0001_O_x0001_V_x0001_-_x0001_3_x0001_0_x0001_0_x0001_ _x0001_i_x0001_n_x0001_ _x0001_a_x0001_u_x0001_t_x0001_o_x0001_ _x0001_c_x0001_o_x0001_n_x0001_d_x0001_i_x0001_t_x0001_i_x0001_o_x0001_n_x0001_e_x0001_d_x0001__x0001__x0001_</t>
  </si>
  <si>
    <t>P_x0001_O_x0001_V_x0001_-_x0001_3_x0001_0_x0001_0_x0001_ _x0001_F_x0001_a_x0001_u_x0001_l_x0001_t_x0001_ _x0001_L_x0001_a_x0001_t_x0001_c_x0001_h_x0001__x0001__x0001_</t>
  </si>
  <si>
    <t>P_x0001_O_x0001_V_x0001_-_x0001_3_x0001_0_x0001_1_x0001_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</si>
  <si>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P_x0001_O_x0001_V_x0001_-_x0001_3_x0001_0_x0001_1_x0001_ _x0001_F_x0001_a_x0001_u_x0001_l_x0001_t_x0001_ _x0001_L_x0001_a_x0001_t_x0001_c_x0001_h_x0001__x0001__x0001_</t>
  </si>
  <si>
    <t>P_x0001_O_x0001_V_x0001_-_x0001_3_x0001_0_x0001_2_x0001_ _x0001_I_x0001_N_x0001_ _x0001_R_x0001_E_x0001_M_x0001_O_x0001_T_x0001_E_x0001_ _x0001_(_x0001_H_x0001_A_x0001_N_x0001_D_x0001_)_x0001_ _x0001_a_x0001_l_x0001_a_x0001_r_x0001_m_x0001_ _x0001_l_x0001_a_x0001_t_x0001_c_x0001_h_x0001_e_x0001_d_x0001__x0001__x0001_</t>
  </si>
  <si>
    <t>P_x0001_-_x0001_1_x0001_ _x0001_F_x0001_I_x0001_R_x0001_E_x0001_ _x0001_B_x0001_y_x0001_p_x0001_a_x0001_s_x0001_s_x0001_e_x0001_d_x0001__x0001__x0001_</t>
  </si>
  <si>
    <t>P_x0001_-_x0001_2_x0001_ _x0001_F_x0001_I_x0001_R_x0001_E_x0001_ _x0001_B_x0001_y_x0001_p_x0001_a_x0001_s_x0001_s_x0001_e_x0001_d_x0001__x0001__x0001_</t>
  </si>
  <si>
    <t>P_x0001_-_x0001_3_x0001_ _x0001_F_x0001_I_x0001_R_x0001_E_x0001_ _x0001_B_x0001_y_x0001_p_x0001_a_x0001_s_x0001_s_x0001_e_x0001_d_x0001__x0001__x0001_</t>
  </si>
  <si>
    <t>P_x0001_-_x0001_4_x0001_ _x0001_F_x0001_I_x0001_R_x0001_E_x0001_ _x0001_B_x0001_y_x0001_p_x0001_a_x0001_s_x0001_s_x0001_e_x0001_d_x0001__x0001__x0001_</t>
  </si>
  <si>
    <t>B_x0001_S_x0001_W_x0001_-_x0001_2_x0001_0_x0001_0_x0001_ _x0001_M_x0001_S_x0001_O_x0001_ _x0001_S_x0001_t_x0001_y_x0001_t_x0001_e_x0001_m_x0001_ _x0001_W_x0001_a_x0001_t_x0001_e_x0001_r_x0001_ _x0001_C_x0001_u_x0001_t_x0001_ _x0001_M_x0001_e_x0001_t_x0001_e_x0001_r_x0001_ _x0001_B_x0001_y_x0001_p_x0001_a_x0001_s_x0001_s_x0001_e_x0001_d_x0001__x0001__x0001_</t>
  </si>
  <si>
    <t>B_x0001_S_x0001_W_x0001_-_x0001_3_x0001_0_x0001_0_x0001_ _x0001_M_x0001_S_x0001_O_x0001_ _x0001_S_x0001_t_x0001_y_x0001_t_x0001_e_x0001_m_x0001_ _x0001_W_x0001_a_x0001_t_x0001_e_x0001_r_x0001_ _x0001_C_x0001_u_x0001_t_x0001_ _x0001_M_x0001_e_x0001_t_x0001_e_x0001_r_x0001_ _x0001_B_x0001_y_x0001_p_x0001_a_x0001_s_x0001_s_x0001_e_x0001_d_x0001__x0001__x0001_</t>
  </si>
  <si>
    <t>D_x0001_Q_x0001_-_x0001_1_x0001_0_x0001_0_x0001_ _x0001_C_x0001_o_x0001_r_x0001_r_x0001_e_x0001_c_x0001_t_x0001_e_x0001_d_x0001_ _x0001_D_x0001_e_x0001_n_x0001_s_x0001_i_x0001_t_x0001_y_x0001_ _x0001_M_x0001_S_x0001_O_x0001_ _x0001_M_x0001_e_x0001_t_x0001_e_x0001_r_x0001_ _x0001_1_x0001_0_x0001_0_x0001_ _x0001_B_x0001_y_x0001_p_x0001_a_x0001_s_x0001_s_x0001_e_x0001_d_x0001__x0001__x0001_</t>
  </si>
  <si>
    <t>D_x0001_Q_x0001_-_x0001_2_x0001_0_x0001_0_x0001_ _x0001_C_x0001_o_x0001_r_x0001_r_x0001_e_x0001_c_x0001_t_x0001_e_x0001_d_x0001_ _x0001_D_x0001_e_x0001_n_x0001_s_x0001_i_x0001_t_x0001_y_x0001_ _x0001_M_x0001_S_x0001_O_x0001_ _x0001_M_x0001_e_x0001_t_x0001_e_x0001_r_x0001_ _x0001_2_x0001_0_x0001_0_x0001_ _x0001_B_x0001_y_x0001_p_x0001_a_x0001_s_x0001_s_x0001_e_x0001_d_x0001__x0001__x0001_</t>
  </si>
  <si>
    <t>D_x0001_Q_x0001_-_x0001_3_x0001_0_x0001_3_x0001_ _x0001_C_x0001_o_x0001_r_x0001_r_x0001_e_x0001_c_x0001_t_x0001_e_x0001_d_x0001_ _x0001_D_x0001_e_x0001_n_x0001_s_x0001_i_x0001_t_x0001_y_x0001_ _x0001_C_x0001_3_x0001_/_x0001_C_x0001_5_x0001_ _x0001_B_x0001_y_x0001_p_x0001_a_x0001_s_x0001_s_x0001_e_x0001_d_x0001__x0001__x0001_</t>
  </si>
  <si>
    <t>F_x0001_Q_x0001_-_x0001_1_x0001_0_x0001_0_x0001_ _x0001_C_x0001_o_x0001_r_x0001_r_x0001_e_x0001_c_x0001_t_x0001_e_x0001_d_x0001_ _x0001_N_x0001_e_x0001_t_x0001_ _x0001_V_x0001_o_x0001_l_x0001_u_x0001_m_x0001_e_x0001_ _x0001_M_x0001_S_x0001_O_x0001_ _x0001_M_x0001_e_x0001_t_x0001_e_x0001_r_x0001_ _x0001_1_x0001_0_x0001_0_x0001_ _x0001_B_x0001_y_x0001_p_x0001_a_x0001_s_x0001_s_x0001_e_x0001_d_x0001__x0001__x0001_</t>
  </si>
  <si>
    <t>F_x0001_Q_x0001_-_x0001_2_x0001_0_x0001_0_x0001_ _x0001_C_x0001_o_x0001_r_x0001_r_x0001_e_x0001_c_x0001_t_x0001_e_x0001_d_x0001_ _x0001_N_x0001_e_x0001_t_x0001_ _x0001_V_x0001_o_x0001_l_x0001_u_x0001_m_x0001_e_x0001_ _x0001_M_x0001_S_x0001_O_x0001_ _x0001_M_x0001_e_x0001_t_x0001_e_x0001_r_x0001_ _x0001_2_x0001_0_x0001_0_x0001_ _x0001_B_x0001_y_x0001_p_x0001_a_x0001_s_x0001_s_x0001_e_x0001_d_x0001__x0001__x0001_</t>
  </si>
  <si>
    <t>F_x0001_Q_x0001_-_x0001_3_x0001_0_x0001_3_x0001_ _x0001_C_x0001_o_x0001_r_x0001_r_x0001_e_x0001_c_x0001_t_x0001_e_x0001_d_x0001_ _x0001_N_x0001_e_x0001_t_x0001_ _x0001_V_x0001_o_x0001_l_x0001_u_x0001_m_x0001_e_x0001_ _x0001_C_x0001_3_x0001_/_x0001_C_x0001_5_x0001_ _x0001_B_x0001_y_x0001_p_x0001_a_x0001_s_x0001_s_x0001_e_x0001_d_x0001__x0001__x0001_</t>
  </si>
  <si>
    <t>P_x0001_-_x0001_1_x0001_ _x0001_H_x0001_2_x0001_S_x0001_ _x0001_M_x0001_o_x0001_n_x0001_i_x0001_t_x0001_o_x0001_r_x0001_ _x0001_B_x0001_y_x0001_p_x0001_a_x0001_s_x0001_s_x0001_e_x0001_d_x0001__x0001__x0001_</t>
  </si>
  <si>
    <t>S_x0001_u_x0001_m_x0001_p_x0001_ _x0001_T_x0001_a_x0001_n_x0001_k_x0001_ _x0001_H_x0001_2_x0001_S_x0001_ _x0001_M_x0001_o_x0001_n_x0001_i_x0001_t_x0001_o_x0001_r_x0001_ _x0001_B_x0001_y_x0001_p_x0001_a_x0001_s_x0001_s_x0001_e_x0001_d_x0001__x0001__x0001_</t>
  </si>
  <si>
    <t>P_x0001_-_x0001_2_x0001_ _x0001_H_x0001_2_x0001_S_x0001_ _x0001_M_x0001_o_x0001_n_x0001_i_x0001_t_x0001_o_x0001_r_x0001_ _x0001_B_x0001_y_x0001_p_x0001_a_x0001_s_x0001_s_x0001_e_x0001_d_x0001__x0001__x0001_</t>
  </si>
  <si>
    <t>P_x0001_-_x0001_1_x0001_ _x0001_L_x0001_E_x0001_L_x0001_ _x0001_B_x0001_y_x0001_p_x0001_a_x0001_s_x0001_s_x0001_e_x0001_d_x0001__x0001__x0001_</t>
  </si>
  <si>
    <t>S_x0001_u_x0001_m_x0001_p_x0001_ _x0001_T_x0001_a_x0001_n_x0001_k_x0001_ _x0001_L_x0001_E_x0001_L_x0001_ _x0001_B_x0001_y_x0001_p_x0001_a_x0001_s_x0001_s_x0001_e_x0001_d_x0001__x0001__x0001_</t>
  </si>
  <si>
    <t>P_x0001_-_x0001_2_x0001_ _x0001_L_x0001_E_x0001_L_x0001_ _x0001_B_x0001_y_x0001_p_x0001_a_x0001_s_x0001_s_x0001_e_x0001_d_x0001__x0001__x0001_</t>
  </si>
  <si>
    <t>P_x0001_-_x0001_3_x0001_ _x0001_S_x0001_e_x0001_a_x0001_l_x0001_ _x0001_L_x0001_e_x0001_a_x0001_k_x0001_ _x0001_L_x0001_E_x0001_L_x0001_ _x0001_B_x0001_y_x0001_p_x0001_a_x0001_s_x0001_s_x0001_e_x0001_d_x0001__x0001__x0001_</t>
  </si>
  <si>
    <t>P_x0001_-_x0001_4_x0001_ _x0001_S_x0001_e_x0001_a_x0001_l_x0001_ _x0001_L_x0001_e_x0001_a_x0001_k_x0001_ _x0001_L_x0001_E_x0001_L_x0001_ _x0001_B_x0001_y_x0001_p_x0001_a_x0001_s_x0001_s_x0001_e_x0001_d_x0001__x0001__x0001_</t>
  </si>
  <si>
    <t>S_x0001_u_x0001_m_x0001_p_x0001_ _x0001_T_x0001_a_x0001_n_x0001_k_x0001_ _x0001_L_x0001_e_x0001_v_x0001_e_x0001_l_x0001_B_x0001_y_x0001_p_x0001_a_x0001_s_x0001_s_x0001_e_x0001_d_x0001__x0001__x0001_</t>
  </si>
  <si>
    <t>M_x0001_S_x0001_O_x0001_ _x0001_P_x0001_r_x0001_o_x0001_c_x0001_u_x0001_c_x0001_e_x0001_r_x0001_ _x0001_T_x0001_a_x0001_n_x0001_k_x0001_ _x0001_L_x0001_e_x0001_v_x0001_e_x0001_l_x0001_ _x0001_B_x0001_y_x0001_p_x0001_a_x0001_s_x0001_s_x0001_e_x0001_d_x0001__x0001__x0001_</t>
  </si>
  <si>
    <t>C_x0001_5_x0001_+_x0001_ _x0001_P_x0001_r_x0001_o_x0001_c_x0001_u_x0001_c_x0001_e_x0001_r_x0001_ _x0001_T_x0001_a_x0001_n_x0001_k_x0001_ _x0001_L_x0001_e_x0001_v_x0001_e_x0001_l_x0001_ _x0001_B_x0001_y_x0001_p_x0001_a_x0001_s_x0001_s_x0001_e_x0001_d_x0001__x0001__x0001_</t>
  </si>
  <si>
    <t>C_x0001_3_x0001_+_x0001_ _x0001_P_x0001_r_x0001_o_x0001_c_x0001_u_x0001_c_x0001_e_x0001_r_x0001_ _x0001_T_x0001_a_x0001_n_x0001_k_x0001_ _x0001_L_x0001_e_x0001_v_x0001_e_x0001_l_x0001_ _x0001_B_x0001_y_x0001_p_x0001_a_x0001_s_x0001_s_x0001_e_x0001_d_x0001__x0001__x0001_</t>
  </si>
  <si>
    <t>P_x0001_-_x0001_1_x0001_ _x0001_V_x0001_F_x0001_D_x0001_ _x0001_S_x0001_p_x0001_e_x0001_e_x0001_d_x0001_ _x0001_B_x0001_y_x0001_p_x0001_a_x0001_s_x0001_s_x0001_e_x0001_d_x0001__x0001__x0001_</t>
  </si>
  <si>
    <t>P_x0001_-_x0001_2_x0001_ _x0001_V_x0001_F_x0001_D_x0001_ _x0001_S_x0001_p_x0001_e_x0001_e_x0001_d_x0001_ _x0001_B_x0001_y_x0001_p_x0001_a_x0001_s_x0001_s_x0001_e_x0001_d_x0001__x0001__x0001_</t>
  </si>
  <si>
    <t>P_x0001_-_x0001_1_x0001_ _x0001_D_x0001_i_x0001_s_x0001_c_x0001_h_x0001_a_x0001_r_x0001_g_x0001_e_x0001_ _x0001_P_x0001_r_x0001_e_x0001_s_x0001_s_x0001_u_x0001_r_x0001_e_x0001_ _x0001_B_x0001_y_x0001_p_x0001_a_x0001_s_x0001_s_x0001_e_x0001_d_x0001__x0001__x0001_</t>
  </si>
  <si>
    <t>P_x0001_-_x0001_2_x0001_ _x0001_D_x0001_i_x0001_s_x0001_c_x0001_h_x0001_a_x0001_r_x0001_g_x0001_e_x0001_ _x0001_P_x0001_r_x0001_e_x0001_s_x0001_s_x0001_u_x0001_r_x0001_e_x0001_ _x0001_B_x0001_y_x0001_p_x0001_a_x0001_s_x0001_s_x0001_e_x0001_d_x0001__x0001__x0001_</t>
  </si>
  <si>
    <t>M_x0001_S_x0001_O_x0001_ _x0001_D_x0001_i_x0001_s_x0001_c_x0001_h_x0001_a_x0001_r_x0001_g_x0001_e_x0001_ _x0001_P_x0001_r_x0001_e_x0001_s_x0001_s_x0001_u_x0001_r_x0001_e_x0001_ _x0001_B_x0001_y_x0001_p_x0001_a_x0001_s_x0001_s_x0001_e_x0001_d_x0001__x0001__x0001_</t>
  </si>
  <si>
    <t>P_x0001_-_x0001_3_x0001_ _x0001_S_x0001_e_x0001_a_x0001_l_x0001_ _x0001_P_x0001_o_x0001_t_x0001_ _x0001_P_x0001_r_x0001_e_x0001_s_x0001_s_x0001_u_x0001_r_x0001_e_x0001_ _x0001_B_x0001_y_x0001_p_x0001_a_x0001_s_x0001_s_x0001_e_x0001_d_x0001__x0001__x0001_</t>
  </si>
  <si>
    <t>P_x0001_-_x0001_4_x0001_ _x0001_S_x0001_e_x0001_a_x0001_l_x0001_ _x0001_P_x0001_o_x0001_t_x0001_ _x0001_P_x0001_r_x0001_e_x0001_s_x0001_s_x0001_u_x0001_r_x0001_e_x0001_ _x0001_B_x0001_y_x0001_p_x0001_a_x0001_s_x0001_s_x0001_e_x0001_d_x0001__x0001__x0001_</t>
  </si>
  <si>
    <t>M_x0001_S_x0001_O_x0001_ _x0001_M_x0001_e_x0001_t_x0001_e_x0001_r_x0001_ _x0001_R_x0001_u_x0001_m_x0001_ _x0001_T_x0001_e_x0001_m_x0001_p_x0001_ _x0001_B_x0001_y_x0001_p_x0001_a_x0001_s_x0001_s_x0001_e_x0001_d_x0001__x0001__x0001_</t>
  </si>
  <si>
    <t>T_x0001_I_x0001_T_x0001_-_x0001_2_x0001_0_x0001_0_x0001_ _x0001_M_x0001_S_x0001_O_x0001_ _x0001_M_x0001_e_x0001_t_x0001_e_x0001_r_x0001_ _x0001_R_x0001_u_x0001_m_x0001_ _x0001_T_x0001_e_x0001_m_x0001_p_x0001_ _x0001_B_x0001_y_x0001_p_x0001_a_x0001_s_x0001_s_x0001_e_x0001_d_x0001__x0001__x0001_</t>
  </si>
  <si>
    <t>T_x0001_I_x0001_T_x0001_-_x0001_3_x0001_0_x0001_3_x0001_ _x0001_M_x0001_S_x0001_O_x0001_ _x0001_M_x0001_e_x0001_t_x0001_e_x0001_r_x0001_ _x0001_R_x0001_u_x0001_m_x0001_ _x0001_T_x0001_e_x0001_m_x0001_p_x0001_ _x0001_B_x0001_y_x0001_p_x0001_a_x0001_s_x0001_s_x0001_e_x0001_d_x0001__x0001__x0001_</t>
  </si>
  <si>
    <t>P_x0001_-_x0001_1_x0001_ _x0001_V_x0001_i_x0001_b_x0001_r_x0001_a_x0001_t_x0001_i_x0001_o_x0001_n_x0001_ _x0001_B_x0001_y_x0001_p_x0001_a_x0001_s_x0001_s_x0001_e_x0001_d_x0001__x0001__x0001_</t>
  </si>
  <si>
    <t>M_x0001_S_x0001_O_x0001_ _x0001_D_x0001_i_x0001_s_x0001_c_x0001_h_x0001_a_x0001_r_x0001_g_x0001_e_x0001_ _x0001_P_x0001_r_x0001_e_x0001_s_x0001_s_x0001_u_x0001_r_x0001_e_x0001_ _x0001_A_x0001_l_x0001_a_x0001_r_x0001_m_x0001_ _x0001_L_x0001_o_x0001_ _x0001_C_x0001_o_x0001_n_x0001_d_x0001_i_x0001_t_x0001_i_x0001_o_x0001_n_x0001__x0001__x0001_</t>
  </si>
  <si>
    <t>M_x0001_S_x0001_O_x0001_ _x0001_D_x0001_i_x0001_s_x0001_c_x0001_h_x0001_a_x0001_r_x0001_g_x0001_e_x0001_ _x0001_P_x0001_r_x0001_e_x0001_s_x0001_s_x0001_u_x0001_r_x0001_e_x0001_ _x0001_A_x0001_l_x0001_a_x0001_r_x0001_m_x0001_ _x0001_L_x0001_o_x0001_L_x0001_o_x0001_ _x0001_L_x0001_a_x0001_t_x0001_c_x0001_h_x0001_e_x0001_d_x0001__x0001__x0001_</t>
  </si>
  <si>
    <t>M_x0001_S_x0001_O_x0001_ _x0001_D_x0001_i_x0001_s_x0001_c_x0001_h_x0001_a_x0001_r_x0001_g_x0001_e_x0001_ _x0001_P_x0001_r_x0001_e_x0001_s_x0001_s_x0001_u_x0001_r_x0001_e_x0001_ _x0001_A_x0001_l_x0001_a_x0001_r_x0001_m_x0001_ _x0001_M_x0001_a_x0001_l_x0001_f_x0001_u_x0001_n_x0001_c_x0001_t_x0001_i_x0001_o_x0001_n_x0001_ _x0001_L_x0001_a_x0001_t_x0001_c_x0001_h_x0001_e_x0001_d_x0001__x0001__x0001_</t>
  </si>
  <si>
    <t>P_x0001_-_x0001_3_x0001_ _x0001_S_x0001_e_x0001_a_x0001_l_x0001_ _x0001_P_x0001_o_x0001_t_x0001_ _x0001_P_x0001_r_x0001_e_x0001_s_x0001_s_x0001_u_x0001_r_x0001_e_x0001_ _x0001_A_x0001_l_x0001_a_x0001_r_x0001_m_x0001_ _x0001_H_x0001_i_x0001_H_x0001_i_x0001_ _x0001_L_x0001_a_x0001_t_x0001_c_x0001_h_x0001_e_x0001_d_x0001__x0001__x0001_</t>
  </si>
  <si>
    <t>P_x0001_-_x0001_3_x0001_ _x0001_S_x0001_e_x0001_a_x0001_l_x0001_ _x0001_P_x0001_o_x0001_t_x0001_ _x0001_P_x0001_r_x0001_e_x0001_s_x0001_s_x0001_u_x0001_r_x0001_e_x0001_ _x0001_A_x0001_l_x0001_a_x0001_r_x0001_m_x0001_ _x0001_H_x0001_i_x0001_ _x0001_L_x0001_a_x0001_t_x0001_c_x0001_h_x0001_e_x0001_d_x0001__x0001__x0001_</t>
  </si>
  <si>
    <t>P_x0001_-_x0001_3_x0001_ _x0001_S_x0001_e_x0001_a_x0001_l_x0001_ _x0001_P_x0001_o_x0001_t_x0001_ _x0001_P_x0001_r_x0001_e_x0001_s_x0001_s_x0001_u_x0001_r_x0001_e_x0001_ _x0001_A_x0001_l_x0001_a_x0001_r_x0001_m_x0001_ _x0001_L_x0001_o_x0001_ _x0001_C_x0001_o_x0001_n_x0001_d_x0001_i_x0001_t_x0001_i_x0001_o_x0001_n_x0001__x0001__x0001_</t>
  </si>
  <si>
    <t>P_x0001_-_x0001_3_x0001_ _x0001_S_x0001_e_x0001_a_x0001_l_x0001_ _x0001_P_x0001_o_x0001_t_x0001_ _x0001_P_x0001_r_x0001_e_x0001_s_x0001_s_x0001_u_x0001_r_x0001_e_x0001_ _x0001_A_x0001_l_x0001_a_x0001_r_x0001_m_x0001_ _x0001_L_x0001_o_x0001_L_x0001_o_x0001_ _x0001_L_x0001_a_x0001_t_x0001_c_x0001_h_x0001_e_x0001_d_x0001__x0001__x0001_</t>
  </si>
  <si>
    <t>P_x0001_-_x0001_3_x0001_ _x0001_S_x0001_e_x0001_a_x0001_l_x0001_ _x0001_P_x0001_o_x0001_t_x0001_ _x0001_P_x0001_r_x0001_e_x0001_s_x0001_s_x0001_u_x0001_r_x0001_e_x0001_ _x0001_A_x0001_l_x0001_a_x0001_r_x0001_m_x0001_ _x0001_M_x0001_a_x0001_l_x0001_f_x0001_u_x0001_n_x0001_c_x0001_t_x0001_i_x0001_o_x0001_n_x0001_ _x0001_L_x0001_a_x0001_t_x0001_c_x0001_h_x0001_e_x0001_d_x0001__x0001__x0001_</t>
  </si>
  <si>
    <t>S_x0001_t_x0001_a_x0001_t_x0001_i_x0001_o_x0001_n_x0001_ _x0001_L_x0001_o_x0001_c_x0001_k_x0001_o_x0001_u_x0001_t_x0001_ _x0001_G_x0001_l_x0001_o_x0001_b_x0001_a_x0001_l_x0001_ _x0001_S_x0001_h_x0001_u_x0001_t_x0001_d_x0001_o_x0001_w_x0001_n_x0001__x0001__x0001_</t>
  </si>
  <si>
    <t>S_x0001_t_x0001_a_x0001_t_x0001_i_x0001_o_x0001_n_x0001_ _x0001_i_x0001_n_x0001_ _x0001_L_x0001_o_x0001_c_x0001_a_x0001_l_x0001__x0001__x0001_</t>
  </si>
  <si>
    <t>P_x0001_L_x0001_C_x0001_ _x0001_b_x0001_a_x0001_t_x0001_t_x0001_e_x0001_r_x0001_y_x0001_ _x0001_l_x0001_o_x0001_w_x0001_ _x0001_a_x0001_l_x0001_a_x0001_r_x0001_m_x0001_ _x0001_l_x0001_a_x0001_t_x0001_c_x0001_h_x0001_e_x0001_d_x0001__x0001__x0001_</t>
  </si>
  <si>
    <t>P_x0001_R_x0001_O_x0001_D_x0001_U_x0001_C_x0001_E_x0001_R_x0001_ _x0001_C_x0001_O_x0001_M_x0001_M_x0001_ _x0001_F_x0001_A_x0001_I_x0001_L_x0001_ _x0001_A_x0001_l_x0001_a_x0001_r_x0001_m_x0001_ _x0001_L_x0001_a_x0001_t_x0001_c_x0001_h_x0001_e_x0001_d_x0001__x0001__x0001_</t>
  </si>
  <si>
    <t>F_x0001_Q_x0001_I_x0001_-_x0001_1_x0001_0_x0001_0_x0001_ _x0001_C_x0001_o_x0001_m_x0001_m_x0001_ _x0001_F_x0001_a_x0001_i_x0001_l_x0001_ _x0001_A_x0001_l_x0001_a_x0001_r_x0001_m_x0001_ _x0001_L_x0001_a_x0001_t_x0001_c_x0001_h_x0001_e_x0001_d_x0001__x0001__x0001_</t>
  </si>
  <si>
    <t>F_x0001_Q_x0001_I_x0001_-_x0001_2_x0001_0_x0001_0_x0001_ _x0001_C_x0001_o_x0001_m_x0001_m_x0001_ _x0001_F_x0001_a_x0001_i_x0001_l_x0001_ _x0001_A_x0001_l_x0001_a_x0001_r_x0001_m_x0001_ _x0001_L_x0001_a_x0001_t_x0001_c_x0001_h_x0001_e_x0001_d_x0001__x0001__x0001_</t>
  </si>
  <si>
    <t>F_x0001_Q_x0001_I_x0001_-_x0001_3_x0001_0_x0001_3_x0001_ _x0001_C_x0001_3_x0001_+_x0001_ _x0001_C_x0001_O_x0001_M_x0001_M_x0001_S_x0001_ _x0001_A_x0001_l_x0001_a_x0001_r_x0001_m_x0001_ _x0001_L_x0001_a_x0001_t_x0001_c_x0001_h_x0001_e_x0001_d_x0001__x0001__x0001_</t>
  </si>
  <si>
    <t>F_x0001_Q_x0001_I_x0001_-_x0001_3_x0001_0_x0001_3_x0001_ _x0001_C_x0001_o_x0001_m_x0001_m_x0001_s_x0001_ _x0001_F_x0001_a_x0001_u_x0001_l_x0001_t_x0001_ _x0001_A_x0001_l_x0001_a_x0001_r_x0001_m_x0001_ _x0001_L_x0001_a_x0001_t_x0001_c_x0001_h_x0001__x0001__x0001_</t>
  </si>
  <si>
    <t>B_x0001_S_x0001_W_x0001_-_x0001_2_x0001_0_x0001_0_x0001_ _x0001_C_x0001_o_x0001_m_x0001_m_x0001_s_x0001_ _x0001_F_x0001_a_x0001_i_x0001_l_x0001_ _x0001_A_x0001_l_x0001_a_x0001_r_x0001_m_x0001_ _x0001_L_x0001_a_x0001_t_x0001_c_x0001_h_x0001_e_x0001_d_x0001__x0001__x0001_</t>
  </si>
  <si>
    <t>B_x0001_S_x0001_W_x0001_-_x0001_3_x0001_0_x0001_0_x0001_ _x0001_C_x0001_o_x0001_m_x0001_m_x0001_s_x0001_ _x0001_F_x0001_a_x0001_i_x0001_l_x0001_ _x0001_A_x0001_l_x0001_a_x0001_r_x0001_m_x0001_ _x0001_L_x0001_a_x0001_t_x0001_c_x0001_h_x0001_e_x0001_d_x0001__x0001__x0001_</t>
  </si>
  <si>
    <t>date_and_time#2017-2-7-15:24:12</t>
  </si>
  <si>
    <t>0.0.204</t>
  </si>
  <si>
    <t>date_and_time#2017-2-8-11:47:17</t>
  </si>
  <si>
    <t>HMI Alarm Word Array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</si>
</sst>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/>
    <xf numFmtId="0" fontId="1" fillId="2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58"/>
  <sheetViews>
    <sheetView workbookViewId="0">
      <selection activeCell="B3" sqref="B3"/>
    </sheetView>
  </sheetViews>
  <sheetFormatPr defaultRowHeight="15" x14ac:dyDescent="0.25"/>
  <cols>
    <col min="1" max="1" width="44.7109375" bestFit="1" customWidth="1"/>
    <col min="2" max="2" width="89.7109375" bestFit="1" customWidth="1"/>
    <col min="3" max="3" width="87.42578125" bestFit="1" customWidth="1"/>
  </cols>
  <sheetData>
    <row r="1" spans="1:4" x14ac:dyDescent="0.25">
      <c r="A1" s="1"/>
      <c r="B1" s="1"/>
      <c r="C1" s="1"/>
    </row>
    <row r="2" spans="1:4" x14ac:dyDescent="0.25">
      <c r="A2" s="2" t="s">
        <v>0</v>
      </c>
      <c r="B2" s="2" t="s">
        <v>8</v>
      </c>
      <c r="C2" s="2" t="s">
        <v>353</v>
      </c>
    </row>
    <row r="3" spans="1:4" x14ac:dyDescent="0.25">
      <c r="A3" s="1">
        <v>1</v>
      </c>
      <c r="B3" s="1"/>
      <c r="C3" s="1" t="s">
        <v>354</v>
      </c>
      <c r="D3" t="str">
        <f>IFERROR(VLOOKUP(B3,'Message Lookup'!A:G,7,FALSE),"")</f>
        <v/>
      </c>
    </row>
    <row r="4" spans="1:4" x14ac:dyDescent="0.25">
      <c r="A4" s="1">
        <v>1</v>
      </c>
      <c r="B4" s="1"/>
      <c r="C4" s="1" t="s">
        <v>355</v>
      </c>
      <c r="D4" s="3" t="str">
        <f>IFERROR(VLOOKUP(B4,'Message Lookup'!A:G,7,FALSE),"")</f>
        <v/>
      </c>
    </row>
    <row r="5" spans="1:4" x14ac:dyDescent="0.25">
      <c r="A5" s="1">
        <v>1</v>
      </c>
      <c r="B5" s="1" t="s">
        <v>10</v>
      </c>
      <c r="C5" s="1" t="s">
        <v>356</v>
      </c>
      <c r="D5" s="3" t="str">
        <f>IFERROR(VLOOKUP(B5,'Message Lookup'!A:G,7,FALSE),"")</f>
        <v/>
      </c>
    </row>
    <row r="6" spans="1:4" x14ac:dyDescent="0.25">
      <c r="A6" s="1">
        <v>1</v>
      </c>
      <c r="B6" s="1" t="s">
        <v>11</v>
      </c>
      <c r="C6" s="1" t="s">
        <v>357</v>
      </c>
      <c r="D6" s="3" t="str">
        <f>IFERROR(VLOOKUP(B6,'Message Lookup'!A:G,7,FALSE),"")</f>
        <v/>
      </c>
    </row>
    <row r="7" spans="1:4" x14ac:dyDescent="0.25">
      <c r="A7" s="1">
        <v>1</v>
      </c>
      <c r="B7" s="1" t="s">
        <v>12</v>
      </c>
      <c r="C7" s="1" t="s">
        <v>358</v>
      </c>
      <c r="D7" s="3" t="str">
        <f>IFERROR(VLOOKUP(B7,'Message Lookup'!A:G,7,FALSE),"")</f>
        <v/>
      </c>
    </row>
    <row r="8" spans="1:4" x14ac:dyDescent="0.25">
      <c r="A8" s="1">
        <v>1</v>
      </c>
      <c r="B8" s="1" t="s">
        <v>13</v>
      </c>
      <c r="C8" s="1" t="s">
        <v>359</v>
      </c>
      <c r="D8" s="3" t="str">
        <f>IFERROR(VLOOKUP(B8,'Message Lookup'!A:G,7,FALSE),"")</f>
        <v/>
      </c>
    </row>
    <row r="9" spans="1:4" x14ac:dyDescent="0.25">
      <c r="A9" s="1">
        <v>1</v>
      </c>
      <c r="B9" s="1" t="s">
        <v>14</v>
      </c>
      <c r="C9" s="1" t="s">
        <v>360</v>
      </c>
      <c r="D9" s="3" t="str">
        <f>IFERROR(VLOOKUP(B9,'Message Lookup'!A:G,7,FALSE),"")</f>
        <v/>
      </c>
    </row>
    <row r="10" spans="1:4" x14ac:dyDescent="0.25">
      <c r="A10" s="1">
        <v>1</v>
      </c>
      <c r="B10" s="1" t="s">
        <v>15</v>
      </c>
      <c r="C10" s="1" t="s">
        <v>361</v>
      </c>
      <c r="D10" s="3" t="str">
        <f>IFERROR(VLOOKUP(B10,'Message Lookup'!A:G,7,FALSE),"")</f>
        <v/>
      </c>
    </row>
    <row r="11" spans="1:4" x14ac:dyDescent="0.25">
      <c r="A11" s="1">
        <v>1</v>
      </c>
      <c r="B11" s="1" t="s">
        <v>16</v>
      </c>
      <c r="C11" s="1" t="s">
        <v>362</v>
      </c>
      <c r="D11" s="3" t="str">
        <f>IFERROR(VLOOKUP(B11,'Message Lookup'!A:G,7,FALSE),"")</f>
        <v/>
      </c>
    </row>
    <row r="12" spans="1:4" x14ac:dyDescent="0.25">
      <c r="A12" s="1">
        <v>1</v>
      </c>
      <c r="B12" s="1" t="s">
        <v>17</v>
      </c>
      <c r="C12" s="1" t="s">
        <v>363</v>
      </c>
      <c r="D12" s="3" t="str">
        <f>IFERROR(VLOOKUP(B12,'Message Lookup'!A:G,7,FALSE),"")</f>
        <v/>
      </c>
    </row>
    <row r="13" spans="1:4" x14ac:dyDescent="0.25">
      <c r="A13" s="1">
        <v>1</v>
      </c>
      <c r="B13" s="1" t="s">
        <v>18</v>
      </c>
      <c r="C13" s="1" t="s">
        <v>364</v>
      </c>
      <c r="D13" s="3" t="str">
        <f>IFERROR(VLOOKUP(B13,'Message Lookup'!A:G,7,FALSE),"")</f>
        <v/>
      </c>
    </row>
    <row r="14" spans="1:4" x14ac:dyDescent="0.25">
      <c r="A14" s="1">
        <v>1</v>
      </c>
      <c r="B14" s="1" t="s">
        <v>19</v>
      </c>
      <c r="C14" s="1" t="s">
        <v>365</v>
      </c>
      <c r="D14" s="3" t="str">
        <f>IFERROR(VLOOKUP(B14,'Message Lookup'!A:G,7,FALSE),"")</f>
        <v/>
      </c>
    </row>
    <row r="15" spans="1:4" x14ac:dyDescent="0.25">
      <c r="A15" s="1">
        <v>1</v>
      </c>
      <c r="B15" s="1" t="s">
        <v>20</v>
      </c>
      <c r="C15" s="1" t="s">
        <v>366</v>
      </c>
      <c r="D15" s="3" t="str">
        <f>IFERROR(VLOOKUP(B15,'Message Lookup'!A:G,7,FALSE),"")</f>
        <v/>
      </c>
    </row>
    <row r="16" spans="1:4" x14ac:dyDescent="0.25">
      <c r="A16" s="1">
        <v>1</v>
      </c>
      <c r="B16" s="1" t="s">
        <v>21</v>
      </c>
      <c r="C16" s="1" t="s">
        <v>367</v>
      </c>
      <c r="D16" s="3" t="str">
        <f>IFERROR(VLOOKUP(B16,'Message Lookup'!A:G,7,FALSE),"")</f>
        <v/>
      </c>
    </row>
    <row r="17" spans="1:4" x14ac:dyDescent="0.25">
      <c r="A17" s="1">
        <v>1</v>
      </c>
      <c r="B17" s="1" t="s">
        <v>22</v>
      </c>
      <c r="C17" s="1" t="s">
        <v>368</v>
      </c>
      <c r="D17" s="3" t="str">
        <f>IFERROR(VLOOKUP(B17,'Message Lookup'!A:G,7,FALSE),"")</f>
        <v/>
      </c>
    </row>
    <row r="18" spans="1:4" x14ac:dyDescent="0.25">
      <c r="A18" s="1">
        <v>1</v>
      </c>
      <c r="B18" s="1" t="s">
        <v>23</v>
      </c>
      <c r="C18" s="1" t="s">
        <v>369</v>
      </c>
      <c r="D18" s="3" t="str">
        <f>IFERROR(VLOOKUP(B18,'Message Lookup'!A:G,7,FALSE),"")</f>
        <v/>
      </c>
    </row>
    <row r="19" spans="1:4" x14ac:dyDescent="0.25">
      <c r="A19" s="1">
        <v>1</v>
      </c>
      <c r="B19" s="1" t="s">
        <v>24</v>
      </c>
      <c r="C19" s="1" t="s">
        <v>370</v>
      </c>
      <c r="D19" s="3" t="str">
        <f>IFERROR(VLOOKUP(B19,'Message Lookup'!A:G,7,FALSE),"")</f>
        <v/>
      </c>
    </row>
    <row r="20" spans="1:4" x14ac:dyDescent="0.25">
      <c r="A20" s="1">
        <v>1</v>
      </c>
      <c r="B20" s="1"/>
      <c r="C20" s="1"/>
      <c r="D20" s="3" t="str">
        <f>IFERROR(VLOOKUP(B20,'Message Lookup'!A:G,7,FALSE),"")</f>
        <v/>
      </c>
    </row>
    <row r="21" spans="1:4" x14ac:dyDescent="0.25">
      <c r="A21" s="1">
        <v>1</v>
      </c>
      <c r="B21" s="1"/>
      <c r="C21" s="1"/>
      <c r="D21" s="3" t="str">
        <f>IFERROR(VLOOKUP(B21,'Message Lookup'!A:G,7,FALSE),"")</f>
        <v/>
      </c>
    </row>
    <row r="22" spans="1:4" x14ac:dyDescent="0.25">
      <c r="A22" s="1">
        <v>2</v>
      </c>
      <c r="B22" s="1"/>
      <c r="C22" s="1" t="s">
        <v>354</v>
      </c>
      <c r="D22" s="3" t="str">
        <f>IFERROR(VLOOKUP(B22,'Message Lookup'!A:G,7,FALSE),"")</f>
        <v/>
      </c>
    </row>
    <row r="23" spans="1:4" x14ac:dyDescent="0.25">
      <c r="A23" s="1">
        <v>2</v>
      </c>
      <c r="B23" s="1" t="s">
        <v>25</v>
      </c>
      <c r="C23" s="1" t="s">
        <v>355</v>
      </c>
      <c r="D23" s="3" t="str">
        <f>IFERROR(VLOOKUP(B23,'Message Lookup'!A:G,7,FALSE),"")</f>
        <v/>
      </c>
    </row>
    <row r="24" spans="1:4" x14ac:dyDescent="0.25">
      <c r="A24" s="1">
        <v>2</v>
      </c>
      <c r="B24" s="1" t="s">
        <v>26</v>
      </c>
      <c r="C24" s="1" t="s">
        <v>356</v>
      </c>
      <c r="D24" s="3" t="str">
        <f>IFERROR(VLOOKUP(B24,'Message Lookup'!A:G,7,FALSE),"")</f>
        <v/>
      </c>
    </row>
    <row r="25" spans="1:4" x14ac:dyDescent="0.25">
      <c r="A25" s="1">
        <v>2</v>
      </c>
      <c r="B25" s="1" t="s">
        <v>27</v>
      </c>
      <c r="C25" s="1" t="s">
        <v>357</v>
      </c>
      <c r="D25" s="3" t="str">
        <f>IFERROR(VLOOKUP(B25,'Message Lookup'!A:G,7,FALSE),"")</f>
        <v/>
      </c>
    </row>
    <row r="26" spans="1:4" x14ac:dyDescent="0.25">
      <c r="A26" s="1">
        <v>2</v>
      </c>
      <c r="B26" s="1" t="s">
        <v>28</v>
      </c>
      <c r="C26" s="1" t="s">
        <v>358</v>
      </c>
      <c r="D26" s="3" t="str">
        <f>IFERROR(VLOOKUP(B26,'Message Lookup'!A:G,7,FALSE),"")</f>
        <v/>
      </c>
    </row>
    <row r="27" spans="1:4" x14ac:dyDescent="0.25">
      <c r="A27" s="1">
        <v>2</v>
      </c>
      <c r="B27" s="1" t="s">
        <v>29</v>
      </c>
      <c r="C27" s="1" t="s">
        <v>359</v>
      </c>
      <c r="D27" s="3" t="str">
        <f>IFERROR(VLOOKUP(B27,'Message Lookup'!A:G,7,FALSE),"")</f>
        <v/>
      </c>
    </row>
    <row r="28" spans="1:4" x14ac:dyDescent="0.25">
      <c r="A28" s="1">
        <v>2</v>
      </c>
      <c r="B28" s="1" t="s">
        <v>30</v>
      </c>
      <c r="C28" s="1" t="s">
        <v>360</v>
      </c>
      <c r="D28" s="3" t="str">
        <f>IFERROR(VLOOKUP(B28,'Message Lookup'!A:G,7,FALSE),"")</f>
        <v/>
      </c>
    </row>
    <row r="29" spans="1:4" x14ac:dyDescent="0.25">
      <c r="A29" s="1">
        <v>2</v>
      </c>
      <c r="B29" s="1" t="s">
        <v>31</v>
      </c>
      <c r="C29" s="1" t="s">
        <v>361</v>
      </c>
      <c r="D29" s="3" t="str">
        <f>IFERROR(VLOOKUP(B29,'Message Lookup'!A:G,7,FALSE),"")</f>
        <v/>
      </c>
    </row>
    <row r="30" spans="1:4" x14ac:dyDescent="0.25">
      <c r="A30" s="1">
        <v>2</v>
      </c>
      <c r="B30" s="1" t="s">
        <v>32</v>
      </c>
      <c r="C30" s="1" t="s">
        <v>362</v>
      </c>
      <c r="D30" s="3" t="str">
        <f>IFERROR(VLOOKUP(B30,'Message Lookup'!A:G,7,FALSE),"")</f>
        <v/>
      </c>
    </row>
    <row r="31" spans="1:4" x14ac:dyDescent="0.25">
      <c r="A31" s="1">
        <v>2</v>
      </c>
      <c r="B31" s="1" t="s">
        <v>33</v>
      </c>
      <c r="C31" s="1" t="s">
        <v>363</v>
      </c>
      <c r="D31" s="3" t="str">
        <f>IFERROR(VLOOKUP(B31,'Message Lookup'!A:G,7,FALSE),"")</f>
        <v/>
      </c>
    </row>
    <row r="32" spans="1:4" x14ac:dyDescent="0.25">
      <c r="A32" s="1">
        <v>2</v>
      </c>
      <c r="B32" s="1" t="s">
        <v>34</v>
      </c>
      <c r="C32" s="1" t="s">
        <v>364</v>
      </c>
      <c r="D32" s="3" t="str">
        <f>IFERROR(VLOOKUP(B32,'Message Lookup'!A:G,7,FALSE),"")</f>
        <v/>
      </c>
    </row>
    <row r="33" spans="1:4" x14ac:dyDescent="0.25">
      <c r="A33" s="1">
        <v>2</v>
      </c>
      <c r="B33" s="1" t="s">
        <v>35</v>
      </c>
      <c r="C33" s="1" t="s">
        <v>365</v>
      </c>
      <c r="D33" s="3" t="str">
        <f>IFERROR(VLOOKUP(B33,'Message Lookup'!A:G,7,FALSE),"")</f>
        <v/>
      </c>
    </row>
    <row r="34" spans="1:4" x14ac:dyDescent="0.25">
      <c r="A34" s="1">
        <v>2</v>
      </c>
      <c r="B34" s="1" t="s">
        <v>36</v>
      </c>
      <c r="C34" s="1" t="s">
        <v>366</v>
      </c>
      <c r="D34" s="3" t="str">
        <f>IFERROR(VLOOKUP(B34,'Message Lookup'!A:G,7,FALSE),"")</f>
        <v/>
      </c>
    </row>
    <row r="35" spans="1:4" x14ac:dyDescent="0.25">
      <c r="A35" s="1">
        <v>2</v>
      </c>
      <c r="B35" s="1" t="s">
        <v>37</v>
      </c>
      <c r="C35" s="1" t="s">
        <v>367</v>
      </c>
      <c r="D35" s="3" t="str">
        <f>IFERROR(VLOOKUP(B35,'Message Lookup'!A:G,7,FALSE),"")</f>
        <v/>
      </c>
    </row>
    <row r="36" spans="1:4" x14ac:dyDescent="0.25">
      <c r="A36" s="1">
        <v>2</v>
      </c>
      <c r="B36" s="1" t="s">
        <v>38</v>
      </c>
      <c r="C36" s="1" t="s">
        <v>368</v>
      </c>
      <c r="D36" s="3" t="str">
        <f>IFERROR(VLOOKUP(B36,'Message Lookup'!A:G,7,FALSE),"")</f>
        <v/>
      </c>
    </row>
    <row r="37" spans="1:4" x14ac:dyDescent="0.25">
      <c r="A37" s="1">
        <v>2</v>
      </c>
      <c r="B37" s="1" t="s">
        <v>39</v>
      </c>
      <c r="C37" s="1" t="s">
        <v>369</v>
      </c>
      <c r="D37" s="3" t="str">
        <f>IFERROR(VLOOKUP(B37,'Message Lookup'!A:G,7,FALSE),"")</f>
        <v/>
      </c>
    </row>
    <row r="38" spans="1:4" x14ac:dyDescent="0.25">
      <c r="A38" s="1">
        <v>2</v>
      </c>
      <c r="B38" s="1" t="s">
        <v>40</v>
      </c>
      <c r="C38" s="1" t="s">
        <v>370</v>
      </c>
      <c r="D38" s="3" t="str">
        <f>IFERROR(VLOOKUP(B38,'Message Lookup'!A:G,7,FALSE),"")</f>
        <v/>
      </c>
    </row>
    <row r="39" spans="1:4" x14ac:dyDescent="0.25">
      <c r="A39" s="1">
        <v>2</v>
      </c>
      <c r="B39" s="1"/>
      <c r="C39" s="1"/>
      <c r="D39" s="3" t="str">
        <f>IFERROR(VLOOKUP(B39,'Message Lookup'!A:G,7,FALSE),"")</f>
        <v/>
      </c>
    </row>
    <row r="40" spans="1:4" x14ac:dyDescent="0.25">
      <c r="A40" s="1">
        <v>2</v>
      </c>
      <c r="B40" s="1"/>
      <c r="C40" s="1"/>
      <c r="D40" s="3" t="str">
        <f>IFERROR(VLOOKUP(B40,'Message Lookup'!A:G,7,FALSE),"")</f>
        <v/>
      </c>
    </row>
    <row r="41" spans="1:4" x14ac:dyDescent="0.25">
      <c r="A41" s="1">
        <v>3</v>
      </c>
      <c r="B41" s="1"/>
      <c r="C41" s="1" t="s">
        <v>354</v>
      </c>
      <c r="D41" s="3" t="str">
        <f>IFERROR(VLOOKUP(B41,'Message Lookup'!A:G,7,FALSE),"")</f>
        <v/>
      </c>
    </row>
    <row r="42" spans="1:4" x14ac:dyDescent="0.25">
      <c r="A42" s="1">
        <v>3</v>
      </c>
      <c r="B42" s="1" t="s">
        <v>41</v>
      </c>
      <c r="C42" s="1" t="s">
        <v>355</v>
      </c>
      <c r="D42" s="3" t="str">
        <f>IFERROR(VLOOKUP(B42,'Message Lookup'!A:G,7,FALSE),"")</f>
        <v/>
      </c>
    </row>
    <row r="43" spans="1:4" x14ac:dyDescent="0.25">
      <c r="A43" s="1">
        <v>3</v>
      </c>
      <c r="B43" s="1" t="s">
        <v>42</v>
      </c>
      <c r="C43" s="1" t="s">
        <v>356</v>
      </c>
      <c r="D43" s="3" t="str">
        <f>IFERROR(VLOOKUP(B43,'Message Lookup'!A:G,7,FALSE),"")</f>
        <v/>
      </c>
    </row>
    <row r="44" spans="1:4" x14ac:dyDescent="0.25">
      <c r="A44" s="1">
        <v>3</v>
      </c>
      <c r="B44" s="1" t="s">
        <v>43</v>
      </c>
      <c r="C44" s="1" t="s">
        <v>357</v>
      </c>
      <c r="D44" s="3" t="str">
        <f>IFERROR(VLOOKUP(B44,'Message Lookup'!A:G,7,FALSE),"")</f>
        <v/>
      </c>
    </row>
    <row r="45" spans="1:4" x14ac:dyDescent="0.25">
      <c r="A45" s="1">
        <v>3</v>
      </c>
      <c r="B45" s="1" t="s">
        <v>44</v>
      </c>
      <c r="C45" s="1" t="s">
        <v>358</v>
      </c>
      <c r="D45" s="3" t="str">
        <f>IFERROR(VLOOKUP(B45,'Message Lookup'!A:G,7,FALSE),"")</f>
        <v/>
      </c>
    </row>
    <row r="46" spans="1:4" x14ac:dyDescent="0.25">
      <c r="A46" s="1">
        <v>3</v>
      </c>
      <c r="B46" s="1" t="s">
        <v>45</v>
      </c>
      <c r="C46" s="1" t="s">
        <v>359</v>
      </c>
      <c r="D46" s="3" t="str">
        <f>IFERROR(VLOOKUP(B46,'Message Lookup'!A:G,7,FALSE),"")</f>
        <v/>
      </c>
    </row>
    <row r="47" spans="1:4" x14ac:dyDescent="0.25">
      <c r="A47" s="1">
        <v>3</v>
      </c>
      <c r="B47" s="1" t="s">
        <v>46</v>
      </c>
      <c r="C47" s="1" t="s">
        <v>360</v>
      </c>
      <c r="D47" s="3" t="str">
        <f>IFERROR(VLOOKUP(B47,'Message Lookup'!A:G,7,FALSE),"")</f>
        <v/>
      </c>
    </row>
    <row r="48" spans="1:4" x14ac:dyDescent="0.25">
      <c r="A48" s="1">
        <v>3</v>
      </c>
      <c r="B48" s="1" t="s">
        <v>47</v>
      </c>
      <c r="C48" s="1" t="s">
        <v>361</v>
      </c>
      <c r="D48" s="3" t="str">
        <f>IFERROR(VLOOKUP(B48,'Message Lookup'!A:G,7,FALSE),"")</f>
        <v/>
      </c>
    </row>
    <row r="49" spans="1:4" x14ac:dyDescent="0.25">
      <c r="A49" s="1">
        <v>3</v>
      </c>
      <c r="B49" s="1" t="s">
        <v>48</v>
      </c>
      <c r="C49" s="1" t="s">
        <v>362</v>
      </c>
      <c r="D49" s="3" t="str">
        <f>IFERROR(VLOOKUP(B49,'Message Lookup'!A:G,7,FALSE),"")</f>
        <v/>
      </c>
    </row>
    <row r="50" spans="1:4" x14ac:dyDescent="0.25">
      <c r="A50" s="1">
        <v>3</v>
      </c>
      <c r="B50" s="1" t="s">
        <v>49</v>
      </c>
      <c r="C50" s="1" t="s">
        <v>363</v>
      </c>
      <c r="D50" s="3" t="str">
        <f>IFERROR(VLOOKUP(B50,'Message Lookup'!A:G,7,FALSE),"")</f>
        <v/>
      </c>
    </row>
    <row r="51" spans="1:4" x14ac:dyDescent="0.25">
      <c r="A51" s="1">
        <v>3</v>
      </c>
      <c r="B51" s="1" t="s">
        <v>50</v>
      </c>
      <c r="C51" s="1" t="s">
        <v>364</v>
      </c>
      <c r="D51" s="3" t="str">
        <f>IFERROR(VLOOKUP(B51,'Message Lookup'!A:G,7,FALSE),"")</f>
        <v/>
      </c>
    </row>
    <row r="52" spans="1:4" x14ac:dyDescent="0.25">
      <c r="A52" s="1">
        <v>3</v>
      </c>
      <c r="B52" s="1" t="s">
        <v>51</v>
      </c>
      <c r="C52" s="1" t="s">
        <v>365</v>
      </c>
      <c r="D52" s="3" t="str">
        <f>IFERROR(VLOOKUP(B52,'Message Lookup'!A:G,7,FALSE),"")</f>
        <v/>
      </c>
    </row>
    <row r="53" spans="1:4" x14ac:dyDescent="0.25">
      <c r="A53" s="1">
        <v>3</v>
      </c>
      <c r="B53" s="1" t="s">
        <v>52</v>
      </c>
      <c r="C53" s="1" t="s">
        <v>366</v>
      </c>
      <c r="D53" s="3" t="str">
        <f>IFERROR(VLOOKUP(B53,'Message Lookup'!A:G,7,FALSE),"")</f>
        <v/>
      </c>
    </row>
    <row r="54" spans="1:4" x14ac:dyDescent="0.25">
      <c r="A54" s="1">
        <v>3</v>
      </c>
      <c r="B54" s="1" t="s">
        <v>53</v>
      </c>
      <c r="C54" s="1" t="s">
        <v>367</v>
      </c>
      <c r="D54" s="3" t="str">
        <f>IFERROR(VLOOKUP(B54,'Message Lookup'!A:G,7,FALSE),"")</f>
        <v/>
      </c>
    </row>
    <row r="55" spans="1:4" x14ac:dyDescent="0.25">
      <c r="A55" s="1">
        <v>3</v>
      </c>
      <c r="B55" s="1" t="s">
        <v>54</v>
      </c>
      <c r="C55" s="1" t="s">
        <v>368</v>
      </c>
      <c r="D55" s="3" t="str">
        <f>IFERROR(VLOOKUP(B55,'Message Lookup'!A:G,7,FALSE),"")</f>
        <v/>
      </c>
    </row>
    <row r="56" spans="1:4" x14ac:dyDescent="0.25">
      <c r="A56" s="1">
        <v>3</v>
      </c>
      <c r="B56" s="1" t="s">
        <v>55</v>
      </c>
      <c r="C56" s="1" t="s">
        <v>369</v>
      </c>
      <c r="D56" s="3" t="str">
        <f>IFERROR(VLOOKUP(B56,'Message Lookup'!A:G,7,FALSE),"")</f>
        <v/>
      </c>
    </row>
    <row r="57" spans="1:4" x14ac:dyDescent="0.25">
      <c r="A57" s="1">
        <v>3</v>
      </c>
      <c r="B57" s="1" t="s">
        <v>56</v>
      </c>
      <c r="C57" s="1" t="s">
        <v>370</v>
      </c>
      <c r="D57" s="3" t="str">
        <f>IFERROR(VLOOKUP(B57,'Message Lookup'!A:G,7,FALSE),"")</f>
        <v/>
      </c>
    </row>
    <row r="58" spans="1:4" x14ac:dyDescent="0.25">
      <c r="A58" s="1">
        <v>3</v>
      </c>
      <c r="B58" s="1"/>
      <c r="C58" s="1"/>
      <c r="D58" s="3" t="str">
        <f>IFERROR(VLOOKUP(B58,'Message Lookup'!A:G,7,FALSE),"")</f>
        <v/>
      </c>
    </row>
    <row r="59" spans="1:4" x14ac:dyDescent="0.25">
      <c r="A59" s="1">
        <v>3</v>
      </c>
      <c r="B59" s="1"/>
      <c r="C59" s="1"/>
      <c r="D59" s="3" t="str">
        <f>IFERROR(VLOOKUP(B59,'Message Lookup'!A:G,7,FALSE),"")</f>
        <v/>
      </c>
    </row>
    <row r="60" spans="1:4" x14ac:dyDescent="0.25">
      <c r="A60" s="1">
        <v>4</v>
      </c>
      <c r="B60" s="1"/>
      <c r="C60" s="1" t="s">
        <v>354</v>
      </c>
      <c r="D60" s="3" t="str">
        <f>IFERROR(VLOOKUP(B60,'Message Lookup'!A:G,7,FALSE),"")</f>
        <v/>
      </c>
    </row>
    <row r="61" spans="1:4" x14ac:dyDescent="0.25">
      <c r="A61" s="1">
        <v>4</v>
      </c>
      <c r="B61" s="1" t="s">
        <v>57</v>
      </c>
      <c r="C61" s="1" t="s">
        <v>355</v>
      </c>
      <c r="D61" s="3" t="str">
        <f>IFERROR(VLOOKUP(B61,'Message Lookup'!A:G,7,FALSE),"")</f>
        <v/>
      </c>
    </row>
    <row r="62" spans="1:4" x14ac:dyDescent="0.25">
      <c r="A62" s="1">
        <v>4</v>
      </c>
      <c r="B62" s="1" t="s">
        <v>58</v>
      </c>
      <c r="C62" s="1" t="s">
        <v>356</v>
      </c>
      <c r="D62" s="3" t="str">
        <f>IFERROR(VLOOKUP(B62,'Message Lookup'!A:G,7,FALSE),"")</f>
        <v/>
      </c>
    </row>
    <row r="63" spans="1:4" x14ac:dyDescent="0.25">
      <c r="A63" s="1">
        <v>4</v>
      </c>
      <c r="B63" s="1" t="s">
        <v>59</v>
      </c>
      <c r="C63" s="1" t="s">
        <v>357</v>
      </c>
      <c r="D63" s="3" t="str">
        <f>IFERROR(VLOOKUP(B63,'Message Lookup'!A:G,7,FALSE),"")</f>
        <v/>
      </c>
    </row>
    <row r="64" spans="1:4" x14ac:dyDescent="0.25">
      <c r="A64" s="1">
        <v>4</v>
      </c>
      <c r="B64" s="1" t="s">
        <v>60</v>
      </c>
      <c r="C64" s="1" t="s">
        <v>358</v>
      </c>
      <c r="D64" s="3" t="str">
        <f>IFERROR(VLOOKUP(B64,'Message Lookup'!A:G,7,FALSE),"")</f>
        <v/>
      </c>
    </row>
    <row r="65" spans="1:4" x14ac:dyDescent="0.25">
      <c r="A65" s="1">
        <v>4</v>
      </c>
      <c r="B65" s="1" t="s">
        <v>61</v>
      </c>
      <c r="C65" s="1" t="s">
        <v>359</v>
      </c>
      <c r="D65" s="3" t="str">
        <f>IFERROR(VLOOKUP(B65,'Message Lookup'!A:G,7,FALSE),"")</f>
        <v/>
      </c>
    </row>
    <row r="66" spans="1:4" x14ac:dyDescent="0.25">
      <c r="A66" s="1">
        <v>4</v>
      </c>
      <c r="B66" s="1" t="s">
        <v>62</v>
      </c>
      <c r="C66" s="1" t="s">
        <v>360</v>
      </c>
      <c r="D66" s="3" t="str">
        <f>IFERROR(VLOOKUP(B66,'Message Lookup'!A:G,7,FALSE),"")</f>
        <v/>
      </c>
    </row>
    <row r="67" spans="1:4" x14ac:dyDescent="0.25">
      <c r="A67" s="1">
        <v>4</v>
      </c>
      <c r="B67" s="1" t="s">
        <v>63</v>
      </c>
      <c r="C67" s="1" t="s">
        <v>361</v>
      </c>
      <c r="D67" s="3" t="str">
        <f>IFERROR(VLOOKUP(B67,'Message Lookup'!A:G,7,FALSE),"")</f>
        <v/>
      </c>
    </row>
    <row r="68" spans="1:4" x14ac:dyDescent="0.25">
      <c r="A68" s="1">
        <v>4</v>
      </c>
      <c r="B68" s="1" t="s">
        <v>64</v>
      </c>
      <c r="C68" s="1" t="s">
        <v>362</v>
      </c>
      <c r="D68" s="3" t="str">
        <f>IFERROR(VLOOKUP(B68,'Message Lookup'!A:G,7,FALSE),"")</f>
        <v/>
      </c>
    </row>
    <row r="69" spans="1:4" x14ac:dyDescent="0.25">
      <c r="A69" s="1">
        <v>4</v>
      </c>
      <c r="B69" s="1" t="s">
        <v>65</v>
      </c>
      <c r="C69" s="1" t="s">
        <v>363</v>
      </c>
      <c r="D69" s="3" t="str">
        <f>IFERROR(VLOOKUP(B69,'Message Lookup'!A:G,7,FALSE),"")</f>
        <v/>
      </c>
    </row>
    <row r="70" spans="1:4" x14ac:dyDescent="0.25">
      <c r="A70" s="1">
        <v>4</v>
      </c>
      <c r="B70" s="1" t="s">
        <v>66</v>
      </c>
      <c r="C70" s="1" t="s">
        <v>364</v>
      </c>
      <c r="D70" s="3" t="str">
        <f>IFERROR(VLOOKUP(B70,'Message Lookup'!A:G,7,FALSE),"")</f>
        <v/>
      </c>
    </row>
    <row r="71" spans="1:4" x14ac:dyDescent="0.25">
      <c r="A71" s="1">
        <v>4</v>
      </c>
      <c r="B71" s="1" t="s">
        <v>67</v>
      </c>
      <c r="C71" s="1" t="s">
        <v>365</v>
      </c>
      <c r="D71" s="3" t="str">
        <f>IFERROR(VLOOKUP(B71,'Message Lookup'!A:G,7,FALSE),"")</f>
        <v/>
      </c>
    </row>
    <row r="72" spans="1:4" x14ac:dyDescent="0.25">
      <c r="A72" s="1">
        <v>4</v>
      </c>
      <c r="B72" s="1" t="s">
        <v>68</v>
      </c>
      <c r="C72" s="1" t="s">
        <v>366</v>
      </c>
      <c r="D72" s="3" t="str">
        <f>IFERROR(VLOOKUP(B72,'Message Lookup'!A:G,7,FALSE),"")</f>
        <v/>
      </c>
    </row>
    <row r="73" spans="1:4" x14ac:dyDescent="0.25">
      <c r="A73" s="1">
        <v>4</v>
      </c>
      <c r="B73" s="1" t="s">
        <v>69</v>
      </c>
      <c r="C73" s="1" t="s">
        <v>367</v>
      </c>
      <c r="D73" s="3" t="str">
        <f>IFERROR(VLOOKUP(B73,'Message Lookup'!A:G,7,FALSE),"")</f>
        <v/>
      </c>
    </row>
    <row r="74" spans="1:4" x14ac:dyDescent="0.25">
      <c r="A74" s="1">
        <v>4</v>
      </c>
      <c r="B74" s="1" t="s">
        <v>70</v>
      </c>
      <c r="C74" s="1" t="s">
        <v>368</v>
      </c>
      <c r="D74" s="3" t="str">
        <f>IFERROR(VLOOKUP(B74,'Message Lookup'!A:G,7,FALSE),"")</f>
        <v/>
      </c>
    </row>
    <row r="75" spans="1:4" x14ac:dyDescent="0.25">
      <c r="A75" s="1">
        <v>4</v>
      </c>
      <c r="B75" s="1" t="s">
        <v>71</v>
      </c>
      <c r="C75" s="1" t="s">
        <v>369</v>
      </c>
      <c r="D75" s="3" t="str">
        <f>IFERROR(VLOOKUP(B75,'Message Lookup'!A:G,7,FALSE),"")</f>
        <v/>
      </c>
    </row>
    <row r="76" spans="1:4" x14ac:dyDescent="0.25">
      <c r="A76" s="1">
        <v>4</v>
      </c>
      <c r="B76" s="1" t="s">
        <v>72</v>
      </c>
      <c r="C76" s="1" t="s">
        <v>370</v>
      </c>
      <c r="D76" s="3" t="str">
        <f>IFERROR(VLOOKUP(B76,'Message Lookup'!A:G,7,FALSE),"")</f>
        <v/>
      </c>
    </row>
    <row r="77" spans="1:4" x14ac:dyDescent="0.25">
      <c r="A77" s="1">
        <v>4</v>
      </c>
      <c r="B77" s="1"/>
      <c r="C77" s="1"/>
      <c r="D77" s="3" t="str">
        <f>IFERROR(VLOOKUP(B77,'Message Lookup'!A:G,7,FALSE),"")</f>
        <v/>
      </c>
    </row>
    <row r="78" spans="1:4" x14ac:dyDescent="0.25">
      <c r="A78" s="1">
        <v>4</v>
      </c>
      <c r="B78" s="1"/>
      <c r="C78" s="1"/>
      <c r="D78" s="3" t="str">
        <f>IFERROR(VLOOKUP(B78,'Message Lookup'!A:G,7,FALSE),"")</f>
        <v/>
      </c>
    </row>
    <row r="79" spans="1:4" x14ac:dyDescent="0.25">
      <c r="A79" s="1">
        <v>5</v>
      </c>
      <c r="B79" s="1"/>
      <c r="C79" s="1" t="s">
        <v>354</v>
      </c>
      <c r="D79" s="3" t="str">
        <f>IFERROR(VLOOKUP(B79,'Message Lookup'!A:G,7,FALSE),"")</f>
        <v/>
      </c>
    </row>
    <row r="80" spans="1:4" x14ac:dyDescent="0.25">
      <c r="A80" s="1">
        <v>5</v>
      </c>
      <c r="B80" s="1" t="s">
        <v>57</v>
      </c>
      <c r="C80" s="1" t="s">
        <v>355</v>
      </c>
      <c r="D80" s="3" t="str">
        <f>IFERROR(VLOOKUP(B80,'Message Lookup'!A:G,7,FALSE),"")</f>
        <v/>
      </c>
    </row>
    <row r="81" spans="1:4" x14ac:dyDescent="0.25">
      <c r="A81" s="1">
        <v>5</v>
      </c>
      <c r="B81" s="1" t="s">
        <v>58</v>
      </c>
      <c r="C81" s="1" t="s">
        <v>356</v>
      </c>
      <c r="D81" s="3" t="str">
        <f>IFERROR(VLOOKUP(B81,'Message Lookup'!A:G,7,FALSE),"")</f>
        <v/>
      </c>
    </row>
    <row r="82" spans="1:4" x14ac:dyDescent="0.25">
      <c r="A82" s="1">
        <v>5</v>
      </c>
      <c r="B82" s="1" t="s">
        <v>59</v>
      </c>
      <c r="C82" s="1" t="s">
        <v>357</v>
      </c>
      <c r="D82" s="3" t="str">
        <f>IFERROR(VLOOKUP(B82,'Message Lookup'!A:G,7,FALSE),"")</f>
        <v/>
      </c>
    </row>
    <row r="83" spans="1:4" x14ac:dyDescent="0.25">
      <c r="A83" s="1">
        <v>5</v>
      </c>
      <c r="B83" s="1" t="s">
        <v>60</v>
      </c>
      <c r="C83" s="1" t="s">
        <v>358</v>
      </c>
      <c r="D83" s="3" t="str">
        <f>IFERROR(VLOOKUP(B83,'Message Lookup'!A:G,7,FALSE),"")</f>
        <v/>
      </c>
    </row>
    <row r="84" spans="1:4" x14ac:dyDescent="0.25">
      <c r="A84" s="1">
        <v>5</v>
      </c>
      <c r="B84" s="1" t="s">
        <v>61</v>
      </c>
      <c r="C84" s="1" t="s">
        <v>359</v>
      </c>
      <c r="D84" s="3" t="str">
        <f>IFERROR(VLOOKUP(B84,'Message Lookup'!A:G,7,FALSE),"")</f>
        <v/>
      </c>
    </row>
    <row r="85" spans="1:4" x14ac:dyDescent="0.25">
      <c r="A85" s="1">
        <v>5</v>
      </c>
      <c r="B85" s="1" t="s">
        <v>62</v>
      </c>
      <c r="C85" s="1" t="s">
        <v>360</v>
      </c>
      <c r="D85" s="3" t="str">
        <f>IFERROR(VLOOKUP(B85,'Message Lookup'!A:G,7,FALSE),"")</f>
        <v/>
      </c>
    </row>
    <row r="86" spans="1:4" x14ac:dyDescent="0.25">
      <c r="A86" s="1">
        <v>5</v>
      </c>
      <c r="B86" s="1" t="s">
        <v>63</v>
      </c>
      <c r="C86" s="1" t="s">
        <v>361</v>
      </c>
      <c r="D86" s="3" t="str">
        <f>IFERROR(VLOOKUP(B86,'Message Lookup'!A:G,7,FALSE),"")</f>
        <v/>
      </c>
    </row>
    <row r="87" spans="1:4" x14ac:dyDescent="0.25">
      <c r="A87" s="1">
        <v>5</v>
      </c>
      <c r="B87" s="1" t="s">
        <v>64</v>
      </c>
      <c r="C87" s="1" t="s">
        <v>362</v>
      </c>
      <c r="D87" s="3" t="str">
        <f>IFERROR(VLOOKUP(B87,'Message Lookup'!A:G,7,FALSE),"")</f>
        <v/>
      </c>
    </row>
    <row r="88" spans="1:4" x14ac:dyDescent="0.25">
      <c r="A88" s="1">
        <v>5</v>
      </c>
      <c r="B88" s="1" t="s">
        <v>65</v>
      </c>
      <c r="C88" s="1" t="s">
        <v>363</v>
      </c>
      <c r="D88" s="3" t="str">
        <f>IFERROR(VLOOKUP(B88,'Message Lookup'!A:G,7,FALSE),"")</f>
        <v/>
      </c>
    </row>
    <row r="89" spans="1:4" x14ac:dyDescent="0.25">
      <c r="A89" s="1">
        <v>5</v>
      </c>
      <c r="B89" s="1" t="s">
        <v>66</v>
      </c>
      <c r="C89" s="1" t="s">
        <v>364</v>
      </c>
      <c r="D89" s="3" t="str">
        <f>IFERROR(VLOOKUP(B89,'Message Lookup'!A:G,7,FALSE),"")</f>
        <v/>
      </c>
    </row>
    <row r="90" spans="1:4" x14ac:dyDescent="0.25">
      <c r="A90" s="1">
        <v>5</v>
      </c>
      <c r="B90" s="1" t="s">
        <v>67</v>
      </c>
      <c r="C90" s="1" t="s">
        <v>365</v>
      </c>
      <c r="D90" s="3" t="str">
        <f>IFERROR(VLOOKUP(B90,'Message Lookup'!A:G,7,FALSE),"")</f>
        <v/>
      </c>
    </row>
    <row r="91" spans="1:4" x14ac:dyDescent="0.25">
      <c r="A91" s="1">
        <v>5</v>
      </c>
      <c r="B91" s="1" t="s">
        <v>68</v>
      </c>
      <c r="C91" s="1" t="s">
        <v>366</v>
      </c>
      <c r="D91" s="3" t="str">
        <f>IFERROR(VLOOKUP(B91,'Message Lookup'!A:G,7,FALSE),"")</f>
        <v/>
      </c>
    </row>
    <row r="92" spans="1:4" x14ac:dyDescent="0.25">
      <c r="A92" s="1">
        <v>5</v>
      </c>
      <c r="B92" s="1" t="s">
        <v>69</v>
      </c>
      <c r="C92" s="1" t="s">
        <v>367</v>
      </c>
      <c r="D92" s="3" t="str">
        <f>IFERROR(VLOOKUP(B92,'Message Lookup'!A:G,7,FALSE),"")</f>
        <v/>
      </c>
    </row>
    <row r="93" spans="1:4" x14ac:dyDescent="0.25">
      <c r="A93" s="1">
        <v>5</v>
      </c>
      <c r="B93" s="1" t="s">
        <v>70</v>
      </c>
      <c r="C93" s="1" t="s">
        <v>368</v>
      </c>
      <c r="D93" s="3" t="str">
        <f>IFERROR(VLOOKUP(B93,'Message Lookup'!A:G,7,FALSE),"")</f>
        <v/>
      </c>
    </row>
    <row r="94" spans="1:4" x14ac:dyDescent="0.25">
      <c r="A94" s="1">
        <v>5</v>
      </c>
      <c r="B94" s="1" t="s">
        <v>71</v>
      </c>
      <c r="C94" s="1" t="s">
        <v>369</v>
      </c>
      <c r="D94" s="3" t="str">
        <f>IFERROR(VLOOKUP(B94,'Message Lookup'!A:G,7,FALSE),"")</f>
        <v/>
      </c>
    </row>
    <row r="95" spans="1:4" x14ac:dyDescent="0.25">
      <c r="A95" s="1">
        <v>5</v>
      </c>
      <c r="B95" s="1" t="s">
        <v>72</v>
      </c>
      <c r="C95" s="1" t="s">
        <v>370</v>
      </c>
      <c r="D95" s="3" t="str">
        <f>IFERROR(VLOOKUP(B95,'Message Lookup'!A:G,7,FALSE),"")</f>
        <v/>
      </c>
    </row>
    <row r="96" spans="1:4" x14ac:dyDescent="0.25">
      <c r="A96" s="1">
        <v>5</v>
      </c>
      <c r="B96" s="1"/>
      <c r="C96" s="1"/>
      <c r="D96" s="3" t="str">
        <f>IFERROR(VLOOKUP(B96,'Message Lookup'!A:G,7,FALSE),"")</f>
        <v/>
      </c>
    </row>
    <row r="97" spans="1:4" x14ac:dyDescent="0.25">
      <c r="A97" s="1">
        <v>5</v>
      </c>
      <c r="B97" s="1"/>
      <c r="C97" s="1"/>
      <c r="D97" s="3" t="str">
        <f>IFERROR(VLOOKUP(B97,'Message Lookup'!A:G,7,FALSE),"")</f>
        <v/>
      </c>
    </row>
    <row r="98" spans="1:4" x14ac:dyDescent="0.25">
      <c r="A98" s="1">
        <v>6</v>
      </c>
      <c r="B98" s="1"/>
      <c r="C98" s="1" t="s">
        <v>354</v>
      </c>
      <c r="D98" s="3" t="str">
        <f>IFERROR(VLOOKUP(B98,'Message Lookup'!A:G,7,FALSE),"")</f>
        <v/>
      </c>
    </row>
    <row r="99" spans="1:4" x14ac:dyDescent="0.25">
      <c r="A99" s="1">
        <v>6</v>
      </c>
      <c r="B99" s="1" t="s">
        <v>58</v>
      </c>
      <c r="C99" s="1" t="s">
        <v>355</v>
      </c>
      <c r="D99" s="3" t="str">
        <f>IFERROR(VLOOKUP(B99,'Message Lookup'!A:G,7,FALSE),"")</f>
        <v/>
      </c>
    </row>
    <row r="100" spans="1:4" x14ac:dyDescent="0.25">
      <c r="A100" s="1">
        <v>6</v>
      </c>
      <c r="B100" s="1" t="s">
        <v>59</v>
      </c>
      <c r="C100" s="1" t="s">
        <v>356</v>
      </c>
      <c r="D100" s="3" t="str">
        <f>IFERROR(VLOOKUP(B100,'Message Lookup'!A:G,7,FALSE),"")</f>
        <v/>
      </c>
    </row>
    <row r="101" spans="1:4" x14ac:dyDescent="0.25">
      <c r="A101" s="1">
        <v>6</v>
      </c>
      <c r="B101" s="1" t="s">
        <v>60</v>
      </c>
      <c r="C101" s="1" t="s">
        <v>357</v>
      </c>
      <c r="D101" s="3" t="str">
        <f>IFERROR(VLOOKUP(B101,'Message Lookup'!A:G,7,FALSE),"")</f>
        <v/>
      </c>
    </row>
    <row r="102" spans="1:4" x14ac:dyDescent="0.25">
      <c r="A102" s="1">
        <v>6</v>
      </c>
      <c r="B102" s="1" t="s">
        <v>73</v>
      </c>
      <c r="C102" s="1" t="s">
        <v>358</v>
      </c>
      <c r="D102" s="3" t="str">
        <f>IFERROR(VLOOKUP(B102,'Message Lookup'!A:G,7,FALSE),"")</f>
        <v/>
      </c>
    </row>
    <row r="103" spans="1:4" x14ac:dyDescent="0.25">
      <c r="A103" s="1">
        <v>6</v>
      </c>
      <c r="B103" s="1" t="s">
        <v>74</v>
      </c>
      <c r="C103" s="1" t="s">
        <v>359</v>
      </c>
      <c r="D103" s="3" t="str">
        <f>IFERROR(VLOOKUP(B103,'Message Lookup'!A:G,7,FALSE),"")</f>
        <v/>
      </c>
    </row>
    <row r="104" spans="1:4" x14ac:dyDescent="0.25">
      <c r="A104" s="1">
        <v>6</v>
      </c>
      <c r="B104" s="1" t="s">
        <v>75</v>
      </c>
      <c r="C104" s="1" t="s">
        <v>360</v>
      </c>
      <c r="D104" s="3" t="str">
        <f>IFERROR(VLOOKUP(B104,'Message Lookup'!A:G,7,FALSE),"")</f>
        <v/>
      </c>
    </row>
    <row r="105" spans="1:4" x14ac:dyDescent="0.25">
      <c r="A105" s="1">
        <v>6</v>
      </c>
      <c r="B105" s="1" t="s">
        <v>76</v>
      </c>
      <c r="C105" s="1" t="s">
        <v>361</v>
      </c>
      <c r="D105" s="3" t="str">
        <f>IFERROR(VLOOKUP(B105,'Message Lookup'!A:G,7,FALSE),"")</f>
        <v/>
      </c>
    </row>
    <row r="106" spans="1:4" x14ac:dyDescent="0.25">
      <c r="A106" s="1">
        <v>6</v>
      </c>
      <c r="B106" s="1" t="s">
        <v>77</v>
      </c>
      <c r="C106" s="1" t="s">
        <v>362</v>
      </c>
      <c r="D106" s="3" t="str">
        <f>IFERROR(VLOOKUP(B106,'Message Lookup'!A:G,7,FALSE),"")</f>
        <v/>
      </c>
    </row>
    <row r="107" spans="1:4" x14ac:dyDescent="0.25">
      <c r="A107" s="1">
        <v>6</v>
      </c>
      <c r="B107" s="1" t="s">
        <v>78</v>
      </c>
      <c r="C107" s="1" t="s">
        <v>363</v>
      </c>
      <c r="D107" s="3" t="str">
        <f>IFERROR(VLOOKUP(B107,'Message Lookup'!A:G,7,FALSE),"")</f>
        <v/>
      </c>
    </row>
    <row r="108" spans="1:4" x14ac:dyDescent="0.25">
      <c r="A108" s="1">
        <v>6</v>
      </c>
      <c r="B108" s="1" t="s">
        <v>79</v>
      </c>
      <c r="C108" s="1" t="s">
        <v>364</v>
      </c>
      <c r="D108" s="3" t="str">
        <f>IFERROR(VLOOKUP(B108,'Message Lookup'!A:G,7,FALSE),"")</f>
        <v/>
      </c>
    </row>
    <row r="109" spans="1:4" x14ac:dyDescent="0.25">
      <c r="A109" s="1">
        <v>6</v>
      </c>
      <c r="B109" s="1" t="s">
        <v>80</v>
      </c>
      <c r="C109" s="1" t="s">
        <v>365</v>
      </c>
      <c r="D109" s="3" t="str">
        <f>IFERROR(VLOOKUP(B109,'Message Lookup'!A:G,7,FALSE),"")</f>
        <v/>
      </c>
    </row>
    <row r="110" spans="1:4" x14ac:dyDescent="0.25">
      <c r="A110" s="1">
        <v>6</v>
      </c>
      <c r="B110" s="1" t="s">
        <v>81</v>
      </c>
      <c r="C110" s="1" t="s">
        <v>366</v>
      </c>
      <c r="D110" s="3" t="str">
        <f>IFERROR(VLOOKUP(B110,'Message Lookup'!A:G,7,FALSE),"")</f>
        <v/>
      </c>
    </row>
    <row r="111" spans="1:4" x14ac:dyDescent="0.25">
      <c r="A111" s="1">
        <v>6</v>
      </c>
      <c r="B111" s="1" t="s">
        <v>82</v>
      </c>
      <c r="C111" s="1" t="s">
        <v>367</v>
      </c>
      <c r="D111" s="3" t="str">
        <f>IFERROR(VLOOKUP(B111,'Message Lookup'!A:G,7,FALSE),"")</f>
        <v/>
      </c>
    </row>
    <row r="112" spans="1:4" x14ac:dyDescent="0.25">
      <c r="A112" s="1">
        <v>6</v>
      </c>
      <c r="B112" s="1" t="s">
        <v>83</v>
      </c>
      <c r="C112" s="1" t="s">
        <v>368</v>
      </c>
      <c r="D112" s="3" t="str">
        <f>IFERROR(VLOOKUP(B112,'Message Lookup'!A:G,7,FALSE),"")</f>
        <v/>
      </c>
    </row>
    <row r="113" spans="1:4" x14ac:dyDescent="0.25">
      <c r="A113" s="1">
        <v>6</v>
      </c>
      <c r="B113" s="1" t="s">
        <v>84</v>
      </c>
      <c r="C113" s="1" t="s">
        <v>369</v>
      </c>
      <c r="D113" s="3" t="str">
        <f>IFERROR(VLOOKUP(B113,'Message Lookup'!A:G,7,FALSE),"")</f>
        <v/>
      </c>
    </row>
    <row r="114" spans="1:4" x14ac:dyDescent="0.25">
      <c r="A114" s="1">
        <v>6</v>
      </c>
      <c r="B114" s="1" t="s">
        <v>85</v>
      </c>
      <c r="C114" s="1" t="s">
        <v>370</v>
      </c>
      <c r="D114" s="3" t="str">
        <f>IFERROR(VLOOKUP(B114,'Message Lookup'!A:G,7,FALSE),"")</f>
        <v/>
      </c>
    </row>
    <row r="115" spans="1:4" x14ac:dyDescent="0.25">
      <c r="A115" s="1">
        <v>6</v>
      </c>
      <c r="B115" s="1"/>
      <c r="C115" s="1"/>
      <c r="D115" s="3" t="str">
        <f>IFERROR(VLOOKUP(B115,'Message Lookup'!A:G,7,FALSE),"")</f>
        <v/>
      </c>
    </row>
    <row r="116" spans="1:4" x14ac:dyDescent="0.25">
      <c r="A116" s="1">
        <v>6</v>
      </c>
      <c r="B116" s="1"/>
      <c r="C116" s="1"/>
      <c r="D116" s="3" t="str">
        <f>IFERROR(VLOOKUP(B116,'Message Lookup'!A:G,7,FALSE),"")</f>
        <v/>
      </c>
    </row>
    <row r="117" spans="1:4" x14ac:dyDescent="0.25">
      <c r="A117" s="1">
        <v>7</v>
      </c>
      <c r="B117" s="1"/>
      <c r="C117" s="1" t="s">
        <v>354</v>
      </c>
      <c r="D117" s="3" t="str">
        <f>IFERROR(VLOOKUP(B117,'Message Lookup'!A:G,7,FALSE),"")</f>
        <v/>
      </c>
    </row>
    <row r="118" spans="1:4" x14ac:dyDescent="0.25">
      <c r="A118" s="1">
        <v>7</v>
      </c>
      <c r="B118" s="1" t="s">
        <v>86</v>
      </c>
      <c r="C118" s="1" t="s">
        <v>355</v>
      </c>
      <c r="D118" s="3" t="str">
        <f>IFERROR(VLOOKUP(B118,'Message Lookup'!A:G,7,FALSE),"")</f>
        <v/>
      </c>
    </row>
    <row r="119" spans="1:4" x14ac:dyDescent="0.25">
      <c r="A119" s="1">
        <v>7</v>
      </c>
      <c r="B119" s="1" t="s">
        <v>87</v>
      </c>
      <c r="C119" s="1" t="s">
        <v>356</v>
      </c>
      <c r="D119" s="3" t="str">
        <f>IFERROR(VLOOKUP(B119,'Message Lookup'!A:G,7,FALSE),"")</f>
        <v/>
      </c>
    </row>
    <row r="120" spans="1:4" x14ac:dyDescent="0.25">
      <c r="A120" s="1">
        <v>7</v>
      </c>
      <c r="B120" s="1" t="s">
        <v>88</v>
      </c>
      <c r="C120" s="1" t="s">
        <v>357</v>
      </c>
      <c r="D120" s="3" t="str">
        <f>IFERROR(VLOOKUP(B120,'Message Lookup'!A:G,7,FALSE),"")</f>
        <v/>
      </c>
    </row>
    <row r="121" spans="1:4" x14ac:dyDescent="0.25">
      <c r="A121" s="1">
        <v>7</v>
      </c>
      <c r="B121" s="1" t="s">
        <v>89</v>
      </c>
      <c r="C121" s="1" t="s">
        <v>358</v>
      </c>
      <c r="D121" s="3" t="str">
        <f>IFERROR(VLOOKUP(B121,'Message Lookup'!A:G,7,FALSE),"")</f>
        <v/>
      </c>
    </row>
    <row r="122" spans="1:4" x14ac:dyDescent="0.25">
      <c r="A122" s="1">
        <v>7</v>
      </c>
      <c r="B122" s="1" t="s">
        <v>90</v>
      </c>
      <c r="C122" s="1" t="s">
        <v>359</v>
      </c>
      <c r="D122" s="3" t="str">
        <f>IFERROR(VLOOKUP(B122,'Message Lookup'!A:G,7,FALSE),"")</f>
        <v/>
      </c>
    </row>
    <row r="123" spans="1:4" x14ac:dyDescent="0.25">
      <c r="A123" s="1">
        <v>7</v>
      </c>
      <c r="B123" s="1" t="s">
        <v>91</v>
      </c>
      <c r="C123" s="1" t="s">
        <v>360</v>
      </c>
      <c r="D123" s="3" t="str">
        <f>IFERROR(VLOOKUP(B123,'Message Lookup'!A:G,7,FALSE),"")</f>
        <v/>
      </c>
    </row>
    <row r="124" spans="1:4" x14ac:dyDescent="0.25">
      <c r="A124" s="1">
        <v>7</v>
      </c>
      <c r="B124" s="1" t="s">
        <v>92</v>
      </c>
      <c r="C124" s="1" t="s">
        <v>361</v>
      </c>
      <c r="D124" s="3" t="str">
        <f>IFERROR(VLOOKUP(B124,'Message Lookup'!A:G,7,FALSE),"")</f>
        <v/>
      </c>
    </row>
    <row r="125" spans="1:4" x14ac:dyDescent="0.25">
      <c r="A125" s="1">
        <v>7</v>
      </c>
      <c r="B125" s="1" t="s">
        <v>93</v>
      </c>
      <c r="C125" s="1" t="s">
        <v>362</v>
      </c>
      <c r="D125" s="3" t="str">
        <f>IFERROR(VLOOKUP(B125,'Message Lookup'!A:G,7,FALSE),"")</f>
        <v/>
      </c>
    </row>
    <row r="126" spans="1:4" x14ac:dyDescent="0.25">
      <c r="A126" s="1">
        <v>7</v>
      </c>
      <c r="B126" s="1" t="s">
        <v>94</v>
      </c>
      <c r="C126" s="1" t="s">
        <v>363</v>
      </c>
      <c r="D126" s="3" t="str">
        <f>IFERROR(VLOOKUP(B126,'Message Lookup'!A:G,7,FALSE),"")</f>
        <v/>
      </c>
    </row>
    <row r="127" spans="1:4" x14ac:dyDescent="0.25">
      <c r="A127" s="1">
        <v>7</v>
      </c>
      <c r="B127" s="1" t="s">
        <v>95</v>
      </c>
      <c r="C127" s="1" t="s">
        <v>364</v>
      </c>
      <c r="D127" s="3" t="str">
        <f>IFERROR(VLOOKUP(B127,'Message Lookup'!A:G,7,FALSE),"")</f>
        <v/>
      </c>
    </row>
    <row r="128" spans="1:4" x14ac:dyDescent="0.25">
      <c r="A128" s="1">
        <v>7</v>
      </c>
      <c r="B128" s="1" t="s">
        <v>96</v>
      </c>
      <c r="C128" s="1" t="s">
        <v>365</v>
      </c>
      <c r="D128" s="3" t="str">
        <f>IFERROR(VLOOKUP(B128,'Message Lookup'!A:G,7,FALSE),"")</f>
        <v/>
      </c>
    </row>
    <row r="129" spans="1:4" x14ac:dyDescent="0.25">
      <c r="A129" s="1">
        <v>7</v>
      </c>
      <c r="B129" s="1" t="s">
        <v>97</v>
      </c>
      <c r="C129" s="1" t="s">
        <v>366</v>
      </c>
      <c r="D129" s="3" t="str">
        <f>IFERROR(VLOOKUP(B129,'Message Lookup'!A:G,7,FALSE),"")</f>
        <v/>
      </c>
    </row>
    <row r="130" spans="1:4" x14ac:dyDescent="0.25">
      <c r="A130" s="1">
        <v>7</v>
      </c>
      <c r="B130" s="1" t="s">
        <v>98</v>
      </c>
      <c r="C130" s="1" t="s">
        <v>367</v>
      </c>
      <c r="D130" s="3" t="str">
        <f>IFERROR(VLOOKUP(B130,'Message Lookup'!A:G,7,FALSE),"")</f>
        <v/>
      </c>
    </row>
    <row r="131" spans="1:4" x14ac:dyDescent="0.25">
      <c r="A131" s="1">
        <v>7</v>
      </c>
      <c r="B131" s="1" t="s">
        <v>99</v>
      </c>
      <c r="C131" s="1" t="s">
        <v>368</v>
      </c>
      <c r="D131" s="3" t="str">
        <f>IFERROR(VLOOKUP(B131,'Message Lookup'!A:G,7,FALSE),"")</f>
        <v/>
      </c>
    </row>
    <row r="132" spans="1:4" x14ac:dyDescent="0.25">
      <c r="A132" s="1">
        <v>7</v>
      </c>
      <c r="B132" s="1" t="s">
        <v>100</v>
      </c>
      <c r="C132" s="1" t="s">
        <v>369</v>
      </c>
      <c r="D132" s="3" t="str">
        <f>IFERROR(VLOOKUP(B132,'Message Lookup'!A:G,7,FALSE),"")</f>
        <v/>
      </c>
    </row>
    <row r="133" spans="1:4" x14ac:dyDescent="0.25">
      <c r="A133" s="1">
        <v>7</v>
      </c>
      <c r="B133" s="1" t="s">
        <v>101</v>
      </c>
      <c r="C133" s="1" t="s">
        <v>370</v>
      </c>
      <c r="D133" s="3" t="str">
        <f>IFERROR(VLOOKUP(B133,'Message Lookup'!A:G,7,FALSE),"")</f>
        <v/>
      </c>
    </row>
    <row r="134" spans="1:4" x14ac:dyDescent="0.25">
      <c r="A134" s="1">
        <v>7</v>
      </c>
      <c r="B134" s="1"/>
      <c r="C134" s="1"/>
      <c r="D134" s="3" t="str">
        <f>IFERROR(VLOOKUP(B134,'Message Lookup'!A:G,7,FALSE),"")</f>
        <v/>
      </c>
    </row>
    <row r="135" spans="1:4" x14ac:dyDescent="0.25">
      <c r="A135" s="1">
        <v>7</v>
      </c>
      <c r="B135" s="1"/>
      <c r="C135" s="1"/>
      <c r="D135" s="3" t="str">
        <f>IFERROR(VLOOKUP(B135,'Message Lookup'!A:G,7,FALSE),"")</f>
        <v/>
      </c>
    </row>
    <row r="136" spans="1:4" x14ac:dyDescent="0.25">
      <c r="A136" s="1">
        <v>8</v>
      </c>
      <c r="B136" s="1"/>
      <c r="C136" s="1" t="s">
        <v>354</v>
      </c>
      <c r="D136" s="3" t="str">
        <f>IFERROR(VLOOKUP(B136,'Message Lookup'!A:G,7,FALSE),"")</f>
        <v/>
      </c>
    </row>
    <row r="137" spans="1:4" x14ac:dyDescent="0.25">
      <c r="A137" s="1">
        <v>8</v>
      </c>
      <c r="B137" s="1" t="s">
        <v>102</v>
      </c>
      <c r="C137" s="1" t="s">
        <v>355</v>
      </c>
      <c r="D137" s="3" t="str">
        <f>IFERROR(VLOOKUP(B137,'Message Lookup'!A:G,7,FALSE),"")</f>
        <v/>
      </c>
    </row>
    <row r="138" spans="1:4" x14ac:dyDescent="0.25">
      <c r="A138" s="1">
        <v>8</v>
      </c>
      <c r="B138" s="1" t="s">
        <v>103</v>
      </c>
      <c r="C138" s="1" t="s">
        <v>356</v>
      </c>
      <c r="D138" s="3" t="str">
        <f>IFERROR(VLOOKUP(B138,'Message Lookup'!A:G,7,FALSE),"")</f>
        <v/>
      </c>
    </row>
    <row r="139" spans="1:4" x14ac:dyDescent="0.25">
      <c r="A139" s="1">
        <v>8</v>
      </c>
      <c r="B139" s="1" t="s">
        <v>104</v>
      </c>
      <c r="C139" s="1" t="s">
        <v>357</v>
      </c>
      <c r="D139" s="3" t="str">
        <f>IFERROR(VLOOKUP(B139,'Message Lookup'!A:G,7,FALSE),"")</f>
        <v/>
      </c>
    </row>
    <row r="140" spans="1:4" x14ac:dyDescent="0.25">
      <c r="A140" s="1">
        <v>8</v>
      </c>
      <c r="B140" s="1" t="s">
        <v>105</v>
      </c>
      <c r="C140" s="1" t="s">
        <v>358</v>
      </c>
      <c r="D140" s="3" t="str">
        <f>IFERROR(VLOOKUP(B140,'Message Lookup'!A:G,7,FALSE),"")</f>
        <v/>
      </c>
    </row>
    <row r="141" spans="1:4" x14ac:dyDescent="0.25">
      <c r="A141" s="1">
        <v>8</v>
      </c>
      <c r="B141" s="1" t="s">
        <v>106</v>
      </c>
      <c r="C141" s="1" t="s">
        <v>359</v>
      </c>
      <c r="D141" s="3" t="str">
        <f>IFERROR(VLOOKUP(B141,'Message Lookup'!A:G,7,FALSE),"")</f>
        <v/>
      </c>
    </row>
    <row r="142" spans="1:4" x14ac:dyDescent="0.25">
      <c r="A142" s="1">
        <v>8</v>
      </c>
      <c r="B142" s="1" t="s">
        <v>107</v>
      </c>
      <c r="C142" s="1" t="s">
        <v>360</v>
      </c>
      <c r="D142" s="3" t="str">
        <f>IFERROR(VLOOKUP(B142,'Message Lookup'!A:G,7,FALSE),"")</f>
        <v/>
      </c>
    </row>
    <row r="143" spans="1:4" x14ac:dyDescent="0.25">
      <c r="A143" s="1">
        <v>8</v>
      </c>
      <c r="B143" s="1" t="s">
        <v>108</v>
      </c>
      <c r="C143" s="1" t="s">
        <v>361</v>
      </c>
      <c r="D143" s="3" t="str">
        <f>IFERROR(VLOOKUP(B143,'Message Lookup'!A:G,7,FALSE),"")</f>
        <v/>
      </c>
    </row>
    <row r="144" spans="1:4" x14ac:dyDescent="0.25">
      <c r="A144" s="1">
        <v>8</v>
      </c>
      <c r="B144" s="1" t="s">
        <v>109</v>
      </c>
      <c r="C144" s="1" t="s">
        <v>362</v>
      </c>
      <c r="D144" s="3" t="str">
        <f>IFERROR(VLOOKUP(B144,'Message Lookup'!A:G,7,FALSE),"")</f>
        <v/>
      </c>
    </row>
    <row r="145" spans="1:4" x14ac:dyDescent="0.25">
      <c r="A145" s="1">
        <v>8</v>
      </c>
      <c r="B145" s="1" t="s">
        <v>110</v>
      </c>
      <c r="C145" s="1" t="s">
        <v>363</v>
      </c>
      <c r="D145" s="3" t="str">
        <f>IFERROR(VLOOKUP(B145,'Message Lookup'!A:G,7,FALSE),"")</f>
        <v/>
      </c>
    </row>
    <row r="146" spans="1:4" x14ac:dyDescent="0.25">
      <c r="A146" s="1">
        <v>8</v>
      </c>
      <c r="B146" s="1" t="s">
        <v>111</v>
      </c>
      <c r="C146" s="1" t="s">
        <v>364</v>
      </c>
      <c r="D146" s="3" t="str">
        <f>IFERROR(VLOOKUP(B146,'Message Lookup'!A:G,7,FALSE),"")</f>
        <v/>
      </c>
    </row>
    <row r="147" spans="1:4" x14ac:dyDescent="0.25">
      <c r="A147" s="1">
        <v>8</v>
      </c>
      <c r="B147" s="1" t="s">
        <v>112</v>
      </c>
      <c r="C147" s="1" t="s">
        <v>365</v>
      </c>
      <c r="D147" s="3" t="str">
        <f>IFERROR(VLOOKUP(B147,'Message Lookup'!A:G,7,FALSE),"")</f>
        <v/>
      </c>
    </row>
    <row r="148" spans="1:4" x14ac:dyDescent="0.25">
      <c r="A148" s="1">
        <v>8</v>
      </c>
      <c r="B148" s="1" t="s">
        <v>113</v>
      </c>
      <c r="C148" s="1" t="s">
        <v>366</v>
      </c>
      <c r="D148" s="3" t="str">
        <f>IFERROR(VLOOKUP(B148,'Message Lookup'!A:G,7,FALSE),"")</f>
        <v/>
      </c>
    </row>
    <row r="149" spans="1:4" x14ac:dyDescent="0.25">
      <c r="A149" s="1">
        <v>8</v>
      </c>
      <c r="B149" s="1" t="s">
        <v>114</v>
      </c>
      <c r="C149" s="1" t="s">
        <v>367</v>
      </c>
      <c r="D149" s="3" t="str">
        <f>IFERROR(VLOOKUP(B149,'Message Lookup'!A:G,7,FALSE),"")</f>
        <v/>
      </c>
    </row>
    <row r="150" spans="1:4" x14ac:dyDescent="0.25">
      <c r="A150" s="1">
        <v>8</v>
      </c>
      <c r="B150" s="1" t="s">
        <v>115</v>
      </c>
      <c r="C150" s="1" t="s">
        <v>368</v>
      </c>
      <c r="D150" s="3" t="str">
        <f>IFERROR(VLOOKUP(B150,'Message Lookup'!A:G,7,FALSE),"")</f>
        <v/>
      </c>
    </row>
    <row r="151" spans="1:4" x14ac:dyDescent="0.25">
      <c r="A151" s="1">
        <v>8</v>
      </c>
      <c r="B151" s="1" t="s">
        <v>116</v>
      </c>
      <c r="C151" s="1" t="s">
        <v>369</v>
      </c>
      <c r="D151" s="3" t="str">
        <f>IFERROR(VLOOKUP(B151,'Message Lookup'!A:G,7,FALSE),"")</f>
        <v/>
      </c>
    </row>
    <row r="152" spans="1:4" x14ac:dyDescent="0.25">
      <c r="A152" s="1">
        <v>8</v>
      </c>
      <c r="B152" s="1" t="s">
        <v>117</v>
      </c>
      <c r="C152" s="1" t="s">
        <v>370</v>
      </c>
      <c r="D152" s="3" t="str">
        <f>IFERROR(VLOOKUP(B152,'Message Lookup'!A:G,7,FALSE),"")</f>
        <v/>
      </c>
    </row>
    <row r="153" spans="1:4" x14ac:dyDescent="0.25">
      <c r="A153" s="1">
        <v>8</v>
      </c>
      <c r="B153" s="1"/>
      <c r="C153" s="1"/>
      <c r="D153" s="3" t="str">
        <f>IFERROR(VLOOKUP(B153,'Message Lookup'!A:G,7,FALSE),"")</f>
        <v/>
      </c>
    </row>
    <row r="154" spans="1:4" x14ac:dyDescent="0.25">
      <c r="A154" s="1">
        <v>8</v>
      </c>
      <c r="B154" s="1"/>
      <c r="C154" s="1"/>
      <c r="D154" s="3" t="str">
        <f>IFERROR(VLOOKUP(B154,'Message Lookup'!A:G,7,FALSE),"")</f>
        <v/>
      </c>
    </row>
    <row r="155" spans="1:4" x14ac:dyDescent="0.25">
      <c r="A155" s="1">
        <v>9</v>
      </c>
      <c r="B155" s="1"/>
      <c r="C155" s="1" t="s">
        <v>354</v>
      </c>
      <c r="D155" s="3" t="str">
        <f>IFERROR(VLOOKUP(B155,'Message Lookup'!A:G,7,FALSE),"")</f>
        <v/>
      </c>
    </row>
    <row r="156" spans="1:4" x14ac:dyDescent="0.25">
      <c r="A156" s="1">
        <v>9</v>
      </c>
      <c r="B156" s="1" t="s">
        <v>118</v>
      </c>
      <c r="C156" s="1" t="s">
        <v>355</v>
      </c>
      <c r="D156" s="3" t="str">
        <f>IFERROR(VLOOKUP(B156,'Message Lookup'!A:G,7,FALSE),"")</f>
        <v/>
      </c>
    </row>
    <row r="157" spans="1:4" x14ac:dyDescent="0.25">
      <c r="A157" s="1">
        <v>9</v>
      </c>
      <c r="B157" s="1" t="s">
        <v>119</v>
      </c>
      <c r="C157" s="1" t="s">
        <v>356</v>
      </c>
      <c r="D157" s="3" t="str">
        <f>IFERROR(VLOOKUP(B157,'Message Lookup'!A:G,7,FALSE),"")</f>
        <v/>
      </c>
    </row>
    <row r="158" spans="1:4" x14ac:dyDescent="0.25">
      <c r="A158" s="1">
        <v>9</v>
      </c>
      <c r="B158" s="1" t="s">
        <v>120</v>
      </c>
      <c r="C158" s="1" t="s">
        <v>357</v>
      </c>
      <c r="D158" s="3" t="str">
        <f>IFERROR(VLOOKUP(B158,'Message Lookup'!A:G,7,FALSE),"")</f>
        <v/>
      </c>
    </row>
    <row r="159" spans="1:4" x14ac:dyDescent="0.25">
      <c r="A159" s="1">
        <v>9</v>
      </c>
      <c r="B159" s="1" t="s">
        <v>121</v>
      </c>
      <c r="C159" s="1" t="s">
        <v>358</v>
      </c>
      <c r="D159" s="3" t="str">
        <f>IFERROR(VLOOKUP(B159,'Message Lookup'!A:G,7,FALSE),"")</f>
        <v/>
      </c>
    </row>
    <row r="160" spans="1:4" x14ac:dyDescent="0.25">
      <c r="A160" s="1">
        <v>9</v>
      </c>
      <c r="B160" s="1" t="s">
        <v>122</v>
      </c>
      <c r="C160" s="1" t="s">
        <v>359</v>
      </c>
      <c r="D160" s="3" t="str">
        <f>IFERROR(VLOOKUP(B160,'Message Lookup'!A:G,7,FALSE),"")</f>
        <v/>
      </c>
    </row>
    <row r="161" spans="1:4" x14ac:dyDescent="0.25">
      <c r="A161" s="1">
        <v>9</v>
      </c>
      <c r="B161" s="1" t="s">
        <v>123</v>
      </c>
      <c r="C161" s="1" t="s">
        <v>360</v>
      </c>
      <c r="D161" s="3" t="str">
        <f>IFERROR(VLOOKUP(B161,'Message Lookup'!A:G,7,FALSE),"")</f>
        <v/>
      </c>
    </row>
    <row r="162" spans="1:4" x14ac:dyDescent="0.25">
      <c r="A162" s="1">
        <v>9</v>
      </c>
      <c r="B162" s="1" t="s">
        <v>124</v>
      </c>
      <c r="C162" s="1" t="s">
        <v>361</v>
      </c>
      <c r="D162" s="3" t="str">
        <f>IFERROR(VLOOKUP(B162,'Message Lookup'!A:G,7,FALSE),"")</f>
        <v/>
      </c>
    </row>
    <row r="163" spans="1:4" x14ac:dyDescent="0.25">
      <c r="A163" s="1">
        <v>9</v>
      </c>
      <c r="B163" s="1" t="s">
        <v>125</v>
      </c>
      <c r="C163" s="1" t="s">
        <v>362</v>
      </c>
      <c r="D163" s="3" t="str">
        <f>IFERROR(VLOOKUP(B163,'Message Lookup'!A:G,7,FALSE),"")</f>
        <v/>
      </c>
    </row>
    <row r="164" spans="1:4" x14ac:dyDescent="0.25">
      <c r="A164" s="1">
        <v>9</v>
      </c>
      <c r="B164" s="1" t="s">
        <v>126</v>
      </c>
      <c r="C164" s="1" t="s">
        <v>363</v>
      </c>
      <c r="D164" s="3" t="str">
        <f>IFERROR(VLOOKUP(B164,'Message Lookup'!A:G,7,FALSE),"")</f>
        <v/>
      </c>
    </row>
    <row r="165" spans="1:4" x14ac:dyDescent="0.25">
      <c r="A165" s="1">
        <v>9</v>
      </c>
      <c r="B165" s="1" t="s">
        <v>127</v>
      </c>
      <c r="C165" s="1" t="s">
        <v>364</v>
      </c>
      <c r="D165" s="3" t="str">
        <f>IFERROR(VLOOKUP(B165,'Message Lookup'!A:G,7,FALSE),"")</f>
        <v/>
      </c>
    </row>
    <row r="166" spans="1:4" x14ac:dyDescent="0.25">
      <c r="A166" s="1">
        <v>9</v>
      </c>
      <c r="B166" s="1" t="s">
        <v>128</v>
      </c>
      <c r="C166" s="1" t="s">
        <v>365</v>
      </c>
      <c r="D166" s="3" t="str">
        <f>IFERROR(VLOOKUP(B166,'Message Lookup'!A:G,7,FALSE),"")</f>
        <v/>
      </c>
    </row>
    <row r="167" spans="1:4" x14ac:dyDescent="0.25">
      <c r="A167" s="1">
        <v>9</v>
      </c>
      <c r="B167" s="1" t="s">
        <v>129</v>
      </c>
      <c r="C167" s="1" t="s">
        <v>366</v>
      </c>
      <c r="D167" s="3" t="str">
        <f>IFERROR(VLOOKUP(B167,'Message Lookup'!A:G,7,FALSE),"")</f>
        <v/>
      </c>
    </row>
    <row r="168" spans="1:4" x14ac:dyDescent="0.25">
      <c r="A168" s="1">
        <v>9</v>
      </c>
      <c r="B168" s="1" t="s">
        <v>130</v>
      </c>
      <c r="C168" s="1" t="s">
        <v>367</v>
      </c>
      <c r="D168" s="3" t="str">
        <f>IFERROR(VLOOKUP(B168,'Message Lookup'!A:G,7,FALSE),"")</f>
        <v/>
      </c>
    </row>
    <row r="169" spans="1:4" x14ac:dyDescent="0.25">
      <c r="A169" s="1">
        <v>9</v>
      </c>
      <c r="B169" s="1" t="s">
        <v>131</v>
      </c>
      <c r="C169" s="1" t="s">
        <v>368</v>
      </c>
      <c r="D169" s="3" t="str">
        <f>IFERROR(VLOOKUP(B169,'Message Lookup'!A:G,7,FALSE),"")</f>
        <v/>
      </c>
    </row>
    <row r="170" spans="1:4" x14ac:dyDescent="0.25">
      <c r="A170" s="1">
        <v>9</v>
      </c>
      <c r="B170" s="1" t="s">
        <v>132</v>
      </c>
      <c r="C170" s="1" t="s">
        <v>369</v>
      </c>
      <c r="D170" s="3" t="str">
        <f>IFERROR(VLOOKUP(B170,'Message Lookup'!A:G,7,FALSE),"")</f>
        <v/>
      </c>
    </row>
    <row r="171" spans="1:4" x14ac:dyDescent="0.25">
      <c r="A171" s="1">
        <v>9</v>
      </c>
      <c r="B171" s="1" t="s">
        <v>133</v>
      </c>
      <c r="C171" s="1" t="s">
        <v>370</v>
      </c>
      <c r="D171" s="3" t="str">
        <f>IFERROR(VLOOKUP(B171,'Message Lookup'!A:G,7,FALSE),"")</f>
        <v/>
      </c>
    </row>
    <row r="172" spans="1:4" x14ac:dyDescent="0.25">
      <c r="A172" s="1">
        <v>9</v>
      </c>
      <c r="B172" s="1"/>
      <c r="C172" s="1"/>
      <c r="D172" s="3" t="str">
        <f>IFERROR(VLOOKUP(B172,'Message Lookup'!A:G,7,FALSE),"")</f>
        <v/>
      </c>
    </row>
    <row r="173" spans="1:4" x14ac:dyDescent="0.25">
      <c r="A173" s="1">
        <v>9</v>
      </c>
      <c r="B173" s="1"/>
      <c r="C173" s="1"/>
      <c r="D173" s="3" t="str">
        <f>IFERROR(VLOOKUP(B173,'Message Lookup'!A:G,7,FALSE),"")</f>
        <v/>
      </c>
    </row>
    <row r="174" spans="1:4" x14ac:dyDescent="0.25">
      <c r="A174" s="1">
        <v>10</v>
      </c>
      <c r="B174" s="1"/>
      <c r="C174" s="1" t="s">
        <v>354</v>
      </c>
      <c r="D174" s="3" t="str">
        <f>IFERROR(VLOOKUP(B174,'Message Lookup'!A:G,7,FALSE),"")</f>
        <v/>
      </c>
    </row>
    <row r="175" spans="1:4" x14ac:dyDescent="0.25">
      <c r="A175" s="1">
        <v>10</v>
      </c>
      <c r="B175" s="1" t="s">
        <v>134</v>
      </c>
      <c r="C175" s="1" t="s">
        <v>355</v>
      </c>
      <c r="D175" s="3" t="str">
        <f>IFERROR(VLOOKUP(B175,'Message Lookup'!A:G,7,FALSE),"")</f>
        <v/>
      </c>
    </row>
    <row r="176" spans="1:4" x14ac:dyDescent="0.25">
      <c r="A176" s="1">
        <v>10</v>
      </c>
      <c r="B176" s="1" t="s">
        <v>135</v>
      </c>
      <c r="C176" s="1" t="s">
        <v>356</v>
      </c>
      <c r="D176" s="3" t="str">
        <f>IFERROR(VLOOKUP(B176,'Message Lookup'!A:G,7,FALSE),"")</f>
        <v/>
      </c>
    </row>
    <row r="177" spans="1:4" x14ac:dyDescent="0.25">
      <c r="A177" s="1">
        <v>10</v>
      </c>
      <c r="B177" s="1" t="s">
        <v>136</v>
      </c>
      <c r="C177" s="1" t="s">
        <v>357</v>
      </c>
      <c r="D177" s="3" t="str">
        <f>IFERROR(VLOOKUP(B177,'Message Lookup'!A:G,7,FALSE),"")</f>
        <v/>
      </c>
    </row>
    <row r="178" spans="1:4" x14ac:dyDescent="0.25">
      <c r="A178" s="1">
        <v>10</v>
      </c>
      <c r="B178" s="1" t="s">
        <v>137</v>
      </c>
      <c r="C178" s="1" t="s">
        <v>358</v>
      </c>
      <c r="D178" s="3" t="str">
        <f>IFERROR(VLOOKUP(B178,'Message Lookup'!A:G,7,FALSE),"")</f>
        <v/>
      </c>
    </row>
    <row r="179" spans="1:4" x14ac:dyDescent="0.25">
      <c r="A179" s="1">
        <v>10</v>
      </c>
      <c r="B179" s="1" t="s">
        <v>138</v>
      </c>
      <c r="C179" s="1" t="s">
        <v>359</v>
      </c>
      <c r="D179" s="3" t="str">
        <f>IFERROR(VLOOKUP(B179,'Message Lookup'!A:G,7,FALSE),"")</f>
        <v/>
      </c>
    </row>
    <row r="180" spans="1:4" x14ac:dyDescent="0.25">
      <c r="A180" s="1">
        <v>10</v>
      </c>
      <c r="B180" s="1" t="s">
        <v>139</v>
      </c>
      <c r="C180" s="1" t="s">
        <v>360</v>
      </c>
      <c r="D180" s="3" t="str">
        <f>IFERROR(VLOOKUP(B180,'Message Lookup'!A:G,7,FALSE),"")</f>
        <v/>
      </c>
    </row>
    <row r="181" spans="1:4" x14ac:dyDescent="0.25">
      <c r="A181" s="1">
        <v>10</v>
      </c>
      <c r="B181" s="1" t="s">
        <v>140</v>
      </c>
      <c r="C181" s="1" t="s">
        <v>361</v>
      </c>
      <c r="D181" s="3" t="str">
        <f>IFERROR(VLOOKUP(B181,'Message Lookup'!A:G,7,FALSE),"")</f>
        <v/>
      </c>
    </row>
    <row r="182" spans="1:4" x14ac:dyDescent="0.25">
      <c r="A182" s="1">
        <v>10</v>
      </c>
      <c r="B182" s="1" t="s">
        <v>141</v>
      </c>
      <c r="C182" s="1" t="s">
        <v>362</v>
      </c>
      <c r="D182" s="3" t="str">
        <f>IFERROR(VLOOKUP(B182,'Message Lookup'!A:G,7,FALSE),"")</f>
        <v/>
      </c>
    </row>
    <row r="183" spans="1:4" x14ac:dyDescent="0.25">
      <c r="A183" s="1">
        <v>10</v>
      </c>
      <c r="B183" s="1" t="s">
        <v>142</v>
      </c>
      <c r="C183" s="1" t="s">
        <v>363</v>
      </c>
      <c r="D183" s="3" t="str">
        <f>IFERROR(VLOOKUP(B183,'Message Lookup'!A:G,7,FALSE),"")</f>
        <v/>
      </c>
    </row>
    <row r="184" spans="1:4" x14ac:dyDescent="0.25">
      <c r="A184" s="1">
        <v>10</v>
      </c>
      <c r="B184" s="1" t="s">
        <v>143</v>
      </c>
      <c r="C184" s="1" t="s">
        <v>364</v>
      </c>
      <c r="D184" s="3" t="str">
        <f>IFERROR(VLOOKUP(B184,'Message Lookup'!A:G,7,FALSE),"")</f>
        <v/>
      </c>
    </row>
    <row r="185" spans="1:4" x14ac:dyDescent="0.25">
      <c r="A185" s="1">
        <v>10</v>
      </c>
      <c r="B185" s="1" t="s">
        <v>144</v>
      </c>
      <c r="C185" s="1" t="s">
        <v>365</v>
      </c>
      <c r="D185" s="3" t="str">
        <f>IFERROR(VLOOKUP(B185,'Message Lookup'!A:G,7,FALSE),"")</f>
        <v/>
      </c>
    </row>
    <row r="186" spans="1:4" x14ac:dyDescent="0.25">
      <c r="A186" s="1">
        <v>10</v>
      </c>
      <c r="B186" s="1" t="s">
        <v>145</v>
      </c>
      <c r="C186" s="1" t="s">
        <v>366</v>
      </c>
      <c r="D186" s="3" t="str">
        <f>IFERROR(VLOOKUP(B186,'Message Lookup'!A:G,7,FALSE),"")</f>
        <v/>
      </c>
    </row>
    <row r="187" spans="1:4" x14ac:dyDescent="0.25">
      <c r="A187" s="1">
        <v>10</v>
      </c>
      <c r="B187" s="1" t="s">
        <v>146</v>
      </c>
      <c r="C187" s="1" t="s">
        <v>367</v>
      </c>
      <c r="D187" s="3" t="str">
        <f>IFERROR(VLOOKUP(B187,'Message Lookup'!A:G,7,FALSE),"")</f>
        <v/>
      </c>
    </row>
    <row r="188" spans="1:4" x14ac:dyDescent="0.25">
      <c r="A188" s="1">
        <v>10</v>
      </c>
      <c r="B188" s="1" t="s">
        <v>147</v>
      </c>
      <c r="C188" s="1" t="s">
        <v>368</v>
      </c>
      <c r="D188" s="3" t="str">
        <f>IFERROR(VLOOKUP(B188,'Message Lookup'!A:G,7,FALSE),"")</f>
        <v/>
      </c>
    </row>
    <row r="189" spans="1:4" x14ac:dyDescent="0.25">
      <c r="A189" s="1">
        <v>10</v>
      </c>
      <c r="B189" s="1" t="s">
        <v>148</v>
      </c>
      <c r="C189" s="1" t="s">
        <v>369</v>
      </c>
      <c r="D189" s="3" t="str">
        <f>IFERROR(VLOOKUP(B189,'Message Lookup'!A:G,7,FALSE),"")</f>
        <v/>
      </c>
    </row>
    <row r="190" spans="1:4" x14ac:dyDescent="0.25">
      <c r="A190" s="1">
        <v>10</v>
      </c>
      <c r="B190" s="1" t="s">
        <v>149</v>
      </c>
      <c r="C190" s="1" t="s">
        <v>370</v>
      </c>
      <c r="D190" s="3" t="str">
        <f>IFERROR(VLOOKUP(B190,'Message Lookup'!A:G,7,FALSE),"")</f>
        <v/>
      </c>
    </row>
    <row r="191" spans="1:4" x14ac:dyDescent="0.25">
      <c r="A191" s="1">
        <v>10</v>
      </c>
      <c r="B191" s="1"/>
      <c r="C191" s="1"/>
      <c r="D191" s="3" t="str">
        <f>IFERROR(VLOOKUP(B191,'Message Lookup'!A:G,7,FALSE),"")</f>
        <v/>
      </c>
    </row>
    <row r="192" spans="1:4" x14ac:dyDescent="0.25">
      <c r="A192" s="1">
        <v>10</v>
      </c>
      <c r="B192" s="1"/>
      <c r="C192" s="1"/>
      <c r="D192" s="3" t="str">
        <f>IFERROR(VLOOKUP(B192,'Message Lookup'!A:G,7,FALSE),"")</f>
        <v/>
      </c>
    </row>
    <row r="193" spans="1:4" x14ac:dyDescent="0.25">
      <c r="A193" s="1">
        <v>11</v>
      </c>
      <c r="B193" s="1"/>
      <c r="C193" s="1" t="s">
        <v>354</v>
      </c>
      <c r="D193" s="3" t="str">
        <f>IFERROR(VLOOKUP(B193,'Message Lookup'!A:G,7,FALSE),"")</f>
        <v/>
      </c>
    </row>
    <row r="194" spans="1:4" x14ac:dyDescent="0.25">
      <c r="A194" s="1">
        <v>11</v>
      </c>
      <c r="B194" s="1" t="s">
        <v>150</v>
      </c>
      <c r="C194" s="1" t="s">
        <v>355</v>
      </c>
      <c r="D194" s="3" t="str">
        <f>IFERROR(VLOOKUP(B194,'Message Lookup'!A:G,7,FALSE),"")</f>
        <v/>
      </c>
    </row>
    <row r="195" spans="1:4" x14ac:dyDescent="0.25">
      <c r="A195" s="1">
        <v>11</v>
      </c>
      <c r="B195" s="1" t="s">
        <v>151</v>
      </c>
      <c r="C195" s="1" t="s">
        <v>356</v>
      </c>
      <c r="D195" s="3" t="str">
        <f>IFERROR(VLOOKUP(B195,'Message Lookup'!A:G,7,FALSE),"")</f>
        <v/>
      </c>
    </row>
    <row r="196" spans="1:4" x14ac:dyDescent="0.25">
      <c r="A196" s="1">
        <v>11</v>
      </c>
      <c r="B196" s="1" t="s">
        <v>152</v>
      </c>
      <c r="C196" s="1" t="s">
        <v>357</v>
      </c>
      <c r="D196" s="3" t="str">
        <f>IFERROR(VLOOKUP(B196,'Message Lookup'!A:G,7,FALSE),"")</f>
        <v/>
      </c>
    </row>
    <row r="197" spans="1:4" x14ac:dyDescent="0.25">
      <c r="A197" s="1">
        <v>11</v>
      </c>
      <c r="B197" s="1" t="s">
        <v>153</v>
      </c>
      <c r="C197" s="1" t="s">
        <v>358</v>
      </c>
      <c r="D197" s="3" t="str">
        <f>IFERROR(VLOOKUP(B197,'Message Lookup'!A:G,7,FALSE),"")</f>
        <v/>
      </c>
    </row>
    <row r="198" spans="1:4" x14ac:dyDescent="0.25">
      <c r="A198" s="1">
        <v>11</v>
      </c>
      <c r="B198" s="1" t="s">
        <v>154</v>
      </c>
      <c r="C198" s="1" t="s">
        <v>359</v>
      </c>
      <c r="D198" s="3" t="str">
        <f>IFERROR(VLOOKUP(B198,'Message Lookup'!A:G,7,FALSE),"")</f>
        <v/>
      </c>
    </row>
    <row r="199" spans="1:4" x14ac:dyDescent="0.25">
      <c r="A199" s="1">
        <v>11</v>
      </c>
      <c r="B199" s="1" t="s">
        <v>155</v>
      </c>
      <c r="C199" s="1" t="s">
        <v>360</v>
      </c>
      <c r="D199" s="3" t="str">
        <f>IFERROR(VLOOKUP(B199,'Message Lookup'!A:G,7,FALSE),"")</f>
        <v/>
      </c>
    </row>
    <row r="200" spans="1:4" x14ac:dyDescent="0.25">
      <c r="A200" s="1">
        <v>11</v>
      </c>
      <c r="B200" s="1" t="s">
        <v>156</v>
      </c>
      <c r="C200" s="1" t="s">
        <v>361</v>
      </c>
      <c r="D200" s="3" t="str">
        <f>IFERROR(VLOOKUP(B200,'Message Lookup'!A:G,7,FALSE),"")</f>
        <v/>
      </c>
    </row>
    <row r="201" spans="1:4" x14ac:dyDescent="0.25">
      <c r="A201" s="1">
        <v>11</v>
      </c>
      <c r="B201" s="1" t="s">
        <v>157</v>
      </c>
      <c r="C201" s="1" t="s">
        <v>362</v>
      </c>
      <c r="D201" s="3" t="str">
        <f>IFERROR(VLOOKUP(B201,'Message Lookup'!A:G,7,FALSE),"")</f>
        <v/>
      </c>
    </row>
    <row r="202" spans="1:4" x14ac:dyDescent="0.25">
      <c r="A202" s="1">
        <v>11</v>
      </c>
      <c r="B202" s="1" t="s">
        <v>158</v>
      </c>
      <c r="C202" s="1" t="s">
        <v>363</v>
      </c>
      <c r="D202" s="3" t="str">
        <f>IFERROR(VLOOKUP(B202,'Message Lookup'!A:G,7,FALSE),"")</f>
        <v/>
      </c>
    </row>
    <row r="203" spans="1:4" x14ac:dyDescent="0.25">
      <c r="A203" s="1">
        <v>11</v>
      </c>
      <c r="B203" s="1" t="s">
        <v>159</v>
      </c>
      <c r="C203" s="1" t="s">
        <v>364</v>
      </c>
      <c r="D203" s="3" t="str">
        <f>IFERROR(VLOOKUP(B203,'Message Lookup'!A:G,7,FALSE),"")</f>
        <v/>
      </c>
    </row>
    <row r="204" spans="1:4" x14ac:dyDescent="0.25">
      <c r="A204" s="1">
        <v>11</v>
      </c>
      <c r="B204" s="1" t="s">
        <v>160</v>
      </c>
      <c r="C204" s="1" t="s">
        <v>365</v>
      </c>
      <c r="D204" s="3" t="str">
        <f>IFERROR(VLOOKUP(B204,'Message Lookup'!A:G,7,FALSE),"")</f>
        <v/>
      </c>
    </row>
    <row r="205" spans="1:4" x14ac:dyDescent="0.25">
      <c r="A205" s="1">
        <v>11</v>
      </c>
      <c r="B205" s="1" t="s">
        <v>161</v>
      </c>
      <c r="C205" s="1" t="s">
        <v>366</v>
      </c>
      <c r="D205" s="3" t="str">
        <f>IFERROR(VLOOKUP(B205,'Message Lookup'!A:G,7,FALSE),"")</f>
        <v/>
      </c>
    </row>
    <row r="206" spans="1:4" x14ac:dyDescent="0.25">
      <c r="A206" s="1">
        <v>11</v>
      </c>
      <c r="B206" s="1" t="s">
        <v>162</v>
      </c>
      <c r="C206" s="1" t="s">
        <v>367</v>
      </c>
      <c r="D206" s="3" t="str">
        <f>IFERROR(VLOOKUP(B206,'Message Lookup'!A:G,7,FALSE),"")</f>
        <v/>
      </c>
    </row>
    <row r="207" spans="1:4" x14ac:dyDescent="0.25">
      <c r="A207" s="1">
        <v>11</v>
      </c>
      <c r="B207" s="1" t="s">
        <v>163</v>
      </c>
      <c r="C207" s="1" t="s">
        <v>368</v>
      </c>
      <c r="D207" s="3" t="str">
        <f>IFERROR(VLOOKUP(B207,'Message Lookup'!A:G,7,FALSE),"")</f>
        <v/>
      </c>
    </row>
    <row r="208" spans="1:4" x14ac:dyDescent="0.25">
      <c r="A208" s="1">
        <v>11</v>
      </c>
      <c r="B208" s="1" t="s">
        <v>164</v>
      </c>
      <c r="C208" s="1" t="s">
        <v>369</v>
      </c>
      <c r="D208" s="3" t="str">
        <f>IFERROR(VLOOKUP(B208,'Message Lookup'!A:G,7,FALSE),"")</f>
        <v/>
      </c>
    </row>
    <row r="209" spans="1:4" x14ac:dyDescent="0.25">
      <c r="A209" s="1">
        <v>11</v>
      </c>
      <c r="B209" s="1" t="s">
        <v>165</v>
      </c>
      <c r="C209" s="1" t="s">
        <v>370</v>
      </c>
      <c r="D209" s="3" t="str">
        <f>IFERROR(VLOOKUP(B209,'Message Lookup'!A:G,7,FALSE),"")</f>
        <v/>
      </c>
    </row>
    <row r="210" spans="1:4" x14ac:dyDescent="0.25">
      <c r="A210" s="1">
        <v>11</v>
      </c>
      <c r="B210" s="1"/>
      <c r="C210" s="1"/>
      <c r="D210" s="3" t="str">
        <f>IFERROR(VLOOKUP(B210,'Message Lookup'!A:G,7,FALSE),"")</f>
        <v/>
      </c>
    </row>
    <row r="211" spans="1:4" x14ac:dyDescent="0.25">
      <c r="A211" s="1">
        <v>11</v>
      </c>
      <c r="B211" s="1"/>
      <c r="C211" s="1"/>
      <c r="D211" s="3" t="str">
        <f>IFERROR(VLOOKUP(B211,'Message Lookup'!A:G,7,FALSE),"")</f>
        <v/>
      </c>
    </row>
    <row r="212" spans="1:4" x14ac:dyDescent="0.25">
      <c r="A212" s="1">
        <v>12</v>
      </c>
      <c r="B212" s="1"/>
      <c r="C212" s="1" t="s">
        <v>354</v>
      </c>
      <c r="D212" s="3" t="str">
        <f>IFERROR(VLOOKUP(B212,'Message Lookup'!A:G,7,FALSE),"")</f>
        <v/>
      </c>
    </row>
    <row r="213" spans="1:4" x14ac:dyDescent="0.25">
      <c r="A213" s="1">
        <v>12</v>
      </c>
      <c r="B213" s="1" t="s">
        <v>166</v>
      </c>
      <c r="C213" s="1" t="s">
        <v>355</v>
      </c>
      <c r="D213" s="3" t="str">
        <f>IFERROR(VLOOKUP(B213,'Message Lookup'!A:G,7,FALSE),"")</f>
        <v/>
      </c>
    </row>
    <row r="214" spans="1:4" x14ac:dyDescent="0.25">
      <c r="A214" s="1">
        <v>12</v>
      </c>
      <c r="B214" s="1" t="s">
        <v>167</v>
      </c>
      <c r="C214" s="1" t="s">
        <v>356</v>
      </c>
      <c r="D214" s="3" t="str">
        <f>IFERROR(VLOOKUP(B214,'Message Lookup'!A:G,7,FALSE),"")</f>
        <v/>
      </c>
    </row>
    <row r="215" spans="1:4" x14ac:dyDescent="0.25">
      <c r="A215" s="1">
        <v>12</v>
      </c>
      <c r="B215" s="1" t="s">
        <v>168</v>
      </c>
      <c r="C215" s="1" t="s">
        <v>357</v>
      </c>
      <c r="D215" s="3" t="str">
        <f>IFERROR(VLOOKUP(B215,'Message Lookup'!A:G,7,FALSE),"")</f>
        <v/>
      </c>
    </row>
    <row r="216" spans="1:4" x14ac:dyDescent="0.25">
      <c r="A216" s="1">
        <v>12</v>
      </c>
      <c r="B216" s="1" t="s">
        <v>169</v>
      </c>
      <c r="C216" s="1" t="s">
        <v>358</v>
      </c>
      <c r="D216" s="3" t="str">
        <f>IFERROR(VLOOKUP(B216,'Message Lookup'!A:G,7,FALSE),"")</f>
        <v/>
      </c>
    </row>
    <row r="217" spans="1:4" x14ac:dyDescent="0.25">
      <c r="A217" s="1">
        <v>12</v>
      </c>
      <c r="B217" s="1" t="s">
        <v>170</v>
      </c>
      <c r="C217" s="1" t="s">
        <v>359</v>
      </c>
      <c r="D217" s="3" t="str">
        <f>IFERROR(VLOOKUP(B217,'Message Lookup'!A:G,7,FALSE),"")</f>
        <v/>
      </c>
    </row>
    <row r="218" spans="1:4" x14ac:dyDescent="0.25">
      <c r="A218" s="1">
        <v>12</v>
      </c>
      <c r="B218" s="1" t="s">
        <v>171</v>
      </c>
      <c r="C218" s="1" t="s">
        <v>360</v>
      </c>
      <c r="D218" s="3" t="str">
        <f>IFERROR(VLOOKUP(B218,'Message Lookup'!A:G,7,FALSE),"")</f>
        <v/>
      </c>
    </row>
    <row r="219" spans="1:4" x14ac:dyDescent="0.25">
      <c r="A219" s="1">
        <v>12</v>
      </c>
      <c r="B219" s="1" t="s">
        <v>172</v>
      </c>
      <c r="C219" s="1" t="s">
        <v>361</v>
      </c>
      <c r="D219" s="3" t="str">
        <f>IFERROR(VLOOKUP(B219,'Message Lookup'!A:G,7,FALSE),"")</f>
        <v/>
      </c>
    </row>
    <row r="220" spans="1:4" x14ac:dyDescent="0.25">
      <c r="A220" s="1">
        <v>12</v>
      </c>
      <c r="B220" s="1" t="s">
        <v>173</v>
      </c>
      <c r="C220" s="1" t="s">
        <v>362</v>
      </c>
      <c r="D220" s="3" t="str">
        <f>IFERROR(VLOOKUP(B220,'Message Lookup'!A:G,7,FALSE),"")</f>
        <v/>
      </c>
    </row>
    <row r="221" spans="1:4" x14ac:dyDescent="0.25">
      <c r="A221" s="1">
        <v>12</v>
      </c>
      <c r="B221" s="1" t="s">
        <v>174</v>
      </c>
      <c r="C221" s="1" t="s">
        <v>363</v>
      </c>
      <c r="D221" s="3" t="str">
        <f>IFERROR(VLOOKUP(B221,'Message Lookup'!A:G,7,FALSE),"")</f>
        <v/>
      </c>
    </row>
    <row r="222" spans="1:4" x14ac:dyDescent="0.25">
      <c r="A222" s="1">
        <v>12</v>
      </c>
      <c r="B222" s="1" t="s">
        <v>175</v>
      </c>
      <c r="C222" s="1" t="s">
        <v>364</v>
      </c>
      <c r="D222" s="3" t="str">
        <f>IFERROR(VLOOKUP(B222,'Message Lookup'!A:G,7,FALSE),"")</f>
        <v/>
      </c>
    </row>
    <row r="223" spans="1:4" x14ac:dyDescent="0.25">
      <c r="A223" s="1">
        <v>12</v>
      </c>
      <c r="B223" s="1" t="s">
        <v>176</v>
      </c>
      <c r="C223" s="1" t="s">
        <v>365</v>
      </c>
      <c r="D223" s="3" t="str">
        <f>IFERROR(VLOOKUP(B223,'Message Lookup'!A:G,7,FALSE),"")</f>
        <v/>
      </c>
    </row>
    <row r="224" spans="1:4" x14ac:dyDescent="0.25">
      <c r="A224" s="1">
        <v>12</v>
      </c>
      <c r="B224" s="1" t="s">
        <v>177</v>
      </c>
      <c r="C224" s="1" t="s">
        <v>366</v>
      </c>
      <c r="D224" s="3" t="str">
        <f>IFERROR(VLOOKUP(B224,'Message Lookup'!A:G,7,FALSE),"")</f>
        <v/>
      </c>
    </row>
    <row r="225" spans="1:4" x14ac:dyDescent="0.25">
      <c r="A225" s="1">
        <v>12</v>
      </c>
      <c r="B225" s="1" t="s">
        <v>178</v>
      </c>
      <c r="C225" s="1" t="s">
        <v>367</v>
      </c>
      <c r="D225" s="3" t="str">
        <f>IFERROR(VLOOKUP(B225,'Message Lookup'!A:G,7,FALSE),"")</f>
        <v/>
      </c>
    </row>
    <row r="226" spans="1:4" x14ac:dyDescent="0.25">
      <c r="A226" s="1">
        <v>12</v>
      </c>
      <c r="B226" s="1" t="s">
        <v>179</v>
      </c>
      <c r="C226" s="1" t="s">
        <v>368</v>
      </c>
      <c r="D226" s="3" t="str">
        <f>IFERROR(VLOOKUP(B226,'Message Lookup'!A:G,7,FALSE),"")</f>
        <v/>
      </c>
    </row>
    <row r="227" spans="1:4" x14ac:dyDescent="0.25">
      <c r="A227" s="1">
        <v>12</v>
      </c>
      <c r="B227" s="1" t="s">
        <v>180</v>
      </c>
      <c r="C227" s="1" t="s">
        <v>369</v>
      </c>
      <c r="D227" s="3" t="str">
        <f>IFERROR(VLOOKUP(B227,'Message Lookup'!A:G,7,FALSE),"")</f>
        <v/>
      </c>
    </row>
    <row r="228" spans="1:4" x14ac:dyDescent="0.25">
      <c r="A228" s="1">
        <v>12</v>
      </c>
      <c r="B228" s="1" t="s">
        <v>181</v>
      </c>
      <c r="C228" s="1" t="s">
        <v>370</v>
      </c>
      <c r="D228" s="3" t="str">
        <f>IFERROR(VLOOKUP(B228,'Message Lookup'!A:G,7,FALSE),"")</f>
        <v/>
      </c>
    </row>
    <row r="229" spans="1:4" x14ac:dyDescent="0.25">
      <c r="A229" s="1">
        <v>12</v>
      </c>
      <c r="B229" s="1"/>
      <c r="C229" s="1"/>
      <c r="D229" s="3" t="str">
        <f>IFERROR(VLOOKUP(B229,'Message Lookup'!A:G,7,FALSE),"")</f>
        <v/>
      </c>
    </row>
    <row r="230" spans="1:4" x14ac:dyDescent="0.25">
      <c r="A230" s="1">
        <v>12</v>
      </c>
      <c r="B230" s="1"/>
      <c r="C230" s="1"/>
      <c r="D230" s="3" t="str">
        <f>IFERROR(VLOOKUP(B230,'Message Lookup'!A:G,7,FALSE),"")</f>
        <v/>
      </c>
    </row>
    <row r="231" spans="1:4" x14ac:dyDescent="0.25">
      <c r="A231" s="1">
        <v>13</v>
      </c>
      <c r="B231" s="1"/>
      <c r="C231" s="1" t="s">
        <v>354</v>
      </c>
      <c r="D231" s="3" t="str">
        <f>IFERROR(VLOOKUP(B231,'Message Lookup'!A:G,7,FALSE),"")</f>
        <v/>
      </c>
    </row>
    <row r="232" spans="1:4" x14ac:dyDescent="0.25">
      <c r="A232" s="1">
        <v>13</v>
      </c>
      <c r="B232" s="1" t="s">
        <v>182</v>
      </c>
      <c r="C232" s="1" t="s">
        <v>355</v>
      </c>
      <c r="D232" s="3" t="str">
        <f>IFERROR(VLOOKUP(B232,'Message Lookup'!A:G,7,FALSE),"")</f>
        <v/>
      </c>
    </row>
    <row r="233" spans="1:4" x14ac:dyDescent="0.25">
      <c r="A233" s="1">
        <v>13</v>
      </c>
      <c r="B233" s="1" t="s">
        <v>183</v>
      </c>
      <c r="C233" s="1" t="s">
        <v>356</v>
      </c>
      <c r="D233" s="3" t="str">
        <f>IFERROR(VLOOKUP(B233,'Message Lookup'!A:G,7,FALSE),"")</f>
        <v/>
      </c>
    </row>
    <row r="234" spans="1:4" x14ac:dyDescent="0.25">
      <c r="A234" s="1">
        <v>13</v>
      </c>
      <c r="B234" s="1" t="s">
        <v>184</v>
      </c>
      <c r="C234" s="1" t="s">
        <v>357</v>
      </c>
      <c r="D234" s="3" t="str">
        <f>IFERROR(VLOOKUP(B234,'Message Lookup'!A:G,7,FALSE),"")</f>
        <v/>
      </c>
    </row>
    <row r="235" spans="1:4" x14ac:dyDescent="0.25">
      <c r="A235" s="1">
        <v>13</v>
      </c>
      <c r="B235" s="1" t="s">
        <v>185</v>
      </c>
      <c r="C235" s="1" t="s">
        <v>358</v>
      </c>
      <c r="D235" s="3" t="str">
        <f>IFERROR(VLOOKUP(B235,'Message Lookup'!A:G,7,FALSE),"")</f>
        <v/>
      </c>
    </row>
    <row r="236" spans="1:4" x14ac:dyDescent="0.25">
      <c r="A236" s="1">
        <v>13</v>
      </c>
      <c r="B236" s="1" t="s">
        <v>186</v>
      </c>
      <c r="C236" s="1" t="s">
        <v>359</v>
      </c>
      <c r="D236" s="3" t="str">
        <f>IFERROR(VLOOKUP(B236,'Message Lookup'!A:G,7,FALSE),"")</f>
        <v/>
      </c>
    </row>
    <row r="237" spans="1:4" x14ac:dyDescent="0.25">
      <c r="A237" s="1">
        <v>13</v>
      </c>
      <c r="B237" s="1" t="s">
        <v>187</v>
      </c>
      <c r="C237" s="1" t="s">
        <v>360</v>
      </c>
      <c r="D237" s="3" t="str">
        <f>IFERROR(VLOOKUP(B237,'Message Lookup'!A:G,7,FALSE),"")</f>
        <v/>
      </c>
    </row>
    <row r="238" spans="1:4" x14ac:dyDescent="0.25">
      <c r="A238" s="1">
        <v>13</v>
      </c>
      <c r="B238" s="1" t="s">
        <v>188</v>
      </c>
      <c r="C238" s="1" t="s">
        <v>361</v>
      </c>
      <c r="D238" s="3" t="str">
        <f>IFERROR(VLOOKUP(B238,'Message Lookup'!A:G,7,FALSE),"")</f>
        <v/>
      </c>
    </row>
    <row r="239" spans="1:4" x14ac:dyDescent="0.25">
      <c r="A239" s="1">
        <v>13</v>
      </c>
      <c r="B239" s="1" t="s">
        <v>189</v>
      </c>
      <c r="C239" s="1" t="s">
        <v>362</v>
      </c>
      <c r="D239" s="3" t="str">
        <f>IFERROR(VLOOKUP(B239,'Message Lookup'!A:G,7,FALSE),"")</f>
        <v/>
      </c>
    </row>
    <row r="240" spans="1:4" x14ac:dyDescent="0.25">
      <c r="A240" s="1">
        <v>13</v>
      </c>
      <c r="B240" s="1" t="s">
        <v>190</v>
      </c>
      <c r="C240" s="1" t="s">
        <v>363</v>
      </c>
      <c r="D240" s="3" t="str">
        <f>IFERROR(VLOOKUP(B240,'Message Lookup'!A:G,7,FALSE),"")</f>
        <v/>
      </c>
    </row>
    <row r="241" spans="1:4" x14ac:dyDescent="0.25">
      <c r="A241" s="1">
        <v>13</v>
      </c>
      <c r="B241" s="1" t="s">
        <v>191</v>
      </c>
      <c r="C241" s="1" t="s">
        <v>364</v>
      </c>
      <c r="D241" s="3" t="str">
        <f>IFERROR(VLOOKUP(B241,'Message Lookup'!A:G,7,FALSE),"")</f>
        <v/>
      </c>
    </row>
    <row r="242" spans="1:4" x14ac:dyDescent="0.25">
      <c r="A242" s="1">
        <v>13</v>
      </c>
      <c r="B242" s="1" t="s">
        <v>192</v>
      </c>
      <c r="C242" s="1" t="s">
        <v>365</v>
      </c>
      <c r="D242" s="3" t="str">
        <f>IFERROR(VLOOKUP(B242,'Message Lookup'!A:G,7,FALSE),"")</f>
        <v/>
      </c>
    </row>
    <row r="243" spans="1:4" x14ac:dyDescent="0.25">
      <c r="A243" s="1">
        <v>13</v>
      </c>
      <c r="B243" s="1" t="s">
        <v>193</v>
      </c>
      <c r="C243" s="1" t="s">
        <v>366</v>
      </c>
      <c r="D243" s="3" t="str">
        <f>IFERROR(VLOOKUP(B243,'Message Lookup'!A:G,7,FALSE),"")</f>
        <v/>
      </c>
    </row>
    <row r="244" spans="1:4" x14ac:dyDescent="0.25">
      <c r="A244" s="1">
        <v>13</v>
      </c>
      <c r="B244" s="1" t="s">
        <v>194</v>
      </c>
      <c r="C244" s="1" t="s">
        <v>367</v>
      </c>
      <c r="D244" s="3" t="str">
        <f>IFERROR(VLOOKUP(B244,'Message Lookup'!A:G,7,FALSE),"")</f>
        <v/>
      </c>
    </row>
    <row r="245" spans="1:4" x14ac:dyDescent="0.25">
      <c r="A245" s="1">
        <v>13</v>
      </c>
      <c r="B245" s="1" t="s">
        <v>195</v>
      </c>
      <c r="C245" s="1" t="s">
        <v>368</v>
      </c>
      <c r="D245" s="3" t="str">
        <f>IFERROR(VLOOKUP(B245,'Message Lookup'!A:G,7,FALSE),"")</f>
        <v/>
      </c>
    </row>
    <row r="246" spans="1:4" x14ac:dyDescent="0.25">
      <c r="A246" s="1">
        <v>13</v>
      </c>
      <c r="B246" s="1" t="s">
        <v>196</v>
      </c>
      <c r="C246" s="1" t="s">
        <v>369</v>
      </c>
      <c r="D246" s="3" t="str">
        <f>IFERROR(VLOOKUP(B246,'Message Lookup'!A:G,7,FALSE),"")</f>
        <v/>
      </c>
    </row>
    <row r="247" spans="1:4" x14ac:dyDescent="0.25">
      <c r="A247" s="1">
        <v>13</v>
      </c>
      <c r="B247" s="1" t="s">
        <v>197</v>
      </c>
      <c r="C247" s="1" t="s">
        <v>370</v>
      </c>
      <c r="D247" s="3" t="str">
        <f>IFERROR(VLOOKUP(B247,'Message Lookup'!A:G,7,FALSE),"")</f>
        <v/>
      </c>
    </row>
    <row r="248" spans="1:4" x14ac:dyDescent="0.25">
      <c r="A248" s="1">
        <v>13</v>
      </c>
      <c r="B248" s="1"/>
      <c r="C248" s="1"/>
      <c r="D248" s="3" t="str">
        <f>IFERROR(VLOOKUP(B248,'Message Lookup'!A:G,7,FALSE),"")</f>
        <v/>
      </c>
    </row>
    <row r="249" spans="1:4" x14ac:dyDescent="0.25">
      <c r="A249" s="1">
        <v>13</v>
      </c>
      <c r="B249" s="1"/>
      <c r="C249" s="1"/>
      <c r="D249" s="3" t="str">
        <f>IFERROR(VLOOKUP(B249,'Message Lookup'!A:G,7,FALSE),"")</f>
        <v/>
      </c>
    </row>
    <row r="250" spans="1:4" x14ac:dyDescent="0.25">
      <c r="A250" s="1">
        <v>14</v>
      </c>
      <c r="B250" s="1"/>
      <c r="C250" s="1" t="s">
        <v>354</v>
      </c>
      <c r="D250" s="3" t="str">
        <f>IFERROR(VLOOKUP(B250,'Message Lookup'!A:G,7,FALSE),"")</f>
        <v/>
      </c>
    </row>
    <row r="251" spans="1:4" x14ac:dyDescent="0.25">
      <c r="A251" s="1">
        <v>14</v>
      </c>
      <c r="B251" s="1" t="s">
        <v>198</v>
      </c>
      <c r="C251" s="1" t="s">
        <v>355</v>
      </c>
      <c r="D251" s="3" t="str">
        <f>IFERROR(VLOOKUP(B251,'Message Lookup'!A:G,7,FALSE),"")</f>
        <v/>
      </c>
    </row>
    <row r="252" spans="1:4" x14ac:dyDescent="0.25">
      <c r="A252" s="1">
        <v>14</v>
      </c>
      <c r="B252" s="1" t="s">
        <v>199</v>
      </c>
      <c r="C252" s="1" t="s">
        <v>356</v>
      </c>
      <c r="D252" s="3" t="str">
        <f>IFERROR(VLOOKUP(B252,'Message Lookup'!A:G,7,FALSE),"")</f>
        <v/>
      </c>
    </row>
    <row r="253" spans="1:4" x14ac:dyDescent="0.25">
      <c r="A253" s="1">
        <v>14</v>
      </c>
      <c r="B253" s="1" t="s">
        <v>200</v>
      </c>
      <c r="C253" s="1" t="s">
        <v>357</v>
      </c>
      <c r="D253" s="3" t="str">
        <f>IFERROR(VLOOKUP(B253,'Message Lookup'!A:G,7,FALSE),"")</f>
        <v/>
      </c>
    </row>
    <row r="254" spans="1:4" x14ac:dyDescent="0.25">
      <c r="A254" s="1">
        <v>14</v>
      </c>
      <c r="B254" s="1" t="s">
        <v>201</v>
      </c>
      <c r="C254" s="1" t="s">
        <v>358</v>
      </c>
      <c r="D254" s="3" t="str">
        <f>IFERROR(VLOOKUP(B254,'Message Lookup'!A:G,7,FALSE),"")</f>
        <v/>
      </c>
    </row>
    <row r="255" spans="1:4" x14ac:dyDescent="0.25">
      <c r="A255" s="1">
        <v>14</v>
      </c>
      <c r="B255" s="1" t="s">
        <v>202</v>
      </c>
      <c r="C255" s="1" t="s">
        <v>359</v>
      </c>
      <c r="D255" s="3" t="str">
        <f>IFERROR(VLOOKUP(B255,'Message Lookup'!A:G,7,FALSE),"")</f>
        <v/>
      </c>
    </row>
    <row r="256" spans="1:4" x14ac:dyDescent="0.25">
      <c r="A256" s="1">
        <v>14</v>
      </c>
      <c r="B256" s="1" t="s">
        <v>203</v>
      </c>
      <c r="C256" s="1" t="s">
        <v>360</v>
      </c>
      <c r="D256" s="3" t="str">
        <f>IFERROR(VLOOKUP(B256,'Message Lookup'!A:G,7,FALSE),"")</f>
        <v/>
      </c>
    </row>
    <row r="257" spans="1:4" x14ac:dyDescent="0.25">
      <c r="A257" s="1">
        <v>14</v>
      </c>
      <c r="B257" s="1" t="s">
        <v>204</v>
      </c>
      <c r="C257" s="1" t="s">
        <v>361</v>
      </c>
      <c r="D257" s="3" t="str">
        <f>IFERROR(VLOOKUP(B257,'Message Lookup'!A:G,7,FALSE),"")</f>
        <v/>
      </c>
    </row>
    <row r="258" spans="1:4" x14ac:dyDescent="0.25">
      <c r="A258" s="1">
        <v>14</v>
      </c>
      <c r="B258" s="1" t="s">
        <v>205</v>
      </c>
      <c r="C258" s="1" t="s">
        <v>362</v>
      </c>
      <c r="D258" s="3" t="str">
        <f>IFERROR(VLOOKUP(B258,'Message Lookup'!A:G,7,FALSE),"")</f>
        <v/>
      </c>
    </row>
    <row r="259" spans="1:4" x14ac:dyDescent="0.25">
      <c r="A259" s="1">
        <v>14</v>
      </c>
      <c r="B259" s="1" t="s">
        <v>206</v>
      </c>
      <c r="C259" s="1" t="s">
        <v>363</v>
      </c>
      <c r="D259" s="3" t="str">
        <f>IFERROR(VLOOKUP(B259,'Message Lookup'!A:G,7,FALSE),"")</f>
        <v/>
      </c>
    </row>
    <row r="260" spans="1:4" x14ac:dyDescent="0.25">
      <c r="A260" s="1">
        <v>14</v>
      </c>
      <c r="B260" s="1" t="s">
        <v>207</v>
      </c>
      <c r="C260" s="1" t="s">
        <v>364</v>
      </c>
      <c r="D260" s="3" t="str">
        <f>IFERROR(VLOOKUP(B260,'Message Lookup'!A:G,7,FALSE),"")</f>
        <v/>
      </c>
    </row>
    <row r="261" spans="1:4" x14ac:dyDescent="0.25">
      <c r="A261" s="1">
        <v>14</v>
      </c>
      <c r="B261" s="1" t="s">
        <v>208</v>
      </c>
      <c r="C261" s="1" t="s">
        <v>365</v>
      </c>
      <c r="D261" s="3" t="str">
        <f>IFERROR(VLOOKUP(B261,'Message Lookup'!A:G,7,FALSE),"")</f>
        <v/>
      </c>
    </row>
    <row r="262" spans="1:4" x14ac:dyDescent="0.25">
      <c r="A262" s="1">
        <v>14</v>
      </c>
      <c r="B262" s="1" t="s">
        <v>209</v>
      </c>
      <c r="C262" s="1" t="s">
        <v>366</v>
      </c>
      <c r="D262" s="3" t="str">
        <f>IFERROR(VLOOKUP(B262,'Message Lookup'!A:G,7,FALSE),"")</f>
        <v/>
      </c>
    </row>
    <row r="263" spans="1:4" x14ac:dyDescent="0.25">
      <c r="A263" s="1">
        <v>14</v>
      </c>
      <c r="B263" s="1" t="s">
        <v>210</v>
      </c>
      <c r="C263" s="1" t="s">
        <v>367</v>
      </c>
      <c r="D263" s="3" t="str">
        <f>IFERROR(VLOOKUP(B263,'Message Lookup'!A:G,7,FALSE),"")</f>
        <v/>
      </c>
    </row>
    <row r="264" spans="1:4" x14ac:dyDescent="0.25">
      <c r="A264" s="1">
        <v>14</v>
      </c>
      <c r="B264" s="1" t="s">
        <v>211</v>
      </c>
      <c r="C264" s="1" t="s">
        <v>368</v>
      </c>
      <c r="D264" s="3" t="str">
        <f>IFERROR(VLOOKUP(B264,'Message Lookup'!A:G,7,FALSE),"")</f>
        <v/>
      </c>
    </row>
    <row r="265" spans="1:4" x14ac:dyDescent="0.25">
      <c r="A265" s="1">
        <v>14</v>
      </c>
      <c r="B265" s="1" t="s">
        <v>212</v>
      </c>
      <c r="C265" s="1" t="s">
        <v>369</v>
      </c>
      <c r="D265" s="3" t="str">
        <f>IFERROR(VLOOKUP(B265,'Message Lookup'!A:G,7,FALSE),"")</f>
        <v/>
      </c>
    </row>
    <row r="266" spans="1:4" x14ac:dyDescent="0.25">
      <c r="A266" s="1">
        <v>14</v>
      </c>
      <c r="B266" s="1"/>
      <c r="C266" s="1" t="s">
        <v>370</v>
      </c>
      <c r="D266" s="3" t="str">
        <f>IFERROR(VLOOKUP(B266,'Message Lookup'!A:G,7,FALSE),"")</f>
        <v/>
      </c>
    </row>
    <row r="267" spans="1:4" x14ac:dyDescent="0.25">
      <c r="A267" s="1">
        <v>14</v>
      </c>
      <c r="B267" s="1"/>
      <c r="C267" s="1"/>
      <c r="D267" s="3" t="str">
        <f>IFERROR(VLOOKUP(B267,'Message Lookup'!A:G,7,FALSE),"")</f>
        <v/>
      </c>
    </row>
    <row r="268" spans="1:4" x14ac:dyDescent="0.25">
      <c r="A268" s="1">
        <v>14</v>
      </c>
      <c r="B268" s="1"/>
      <c r="C268" s="1"/>
      <c r="D268" s="3" t="str">
        <f>IFERROR(VLOOKUP(B268,'Message Lookup'!A:G,7,FALSE),"")</f>
        <v/>
      </c>
    </row>
    <row r="269" spans="1:4" x14ac:dyDescent="0.25">
      <c r="A269" s="1">
        <v>15</v>
      </c>
      <c r="B269" s="1"/>
      <c r="C269" s="1" t="s">
        <v>354</v>
      </c>
      <c r="D269" s="3" t="str">
        <f>IFERROR(VLOOKUP(B269,'Message Lookup'!A:G,7,FALSE),"")</f>
        <v/>
      </c>
    </row>
    <row r="270" spans="1:4" x14ac:dyDescent="0.25">
      <c r="A270" s="1">
        <v>15</v>
      </c>
      <c r="B270" s="1"/>
      <c r="C270" s="1" t="s">
        <v>355</v>
      </c>
      <c r="D270" s="3" t="str">
        <f>IFERROR(VLOOKUP(B270,'Message Lookup'!A:G,7,FALSE),"")</f>
        <v/>
      </c>
    </row>
    <row r="271" spans="1:4" x14ac:dyDescent="0.25">
      <c r="A271" s="1">
        <v>15</v>
      </c>
      <c r="B271" s="1"/>
      <c r="C271" s="1" t="s">
        <v>356</v>
      </c>
      <c r="D271" s="3" t="str">
        <f>IFERROR(VLOOKUP(B271,'Message Lookup'!A:G,7,FALSE),"")</f>
        <v/>
      </c>
    </row>
    <row r="272" spans="1:4" x14ac:dyDescent="0.25">
      <c r="A272" s="1">
        <v>15</v>
      </c>
      <c r="B272" s="1"/>
      <c r="C272" s="1" t="s">
        <v>357</v>
      </c>
      <c r="D272" s="3" t="str">
        <f>IFERROR(VLOOKUP(B272,'Message Lookup'!A:G,7,FALSE),"")</f>
        <v/>
      </c>
    </row>
    <row r="273" spans="1:4" x14ac:dyDescent="0.25">
      <c r="A273" s="1">
        <v>15</v>
      </c>
      <c r="B273" s="1"/>
      <c r="C273" s="1" t="s">
        <v>358</v>
      </c>
      <c r="D273" s="3" t="str">
        <f>IFERROR(VLOOKUP(B273,'Message Lookup'!A:G,7,FALSE),"")</f>
        <v/>
      </c>
    </row>
    <row r="274" spans="1:4" x14ac:dyDescent="0.25">
      <c r="A274" s="1">
        <v>15</v>
      </c>
      <c r="B274" s="1" t="s">
        <v>213</v>
      </c>
      <c r="C274" s="1" t="s">
        <v>359</v>
      </c>
      <c r="D274" s="3" t="str">
        <f>IFERROR(VLOOKUP(B274,'Message Lookup'!A:G,7,FALSE),"")</f>
        <v/>
      </c>
    </row>
    <row r="275" spans="1:4" x14ac:dyDescent="0.25">
      <c r="A275" s="1">
        <v>15</v>
      </c>
      <c r="B275" s="1" t="s">
        <v>214</v>
      </c>
      <c r="C275" s="1" t="s">
        <v>360</v>
      </c>
      <c r="D275" s="3" t="str">
        <f>IFERROR(VLOOKUP(B275,'Message Lookup'!A:G,7,FALSE),"")</f>
        <v/>
      </c>
    </row>
    <row r="276" spans="1:4" x14ac:dyDescent="0.25">
      <c r="A276" s="1">
        <v>15</v>
      </c>
      <c r="B276" s="1" t="s">
        <v>215</v>
      </c>
      <c r="C276" s="1" t="s">
        <v>361</v>
      </c>
      <c r="D276" s="3" t="str">
        <f>IFERROR(VLOOKUP(B276,'Message Lookup'!A:G,7,FALSE),"")</f>
        <v/>
      </c>
    </row>
    <row r="277" spans="1:4" x14ac:dyDescent="0.25">
      <c r="A277" s="1">
        <v>15</v>
      </c>
      <c r="B277" s="1" t="s">
        <v>216</v>
      </c>
      <c r="C277" s="1" t="s">
        <v>362</v>
      </c>
      <c r="D277" s="3" t="str">
        <f>IFERROR(VLOOKUP(B277,'Message Lookup'!A:G,7,FALSE),"")</f>
        <v/>
      </c>
    </row>
    <row r="278" spans="1:4" x14ac:dyDescent="0.25">
      <c r="A278" s="1">
        <v>15</v>
      </c>
      <c r="B278" s="1" t="s">
        <v>217</v>
      </c>
      <c r="C278" s="1" t="s">
        <v>363</v>
      </c>
      <c r="D278" s="3" t="str">
        <f>IFERROR(VLOOKUP(B278,'Message Lookup'!A:G,7,FALSE),"")</f>
        <v/>
      </c>
    </row>
    <row r="279" spans="1:4" x14ac:dyDescent="0.25">
      <c r="A279" s="1">
        <v>15</v>
      </c>
      <c r="B279" s="1" t="s">
        <v>218</v>
      </c>
      <c r="C279" s="1" t="s">
        <v>364</v>
      </c>
      <c r="D279" s="3" t="str">
        <f>IFERROR(VLOOKUP(B279,'Message Lookup'!A:G,7,FALSE),"")</f>
        <v/>
      </c>
    </row>
    <row r="280" spans="1:4" x14ac:dyDescent="0.25">
      <c r="A280" s="1">
        <v>15</v>
      </c>
      <c r="B280" s="1" t="s">
        <v>219</v>
      </c>
      <c r="C280" s="1" t="s">
        <v>365</v>
      </c>
      <c r="D280" s="3" t="str">
        <f>IFERROR(VLOOKUP(B280,'Message Lookup'!A:G,7,FALSE),"")</f>
        <v/>
      </c>
    </row>
    <row r="281" spans="1:4" x14ac:dyDescent="0.25">
      <c r="A281" s="1">
        <v>15</v>
      </c>
      <c r="B281" s="1" t="s">
        <v>220</v>
      </c>
      <c r="C281" s="1" t="s">
        <v>366</v>
      </c>
      <c r="D281" s="3" t="str">
        <f>IFERROR(VLOOKUP(B281,'Message Lookup'!A:G,7,FALSE),"")</f>
        <v/>
      </c>
    </row>
    <row r="282" spans="1:4" x14ac:dyDescent="0.25">
      <c r="A282" s="1">
        <v>15</v>
      </c>
      <c r="B282" s="1" t="s">
        <v>221</v>
      </c>
      <c r="C282" s="1" t="s">
        <v>367</v>
      </c>
      <c r="D282" s="3" t="str">
        <f>IFERROR(VLOOKUP(B282,'Message Lookup'!A:G,7,FALSE),"")</f>
        <v/>
      </c>
    </row>
    <row r="283" spans="1:4" x14ac:dyDescent="0.25">
      <c r="A283" s="1">
        <v>15</v>
      </c>
      <c r="B283" s="1" t="s">
        <v>222</v>
      </c>
      <c r="C283" s="1" t="s">
        <v>368</v>
      </c>
      <c r="D283" s="3" t="str">
        <f>IFERROR(VLOOKUP(B283,'Message Lookup'!A:G,7,FALSE),"")</f>
        <v/>
      </c>
    </row>
    <row r="284" spans="1:4" x14ac:dyDescent="0.25">
      <c r="A284" s="1">
        <v>15</v>
      </c>
      <c r="B284" s="1" t="s">
        <v>223</v>
      </c>
      <c r="C284" s="1" t="s">
        <v>369</v>
      </c>
      <c r="D284" s="3" t="str">
        <f>IFERROR(VLOOKUP(B284,'Message Lookup'!A:G,7,FALSE),"")</f>
        <v/>
      </c>
    </row>
    <row r="285" spans="1:4" x14ac:dyDescent="0.25">
      <c r="A285" s="1">
        <v>15</v>
      </c>
      <c r="B285" s="1" t="s">
        <v>224</v>
      </c>
      <c r="C285" s="1" t="s">
        <v>370</v>
      </c>
      <c r="D285" s="3" t="str">
        <f>IFERROR(VLOOKUP(B285,'Message Lookup'!A:G,7,FALSE),"")</f>
        <v/>
      </c>
    </row>
    <row r="286" spans="1:4" x14ac:dyDescent="0.25">
      <c r="A286" s="1">
        <v>15</v>
      </c>
      <c r="B286" s="1"/>
      <c r="C286" s="1"/>
      <c r="D286" s="3" t="str">
        <f>IFERROR(VLOOKUP(B286,'Message Lookup'!A:G,7,FALSE),"")</f>
        <v/>
      </c>
    </row>
    <row r="287" spans="1:4" x14ac:dyDescent="0.25">
      <c r="A287" s="1">
        <v>15</v>
      </c>
      <c r="B287" s="1"/>
      <c r="C287" s="1"/>
      <c r="D287" s="3" t="str">
        <f>IFERROR(VLOOKUP(B287,'Message Lookup'!A:G,7,FALSE),"")</f>
        <v/>
      </c>
    </row>
    <row r="288" spans="1:4" x14ac:dyDescent="0.25">
      <c r="A288" s="1">
        <v>16</v>
      </c>
      <c r="B288" s="1"/>
      <c r="C288" s="1" t="s">
        <v>354</v>
      </c>
      <c r="D288" s="3" t="str">
        <f>IFERROR(VLOOKUP(B288,'Message Lookup'!A:G,7,FALSE),"")</f>
        <v/>
      </c>
    </row>
    <row r="289" spans="1:4" x14ac:dyDescent="0.25">
      <c r="A289" s="1">
        <v>16</v>
      </c>
      <c r="B289" s="1" t="s">
        <v>225</v>
      </c>
      <c r="C289" s="1" t="s">
        <v>355</v>
      </c>
      <c r="D289" s="3" t="str">
        <f>IFERROR(VLOOKUP(B289,'Message Lookup'!A:G,7,FALSE),"")</f>
        <v/>
      </c>
    </row>
    <row r="290" spans="1:4" x14ac:dyDescent="0.25">
      <c r="A290" s="1">
        <v>16</v>
      </c>
      <c r="B290" s="1" t="s">
        <v>226</v>
      </c>
      <c r="C290" s="1" t="s">
        <v>356</v>
      </c>
      <c r="D290" s="3" t="str">
        <f>IFERROR(VLOOKUP(B290,'Message Lookup'!A:G,7,FALSE),"")</f>
        <v/>
      </c>
    </row>
    <row r="291" spans="1:4" x14ac:dyDescent="0.25">
      <c r="A291" s="1">
        <v>16</v>
      </c>
      <c r="B291" s="1" t="s">
        <v>227</v>
      </c>
      <c r="C291" s="1" t="s">
        <v>357</v>
      </c>
      <c r="D291" s="3" t="str">
        <f>IFERROR(VLOOKUP(B291,'Message Lookup'!A:G,7,FALSE),"")</f>
        <v/>
      </c>
    </row>
    <row r="292" spans="1:4" x14ac:dyDescent="0.25">
      <c r="A292" s="1">
        <v>16</v>
      </c>
      <c r="B292" s="1" t="s">
        <v>228</v>
      </c>
      <c r="C292" s="1" t="s">
        <v>358</v>
      </c>
      <c r="D292" s="3" t="str">
        <f>IFERROR(VLOOKUP(B292,'Message Lookup'!A:G,7,FALSE),"")</f>
        <v/>
      </c>
    </row>
    <row r="293" spans="1:4" x14ac:dyDescent="0.25">
      <c r="A293" s="1">
        <v>16</v>
      </c>
      <c r="B293" s="1" t="s">
        <v>229</v>
      </c>
      <c r="C293" s="1" t="s">
        <v>359</v>
      </c>
      <c r="D293" s="3" t="str">
        <f>IFERROR(VLOOKUP(B293,'Message Lookup'!A:G,7,FALSE),"")</f>
        <v/>
      </c>
    </row>
    <row r="294" spans="1:4" x14ac:dyDescent="0.25">
      <c r="A294" s="1">
        <v>16</v>
      </c>
      <c r="B294" s="1" t="s">
        <v>230</v>
      </c>
      <c r="C294" s="1" t="s">
        <v>360</v>
      </c>
      <c r="D294" s="3" t="str">
        <f>IFERROR(VLOOKUP(B294,'Message Lookup'!A:G,7,FALSE),"")</f>
        <v/>
      </c>
    </row>
    <row r="295" spans="1:4" x14ac:dyDescent="0.25">
      <c r="A295" s="1">
        <v>16</v>
      </c>
      <c r="B295" s="1" t="s">
        <v>231</v>
      </c>
      <c r="C295" s="1" t="s">
        <v>361</v>
      </c>
      <c r="D295" s="3" t="str">
        <f>IFERROR(VLOOKUP(B295,'Message Lookup'!A:G,7,FALSE),"")</f>
        <v/>
      </c>
    </row>
    <row r="296" spans="1:4" x14ac:dyDescent="0.25">
      <c r="A296" s="1">
        <v>16</v>
      </c>
      <c r="B296" s="1" t="s">
        <v>232</v>
      </c>
      <c r="C296" s="1" t="s">
        <v>362</v>
      </c>
      <c r="D296" s="3" t="str">
        <f>IFERROR(VLOOKUP(B296,'Message Lookup'!A:G,7,FALSE),"")</f>
        <v/>
      </c>
    </row>
    <row r="297" spans="1:4" x14ac:dyDescent="0.25">
      <c r="A297" s="1">
        <v>16</v>
      </c>
      <c r="B297" s="1" t="s">
        <v>233</v>
      </c>
      <c r="C297" s="1" t="s">
        <v>363</v>
      </c>
      <c r="D297" s="3" t="str">
        <f>IFERROR(VLOOKUP(B297,'Message Lookup'!A:G,7,FALSE),"")</f>
        <v/>
      </c>
    </row>
    <row r="298" spans="1:4" x14ac:dyDescent="0.25">
      <c r="A298" s="1">
        <v>16</v>
      </c>
      <c r="B298" s="1" t="s">
        <v>234</v>
      </c>
      <c r="C298" s="1" t="s">
        <v>364</v>
      </c>
      <c r="D298" s="3" t="str">
        <f>IFERROR(VLOOKUP(B298,'Message Lookup'!A:G,7,FALSE),"")</f>
        <v/>
      </c>
    </row>
    <row r="299" spans="1:4" x14ac:dyDescent="0.25">
      <c r="A299" s="1">
        <v>16</v>
      </c>
      <c r="B299" s="1" t="s">
        <v>235</v>
      </c>
      <c r="C299" s="1" t="s">
        <v>365</v>
      </c>
      <c r="D299" s="3" t="str">
        <f>IFERROR(VLOOKUP(B299,'Message Lookup'!A:G,7,FALSE),"")</f>
        <v/>
      </c>
    </row>
    <row r="300" spans="1:4" x14ac:dyDescent="0.25">
      <c r="A300" s="1">
        <v>16</v>
      </c>
      <c r="B300" s="1" t="s">
        <v>236</v>
      </c>
      <c r="C300" s="1" t="s">
        <v>366</v>
      </c>
      <c r="D300" s="3" t="str">
        <f>IFERROR(VLOOKUP(B300,'Message Lookup'!A:G,7,FALSE),"")</f>
        <v/>
      </c>
    </row>
    <row r="301" spans="1:4" x14ac:dyDescent="0.25">
      <c r="A301" s="1">
        <v>16</v>
      </c>
      <c r="B301" s="1" t="s">
        <v>237</v>
      </c>
      <c r="C301" s="1" t="s">
        <v>367</v>
      </c>
      <c r="D301" s="3" t="str">
        <f>IFERROR(VLOOKUP(B301,'Message Lookup'!A:G,7,FALSE),"")</f>
        <v/>
      </c>
    </row>
    <row r="302" spans="1:4" x14ac:dyDescent="0.25">
      <c r="A302" s="1">
        <v>16</v>
      </c>
      <c r="B302" s="1" t="s">
        <v>238</v>
      </c>
      <c r="C302" s="1" t="s">
        <v>368</v>
      </c>
      <c r="D302" s="3" t="str">
        <f>IFERROR(VLOOKUP(B302,'Message Lookup'!A:G,7,FALSE),"")</f>
        <v/>
      </c>
    </row>
    <row r="303" spans="1:4" x14ac:dyDescent="0.25">
      <c r="A303" s="1">
        <v>16</v>
      </c>
      <c r="B303" s="1" t="s">
        <v>239</v>
      </c>
      <c r="C303" s="1" t="s">
        <v>369</v>
      </c>
      <c r="D303" s="3" t="str">
        <f>IFERROR(VLOOKUP(B303,'Message Lookup'!A:G,7,FALSE),"")</f>
        <v/>
      </c>
    </row>
    <row r="304" spans="1:4" x14ac:dyDescent="0.25">
      <c r="A304" s="1">
        <v>16</v>
      </c>
      <c r="B304" s="1" t="s">
        <v>240</v>
      </c>
      <c r="C304" s="1" t="s">
        <v>370</v>
      </c>
      <c r="D304" s="3" t="str">
        <f>IFERROR(VLOOKUP(B304,'Message Lookup'!A:G,7,FALSE),"")</f>
        <v/>
      </c>
    </row>
    <row r="305" spans="1:4" x14ac:dyDescent="0.25">
      <c r="A305" s="1">
        <v>16</v>
      </c>
      <c r="B305" s="1"/>
      <c r="C305" s="1"/>
      <c r="D305" s="3" t="str">
        <f>IFERROR(VLOOKUP(B305,'Message Lookup'!A:G,7,FALSE),"")</f>
        <v/>
      </c>
    </row>
    <row r="306" spans="1:4" x14ac:dyDescent="0.25">
      <c r="A306" s="1">
        <v>16</v>
      </c>
      <c r="B306" s="1"/>
      <c r="C306" s="1"/>
      <c r="D306" s="3" t="str">
        <f>IFERROR(VLOOKUP(B306,'Message Lookup'!A:G,7,FALSE),"")</f>
        <v/>
      </c>
    </row>
    <row r="307" spans="1:4" x14ac:dyDescent="0.25">
      <c r="A307" s="1">
        <v>17</v>
      </c>
      <c r="B307" s="1"/>
      <c r="C307" s="1" t="s">
        <v>354</v>
      </c>
      <c r="D307" s="3" t="str">
        <f>IFERROR(VLOOKUP(B307,'Message Lookup'!A:G,7,FALSE),"")</f>
        <v/>
      </c>
    </row>
    <row r="308" spans="1:4" x14ac:dyDescent="0.25">
      <c r="A308" s="1">
        <v>17</v>
      </c>
      <c r="B308" s="1" t="s">
        <v>241</v>
      </c>
      <c r="C308" s="1" t="s">
        <v>355</v>
      </c>
      <c r="D308" s="3" t="str">
        <f>IFERROR(VLOOKUP(B308,'Message Lookup'!A:G,7,FALSE),"")</f>
        <v/>
      </c>
    </row>
    <row r="309" spans="1:4" x14ac:dyDescent="0.25">
      <c r="A309" s="1">
        <v>17</v>
      </c>
      <c r="B309" s="1" t="s">
        <v>242</v>
      </c>
      <c r="C309" s="1" t="s">
        <v>356</v>
      </c>
      <c r="D309" s="3" t="str">
        <f>IFERROR(VLOOKUP(B309,'Message Lookup'!A:G,7,FALSE),"")</f>
        <v/>
      </c>
    </row>
    <row r="310" spans="1:4" x14ac:dyDescent="0.25">
      <c r="A310" s="1">
        <v>17</v>
      </c>
      <c r="B310" s="1" t="s">
        <v>243</v>
      </c>
      <c r="C310" s="1" t="s">
        <v>357</v>
      </c>
      <c r="D310" s="3" t="str">
        <f>IFERROR(VLOOKUP(B310,'Message Lookup'!A:G,7,FALSE),"")</f>
        <v/>
      </c>
    </row>
    <row r="311" spans="1:4" x14ac:dyDescent="0.25">
      <c r="A311" s="1">
        <v>17</v>
      </c>
      <c r="B311" s="1" t="s">
        <v>244</v>
      </c>
      <c r="C311" s="1" t="s">
        <v>358</v>
      </c>
      <c r="D311" s="3" t="str">
        <f>IFERROR(VLOOKUP(B311,'Message Lookup'!A:G,7,FALSE),"")</f>
        <v/>
      </c>
    </row>
    <row r="312" spans="1:4" x14ac:dyDescent="0.25">
      <c r="A312" s="1">
        <v>17</v>
      </c>
      <c r="B312" s="1" t="s">
        <v>245</v>
      </c>
      <c r="C312" s="1" t="s">
        <v>359</v>
      </c>
      <c r="D312" s="3" t="str">
        <f>IFERROR(VLOOKUP(B312,'Message Lookup'!A:G,7,FALSE),"")</f>
        <v/>
      </c>
    </row>
    <row r="313" spans="1:4" x14ac:dyDescent="0.25">
      <c r="A313" s="1">
        <v>17</v>
      </c>
      <c r="B313" s="1" t="s">
        <v>246</v>
      </c>
      <c r="C313" s="1" t="s">
        <v>360</v>
      </c>
      <c r="D313" s="3" t="str">
        <f>IFERROR(VLOOKUP(B313,'Message Lookup'!A:G,7,FALSE),"")</f>
        <v/>
      </c>
    </row>
    <row r="314" spans="1:4" x14ac:dyDescent="0.25">
      <c r="A314" s="1">
        <v>17</v>
      </c>
      <c r="B314" s="1" t="s">
        <v>247</v>
      </c>
      <c r="C314" s="1" t="s">
        <v>361</v>
      </c>
      <c r="D314" s="3" t="str">
        <f>IFERROR(VLOOKUP(B314,'Message Lookup'!A:G,7,FALSE),"")</f>
        <v/>
      </c>
    </row>
    <row r="315" spans="1:4" x14ac:dyDescent="0.25">
      <c r="A315" s="1">
        <v>17</v>
      </c>
      <c r="B315" s="1" t="s">
        <v>248</v>
      </c>
      <c r="C315" s="1" t="s">
        <v>362</v>
      </c>
      <c r="D315" s="3" t="str">
        <f>IFERROR(VLOOKUP(B315,'Message Lookup'!A:G,7,FALSE),"")</f>
        <v/>
      </c>
    </row>
    <row r="316" spans="1:4" x14ac:dyDescent="0.25">
      <c r="A316" s="1">
        <v>17</v>
      </c>
      <c r="B316" s="1" t="s">
        <v>249</v>
      </c>
      <c r="C316" s="1" t="s">
        <v>363</v>
      </c>
      <c r="D316" s="3" t="str">
        <f>IFERROR(VLOOKUP(B316,'Message Lookup'!A:G,7,FALSE),"")</f>
        <v/>
      </c>
    </row>
    <row r="317" spans="1:4" x14ac:dyDescent="0.25">
      <c r="A317" s="1">
        <v>17</v>
      </c>
      <c r="B317" s="1" t="s">
        <v>250</v>
      </c>
      <c r="C317" s="1" t="s">
        <v>364</v>
      </c>
      <c r="D317" s="3" t="str">
        <f>IFERROR(VLOOKUP(B317,'Message Lookup'!A:G,7,FALSE),"")</f>
        <v/>
      </c>
    </row>
    <row r="318" spans="1:4" x14ac:dyDescent="0.25">
      <c r="A318" s="1">
        <v>17</v>
      </c>
      <c r="B318" s="1" t="s">
        <v>251</v>
      </c>
      <c r="C318" s="1" t="s">
        <v>365</v>
      </c>
      <c r="D318" s="3" t="str">
        <f>IFERROR(VLOOKUP(B318,'Message Lookup'!A:G,7,FALSE),"")</f>
        <v/>
      </c>
    </row>
    <row r="319" spans="1:4" x14ac:dyDescent="0.25">
      <c r="A319" s="1">
        <v>17</v>
      </c>
      <c r="B319" s="1" t="s">
        <v>252</v>
      </c>
      <c r="C319" s="1" t="s">
        <v>366</v>
      </c>
      <c r="D319" s="3" t="str">
        <f>IFERROR(VLOOKUP(B319,'Message Lookup'!A:G,7,FALSE),"")</f>
        <v/>
      </c>
    </row>
    <row r="320" spans="1:4" x14ac:dyDescent="0.25">
      <c r="A320" s="1">
        <v>17</v>
      </c>
      <c r="B320" s="1" t="s">
        <v>253</v>
      </c>
      <c r="C320" s="1" t="s">
        <v>367</v>
      </c>
      <c r="D320" s="3" t="str">
        <f>IFERROR(VLOOKUP(B320,'Message Lookup'!A:G,7,FALSE),"")</f>
        <v/>
      </c>
    </row>
    <row r="321" spans="1:4" x14ac:dyDescent="0.25">
      <c r="A321" s="1">
        <v>17</v>
      </c>
      <c r="B321" s="1" t="s">
        <v>254</v>
      </c>
      <c r="C321" s="1" t="s">
        <v>368</v>
      </c>
      <c r="D321" s="3" t="str">
        <f>IFERROR(VLOOKUP(B321,'Message Lookup'!A:G,7,FALSE),"")</f>
        <v/>
      </c>
    </row>
    <row r="322" spans="1:4" x14ac:dyDescent="0.25">
      <c r="A322" s="1">
        <v>17</v>
      </c>
      <c r="B322" s="1" t="s">
        <v>255</v>
      </c>
      <c r="C322" s="1" t="s">
        <v>369</v>
      </c>
      <c r="D322" s="3" t="str">
        <f>IFERROR(VLOOKUP(B322,'Message Lookup'!A:G,7,FALSE),"")</f>
        <v/>
      </c>
    </row>
    <row r="323" spans="1:4" x14ac:dyDescent="0.25">
      <c r="A323" s="1">
        <v>17</v>
      </c>
      <c r="B323" s="1" t="s">
        <v>256</v>
      </c>
      <c r="C323" s="1" t="s">
        <v>370</v>
      </c>
      <c r="D323" s="3" t="str">
        <f>IFERROR(VLOOKUP(B323,'Message Lookup'!A:G,7,FALSE),"")</f>
        <v/>
      </c>
    </row>
    <row r="324" spans="1:4" x14ac:dyDescent="0.25">
      <c r="A324" s="1">
        <v>17</v>
      </c>
      <c r="B324" s="1"/>
      <c r="C324" s="1"/>
      <c r="D324" s="3" t="str">
        <f>IFERROR(VLOOKUP(B324,'Message Lookup'!A:G,7,FALSE),"")</f>
        <v/>
      </c>
    </row>
    <row r="325" spans="1:4" x14ac:dyDescent="0.25">
      <c r="A325" s="1">
        <v>17</v>
      </c>
      <c r="B325" s="1"/>
      <c r="C325" s="1"/>
      <c r="D325" s="3" t="str">
        <f>IFERROR(VLOOKUP(B325,'Message Lookup'!A:G,7,FALSE),"")</f>
        <v/>
      </c>
    </row>
    <row r="326" spans="1:4" x14ac:dyDescent="0.25">
      <c r="A326" s="1">
        <v>18</v>
      </c>
      <c r="B326" s="1"/>
      <c r="C326" s="1" t="s">
        <v>354</v>
      </c>
      <c r="D326" s="3" t="str">
        <f>IFERROR(VLOOKUP(B326,'Message Lookup'!A:G,7,FALSE),"")</f>
        <v/>
      </c>
    </row>
    <row r="327" spans="1:4" x14ac:dyDescent="0.25">
      <c r="A327" s="1">
        <v>18</v>
      </c>
      <c r="B327" s="1" t="s">
        <v>257</v>
      </c>
      <c r="C327" s="1" t="s">
        <v>355</v>
      </c>
      <c r="D327" s="3" t="str">
        <f>IFERROR(VLOOKUP(B327,'Message Lookup'!A:G,7,FALSE),"")</f>
        <v/>
      </c>
    </row>
    <row r="328" spans="1:4" x14ac:dyDescent="0.25">
      <c r="A328" s="1">
        <v>18</v>
      </c>
      <c r="B328" s="1" t="s">
        <v>258</v>
      </c>
      <c r="C328" s="1" t="s">
        <v>356</v>
      </c>
      <c r="D328" s="3" t="str">
        <f>IFERROR(VLOOKUP(B328,'Message Lookup'!A:G,7,FALSE),"")</f>
        <v/>
      </c>
    </row>
    <row r="329" spans="1:4" x14ac:dyDescent="0.25">
      <c r="A329" s="1">
        <v>18</v>
      </c>
      <c r="B329" s="1" t="s">
        <v>259</v>
      </c>
      <c r="C329" s="1" t="s">
        <v>357</v>
      </c>
      <c r="D329" s="3" t="str">
        <f>IFERROR(VLOOKUP(B329,'Message Lookup'!A:G,7,FALSE),"")</f>
        <v/>
      </c>
    </row>
    <row r="330" spans="1:4" x14ac:dyDescent="0.25">
      <c r="A330" s="1">
        <v>18</v>
      </c>
      <c r="B330" s="1" t="s">
        <v>260</v>
      </c>
      <c r="C330" s="1" t="s">
        <v>358</v>
      </c>
      <c r="D330" s="3" t="str">
        <f>IFERROR(VLOOKUP(B330,'Message Lookup'!A:G,7,FALSE),"")</f>
        <v/>
      </c>
    </row>
    <row r="331" spans="1:4" x14ac:dyDescent="0.25">
      <c r="A331" s="1">
        <v>18</v>
      </c>
      <c r="B331" s="1" t="s">
        <v>261</v>
      </c>
      <c r="C331" s="1" t="s">
        <v>359</v>
      </c>
      <c r="D331" s="3" t="str">
        <f>IFERROR(VLOOKUP(B331,'Message Lookup'!A:G,7,FALSE),"")</f>
        <v/>
      </c>
    </row>
    <row r="332" spans="1:4" x14ac:dyDescent="0.25">
      <c r="A332" s="1">
        <v>18</v>
      </c>
      <c r="B332" s="1" t="s">
        <v>262</v>
      </c>
      <c r="C332" s="1" t="s">
        <v>360</v>
      </c>
      <c r="D332" s="3" t="str">
        <f>IFERROR(VLOOKUP(B332,'Message Lookup'!A:G,7,FALSE),"")</f>
        <v/>
      </c>
    </row>
    <row r="333" spans="1:4" x14ac:dyDescent="0.25">
      <c r="A333" s="1">
        <v>18</v>
      </c>
      <c r="B333" s="1" t="s">
        <v>263</v>
      </c>
      <c r="C333" s="1" t="s">
        <v>361</v>
      </c>
      <c r="D333" s="3" t="str">
        <f>IFERROR(VLOOKUP(B333,'Message Lookup'!A:G,7,FALSE),"")</f>
        <v/>
      </c>
    </row>
    <row r="334" spans="1:4" x14ac:dyDescent="0.25">
      <c r="A334" s="1">
        <v>18</v>
      </c>
      <c r="B334" s="1" t="s">
        <v>264</v>
      </c>
      <c r="C334" s="1" t="s">
        <v>362</v>
      </c>
      <c r="D334" s="3" t="str">
        <f>IFERROR(VLOOKUP(B334,'Message Lookup'!A:G,7,FALSE),"")</f>
        <v/>
      </c>
    </row>
    <row r="335" spans="1:4" x14ac:dyDescent="0.25">
      <c r="A335" s="1">
        <v>18</v>
      </c>
      <c r="B335" s="1" t="s">
        <v>265</v>
      </c>
      <c r="C335" s="1" t="s">
        <v>363</v>
      </c>
      <c r="D335" s="3" t="str">
        <f>IFERROR(VLOOKUP(B335,'Message Lookup'!A:G,7,FALSE),"")</f>
        <v/>
      </c>
    </row>
    <row r="336" spans="1:4" x14ac:dyDescent="0.25">
      <c r="A336" s="1">
        <v>18</v>
      </c>
      <c r="B336" s="1" t="s">
        <v>266</v>
      </c>
      <c r="C336" s="1" t="s">
        <v>364</v>
      </c>
      <c r="D336" s="3" t="str">
        <f>IFERROR(VLOOKUP(B336,'Message Lookup'!A:G,7,FALSE),"")</f>
        <v/>
      </c>
    </row>
    <row r="337" spans="1:4" x14ac:dyDescent="0.25">
      <c r="A337" s="1">
        <v>18</v>
      </c>
      <c r="B337" s="1" t="s">
        <v>267</v>
      </c>
      <c r="C337" s="1" t="s">
        <v>365</v>
      </c>
      <c r="D337" s="3" t="str">
        <f>IFERROR(VLOOKUP(B337,'Message Lookup'!A:G,7,FALSE),"")</f>
        <v/>
      </c>
    </row>
    <row r="338" spans="1:4" x14ac:dyDescent="0.25">
      <c r="A338" s="1">
        <v>18</v>
      </c>
      <c r="B338" s="1" t="s">
        <v>268</v>
      </c>
      <c r="C338" s="1" t="s">
        <v>366</v>
      </c>
      <c r="D338" s="3" t="str">
        <f>IFERROR(VLOOKUP(B338,'Message Lookup'!A:G,7,FALSE),"")</f>
        <v/>
      </c>
    </row>
    <row r="339" spans="1:4" x14ac:dyDescent="0.25">
      <c r="A339" s="1">
        <v>18</v>
      </c>
      <c r="B339" s="1" t="s">
        <v>269</v>
      </c>
      <c r="C339" s="1" t="s">
        <v>367</v>
      </c>
      <c r="D339" s="3" t="str">
        <f>IFERROR(VLOOKUP(B339,'Message Lookup'!A:G,7,FALSE),"")</f>
        <v/>
      </c>
    </row>
    <row r="340" spans="1:4" x14ac:dyDescent="0.25">
      <c r="A340" s="1">
        <v>18</v>
      </c>
      <c r="B340" s="1" t="s">
        <v>270</v>
      </c>
      <c r="C340" s="1" t="s">
        <v>368</v>
      </c>
      <c r="D340" s="3" t="str">
        <f>IFERROR(VLOOKUP(B340,'Message Lookup'!A:G,7,FALSE),"")</f>
        <v/>
      </c>
    </row>
    <row r="341" spans="1:4" x14ac:dyDescent="0.25">
      <c r="A341" s="1">
        <v>18</v>
      </c>
      <c r="B341" s="1" t="s">
        <v>271</v>
      </c>
      <c r="C341" s="1" t="s">
        <v>369</v>
      </c>
      <c r="D341" s="3" t="str">
        <f>IFERROR(VLOOKUP(B341,'Message Lookup'!A:G,7,FALSE),"")</f>
        <v/>
      </c>
    </row>
    <row r="342" spans="1:4" x14ac:dyDescent="0.25">
      <c r="A342" s="1">
        <v>18</v>
      </c>
      <c r="B342" s="1" t="s">
        <v>272</v>
      </c>
      <c r="C342" s="1" t="s">
        <v>370</v>
      </c>
      <c r="D342" s="3" t="str">
        <f>IFERROR(VLOOKUP(B342,'Message Lookup'!A:G,7,FALSE),"")</f>
        <v/>
      </c>
    </row>
    <row r="343" spans="1:4" x14ac:dyDescent="0.25">
      <c r="A343" s="1">
        <v>18</v>
      </c>
      <c r="B343" s="1"/>
      <c r="C343" s="1"/>
      <c r="D343" s="3" t="str">
        <f>IFERROR(VLOOKUP(B343,'Message Lookup'!A:G,7,FALSE),"")</f>
        <v/>
      </c>
    </row>
    <row r="344" spans="1:4" x14ac:dyDescent="0.25">
      <c r="A344" s="1">
        <v>18</v>
      </c>
      <c r="B344" s="1"/>
      <c r="C344" s="1"/>
      <c r="D344" s="3" t="str">
        <f>IFERROR(VLOOKUP(B344,'Message Lookup'!A:G,7,FALSE),"")</f>
        <v/>
      </c>
    </row>
    <row r="345" spans="1:4" x14ac:dyDescent="0.25">
      <c r="A345" s="1">
        <v>19</v>
      </c>
      <c r="B345" s="1"/>
      <c r="C345" s="1" t="s">
        <v>354</v>
      </c>
      <c r="D345" s="3" t="str">
        <f>IFERROR(VLOOKUP(B345,'Message Lookup'!A:G,7,FALSE),"")</f>
        <v/>
      </c>
    </row>
    <row r="346" spans="1:4" x14ac:dyDescent="0.25">
      <c r="A346" s="1">
        <v>19</v>
      </c>
      <c r="B346" s="1" t="s">
        <v>273</v>
      </c>
      <c r="C346" s="1" t="s">
        <v>355</v>
      </c>
      <c r="D346" s="3" t="str">
        <f>IFERROR(VLOOKUP(B346,'Message Lookup'!A:G,7,FALSE),"")</f>
        <v/>
      </c>
    </row>
    <row r="347" spans="1:4" x14ac:dyDescent="0.25">
      <c r="A347" s="1">
        <v>19</v>
      </c>
      <c r="B347" s="1" t="s">
        <v>274</v>
      </c>
      <c r="C347" s="1" t="s">
        <v>356</v>
      </c>
      <c r="D347" s="3" t="str">
        <f>IFERROR(VLOOKUP(B347,'Message Lookup'!A:G,7,FALSE),"")</f>
        <v/>
      </c>
    </row>
    <row r="348" spans="1:4" x14ac:dyDescent="0.25">
      <c r="A348" s="1">
        <v>19</v>
      </c>
      <c r="B348" s="1" t="s">
        <v>275</v>
      </c>
      <c r="C348" s="1" t="s">
        <v>357</v>
      </c>
      <c r="D348" s="3" t="str">
        <f>IFERROR(VLOOKUP(B348,'Message Lookup'!A:G,7,FALSE),"")</f>
        <v/>
      </c>
    </row>
    <row r="349" spans="1:4" x14ac:dyDescent="0.25">
      <c r="A349" s="1">
        <v>19</v>
      </c>
      <c r="B349" s="1" t="s">
        <v>276</v>
      </c>
      <c r="C349" s="1" t="s">
        <v>358</v>
      </c>
      <c r="D349" s="3" t="str">
        <f>IFERROR(VLOOKUP(B349,'Message Lookup'!A:G,7,FALSE),"")</f>
        <v/>
      </c>
    </row>
    <row r="350" spans="1:4" x14ac:dyDescent="0.25">
      <c r="A350" s="1">
        <v>19</v>
      </c>
      <c r="B350" s="1" t="s">
        <v>277</v>
      </c>
      <c r="C350" s="1" t="s">
        <v>359</v>
      </c>
      <c r="D350" s="3" t="str">
        <f>IFERROR(VLOOKUP(B350,'Message Lookup'!A:G,7,FALSE),"")</f>
        <v/>
      </c>
    </row>
    <row r="351" spans="1:4" x14ac:dyDescent="0.25">
      <c r="A351" s="1">
        <v>19</v>
      </c>
      <c r="B351" s="1" t="s">
        <v>278</v>
      </c>
      <c r="C351" s="1" t="s">
        <v>360</v>
      </c>
      <c r="D351" s="3" t="str">
        <f>IFERROR(VLOOKUP(B351,'Message Lookup'!A:G,7,FALSE),"")</f>
        <v/>
      </c>
    </row>
    <row r="352" spans="1:4" x14ac:dyDescent="0.25">
      <c r="A352" s="1">
        <v>19</v>
      </c>
      <c r="B352" s="1" t="s">
        <v>279</v>
      </c>
      <c r="C352" s="1" t="s">
        <v>361</v>
      </c>
      <c r="D352" s="3" t="str">
        <f>IFERROR(VLOOKUP(B352,'Message Lookup'!A:G,7,FALSE),"")</f>
        <v/>
      </c>
    </row>
    <row r="353" spans="1:4" x14ac:dyDescent="0.25">
      <c r="A353" s="1">
        <v>19</v>
      </c>
      <c r="B353" s="1" t="s">
        <v>278</v>
      </c>
      <c r="C353" s="1" t="s">
        <v>362</v>
      </c>
      <c r="D353" s="3" t="str">
        <f>IFERROR(VLOOKUP(B353,'Message Lookup'!A:G,7,FALSE),"")</f>
        <v/>
      </c>
    </row>
    <row r="354" spans="1:4" x14ac:dyDescent="0.25">
      <c r="A354" s="1">
        <v>19</v>
      </c>
      <c r="B354" s="1"/>
      <c r="C354" s="1" t="s">
        <v>363</v>
      </c>
      <c r="D354" s="3" t="str">
        <f>IFERROR(VLOOKUP(B354,'Message Lookup'!A:G,7,FALSE),"")</f>
        <v/>
      </c>
    </row>
    <row r="355" spans="1:4" x14ac:dyDescent="0.25">
      <c r="A355" s="1">
        <v>19</v>
      </c>
      <c r="B355" s="1"/>
      <c r="C355" s="1" t="s">
        <v>364</v>
      </c>
      <c r="D355" s="3" t="str">
        <f>IFERROR(VLOOKUP(B355,'Message Lookup'!A:G,7,FALSE),"")</f>
        <v/>
      </c>
    </row>
    <row r="356" spans="1:4" x14ac:dyDescent="0.25">
      <c r="A356" s="1">
        <v>19</v>
      </c>
      <c r="B356" s="1"/>
      <c r="C356" s="1" t="s">
        <v>365</v>
      </c>
      <c r="D356" s="3" t="str">
        <f>IFERROR(VLOOKUP(B356,'Message Lookup'!A:G,7,FALSE),"")</f>
        <v/>
      </c>
    </row>
    <row r="357" spans="1:4" x14ac:dyDescent="0.25">
      <c r="A357" s="1">
        <v>19</v>
      </c>
      <c r="B357" s="1"/>
      <c r="C357" s="1" t="s">
        <v>366</v>
      </c>
      <c r="D357" s="3" t="str">
        <f>IFERROR(VLOOKUP(B357,'Message Lookup'!A:G,7,FALSE),"")</f>
        <v/>
      </c>
    </row>
    <row r="358" spans="1:4" x14ac:dyDescent="0.25">
      <c r="A358" s="1">
        <v>19</v>
      </c>
      <c r="B358" s="1"/>
      <c r="C358" s="1" t="s">
        <v>367</v>
      </c>
      <c r="D358" s="3" t="str">
        <f>IFERROR(VLOOKUP(B358,'Message Lookup'!A:G,7,FALSE),"")</f>
        <v/>
      </c>
    </row>
    <row r="359" spans="1:4" x14ac:dyDescent="0.25">
      <c r="A359" s="1">
        <v>19</v>
      </c>
      <c r="B359" s="1"/>
      <c r="C359" s="1" t="s">
        <v>368</v>
      </c>
      <c r="D359" s="3" t="str">
        <f>IFERROR(VLOOKUP(B359,'Message Lookup'!A:G,7,FALSE),"")</f>
        <v/>
      </c>
    </row>
    <row r="360" spans="1:4" x14ac:dyDescent="0.25">
      <c r="A360" s="1">
        <v>19</v>
      </c>
      <c r="B360" s="1"/>
      <c r="C360" s="1" t="s">
        <v>369</v>
      </c>
      <c r="D360" s="3" t="str">
        <f>IFERROR(VLOOKUP(B360,'Message Lookup'!A:G,7,FALSE),"")</f>
        <v/>
      </c>
    </row>
    <row r="361" spans="1:4" x14ac:dyDescent="0.25">
      <c r="A361" s="1">
        <v>19</v>
      </c>
      <c r="B361" s="1"/>
      <c r="C361" s="1" t="s">
        <v>370</v>
      </c>
      <c r="D361" s="3" t="str">
        <f>IFERROR(VLOOKUP(B361,'Message Lookup'!A:G,7,FALSE),"")</f>
        <v/>
      </c>
    </row>
    <row r="362" spans="1:4" x14ac:dyDescent="0.25">
      <c r="A362" s="1">
        <v>19</v>
      </c>
      <c r="B362" s="1"/>
      <c r="C362" s="1"/>
      <c r="D362" s="3" t="str">
        <f>IFERROR(VLOOKUP(B362,'Message Lookup'!A:G,7,FALSE),"")</f>
        <v/>
      </c>
    </row>
    <row r="363" spans="1:4" x14ac:dyDescent="0.25">
      <c r="A363" s="1">
        <v>19</v>
      </c>
      <c r="B363" s="1"/>
      <c r="C363" s="1"/>
      <c r="D363" s="3" t="str">
        <f>IFERROR(VLOOKUP(B363,'Message Lookup'!A:G,7,FALSE),"")</f>
        <v/>
      </c>
    </row>
    <row r="364" spans="1:4" x14ac:dyDescent="0.25">
      <c r="A364" s="1">
        <v>20</v>
      </c>
      <c r="B364" s="1"/>
      <c r="C364" s="1" t="s">
        <v>354</v>
      </c>
      <c r="D364" s="3" t="str">
        <f>IFERROR(VLOOKUP(B364,'Message Lookup'!A:G,7,FALSE),"")</f>
        <v/>
      </c>
    </row>
    <row r="365" spans="1:4" x14ac:dyDescent="0.25">
      <c r="A365" s="1">
        <v>20</v>
      </c>
      <c r="B365" s="1" t="s">
        <v>280</v>
      </c>
      <c r="C365" s="1" t="s">
        <v>355</v>
      </c>
      <c r="D365" s="3" t="str">
        <f>IFERROR(VLOOKUP(B365,'Message Lookup'!A:G,7,FALSE),"")</f>
        <v/>
      </c>
    </row>
    <row r="366" spans="1:4" x14ac:dyDescent="0.25">
      <c r="A366" s="1">
        <v>20</v>
      </c>
      <c r="B366" s="1" t="s">
        <v>281</v>
      </c>
      <c r="C366" s="1" t="s">
        <v>356</v>
      </c>
      <c r="D366" s="3" t="str">
        <f>IFERROR(VLOOKUP(B366,'Message Lookup'!A:G,7,FALSE),"")</f>
        <v/>
      </c>
    </row>
    <row r="367" spans="1:4" x14ac:dyDescent="0.25">
      <c r="A367" s="1">
        <v>20</v>
      </c>
      <c r="B367" s="1" t="s">
        <v>282</v>
      </c>
      <c r="C367" s="1" t="s">
        <v>357</v>
      </c>
      <c r="D367" s="3" t="str">
        <f>IFERROR(VLOOKUP(B367,'Message Lookup'!A:G,7,FALSE),"")</f>
        <v/>
      </c>
    </row>
    <row r="368" spans="1:4" x14ac:dyDescent="0.25">
      <c r="A368" s="1">
        <v>20</v>
      </c>
      <c r="B368" s="1" t="s">
        <v>283</v>
      </c>
      <c r="C368" s="1" t="s">
        <v>358</v>
      </c>
      <c r="D368" s="3" t="str">
        <f>IFERROR(VLOOKUP(B368,'Message Lookup'!A:G,7,FALSE),"")</f>
        <v/>
      </c>
    </row>
    <row r="369" spans="1:4" x14ac:dyDescent="0.25">
      <c r="A369" s="1">
        <v>20</v>
      </c>
      <c r="B369" s="1" t="s">
        <v>284</v>
      </c>
      <c r="C369" s="1" t="s">
        <v>359</v>
      </c>
      <c r="D369" s="3" t="str">
        <f>IFERROR(VLOOKUP(B369,'Message Lookup'!A:G,7,FALSE),"")</f>
        <v/>
      </c>
    </row>
    <row r="370" spans="1:4" x14ac:dyDescent="0.25">
      <c r="A370" s="1">
        <v>20</v>
      </c>
      <c r="B370" s="1" t="s">
        <v>285</v>
      </c>
      <c r="C370" s="1" t="s">
        <v>360</v>
      </c>
      <c r="D370" s="3" t="str">
        <f>IFERROR(VLOOKUP(B370,'Message Lookup'!A:G,7,FALSE),"")</f>
        <v/>
      </c>
    </row>
    <row r="371" spans="1:4" x14ac:dyDescent="0.25">
      <c r="A371" s="1">
        <v>20</v>
      </c>
      <c r="B371" s="1" t="s">
        <v>286</v>
      </c>
      <c r="C371" s="1" t="s">
        <v>361</v>
      </c>
      <c r="D371" s="3" t="str">
        <f>IFERROR(VLOOKUP(B371,'Message Lookup'!A:G,7,FALSE),"")</f>
        <v/>
      </c>
    </row>
    <row r="372" spans="1:4" x14ac:dyDescent="0.25">
      <c r="A372" s="1">
        <v>20</v>
      </c>
      <c r="B372" s="1" t="s">
        <v>287</v>
      </c>
      <c r="C372" s="1" t="s">
        <v>362</v>
      </c>
      <c r="D372" s="3" t="str">
        <f>IFERROR(VLOOKUP(B372,'Message Lookup'!A:G,7,FALSE),"")</f>
        <v/>
      </c>
    </row>
    <row r="373" spans="1:4" x14ac:dyDescent="0.25">
      <c r="A373" s="1">
        <v>20</v>
      </c>
      <c r="B373" s="1" t="s">
        <v>288</v>
      </c>
      <c r="C373" s="1" t="s">
        <v>363</v>
      </c>
      <c r="D373" s="3" t="str">
        <f>IFERROR(VLOOKUP(B373,'Message Lookup'!A:G,7,FALSE),"")</f>
        <v/>
      </c>
    </row>
    <row r="374" spans="1:4" x14ac:dyDescent="0.25">
      <c r="A374" s="1">
        <v>20</v>
      </c>
      <c r="B374" s="1" t="s">
        <v>289</v>
      </c>
      <c r="C374" s="1" t="s">
        <v>364</v>
      </c>
      <c r="D374" s="3" t="str">
        <f>IFERROR(VLOOKUP(B374,'Message Lookup'!A:G,7,FALSE),"")</f>
        <v/>
      </c>
    </row>
    <row r="375" spans="1:4" x14ac:dyDescent="0.25">
      <c r="A375" s="1">
        <v>20</v>
      </c>
      <c r="B375" s="1" t="s">
        <v>290</v>
      </c>
      <c r="C375" s="1" t="s">
        <v>365</v>
      </c>
      <c r="D375" s="3" t="str">
        <f>IFERROR(VLOOKUP(B375,'Message Lookup'!A:G,7,FALSE),"")</f>
        <v/>
      </c>
    </row>
    <row r="376" spans="1:4" x14ac:dyDescent="0.25">
      <c r="A376" s="1">
        <v>20</v>
      </c>
      <c r="B376" s="1" t="s">
        <v>291</v>
      </c>
      <c r="C376" s="1" t="s">
        <v>366</v>
      </c>
      <c r="D376" s="3" t="str">
        <f>IFERROR(VLOOKUP(B376,'Message Lookup'!A:G,7,FALSE),"")</f>
        <v/>
      </c>
    </row>
    <row r="377" spans="1:4" x14ac:dyDescent="0.25">
      <c r="A377" s="1">
        <v>20</v>
      </c>
      <c r="B377" s="1" t="s">
        <v>292</v>
      </c>
      <c r="C377" s="1" t="s">
        <v>367</v>
      </c>
      <c r="D377" s="3" t="str">
        <f>IFERROR(VLOOKUP(B377,'Message Lookup'!A:G,7,FALSE),"")</f>
        <v/>
      </c>
    </row>
    <row r="378" spans="1:4" x14ac:dyDescent="0.25">
      <c r="A378" s="1">
        <v>20</v>
      </c>
      <c r="B378" s="1" t="s">
        <v>293</v>
      </c>
      <c r="C378" s="1" t="s">
        <v>368</v>
      </c>
      <c r="D378" s="3" t="str">
        <f>IFERROR(VLOOKUP(B378,'Message Lookup'!A:G,7,FALSE),"")</f>
        <v/>
      </c>
    </row>
    <row r="379" spans="1:4" x14ac:dyDescent="0.25">
      <c r="A379" s="1">
        <v>20</v>
      </c>
      <c r="B379" s="1" t="s">
        <v>294</v>
      </c>
      <c r="C379" s="1" t="s">
        <v>369</v>
      </c>
      <c r="D379" s="3" t="str">
        <f>IFERROR(VLOOKUP(B379,'Message Lookup'!A:G,7,FALSE),"")</f>
        <v/>
      </c>
    </row>
    <row r="380" spans="1:4" x14ac:dyDescent="0.25">
      <c r="A380" s="1">
        <v>20</v>
      </c>
      <c r="B380" s="1" t="s">
        <v>295</v>
      </c>
      <c r="C380" s="1" t="s">
        <v>370</v>
      </c>
      <c r="D380" s="3" t="str">
        <f>IFERROR(VLOOKUP(B380,'Message Lookup'!A:G,7,FALSE),"")</f>
        <v/>
      </c>
    </row>
    <row r="381" spans="1:4" x14ac:dyDescent="0.25">
      <c r="A381" s="1">
        <v>20</v>
      </c>
      <c r="B381" s="1"/>
      <c r="C381" s="1"/>
      <c r="D381" s="3" t="str">
        <f>IFERROR(VLOOKUP(B381,'Message Lookup'!A:G,7,FALSE),"")</f>
        <v/>
      </c>
    </row>
    <row r="382" spans="1:4" x14ac:dyDescent="0.25">
      <c r="A382" s="1">
        <v>20</v>
      </c>
      <c r="B382" s="1"/>
      <c r="C382" s="1"/>
      <c r="D382" s="3" t="str">
        <f>IFERROR(VLOOKUP(B382,'Message Lookup'!A:G,7,FALSE),"")</f>
        <v/>
      </c>
    </row>
    <row r="383" spans="1:4" x14ac:dyDescent="0.25">
      <c r="A383" s="1">
        <v>21</v>
      </c>
      <c r="B383" s="1"/>
      <c r="C383" s="1" t="s">
        <v>354</v>
      </c>
      <c r="D383" s="3" t="str">
        <f>IFERROR(VLOOKUP(B383,'Message Lookup'!A:G,7,FALSE),"")</f>
        <v/>
      </c>
    </row>
    <row r="384" spans="1:4" x14ac:dyDescent="0.25">
      <c r="A384" s="1">
        <v>21</v>
      </c>
      <c r="B384" s="1" t="s">
        <v>296</v>
      </c>
      <c r="C384" s="1" t="s">
        <v>355</v>
      </c>
      <c r="D384" s="3" t="str">
        <f>IFERROR(VLOOKUP(B384,'Message Lookup'!A:G,7,FALSE),"")</f>
        <v/>
      </c>
    </row>
    <row r="385" spans="1:4" x14ac:dyDescent="0.25">
      <c r="A385" s="1">
        <v>21</v>
      </c>
      <c r="B385" s="1" t="s">
        <v>297</v>
      </c>
      <c r="C385" s="1" t="s">
        <v>356</v>
      </c>
      <c r="D385" s="3" t="str">
        <f>IFERROR(VLOOKUP(B385,'Message Lookup'!A:G,7,FALSE),"")</f>
        <v/>
      </c>
    </row>
    <row r="386" spans="1:4" x14ac:dyDescent="0.25">
      <c r="A386" s="1">
        <v>21</v>
      </c>
      <c r="B386" s="1" t="s">
        <v>298</v>
      </c>
      <c r="C386" s="1" t="s">
        <v>357</v>
      </c>
      <c r="D386" s="3" t="str">
        <f>IFERROR(VLOOKUP(B386,'Message Lookup'!A:G,7,FALSE),"")</f>
        <v/>
      </c>
    </row>
    <row r="387" spans="1:4" x14ac:dyDescent="0.25">
      <c r="A387" s="1">
        <v>21</v>
      </c>
      <c r="B387" s="1" t="s">
        <v>299</v>
      </c>
      <c r="C387" s="1" t="s">
        <v>358</v>
      </c>
      <c r="D387" s="3" t="str">
        <f>IFERROR(VLOOKUP(B387,'Message Lookup'!A:G,7,FALSE),"")</f>
        <v/>
      </c>
    </row>
    <row r="388" spans="1:4" x14ac:dyDescent="0.25">
      <c r="A388" s="1">
        <v>21</v>
      </c>
      <c r="B388" s="1" t="s">
        <v>300</v>
      </c>
      <c r="C388" s="1" t="s">
        <v>359</v>
      </c>
      <c r="D388" s="3" t="str">
        <f>IFERROR(VLOOKUP(B388,'Message Lookup'!A:G,7,FALSE),"")</f>
        <v/>
      </c>
    </row>
    <row r="389" spans="1:4" x14ac:dyDescent="0.25">
      <c r="A389" s="1">
        <v>21</v>
      </c>
      <c r="B389" s="1" t="s">
        <v>301</v>
      </c>
      <c r="C389" s="1" t="s">
        <v>360</v>
      </c>
      <c r="D389" s="3" t="str">
        <f>IFERROR(VLOOKUP(B389,'Message Lookup'!A:G,7,FALSE),"")</f>
        <v/>
      </c>
    </row>
    <row r="390" spans="1:4" x14ac:dyDescent="0.25">
      <c r="A390" s="1">
        <v>21</v>
      </c>
      <c r="B390" s="1" t="s">
        <v>302</v>
      </c>
      <c r="C390" s="1" t="s">
        <v>361</v>
      </c>
      <c r="D390" s="3" t="str">
        <f>IFERROR(VLOOKUP(B390,'Message Lookup'!A:G,7,FALSE),"")</f>
        <v/>
      </c>
    </row>
    <row r="391" spans="1:4" x14ac:dyDescent="0.25">
      <c r="A391" s="1">
        <v>21</v>
      </c>
      <c r="B391" s="1" t="s">
        <v>303</v>
      </c>
      <c r="C391" s="1" t="s">
        <v>362</v>
      </c>
      <c r="D391" s="3" t="str">
        <f>IFERROR(VLOOKUP(B391,'Message Lookup'!A:G,7,FALSE),"")</f>
        <v/>
      </c>
    </row>
    <row r="392" spans="1:4" x14ac:dyDescent="0.25">
      <c r="A392" s="1">
        <v>21</v>
      </c>
      <c r="B392" s="1" t="s">
        <v>304</v>
      </c>
      <c r="C392" s="1" t="s">
        <v>363</v>
      </c>
      <c r="D392" s="3" t="str">
        <f>IFERROR(VLOOKUP(B392,'Message Lookup'!A:G,7,FALSE),"")</f>
        <v/>
      </c>
    </row>
    <row r="393" spans="1:4" x14ac:dyDescent="0.25">
      <c r="A393" s="1">
        <v>21</v>
      </c>
      <c r="B393" s="1" t="s">
        <v>305</v>
      </c>
      <c r="C393" s="1" t="s">
        <v>364</v>
      </c>
      <c r="D393" s="3" t="str">
        <f>IFERROR(VLOOKUP(B393,'Message Lookup'!A:G,7,FALSE),"")</f>
        <v/>
      </c>
    </row>
    <row r="394" spans="1:4" x14ac:dyDescent="0.25">
      <c r="A394" s="1">
        <v>21</v>
      </c>
      <c r="B394" s="1" t="s">
        <v>306</v>
      </c>
      <c r="C394" s="1" t="s">
        <v>365</v>
      </c>
      <c r="D394" s="3" t="str">
        <f>IFERROR(VLOOKUP(B394,'Message Lookup'!A:G,7,FALSE),"")</f>
        <v/>
      </c>
    </row>
    <row r="395" spans="1:4" x14ac:dyDescent="0.25">
      <c r="A395" s="1">
        <v>21</v>
      </c>
      <c r="B395" s="1" t="s">
        <v>307</v>
      </c>
      <c r="C395" s="1" t="s">
        <v>366</v>
      </c>
      <c r="D395" s="3" t="str">
        <f>IFERROR(VLOOKUP(B395,'Message Lookup'!A:G,7,FALSE),"")</f>
        <v/>
      </c>
    </row>
    <row r="396" spans="1:4" x14ac:dyDescent="0.25">
      <c r="A396" s="1">
        <v>21</v>
      </c>
      <c r="B396" s="1" t="s">
        <v>308</v>
      </c>
      <c r="C396" s="1" t="s">
        <v>367</v>
      </c>
      <c r="D396" s="3" t="str">
        <f>IFERROR(VLOOKUP(B396,'Message Lookup'!A:G,7,FALSE),"")</f>
        <v/>
      </c>
    </row>
    <row r="397" spans="1:4" x14ac:dyDescent="0.25">
      <c r="A397" s="1">
        <v>21</v>
      </c>
      <c r="B397" s="1" t="s">
        <v>309</v>
      </c>
      <c r="C397" s="1" t="s">
        <v>368</v>
      </c>
      <c r="D397" s="3" t="str">
        <f>IFERROR(VLOOKUP(B397,'Message Lookup'!A:G,7,FALSE),"")</f>
        <v/>
      </c>
    </row>
    <row r="398" spans="1:4" x14ac:dyDescent="0.25">
      <c r="A398" s="1">
        <v>21</v>
      </c>
      <c r="B398" s="1" t="s">
        <v>310</v>
      </c>
      <c r="C398" s="1" t="s">
        <v>369</v>
      </c>
      <c r="D398" s="3" t="str">
        <f>IFERROR(VLOOKUP(B398,'Message Lookup'!A:G,7,FALSE),"")</f>
        <v/>
      </c>
    </row>
    <row r="399" spans="1:4" x14ac:dyDescent="0.25">
      <c r="A399" s="1">
        <v>21</v>
      </c>
      <c r="B399" s="1" t="s">
        <v>311</v>
      </c>
      <c r="C399" s="1" t="s">
        <v>370</v>
      </c>
      <c r="D399" s="3" t="str">
        <f>IFERROR(VLOOKUP(B399,'Message Lookup'!A:G,7,FALSE),"")</f>
        <v/>
      </c>
    </row>
    <row r="400" spans="1:4" x14ac:dyDescent="0.25">
      <c r="A400" s="1">
        <v>21</v>
      </c>
      <c r="B400" s="1"/>
      <c r="C400" s="1"/>
      <c r="D400" s="3" t="str">
        <f>IFERROR(VLOOKUP(B400,'Message Lookup'!A:G,7,FALSE),"")</f>
        <v/>
      </c>
    </row>
    <row r="401" spans="1:4" x14ac:dyDescent="0.25">
      <c r="A401" s="1">
        <v>21</v>
      </c>
      <c r="B401" s="1"/>
      <c r="C401" s="1"/>
      <c r="D401" s="3" t="str">
        <f>IFERROR(VLOOKUP(B401,'Message Lookup'!A:G,7,FALSE),"")</f>
        <v/>
      </c>
    </row>
    <row r="402" spans="1:4" x14ac:dyDescent="0.25">
      <c r="A402" s="1">
        <v>22</v>
      </c>
      <c r="B402" s="1"/>
      <c r="C402" s="1" t="s">
        <v>354</v>
      </c>
      <c r="D402" s="3" t="str">
        <f>IFERROR(VLOOKUP(B402,'Message Lookup'!A:G,7,FALSE),"")</f>
        <v/>
      </c>
    </row>
    <row r="403" spans="1:4" x14ac:dyDescent="0.25">
      <c r="A403" s="1">
        <v>22</v>
      </c>
      <c r="B403" s="1" t="s">
        <v>312</v>
      </c>
      <c r="C403" s="1" t="s">
        <v>355</v>
      </c>
      <c r="D403" s="3" t="str">
        <f>IFERROR(VLOOKUP(B403,'Message Lookup'!A:G,7,FALSE),"")</f>
        <v/>
      </c>
    </row>
    <row r="404" spans="1:4" x14ac:dyDescent="0.25">
      <c r="A404" s="1">
        <v>22</v>
      </c>
      <c r="B404" s="1" t="s">
        <v>313</v>
      </c>
      <c r="C404" s="1" t="s">
        <v>356</v>
      </c>
      <c r="D404" s="3" t="str">
        <f>IFERROR(VLOOKUP(B404,'Message Lookup'!A:G,7,FALSE),"")</f>
        <v/>
      </c>
    </row>
    <row r="405" spans="1:4" x14ac:dyDescent="0.25">
      <c r="A405" s="1">
        <v>22</v>
      </c>
      <c r="B405" s="1" t="s">
        <v>314</v>
      </c>
      <c r="C405" s="1" t="s">
        <v>357</v>
      </c>
      <c r="D405" s="3" t="str">
        <f>IFERROR(VLOOKUP(B405,'Message Lookup'!A:G,7,FALSE),"")</f>
        <v/>
      </c>
    </row>
    <row r="406" spans="1:4" x14ac:dyDescent="0.25">
      <c r="A406" s="1">
        <v>22</v>
      </c>
      <c r="B406" s="1" t="s">
        <v>315</v>
      </c>
      <c r="C406" s="1" t="s">
        <v>358</v>
      </c>
      <c r="D406" s="3" t="str">
        <f>IFERROR(VLOOKUP(B406,'Message Lookup'!A:G,7,FALSE),"")</f>
        <v/>
      </c>
    </row>
    <row r="407" spans="1:4" x14ac:dyDescent="0.25">
      <c r="A407" s="1">
        <v>22</v>
      </c>
      <c r="B407" s="1" t="s">
        <v>316</v>
      </c>
      <c r="C407" s="1" t="s">
        <v>359</v>
      </c>
      <c r="D407" s="3" t="str">
        <f>IFERROR(VLOOKUP(B407,'Message Lookup'!A:G,7,FALSE),"")</f>
        <v/>
      </c>
    </row>
    <row r="408" spans="1:4" x14ac:dyDescent="0.25">
      <c r="A408" s="1">
        <v>22</v>
      </c>
      <c r="B408" s="1" t="s">
        <v>317</v>
      </c>
      <c r="C408" s="1" t="s">
        <v>360</v>
      </c>
      <c r="D408" s="3" t="str">
        <f>IFERROR(VLOOKUP(B408,'Message Lookup'!A:G,7,FALSE),"")</f>
        <v/>
      </c>
    </row>
    <row r="409" spans="1:4" x14ac:dyDescent="0.25">
      <c r="A409" s="1">
        <v>22</v>
      </c>
      <c r="B409" s="1" t="s">
        <v>318</v>
      </c>
      <c r="C409" s="1" t="s">
        <v>361</v>
      </c>
      <c r="D409" s="3" t="str">
        <f>IFERROR(VLOOKUP(B409,'Message Lookup'!A:G,7,FALSE),"")</f>
        <v/>
      </c>
    </row>
    <row r="410" spans="1:4" x14ac:dyDescent="0.25">
      <c r="A410" s="1">
        <v>22</v>
      </c>
      <c r="B410" s="1" t="s">
        <v>319</v>
      </c>
      <c r="C410" s="1" t="s">
        <v>362</v>
      </c>
      <c r="D410" s="3" t="str">
        <f>IFERROR(VLOOKUP(B410,'Message Lookup'!A:G,7,FALSE),"")</f>
        <v/>
      </c>
    </row>
    <row r="411" spans="1:4" x14ac:dyDescent="0.25">
      <c r="A411" s="1">
        <v>22</v>
      </c>
      <c r="B411" s="1" t="s">
        <v>320</v>
      </c>
      <c r="C411" s="1" t="s">
        <v>363</v>
      </c>
      <c r="D411" s="3" t="str">
        <f>IFERROR(VLOOKUP(B411,'Message Lookup'!A:G,7,FALSE),"")</f>
        <v/>
      </c>
    </row>
    <row r="412" spans="1:4" x14ac:dyDescent="0.25">
      <c r="A412" s="1">
        <v>22</v>
      </c>
      <c r="B412" s="1" t="s">
        <v>321</v>
      </c>
      <c r="C412" s="1" t="s">
        <v>364</v>
      </c>
      <c r="D412" s="3" t="str">
        <f>IFERROR(VLOOKUP(B412,'Message Lookup'!A:G,7,FALSE),"")</f>
        <v/>
      </c>
    </row>
    <row r="413" spans="1:4" x14ac:dyDescent="0.25">
      <c r="A413" s="1">
        <v>22</v>
      </c>
      <c r="B413" s="1" t="s">
        <v>322</v>
      </c>
      <c r="C413" s="1" t="s">
        <v>365</v>
      </c>
      <c r="D413" s="3" t="str">
        <f>IFERROR(VLOOKUP(B413,'Message Lookup'!A:G,7,FALSE),"")</f>
        <v/>
      </c>
    </row>
    <row r="414" spans="1:4" x14ac:dyDescent="0.25">
      <c r="A414" s="1">
        <v>22</v>
      </c>
      <c r="B414" s="1"/>
      <c r="C414" s="1" t="s">
        <v>366</v>
      </c>
      <c r="D414" s="3" t="str">
        <f>IFERROR(VLOOKUP(B414,'Message Lookup'!A:G,7,FALSE),"")</f>
        <v/>
      </c>
    </row>
    <row r="415" spans="1:4" x14ac:dyDescent="0.25">
      <c r="A415" s="1">
        <v>22</v>
      </c>
      <c r="B415" s="1"/>
      <c r="C415" s="1" t="s">
        <v>367</v>
      </c>
      <c r="D415" s="3" t="str">
        <f>IFERROR(VLOOKUP(B415,'Message Lookup'!A:G,7,FALSE),"")</f>
        <v/>
      </c>
    </row>
    <row r="416" spans="1:4" x14ac:dyDescent="0.25">
      <c r="A416" s="1">
        <v>22</v>
      </c>
      <c r="B416" s="1"/>
      <c r="C416" s="1" t="s">
        <v>368</v>
      </c>
      <c r="D416" s="3" t="str">
        <f>IFERROR(VLOOKUP(B416,'Message Lookup'!A:G,7,FALSE),"")</f>
        <v/>
      </c>
    </row>
    <row r="417" spans="1:4" x14ac:dyDescent="0.25">
      <c r="A417" s="1">
        <v>22</v>
      </c>
      <c r="B417" s="1"/>
      <c r="C417" s="1" t="s">
        <v>369</v>
      </c>
      <c r="D417" s="3" t="str">
        <f>IFERROR(VLOOKUP(B417,'Message Lookup'!A:G,7,FALSE),"")</f>
        <v/>
      </c>
    </row>
    <row r="418" spans="1:4" x14ac:dyDescent="0.25">
      <c r="A418" s="1">
        <v>22</v>
      </c>
      <c r="B418" s="1"/>
      <c r="C418" s="1" t="s">
        <v>370</v>
      </c>
      <c r="D418" s="3" t="str">
        <f>IFERROR(VLOOKUP(B418,'Message Lookup'!A:G,7,FALSE),"")</f>
        <v/>
      </c>
    </row>
    <row r="419" spans="1:4" x14ac:dyDescent="0.25">
      <c r="A419" s="1">
        <v>22</v>
      </c>
      <c r="B419" s="1"/>
      <c r="C419" s="1"/>
      <c r="D419" s="3" t="str">
        <f>IFERROR(VLOOKUP(B419,'Message Lookup'!A:G,7,FALSE),"")</f>
        <v/>
      </c>
    </row>
    <row r="420" spans="1:4" x14ac:dyDescent="0.25">
      <c r="A420" s="1">
        <v>22</v>
      </c>
      <c r="B420" s="1"/>
      <c r="C420" s="1"/>
      <c r="D420" s="3" t="str">
        <f>IFERROR(VLOOKUP(B420,'Message Lookup'!A:G,7,FALSE),"")</f>
        <v/>
      </c>
    </row>
    <row r="421" spans="1:4" x14ac:dyDescent="0.25">
      <c r="A421" s="1">
        <v>23</v>
      </c>
      <c r="B421" s="1"/>
      <c r="C421" s="1" t="s">
        <v>354</v>
      </c>
      <c r="D421" s="3" t="str">
        <f>IFERROR(VLOOKUP(B421,'Message Lookup'!A:G,7,FALSE),"")</f>
        <v/>
      </c>
    </row>
    <row r="422" spans="1:4" x14ac:dyDescent="0.25">
      <c r="A422" s="1">
        <v>23</v>
      </c>
      <c r="B422" s="1" t="s">
        <v>323</v>
      </c>
      <c r="C422" s="1" t="s">
        <v>355</v>
      </c>
      <c r="D422" s="3" t="str">
        <f>IFERROR(VLOOKUP(B422,'Message Lookup'!A:G,7,FALSE),"")</f>
        <v/>
      </c>
    </row>
    <row r="423" spans="1:4" x14ac:dyDescent="0.25">
      <c r="A423" s="1">
        <v>23</v>
      </c>
      <c r="B423" s="1" t="s">
        <v>324</v>
      </c>
      <c r="C423" s="1" t="s">
        <v>356</v>
      </c>
      <c r="D423" s="3" t="str">
        <f>IFERROR(VLOOKUP(B423,'Message Lookup'!A:G,7,FALSE),"")</f>
        <v/>
      </c>
    </row>
    <row r="424" spans="1:4" x14ac:dyDescent="0.25">
      <c r="A424" s="1">
        <v>23</v>
      </c>
      <c r="B424" s="1" t="s">
        <v>325</v>
      </c>
      <c r="C424" s="1" t="s">
        <v>357</v>
      </c>
      <c r="D424" s="3" t="str">
        <f>IFERROR(VLOOKUP(B424,'Message Lookup'!A:G,7,FALSE),"")</f>
        <v/>
      </c>
    </row>
    <row r="425" spans="1:4" x14ac:dyDescent="0.25">
      <c r="A425" s="1">
        <v>23</v>
      </c>
      <c r="B425" s="1" t="s">
        <v>326</v>
      </c>
      <c r="C425" s="1" t="s">
        <v>358</v>
      </c>
      <c r="D425" s="3" t="str">
        <f>IFERROR(VLOOKUP(B425,'Message Lookup'!A:G,7,FALSE),"")</f>
        <v/>
      </c>
    </row>
    <row r="426" spans="1:4" x14ac:dyDescent="0.25">
      <c r="A426" s="1">
        <v>23</v>
      </c>
      <c r="B426" s="1" t="s">
        <v>327</v>
      </c>
      <c r="C426" s="1" t="s">
        <v>359</v>
      </c>
      <c r="D426" s="3" t="str">
        <f>IFERROR(VLOOKUP(B426,'Message Lookup'!A:G,7,FALSE),"")</f>
        <v/>
      </c>
    </row>
    <row r="427" spans="1:4" x14ac:dyDescent="0.25">
      <c r="A427" s="1">
        <v>23</v>
      </c>
      <c r="B427" s="1" t="s">
        <v>328</v>
      </c>
      <c r="C427" s="1" t="s">
        <v>360</v>
      </c>
      <c r="D427" s="3" t="str">
        <f>IFERROR(VLOOKUP(B427,'Message Lookup'!A:G,7,FALSE),"")</f>
        <v/>
      </c>
    </row>
    <row r="428" spans="1:4" x14ac:dyDescent="0.25">
      <c r="A428" s="1">
        <v>23</v>
      </c>
      <c r="B428" s="1" t="s">
        <v>329</v>
      </c>
      <c r="C428" s="1" t="s">
        <v>361</v>
      </c>
      <c r="D428" s="3" t="str">
        <f>IFERROR(VLOOKUP(B428,'Message Lookup'!A:G,7,FALSE),"")</f>
        <v/>
      </c>
    </row>
    <row r="429" spans="1:4" x14ac:dyDescent="0.25">
      <c r="A429" s="1">
        <v>23</v>
      </c>
      <c r="B429" s="1" t="s">
        <v>330</v>
      </c>
      <c r="C429" s="1" t="s">
        <v>362</v>
      </c>
      <c r="D429" s="3" t="str">
        <f>IFERROR(VLOOKUP(B429,'Message Lookup'!A:G,7,FALSE),"")</f>
        <v/>
      </c>
    </row>
    <row r="430" spans="1:4" x14ac:dyDescent="0.25">
      <c r="A430" s="1">
        <v>23</v>
      </c>
      <c r="B430" s="1" t="s">
        <v>331</v>
      </c>
      <c r="C430" s="1" t="s">
        <v>363</v>
      </c>
      <c r="D430" s="3" t="str">
        <f>IFERROR(VLOOKUP(B430,'Message Lookup'!A:G,7,FALSE),"")</f>
        <v/>
      </c>
    </row>
    <row r="431" spans="1:4" x14ac:dyDescent="0.25">
      <c r="A431" s="1">
        <v>23</v>
      </c>
      <c r="B431" s="1" t="s">
        <v>332</v>
      </c>
      <c r="C431" s="1" t="s">
        <v>364</v>
      </c>
      <c r="D431" s="3" t="str">
        <f>IFERROR(VLOOKUP(B431,'Message Lookup'!A:G,7,FALSE),"")</f>
        <v/>
      </c>
    </row>
    <row r="432" spans="1:4" x14ac:dyDescent="0.25">
      <c r="A432" s="1">
        <v>23</v>
      </c>
      <c r="B432" s="1" t="s">
        <v>333</v>
      </c>
      <c r="C432" s="1" t="s">
        <v>365</v>
      </c>
      <c r="D432" s="3" t="str">
        <f>IFERROR(VLOOKUP(B432,'Message Lookup'!A:G,7,FALSE),"")</f>
        <v/>
      </c>
    </row>
    <row r="433" spans="1:4" x14ac:dyDescent="0.25">
      <c r="A433" s="1">
        <v>23</v>
      </c>
      <c r="B433" s="1" t="s">
        <v>334</v>
      </c>
      <c r="C433" s="1" t="s">
        <v>366</v>
      </c>
      <c r="D433" s="3" t="str">
        <f>IFERROR(VLOOKUP(B433,'Message Lookup'!A:G,7,FALSE),"")</f>
        <v/>
      </c>
    </row>
    <row r="434" spans="1:4" x14ac:dyDescent="0.25">
      <c r="A434" s="1">
        <v>23</v>
      </c>
      <c r="B434" s="1" t="s">
        <v>335</v>
      </c>
      <c r="C434" s="1" t="s">
        <v>367</v>
      </c>
      <c r="D434" s="3" t="str">
        <f>IFERROR(VLOOKUP(B434,'Message Lookup'!A:G,7,FALSE),"")</f>
        <v/>
      </c>
    </row>
    <row r="435" spans="1:4" x14ac:dyDescent="0.25">
      <c r="A435" s="1">
        <v>23</v>
      </c>
      <c r="B435" s="1" t="s">
        <v>336</v>
      </c>
      <c r="C435" s="1" t="s">
        <v>368</v>
      </c>
      <c r="D435" s="3" t="str">
        <f>IFERROR(VLOOKUP(B435,'Message Lookup'!A:G,7,FALSE),"")</f>
        <v/>
      </c>
    </row>
    <row r="436" spans="1:4" x14ac:dyDescent="0.25">
      <c r="A436" s="1">
        <v>23</v>
      </c>
      <c r="B436" s="1" t="s">
        <v>337</v>
      </c>
      <c r="C436" s="1" t="s">
        <v>369</v>
      </c>
      <c r="D436" s="3" t="str">
        <f>IFERROR(VLOOKUP(B436,'Message Lookup'!A:G,7,FALSE),"")</f>
        <v/>
      </c>
    </row>
    <row r="437" spans="1:4" x14ac:dyDescent="0.25">
      <c r="A437" s="1">
        <v>23</v>
      </c>
      <c r="B437" s="1" t="s">
        <v>338</v>
      </c>
      <c r="C437" s="1" t="s">
        <v>370</v>
      </c>
      <c r="D437" s="3" t="str">
        <f>IFERROR(VLOOKUP(B437,'Message Lookup'!A:G,7,FALSE),"")</f>
        <v/>
      </c>
    </row>
    <row r="438" spans="1:4" x14ac:dyDescent="0.25">
      <c r="A438" s="1">
        <v>23</v>
      </c>
      <c r="B438" s="1"/>
      <c r="C438" s="1"/>
      <c r="D438" s="3" t="str">
        <f>IFERROR(VLOOKUP(B438,'Message Lookup'!A:G,7,FALSE),"")</f>
        <v/>
      </c>
    </row>
    <row r="439" spans="1:4" x14ac:dyDescent="0.25">
      <c r="A439" s="1">
        <v>23</v>
      </c>
      <c r="B439" s="1"/>
      <c r="C439" s="1"/>
      <c r="D439" s="3" t="str">
        <f>IFERROR(VLOOKUP(B439,'Message Lookup'!A:G,7,FALSE),"")</f>
        <v/>
      </c>
    </row>
    <row r="440" spans="1:4" x14ac:dyDescent="0.25">
      <c r="A440" s="1">
        <v>24</v>
      </c>
      <c r="B440" s="1"/>
      <c r="C440" s="1" t="s">
        <v>354</v>
      </c>
      <c r="D440" s="3" t="str">
        <f>IFERROR(VLOOKUP(B440,'Message Lookup'!A:G,7,FALSE),"")</f>
        <v/>
      </c>
    </row>
    <row r="441" spans="1:4" x14ac:dyDescent="0.25">
      <c r="A441" s="1">
        <v>24</v>
      </c>
      <c r="B441" s="1" t="s">
        <v>339</v>
      </c>
      <c r="C441" s="1" t="s">
        <v>355</v>
      </c>
      <c r="D441" s="3" t="str">
        <f>IFERROR(VLOOKUP(B441,'Message Lookup'!A:G,7,FALSE),"")</f>
        <v/>
      </c>
    </row>
    <row r="442" spans="1:4" x14ac:dyDescent="0.25">
      <c r="A442" s="1">
        <v>24</v>
      </c>
      <c r="B442" s="1" t="s">
        <v>340</v>
      </c>
      <c r="C442" s="1" t="s">
        <v>356</v>
      </c>
      <c r="D442" s="3" t="str">
        <f>IFERROR(VLOOKUP(B442,'Message Lookup'!A:G,7,FALSE),"")</f>
        <v/>
      </c>
    </row>
    <row r="443" spans="1:4" x14ac:dyDescent="0.25">
      <c r="A443" s="1">
        <v>24</v>
      </c>
      <c r="B443" s="1" t="s">
        <v>341</v>
      </c>
      <c r="C443" s="1" t="s">
        <v>357</v>
      </c>
      <c r="D443" s="3" t="str">
        <f>IFERROR(VLOOKUP(B443,'Message Lookup'!A:G,7,FALSE),"")</f>
        <v/>
      </c>
    </row>
    <row r="444" spans="1:4" x14ac:dyDescent="0.25">
      <c r="A444" s="1">
        <v>24</v>
      </c>
      <c r="B444" s="1" t="s">
        <v>342</v>
      </c>
      <c r="C444" s="1" t="s">
        <v>358</v>
      </c>
      <c r="D444" s="3" t="str">
        <f>IFERROR(VLOOKUP(B444,'Message Lookup'!A:G,7,FALSE),"")</f>
        <v/>
      </c>
    </row>
    <row r="445" spans="1:4" x14ac:dyDescent="0.25">
      <c r="A445" s="1">
        <v>24</v>
      </c>
      <c r="B445" s="1" t="s">
        <v>343</v>
      </c>
      <c r="C445" s="1" t="s">
        <v>359</v>
      </c>
      <c r="D445" s="3" t="str">
        <f>IFERROR(VLOOKUP(B445,'Message Lookup'!A:G,7,FALSE),"")</f>
        <v/>
      </c>
    </row>
    <row r="446" spans="1:4" x14ac:dyDescent="0.25">
      <c r="A446" s="1">
        <v>24</v>
      </c>
      <c r="B446" s="1" t="s">
        <v>344</v>
      </c>
      <c r="C446" s="1" t="s">
        <v>360</v>
      </c>
      <c r="D446" s="3" t="str">
        <f>IFERROR(VLOOKUP(B446,'Message Lookup'!A:G,7,FALSE),"")</f>
        <v/>
      </c>
    </row>
    <row r="447" spans="1:4" x14ac:dyDescent="0.25">
      <c r="A447" s="1">
        <v>24</v>
      </c>
      <c r="B447" s="1"/>
      <c r="C447" s="1" t="s">
        <v>361</v>
      </c>
      <c r="D447" s="3" t="str">
        <f>IFERROR(VLOOKUP(B447,'Message Lookup'!A:G,7,FALSE),"")</f>
        <v/>
      </c>
    </row>
    <row r="448" spans="1:4" x14ac:dyDescent="0.25">
      <c r="A448" s="1">
        <v>24</v>
      </c>
      <c r="B448" s="1"/>
      <c r="C448" s="1" t="s">
        <v>362</v>
      </c>
      <c r="D448" s="3" t="str">
        <f>IFERROR(VLOOKUP(B448,'Message Lookup'!A:G,7,FALSE),"")</f>
        <v/>
      </c>
    </row>
    <row r="449" spans="1:4" x14ac:dyDescent="0.25">
      <c r="A449" s="1">
        <v>24</v>
      </c>
      <c r="B449" s="1" t="s">
        <v>345</v>
      </c>
      <c r="C449" s="1" t="s">
        <v>363</v>
      </c>
      <c r="D449" s="3" t="str">
        <f>IFERROR(VLOOKUP(B449,'Message Lookup'!A:G,7,FALSE),"")</f>
        <v/>
      </c>
    </row>
    <row r="450" spans="1:4" x14ac:dyDescent="0.25">
      <c r="A450" s="1">
        <v>24</v>
      </c>
      <c r="B450" s="1" t="s">
        <v>346</v>
      </c>
      <c r="C450" s="1" t="s">
        <v>364</v>
      </c>
      <c r="D450" s="3" t="str">
        <f>IFERROR(VLOOKUP(B450,'Message Lookup'!A:G,7,FALSE),"")</f>
        <v/>
      </c>
    </row>
    <row r="451" spans="1:4" x14ac:dyDescent="0.25">
      <c r="A451" s="1">
        <v>24</v>
      </c>
      <c r="B451" s="1" t="s">
        <v>347</v>
      </c>
      <c r="C451" s="1" t="s">
        <v>365</v>
      </c>
      <c r="D451" s="3" t="str">
        <f>IFERROR(VLOOKUP(B451,'Message Lookup'!A:G,7,FALSE),"")</f>
        <v/>
      </c>
    </row>
    <row r="452" spans="1:4" x14ac:dyDescent="0.25">
      <c r="A452" s="1">
        <v>24</v>
      </c>
      <c r="B452" s="1" t="s">
        <v>348</v>
      </c>
      <c r="C452" s="1" t="s">
        <v>366</v>
      </c>
      <c r="D452" s="3" t="str">
        <f>IFERROR(VLOOKUP(B452,'Message Lookup'!A:G,7,FALSE),"")</f>
        <v/>
      </c>
    </row>
    <row r="453" spans="1:4" x14ac:dyDescent="0.25">
      <c r="A453" s="1">
        <v>24</v>
      </c>
      <c r="B453" s="1" t="s">
        <v>349</v>
      </c>
      <c r="C453" s="1" t="s">
        <v>367</v>
      </c>
      <c r="D453" s="3" t="str">
        <f>IFERROR(VLOOKUP(B453,'Message Lookup'!A:G,7,FALSE),"")</f>
        <v/>
      </c>
    </row>
    <row r="454" spans="1:4" x14ac:dyDescent="0.25">
      <c r="A454" s="1">
        <v>24</v>
      </c>
      <c r="B454" s="1" t="s">
        <v>350</v>
      </c>
      <c r="C454" s="1" t="s">
        <v>368</v>
      </c>
      <c r="D454" s="3" t="str">
        <f>IFERROR(VLOOKUP(B454,'Message Lookup'!A:G,7,FALSE),"")</f>
        <v/>
      </c>
    </row>
    <row r="455" spans="1:4" x14ac:dyDescent="0.25">
      <c r="A455" s="1">
        <v>24</v>
      </c>
      <c r="B455" s="1" t="s">
        <v>351</v>
      </c>
      <c r="C455" s="1" t="s">
        <v>369</v>
      </c>
      <c r="D455" s="3" t="str">
        <f>IFERROR(VLOOKUP(B455,'Message Lookup'!A:G,7,FALSE),"")</f>
        <v/>
      </c>
    </row>
    <row r="456" spans="1:4" x14ac:dyDescent="0.25">
      <c r="A456" s="1">
        <v>24</v>
      </c>
      <c r="B456" s="1" t="s">
        <v>352</v>
      </c>
      <c r="C456" s="1" t="s">
        <v>370</v>
      </c>
      <c r="D456" s="3" t="str">
        <f>IFERROR(VLOOKUP(B456,'Message Lookup'!A:G,7,FALSE),"")</f>
        <v/>
      </c>
    </row>
    <row r="457" spans="1:4" x14ac:dyDescent="0.25">
      <c r="A457" s="1">
        <v>24</v>
      </c>
      <c r="B457" s="1"/>
      <c r="C457" s="1"/>
    </row>
    <row r="458" spans="1:4" x14ac:dyDescent="0.25">
      <c r="A458" s="1">
        <v>24</v>
      </c>
      <c r="B458" s="1"/>
      <c r="C45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439"/>
  <sheetViews>
    <sheetView workbookViewId="0">
      <selection activeCell="S14" sqref="S14"/>
    </sheetView>
  </sheetViews>
  <sheetFormatPr defaultRowHeight="15" x14ac:dyDescent="0.25"/>
  <sheetData>
    <row r="1" spans="1:49" x14ac:dyDescent="0.25">
      <c r="A1" s="6" t="s">
        <v>960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</row>
    <row r="2" spans="1:49" x14ac:dyDescent="0.25">
      <c r="A2" s="7" t="s">
        <v>961</v>
      </c>
      <c r="B2" s="7" t="s">
        <v>962</v>
      </c>
      <c r="C2" s="7" t="s">
        <v>963</v>
      </c>
      <c r="D2" s="7" t="s">
        <v>405</v>
      </c>
      <c r="E2" s="7" t="s">
        <v>406</v>
      </c>
      <c r="F2" s="7" t="s">
        <v>407</v>
      </c>
      <c r="G2" s="7" t="s">
        <v>408</v>
      </c>
      <c r="H2" s="7" t="s">
        <v>409</v>
      </c>
      <c r="I2" s="7" t="s">
        <v>410</v>
      </c>
      <c r="J2" s="7" t="s">
        <v>411</v>
      </c>
      <c r="K2" s="7" t="s">
        <v>964</v>
      </c>
      <c r="L2" s="7" t="s">
        <v>965</v>
      </c>
      <c r="M2" s="7" t="s">
        <v>966</v>
      </c>
      <c r="N2" s="7" t="s">
        <v>967</v>
      </c>
      <c r="O2" s="7" t="s">
        <v>968</v>
      </c>
      <c r="P2" s="7" t="s">
        <v>969</v>
      </c>
      <c r="Q2" s="7" t="s">
        <v>970</v>
      </c>
      <c r="R2" s="7" t="s">
        <v>971</v>
      </c>
      <c r="S2" s="7" t="s">
        <v>0</v>
      </c>
      <c r="T2" s="7" t="s">
        <v>1</v>
      </c>
      <c r="U2" s="7" t="s">
        <v>2</v>
      </c>
      <c r="V2" s="7" t="s">
        <v>3</v>
      </c>
      <c r="W2" s="7" t="s">
        <v>4</v>
      </c>
      <c r="X2" s="7" t="s">
        <v>5</v>
      </c>
      <c r="Y2" s="7" t="s">
        <v>6</v>
      </c>
      <c r="Z2" s="7" t="s">
        <v>7</v>
      </c>
      <c r="AA2" s="7" t="s">
        <v>8</v>
      </c>
      <c r="AB2" s="7" t="s">
        <v>353</v>
      </c>
      <c r="AC2" s="7" t="s">
        <v>972</v>
      </c>
      <c r="AD2" s="7" t="s">
        <v>973</v>
      </c>
      <c r="AE2" s="7" t="s">
        <v>974</v>
      </c>
      <c r="AF2" s="7" t="s">
        <v>975</v>
      </c>
      <c r="AG2" s="7" t="s">
        <v>976</v>
      </c>
      <c r="AH2" s="7" t="s">
        <v>977</v>
      </c>
      <c r="AI2" s="7" t="s">
        <v>978</v>
      </c>
      <c r="AJ2" s="7" t="s">
        <v>979</v>
      </c>
      <c r="AK2" s="7" t="s">
        <v>980</v>
      </c>
      <c r="AL2" s="7" t="s">
        <v>981</v>
      </c>
      <c r="AM2" s="7" t="s">
        <v>982</v>
      </c>
      <c r="AN2" s="7" t="s">
        <v>983</v>
      </c>
      <c r="AO2" s="7" t="s">
        <v>984</v>
      </c>
      <c r="AP2" s="7" t="s">
        <v>985</v>
      </c>
      <c r="AQ2" s="7" t="s">
        <v>986</v>
      </c>
      <c r="AR2" s="7" t="s">
        <v>987</v>
      </c>
      <c r="AS2" s="7" t="s">
        <v>988</v>
      </c>
      <c r="AT2" s="7" t="s">
        <v>989</v>
      </c>
      <c r="AU2" s="7" t="s">
        <v>990</v>
      </c>
      <c r="AV2" s="7" t="s">
        <v>991</v>
      </c>
    </row>
    <row r="3" spans="1:49" x14ac:dyDescent="0.25">
      <c r="A3" s="5" t="s">
        <v>4574</v>
      </c>
      <c r="B3" s="5" t="s">
        <v>992</v>
      </c>
      <c r="C3" s="5" t="s">
        <v>4575</v>
      </c>
      <c r="D3" s="5"/>
      <c r="E3" s="5"/>
      <c r="F3" s="5"/>
      <c r="G3" s="5"/>
      <c r="H3" s="5"/>
      <c r="I3" s="5"/>
      <c r="J3" s="5"/>
      <c r="K3" s="5" t="s">
        <v>993</v>
      </c>
      <c r="L3" s="5" t="s">
        <v>994</v>
      </c>
      <c r="M3" s="5" t="s">
        <v>4576</v>
      </c>
      <c r="N3" s="5">
        <v>41</v>
      </c>
      <c r="O3" s="5"/>
      <c r="P3" s="5" t="s">
        <v>995</v>
      </c>
      <c r="Q3" s="5">
        <v>36</v>
      </c>
      <c r="R3" s="5">
        <v>24</v>
      </c>
      <c r="S3" s="5">
        <v>1</v>
      </c>
      <c r="T3" s="5">
        <v>0</v>
      </c>
      <c r="U3" s="5" t="b">
        <v>0</v>
      </c>
      <c r="V3" s="5">
        <v>20</v>
      </c>
      <c r="W3" s="5">
        <v>0.2</v>
      </c>
      <c r="X3" s="5" t="s">
        <v>9</v>
      </c>
      <c r="Y3" s="5">
        <v>9</v>
      </c>
      <c r="Z3" s="5"/>
      <c r="AA3" s="5"/>
      <c r="AB3" s="5" t="s">
        <v>354</v>
      </c>
      <c r="AC3" s="5" t="b">
        <v>0</v>
      </c>
      <c r="AD3" s="5"/>
      <c r="AE3" s="5"/>
      <c r="AF3" s="5"/>
      <c r="AG3" s="5">
        <v>20</v>
      </c>
      <c r="AH3" s="5">
        <v>20</v>
      </c>
      <c r="AI3" s="5">
        <v>28</v>
      </c>
      <c r="AJ3" s="5">
        <v>28</v>
      </c>
      <c r="AK3" s="5" t="s">
        <v>996</v>
      </c>
      <c r="AL3" s="5">
        <v>2</v>
      </c>
      <c r="AM3" s="5">
        <v>2</v>
      </c>
      <c r="AN3" s="5">
        <v>10</v>
      </c>
      <c r="AO3" s="5">
        <v>10</v>
      </c>
      <c r="AP3" s="5">
        <v>0</v>
      </c>
      <c r="AQ3" s="5">
        <v>0</v>
      </c>
      <c r="AR3" s="5">
        <v>0</v>
      </c>
      <c r="AS3" s="5">
        <v>0</v>
      </c>
      <c r="AT3" s="5" t="s">
        <v>997</v>
      </c>
      <c r="AU3" s="5" t="s">
        <v>998</v>
      </c>
      <c r="AV3" s="5" t="s">
        <v>999</v>
      </c>
      <c r="AW3" s="4" t="str">
        <f>IFERROR(VLOOKUP(AA3,'Message Lookup'!D:J,7,FALSE),"")</f>
        <v/>
      </c>
    </row>
    <row r="4" spans="1:49" x14ac:dyDescent="0.25">
      <c r="A4" s="5" t="s">
        <v>4574</v>
      </c>
      <c r="B4" s="5" t="s">
        <v>992</v>
      </c>
      <c r="C4" s="5" t="s">
        <v>4575</v>
      </c>
      <c r="D4" s="5"/>
      <c r="E4" s="5"/>
      <c r="F4" s="5"/>
      <c r="G4" s="5"/>
      <c r="H4" s="5"/>
      <c r="I4" s="5"/>
      <c r="J4" s="5"/>
      <c r="K4" s="5" t="s">
        <v>993</v>
      </c>
      <c r="L4" s="5" t="s">
        <v>994</v>
      </c>
      <c r="M4" s="5" t="s">
        <v>4576</v>
      </c>
      <c r="N4" s="5">
        <v>41</v>
      </c>
      <c r="O4" s="5"/>
      <c r="P4" s="5" t="s">
        <v>995</v>
      </c>
      <c r="Q4" s="5">
        <v>36</v>
      </c>
      <c r="R4" s="5">
        <v>24</v>
      </c>
      <c r="S4" s="5">
        <v>1</v>
      </c>
      <c r="T4" s="5">
        <v>0</v>
      </c>
      <c r="U4" s="5" t="b">
        <v>0</v>
      </c>
      <c r="V4" s="5">
        <v>20</v>
      </c>
      <c r="W4" s="5">
        <v>0.2</v>
      </c>
      <c r="X4" s="5" t="s">
        <v>9</v>
      </c>
      <c r="Y4" s="5">
        <v>9</v>
      </c>
      <c r="Z4" s="5"/>
      <c r="AA4" s="5"/>
      <c r="AB4" s="5" t="s">
        <v>355</v>
      </c>
      <c r="AC4" s="5" t="b">
        <v>0</v>
      </c>
      <c r="AD4" s="5"/>
      <c r="AE4" s="5"/>
      <c r="AF4" s="5"/>
      <c r="AG4" s="5">
        <v>20</v>
      </c>
      <c r="AH4" s="5"/>
      <c r="AI4" s="5">
        <v>28</v>
      </c>
      <c r="AJ4" s="5"/>
      <c r="AK4" s="5" t="s">
        <v>996</v>
      </c>
      <c r="AL4" s="5">
        <v>2</v>
      </c>
      <c r="AM4" s="5"/>
      <c r="AN4" s="5">
        <v>10</v>
      </c>
      <c r="AO4" s="5"/>
      <c r="AP4" s="5">
        <v>0</v>
      </c>
      <c r="AQ4" s="5"/>
      <c r="AR4" s="5">
        <v>0</v>
      </c>
      <c r="AS4" s="5"/>
      <c r="AT4" s="5" t="s">
        <v>997</v>
      </c>
      <c r="AU4" s="5" t="s">
        <v>998</v>
      </c>
      <c r="AV4" s="5" t="s">
        <v>999</v>
      </c>
      <c r="AW4" s="8" t="str">
        <f>IFERROR(VLOOKUP(AA4,'Message Lookup'!D:J,7,FALSE),"")</f>
        <v/>
      </c>
    </row>
    <row r="5" spans="1:49" x14ac:dyDescent="0.25">
      <c r="A5" s="5" t="s">
        <v>4574</v>
      </c>
      <c r="B5" s="5" t="s">
        <v>992</v>
      </c>
      <c r="C5" s="5" t="s">
        <v>4575</v>
      </c>
      <c r="D5" s="5"/>
      <c r="E5" s="5"/>
      <c r="F5" s="5"/>
      <c r="G5" s="5"/>
      <c r="H5" s="5"/>
      <c r="I5" s="5"/>
      <c r="J5" s="5"/>
      <c r="K5" s="5" t="s">
        <v>993</v>
      </c>
      <c r="L5" s="5" t="s">
        <v>994</v>
      </c>
      <c r="M5" s="5" t="s">
        <v>4576</v>
      </c>
      <c r="N5" s="5">
        <v>41</v>
      </c>
      <c r="O5" s="5"/>
      <c r="P5" s="5" t="s">
        <v>995</v>
      </c>
      <c r="Q5" s="5">
        <v>36</v>
      </c>
      <c r="R5" s="5">
        <v>24</v>
      </c>
      <c r="S5" s="5">
        <v>1</v>
      </c>
      <c r="T5" s="5">
        <v>0</v>
      </c>
      <c r="U5" s="5" t="b">
        <v>0</v>
      </c>
      <c r="V5" s="5">
        <v>20</v>
      </c>
      <c r="W5" s="5">
        <v>0.2</v>
      </c>
      <c r="X5" s="5" t="s">
        <v>9</v>
      </c>
      <c r="Y5" s="5">
        <v>9</v>
      </c>
      <c r="Z5" s="5"/>
      <c r="AA5" s="5" t="s">
        <v>10</v>
      </c>
      <c r="AB5" s="5" t="s">
        <v>356</v>
      </c>
      <c r="AC5" s="5" t="b">
        <v>0</v>
      </c>
      <c r="AD5" s="5"/>
      <c r="AE5" s="5"/>
      <c r="AF5" s="5"/>
      <c r="AG5" s="5">
        <v>20</v>
      </c>
      <c r="AH5" s="5"/>
      <c r="AI5" s="5">
        <v>28</v>
      </c>
      <c r="AJ5" s="5"/>
      <c r="AK5" s="5" t="s">
        <v>996</v>
      </c>
      <c r="AL5" s="5">
        <v>2</v>
      </c>
      <c r="AM5" s="5"/>
      <c r="AN5" s="5">
        <v>10</v>
      </c>
      <c r="AO5" s="5"/>
      <c r="AP5" s="5">
        <v>0</v>
      </c>
      <c r="AQ5" s="5"/>
      <c r="AR5" s="5">
        <v>0</v>
      </c>
      <c r="AS5" s="5"/>
      <c r="AT5" s="5" t="s">
        <v>997</v>
      </c>
      <c r="AU5" s="5" t="s">
        <v>998</v>
      </c>
      <c r="AV5" s="5" t="s">
        <v>999</v>
      </c>
      <c r="AW5" s="8" t="str">
        <f>IFERROR(VLOOKUP(AA5,'Message Lookup'!D:J,7,FALSE),"")</f>
        <v>Station tank level bypassed</v>
      </c>
    </row>
    <row r="6" spans="1:49" x14ac:dyDescent="0.25">
      <c r="A6" s="5" t="s">
        <v>4574</v>
      </c>
      <c r="B6" s="5" t="s">
        <v>992</v>
      </c>
      <c r="C6" s="5" t="s">
        <v>4575</v>
      </c>
      <c r="D6" s="5"/>
      <c r="E6" s="5"/>
      <c r="F6" s="5"/>
      <c r="G6" s="5"/>
      <c r="H6" s="5"/>
      <c r="I6" s="5"/>
      <c r="J6" s="5"/>
      <c r="K6" s="5" t="s">
        <v>993</v>
      </c>
      <c r="L6" s="5" t="s">
        <v>994</v>
      </c>
      <c r="M6" s="5" t="s">
        <v>4576</v>
      </c>
      <c r="N6" s="5">
        <v>41</v>
      </c>
      <c r="O6" s="5"/>
      <c r="P6" s="5" t="s">
        <v>995</v>
      </c>
      <c r="Q6" s="5">
        <v>36</v>
      </c>
      <c r="R6" s="5">
        <v>24</v>
      </c>
      <c r="S6" s="5">
        <v>1</v>
      </c>
      <c r="T6" s="5">
        <v>0</v>
      </c>
      <c r="U6" s="5" t="b">
        <v>0</v>
      </c>
      <c r="V6" s="5">
        <v>20</v>
      </c>
      <c r="W6" s="5">
        <v>0.2</v>
      </c>
      <c r="X6" s="5" t="s">
        <v>9</v>
      </c>
      <c r="Y6" s="5">
        <v>9</v>
      </c>
      <c r="Z6" s="5"/>
      <c r="AA6" s="5" t="s">
        <v>11</v>
      </c>
      <c r="AB6" s="5" t="s">
        <v>357</v>
      </c>
      <c r="AC6" s="5" t="b">
        <v>0</v>
      </c>
      <c r="AD6" s="5"/>
      <c r="AE6" s="5"/>
      <c r="AF6" s="5"/>
      <c r="AG6" s="5">
        <v>20</v>
      </c>
      <c r="AH6" s="5"/>
      <c r="AI6" s="5">
        <v>28</v>
      </c>
      <c r="AJ6" s="5"/>
      <c r="AK6" s="5" t="s">
        <v>996</v>
      </c>
      <c r="AL6" s="5">
        <v>2</v>
      </c>
      <c r="AM6" s="5"/>
      <c r="AN6" s="5">
        <v>10</v>
      </c>
      <c r="AO6" s="5"/>
      <c r="AP6" s="5">
        <v>0</v>
      </c>
      <c r="AQ6" s="5"/>
      <c r="AR6" s="5">
        <v>0</v>
      </c>
      <c r="AS6" s="5"/>
      <c r="AT6" s="5" t="s">
        <v>997</v>
      </c>
      <c r="AU6" s="5" t="s">
        <v>998</v>
      </c>
      <c r="AV6" s="5" t="s">
        <v>999</v>
      </c>
      <c r="AW6" s="8" t="str">
        <f>IFERROR(VLOOKUP(AA6,'Message Lookup'!D:J,7,FALSE),"")</f>
        <v>Station sump level bypassed</v>
      </c>
    </row>
    <row r="7" spans="1:49" x14ac:dyDescent="0.25">
      <c r="A7" s="5" t="s">
        <v>4574</v>
      </c>
      <c r="B7" s="5" t="s">
        <v>992</v>
      </c>
      <c r="C7" s="5" t="s">
        <v>4575</v>
      </c>
      <c r="D7" s="5"/>
      <c r="E7" s="5"/>
      <c r="F7" s="5"/>
      <c r="G7" s="5"/>
      <c r="H7" s="5"/>
      <c r="I7" s="5"/>
      <c r="J7" s="5"/>
      <c r="K7" s="5" t="s">
        <v>993</v>
      </c>
      <c r="L7" s="5" t="s">
        <v>994</v>
      </c>
      <c r="M7" s="5" t="s">
        <v>4576</v>
      </c>
      <c r="N7" s="5">
        <v>41</v>
      </c>
      <c r="O7" s="5"/>
      <c r="P7" s="5" t="s">
        <v>995</v>
      </c>
      <c r="Q7" s="5">
        <v>36</v>
      </c>
      <c r="R7" s="5">
        <v>24</v>
      </c>
      <c r="S7" s="5">
        <v>1</v>
      </c>
      <c r="T7" s="5">
        <v>0</v>
      </c>
      <c r="U7" s="5" t="b">
        <v>0</v>
      </c>
      <c r="V7" s="5">
        <v>20</v>
      </c>
      <c r="W7" s="5">
        <v>0.2</v>
      </c>
      <c r="X7" s="5" t="s">
        <v>9</v>
      </c>
      <c r="Y7" s="5">
        <v>9</v>
      </c>
      <c r="Z7" s="5"/>
      <c r="AA7" s="5" t="s">
        <v>12</v>
      </c>
      <c r="AB7" s="5" t="s">
        <v>358</v>
      </c>
      <c r="AC7" s="5" t="b">
        <v>0</v>
      </c>
      <c r="AD7" s="5"/>
      <c r="AE7" s="5"/>
      <c r="AF7" s="5"/>
      <c r="AG7" s="5">
        <v>20</v>
      </c>
      <c r="AH7" s="5"/>
      <c r="AI7" s="5">
        <v>28</v>
      </c>
      <c r="AJ7" s="5"/>
      <c r="AK7" s="5" t="s">
        <v>996</v>
      </c>
      <c r="AL7" s="5">
        <v>2</v>
      </c>
      <c r="AM7" s="5"/>
      <c r="AN7" s="5">
        <v>10</v>
      </c>
      <c r="AO7" s="5"/>
      <c r="AP7" s="5">
        <v>0</v>
      </c>
      <c r="AQ7" s="5"/>
      <c r="AR7" s="5">
        <v>0</v>
      </c>
      <c r="AS7" s="5"/>
      <c r="AT7" s="5" t="s">
        <v>997</v>
      </c>
      <c r="AU7" s="5" t="s">
        <v>998</v>
      </c>
      <c r="AV7" s="5" t="s">
        <v>999</v>
      </c>
      <c r="AW7" s="8" t="str">
        <f>IFERROR(VLOOKUP(AA7,'Message Lookup'!D:J,7,FALSE),"")</f>
        <v>Station low discharge bypassed</v>
      </c>
    </row>
    <row r="8" spans="1:49" x14ac:dyDescent="0.25">
      <c r="A8" s="5" t="s">
        <v>4574</v>
      </c>
      <c r="B8" s="5" t="s">
        <v>992</v>
      </c>
      <c r="C8" s="5" t="s">
        <v>4575</v>
      </c>
      <c r="D8" s="5"/>
      <c r="E8" s="5"/>
      <c r="F8" s="5"/>
      <c r="G8" s="5"/>
      <c r="H8" s="5"/>
      <c r="I8" s="5"/>
      <c r="J8" s="5"/>
      <c r="K8" s="5" t="s">
        <v>993</v>
      </c>
      <c r="L8" s="5" t="s">
        <v>994</v>
      </c>
      <c r="M8" s="5" t="s">
        <v>4576</v>
      </c>
      <c r="N8" s="5">
        <v>41</v>
      </c>
      <c r="O8" s="5"/>
      <c r="P8" s="5" t="s">
        <v>995</v>
      </c>
      <c r="Q8" s="5">
        <v>36</v>
      </c>
      <c r="R8" s="5">
        <v>24</v>
      </c>
      <c r="S8" s="5">
        <v>1</v>
      </c>
      <c r="T8" s="5">
        <v>0</v>
      </c>
      <c r="U8" s="5" t="b">
        <v>0</v>
      </c>
      <c r="V8" s="5">
        <v>20</v>
      </c>
      <c r="W8" s="5">
        <v>0.2</v>
      </c>
      <c r="X8" s="5" t="s">
        <v>9</v>
      </c>
      <c r="Y8" s="5">
        <v>9</v>
      </c>
      <c r="Z8" s="5"/>
      <c r="AA8" s="5" t="s">
        <v>13</v>
      </c>
      <c r="AB8" s="5" t="s">
        <v>359</v>
      </c>
      <c r="AC8" s="5" t="b">
        <v>0</v>
      </c>
      <c r="AD8" s="5"/>
      <c r="AE8" s="5"/>
      <c r="AF8" s="5"/>
      <c r="AG8" s="5">
        <v>20</v>
      </c>
      <c r="AH8" s="5"/>
      <c r="AI8" s="5">
        <v>28</v>
      </c>
      <c r="AJ8" s="5"/>
      <c r="AK8" s="5" t="s">
        <v>996</v>
      </c>
      <c r="AL8" s="5">
        <v>2</v>
      </c>
      <c r="AM8" s="5"/>
      <c r="AN8" s="5">
        <v>10</v>
      </c>
      <c r="AO8" s="5"/>
      <c r="AP8" s="5">
        <v>0</v>
      </c>
      <c r="AQ8" s="5"/>
      <c r="AR8" s="5">
        <v>0</v>
      </c>
      <c r="AS8" s="5"/>
      <c r="AT8" s="5" t="s">
        <v>997</v>
      </c>
      <c r="AU8" s="5" t="s">
        <v>998</v>
      </c>
      <c r="AV8" s="5" t="s">
        <v>999</v>
      </c>
      <c r="AW8" s="8" t="str">
        <f>IFERROR(VLOOKUP(AA8,'Message Lookup'!D:J,7,FALSE),"")</f>
        <v>Station BS&amp;W 200 bypassed</v>
      </c>
    </row>
    <row r="9" spans="1:49" x14ac:dyDescent="0.25">
      <c r="A9" s="5" t="s">
        <v>4574</v>
      </c>
      <c r="B9" s="5" t="s">
        <v>992</v>
      </c>
      <c r="C9" s="5" t="s">
        <v>4575</v>
      </c>
      <c r="D9" s="5"/>
      <c r="E9" s="5"/>
      <c r="F9" s="5"/>
      <c r="G9" s="5"/>
      <c r="H9" s="5"/>
      <c r="I9" s="5"/>
      <c r="J9" s="5"/>
      <c r="K9" s="5" t="s">
        <v>993</v>
      </c>
      <c r="L9" s="5" t="s">
        <v>994</v>
      </c>
      <c r="M9" s="5" t="s">
        <v>4576</v>
      </c>
      <c r="N9" s="5">
        <v>41</v>
      </c>
      <c r="O9" s="5"/>
      <c r="P9" s="5" t="s">
        <v>995</v>
      </c>
      <c r="Q9" s="5">
        <v>36</v>
      </c>
      <c r="R9" s="5">
        <v>24</v>
      </c>
      <c r="S9" s="5">
        <v>1</v>
      </c>
      <c r="T9" s="5">
        <v>0</v>
      </c>
      <c r="U9" s="5" t="b">
        <v>0</v>
      </c>
      <c r="V9" s="5">
        <v>20</v>
      </c>
      <c r="W9" s="5">
        <v>0.2</v>
      </c>
      <c r="X9" s="5" t="s">
        <v>9</v>
      </c>
      <c r="Y9" s="5">
        <v>9</v>
      </c>
      <c r="Z9" s="5"/>
      <c r="AA9" s="5" t="s">
        <v>14</v>
      </c>
      <c r="AB9" s="5" t="s">
        <v>360</v>
      </c>
      <c r="AC9" s="5" t="b">
        <v>0</v>
      </c>
      <c r="AD9" s="5"/>
      <c r="AE9" s="5"/>
      <c r="AF9" s="5"/>
      <c r="AG9" s="5">
        <v>20</v>
      </c>
      <c r="AH9" s="5"/>
      <c r="AI9" s="5">
        <v>28</v>
      </c>
      <c r="AJ9" s="5"/>
      <c r="AK9" s="5" t="s">
        <v>996</v>
      </c>
      <c r="AL9" s="5">
        <v>2</v>
      </c>
      <c r="AM9" s="5"/>
      <c r="AN9" s="5">
        <v>10</v>
      </c>
      <c r="AO9" s="5"/>
      <c r="AP9" s="5">
        <v>0</v>
      </c>
      <c r="AQ9" s="5"/>
      <c r="AR9" s="5">
        <v>0</v>
      </c>
      <c r="AS9" s="5"/>
      <c r="AT9" s="5" t="s">
        <v>997</v>
      </c>
      <c r="AU9" s="5" t="s">
        <v>998</v>
      </c>
      <c r="AV9" s="5" t="s">
        <v>999</v>
      </c>
      <c r="AW9" s="8" t="str">
        <f>IFERROR(VLOOKUP(AA9,'Message Lookup'!D:J,7,FALSE),"")</f>
        <v>Station BS&amp;W 300 bypassed</v>
      </c>
    </row>
    <row r="10" spans="1:49" x14ac:dyDescent="0.25">
      <c r="A10" s="5" t="s">
        <v>4574</v>
      </c>
      <c r="B10" s="5" t="s">
        <v>992</v>
      </c>
      <c r="C10" s="5" t="s">
        <v>4575</v>
      </c>
      <c r="D10" s="5"/>
      <c r="E10" s="5"/>
      <c r="F10" s="5"/>
      <c r="G10" s="5"/>
      <c r="H10" s="5"/>
      <c r="I10" s="5"/>
      <c r="J10" s="5"/>
      <c r="K10" s="5" t="s">
        <v>993</v>
      </c>
      <c r="L10" s="5" t="s">
        <v>994</v>
      </c>
      <c r="M10" s="5" t="s">
        <v>4576</v>
      </c>
      <c r="N10" s="5">
        <v>41</v>
      </c>
      <c r="O10" s="5"/>
      <c r="P10" s="5" t="s">
        <v>995</v>
      </c>
      <c r="Q10" s="5">
        <v>36</v>
      </c>
      <c r="R10" s="5">
        <v>24</v>
      </c>
      <c r="S10" s="5">
        <v>1</v>
      </c>
      <c r="T10" s="5">
        <v>0</v>
      </c>
      <c r="U10" s="5" t="b">
        <v>0</v>
      </c>
      <c r="V10" s="5">
        <v>20</v>
      </c>
      <c r="W10" s="5">
        <v>0.2</v>
      </c>
      <c r="X10" s="5" t="s">
        <v>9</v>
      </c>
      <c r="Y10" s="5">
        <v>9</v>
      </c>
      <c r="Z10" s="5"/>
      <c r="AA10" s="5" t="s">
        <v>15</v>
      </c>
      <c r="AB10" s="5" t="s">
        <v>361</v>
      </c>
      <c r="AC10" s="5" t="b">
        <v>1</v>
      </c>
      <c r="AD10" s="5"/>
      <c r="AE10" s="5"/>
      <c r="AF10" s="5"/>
      <c r="AG10" s="5">
        <v>20</v>
      </c>
      <c r="AH10" s="5"/>
      <c r="AI10" s="5">
        <v>28</v>
      </c>
      <c r="AJ10" s="5"/>
      <c r="AK10" s="5" t="s">
        <v>996</v>
      </c>
      <c r="AL10" s="5">
        <v>2</v>
      </c>
      <c r="AM10" s="5"/>
      <c r="AN10" s="5">
        <v>10</v>
      </c>
      <c r="AO10" s="5"/>
      <c r="AP10" s="5">
        <v>0</v>
      </c>
      <c r="AQ10" s="5"/>
      <c r="AR10" s="5">
        <v>0</v>
      </c>
      <c r="AS10" s="5"/>
      <c r="AT10" s="5" t="s">
        <v>997</v>
      </c>
      <c r="AU10" s="5" t="s">
        <v>998</v>
      </c>
      <c r="AV10" s="5" t="s">
        <v>999</v>
      </c>
      <c r="AW10" s="8" t="str">
        <f>IFERROR(VLOOKUP(AA10,'Message Lookup'!D:J,7,FALSE),"")</f>
        <v>PLC IO Fail</v>
      </c>
    </row>
    <row r="11" spans="1:49" x14ac:dyDescent="0.25">
      <c r="A11" s="5" t="s">
        <v>4574</v>
      </c>
      <c r="B11" s="5" t="s">
        <v>992</v>
      </c>
      <c r="C11" s="5" t="s">
        <v>4575</v>
      </c>
      <c r="D11" s="5"/>
      <c r="E11" s="5"/>
      <c r="F11" s="5"/>
      <c r="G11" s="5"/>
      <c r="H11" s="5"/>
      <c r="I11" s="5"/>
      <c r="J11" s="5"/>
      <c r="K11" s="5" t="s">
        <v>993</v>
      </c>
      <c r="L11" s="5" t="s">
        <v>994</v>
      </c>
      <c r="M11" s="5" t="s">
        <v>4576</v>
      </c>
      <c r="N11" s="5">
        <v>41</v>
      </c>
      <c r="O11" s="5"/>
      <c r="P11" s="5" t="s">
        <v>995</v>
      </c>
      <c r="Q11" s="5">
        <v>36</v>
      </c>
      <c r="R11" s="5">
        <v>24</v>
      </c>
      <c r="S11" s="5">
        <v>1</v>
      </c>
      <c r="T11" s="5">
        <v>0</v>
      </c>
      <c r="U11" s="5" t="b">
        <v>0</v>
      </c>
      <c r="V11" s="5">
        <v>20</v>
      </c>
      <c r="W11" s="5">
        <v>0.2</v>
      </c>
      <c r="X11" s="5" t="s">
        <v>9</v>
      </c>
      <c r="Y11" s="5">
        <v>9</v>
      </c>
      <c r="Z11" s="5"/>
      <c r="AA11" s="5" t="s">
        <v>16</v>
      </c>
      <c r="AB11" s="5" t="s">
        <v>362</v>
      </c>
      <c r="AC11" s="5" t="b">
        <v>1</v>
      </c>
      <c r="AD11" s="5"/>
      <c r="AE11" s="5"/>
      <c r="AF11" s="5"/>
      <c r="AG11" s="5">
        <v>20</v>
      </c>
      <c r="AH11" s="5"/>
      <c r="AI11" s="5">
        <v>28</v>
      </c>
      <c r="AJ11" s="5"/>
      <c r="AK11" s="5" t="s">
        <v>996</v>
      </c>
      <c r="AL11" s="5">
        <v>2</v>
      </c>
      <c r="AM11" s="5"/>
      <c r="AN11" s="5">
        <v>10</v>
      </c>
      <c r="AO11" s="5"/>
      <c r="AP11" s="5">
        <v>0</v>
      </c>
      <c r="AQ11" s="5"/>
      <c r="AR11" s="5">
        <v>0</v>
      </c>
      <c r="AS11" s="5"/>
      <c r="AT11" s="5" t="s">
        <v>997</v>
      </c>
      <c r="AU11" s="5" t="s">
        <v>998</v>
      </c>
      <c r="AV11" s="5" t="s">
        <v>999</v>
      </c>
      <c r="AW11" s="8" t="str">
        <f>IFERROR(VLOOKUP(AA11,'Message Lookup'!D:J,7,FALSE),"")</f>
        <v>PLC Fault (0=BAD, 1=OK)</v>
      </c>
    </row>
    <row r="12" spans="1:49" x14ac:dyDescent="0.25">
      <c r="A12" s="5" t="s">
        <v>4574</v>
      </c>
      <c r="B12" s="5" t="s">
        <v>992</v>
      </c>
      <c r="C12" s="5" t="s">
        <v>4575</v>
      </c>
      <c r="D12" s="5"/>
      <c r="E12" s="5"/>
      <c r="F12" s="5"/>
      <c r="G12" s="5"/>
      <c r="H12" s="5"/>
      <c r="I12" s="5"/>
      <c r="J12" s="5"/>
      <c r="K12" s="5" t="s">
        <v>993</v>
      </c>
      <c r="L12" s="5" t="s">
        <v>994</v>
      </c>
      <c r="M12" s="5" t="s">
        <v>4576</v>
      </c>
      <c r="N12" s="5">
        <v>41</v>
      </c>
      <c r="O12" s="5"/>
      <c r="P12" s="5" t="s">
        <v>995</v>
      </c>
      <c r="Q12" s="5">
        <v>36</v>
      </c>
      <c r="R12" s="5">
        <v>24</v>
      </c>
      <c r="S12" s="5">
        <v>1</v>
      </c>
      <c r="T12" s="5">
        <v>0</v>
      </c>
      <c r="U12" s="5" t="b">
        <v>0</v>
      </c>
      <c r="V12" s="5">
        <v>20</v>
      </c>
      <c r="W12" s="5">
        <v>0.2</v>
      </c>
      <c r="X12" s="5" t="s">
        <v>9</v>
      </c>
      <c r="Y12" s="5">
        <v>9</v>
      </c>
      <c r="Z12" s="5"/>
      <c r="AA12" s="5" t="s">
        <v>17</v>
      </c>
      <c r="AB12" s="5" t="s">
        <v>363</v>
      </c>
      <c r="AC12" s="5" t="b">
        <v>0</v>
      </c>
      <c r="AD12" s="5"/>
      <c r="AE12" s="5"/>
      <c r="AF12" s="5"/>
      <c r="AG12" s="5">
        <v>20</v>
      </c>
      <c r="AH12" s="5"/>
      <c r="AI12" s="5">
        <v>28</v>
      </c>
      <c r="AJ12" s="5"/>
      <c r="AK12" s="5" t="s">
        <v>996</v>
      </c>
      <c r="AL12" s="5">
        <v>2</v>
      </c>
      <c r="AM12" s="5"/>
      <c r="AN12" s="5">
        <v>10</v>
      </c>
      <c r="AO12" s="5"/>
      <c r="AP12" s="5">
        <v>0</v>
      </c>
      <c r="AQ12" s="5"/>
      <c r="AR12" s="5">
        <v>0</v>
      </c>
      <c r="AS12" s="5"/>
      <c r="AT12" s="5" t="s">
        <v>997</v>
      </c>
      <c r="AU12" s="5" t="s">
        <v>998</v>
      </c>
      <c r="AV12" s="5" t="s">
        <v>999</v>
      </c>
      <c r="AW12" s="8" t="str">
        <f>IFERROR(VLOOKUP(AA12,'Message Lookup'!D:J,7,FALSE),"")</f>
        <v>P-1 FIRE Alarm HiHi Latched</v>
      </c>
    </row>
    <row r="13" spans="1:49" x14ac:dyDescent="0.25">
      <c r="A13" s="5" t="s">
        <v>4574</v>
      </c>
      <c r="B13" s="5" t="s">
        <v>992</v>
      </c>
      <c r="C13" s="5" t="s">
        <v>4575</v>
      </c>
      <c r="D13" s="5"/>
      <c r="E13" s="5"/>
      <c r="F13" s="5"/>
      <c r="G13" s="5"/>
      <c r="H13" s="5"/>
      <c r="I13" s="5"/>
      <c r="J13" s="5"/>
      <c r="K13" s="5" t="s">
        <v>993</v>
      </c>
      <c r="L13" s="5" t="s">
        <v>994</v>
      </c>
      <c r="M13" s="5" t="s">
        <v>4576</v>
      </c>
      <c r="N13" s="5">
        <v>41</v>
      </c>
      <c r="O13" s="5"/>
      <c r="P13" s="5" t="s">
        <v>995</v>
      </c>
      <c r="Q13" s="5">
        <v>36</v>
      </c>
      <c r="R13" s="5">
        <v>24</v>
      </c>
      <c r="S13" s="5">
        <v>1</v>
      </c>
      <c r="T13" s="5">
        <v>0</v>
      </c>
      <c r="U13" s="5" t="b">
        <v>0</v>
      </c>
      <c r="V13" s="5">
        <v>20</v>
      </c>
      <c r="W13" s="5">
        <v>0.2</v>
      </c>
      <c r="X13" s="5" t="s">
        <v>9</v>
      </c>
      <c r="Y13" s="5">
        <v>9</v>
      </c>
      <c r="Z13" s="5"/>
      <c r="AA13" s="5" t="s">
        <v>18</v>
      </c>
      <c r="AB13" s="5" t="s">
        <v>364</v>
      </c>
      <c r="AC13" s="5" t="b">
        <v>0</v>
      </c>
      <c r="AD13" s="5"/>
      <c r="AE13" s="5"/>
      <c r="AF13" s="5"/>
      <c r="AG13" s="5">
        <v>20</v>
      </c>
      <c r="AH13" s="5"/>
      <c r="AI13" s="5">
        <v>28</v>
      </c>
      <c r="AJ13" s="5"/>
      <c r="AK13" s="5" t="s">
        <v>996</v>
      </c>
      <c r="AL13" s="5">
        <v>2</v>
      </c>
      <c r="AM13" s="5"/>
      <c r="AN13" s="5">
        <v>10</v>
      </c>
      <c r="AO13" s="5"/>
      <c r="AP13" s="5">
        <v>0</v>
      </c>
      <c r="AQ13" s="5"/>
      <c r="AR13" s="5">
        <v>0</v>
      </c>
      <c r="AS13" s="5"/>
      <c r="AT13" s="5" t="s">
        <v>997</v>
      </c>
      <c r="AU13" s="5" t="s">
        <v>998</v>
      </c>
      <c r="AV13" s="5" t="s">
        <v>999</v>
      </c>
      <c r="AW13" s="8" t="str">
        <f>IFERROR(VLOOKUP(AA13,'Message Lookup'!D:J,7,FALSE),"")</f>
        <v>P-1 FIRE Alarm Hi Latched</v>
      </c>
    </row>
    <row r="14" spans="1:49" x14ac:dyDescent="0.25">
      <c r="A14" s="5" t="s">
        <v>4574</v>
      </c>
      <c r="B14" s="5" t="s">
        <v>992</v>
      </c>
      <c r="C14" s="5" t="s">
        <v>4575</v>
      </c>
      <c r="D14" s="5"/>
      <c r="E14" s="5"/>
      <c r="F14" s="5"/>
      <c r="G14" s="5"/>
      <c r="H14" s="5"/>
      <c r="I14" s="5"/>
      <c r="J14" s="5"/>
      <c r="K14" s="5" t="s">
        <v>993</v>
      </c>
      <c r="L14" s="5" t="s">
        <v>994</v>
      </c>
      <c r="M14" s="5" t="s">
        <v>4576</v>
      </c>
      <c r="N14" s="5">
        <v>41</v>
      </c>
      <c r="O14" s="5"/>
      <c r="P14" s="5" t="s">
        <v>995</v>
      </c>
      <c r="Q14" s="5">
        <v>36</v>
      </c>
      <c r="R14" s="5">
        <v>24</v>
      </c>
      <c r="S14" s="5">
        <v>1</v>
      </c>
      <c r="T14" s="5">
        <v>0</v>
      </c>
      <c r="U14" s="5" t="b">
        <v>0</v>
      </c>
      <c r="V14" s="5">
        <v>20</v>
      </c>
      <c r="W14" s="5">
        <v>0.2</v>
      </c>
      <c r="X14" s="5" t="s">
        <v>9</v>
      </c>
      <c r="Y14" s="5">
        <v>9</v>
      </c>
      <c r="Z14" s="5"/>
      <c r="AA14" s="5" t="s">
        <v>19</v>
      </c>
      <c r="AB14" s="5" t="s">
        <v>365</v>
      </c>
      <c r="AC14" s="5" t="b">
        <v>0</v>
      </c>
      <c r="AD14" s="5"/>
      <c r="AE14" s="5"/>
      <c r="AF14" s="5"/>
      <c r="AG14" s="5">
        <v>20</v>
      </c>
      <c r="AH14" s="5"/>
      <c r="AI14" s="5">
        <v>28</v>
      </c>
      <c r="AJ14" s="5"/>
      <c r="AK14" s="5" t="s">
        <v>996</v>
      </c>
      <c r="AL14" s="5">
        <v>2</v>
      </c>
      <c r="AM14" s="5"/>
      <c r="AN14" s="5">
        <v>10</v>
      </c>
      <c r="AO14" s="5"/>
      <c r="AP14" s="5">
        <v>0</v>
      </c>
      <c r="AQ14" s="5"/>
      <c r="AR14" s="5">
        <v>0</v>
      </c>
      <c r="AS14" s="5"/>
      <c r="AT14" s="5" t="s">
        <v>997</v>
      </c>
      <c r="AU14" s="5" t="s">
        <v>998</v>
      </c>
      <c r="AV14" s="5" t="s">
        <v>999</v>
      </c>
      <c r="AW14" s="8" t="str">
        <f>IFERROR(VLOOKUP(AA14,'Message Lookup'!D:J,7,FALSE),"")</f>
        <v>P-1 FIRE Alarm Lo Condition</v>
      </c>
    </row>
    <row r="15" spans="1:49" x14ac:dyDescent="0.25">
      <c r="A15" s="5" t="s">
        <v>4574</v>
      </c>
      <c r="B15" s="5" t="s">
        <v>992</v>
      </c>
      <c r="C15" s="5" t="s">
        <v>4575</v>
      </c>
      <c r="D15" s="5"/>
      <c r="E15" s="5"/>
      <c r="F15" s="5"/>
      <c r="G15" s="5"/>
      <c r="H15" s="5"/>
      <c r="I15" s="5"/>
      <c r="J15" s="5"/>
      <c r="K15" s="5" t="s">
        <v>993</v>
      </c>
      <c r="L15" s="5" t="s">
        <v>994</v>
      </c>
      <c r="M15" s="5" t="s">
        <v>4576</v>
      </c>
      <c r="N15" s="5">
        <v>41</v>
      </c>
      <c r="O15" s="5"/>
      <c r="P15" s="5" t="s">
        <v>995</v>
      </c>
      <c r="Q15" s="5">
        <v>36</v>
      </c>
      <c r="R15" s="5">
        <v>24</v>
      </c>
      <c r="S15" s="5">
        <v>1</v>
      </c>
      <c r="T15" s="5">
        <v>0</v>
      </c>
      <c r="U15" s="5" t="b">
        <v>0</v>
      </c>
      <c r="V15" s="5">
        <v>20</v>
      </c>
      <c r="W15" s="5">
        <v>0.2</v>
      </c>
      <c r="X15" s="5" t="s">
        <v>9</v>
      </c>
      <c r="Y15" s="5">
        <v>9</v>
      </c>
      <c r="Z15" s="5"/>
      <c r="AA15" s="5" t="s">
        <v>20</v>
      </c>
      <c r="AB15" s="5" t="s">
        <v>366</v>
      </c>
      <c r="AC15" s="5" t="b">
        <v>0</v>
      </c>
      <c r="AD15" s="5"/>
      <c r="AE15" s="5"/>
      <c r="AF15" s="5"/>
      <c r="AG15" s="5">
        <v>20</v>
      </c>
      <c r="AH15" s="5"/>
      <c r="AI15" s="5">
        <v>28</v>
      </c>
      <c r="AJ15" s="5"/>
      <c r="AK15" s="5" t="s">
        <v>996</v>
      </c>
      <c r="AL15" s="5">
        <v>2</v>
      </c>
      <c r="AM15" s="5"/>
      <c r="AN15" s="5">
        <v>10</v>
      </c>
      <c r="AO15" s="5"/>
      <c r="AP15" s="5">
        <v>0</v>
      </c>
      <c r="AQ15" s="5"/>
      <c r="AR15" s="5">
        <v>0</v>
      </c>
      <c r="AS15" s="5"/>
      <c r="AT15" s="5" t="s">
        <v>997</v>
      </c>
      <c r="AU15" s="5" t="s">
        <v>998</v>
      </c>
      <c r="AV15" s="5" t="s">
        <v>999</v>
      </c>
      <c r="AW15" s="8" t="str">
        <f>IFERROR(VLOOKUP(AA15,'Message Lookup'!D:J,7,FALSE),"")</f>
        <v>P-1 FIRE Alarm LoLo Latched</v>
      </c>
    </row>
    <row r="16" spans="1:49" x14ac:dyDescent="0.25">
      <c r="A16" s="5" t="s">
        <v>4574</v>
      </c>
      <c r="B16" s="5" t="s">
        <v>992</v>
      </c>
      <c r="C16" s="5" t="s">
        <v>4575</v>
      </c>
      <c r="D16" s="5"/>
      <c r="E16" s="5"/>
      <c r="F16" s="5"/>
      <c r="G16" s="5"/>
      <c r="H16" s="5"/>
      <c r="I16" s="5"/>
      <c r="J16" s="5"/>
      <c r="K16" s="5" t="s">
        <v>993</v>
      </c>
      <c r="L16" s="5" t="s">
        <v>994</v>
      </c>
      <c r="M16" s="5" t="s">
        <v>4576</v>
      </c>
      <c r="N16" s="5">
        <v>41</v>
      </c>
      <c r="O16" s="5"/>
      <c r="P16" s="5" t="s">
        <v>995</v>
      </c>
      <c r="Q16" s="5">
        <v>36</v>
      </c>
      <c r="R16" s="5">
        <v>24</v>
      </c>
      <c r="S16" s="5">
        <v>1</v>
      </c>
      <c r="T16" s="5">
        <v>0</v>
      </c>
      <c r="U16" s="5" t="b">
        <v>0</v>
      </c>
      <c r="V16" s="5">
        <v>20</v>
      </c>
      <c r="W16" s="5">
        <v>0.2</v>
      </c>
      <c r="X16" s="5" t="s">
        <v>9</v>
      </c>
      <c r="Y16" s="5">
        <v>9</v>
      </c>
      <c r="Z16" s="5"/>
      <c r="AA16" s="5" t="s">
        <v>21</v>
      </c>
      <c r="AB16" s="5" t="s">
        <v>367</v>
      </c>
      <c r="AC16" s="5" t="b">
        <v>0</v>
      </c>
      <c r="AD16" s="5"/>
      <c r="AE16" s="5"/>
      <c r="AF16" s="5"/>
      <c r="AG16" s="5">
        <v>20</v>
      </c>
      <c r="AH16" s="5"/>
      <c r="AI16" s="5">
        <v>28</v>
      </c>
      <c r="AJ16" s="5"/>
      <c r="AK16" s="5" t="s">
        <v>996</v>
      </c>
      <c r="AL16" s="5">
        <v>2</v>
      </c>
      <c r="AM16" s="5"/>
      <c r="AN16" s="5">
        <v>10</v>
      </c>
      <c r="AO16" s="5"/>
      <c r="AP16" s="5">
        <v>0</v>
      </c>
      <c r="AQ16" s="5"/>
      <c r="AR16" s="5">
        <v>0</v>
      </c>
      <c r="AS16" s="5"/>
      <c r="AT16" s="5" t="s">
        <v>997</v>
      </c>
      <c r="AU16" s="5" t="s">
        <v>998</v>
      </c>
      <c r="AV16" s="5" t="s">
        <v>999</v>
      </c>
      <c r="AW16" s="8" t="str">
        <f>IFERROR(VLOOKUP(AA16,'Message Lookup'!D:J,7,FALSE),"")</f>
        <v>P-1 FIRE Alarm Malfunction Latched</v>
      </c>
    </row>
    <row r="17" spans="1:49" x14ac:dyDescent="0.25">
      <c r="A17" s="5" t="s">
        <v>4574</v>
      </c>
      <c r="B17" s="5" t="s">
        <v>992</v>
      </c>
      <c r="C17" s="5" t="s">
        <v>4575</v>
      </c>
      <c r="D17" s="5"/>
      <c r="E17" s="5"/>
      <c r="F17" s="5"/>
      <c r="G17" s="5"/>
      <c r="H17" s="5"/>
      <c r="I17" s="5"/>
      <c r="J17" s="5"/>
      <c r="K17" s="5" t="s">
        <v>993</v>
      </c>
      <c r="L17" s="5" t="s">
        <v>994</v>
      </c>
      <c r="M17" s="5" t="s">
        <v>4576</v>
      </c>
      <c r="N17" s="5">
        <v>41</v>
      </c>
      <c r="O17" s="5"/>
      <c r="P17" s="5" t="s">
        <v>995</v>
      </c>
      <c r="Q17" s="5">
        <v>36</v>
      </c>
      <c r="R17" s="5">
        <v>24</v>
      </c>
      <c r="S17" s="5">
        <v>1</v>
      </c>
      <c r="T17" s="5">
        <v>0</v>
      </c>
      <c r="U17" s="5" t="b">
        <v>0</v>
      </c>
      <c r="V17" s="5">
        <v>20</v>
      </c>
      <c r="W17" s="5">
        <v>0.2</v>
      </c>
      <c r="X17" s="5" t="s">
        <v>9</v>
      </c>
      <c r="Y17" s="5">
        <v>9</v>
      </c>
      <c r="Z17" s="5"/>
      <c r="AA17" s="5" t="s">
        <v>22</v>
      </c>
      <c r="AB17" s="5" t="s">
        <v>368</v>
      </c>
      <c r="AC17" s="5" t="b">
        <v>0</v>
      </c>
      <c r="AD17" s="5"/>
      <c r="AE17" s="5"/>
      <c r="AF17" s="5"/>
      <c r="AG17" s="5">
        <v>20</v>
      </c>
      <c r="AH17" s="5"/>
      <c r="AI17" s="5">
        <v>28</v>
      </c>
      <c r="AJ17" s="5"/>
      <c r="AK17" s="5" t="s">
        <v>996</v>
      </c>
      <c r="AL17" s="5">
        <v>2</v>
      </c>
      <c r="AM17" s="5"/>
      <c r="AN17" s="5">
        <v>10</v>
      </c>
      <c r="AO17" s="5"/>
      <c r="AP17" s="5">
        <v>0</v>
      </c>
      <c r="AQ17" s="5"/>
      <c r="AR17" s="5">
        <v>0</v>
      </c>
      <c r="AS17" s="5"/>
      <c r="AT17" s="5" t="s">
        <v>997</v>
      </c>
      <c r="AU17" s="5" t="s">
        <v>998</v>
      </c>
      <c r="AV17" s="5" t="s">
        <v>999</v>
      </c>
      <c r="AW17" s="8" t="str">
        <f>IFERROR(VLOOKUP(AA17,'Message Lookup'!D:J,7,FALSE),"")</f>
        <v>P-2 FIRE Alarm HiHi Latched</v>
      </c>
    </row>
    <row r="18" spans="1:49" x14ac:dyDescent="0.25">
      <c r="A18" s="5" t="s">
        <v>4574</v>
      </c>
      <c r="B18" s="5" t="s">
        <v>992</v>
      </c>
      <c r="C18" s="5" t="s">
        <v>4575</v>
      </c>
      <c r="D18" s="5"/>
      <c r="E18" s="5"/>
      <c r="F18" s="5"/>
      <c r="G18" s="5"/>
      <c r="H18" s="5"/>
      <c r="I18" s="5"/>
      <c r="J18" s="5"/>
      <c r="K18" s="5" t="s">
        <v>993</v>
      </c>
      <c r="L18" s="5" t="s">
        <v>994</v>
      </c>
      <c r="M18" s="5" t="s">
        <v>4576</v>
      </c>
      <c r="N18" s="5">
        <v>41</v>
      </c>
      <c r="O18" s="5"/>
      <c r="P18" s="5" t="s">
        <v>995</v>
      </c>
      <c r="Q18" s="5">
        <v>36</v>
      </c>
      <c r="R18" s="5">
        <v>24</v>
      </c>
      <c r="S18" s="5">
        <v>1</v>
      </c>
      <c r="T18" s="5">
        <v>0</v>
      </c>
      <c r="U18" s="5" t="b">
        <v>0</v>
      </c>
      <c r="V18" s="5">
        <v>20</v>
      </c>
      <c r="W18" s="5">
        <v>0.2</v>
      </c>
      <c r="X18" s="5" t="s">
        <v>9</v>
      </c>
      <c r="Y18" s="5">
        <v>9</v>
      </c>
      <c r="Z18" s="5"/>
      <c r="AA18" s="5" t="s">
        <v>23</v>
      </c>
      <c r="AB18" s="5" t="s">
        <v>369</v>
      </c>
      <c r="AC18" s="5" t="b">
        <v>0</v>
      </c>
      <c r="AD18" s="5"/>
      <c r="AE18" s="5"/>
      <c r="AF18" s="5"/>
      <c r="AG18" s="5">
        <v>20</v>
      </c>
      <c r="AH18" s="5"/>
      <c r="AI18" s="5">
        <v>28</v>
      </c>
      <c r="AJ18" s="5"/>
      <c r="AK18" s="5" t="s">
        <v>996</v>
      </c>
      <c r="AL18" s="5">
        <v>2</v>
      </c>
      <c r="AM18" s="5"/>
      <c r="AN18" s="5">
        <v>10</v>
      </c>
      <c r="AO18" s="5"/>
      <c r="AP18" s="5">
        <v>0</v>
      </c>
      <c r="AQ18" s="5"/>
      <c r="AR18" s="5">
        <v>0</v>
      </c>
      <c r="AS18" s="5"/>
      <c r="AT18" s="5" t="s">
        <v>997</v>
      </c>
      <c r="AU18" s="5" t="s">
        <v>998</v>
      </c>
      <c r="AV18" s="5" t="s">
        <v>999</v>
      </c>
      <c r="AW18" s="8" t="str">
        <f>IFERROR(VLOOKUP(AA18,'Message Lookup'!D:J,7,FALSE),"")</f>
        <v>P-2 FIRE Alarm Hi Latched</v>
      </c>
    </row>
    <row r="19" spans="1:49" x14ac:dyDescent="0.25">
      <c r="A19" s="5" t="s">
        <v>4574</v>
      </c>
      <c r="B19" s="5" t="s">
        <v>992</v>
      </c>
      <c r="C19" s="5" t="s">
        <v>4575</v>
      </c>
      <c r="D19" s="5"/>
      <c r="E19" s="5"/>
      <c r="F19" s="5"/>
      <c r="G19" s="5"/>
      <c r="H19" s="5"/>
      <c r="I19" s="5"/>
      <c r="J19" s="5"/>
      <c r="K19" s="5" t="s">
        <v>993</v>
      </c>
      <c r="L19" s="5" t="s">
        <v>994</v>
      </c>
      <c r="M19" s="5" t="s">
        <v>4576</v>
      </c>
      <c r="N19" s="5">
        <v>41</v>
      </c>
      <c r="O19" s="5"/>
      <c r="P19" s="5" t="s">
        <v>995</v>
      </c>
      <c r="Q19" s="5">
        <v>36</v>
      </c>
      <c r="R19" s="5">
        <v>24</v>
      </c>
      <c r="S19" s="5">
        <v>1</v>
      </c>
      <c r="T19" s="5">
        <v>0</v>
      </c>
      <c r="U19" s="5" t="b">
        <v>0</v>
      </c>
      <c r="V19" s="5">
        <v>20</v>
      </c>
      <c r="W19" s="5">
        <v>0.2</v>
      </c>
      <c r="X19" s="5" t="s">
        <v>9</v>
      </c>
      <c r="Y19" s="5">
        <v>9</v>
      </c>
      <c r="Z19" s="5"/>
      <c r="AA19" s="5" t="s">
        <v>24</v>
      </c>
      <c r="AB19" s="5" t="s">
        <v>370</v>
      </c>
      <c r="AC19" s="5" t="b">
        <v>0</v>
      </c>
      <c r="AD19" s="5"/>
      <c r="AE19" s="5"/>
      <c r="AF19" s="5"/>
      <c r="AG19" s="5">
        <v>20</v>
      </c>
      <c r="AH19" s="5"/>
      <c r="AI19" s="5">
        <v>28</v>
      </c>
      <c r="AJ19" s="5"/>
      <c r="AK19" s="5" t="s">
        <v>996</v>
      </c>
      <c r="AL19" s="5">
        <v>2</v>
      </c>
      <c r="AM19" s="5"/>
      <c r="AN19" s="5">
        <v>10</v>
      </c>
      <c r="AO19" s="5"/>
      <c r="AP19" s="5">
        <v>0</v>
      </c>
      <c r="AQ19" s="5"/>
      <c r="AR19" s="5">
        <v>0</v>
      </c>
      <c r="AS19" s="5"/>
      <c r="AT19" s="5" t="s">
        <v>997</v>
      </c>
      <c r="AU19" s="5" t="s">
        <v>998</v>
      </c>
      <c r="AV19" s="5" t="s">
        <v>999</v>
      </c>
      <c r="AW19" s="8" t="str">
        <f>IFERROR(VLOOKUP(AA19,'Message Lookup'!D:J,7,FALSE),"")</f>
        <v>P-2 FIRE Alarm Lo Condition</v>
      </c>
    </row>
    <row r="20" spans="1:49" x14ac:dyDescent="0.25">
      <c r="A20" s="5" t="s">
        <v>4574</v>
      </c>
      <c r="B20" s="5" t="s">
        <v>992</v>
      </c>
      <c r="C20" s="5" t="s">
        <v>4575</v>
      </c>
      <c r="D20" s="5"/>
      <c r="E20" s="5"/>
      <c r="F20" s="5"/>
      <c r="G20" s="5"/>
      <c r="H20" s="5"/>
      <c r="I20" s="5"/>
      <c r="J20" s="5"/>
      <c r="K20" s="5" t="s">
        <v>993</v>
      </c>
      <c r="L20" s="5" t="s">
        <v>994</v>
      </c>
      <c r="M20" s="5" t="s">
        <v>4576</v>
      </c>
      <c r="N20" s="5">
        <v>41</v>
      </c>
      <c r="O20" s="5"/>
      <c r="P20" s="5" t="s">
        <v>995</v>
      </c>
      <c r="Q20" s="5">
        <v>36</v>
      </c>
      <c r="R20" s="5">
        <v>24</v>
      </c>
      <c r="S20" s="5">
        <v>1</v>
      </c>
      <c r="T20" s="5">
        <v>0</v>
      </c>
      <c r="U20" s="5" t="b">
        <v>0</v>
      </c>
      <c r="V20" s="5">
        <v>20</v>
      </c>
      <c r="W20" s="5">
        <v>0.2</v>
      </c>
      <c r="X20" s="5" t="s">
        <v>9</v>
      </c>
      <c r="Y20" s="5">
        <v>9</v>
      </c>
      <c r="Z20" s="5"/>
      <c r="AA20" s="5"/>
      <c r="AB20" s="5"/>
      <c r="AC20" s="5"/>
      <c r="AD20" s="5"/>
      <c r="AE20" s="5" t="s">
        <v>1000</v>
      </c>
      <c r="AF20" s="5" t="b">
        <v>0</v>
      </c>
      <c r="AG20" s="5">
        <v>20</v>
      </c>
      <c r="AH20" s="5"/>
      <c r="AI20" s="5">
        <v>28</v>
      </c>
      <c r="AJ20" s="5"/>
      <c r="AK20" s="5" t="s">
        <v>996</v>
      </c>
      <c r="AL20" s="5">
        <v>2</v>
      </c>
      <c r="AM20" s="5"/>
      <c r="AN20" s="5">
        <v>10</v>
      </c>
      <c r="AO20" s="5"/>
      <c r="AP20" s="5">
        <v>0</v>
      </c>
      <c r="AQ20" s="5"/>
      <c r="AR20" s="5">
        <v>0</v>
      </c>
      <c r="AS20" s="5"/>
      <c r="AT20" s="5" t="s">
        <v>997</v>
      </c>
      <c r="AU20" s="5" t="s">
        <v>998</v>
      </c>
      <c r="AV20" s="5" t="s">
        <v>999</v>
      </c>
      <c r="AW20" s="8" t="str">
        <f>IFERROR(VLOOKUP(AA20,'Message Lookup'!D:J,7,FALSE),"")</f>
        <v/>
      </c>
    </row>
    <row r="21" spans="1:49" x14ac:dyDescent="0.25">
      <c r="A21" s="5" t="s">
        <v>4574</v>
      </c>
      <c r="B21" s="5" t="s">
        <v>992</v>
      </c>
      <c r="C21" s="5" t="s">
        <v>4575</v>
      </c>
      <c r="D21" s="5"/>
      <c r="E21" s="5"/>
      <c r="F21" s="5"/>
      <c r="G21" s="5"/>
      <c r="H21" s="5"/>
      <c r="I21" s="5"/>
      <c r="J21" s="5"/>
      <c r="K21" s="5" t="s">
        <v>993</v>
      </c>
      <c r="L21" s="5" t="s">
        <v>994</v>
      </c>
      <c r="M21" s="5" t="s">
        <v>4576</v>
      </c>
      <c r="N21" s="5">
        <v>41</v>
      </c>
      <c r="O21" s="5"/>
      <c r="P21" s="5" t="s">
        <v>995</v>
      </c>
      <c r="Q21" s="5">
        <v>36</v>
      </c>
      <c r="R21" s="5">
        <v>24</v>
      </c>
      <c r="S21" s="5">
        <v>1</v>
      </c>
      <c r="T21" s="5">
        <v>0</v>
      </c>
      <c r="U21" s="5" t="b">
        <v>0</v>
      </c>
      <c r="V21" s="5">
        <v>20</v>
      </c>
      <c r="W21" s="5">
        <v>0.2</v>
      </c>
      <c r="X21" s="5" t="s">
        <v>9</v>
      </c>
      <c r="Y21" s="5">
        <v>9</v>
      </c>
      <c r="Z21" s="5"/>
      <c r="AA21" s="5"/>
      <c r="AB21" s="5"/>
      <c r="AC21" s="5"/>
      <c r="AD21" s="5" t="s">
        <v>1001</v>
      </c>
      <c r="AE21" s="5" t="s">
        <v>1002</v>
      </c>
      <c r="AF21" s="5" t="b">
        <v>0</v>
      </c>
      <c r="AG21" s="5">
        <v>20</v>
      </c>
      <c r="AH21" s="5"/>
      <c r="AI21" s="5">
        <v>28</v>
      </c>
      <c r="AJ21" s="5"/>
      <c r="AK21" s="5" t="s">
        <v>996</v>
      </c>
      <c r="AL21" s="5">
        <v>2</v>
      </c>
      <c r="AM21" s="5"/>
      <c r="AN21" s="5">
        <v>10</v>
      </c>
      <c r="AO21" s="5"/>
      <c r="AP21" s="5">
        <v>0</v>
      </c>
      <c r="AQ21" s="5"/>
      <c r="AR21" s="5">
        <v>0</v>
      </c>
      <c r="AS21" s="5"/>
      <c r="AT21" s="5" t="s">
        <v>997</v>
      </c>
      <c r="AU21" s="5" t="s">
        <v>998</v>
      </c>
      <c r="AV21" s="5" t="s">
        <v>999</v>
      </c>
      <c r="AW21" s="8" t="str">
        <f>IFERROR(VLOOKUP(AA21,'Message Lookup'!D:J,7,FALSE),"")</f>
        <v/>
      </c>
    </row>
    <row r="22" spans="1:49" x14ac:dyDescent="0.25">
      <c r="A22" s="5" t="s">
        <v>4574</v>
      </c>
      <c r="B22" s="5" t="s">
        <v>992</v>
      </c>
      <c r="C22" s="5" t="s">
        <v>4575</v>
      </c>
      <c r="D22" s="5"/>
      <c r="E22" s="5"/>
      <c r="F22" s="5"/>
      <c r="G22" s="5"/>
      <c r="H22" s="5"/>
      <c r="I22" s="5"/>
      <c r="J22" s="5"/>
      <c r="K22" s="5" t="s">
        <v>993</v>
      </c>
      <c r="L22" s="5" t="s">
        <v>994</v>
      </c>
      <c r="M22" s="5" t="s">
        <v>4576</v>
      </c>
      <c r="N22" s="5">
        <v>41</v>
      </c>
      <c r="O22" s="5"/>
      <c r="P22" s="5" t="s">
        <v>995</v>
      </c>
      <c r="Q22" s="5">
        <v>36</v>
      </c>
      <c r="R22" s="5">
        <v>24</v>
      </c>
      <c r="S22" s="5">
        <v>2</v>
      </c>
      <c r="T22" s="5">
        <v>0</v>
      </c>
      <c r="U22" s="5" t="b">
        <v>0</v>
      </c>
      <c r="V22" s="5">
        <v>20</v>
      </c>
      <c r="W22" s="5">
        <v>0.1</v>
      </c>
      <c r="X22" s="5" t="s">
        <v>9</v>
      </c>
      <c r="Y22" s="5">
        <v>9</v>
      </c>
      <c r="Z22" s="5"/>
      <c r="AA22" s="5"/>
      <c r="AB22" s="5" t="s">
        <v>354</v>
      </c>
      <c r="AC22" s="5" t="b">
        <v>0</v>
      </c>
      <c r="AD22" s="5"/>
      <c r="AE22" s="5"/>
      <c r="AF22" s="5"/>
      <c r="AG22" s="5">
        <v>20</v>
      </c>
      <c r="AH22" s="5">
        <v>20</v>
      </c>
      <c r="AI22" s="5">
        <v>49</v>
      </c>
      <c r="AJ22" s="5">
        <v>49</v>
      </c>
      <c r="AK22" s="5" t="s">
        <v>996</v>
      </c>
      <c r="AL22" s="5">
        <v>2</v>
      </c>
      <c r="AM22" s="5"/>
      <c r="AN22" s="5">
        <v>10</v>
      </c>
      <c r="AO22" s="5"/>
      <c r="AP22" s="5">
        <v>0</v>
      </c>
      <c r="AQ22" s="5"/>
      <c r="AR22" s="5">
        <v>0</v>
      </c>
      <c r="AS22" s="5"/>
      <c r="AT22" s="5" t="s">
        <v>997</v>
      </c>
      <c r="AU22" s="5" t="s">
        <v>998</v>
      </c>
      <c r="AV22" s="5" t="s">
        <v>999</v>
      </c>
      <c r="AW22" s="8" t="str">
        <f>IFERROR(VLOOKUP(AA22,'Message Lookup'!D:J,7,FALSE),"")</f>
        <v/>
      </c>
    </row>
    <row r="23" spans="1:49" x14ac:dyDescent="0.25">
      <c r="A23" s="5" t="s">
        <v>4574</v>
      </c>
      <c r="B23" s="5" t="s">
        <v>992</v>
      </c>
      <c r="C23" s="5" t="s">
        <v>4575</v>
      </c>
      <c r="D23" s="5"/>
      <c r="E23" s="5"/>
      <c r="F23" s="5"/>
      <c r="G23" s="5"/>
      <c r="H23" s="5"/>
      <c r="I23" s="5"/>
      <c r="J23" s="5"/>
      <c r="K23" s="5" t="s">
        <v>993</v>
      </c>
      <c r="L23" s="5" t="s">
        <v>994</v>
      </c>
      <c r="M23" s="5" t="s">
        <v>4576</v>
      </c>
      <c r="N23" s="5">
        <v>41</v>
      </c>
      <c r="O23" s="5"/>
      <c r="P23" s="5" t="s">
        <v>995</v>
      </c>
      <c r="Q23" s="5">
        <v>36</v>
      </c>
      <c r="R23" s="5">
        <v>24</v>
      </c>
      <c r="S23" s="5">
        <v>2</v>
      </c>
      <c r="T23" s="5">
        <v>0</v>
      </c>
      <c r="U23" s="5" t="b">
        <v>0</v>
      </c>
      <c r="V23" s="5">
        <v>20</v>
      </c>
      <c r="W23" s="5">
        <v>0.1</v>
      </c>
      <c r="X23" s="5" t="s">
        <v>9</v>
      </c>
      <c r="Y23" s="5">
        <v>9</v>
      </c>
      <c r="Z23" s="5"/>
      <c r="AA23" s="5" t="s">
        <v>25</v>
      </c>
      <c r="AB23" s="5" t="s">
        <v>355</v>
      </c>
      <c r="AC23" s="5" t="b">
        <v>0</v>
      </c>
      <c r="AD23" s="5"/>
      <c r="AE23" s="5"/>
      <c r="AF23" s="5"/>
      <c r="AG23" s="5">
        <v>20</v>
      </c>
      <c r="AH23" s="5"/>
      <c r="AI23" s="5">
        <v>49</v>
      </c>
      <c r="AJ23" s="5"/>
      <c r="AK23" s="5" t="s">
        <v>996</v>
      </c>
      <c r="AL23" s="5">
        <v>2</v>
      </c>
      <c r="AM23" s="5"/>
      <c r="AN23" s="5">
        <v>10</v>
      </c>
      <c r="AO23" s="5"/>
      <c r="AP23" s="5">
        <v>0</v>
      </c>
      <c r="AQ23" s="5"/>
      <c r="AR23" s="5">
        <v>0</v>
      </c>
      <c r="AS23" s="5"/>
      <c r="AT23" s="5" t="s">
        <v>997</v>
      </c>
      <c r="AU23" s="5" t="s">
        <v>998</v>
      </c>
      <c r="AV23" s="5" t="s">
        <v>999</v>
      </c>
      <c r="AW23" s="8" t="str">
        <f>IFERROR(VLOOKUP(AA23,'Message Lookup'!D:J,7,FALSE),"")</f>
        <v>P-2 FIRE Alarm LoLo Latched</v>
      </c>
    </row>
    <row r="24" spans="1:49" x14ac:dyDescent="0.25">
      <c r="A24" s="5" t="s">
        <v>4574</v>
      </c>
      <c r="B24" s="5" t="s">
        <v>992</v>
      </c>
      <c r="C24" s="5" t="s">
        <v>4575</v>
      </c>
      <c r="D24" s="5"/>
      <c r="E24" s="5"/>
      <c r="F24" s="5"/>
      <c r="G24" s="5"/>
      <c r="H24" s="5"/>
      <c r="I24" s="5"/>
      <c r="J24" s="5"/>
      <c r="K24" s="5" t="s">
        <v>993</v>
      </c>
      <c r="L24" s="5" t="s">
        <v>994</v>
      </c>
      <c r="M24" s="5" t="s">
        <v>4576</v>
      </c>
      <c r="N24" s="5">
        <v>41</v>
      </c>
      <c r="O24" s="5"/>
      <c r="P24" s="5" t="s">
        <v>995</v>
      </c>
      <c r="Q24" s="5">
        <v>36</v>
      </c>
      <c r="R24" s="5">
        <v>24</v>
      </c>
      <c r="S24" s="5">
        <v>2</v>
      </c>
      <c r="T24" s="5">
        <v>0</v>
      </c>
      <c r="U24" s="5" t="b">
        <v>0</v>
      </c>
      <c r="V24" s="5">
        <v>20</v>
      </c>
      <c r="W24" s="5">
        <v>0.1</v>
      </c>
      <c r="X24" s="5" t="s">
        <v>9</v>
      </c>
      <c r="Y24" s="5">
        <v>9</v>
      </c>
      <c r="Z24" s="5"/>
      <c r="AA24" s="5" t="s">
        <v>26</v>
      </c>
      <c r="AB24" s="5" t="s">
        <v>356</v>
      </c>
      <c r="AC24" s="5" t="b">
        <v>0</v>
      </c>
      <c r="AD24" s="5"/>
      <c r="AE24" s="5"/>
      <c r="AF24" s="5"/>
      <c r="AG24" s="5">
        <v>20</v>
      </c>
      <c r="AH24" s="5"/>
      <c r="AI24" s="5">
        <v>49</v>
      </c>
      <c r="AJ24" s="5"/>
      <c r="AK24" s="5" t="s">
        <v>996</v>
      </c>
      <c r="AL24" s="5">
        <v>2</v>
      </c>
      <c r="AM24" s="5"/>
      <c r="AN24" s="5">
        <v>10</v>
      </c>
      <c r="AO24" s="5"/>
      <c r="AP24" s="5">
        <v>0</v>
      </c>
      <c r="AQ24" s="5"/>
      <c r="AR24" s="5">
        <v>0</v>
      </c>
      <c r="AS24" s="5"/>
      <c r="AT24" s="5" t="s">
        <v>997</v>
      </c>
      <c r="AU24" s="5" t="s">
        <v>998</v>
      </c>
      <c r="AV24" s="5" t="s">
        <v>999</v>
      </c>
      <c r="AW24" s="8" t="str">
        <f>IFERROR(VLOOKUP(AA24,'Message Lookup'!D:J,7,FALSE),"")</f>
        <v>P-2 FIRE Alarm Malfunction Latched</v>
      </c>
    </row>
    <row r="25" spans="1:49" x14ac:dyDescent="0.25">
      <c r="A25" s="5" t="s">
        <v>4574</v>
      </c>
      <c r="B25" s="5" t="s">
        <v>992</v>
      </c>
      <c r="C25" s="5" t="s">
        <v>4575</v>
      </c>
      <c r="D25" s="5"/>
      <c r="E25" s="5"/>
      <c r="F25" s="5"/>
      <c r="G25" s="5"/>
      <c r="H25" s="5"/>
      <c r="I25" s="5"/>
      <c r="J25" s="5"/>
      <c r="K25" s="5" t="s">
        <v>993</v>
      </c>
      <c r="L25" s="5" t="s">
        <v>994</v>
      </c>
      <c r="M25" s="5" t="s">
        <v>4576</v>
      </c>
      <c r="N25" s="5">
        <v>41</v>
      </c>
      <c r="O25" s="5"/>
      <c r="P25" s="5" t="s">
        <v>995</v>
      </c>
      <c r="Q25" s="5">
        <v>36</v>
      </c>
      <c r="R25" s="5">
        <v>24</v>
      </c>
      <c r="S25" s="5">
        <v>2</v>
      </c>
      <c r="T25" s="5">
        <v>0</v>
      </c>
      <c r="U25" s="5" t="b">
        <v>0</v>
      </c>
      <c r="V25" s="5">
        <v>20</v>
      </c>
      <c r="W25" s="5">
        <v>0.1</v>
      </c>
      <c r="X25" s="5" t="s">
        <v>9</v>
      </c>
      <c r="Y25" s="5">
        <v>9</v>
      </c>
      <c r="Z25" s="5"/>
      <c r="AA25" s="5" t="s">
        <v>27</v>
      </c>
      <c r="AB25" s="5" t="s">
        <v>357</v>
      </c>
      <c r="AC25" s="5" t="b">
        <v>0</v>
      </c>
      <c r="AD25" s="5"/>
      <c r="AE25" s="5"/>
      <c r="AF25" s="5"/>
      <c r="AG25" s="5">
        <v>20</v>
      </c>
      <c r="AH25" s="5"/>
      <c r="AI25" s="5">
        <v>49</v>
      </c>
      <c r="AJ25" s="5"/>
      <c r="AK25" s="5" t="s">
        <v>996</v>
      </c>
      <c r="AL25" s="5">
        <v>2</v>
      </c>
      <c r="AM25" s="5"/>
      <c r="AN25" s="5">
        <v>10</v>
      </c>
      <c r="AO25" s="5"/>
      <c r="AP25" s="5">
        <v>0</v>
      </c>
      <c r="AQ25" s="5"/>
      <c r="AR25" s="5">
        <v>0</v>
      </c>
      <c r="AS25" s="5"/>
      <c r="AT25" s="5" t="s">
        <v>997</v>
      </c>
      <c r="AU25" s="5" t="s">
        <v>998</v>
      </c>
      <c r="AV25" s="5" t="s">
        <v>999</v>
      </c>
      <c r="AW25" s="8" t="str">
        <f>IFERROR(VLOOKUP(AA25,'Message Lookup'!D:J,7,FALSE),"")</f>
        <v>P-3 FIRE Alarm HiHi Latched</v>
      </c>
    </row>
    <row r="26" spans="1:49" x14ac:dyDescent="0.25">
      <c r="A26" s="5" t="s">
        <v>4574</v>
      </c>
      <c r="B26" s="5" t="s">
        <v>992</v>
      </c>
      <c r="C26" s="5" t="s">
        <v>4575</v>
      </c>
      <c r="D26" s="5"/>
      <c r="E26" s="5"/>
      <c r="F26" s="5"/>
      <c r="G26" s="5"/>
      <c r="H26" s="5"/>
      <c r="I26" s="5"/>
      <c r="J26" s="5"/>
      <c r="K26" s="5" t="s">
        <v>993</v>
      </c>
      <c r="L26" s="5" t="s">
        <v>994</v>
      </c>
      <c r="M26" s="5" t="s">
        <v>4576</v>
      </c>
      <c r="N26" s="5">
        <v>41</v>
      </c>
      <c r="O26" s="5"/>
      <c r="P26" s="5" t="s">
        <v>995</v>
      </c>
      <c r="Q26" s="5">
        <v>36</v>
      </c>
      <c r="R26" s="5">
        <v>24</v>
      </c>
      <c r="S26" s="5">
        <v>2</v>
      </c>
      <c r="T26" s="5">
        <v>0</v>
      </c>
      <c r="U26" s="5" t="b">
        <v>0</v>
      </c>
      <c r="V26" s="5">
        <v>20</v>
      </c>
      <c r="W26" s="5">
        <v>0.1</v>
      </c>
      <c r="X26" s="5" t="s">
        <v>9</v>
      </c>
      <c r="Y26" s="5">
        <v>9</v>
      </c>
      <c r="Z26" s="5"/>
      <c r="AA26" s="5" t="s">
        <v>28</v>
      </c>
      <c r="AB26" s="5" t="s">
        <v>358</v>
      </c>
      <c r="AC26" s="5" t="b">
        <v>0</v>
      </c>
      <c r="AD26" s="5"/>
      <c r="AE26" s="5"/>
      <c r="AF26" s="5"/>
      <c r="AG26" s="5">
        <v>20</v>
      </c>
      <c r="AH26" s="5"/>
      <c r="AI26" s="5">
        <v>49</v>
      </c>
      <c r="AJ26" s="5"/>
      <c r="AK26" s="5" t="s">
        <v>996</v>
      </c>
      <c r="AL26" s="5">
        <v>2</v>
      </c>
      <c r="AM26" s="5"/>
      <c r="AN26" s="5">
        <v>10</v>
      </c>
      <c r="AO26" s="5"/>
      <c r="AP26" s="5">
        <v>0</v>
      </c>
      <c r="AQ26" s="5"/>
      <c r="AR26" s="5">
        <v>0</v>
      </c>
      <c r="AS26" s="5"/>
      <c r="AT26" s="5" t="s">
        <v>997</v>
      </c>
      <c r="AU26" s="5" t="s">
        <v>998</v>
      </c>
      <c r="AV26" s="5" t="s">
        <v>999</v>
      </c>
      <c r="AW26" s="8" t="str">
        <f>IFERROR(VLOOKUP(AA26,'Message Lookup'!D:J,7,FALSE),"")</f>
        <v>P-3 FIRE Alarm Hi Latched</v>
      </c>
    </row>
    <row r="27" spans="1:49" x14ac:dyDescent="0.25">
      <c r="A27" s="5" t="s">
        <v>4574</v>
      </c>
      <c r="B27" s="5" t="s">
        <v>992</v>
      </c>
      <c r="C27" s="5" t="s">
        <v>4575</v>
      </c>
      <c r="D27" s="5"/>
      <c r="E27" s="5"/>
      <c r="F27" s="5"/>
      <c r="G27" s="5"/>
      <c r="H27" s="5"/>
      <c r="I27" s="5"/>
      <c r="J27" s="5"/>
      <c r="K27" s="5" t="s">
        <v>993</v>
      </c>
      <c r="L27" s="5" t="s">
        <v>994</v>
      </c>
      <c r="M27" s="5" t="s">
        <v>4576</v>
      </c>
      <c r="N27" s="5">
        <v>41</v>
      </c>
      <c r="O27" s="5"/>
      <c r="P27" s="5" t="s">
        <v>995</v>
      </c>
      <c r="Q27" s="5">
        <v>36</v>
      </c>
      <c r="R27" s="5">
        <v>24</v>
      </c>
      <c r="S27" s="5">
        <v>2</v>
      </c>
      <c r="T27" s="5">
        <v>0</v>
      </c>
      <c r="U27" s="5" t="b">
        <v>0</v>
      </c>
      <c r="V27" s="5">
        <v>20</v>
      </c>
      <c r="W27" s="5">
        <v>0.1</v>
      </c>
      <c r="X27" s="5" t="s">
        <v>9</v>
      </c>
      <c r="Y27" s="5">
        <v>9</v>
      </c>
      <c r="Z27" s="5"/>
      <c r="AA27" s="5" t="s">
        <v>29</v>
      </c>
      <c r="AB27" s="5" t="s">
        <v>359</v>
      </c>
      <c r="AC27" s="5" t="b">
        <v>0</v>
      </c>
      <c r="AD27" s="5"/>
      <c r="AE27" s="5"/>
      <c r="AF27" s="5"/>
      <c r="AG27" s="5">
        <v>20</v>
      </c>
      <c r="AH27" s="5"/>
      <c r="AI27" s="5">
        <v>49</v>
      </c>
      <c r="AJ27" s="5"/>
      <c r="AK27" s="5" t="s">
        <v>996</v>
      </c>
      <c r="AL27" s="5">
        <v>2</v>
      </c>
      <c r="AM27" s="5"/>
      <c r="AN27" s="5">
        <v>10</v>
      </c>
      <c r="AO27" s="5"/>
      <c r="AP27" s="5">
        <v>0</v>
      </c>
      <c r="AQ27" s="5"/>
      <c r="AR27" s="5">
        <v>0</v>
      </c>
      <c r="AS27" s="5"/>
      <c r="AT27" s="5" t="s">
        <v>997</v>
      </c>
      <c r="AU27" s="5" t="s">
        <v>998</v>
      </c>
      <c r="AV27" s="5" t="s">
        <v>999</v>
      </c>
      <c r="AW27" s="8" t="str">
        <f>IFERROR(VLOOKUP(AA27,'Message Lookup'!D:J,7,FALSE),"")</f>
        <v>P-3 FIRE Alarm Lo Condition</v>
      </c>
    </row>
    <row r="28" spans="1:49" x14ac:dyDescent="0.25">
      <c r="A28" s="5" t="s">
        <v>4574</v>
      </c>
      <c r="B28" s="5" t="s">
        <v>992</v>
      </c>
      <c r="C28" s="5" t="s">
        <v>4575</v>
      </c>
      <c r="D28" s="5"/>
      <c r="E28" s="5"/>
      <c r="F28" s="5"/>
      <c r="G28" s="5"/>
      <c r="H28" s="5"/>
      <c r="I28" s="5"/>
      <c r="J28" s="5"/>
      <c r="K28" s="5" t="s">
        <v>993</v>
      </c>
      <c r="L28" s="5" t="s">
        <v>994</v>
      </c>
      <c r="M28" s="5" t="s">
        <v>4576</v>
      </c>
      <c r="N28" s="5">
        <v>41</v>
      </c>
      <c r="O28" s="5"/>
      <c r="P28" s="5" t="s">
        <v>995</v>
      </c>
      <c r="Q28" s="5">
        <v>36</v>
      </c>
      <c r="R28" s="5">
        <v>24</v>
      </c>
      <c r="S28" s="5">
        <v>2</v>
      </c>
      <c r="T28" s="5">
        <v>0</v>
      </c>
      <c r="U28" s="5" t="b">
        <v>0</v>
      </c>
      <c r="V28" s="5">
        <v>20</v>
      </c>
      <c r="W28" s="5">
        <v>0.1</v>
      </c>
      <c r="X28" s="5" t="s">
        <v>9</v>
      </c>
      <c r="Y28" s="5">
        <v>9</v>
      </c>
      <c r="Z28" s="5"/>
      <c r="AA28" s="5" t="s">
        <v>30</v>
      </c>
      <c r="AB28" s="5" t="s">
        <v>360</v>
      </c>
      <c r="AC28" s="5" t="b">
        <v>0</v>
      </c>
      <c r="AD28" s="5"/>
      <c r="AE28" s="5"/>
      <c r="AF28" s="5"/>
      <c r="AG28" s="5">
        <v>20</v>
      </c>
      <c r="AH28" s="5"/>
      <c r="AI28" s="5">
        <v>49</v>
      </c>
      <c r="AJ28" s="5"/>
      <c r="AK28" s="5" t="s">
        <v>996</v>
      </c>
      <c r="AL28" s="5">
        <v>2</v>
      </c>
      <c r="AM28" s="5"/>
      <c r="AN28" s="5">
        <v>10</v>
      </c>
      <c r="AO28" s="5"/>
      <c r="AP28" s="5">
        <v>0</v>
      </c>
      <c r="AQ28" s="5"/>
      <c r="AR28" s="5">
        <v>0</v>
      </c>
      <c r="AS28" s="5"/>
      <c r="AT28" s="5" t="s">
        <v>997</v>
      </c>
      <c r="AU28" s="5" t="s">
        <v>998</v>
      </c>
      <c r="AV28" s="5" t="s">
        <v>999</v>
      </c>
      <c r="AW28" s="8" t="str">
        <f>IFERROR(VLOOKUP(AA28,'Message Lookup'!D:J,7,FALSE),"")</f>
        <v>P-3 FIRE Alarm LoLo Latched</v>
      </c>
    </row>
    <row r="29" spans="1:49" x14ac:dyDescent="0.25">
      <c r="A29" s="5" t="s">
        <v>4574</v>
      </c>
      <c r="B29" s="5" t="s">
        <v>992</v>
      </c>
      <c r="C29" s="5" t="s">
        <v>4575</v>
      </c>
      <c r="D29" s="5"/>
      <c r="E29" s="5"/>
      <c r="F29" s="5"/>
      <c r="G29" s="5"/>
      <c r="H29" s="5"/>
      <c r="I29" s="5"/>
      <c r="J29" s="5"/>
      <c r="K29" s="5" t="s">
        <v>993</v>
      </c>
      <c r="L29" s="5" t="s">
        <v>994</v>
      </c>
      <c r="M29" s="5" t="s">
        <v>4576</v>
      </c>
      <c r="N29" s="5">
        <v>41</v>
      </c>
      <c r="O29" s="5"/>
      <c r="P29" s="5" t="s">
        <v>995</v>
      </c>
      <c r="Q29" s="5">
        <v>36</v>
      </c>
      <c r="R29" s="5">
        <v>24</v>
      </c>
      <c r="S29" s="5">
        <v>2</v>
      </c>
      <c r="T29" s="5">
        <v>0</v>
      </c>
      <c r="U29" s="5" t="b">
        <v>0</v>
      </c>
      <c r="V29" s="5">
        <v>20</v>
      </c>
      <c r="W29" s="5">
        <v>0.1</v>
      </c>
      <c r="X29" s="5" t="s">
        <v>9</v>
      </c>
      <c r="Y29" s="5">
        <v>9</v>
      </c>
      <c r="Z29" s="5"/>
      <c r="AA29" s="5" t="s">
        <v>31</v>
      </c>
      <c r="AB29" s="5" t="s">
        <v>361</v>
      </c>
      <c r="AC29" s="5" t="b">
        <v>0</v>
      </c>
      <c r="AD29" s="5"/>
      <c r="AE29" s="5"/>
      <c r="AF29" s="5"/>
      <c r="AG29" s="5">
        <v>20</v>
      </c>
      <c r="AH29" s="5"/>
      <c r="AI29" s="5">
        <v>49</v>
      </c>
      <c r="AJ29" s="5"/>
      <c r="AK29" s="5" t="s">
        <v>996</v>
      </c>
      <c r="AL29" s="5">
        <v>2</v>
      </c>
      <c r="AM29" s="5"/>
      <c r="AN29" s="5">
        <v>10</v>
      </c>
      <c r="AO29" s="5"/>
      <c r="AP29" s="5">
        <v>0</v>
      </c>
      <c r="AQ29" s="5"/>
      <c r="AR29" s="5">
        <v>0</v>
      </c>
      <c r="AS29" s="5"/>
      <c r="AT29" s="5" t="s">
        <v>997</v>
      </c>
      <c r="AU29" s="5" t="s">
        <v>998</v>
      </c>
      <c r="AV29" s="5" t="s">
        <v>999</v>
      </c>
      <c r="AW29" s="8" t="str">
        <f>IFERROR(VLOOKUP(AA29,'Message Lookup'!D:J,7,FALSE),"")</f>
        <v>P-3 FIRE Alarm Malfunction Latched</v>
      </c>
    </row>
    <row r="30" spans="1:49" x14ac:dyDescent="0.25">
      <c r="A30" s="5" t="s">
        <v>4574</v>
      </c>
      <c r="B30" s="5" t="s">
        <v>992</v>
      </c>
      <c r="C30" s="5" t="s">
        <v>4575</v>
      </c>
      <c r="D30" s="5"/>
      <c r="E30" s="5"/>
      <c r="F30" s="5"/>
      <c r="G30" s="5"/>
      <c r="H30" s="5"/>
      <c r="I30" s="5"/>
      <c r="J30" s="5"/>
      <c r="K30" s="5" t="s">
        <v>993</v>
      </c>
      <c r="L30" s="5" t="s">
        <v>994</v>
      </c>
      <c r="M30" s="5" t="s">
        <v>4576</v>
      </c>
      <c r="N30" s="5">
        <v>41</v>
      </c>
      <c r="O30" s="5"/>
      <c r="P30" s="5" t="s">
        <v>995</v>
      </c>
      <c r="Q30" s="5">
        <v>36</v>
      </c>
      <c r="R30" s="5">
        <v>24</v>
      </c>
      <c r="S30" s="5">
        <v>2</v>
      </c>
      <c r="T30" s="5">
        <v>0</v>
      </c>
      <c r="U30" s="5" t="b">
        <v>0</v>
      </c>
      <c r="V30" s="5">
        <v>20</v>
      </c>
      <c r="W30" s="5">
        <v>0.1</v>
      </c>
      <c r="X30" s="5" t="s">
        <v>9</v>
      </c>
      <c r="Y30" s="5">
        <v>9</v>
      </c>
      <c r="Z30" s="5"/>
      <c r="AA30" s="5" t="s">
        <v>32</v>
      </c>
      <c r="AB30" s="5" t="s">
        <v>362</v>
      </c>
      <c r="AC30" s="5" t="b">
        <v>0</v>
      </c>
      <c r="AD30" s="5"/>
      <c r="AE30" s="5"/>
      <c r="AF30" s="5"/>
      <c r="AG30" s="5">
        <v>20</v>
      </c>
      <c r="AH30" s="5"/>
      <c r="AI30" s="5">
        <v>49</v>
      </c>
      <c r="AJ30" s="5"/>
      <c r="AK30" s="5" t="s">
        <v>996</v>
      </c>
      <c r="AL30" s="5">
        <v>2</v>
      </c>
      <c r="AM30" s="5"/>
      <c r="AN30" s="5">
        <v>10</v>
      </c>
      <c r="AO30" s="5"/>
      <c r="AP30" s="5">
        <v>0</v>
      </c>
      <c r="AQ30" s="5"/>
      <c r="AR30" s="5">
        <v>0</v>
      </c>
      <c r="AS30" s="5"/>
      <c r="AT30" s="5" t="s">
        <v>997</v>
      </c>
      <c r="AU30" s="5" t="s">
        <v>998</v>
      </c>
      <c r="AV30" s="5" t="s">
        <v>999</v>
      </c>
      <c r="AW30" s="8" t="str">
        <f>IFERROR(VLOOKUP(AA30,'Message Lookup'!D:J,7,FALSE),"")</f>
        <v>P-4 FIRE Alarm HiHi Latched</v>
      </c>
    </row>
    <row r="31" spans="1:49" x14ac:dyDescent="0.25">
      <c r="A31" s="5" t="s">
        <v>4574</v>
      </c>
      <c r="B31" s="5" t="s">
        <v>992</v>
      </c>
      <c r="C31" s="5" t="s">
        <v>4575</v>
      </c>
      <c r="D31" s="5"/>
      <c r="E31" s="5"/>
      <c r="F31" s="5"/>
      <c r="G31" s="5"/>
      <c r="H31" s="5"/>
      <c r="I31" s="5"/>
      <c r="J31" s="5"/>
      <c r="K31" s="5" t="s">
        <v>993</v>
      </c>
      <c r="L31" s="5" t="s">
        <v>994</v>
      </c>
      <c r="M31" s="5" t="s">
        <v>4576</v>
      </c>
      <c r="N31" s="5">
        <v>41</v>
      </c>
      <c r="O31" s="5"/>
      <c r="P31" s="5" t="s">
        <v>995</v>
      </c>
      <c r="Q31" s="5">
        <v>36</v>
      </c>
      <c r="R31" s="5">
        <v>24</v>
      </c>
      <c r="S31" s="5">
        <v>2</v>
      </c>
      <c r="T31" s="5">
        <v>0</v>
      </c>
      <c r="U31" s="5" t="b">
        <v>0</v>
      </c>
      <c r="V31" s="5">
        <v>20</v>
      </c>
      <c r="W31" s="5">
        <v>0.1</v>
      </c>
      <c r="X31" s="5" t="s">
        <v>9</v>
      </c>
      <c r="Y31" s="5">
        <v>9</v>
      </c>
      <c r="Z31" s="5"/>
      <c r="AA31" s="5" t="s">
        <v>33</v>
      </c>
      <c r="AB31" s="5" t="s">
        <v>363</v>
      </c>
      <c r="AC31" s="5" t="b">
        <v>0</v>
      </c>
      <c r="AD31" s="5"/>
      <c r="AE31" s="5"/>
      <c r="AF31" s="5"/>
      <c r="AG31" s="5">
        <v>20</v>
      </c>
      <c r="AH31" s="5"/>
      <c r="AI31" s="5">
        <v>49</v>
      </c>
      <c r="AJ31" s="5"/>
      <c r="AK31" s="5" t="s">
        <v>996</v>
      </c>
      <c r="AL31" s="5">
        <v>2</v>
      </c>
      <c r="AM31" s="5"/>
      <c r="AN31" s="5">
        <v>10</v>
      </c>
      <c r="AO31" s="5"/>
      <c r="AP31" s="5">
        <v>0</v>
      </c>
      <c r="AQ31" s="5"/>
      <c r="AR31" s="5">
        <v>0</v>
      </c>
      <c r="AS31" s="5"/>
      <c r="AT31" s="5" t="s">
        <v>997</v>
      </c>
      <c r="AU31" s="5" t="s">
        <v>998</v>
      </c>
      <c r="AV31" s="5" t="s">
        <v>999</v>
      </c>
      <c r="AW31" s="8" t="str">
        <f>IFERROR(VLOOKUP(AA31,'Message Lookup'!D:J,7,FALSE),"")</f>
        <v>P-4 FIRE Alarm Hi Latched</v>
      </c>
    </row>
    <row r="32" spans="1:49" x14ac:dyDescent="0.25">
      <c r="A32" s="5" t="s">
        <v>4574</v>
      </c>
      <c r="B32" s="5" t="s">
        <v>992</v>
      </c>
      <c r="C32" s="5" t="s">
        <v>4575</v>
      </c>
      <c r="D32" s="5"/>
      <c r="E32" s="5"/>
      <c r="F32" s="5"/>
      <c r="G32" s="5"/>
      <c r="H32" s="5"/>
      <c r="I32" s="5"/>
      <c r="J32" s="5"/>
      <c r="K32" s="5" t="s">
        <v>993</v>
      </c>
      <c r="L32" s="5" t="s">
        <v>994</v>
      </c>
      <c r="M32" s="5" t="s">
        <v>4576</v>
      </c>
      <c r="N32" s="5">
        <v>41</v>
      </c>
      <c r="O32" s="5"/>
      <c r="P32" s="5" t="s">
        <v>995</v>
      </c>
      <c r="Q32" s="5">
        <v>36</v>
      </c>
      <c r="R32" s="5">
        <v>24</v>
      </c>
      <c r="S32" s="5">
        <v>2</v>
      </c>
      <c r="T32" s="5">
        <v>0</v>
      </c>
      <c r="U32" s="5" t="b">
        <v>0</v>
      </c>
      <c r="V32" s="5">
        <v>20</v>
      </c>
      <c r="W32" s="5">
        <v>0.1</v>
      </c>
      <c r="X32" s="5" t="s">
        <v>9</v>
      </c>
      <c r="Y32" s="5">
        <v>9</v>
      </c>
      <c r="Z32" s="5"/>
      <c r="AA32" s="5" t="s">
        <v>34</v>
      </c>
      <c r="AB32" s="5" t="s">
        <v>364</v>
      </c>
      <c r="AC32" s="5" t="b">
        <v>0</v>
      </c>
      <c r="AD32" s="5"/>
      <c r="AE32" s="5"/>
      <c r="AF32" s="5"/>
      <c r="AG32" s="5">
        <v>20</v>
      </c>
      <c r="AH32" s="5"/>
      <c r="AI32" s="5">
        <v>49</v>
      </c>
      <c r="AJ32" s="5"/>
      <c r="AK32" s="5" t="s">
        <v>996</v>
      </c>
      <c r="AL32" s="5">
        <v>2</v>
      </c>
      <c r="AM32" s="5"/>
      <c r="AN32" s="5">
        <v>10</v>
      </c>
      <c r="AO32" s="5"/>
      <c r="AP32" s="5">
        <v>0</v>
      </c>
      <c r="AQ32" s="5"/>
      <c r="AR32" s="5">
        <v>0</v>
      </c>
      <c r="AS32" s="5"/>
      <c r="AT32" s="5" t="s">
        <v>997</v>
      </c>
      <c r="AU32" s="5" t="s">
        <v>998</v>
      </c>
      <c r="AV32" s="5" t="s">
        <v>999</v>
      </c>
      <c r="AW32" s="8" t="str">
        <f>IFERROR(VLOOKUP(AA32,'Message Lookup'!D:J,7,FALSE),"")</f>
        <v>P-4 FIRE Alarm Lo Condition</v>
      </c>
    </row>
    <row r="33" spans="1:49" x14ac:dyDescent="0.25">
      <c r="A33" s="5" t="s">
        <v>4574</v>
      </c>
      <c r="B33" s="5" t="s">
        <v>992</v>
      </c>
      <c r="C33" s="5" t="s">
        <v>4575</v>
      </c>
      <c r="D33" s="5"/>
      <c r="E33" s="5"/>
      <c r="F33" s="5"/>
      <c r="G33" s="5"/>
      <c r="H33" s="5"/>
      <c r="I33" s="5"/>
      <c r="J33" s="5"/>
      <c r="K33" s="5" t="s">
        <v>993</v>
      </c>
      <c r="L33" s="5" t="s">
        <v>994</v>
      </c>
      <c r="M33" s="5" t="s">
        <v>4576</v>
      </c>
      <c r="N33" s="5">
        <v>41</v>
      </c>
      <c r="O33" s="5"/>
      <c r="P33" s="5" t="s">
        <v>995</v>
      </c>
      <c r="Q33" s="5">
        <v>36</v>
      </c>
      <c r="R33" s="5">
        <v>24</v>
      </c>
      <c r="S33" s="5">
        <v>2</v>
      </c>
      <c r="T33" s="5">
        <v>0</v>
      </c>
      <c r="U33" s="5" t="b">
        <v>0</v>
      </c>
      <c r="V33" s="5">
        <v>20</v>
      </c>
      <c r="W33" s="5">
        <v>0.1</v>
      </c>
      <c r="X33" s="5" t="s">
        <v>9</v>
      </c>
      <c r="Y33" s="5">
        <v>9</v>
      </c>
      <c r="Z33" s="5"/>
      <c r="AA33" s="5" t="s">
        <v>35</v>
      </c>
      <c r="AB33" s="5" t="s">
        <v>365</v>
      </c>
      <c r="AC33" s="5" t="b">
        <v>0</v>
      </c>
      <c r="AD33" s="5"/>
      <c r="AE33" s="5"/>
      <c r="AF33" s="5"/>
      <c r="AG33" s="5">
        <v>20</v>
      </c>
      <c r="AH33" s="5"/>
      <c r="AI33" s="5">
        <v>49</v>
      </c>
      <c r="AJ33" s="5"/>
      <c r="AK33" s="5" t="s">
        <v>996</v>
      </c>
      <c r="AL33" s="5">
        <v>2</v>
      </c>
      <c r="AM33" s="5"/>
      <c r="AN33" s="5">
        <v>10</v>
      </c>
      <c r="AO33" s="5"/>
      <c r="AP33" s="5">
        <v>0</v>
      </c>
      <c r="AQ33" s="5"/>
      <c r="AR33" s="5">
        <v>0</v>
      </c>
      <c r="AS33" s="5"/>
      <c r="AT33" s="5" t="s">
        <v>997</v>
      </c>
      <c r="AU33" s="5" t="s">
        <v>998</v>
      </c>
      <c r="AV33" s="5" t="s">
        <v>999</v>
      </c>
      <c r="AW33" s="8" t="str">
        <f>IFERROR(VLOOKUP(AA33,'Message Lookup'!D:J,7,FALSE),"")</f>
        <v>P-4 FIRE Alarm LoLo Latched</v>
      </c>
    </row>
    <row r="34" spans="1:49" x14ac:dyDescent="0.25">
      <c r="A34" s="5" t="s">
        <v>4574</v>
      </c>
      <c r="B34" s="5" t="s">
        <v>992</v>
      </c>
      <c r="C34" s="5" t="s">
        <v>4575</v>
      </c>
      <c r="D34" s="5"/>
      <c r="E34" s="5"/>
      <c r="F34" s="5"/>
      <c r="G34" s="5"/>
      <c r="H34" s="5"/>
      <c r="I34" s="5"/>
      <c r="J34" s="5"/>
      <c r="K34" s="5" t="s">
        <v>993</v>
      </c>
      <c r="L34" s="5" t="s">
        <v>994</v>
      </c>
      <c r="M34" s="5" t="s">
        <v>4576</v>
      </c>
      <c r="N34" s="5">
        <v>41</v>
      </c>
      <c r="O34" s="5"/>
      <c r="P34" s="5" t="s">
        <v>995</v>
      </c>
      <c r="Q34" s="5">
        <v>36</v>
      </c>
      <c r="R34" s="5">
        <v>24</v>
      </c>
      <c r="S34" s="5">
        <v>2</v>
      </c>
      <c r="T34" s="5">
        <v>0</v>
      </c>
      <c r="U34" s="5" t="b">
        <v>0</v>
      </c>
      <c r="V34" s="5">
        <v>20</v>
      </c>
      <c r="W34" s="5">
        <v>0.1</v>
      </c>
      <c r="X34" s="5" t="s">
        <v>9</v>
      </c>
      <c r="Y34" s="5">
        <v>9</v>
      </c>
      <c r="Z34" s="5"/>
      <c r="AA34" s="5" t="s">
        <v>36</v>
      </c>
      <c r="AB34" s="5" t="s">
        <v>366</v>
      </c>
      <c r="AC34" s="5" t="b">
        <v>0</v>
      </c>
      <c r="AD34" s="5"/>
      <c r="AE34" s="5"/>
      <c r="AF34" s="5"/>
      <c r="AG34" s="5">
        <v>20</v>
      </c>
      <c r="AH34" s="5"/>
      <c r="AI34" s="5">
        <v>49</v>
      </c>
      <c r="AJ34" s="5"/>
      <c r="AK34" s="5" t="s">
        <v>996</v>
      </c>
      <c r="AL34" s="5">
        <v>2</v>
      </c>
      <c r="AM34" s="5"/>
      <c r="AN34" s="5">
        <v>10</v>
      </c>
      <c r="AO34" s="5"/>
      <c r="AP34" s="5">
        <v>0</v>
      </c>
      <c r="AQ34" s="5"/>
      <c r="AR34" s="5">
        <v>0</v>
      </c>
      <c r="AS34" s="5"/>
      <c r="AT34" s="5" t="s">
        <v>997</v>
      </c>
      <c r="AU34" s="5" t="s">
        <v>998</v>
      </c>
      <c r="AV34" s="5" t="s">
        <v>999</v>
      </c>
      <c r="AW34" s="8" t="str">
        <f>IFERROR(VLOOKUP(AA34,'Message Lookup'!D:J,7,FALSE),"")</f>
        <v>P-4 FIRE Alarm Malfunction Latched</v>
      </c>
    </row>
    <row r="35" spans="1:49" x14ac:dyDescent="0.25">
      <c r="A35" s="5" t="s">
        <v>4574</v>
      </c>
      <c r="B35" s="5" t="s">
        <v>992</v>
      </c>
      <c r="C35" s="5" t="s">
        <v>4575</v>
      </c>
      <c r="D35" s="5"/>
      <c r="E35" s="5"/>
      <c r="F35" s="5"/>
      <c r="G35" s="5"/>
      <c r="H35" s="5"/>
      <c r="I35" s="5"/>
      <c r="J35" s="5"/>
      <c r="K35" s="5" t="s">
        <v>993</v>
      </c>
      <c r="L35" s="5" t="s">
        <v>994</v>
      </c>
      <c r="M35" s="5" t="s">
        <v>4576</v>
      </c>
      <c r="N35" s="5">
        <v>41</v>
      </c>
      <c r="O35" s="5"/>
      <c r="P35" s="5" t="s">
        <v>995</v>
      </c>
      <c r="Q35" s="5">
        <v>36</v>
      </c>
      <c r="R35" s="5">
        <v>24</v>
      </c>
      <c r="S35" s="5">
        <v>2</v>
      </c>
      <c r="T35" s="5">
        <v>0</v>
      </c>
      <c r="U35" s="5" t="b">
        <v>0</v>
      </c>
      <c r="V35" s="5">
        <v>20</v>
      </c>
      <c r="W35" s="5">
        <v>0.1</v>
      </c>
      <c r="X35" s="5" t="s">
        <v>9</v>
      </c>
      <c r="Y35" s="5">
        <v>9</v>
      </c>
      <c r="Z35" s="5"/>
      <c r="AA35" s="5" t="s">
        <v>37</v>
      </c>
      <c r="AB35" s="5" t="s">
        <v>367</v>
      </c>
      <c r="AC35" s="5" t="b">
        <v>0</v>
      </c>
      <c r="AD35" s="5"/>
      <c r="AE35" s="5"/>
      <c r="AF35" s="5"/>
      <c r="AG35" s="5">
        <v>20</v>
      </c>
      <c r="AH35" s="5"/>
      <c r="AI35" s="5">
        <v>49</v>
      </c>
      <c r="AJ35" s="5"/>
      <c r="AK35" s="5" t="s">
        <v>996</v>
      </c>
      <c r="AL35" s="5">
        <v>2</v>
      </c>
      <c r="AM35" s="5"/>
      <c r="AN35" s="5">
        <v>10</v>
      </c>
      <c r="AO35" s="5"/>
      <c r="AP35" s="5">
        <v>0</v>
      </c>
      <c r="AQ35" s="5"/>
      <c r="AR35" s="5">
        <v>0</v>
      </c>
      <c r="AS35" s="5"/>
      <c r="AT35" s="5" t="s">
        <v>997</v>
      </c>
      <c r="AU35" s="5" t="s">
        <v>998</v>
      </c>
      <c r="AV35" s="5" t="s">
        <v>999</v>
      </c>
      <c r="AW35" s="8" t="str">
        <f>IFERROR(VLOOKUP(AA35,'Message Lookup'!D:J,7,FALSE),"")</f>
        <v>BSW-200 MSO Stytem Water Cut Meter Alarm HiHi Latched</v>
      </c>
    </row>
    <row r="36" spans="1:49" x14ac:dyDescent="0.25">
      <c r="A36" s="5" t="s">
        <v>4574</v>
      </c>
      <c r="B36" s="5" t="s">
        <v>992</v>
      </c>
      <c r="C36" s="5" t="s">
        <v>4575</v>
      </c>
      <c r="D36" s="5"/>
      <c r="E36" s="5"/>
      <c r="F36" s="5"/>
      <c r="G36" s="5"/>
      <c r="H36" s="5"/>
      <c r="I36" s="5"/>
      <c r="J36" s="5"/>
      <c r="K36" s="5" t="s">
        <v>993</v>
      </c>
      <c r="L36" s="5" t="s">
        <v>994</v>
      </c>
      <c r="M36" s="5" t="s">
        <v>4576</v>
      </c>
      <c r="N36" s="5">
        <v>41</v>
      </c>
      <c r="O36" s="5"/>
      <c r="P36" s="5" t="s">
        <v>995</v>
      </c>
      <c r="Q36" s="5">
        <v>36</v>
      </c>
      <c r="R36" s="5">
        <v>24</v>
      </c>
      <c r="S36" s="5">
        <v>2</v>
      </c>
      <c r="T36" s="5">
        <v>0</v>
      </c>
      <c r="U36" s="5" t="b">
        <v>0</v>
      </c>
      <c r="V36" s="5">
        <v>20</v>
      </c>
      <c r="W36" s="5">
        <v>0.1</v>
      </c>
      <c r="X36" s="5" t="s">
        <v>9</v>
      </c>
      <c r="Y36" s="5">
        <v>9</v>
      </c>
      <c r="Z36" s="5"/>
      <c r="AA36" s="5" t="s">
        <v>38</v>
      </c>
      <c r="AB36" s="5" t="s">
        <v>368</v>
      </c>
      <c r="AC36" s="5" t="b">
        <v>0</v>
      </c>
      <c r="AD36" s="5"/>
      <c r="AE36" s="5"/>
      <c r="AF36" s="5"/>
      <c r="AG36" s="5">
        <v>20</v>
      </c>
      <c r="AH36" s="5"/>
      <c r="AI36" s="5">
        <v>49</v>
      </c>
      <c r="AJ36" s="5"/>
      <c r="AK36" s="5" t="s">
        <v>996</v>
      </c>
      <c r="AL36" s="5">
        <v>2</v>
      </c>
      <c r="AM36" s="5"/>
      <c r="AN36" s="5">
        <v>10</v>
      </c>
      <c r="AO36" s="5"/>
      <c r="AP36" s="5">
        <v>0</v>
      </c>
      <c r="AQ36" s="5"/>
      <c r="AR36" s="5">
        <v>0</v>
      </c>
      <c r="AS36" s="5"/>
      <c r="AT36" s="5" t="s">
        <v>997</v>
      </c>
      <c r="AU36" s="5" t="s">
        <v>998</v>
      </c>
      <c r="AV36" s="5" t="s">
        <v>999</v>
      </c>
      <c r="AW36" s="8" t="str">
        <f>IFERROR(VLOOKUP(AA36,'Message Lookup'!D:J,7,FALSE),"")</f>
        <v>BSW-200 MSO Stytem Water Cut Meter Alarm Hi Latched</v>
      </c>
    </row>
    <row r="37" spans="1:49" x14ac:dyDescent="0.25">
      <c r="A37" s="5" t="s">
        <v>4574</v>
      </c>
      <c r="B37" s="5" t="s">
        <v>992</v>
      </c>
      <c r="C37" s="5" t="s">
        <v>4575</v>
      </c>
      <c r="D37" s="5"/>
      <c r="E37" s="5"/>
      <c r="F37" s="5"/>
      <c r="G37" s="5"/>
      <c r="H37" s="5"/>
      <c r="I37" s="5"/>
      <c r="J37" s="5"/>
      <c r="K37" s="5" t="s">
        <v>993</v>
      </c>
      <c r="L37" s="5" t="s">
        <v>994</v>
      </c>
      <c r="M37" s="5" t="s">
        <v>4576</v>
      </c>
      <c r="N37" s="5">
        <v>41</v>
      </c>
      <c r="O37" s="5"/>
      <c r="P37" s="5" t="s">
        <v>995</v>
      </c>
      <c r="Q37" s="5">
        <v>36</v>
      </c>
      <c r="R37" s="5">
        <v>24</v>
      </c>
      <c r="S37" s="5">
        <v>2</v>
      </c>
      <c r="T37" s="5">
        <v>0</v>
      </c>
      <c r="U37" s="5" t="b">
        <v>0</v>
      </c>
      <c r="V37" s="5">
        <v>20</v>
      </c>
      <c r="W37" s="5">
        <v>0.1</v>
      </c>
      <c r="X37" s="5" t="s">
        <v>9</v>
      </c>
      <c r="Y37" s="5">
        <v>9</v>
      </c>
      <c r="Z37" s="5"/>
      <c r="AA37" s="5" t="s">
        <v>39</v>
      </c>
      <c r="AB37" s="5" t="s">
        <v>369</v>
      </c>
      <c r="AC37" s="5" t="b">
        <v>0</v>
      </c>
      <c r="AD37" s="5"/>
      <c r="AE37" s="5"/>
      <c r="AF37" s="5"/>
      <c r="AG37" s="5">
        <v>20</v>
      </c>
      <c r="AH37" s="5"/>
      <c r="AI37" s="5">
        <v>49</v>
      </c>
      <c r="AJ37" s="5"/>
      <c r="AK37" s="5" t="s">
        <v>996</v>
      </c>
      <c r="AL37" s="5">
        <v>2</v>
      </c>
      <c r="AM37" s="5"/>
      <c r="AN37" s="5">
        <v>10</v>
      </c>
      <c r="AO37" s="5"/>
      <c r="AP37" s="5">
        <v>0</v>
      </c>
      <c r="AQ37" s="5"/>
      <c r="AR37" s="5">
        <v>0</v>
      </c>
      <c r="AS37" s="5"/>
      <c r="AT37" s="5" t="s">
        <v>997</v>
      </c>
      <c r="AU37" s="5" t="s">
        <v>998</v>
      </c>
      <c r="AV37" s="5" t="s">
        <v>999</v>
      </c>
      <c r="AW37" s="8" t="str">
        <f>IFERROR(VLOOKUP(AA37,'Message Lookup'!D:J,7,FALSE),"")</f>
        <v>BSW-200 MSO Stytem Water Cut Meter Alarm Lo Condition</v>
      </c>
    </row>
    <row r="38" spans="1:49" x14ac:dyDescent="0.25">
      <c r="A38" s="5" t="s">
        <v>4574</v>
      </c>
      <c r="B38" s="5" t="s">
        <v>992</v>
      </c>
      <c r="C38" s="5" t="s">
        <v>4575</v>
      </c>
      <c r="D38" s="5"/>
      <c r="E38" s="5"/>
      <c r="F38" s="5"/>
      <c r="G38" s="5"/>
      <c r="H38" s="5"/>
      <c r="I38" s="5"/>
      <c r="J38" s="5"/>
      <c r="K38" s="5" t="s">
        <v>993</v>
      </c>
      <c r="L38" s="5" t="s">
        <v>994</v>
      </c>
      <c r="M38" s="5" t="s">
        <v>4576</v>
      </c>
      <c r="N38" s="5">
        <v>41</v>
      </c>
      <c r="O38" s="5"/>
      <c r="P38" s="5" t="s">
        <v>995</v>
      </c>
      <c r="Q38" s="5">
        <v>36</v>
      </c>
      <c r="R38" s="5">
        <v>24</v>
      </c>
      <c r="S38" s="5">
        <v>2</v>
      </c>
      <c r="T38" s="5">
        <v>0</v>
      </c>
      <c r="U38" s="5" t="b">
        <v>0</v>
      </c>
      <c r="V38" s="5">
        <v>20</v>
      </c>
      <c r="W38" s="5">
        <v>0.1</v>
      </c>
      <c r="X38" s="5" t="s">
        <v>9</v>
      </c>
      <c r="Y38" s="5">
        <v>9</v>
      </c>
      <c r="Z38" s="5"/>
      <c r="AA38" s="5" t="s">
        <v>40</v>
      </c>
      <c r="AB38" s="5" t="s">
        <v>370</v>
      </c>
      <c r="AC38" s="5" t="b">
        <v>0</v>
      </c>
      <c r="AD38" s="5"/>
      <c r="AE38" s="5"/>
      <c r="AF38" s="5"/>
      <c r="AG38" s="5">
        <v>20</v>
      </c>
      <c r="AH38" s="5"/>
      <c r="AI38" s="5">
        <v>49</v>
      </c>
      <c r="AJ38" s="5"/>
      <c r="AK38" s="5" t="s">
        <v>996</v>
      </c>
      <c r="AL38" s="5">
        <v>2</v>
      </c>
      <c r="AM38" s="5"/>
      <c r="AN38" s="5">
        <v>10</v>
      </c>
      <c r="AO38" s="5"/>
      <c r="AP38" s="5">
        <v>0</v>
      </c>
      <c r="AQ38" s="5"/>
      <c r="AR38" s="5">
        <v>0</v>
      </c>
      <c r="AS38" s="5"/>
      <c r="AT38" s="5" t="s">
        <v>997</v>
      </c>
      <c r="AU38" s="5" t="s">
        <v>998</v>
      </c>
      <c r="AV38" s="5" t="s">
        <v>999</v>
      </c>
      <c r="AW38" s="8" t="str">
        <f>IFERROR(VLOOKUP(AA38,'Message Lookup'!D:J,7,FALSE),"")</f>
        <v>BSW-200 MSO Stytem Water Cut Meter Alarm LoLo Latched</v>
      </c>
    </row>
    <row r="39" spans="1:49" x14ac:dyDescent="0.25">
      <c r="A39" s="5" t="s">
        <v>4574</v>
      </c>
      <c r="B39" s="5" t="s">
        <v>992</v>
      </c>
      <c r="C39" s="5" t="s">
        <v>4575</v>
      </c>
      <c r="D39" s="5"/>
      <c r="E39" s="5"/>
      <c r="F39" s="5"/>
      <c r="G39" s="5"/>
      <c r="H39" s="5"/>
      <c r="I39" s="5"/>
      <c r="J39" s="5"/>
      <c r="K39" s="5" t="s">
        <v>993</v>
      </c>
      <c r="L39" s="5" t="s">
        <v>994</v>
      </c>
      <c r="M39" s="5" t="s">
        <v>4576</v>
      </c>
      <c r="N39" s="5">
        <v>41</v>
      </c>
      <c r="O39" s="5"/>
      <c r="P39" s="5" t="s">
        <v>995</v>
      </c>
      <c r="Q39" s="5">
        <v>36</v>
      </c>
      <c r="R39" s="5">
        <v>24</v>
      </c>
      <c r="S39" s="5">
        <v>2</v>
      </c>
      <c r="T39" s="5">
        <v>0</v>
      </c>
      <c r="U39" s="5" t="b">
        <v>0</v>
      </c>
      <c r="V39" s="5">
        <v>20</v>
      </c>
      <c r="W39" s="5">
        <v>0.1</v>
      </c>
      <c r="X39" s="5" t="s">
        <v>9</v>
      </c>
      <c r="Y39" s="5">
        <v>9</v>
      </c>
      <c r="Z39" s="5"/>
      <c r="AA39" s="5"/>
      <c r="AB39" s="5"/>
      <c r="AC39" s="5"/>
      <c r="AD39" s="5"/>
      <c r="AE39" s="5" t="s">
        <v>1000</v>
      </c>
      <c r="AF39" s="5" t="b">
        <v>0</v>
      </c>
      <c r="AG39" s="5">
        <v>20</v>
      </c>
      <c r="AH39" s="5"/>
      <c r="AI39" s="5">
        <v>49</v>
      </c>
      <c r="AJ39" s="5"/>
      <c r="AK39" s="5" t="s">
        <v>996</v>
      </c>
      <c r="AL39" s="5">
        <v>2</v>
      </c>
      <c r="AM39" s="5"/>
      <c r="AN39" s="5">
        <v>10</v>
      </c>
      <c r="AO39" s="5"/>
      <c r="AP39" s="5">
        <v>0</v>
      </c>
      <c r="AQ39" s="5"/>
      <c r="AR39" s="5">
        <v>0</v>
      </c>
      <c r="AS39" s="5"/>
      <c r="AT39" s="5" t="s">
        <v>997</v>
      </c>
      <c r="AU39" s="5" t="s">
        <v>998</v>
      </c>
      <c r="AV39" s="5" t="s">
        <v>999</v>
      </c>
      <c r="AW39" s="8" t="str">
        <f>IFERROR(VLOOKUP(AA39,'Message Lookup'!D:J,7,FALSE),"")</f>
        <v/>
      </c>
    </row>
    <row r="40" spans="1:49" x14ac:dyDescent="0.25">
      <c r="A40" s="5" t="s">
        <v>4574</v>
      </c>
      <c r="B40" s="5" t="s">
        <v>992</v>
      </c>
      <c r="C40" s="5" t="s">
        <v>4575</v>
      </c>
      <c r="D40" s="5"/>
      <c r="E40" s="5"/>
      <c r="F40" s="5"/>
      <c r="G40" s="5"/>
      <c r="H40" s="5"/>
      <c r="I40" s="5"/>
      <c r="J40" s="5"/>
      <c r="K40" s="5" t="s">
        <v>993</v>
      </c>
      <c r="L40" s="5" t="s">
        <v>994</v>
      </c>
      <c r="M40" s="5" t="s">
        <v>4576</v>
      </c>
      <c r="N40" s="5">
        <v>41</v>
      </c>
      <c r="O40" s="5"/>
      <c r="P40" s="5" t="s">
        <v>995</v>
      </c>
      <c r="Q40" s="5">
        <v>36</v>
      </c>
      <c r="R40" s="5">
        <v>24</v>
      </c>
      <c r="S40" s="5">
        <v>2</v>
      </c>
      <c r="T40" s="5">
        <v>0</v>
      </c>
      <c r="U40" s="5" t="b">
        <v>0</v>
      </c>
      <c r="V40" s="5">
        <v>20</v>
      </c>
      <c r="W40" s="5">
        <v>0.1</v>
      </c>
      <c r="X40" s="5" t="s">
        <v>9</v>
      </c>
      <c r="Y40" s="5">
        <v>9</v>
      </c>
      <c r="Z40" s="5"/>
      <c r="AA40" s="5"/>
      <c r="AB40" s="5"/>
      <c r="AC40" s="5"/>
      <c r="AD40" s="5" t="s">
        <v>1003</v>
      </c>
      <c r="AE40" s="5" t="s">
        <v>1002</v>
      </c>
      <c r="AF40" s="5" t="b">
        <v>0</v>
      </c>
      <c r="AG40" s="5">
        <v>20</v>
      </c>
      <c r="AH40" s="5"/>
      <c r="AI40" s="5">
        <v>49</v>
      </c>
      <c r="AJ40" s="5"/>
      <c r="AK40" s="5" t="s">
        <v>996</v>
      </c>
      <c r="AL40" s="5">
        <v>2</v>
      </c>
      <c r="AM40" s="5"/>
      <c r="AN40" s="5">
        <v>10</v>
      </c>
      <c r="AO40" s="5"/>
      <c r="AP40" s="5">
        <v>0</v>
      </c>
      <c r="AQ40" s="5"/>
      <c r="AR40" s="5">
        <v>0</v>
      </c>
      <c r="AS40" s="5"/>
      <c r="AT40" s="5" t="s">
        <v>997</v>
      </c>
      <c r="AU40" s="5" t="s">
        <v>998</v>
      </c>
      <c r="AV40" s="5" t="s">
        <v>999</v>
      </c>
      <c r="AW40" s="8" t="str">
        <f>IFERROR(VLOOKUP(AA40,'Message Lookup'!D:J,7,FALSE),"")</f>
        <v/>
      </c>
    </row>
    <row r="41" spans="1:49" x14ac:dyDescent="0.25">
      <c r="A41" s="5" t="s">
        <v>4574</v>
      </c>
      <c r="B41" s="5" t="s">
        <v>992</v>
      </c>
      <c r="C41" s="5" t="s">
        <v>4575</v>
      </c>
      <c r="D41" s="5"/>
      <c r="E41" s="5"/>
      <c r="F41" s="5"/>
      <c r="G41" s="5"/>
      <c r="H41" s="5"/>
      <c r="I41" s="5"/>
      <c r="J41" s="5"/>
      <c r="K41" s="5" t="s">
        <v>993</v>
      </c>
      <c r="L41" s="5" t="s">
        <v>994</v>
      </c>
      <c r="M41" s="5" t="s">
        <v>4576</v>
      </c>
      <c r="N41" s="5">
        <v>41</v>
      </c>
      <c r="O41" s="5"/>
      <c r="P41" s="5" t="s">
        <v>995</v>
      </c>
      <c r="Q41" s="5">
        <v>36</v>
      </c>
      <c r="R41" s="5">
        <v>24</v>
      </c>
      <c r="S41" s="5">
        <v>3</v>
      </c>
      <c r="T41" s="5">
        <v>0</v>
      </c>
      <c r="U41" s="5" t="b">
        <v>0</v>
      </c>
      <c r="V41" s="5">
        <v>20</v>
      </c>
      <c r="W41" s="5">
        <v>0.3</v>
      </c>
      <c r="X41" s="5" t="s">
        <v>9</v>
      </c>
      <c r="Y41" s="5">
        <v>9</v>
      </c>
      <c r="Z41" s="5"/>
      <c r="AA41" s="5"/>
      <c r="AB41" s="5" t="s">
        <v>354</v>
      </c>
      <c r="AC41" s="5" t="b">
        <v>0</v>
      </c>
      <c r="AD41" s="5"/>
      <c r="AE41" s="5"/>
      <c r="AF41" s="5"/>
      <c r="AG41" s="5">
        <v>20</v>
      </c>
      <c r="AH41" s="5">
        <v>20</v>
      </c>
      <c r="AI41" s="5">
        <v>70</v>
      </c>
      <c r="AJ41" s="5">
        <v>70</v>
      </c>
      <c r="AK41" s="5" t="s">
        <v>996</v>
      </c>
      <c r="AL41" s="5">
        <v>2</v>
      </c>
      <c r="AM41" s="5"/>
      <c r="AN41" s="5">
        <v>10</v>
      </c>
      <c r="AO41" s="5"/>
      <c r="AP41" s="5">
        <v>0</v>
      </c>
      <c r="AQ41" s="5"/>
      <c r="AR41" s="5">
        <v>0</v>
      </c>
      <c r="AS41" s="5"/>
      <c r="AT41" s="5" t="s">
        <v>997</v>
      </c>
      <c r="AU41" s="5" t="s">
        <v>998</v>
      </c>
      <c r="AV41" s="5" t="s">
        <v>999</v>
      </c>
      <c r="AW41" s="8" t="str">
        <f>IFERROR(VLOOKUP(AA41,'Message Lookup'!D:J,7,FALSE),"")</f>
        <v/>
      </c>
    </row>
    <row r="42" spans="1:49" x14ac:dyDescent="0.25">
      <c r="A42" s="5" t="s">
        <v>4574</v>
      </c>
      <c r="B42" s="5" t="s">
        <v>992</v>
      </c>
      <c r="C42" s="5" t="s">
        <v>4575</v>
      </c>
      <c r="D42" s="5"/>
      <c r="E42" s="5"/>
      <c r="F42" s="5"/>
      <c r="G42" s="5"/>
      <c r="H42" s="5"/>
      <c r="I42" s="5"/>
      <c r="J42" s="5"/>
      <c r="K42" s="5" t="s">
        <v>993</v>
      </c>
      <c r="L42" s="5" t="s">
        <v>994</v>
      </c>
      <c r="M42" s="5" t="s">
        <v>4576</v>
      </c>
      <c r="N42" s="5">
        <v>41</v>
      </c>
      <c r="O42" s="5"/>
      <c r="P42" s="5" t="s">
        <v>995</v>
      </c>
      <c r="Q42" s="5">
        <v>36</v>
      </c>
      <c r="R42" s="5">
        <v>24</v>
      </c>
      <c r="S42" s="5">
        <v>3</v>
      </c>
      <c r="T42" s="5">
        <v>0</v>
      </c>
      <c r="U42" s="5" t="b">
        <v>0</v>
      </c>
      <c r="V42" s="5">
        <v>20</v>
      </c>
      <c r="W42" s="5">
        <v>0.3</v>
      </c>
      <c r="X42" s="5" t="s">
        <v>9</v>
      </c>
      <c r="Y42" s="5">
        <v>9</v>
      </c>
      <c r="Z42" s="5"/>
      <c r="AA42" s="5" t="s">
        <v>41</v>
      </c>
      <c r="AB42" s="5" t="s">
        <v>355</v>
      </c>
      <c r="AC42" s="5" t="b">
        <v>0</v>
      </c>
      <c r="AD42" s="5"/>
      <c r="AE42" s="5"/>
      <c r="AF42" s="5"/>
      <c r="AG42" s="5">
        <v>20</v>
      </c>
      <c r="AH42" s="5"/>
      <c r="AI42" s="5">
        <v>70</v>
      </c>
      <c r="AJ42" s="5"/>
      <c r="AK42" s="5" t="s">
        <v>996</v>
      </c>
      <c r="AL42" s="5">
        <v>2</v>
      </c>
      <c r="AM42" s="5"/>
      <c r="AN42" s="5">
        <v>10</v>
      </c>
      <c r="AO42" s="5"/>
      <c r="AP42" s="5">
        <v>0</v>
      </c>
      <c r="AQ42" s="5"/>
      <c r="AR42" s="5">
        <v>0</v>
      </c>
      <c r="AS42" s="5"/>
      <c r="AT42" s="5" t="s">
        <v>997</v>
      </c>
      <c r="AU42" s="5" t="s">
        <v>998</v>
      </c>
      <c r="AV42" s="5" t="s">
        <v>999</v>
      </c>
      <c r="AW42" s="8" t="str">
        <f>IFERROR(VLOOKUP(AA42,'Message Lookup'!D:J,7,FALSE),"")</f>
        <v>BSW-200 MSO Stytem Water Cut Meter Alarm Malfunction Latched</v>
      </c>
    </row>
    <row r="43" spans="1:49" x14ac:dyDescent="0.25">
      <c r="A43" s="5" t="s">
        <v>4574</v>
      </c>
      <c r="B43" s="5" t="s">
        <v>992</v>
      </c>
      <c r="C43" s="5" t="s">
        <v>4575</v>
      </c>
      <c r="D43" s="5"/>
      <c r="E43" s="5"/>
      <c r="F43" s="5"/>
      <c r="G43" s="5"/>
      <c r="H43" s="5"/>
      <c r="I43" s="5"/>
      <c r="J43" s="5"/>
      <c r="K43" s="5" t="s">
        <v>993</v>
      </c>
      <c r="L43" s="5" t="s">
        <v>994</v>
      </c>
      <c r="M43" s="5" t="s">
        <v>4576</v>
      </c>
      <c r="N43" s="5">
        <v>41</v>
      </c>
      <c r="O43" s="5"/>
      <c r="P43" s="5" t="s">
        <v>995</v>
      </c>
      <c r="Q43" s="5">
        <v>36</v>
      </c>
      <c r="R43" s="5">
        <v>24</v>
      </c>
      <c r="S43" s="5">
        <v>3</v>
      </c>
      <c r="T43" s="5">
        <v>0</v>
      </c>
      <c r="U43" s="5" t="b">
        <v>0</v>
      </c>
      <c r="V43" s="5">
        <v>20</v>
      </c>
      <c r="W43" s="5">
        <v>0.3</v>
      </c>
      <c r="X43" s="5" t="s">
        <v>9</v>
      </c>
      <c r="Y43" s="5">
        <v>9</v>
      </c>
      <c r="Z43" s="5"/>
      <c r="AA43" s="5" t="s">
        <v>42</v>
      </c>
      <c r="AB43" s="5" t="s">
        <v>356</v>
      </c>
      <c r="AC43" s="5" t="b">
        <v>0</v>
      </c>
      <c r="AD43" s="5"/>
      <c r="AE43" s="5"/>
      <c r="AF43" s="5"/>
      <c r="AG43" s="5">
        <v>20</v>
      </c>
      <c r="AH43" s="5"/>
      <c r="AI43" s="5">
        <v>70</v>
      </c>
      <c r="AJ43" s="5"/>
      <c r="AK43" s="5" t="s">
        <v>996</v>
      </c>
      <c r="AL43" s="5">
        <v>2</v>
      </c>
      <c r="AM43" s="5"/>
      <c r="AN43" s="5">
        <v>10</v>
      </c>
      <c r="AO43" s="5"/>
      <c r="AP43" s="5">
        <v>0</v>
      </c>
      <c r="AQ43" s="5"/>
      <c r="AR43" s="5">
        <v>0</v>
      </c>
      <c r="AS43" s="5"/>
      <c r="AT43" s="5" t="s">
        <v>997</v>
      </c>
      <c r="AU43" s="5" t="s">
        <v>998</v>
      </c>
      <c r="AV43" s="5" t="s">
        <v>999</v>
      </c>
      <c r="AW43" s="8" t="str">
        <f>IFERROR(VLOOKUP(AA43,'Message Lookup'!D:J,7,FALSE),"")</f>
        <v>BSW-300 MSO Stytem Water Cut Meter Alarm HiHi Latched</v>
      </c>
    </row>
    <row r="44" spans="1:49" x14ac:dyDescent="0.25">
      <c r="A44" s="5" t="s">
        <v>4574</v>
      </c>
      <c r="B44" s="5" t="s">
        <v>992</v>
      </c>
      <c r="C44" s="5" t="s">
        <v>4575</v>
      </c>
      <c r="D44" s="5"/>
      <c r="E44" s="5"/>
      <c r="F44" s="5"/>
      <c r="G44" s="5"/>
      <c r="H44" s="5"/>
      <c r="I44" s="5"/>
      <c r="J44" s="5"/>
      <c r="K44" s="5" t="s">
        <v>993</v>
      </c>
      <c r="L44" s="5" t="s">
        <v>994</v>
      </c>
      <c r="M44" s="5" t="s">
        <v>4576</v>
      </c>
      <c r="N44" s="5">
        <v>41</v>
      </c>
      <c r="O44" s="5"/>
      <c r="P44" s="5" t="s">
        <v>995</v>
      </c>
      <c r="Q44" s="5">
        <v>36</v>
      </c>
      <c r="R44" s="5">
        <v>24</v>
      </c>
      <c r="S44" s="5">
        <v>3</v>
      </c>
      <c r="T44" s="5">
        <v>0</v>
      </c>
      <c r="U44" s="5" t="b">
        <v>0</v>
      </c>
      <c r="V44" s="5">
        <v>20</v>
      </c>
      <c r="W44" s="5">
        <v>0.3</v>
      </c>
      <c r="X44" s="5" t="s">
        <v>9</v>
      </c>
      <c r="Y44" s="5">
        <v>9</v>
      </c>
      <c r="Z44" s="5"/>
      <c r="AA44" s="5" t="s">
        <v>43</v>
      </c>
      <c r="AB44" s="5" t="s">
        <v>357</v>
      </c>
      <c r="AC44" s="5" t="b">
        <v>0</v>
      </c>
      <c r="AD44" s="5"/>
      <c r="AE44" s="5"/>
      <c r="AF44" s="5"/>
      <c r="AG44" s="5">
        <v>20</v>
      </c>
      <c r="AH44" s="5"/>
      <c r="AI44" s="5">
        <v>70</v>
      </c>
      <c r="AJ44" s="5"/>
      <c r="AK44" s="5" t="s">
        <v>996</v>
      </c>
      <c r="AL44" s="5">
        <v>2</v>
      </c>
      <c r="AM44" s="5"/>
      <c r="AN44" s="5">
        <v>10</v>
      </c>
      <c r="AO44" s="5"/>
      <c r="AP44" s="5">
        <v>0</v>
      </c>
      <c r="AQ44" s="5"/>
      <c r="AR44" s="5">
        <v>0</v>
      </c>
      <c r="AS44" s="5"/>
      <c r="AT44" s="5" t="s">
        <v>997</v>
      </c>
      <c r="AU44" s="5" t="s">
        <v>998</v>
      </c>
      <c r="AV44" s="5" t="s">
        <v>999</v>
      </c>
      <c r="AW44" s="8" t="str">
        <f>IFERROR(VLOOKUP(AA44,'Message Lookup'!D:J,7,FALSE),"")</f>
        <v>BSW-300 MSO Stytem Water Cut Meter Alarm Hi Latched</v>
      </c>
    </row>
    <row r="45" spans="1:49" x14ac:dyDescent="0.25">
      <c r="A45" s="5" t="s">
        <v>4574</v>
      </c>
      <c r="B45" s="5" t="s">
        <v>992</v>
      </c>
      <c r="C45" s="5" t="s">
        <v>4575</v>
      </c>
      <c r="D45" s="5"/>
      <c r="E45" s="5"/>
      <c r="F45" s="5"/>
      <c r="G45" s="5"/>
      <c r="H45" s="5"/>
      <c r="I45" s="5"/>
      <c r="J45" s="5"/>
      <c r="K45" s="5" t="s">
        <v>993</v>
      </c>
      <c r="L45" s="5" t="s">
        <v>994</v>
      </c>
      <c r="M45" s="5" t="s">
        <v>4576</v>
      </c>
      <c r="N45" s="5">
        <v>41</v>
      </c>
      <c r="O45" s="5"/>
      <c r="P45" s="5" t="s">
        <v>995</v>
      </c>
      <c r="Q45" s="5">
        <v>36</v>
      </c>
      <c r="R45" s="5">
        <v>24</v>
      </c>
      <c r="S45" s="5">
        <v>3</v>
      </c>
      <c r="T45" s="5">
        <v>0</v>
      </c>
      <c r="U45" s="5" t="b">
        <v>0</v>
      </c>
      <c r="V45" s="5">
        <v>20</v>
      </c>
      <c r="W45" s="5">
        <v>0.3</v>
      </c>
      <c r="X45" s="5" t="s">
        <v>9</v>
      </c>
      <c r="Y45" s="5">
        <v>9</v>
      </c>
      <c r="Z45" s="5"/>
      <c r="AA45" s="5" t="s">
        <v>44</v>
      </c>
      <c r="AB45" s="5" t="s">
        <v>358</v>
      </c>
      <c r="AC45" s="5" t="b">
        <v>0</v>
      </c>
      <c r="AD45" s="5"/>
      <c r="AE45" s="5"/>
      <c r="AF45" s="5"/>
      <c r="AG45" s="5">
        <v>20</v>
      </c>
      <c r="AH45" s="5"/>
      <c r="AI45" s="5">
        <v>70</v>
      </c>
      <c r="AJ45" s="5"/>
      <c r="AK45" s="5" t="s">
        <v>996</v>
      </c>
      <c r="AL45" s="5">
        <v>2</v>
      </c>
      <c r="AM45" s="5"/>
      <c r="AN45" s="5">
        <v>10</v>
      </c>
      <c r="AO45" s="5"/>
      <c r="AP45" s="5">
        <v>0</v>
      </c>
      <c r="AQ45" s="5"/>
      <c r="AR45" s="5">
        <v>0</v>
      </c>
      <c r="AS45" s="5"/>
      <c r="AT45" s="5" t="s">
        <v>997</v>
      </c>
      <c r="AU45" s="5" t="s">
        <v>998</v>
      </c>
      <c r="AV45" s="5" t="s">
        <v>999</v>
      </c>
      <c r="AW45" s="8" t="str">
        <f>IFERROR(VLOOKUP(AA45,'Message Lookup'!D:J,7,FALSE),"")</f>
        <v>BSW-300 MSO Stytem Water Cut Meter Alarm Lo Condition</v>
      </c>
    </row>
    <row r="46" spans="1:49" x14ac:dyDescent="0.25">
      <c r="A46" s="5" t="s">
        <v>4574</v>
      </c>
      <c r="B46" s="5" t="s">
        <v>992</v>
      </c>
      <c r="C46" s="5" t="s">
        <v>4575</v>
      </c>
      <c r="D46" s="5"/>
      <c r="E46" s="5"/>
      <c r="F46" s="5"/>
      <c r="G46" s="5"/>
      <c r="H46" s="5"/>
      <c r="I46" s="5"/>
      <c r="J46" s="5"/>
      <c r="K46" s="5" t="s">
        <v>993</v>
      </c>
      <c r="L46" s="5" t="s">
        <v>994</v>
      </c>
      <c r="M46" s="5" t="s">
        <v>4576</v>
      </c>
      <c r="N46" s="5">
        <v>41</v>
      </c>
      <c r="O46" s="5"/>
      <c r="P46" s="5" t="s">
        <v>995</v>
      </c>
      <c r="Q46" s="5">
        <v>36</v>
      </c>
      <c r="R46" s="5">
        <v>24</v>
      </c>
      <c r="S46" s="5">
        <v>3</v>
      </c>
      <c r="T46" s="5">
        <v>0</v>
      </c>
      <c r="U46" s="5" t="b">
        <v>0</v>
      </c>
      <c r="V46" s="5">
        <v>20</v>
      </c>
      <c r="W46" s="5">
        <v>0.3</v>
      </c>
      <c r="X46" s="5" t="s">
        <v>9</v>
      </c>
      <c r="Y46" s="5">
        <v>9</v>
      </c>
      <c r="Z46" s="5"/>
      <c r="AA46" s="5" t="s">
        <v>45</v>
      </c>
      <c r="AB46" s="5" t="s">
        <v>359</v>
      </c>
      <c r="AC46" s="5" t="b">
        <v>0</v>
      </c>
      <c r="AD46" s="5"/>
      <c r="AE46" s="5"/>
      <c r="AF46" s="5"/>
      <c r="AG46" s="5">
        <v>20</v>
      </c>
      <c r="AH46" s="5"/>
      <c r="AI46" s="5">
        <v>70</v>
      </c>
      <c r="AJ46" s="5"/>
      <c r="AK46" s="5" t="s">
        <v>996</v>
      </c>
      <c r="AL46" s="5">
        <v>2</v>
      </c>
      <c r="AM46" s="5"/>
      <c r="AN46" s="5">
        <v>10</v>
      </c>
      <c r="AO46" s="5"/>
      <c r="AP46" s="5">
        <v>0</v>
      </c>
      <c r="AQ46" s="5"/>
      <c r="AR46" s="5">
        <v>0</v>
      </c>
      <c r="AS46" s="5"/>
      <c r="AT46" s="5" t="s">
        <v>997</v>
      </c>
      <c r="AU46" s="5" t="s">
        <v>998</v>
      </c>
      <c r="AV46" s="5" t="s">
        <v>999</v>
      </c>
      <c r="AW46" s="8" t="str">
        <f>IFERROR(VLOOKUP(AA46,'Message Lookup'!D:J,7,FALSE),"")</f>
        <v>BSW-300 MSO Stytem Water Cut Meter Alarm LoLo Latched</v>
      </c>
    </row>
    <row r="47" spans="1:49" x14ac:dyDescent="0.25">
      <c r="A47" s="5" t="s">
        <v>4574</v>
      </c>
      <c r="B47" s="5" t="s">
        <v>992</v>
      </c>
      <c r="C47" s="5" t="s">
        <v>4575</v>
      </c>
      <c r="D47" s="5"/>
      <c r="E47" s="5"/>
      <c r="F47" s="5"/>
      <c r="G47" s="5"/>
      <c r="H47" s="5"/>
      <c r="I47" s="5"/>
      <c r="J47" s="5"/>
      <c r="K47" s="5" t="s">
        <v>993</v>
      </c>
      <c r="L47" s="5" t="s">
        <v>994</v>
      </c>
      <c r="M47" s="5" t="s">
        <v>4576</v>
      </c>
      <c r="N47" s="5">
        <v>41</v>
      </c>
      <c r="O47" s="5"/>
      <c r="P47" s="5" t="s">
        <v>995</v>
      </c>
      <c r="Q47" s="5">
        <v>36</v>
      </c>
      <c r="R47" s="5">
        <v>24</v>
      </c>
      <c r="S47" s="5">
        <v>3</v>
      </c>
      <c r="T47" s="5">
        <v>0</v>
      </c>
      <c r="U47" s="5" t="b">
        <v>0</v>
      </c>
      <c r="V47" s="5">
        <v>20</v>
      </c>
      <c r="W47" s="5">
        <v>0.3</v>
      </c>
      <c r="X47" s="5" t="s">
        <v>9</v>
      </c>
      <c r="Y47" s="5">
        <v>9</v>
      </c>
      <c r="Z47" s="5"/>
      <c r="AA47" s="5" t="s">
        <v>46</v>
      </c>
      <c r="AB47" s="5" t="s">
        <v>360</v>
      </c>
      <c r="AC47" s="5" t="b">
        <v>0</v>
      </c>
      <c r="AD47" s="5"/>
      <c r="AE47" s="5"/>
      <c r="AF47" s="5"/>
      <c r="AG47" s="5">
        <v>20</v>
      </c>
      <c r="AH47" s="5"/>
      <c r="AI47" s="5">
        <v>70</v>
      </c>
      <c r="AJ47" s="5"/>
      <c r="AK47" s="5" t="s">
        <v>996</v>
      </c>
      <c r="AL47" s="5">
        <v>2</v>
      </c>
      <c r="AM47" s="5"/>
      <c r="AN47" s="5">
        <v>10</v>
      </c>
      <c r="AO47" s="5"/>
      <c r="AP47" s="5">
        <v>0</v>
      </c>
      <c r="AQ47" s="5"/>
      <c r="AR47" s="5">
        <v>0</v>
      </c>
      <c r="AS47" s="5"/>
      <c r="AT47" s="5" t="s">
        <v>997</v>
      </c>
      <c r="AU47" s="5" t="s">
        <v>998</v>
      </c>
      <c r="AV47" s="5" t="s">
        <v>999</v>
      </c>
      <c r="AW47" s="8" t="str">
        <f>IFERROR(VLOOKUP(AA47,'Message Lookup'!D:J,7,FALSE),"")</f>
        <v>BSW-300 MSO Stytem Water Cut Meter Alarm Malfunction Latched</v>
      </c>
    </row>
    <row r="48" spans="1:49" x14ac:dyDescent="0.25">
      <c r="A48" s="5" t="s">
        <v>4574</v>
      </c>
      <c r="B48" s="5" t="s">
        <v>992</v>
      </c>
      <c r="C48" s="5" t="s">
        <v>4575</v>
      </c>
      <c r="D48" s="5"/>
      <c r="E48" s="5"/>
      <c r="F48" s="5"/>
      <c r="G48" s="5"/>
      <c r="H48" s="5"/>
      <c r="I48" s="5"/>
      <c r="J48" s="5"/>
      <c r="K48" s="5" t="s">
        <v>993</v>
      </c>
      <c r="L48" s="5" t="s">
        <v>994</v>
      </c>
      <c r="M48" s="5" t="s">
        <v>4576</v>
      </c>
      <c r="N48" s="5">
        <v>41</v>
      </c>
      <c r="O48" s="5"/>
      <c r="P48" s="5" t="s">
        <v>995</v>
      </c>
      <c r="Q48" s="5">
        <v>36</v>
      </c>
      <c r="R48" s="5">
        <v>24</v>
      </c>
      <c r="S48" s="5">
        <v>3</v>
      </c>
      <c r="T48" s="5">
        <v>0</v>
      </c>
      <c r="U48" s="5" t="b">
        <v>0</v>
      </c>
      <c r="V48" s="5">
        <v>20</v>
      </c>
      <c r="W48" s="5">
        <v>0.3</v>
      </c>
      <c r="X48" s="5" t="s">
        <v>9</v>
      </c>
      <c r="Y48" s="5">
        <v>9</v>
      </c>
      <c r="Z48" s="5"/>
      <c r="AA48" s="5" t="s">
        <v>47</v>
      </c>
      <c r="AB48" s="5" t="s">
        <v>361</v>
      </c>
      <c r="AC48" s="5" t="b">
        <v>0</v>
      </c>
      <c r="AD48" s="5"/>
      <c r="AE48" s="5"/>
      <c r="AF48" s="5"/>
      <c r="AG48" s="5">
        <v>20</v>
      </c>
      <c r="AH48" s="5"/>
      <c r="AI48" s="5">
        <v>70</v>
      </c>
      <c r="AJ48" s="5"/>
      <c r="AK48" s="5" t="s">
        <v>996</v>
      </c>
      <c r="AL48" s="5">
        <v>2</v>
      </c>
      <c r="AM48" s="5"/>
      <c r="AN48" s="5">
        <v>10</v>
      </c>
      <c r="AO48" s="5"/>
      <c r="AP48" s="5">
        <v>0</v>
      </c>
      <c r="AQ48" s="5"/>
      <c r="AR48" s="5">
        <v>0</v>
      </c>
      <c r="AS48" s="5"/>
      <c r="AT48" s="5" t="s">
        <v>997</v>
      </c>
      <c r="AU48" s="5" t="s">
        <v>998</v>
      </c>
      <c r="AV48" s="5" t="s">
        <v>999</v>
      </c>
      <c r="AW48" s="8" t="str">
        <f>IFERROR(VLOOKUP(AA48,'Message Lookup'!D:J,7,FALSE),"")</f>
        <v>DQ-100 Corrected Density MSO Meter 100 Alarm HiHi Latched</v>
      </c>
    </row>
    <row r="49" spans="1:49" x14ac:dyDescent="0.25">
      <c r="A49" s="5" t="s">
        <v>4574</v>
      </c>
      <c r="B49" s="5" t="s">
        <v>992</v>
      </c>
      <c r="C49" s="5" t="s">
        <v>4575</v>
      </c>
      <c r="D49" s="5"/>
      <c r="E49" s="5"/>
      <c r="F49" s="5"/>
      <c r="G49" s="5"/>
      <c r="H49" s="5"/>
      <c r="I49" s="5"/>
      <c r="J49" s="5"/>
      <c r="K49" s="5" t="s">
        <v>993</v>
      </c>
      <c r="L49" s="5" t="s">
        <v>994</v>
      </c>
      <c r="M49" s="5" t="s">
        <v>4576</v>
      </c>
      <c r="N49" s="5">
        <v>41</v>
      </c>
      <c r="O49" s="5"/>
      <c r="P49" s="5" t="s">
        <v>995</v>
      </c>
      <c r="Q49" s="5">
        <v>36</v>
      </c>
      <c r="R49" s="5">
        <v>24</v>
      </c>
      <c r="S49" s="5">
        <v>3</v>
      </c>
      <c r="T49" s="5">
        <v>0</v>
      </c>
      <c r="U49" s="5" t="b">
        <v>0</v>
      </c>
      <c r="V49" s="5">
        <v>20</v>
      </c>
      <c r="W49" s="5">
        <v>0.3</v>
      </c>
      <c r="X49" s="5" t="s">
        <v>9</v>
      </c>
      <c r="Y49" s="5">
        <v>9</v>
      </c>
      <c r="Z49" s="5"/>
      <c r="AA49" s="5" t="s">
        <v>48</v>
      </c>
      <c r="AB49" s="5" t="s">
        <v>362</v>
      </c>
      <c r="AC49" s="5" t="b">
        <v>0</v>
      </c>
      <c r="AD49" s="5"/>
      <c r="AE49" s="5"/>
      <c r="AF49" s="5"/>
      <c r="AG49" s="5">
        <v>20</v>
      </c>
      <c r="AH49" s="5"/>
      <c r="AI49" s="5">
        <v>70</v>
      </c>
      <c r="AJ49" s="5"/>
      <c r="AK49" s="5" t="s">
        <v>996</v>
      </c>
      <c r="AL49" s="5">
        <v>2</v>
      </c>
      <c r="AM49" s="5"/>
      <c r="AN49" s="5">
        <v>10</v>
      </c>
      <c r="AO49" s="5"/>
      <c r="AP49" s="5">
        <v>0</v>
      </c>
      <c r="AQ49" s="5"/>
      <c r="AR49" s="5">
        <v>0</v>
      </c>
      <c r="AS49" s="5"/>
      <c r="AT49" s="5" t="s">
        <v>997</v>
      </c>
      <c r="AU49" s="5" t="s">
        <v>998</v>
      </c>
      <c r="AV49" s="5" t="s">
        <v>999</v>
      </c>
      <c r="AW49" s="8" t="str">
        <f>IFERROR(VLOOKUP(AA49,'Message Lookup'!D:J,7,FALSE),"")</f>
        <v>DQ-100 Corrected Density MSO Meter 100 Alarm Hi Latched</v>
      </c>
    </row>
    <row r="50" spans="1:49" x14ac:dyDescent="0.25">
      <c r="A50" s="5" t="s">
        <v>4574</v>
      </c>
      <c r="B50" s="5" t="s">
        <v>992</v>
      </c>
      <c r="C50" s="5" t="s">
        <v>4575</v>
      </c>
      <c r="D50" s="5"/>
      <c r="E50" s="5"/>
      <c r="F50" s="5"/>
      <c r="G50" s="5"/>
      <c r="H50" s="5"/>
      <c r="I50" s="5"/>
      <c r="J50" s="5"/>
      <c r="K50" s="5" t="s">
        <v>993</v>
      </c>
      <c r="L50" s="5" t="s">
        <v>994</v>
      </c>
      <c r="M50" s="5" t="s">
        <v>4576</v>
      </c>
      <c r="N50" s="5">
        <v>41</v>
      </c>
      <c r="O50" s="5"/>
      <c r="P50" s="5" t="s">
        <v>995</v>
      </c>
      <c r="Q50" s="5">
        <v>36</v>
      </c>
      <c r="R50" s="5">
        <v>24</v>
      </c>
      <c r="S50" s="5">
        <v>3</v>
      </c>
      <c r="T50" s="5">
        <v>0</v>
      </c>
      <c r="U50" s="5" t="b">
        <v>0</v>
      </c>
      <c r="V50" s="5">
        <v>20</v>
      </c>
      <c r="W50" s="5">
        <v>0.3</v>
      </c>
      <c r="X50" s="5" t="s">
        <v>9</v>
      </c>
      <c r="Y50" s="5">
        <v>9</v>
      </c>
      <c r="Z50" s="5"/>
      <c r="AA50" s="5" t="s">
        <v>49</v>
      </c>
      <c r="AB50" s="5" t="s">
        <v>363</v>
      </c>
      <c r="AC50" s="5" t="b">
        <v>0</v>
      </c>
      <c r="AD50" s="5"/>
      <c r="AE50" s="5"/>
      <c r="AF50" s="5"/>
      <c r="AG50" s="5">
        <v>20</v>
      </c>
      <c r="AH50" s="5"/>
      <c r="AI50" s="5">
        <v>70</v>
      </c>
      <c r="AJ50" s="5"/>
      <c r="AK50" s="5" t="s">
        <v>996</v>
      </c>
      <c r="AL50" s="5">
        <v>2</v>
      </c>
      <c r="AM50" s="5"/>
      <c r="AN50" s="5">
        <v>10</v>
      </c>
      <c r="AO50" s="5"/>
      <c r="AP50" s="5">
        <v>0</v>
      </c>
      <c r="AQ50" s="5"/>
      <c r="AR50" s="5">
        <v>0</v>
      </c>
      <c r="AS50" s="5"/>
      <c r="AT50" s="5" t="s">
        <v>997</v>
      </c>
      <c r="AU50" s="5" t="s">
        <v>998</v>
      </c>
      <c r="AV50" s="5" t="s">
        <v>999</v>
      </c>
      <c r="AW50" s="8" t="str">
        <f>IFERROR(VLOOKUP(AA50,'Message Lookup'!D:J,7,FALSE),"")</f>
        <v>DQ-100 Corrected Density MSO Meter 100 Alarm Lo Condition</v>
      </c>
    </row>
    <row r="51" spans="1:49" x14ac:dyDescent="0.25">
      <c r="A51" s="5" t="s">
        <v>4574</v>
      </c>
      <c r="B51" s="5" t="s">
        <v>992</v>
      </c>
      <c r="C51" s="5" t="s">
        <v>4575</v>
      </c>
      <c r="D51" s="5"/>
      <c r="E51" s="5"/>
      <c r="F51" s="5"/>
      <c r="G51" s="5"/>
      <c r="H51" s="5"/>
      <c r="I51" s="5"/>
      <c r="J51" s="5"/>
      <c r="K51" s="5" t="s">
        <v>993</v>
      </c>
      <c r="L51" s="5" t="s">
        <v>994</v>
      </c>
      <c r="M51" s="5" t="s">
        <v>4576</v>
      </c>
      <c r="N51" s="5">
        <v>41</v>
      </c>
      <c r="O51" s="5"/>
      <c r="P51" s="5" t="s">
        <v>995</v>
      </c>
      <c r="Q51" s="5">
        <v>36</v>
      </c>
      <c r="R51" s="5">
        <v>24</v>
      </c>
      <c r="S51" s="5">
        <v>3</v>
      </c>
      <c r="T51" s="5">
        <v>0</v>
      </c>
      <c r="U51" s="5" t="b">
        <v>0</v>
      </c>
      <c r="V51" s="5">
        <v>20</v>
      </c>
      <c r="W51" s="5">
        <v>0.3</v>
      </c>
      <c r="X51" s="5" t="s">
        <v>9</v>
      </c>
      <c r="Y51" s="5">
        <v>9</v>
      </c>
      <c r="Z51" s="5"/>
      <c r="AA51" s="5" t="s">
        <v>50</v>
      </c>
      <c r="AB51" s="5" t="s">
        <v>364</v>
      </c>
      <c r="AC51" s="5" t="b">
        <v>0</v>
      </c>
      <c r="AD51" s="5"/>
      <c r="AE51" s="5"/>
      <c r="AF51" s="5"/>
      <c r="AG51" s="5">
        <v>20</v>
      </c>
      <c r="AH51" s="5"/>
      <c r="AI51" s="5">
        <v>70</v>
      </c>
      <c r="AJ51" s="5"/>
      <c r="AK51" s="5" t="s">
        <v>996</v>
      </c>
      <c r="AL51" s="5">
        <v>2</v>
      </c>
      <c r="AM51" s="5"/>
      <c r="AN51" s="5">
        <v>10</v>
      </c>
      <c r="AO51" s="5"/>
      <c r="AP51" s="5">
        <v>0</v>
      </c>
      <c r="AQ51" s="5"/>
      <c r="AR51" s="5">
        <v>0</v>
      </c>
      <c r="AS51" s="5"/>
      <c r="AT51" s="5" t="s">
        <v>997</v>
      </c>
      <c r="AU51" s="5" t="s">
        <v>998</v>
      </c>
      <c r="AV51" s="5" t="s">
        <v>999</v>
      </c>
      <c r="AW51" s="8" t="str">
        <f>IFERROR(VLOOKUP(AA51,'Message Lookup'!D:J,7,FALSE),"")</f>
        <v>DQ-100 Corrected Density MSO Meter 100 Alarm LoLo Latched</v>
      </c>
    </row>
    <row r="52" spans="1:49" x14ac:dyDescent="0.25">
      <c r="A52" s="5" t="s">
        <v>4574</v>
      </c>
      <c r="B52" s="5" t="s">
        <v>992</v>
      </c>
      <c r="C52" s="5" t="s">
        <v>4575</v>
      </c>
      <c r="D52" s="5"/>
      <c r="E52" s="5"/>
      <c r="F52" s="5"/>
      <c r="G52" s="5"/>
      <c r="H52" s="5"/>
      <c r="I52" s="5"/>
      <c r="J52" s="5"/>
      <c r="K52" s="5" t="s">
        <v>993</v>
      </c>
      <c r="L52" s="5" t="s">
        <v>994</v>
      </c>
      <c r="M52" s="5" t="s">
        <v>4576</v>
      </c>
      <c r="N52" s="5">
        <v>41</v>
      </c>
      <c r="O52" s="5"/>
      <c r="P52" s="5" t="s">
        <v>995</v>
      </c>
      <c r="Q52" s="5">
        <v>36</v>
      </c>
      <c r="R52" s="5">
        <v>24</v>
      </c>
      <c r="S52" s="5">
        <v>3</v>
      </c>
      <c r="T52" s="5">
        <v>0</v>
      </c>
      <c r="U52" s="5" t="b">
        <v>0</v>
      </c>
      <c r="V52" s="5">
        <v>20</v>
      </c>
      <c r="W52" s="5">
        <v>0.3</v>
      </c>
      <c r="X52" s="5" t="s">
        <v>9</v>
      </c>
      <c r="Y52" s="5">
        <v>9</v>
      </c>
      <c r="Z52" s="5"/>
      <c r="AA52" s="5" t="s">
        <v>51</v>
      </c>
      <c r="AB52" s="5" t="s">
        <v>365</v>
      </c>
      <c r="AC52" s="5" t="b">
        <v>0</v>
      </c>
      <c r="AD52" s="5"/>
      <c r="AE52" s="5"/>
      <c r="AF52" s="5"/>
      <c r="AG52" s="5">
        <v>20</v>
      </c>
      <c r="AH52" s="5"/>
      <c r="AI52" s="5">
        <v>70</v>
      </c>
      <c r="AJ52" s="5"/>
      <c r="AK52" s="5" t="s">
        <v>996</v>
      </c>
      <c r="AL52" s="5">
        <v>2</v>
      </c>
      <c r="AM52" s="5"/>
      <c r="AN52" s="5">
        <v>10</v>
      </c>
      <c r="AO52" s="5"/>
      <c r="AP52" s="5">
        <v>0</v>
      </c>
      <c r="AQ52" s="5"/>
      <c r="AR52" s="5">
        <v>0</v>
      </c>
      <c r="AS52" s="5"/>
      <c r="AT52" s="5" t="s">
        <v>997</v>
      </c>
      <c r="AU52" s="5" t="s">
        <v>998</v>
      </c>
      <c r="AV52" s="5" t="s">
        <v>999</v>
      </c>
      <c r="AW52" s="8" t="str">
        <f>IFERROR(VLOOKUP(AA52,'Message Lookup'!D:J,7,FALSE),"")</f>
        <v>DQ-100 Corrected Density MSO Meter 100 Alarm Malfunction Latched</v>
      </c>
    </row>
    <row r="53" spans="1:49" x14ac:dyDescent="0.25">
      <c r="A53" s="5" t="s">
        <v>4574</v>
      </c>
      <c r="B53" s="5" t="s">
        <v>992</v>
      </c>
      <c r="C53" s="5" t="s">
        <v>4575</v>
      </c>
      <c r="D53" s="5"/>
      <c r="E53" s="5"/>
      <c r="F53" s="5"/>
      <c r="G53" s="5"/>
      <c r="H53" s="5"/>
      <c r="I53" s="5"/>
      <c r="J53" s="5"/>
      <c r="K53" s="5" t="s">
        <v>993</v>
      </c>
      <c r="L53" s="5" t="s">
        <v>994</v>
      </c>
      <c r="M53" s="5" t="s">
        <v>4576</v>
      </c>
      <c r="N53" s="5">
        <v>41</v>
      </c>
      <c r="O53" s="5"/>
      <c r="P53" s="5" t="s">
        <v>995</v>
      </c>
      <c r="Q53" s="5">
        <v>36</v>
      </c>
      <c r="R53" s="5">
        <v>24</v>
      </c>
      <c r="S53" s="5">
        <v>3</v>
      </c>
      <c r="T53" s="5">
        <v>0</v>
      </c>
      <c r="U53" s="5" t="b">
        <v>0</v>
      </c>
      <c r="V53" s="5">
        <v>20</v>
      </c>
      <c r="W53" s="5">
        <v>0.3</v>
      </c>
      <c r="X53" s="5" t="s">
        <v>9</v>
      </c>
      <c r="Y53" s="5">
        <v>9</v>
      </c>
      <c r="Z53" s="5"/>
      <c r="AA53" s="5" t="s">
        <v>52</v>
      </c>
      <c r="AB53" s="5" t="s">
        <v>366</v>
      </c>
      <c r="AC53" s="5" t="b">
        <v>0</v>
      </c>
      <c r="AD53" s="5"/>
      <c r="AE53" s="5"/>
      <c r="AF53" s="5"/>
      <c r="AG53" s="5">
        <v>20</v>
      </c>
      <c r="AH53" s="5"/>
      <c r="AI53" s="5">
        <v>70</v>
      </c>
      <c r="AJ53" s="5"/>
      <c r="AK53" s="5" t="s">
        <v>996</v>
      </c>
      <c r="AL53" s="5">
        <v>2</v>
      </c>
      <c r="AM53" s="5"/>
      <c r="AN53" s="5">
        <v>10</v>
      </c>
      <c r="AO53" s="5"/>
      <c r="AP53" s="5">
        <v>0</v>
      </c>
      <c r="AQ53" s="5"/>
      <c r="AR53" s="5">
        <v>0</v>
      </c>
      <c r="AS53" s="5"/>
      <c r="AT53" s="5" t="s">
        <v>997</v>
      </c>
      <c r="AU53" s="5" t="s">
        <v>998</v>
      </c>
      <c r="AV53" s="5" t="s">
        <v>999</v>
      </c>
      <c r="AW53" s="8" t="str">
        <f>IFERROR(VLOOKUP(AA53,'Message Lookup'!D:J,7,FALSE),"")</f>
        <v>DQ-200 Corrected Density MSO Meter 200 Alarm HiHi Latched</v>
      </c>
    </row>
    <row r="54" spans="1:49" x14ac:dyDescent="0.25">
      <c r="A54" s="5" t="s">
        <v>4574</v>
      </c>
      <c r="B54" s="5" t="s">
        <v>992</v>
      </c>
      <c r="C54" s="5" t="s">
        <v>4575</v>
      </c>
      <c r="D54" s="5"/>
      <c r="E54" s="5"/>
      <c r="F54" s="5"/>
      <c r="G54" s="5"/>
      <c r="H54" s="5"/>
      <c r="I54" s="5"/>
      <c r="J54" s="5"/>
      <c r="K54" s="5" t="s">
        <v>993</v>
      </c>
      <c r="L54" s="5" t="s">
        <v>994</v>
      </c>
      <c r="M54" s="5" t="s">
        <v>4576</v>
      </c>
      <c r="N54" s="5">
        <v>41</v>
      </c>
      <c r="O54" s="5"/>
      <c r="P54" s="5" t="s">
        <v>995</v>
      </c>
      <c r="Q54" s="5">
        <v>36</v>
      </c>
      <c r="R54" s="5">
        <v>24</v>
      </c>
      <c r="S54" s="5">
        <v>3</v>
      </c>
      <c r="T54" s="5">
        <v>0</v>
      </c>
      <c r="U54" s="5" t="b">
        <v>0</v>
      </c>
      <c r="V54" s="5">
        <v>20</v>
      </c>
      <c r="W54" s="5">
        <v>0.3</v>
      </c>
      <c r="X54" s="5" t="s">
        <v>9</v>
      </c>
      <c r="Y54" s="5">
        <v>9</v>
      </c>
      <c r="Z54" s="5"/>
      <c r="AA54" s="5" t="s">
        <v>53</v>
      </c>
      <c r="AB54" s="5" t="s">
        <v>367</v>
      </c>
      <c r="AC54" s="5" t="b">
        <v>0</v>
      </c>
      <c r="AD54" s="5"/>
      <c r="AE54" s="5"/>
      <c r="AF54" s="5"/>
      <c r="AG54" s="5">
        <v>20</v>
      </c>
      <c r="AH54" s="5"/>
      <c r="AI54" s="5">
        <v>70</v>
      </c>
      <c r="AJ54" s="5"/>
      <c r="AK54" s="5" t="s">
        <v>996</v>
      </c>
      <c r="AL54" s="5">
        <v>2</v>
      </c>
      <c r="AM54" s="5"/>
      <c r="AN54" s="5">
        <v>10</v>
      </c>
      <c r="AO54" s="5"/>
      <c r="AP54" s="5">
        <v>0</v>
      </c>
      <c r="AQ54" s="5"/>
      <c r="AR54" s="5">
        <v>0</v>
      </c>
      <c r="AS54" s="5"/>
      <c r="AT54" s="5" t="s">
        <v>997</v>
      </c>
      <c r="AU54" s="5" t="s">
        <v>998</v>
      </c>
      <c r="AV54" s="5" t="s">
        <v>999</v>
      </c>
      <c r="AW54" s="8" t="str">
        <f>IFERROR(VLOOKUP(AA54,'Message Lookup'!D:J,7,FALSE),"")</f>
        <v>DQ-200 Corrected Density MSO Meter 200 Alarm Hi Latched</v>
      </c>
    </row>
    <row r="55" spans="1:49" x14ac:dyDescent="0.25">
      <c r="A55" s="5" t="s">
        <v>4574</v>
      </c>
      <c r="B55" s="5" t="s">
        <v>992</v>
      </c>
      <c r="C55" s="5" t="s">
        <v>4575</v>
      </c>
      <c r="D55" s="5"/>
      <c r="E55" s="5"/>
      <c r="F55" s="5"/>
      <c r="G55" s="5"/>
      <c r="H55" s="5"/>
      <c r="I55" s="5"/>
      <c r="J55" s="5"/>
      <c r="K55" s="5" t="s">
        <v>993</v>
      </c>
      <c r="L55" s="5" t="s">
        <v>994</v>
      </c>
      <c r="M55" s="5" t="s">
        <v>4576</v>
      </c>
      <c r="N55" s="5">
        <v>41</v>
      </c>
      <c r="O55" s="5"/>
      <c r="P55" s="5" t="s">
        <v>995</v>
      </c>
      <c r="Q55" s="5">
        <v>36</v>
      </c>
      <c r="R55" s="5">
        <v>24</v>
      </c>
      <c r="S55" s="5">
        <v>3</v>
      </c>
      <c r="T55" s="5">
        <v>0</v>
      </c>
      <c r="U55" s="5" t="b">
        <v>0</v>
      </c>
      <c r="V55" s="5">
        <v>20</v>
      </c>
      <c r="W55" s="5">
        <v>0.3</v>
      </c>
      <c r="X55" s="5" t="s">
        <v>9</v>
      </c>
      <c r="Y55" s="5">
        <v>9</v>
      </c>
      <c r="Z55" s="5"/>
      <c r="AA55" s="5" t="s">
        <v>54</v>
      </c>
      <c r="AB55" s="5" t="s">
        <v>368</v>
      </c>
      <c r="AC55" s="5" t="b">
        <v>0</v>
      </c>
      <c r="AD55" s="5"/>
      <c r="AE55" s="5"/>
      <c r="AF55" s="5"/>
      <c r="AG55" s="5">
        <v>20</v>
      </c>
      <c r="AH55" s="5"/>
      <c r="AI55" s="5">
        <v>70</v>
      </c>
      <c r="AJ55" s="5"/>
      <c r="AK55" s="5" t="s">
        <v>996</v>
      </c>
      <c r="AL55" s="5">
        <v>2</v>
      </c>
      <c r="AM55" s="5"/>
      <c r="AN55" s="5">
        <v>10</v>
      </c>
      <c r="AO55" s="5"/>
      <c r="AP55" s="5">
        <v>0</v>
      </c>
      <c r="AQ55" s="5"/>
      <c r="AR55" s="5">
        <v>0</v>
      </c>
      <c r="AS55" s="5"/>
      <c r="AT55" s="5" t="s">
        <v>997</v>
      </c>
      <c r="AU55" s="5" t="s">
        <v>998</v>
      </c>
      <c r="AV55" s="5" t="s">
        <v>999</v>
      </c>
      <c r="AW55" s="8" t="str">
        <f>IFERROR(VLOOKUP(AA55,'Message Lookup'!D:J,7,FALSE),"")</f>
        <v>DQ-200 Corrected Density MSO Meter 200 Alarm Lo Condition</v>
      </c>
    </row>
    <row r="56" spans="1:49" x14ac:dyDescent="0.25">
      <c r="A56" s="5" t="s">
        <v>4574</v>
      </c>
      <c r="B56" s="5" t="s">
        <v>992</v>
      </c>
      <c r="C56" s="5" t="s">
        <v>4575</v>
      </c>
      <c r="D56" s="5"/>
      <c r="E56" s="5"/>
      <c r="F56" s="5"/>
      <c r="G56" s="5"/>
      <c r="H56" s="5"/>
      <c r="I56" s="5"/>
      <c r="J56" s="5"/>
      <c r="K56" s="5" t="s">
        <v>993</v>
      </c>
      <c r="L56" s="5" t="s">
        <v>994</v>
      </c>
      <c r="M56" s="5" t="s">
        <v>4576</v>
      </c>
      <c r="N56" s="5">
        <v>41</v>
      </c>
      <c r="O56" s="5"/>
      <c r="P56" s="5" t="s">
        <v>995</v>
      </c>
      <c r="Q56" s="5">
        <v>36</v>
      </c>
      <c r="R56" s="5">
        <v>24</v>
      </c>
      <c r="S56" s="5">
        <v>3</v>
      </c>
      <c r="T56" s="5">
        <v>0</v>
      </c>
      <c r="U56" s="5" t="b">
        <v>0</v>
      </c>
      <c r="V56" s="5">
        <v>20</v>
      </c>
      <c r="W56" s="5">
        <v>0.3</v>
      </c>
      <c r="X56" s="5" t="s">
        <v>9</v>
      </c>
      <c r="Y56" s="5">
        <v>9</v>
      </c>
      <c r="Z56" s="5"/>
      <c r="AA56" s="5" t="s">
        <v>55</v>
      </c>
      <c r="AB56" s="5" t="s">
        <v>369</v>
      </c>
      <c r="AC56" s="5" t="b">
        <v>0</v>
      </c>
      <c r="AD56" s="5"/>
      <c r="AE56" s="5"/>
      <c r="AF56" s="5"/>
      <c r="AG56" s="5">
        <v>20</v>
      </c>
      <c r="AH56" s="5"/>
      <c r="AI56" s="5">
        <v>70</v>
      </c>
      <c r="AJ56" s="5"/>
      <c r="AK56" s="5" t="s">
        <v>996</v>
      </c>
      <c r="AL56" s="5">
        <v>2</v>
      </c>
      <c r="AM56" s="5"/>
      <c r="AN56" s="5">
        <v>10</v>
      </c>
      <c r="AO56" s="5"/>
      <c r="AP56" s="5">
        <v>0</v>
      </c>
      <c r="AQ56" s="5"/>
      <c r="AR56" s="5">
        <v>0</v>
      </c>
      <c r="AS56" s="5"/>
      <c r="AT56" s="5" t="s">
        <v>997</v>
      </c>
      <c r="AU56" s="5" t="s">
        <v>998</v>
      </c>
      <c r="AV56" s="5" t="s">
        <v>999</v>
      </c>
      <c r="AW56" s="8" t="str">
        <f>IFERROR(VLOOKUP(AA56,'Message Lookup'!D:J,7,FALSE),"")</f>
        <v>DQ-200 Corrected Density MSO Meter 200 Alarm LoLo Latched</v>
      </c>
    </row>
    <row r="57" spans="1:49" x14ac:dyDescent="0.25">
      <c r="A57" s="5" t="s">
        <v>4574</v>
      </c>
      <c r="B57" s="5" t="s">
        <v>992</v>
      </c>
      <c r="C57" s="5" t="s">
        <v>4575</v>
      </c>
      <c r="D57" s="5"/>
      <c r="E57" s="5"/>
      <c r="F57" s="5"/>
      <c r="G57" s="5"/>
      <c r="H57" s="5"/>
      <c r="I57" s="5"/>
      <c r="J57" s="5"/>
      <c r="K57" s="5" t="s">
        <v>993</v>
      </c>
      <c r="L57" s="5" t="s">
        <v>994</v>
      </c>
      <c r="M57" s="5" t="s">
        <v>4576</v>
      </c>
      <c r="N57" s="5">
        <v>41</v>
      </c>
      <c r="O57" s="5"/>
      <c r="P57" s="5" t="s">
        <v>995</v>
      </c>
      <c r="Q57" s="5">
        <v>36</v>
      </c>
      <c r="R57" s="5">
        <v>24</v>
      </c>
      <c r="S57" s="5">
        <v>3</v>
      </c>
      <c r="T57" s="5">
        <v>0</v>
      </c>
      <c r="U57" s="5" t="b">
        <v>0</v>
      </c>
      <c r="V57" s="5">
        <v>20</v>
      </c>
      <c r="W57" s="5">
        <v>0.3</v>
      </c>
      <c r="X57" s="5" t="s">
        <v>9</v>
      </c>
      <c r="Y57" s="5">
        <v>9</v>
      </c>
      <c r="Z57" s="5"/>
      <c r="AA57" s="5" t="s">
        <v>56</v>
      </c>
      <c r="AB57" s="5" t="s">
        <v>370</v>
      </c>
      <c r="AC57" s="5" t="b">
        <v>0</v>
      </c>
      <c r="AD57" s="5"/>
      <c r="AE57" s="5"/>
      <c r="AF57" s="5"/>
      <c r="AG57" s="5">
        <v>20</v>
      </c>
      <c r="AH57" s="5"/>
      <c r="AI57" s="5">
        <v>70</v>
      </c>
      <c r="AJ57" s="5"/>
      <c r="AK57" s="5" t="s">
        <v>996</v>
      </c>
      <c r="AL57" s="5">
        <v>2</v>
      </c>
      <c r="AM57" s="5"/>
      <c r="AN57" s="5">
        <v>10</v>
      </c>
      <c r="AO57" s="5"/>
      <c r="AP57" s="5">
        <v>0</v>
      </c>
      <c r="AQ57" s="5"/>
      <c r="AR57" s="5">
        <v>0</v>
      </c>
      <c r="AS57" s="5"/>
      <c r="AT57" s="5" t="s">
        <v>997</v>
      </c>
      <c r="AU57" s="5" t="s">
        <v>998</v>
      </c>
      <c r="AV57" s="5" t="s">
        <v>999</v>
      </c>
      <c r="AW57" s="8" t="str">
        <f>IFERROR(VLOOKUP(AA57,'Message Lookup'!D:J,7,FALSE),"")</f>
        <v>DQ-200 Corrected Density MSO Meter 200 Alarm Malfunction Latched</v>
      </c>
    </row>
    <row r="58" spans="1:49" x14ac:dyDescent="0.25">
      <c r="A58" s="5" t="s">
        <v>4574</v>
      </c>
      <c r="B58" s="5" t="s">
        <v>992</v>
      </c>
      <c r="C58" s="5" t="s">
        <v>4575</v>
      </c>
      <c r="D58" s="5"/>
      <c r="E58" s="5"/>
      <c r="F58" s="5"/>
      <c r="G58" s="5"/>
      <c r="H58" s="5"/>
      <c r="I58" s="5"/>
      <c r="J58" s="5"/>
      <c r="K58" s="5" t="s">
        <v>993</v>
      </c>
      <c r="L58" s="5" t="s">
        <v>994</v>
      </c>
      <c r="M58" s="5" t="s">
        <v>4576</v>
      </c>
      <c r="N58" s="5">
        <v>41</v>
      </c>
      <c r="O58" s="5"/>
      <c r="P58" s="5" t="s">
        <v>995</v>
      </c>
      <c r="Q58" s="5">
        <v>36</v>
      </c>
      <c r="R58" s="5">
        <v>24</v>
      </c>
      <c r="S58" s="5">
        <v>3</v>
      </c>
      <c r="T58" s="5">
        <v>0</v>
      </c>
      <c r="U58" s="5" t="b">
        <v>0</v>
      </c>
      <c r="V58" s="5">
        <v>20</v>
      </c>
      <c r="W58" s="5">
        <v>0.3</v>
      </c>
      <c r="X58" s="5" t="s">
        <v>9</v>
      </c>
      <c r="Y58" s="5">
        <v>9</v>
      </c>
      <c r="Z58" s="5"/>
      <c r="AA58" s="5"/>
      <c r="AB58" s="5"/>
      <c r="AC58" s="5"/>
      <c r="AD58" s="5"/>
      <c r="AE58" s="5" t="s">
        <v>1000</v>
      </c>
      <c r="AF58" s="5" t="b">
        <v>0</v>
      </c>
      <c r="AG58" s="5">
        <v>20</v>
      </c>
      <c r="AH58" s="5"/>
      <c r="AI58" s="5">
        <v>70</v>
      </c>
      <c r="AJ58" s="5"/>
      <c r="AK58" s="5" t="s">
        <v>996</v>
      </c>
      <c r="AL58" s="5">
        <v>2</v>
      </c>
      <c r="AM58" s="5"/>
      <c r="AN58" s="5">
        <v>10</v>
      </c>
      <c r="AO58" s="5"/>
      <c r="AP58" s="5">
        <v>0</v>
      </c>
      <c r="AQ58" s="5"/>
      <c r="AR58" s="5">
        <v>0</v>
      </c>
      <c r="AS58" s="5"/>
      <c r="AT58" s="5" t="s">
        <v>997</v>
      </c>
      <c r="AU58" s="5" t="s">
        <v>998</v>
      </c>
      <c r="AV58" s="5" t="s">
        <v>999</v>
      </c>
      <c r="AW58" s="8" t="str">
        <f>IFERROR(VLOOKUP(AA58,'Message Lookup'!D:J,7,FALSE),"")</f>
        <v/>
      </c>
    </row>
    <row r="59" spans="1:49" x14ac:dyDescent="0.25">
      <c r="A59" s="5" t="s">
        <v>4574</v>
      </c>
      <c r="B59" s="5" t="s">
        <v>992</v>
      </c>
      <c r="C59" s="5" t="s">
        <v>4575</v>
      </c>
      <c r="D59" s="5"/>
      <c r="E59" s="5"/>
      <c r="F59" s="5"/>
      <c r="G59" s="5"/>
      <c r="H59" s="5"/>
      <c r="I59" s="5"/>
      <c r="J59" s="5"/>
      <c r="K59" s="5" t="s">
        <v>993</v>
      </c>
      <c r="L59" s="5" t="s">
        <v>994</v>
      </c>
      <c r="M59" s="5" t="s">
        <v>4576</v>
      </c>
      <c r="N59" s="5">
        <v>41</v>
      </c>
      <c r="O59" s="5"/>
      <c r="P59" s="5" t="s">
        <v>995</v>
      </c>
      <c r="Q59" s="5">
        <v>36</v>
      </c>
      <c r="R59" s="5">
        <v>24</v>
      </c>
      <c r="S59" s="5">
        <v>3</v>
      </c>
      <c r="T59" s="5">
        <v>0</v>
      </c>
      <c r="U59" s="5" t="b">
        <v>0</v>
      </c>
      <c r="V59" s="5">
        <v>20</v>
      </c>
      <c r="W59" s="5">
        <v>0.3</v>
      </c>
      <c r="X59" s="5" t="s">
        <v>9</v>
      </c>
      <c r="Y59" s="5">
        <v>9</v>
      </c>
      <c r="Z59" s="5"/>
      <c r="AA59" s="5"/>
      <c r="AB59" s="5"/>
      <c r="AC59" s="5"/>
      <c r="AD59" s="5" t="s">
        <v>1004</v>
      </c>
      <c r="AE59" s="5" t="s">
        <v>1002</v>
      </c>
      <c r="AF59" s="5" t="b">
        <v>0</v>
      </c>
      <c r="AG59" s="5">
        <v>20</v>
      </c>
      <c r="AH59" s="5"/>
      <c r="AI59" s="5">
        <v>70</v>
      </c>
      <c r="AJ59" s="5"/>
      <c r="AK59" s="5" t="s">
        <v>996</v>
      </c>
      <c r="AL59" s="5">
        <v>2</v>
      </c>
      <c r="AM59" s="5"/>
      <c r="AN59" s="5">
        <v>10</v>
      </c>
      <c r="AO59" s="5"/>
      <c r="AP59" s="5">
        <v>0</v>
      </c>
      <c r="AQ59" s="5"/>
      <c r="AR59" s="5">
        <v>0</v>
      </c>
      <c r="AS59" s="5"/>
      <c r="AT59" s="5" t="s">
        <v>997</v>
      </c>
      <c r="AU59" s="5" t="s">
        <v>998</v>
      </c>
      <c r="AV59" s="5" t="s">
        <v>999</v>
      </c>
      <c r="AW59" s="8" t="str">
        <f>IFERROR(VLOOKUP(AA59,'Message Lookup'!D:J,7,FALSE),"")</f>
        <v/>
      </c>
    </row>
    <row r="60" spans="1:49" x14ac:dyDescent="0.25">
      <c r="A60" s="5" t="s">
        <v>4574</v>
      </c>
      <c r="B60" s="5" t="s">
        <v>992</v>
      </c>
      <c r="C60" s="5" t="s">
        <v>4575</v>
      </c>
      <c r="D60" s="5"/>
      <c r="E60" s="5"/>
      <c r="F60" s="5"/>
      <c r="G60" s="5"/>
      <c r="H60" s="5"/>
      <c r="I60" s="5"/>
      <c r="J60" s="5"/>
      <c r="K60" s="5" t="s">
        <v>993</v>
      </c>
      <c r="L60" s="5" t="s">
        <v>994</v>
      </c>
      <c r="M60" s="5" t="s">
        <v>4576</v>
      </c>
      <c r="N60" s="5">
        <v>41</v>
      </c>
      <c r="O60" s="5"/>
      <c r="P60" s="5" t="s">
        <v>995</v>
      </c>
      <c r="Q60" s="5">
        <v>36</v>
      </c>
      <c r="R60" s="5">
        <v>24</v>
      </c>
      <c r="S60" s="5">
        <v>4</v>
      </c>
      <c r="T60" s="5">
        <v>0</v>
      </c>
      <c r="U60" s="5" t="b">
        <v>0</v>
      </c>
      <c r="V60" s="5">
        <v>20</v>
      </c>
      <c r="W60" s="5">
        <v>0.5</v>
      </c>
      <c r="X60" s="5" t="s">
        <v>9</v>
      </c>
      <c r="Y60" s="5">
        <v>9</v>
      </c>
      <c r="Z60" s="5"/>
      <c r="AA60" s="5"/>
      <c r="AB60" s="5" t="s">
        <v>354</v>
      </c>
      <c r="AC60" s="5" t="b">
        <v>0</v>
      </c>
      <c r="AD60" s="5"/>
      <c r="AE60" s="5"/>
      <c r="AF60" s="5"/>
      <c r="AG60" s="5">
        <v>20</v>
      </c>
      <c r="AH60" s="5">
        <v>20</v>
      </c>
      <c r="AI60" s="5">
        <v>91</v>
      </c>
      <c r="AJ60" s="5">
        <v>91</v>
      </c>
      <c r="AK60" s="5" t="s">
        <v>996</v>
      </c>
      <c r="AL60" s="5">
        <v>2</v>
      </c>
      <c r="AM60" s="5"/>
      <c r="AN60" s="5">
        <v>10</v>
      </c>
      <c r="AO60" s="5"/>
      <c r="AP60" s="5">
        <v>0</v>
      </c>
      <c r="AQ60" s="5"/>
      <c r="AR60" s="5">
        <v>0</v>
      </c>
      <c r="AS60" s="5"/>
      <c r="AT60" s="5" t="s">
        <v>997</v>
      </c>
      <c r="AU60" s="5" t="s">
        <v>998</v>
      </c>
      <c r="AV60" s="5" t="s">
        <v>999</v>
      </c>
      <c r="AW60" s="8" t="str">
        <f>IFERROR(VLOOKUP(AA60,'Message Lookup'!D:J,7,FALSE),"")</f>
        <v/>
      </c>
    </row>
    <row r="61" spans="1:49" x14ac:dyDescent="0.25">
      <c r="A61" s="5" t="s">
        <v>4574</v>
      </c>
      <c r="B61" s="5" t="s">
        <v>992</v>
      </c>
      <c r="C61" s="5" t="s">
        <v>4575</v>
      </c>
      <c r="D61" s="5"/>
      <c r="E61" s="5"/>
      <c r="F61" s="5"/>
      <c r="G61" s="5"/>
      <c r="H61" s="5"/>
      <c r="I61" s="5"/>
      <c r="J61" s="5"/>
      <c r="K61" s="5" t="s">
        <v>993</v>
      </c>
      <c r="L61" s="5" t="s">
        <v>994</v>
      </c>
      <c r="M61" s="5" t="s">
        <v>4576</v>
      </c>
      <c r="N61" s="5">
        <v>41</v>
      </c>
      <c r="O61" s="5"/>
      <c r="P61" s="5" t="s">
        <v>995</v>
      </c>
      <c r="Q61" s="5">
        <v>36</v>
      </c>
      <c r="R61" s="5">
        <v>24</v>
      </c>
      <c r="S61" s="5">
        <v>4</v>
      </c>
      <c r="T61" s="5">
        <v>0</v>
      </c>
      <c r="U61" s="5" t="b">
        <v>0</v>
      </c>
      <c r="V61" s="5">
        <v>20</v>
      </c>
      <c r="W61" s="5">
        <v>0.5</v>
      </c>
      <c r="X61" s="5" t="s">
        <v>9</v>
      </c>
      <c r="Y61" s="5">
        <v>9</v>
      </c>
      <c r="Z61" s="5"/>
      <c r="AA61" s="5" t="s">
        <v>57</v>
      </c>
      <c r="AB61" s="5" t="s">
        <v>355</v>
      </c>
      <c r="AC61" s="5" t="b">
        <v>0</v>
      </c>
      <c r="AD61" s="5"/>
      <c r="AE61" s="5"/>
      <c r="AF61" s="5"/>
      <c r="AG61" s="5">
        <v>20</v>
      </c>
      <c r="AH61" s="5"/>
      <c r="AI61" s="5">
        <v>91</v>
      </c>
      <c r="AJ61" s="5"/>
      <c r="AK61" s="5" t="s">
        <v>996</v>
      </c>
      <c r="AL61" s="5">
        <v>2</v>
      </c>
      <c r="AM61" s="5"/>
      <c r="AN61" s="5">
        <v>10</v>
      </c>
      <c r="AO61" s="5"/>
      <c r="AP61" s="5">
        <v>0</v>
      </c>
      <c r="AQ61" s="5"/>
      <c r="AR61" s="5">
        <v>0</v>
      </c>
      <c r="AS61" s="5"/>
      <c r="AT61" s="5" t="s">
        <v>997</v>
      </c>
      <c r="AU61" s="5" t="s">
        <v>998</v>
      </c>
      <c r="AV61" s="5" t="s">
        <v>999</v>
      </c>
      <c r="AW61" s="8" t="str">
        <f>IFERROR(VLOOKUP(AA61,'Message Lookup'!D:J,7,FALSE),"")</f>
        <v>DQ-303 Corrected Density C3/C5 Alarm HiHi Latched</v>
      </c>
    </row>
    <row r="62" spans="1:49" x14ac:dyDescent="0.25">
      <c r="A62" s="5" t="s">
        <v>4574</v>
      </c>
      <c r="B62" s="5" t="s">
        <v>992</v>
      </c>
      <c r="C62" s="5" t="s">
        <v>4575</v>
      </c>
      <c r="D62" s="5"/>
      <c r="E62" s="5"/>
      <c r="F62" s="5"/>
      <c r="G62" s="5"/>
      <c r="H62" s="5"/>
      <c r="I62" s="5"/>
      <c r="J62" s="5"/>
      <c r="K62" s="5" t="s">
        <v>993</v>
      </c>
      <c r="L62" s="5" t="s">
        <v>994</v>
      </c>
      <c r="M62" s="5" t="s">
        <v>4576</v>
      </c>
      <c r="N62" s="5">
        <v>41</v>
      </c>
      <c r="O62" s="5"/>
      <c r="P62" s="5" t="s">
        <v>995</v>
      </c>
      <c r="Q62" s="5">
        <v>36</v>
      </c>
      <c r="R62" s="5">
        <v>24</v>
      </c>
      <c r="S62" s="5">
        <v>4</v>
      </c>
      <c r="T62" s="5">
        <v>0</v>
      </c>
      <c r="U62" s="5" t="b">
        <v>0</v>
      </c>
      <c r="V62" s="5">
        <v>20</v>
      </c>
      <c r="W62" s="5">
        <v>0.5</v>
      </c>
      <c r="X62" s="5" t="s">
        <v>9</v>
      </c>
      <c r="Y62" s="5">
        <v>9</v>
      </c>
      <c r="Z62" s="5"/>
      <c r="AA62" s="5" t="s">
        <v>58</v>
      </c>
      <c r="AB62" s="5" t="s">
        <v>356</v>
      </c>
      <c r="AC62" s="5" t="b">
        <v>0</v>
      </c>
      <c r="AD62" s="5"/>
      <c r="AE62" s="5"/>
      <c r="AF62" s="5"/>
      <c r="AG62" s="5">
        <v>20</v>
      </c>
      <c r="AH62" s="5"/>
      <c r="AI62" s="5">
        <v>91</v>
      </c>
      <c r="AJ62" s="5"/>
      <c r="AK62" s="5" t="s">
        <v>996</v>
      </c>
      <c r="AL62" s="5">
        <v>2</v>
      </c>
      <c r="AM62" s="5"/>
      <c r="AN62" s="5">
        <v>10</v>
      </c>
      <c r="AO62" s="5"/>
      <c r="AP62" s="5">
        <v>0</v>
      </c>
      <c r="AQ62" s="5"/>
      <c r="AR62" s="5">
        <v>0</v>
      </c>
      <c r="AS62" s="5"/>
      <c r="AT62" s="5" t="s">
        <v>997</v>
      </c>
      <c r="AU62" s="5" t="s">
        <v>998</v>
      </c>
      <c r="AV62" s="5" t="s">
        <v>999</v>
      </c>
      <c r="AW62" s="8" t="str">
        <f>IFERROR(VLOOKUP(AA62,'Message Lookup'!D:J,7,FALSE),"")</f>
        <v>DQ-303 Corrected Density C3/C5 Alarm Hi Latched</v>
      </c>
    </row>
    <row r="63" spans="1:49" x14ac:dyDescent="0.25">
      <c r="A63" s="5" t="s">
        <v>4574</v>
      </c>
      <c r="B63" s="5" t="s">
        <v>992</v>
      </c>
      <c r="C63" s="5" t="s">
        <v>4575</v>
      </c>
      <c r="D63" s="5"/>
      <c r="E63" s="5"/>
      <c r="F63" s="5"/>
      <c r="G63" s="5"/>
      <c r="H63" s="5"/>
      <c r="I63" s="5"/>
      <c r="J63" s="5"/>
      <c r="K63" s="5" t="s">
        <v>993</v>
      </c>
      <c r="L63" s="5" t="s">
        <v>994</v>
      </c>
      <c r="M63" s="5" t="s">
        <v>4576</v>
      </c>
      <c r="N63" s="5">
        <v>41</v>
      </c>
      <c r="O63" s="5"/>
      <c r="P63" s="5" t="s">
        <v>995</v>
      </c>
      <c r="Q63" s="5">
        <v>36</v>
      </c>
      <c r="R63" s="5">
        <v>24</v>
      </c>
      <c r="S63" s="5">
        <v>4</v>
      </c>
      <c r="T63" s="5">
        <v>0</v>
      </c>
      <c r="U63" s="5" t="b">
        <v>0</v>
      </c>
      <c r="V63" s="5">
        <v>20</v>
      </c>
      <c r="W63" s="5">
        <v>0.5</v>
      </c>
      <c r="X63" s="5" t="s">
        <v>9</v>
      </c>
      <c r="Y63" s="5">
        <v>9</v>
      </c>
      <c r="Z63" s="5"/>
      <c r="AA63" s="5" t="s">
        <v>59</v>
      </c>
      <c r="AB63" s="5" t="s">
        <v>357</v>
      </c>
      <c r="AC63" s="5" t="b">
        <v>0</v>
      </c>
      <c r="AD63" s="5"/>
      <c r="AE63" s="5"/>
      <c r="AF63" s="5"/>
      <c r="AG63" s="5">
        <v>20</v>
      </c>
      <c r="AH63" s="5"/>
      <c r="AI63" s="5">
        <v>91</v>
      </c>
      <c r="AJ63" s="5"/>
      <c r="AK63" s="5" t="s">
        <v>996</v>
      </c>
      <c r="AL63" s="5">
        <v>2</v>
      </c>
      <c r="AM63" s="5"/>
      <c r="AN63" s="5">
        <v>10</v>
      </c>
      <c r="AO63" s="5"/>
      <c r="AP63" s="5">
        <v>0</v>
      </c>
      <c r="AQ63" s="5"/>
      <c r="AR63" s="5">
        <v>0</v>
      </c>
      <c r="AS63" s="5"/>
      <c r="AT63" s="5" t="s">
        <v>997</v>
      </c>
      <c r="AU63" s="5" t="s">
        <v>998</v>
      </c>
      <c r="AV63" s="5" t="s">
        <v>999</v>
      </c>
      <c r="AW63" s="8" t="str">
        <f>IFERROR(VLOOKUP(AA63,'Message Lookup'!D:J,7,FALSE),"")</f>
        <v>DQ-303 Corrected Density C3/C5 Alarm Lo Condition</v>
      </c>
    </row>
    <row r="64" spans="1:49" x14ac:dyDescent="0.25">
      <c r="A64" s="5" t="s">
        <v>4574</v>
      </c>
      <c r="B64" s="5" t="s">
        <v>992</v>
      </c>
      <c r="C64" s="5" t="s">
        <v>4575</v>
      </c>
      <c r="D64" s="5"/>
      <c r="E64" s="5"/>
      <c r="F64" s="5"/>
      <c r="G64" s="5"/>
      <c r="H64" s="5"/>
      <c r="I64" s="5"/>
      <c r="J64" s="5"/>
      <c r="K64" s="5" t="s">
        <v>993</v>
      </c>
      <c r="L64" s="5" t="s">
        <v>994</v>
      </c>
      <c r="M64" s="5" t="s">
        <v>4576</v>
      </c>
      <c r="N64" s="5">
        <v>41</v>
      </c>
      <c r="O64" s="5"/>
      <c r="P64" s="5" t="s">
        <v>995</v>
      </c>
      <c r="Q64" s="5">
        <v>36</v>
      </c>
      <c r="R64" s="5">
        <v>24</v>
      </c>
      <c r="S64" s="5">
        <v>4</v>
      </c>
      <c r="T64" s="5">
        <v>0</v>
      </c>
      <c r="U64" s="5" t="b">
        <v>0</v>
      </c>
      <c r="V64" s="5">
        <v>20</v>
      </c>
      <c r="W64" s="5">
        <v>0.5</v>
      </c>
      <c r="X64" s="5" t="s">
        <v>9</v>
      </c>
      <c r="Y64" s="5">
        <v>9</v>
      </c>
      <c r="Z64" s="5"/>
      <c r="AA64" s="5" t="s">
        <v>60</v>
      </c>
      <c r="AB64" s="5" t="s">
        <v>358</v>
      </c>
      <c r="AC64" s="5" t="b">
        <v>0</v>
      </c>
      <c r="AD64" s="5"/>
      <c r="AE64" s="5"/>
      <c r="AF64" s="5"/>
      <c r="AG64" s="5">
        <v>20</v>
      </c>
      <c r="AH64" s="5"/>
      <c r="AI64" s="5">
        <v>91</v>
      </c>
      <c r="AJ64" s="5"/>
      <c r="AK64" s="5" t="s">
        <v>996</v>
      </c>
      <c r="AL64" s="5">
        <v>2</v>
      </c>
      <c r="AM64" s="5"/>
      <c r="AN64" s="5">
        <v>10</v>
      </c>
      <c r="AO64" s="5"/>
      <c r="AP64" s="5">
        <v>0</v>
      </c>
      <c r="AQ64" s="5"/>
      <c r="AR64" s="5">
        <v>0</v>
      </c>
      <c r="AS64" s="5"/>
      <c r="AT64" s="5" t="s">
        <v>997</v>
      </c>
      <c r="AU64" s="5" t="s">
        <v>998</v>
      </c>
      <c r="AV64" s="5" t="s">
        <v>999</v>
      </c>
      <c r="AW64" s="8" t="str">
        <f>IFERROR(VLOOKUP(AA64,'Message Lookup'!D:J,7,FALSE),"")</f>
        <v>DQ-303 Corrected Density C3/C5 Alarm LoLo Latched</v>
      </c>
    </row>
    <row r="65" spans="1:49" x14ac:dyDescent="0.25">
      <c r="A65" s="5" t="s">
        <v>4574</v>
      </c>
      <c r="B65" s="5" t="s">
        <v>992</v>
      </c>
      <c r="C65" s="5" t="s">
        <v>4575</v>
      </c>
      <c r="D65" s="5"/>
      <c r="E65" s="5"/>
      <c r="F65" s="5"/>
      <c r="G65" s="5"/>
      <c r="H65" s="5"/>
      <c r="I65" s="5"/>
      <c r="J65" s="5"/>
      <c r="K65" s="5" t="s">
        <v>993</v>
      </c>
      <c r="L65" s="5" t="s">
        <v>994</v>
      </c>
      <c r="M65" s="5" t="s">
        <v>4576</v>
      </c>
      <c r="N65" s="5">
        <v>41</v>
      </c>
      <c r="O65" s="5"/>
      <c r="P65" s="5" t="s">
        <v>995</v>
      </c>
      <c r="Q65" s="5">
        <v>36</v>
      </c>
      <c r="R65" s="5">
        <v>24</v>
      </c>
      <c r="S65" s="5">
        <v>4</v>
      </c>
      <c r="T65" s="5">
        <v>0</v>
      </c>
      <c r="U65" s="5" t="b">
        <v>0</v>
      </c>
      <c r="V65" s="5">
        <v>20</v>
      </c>
      <c r="W65" s="5">
        <v>0.5</v>
      </c>
      <c r="X65" s="5" t="s">
        <v>9</v>
      </c>
      <c r="Y65" s="5">
        <v>9</v>
      </c>
      <c r="Z65" s="5"/>
      <c r="AA65" s="5" t="s">
        <v>61</v>
      </c>
      <c r="AB65" s="5" t="s">
        <v>359</v>
      </c>
      <c r="AC65" s="5" t="b">
        <v>0</v>
      </c>
      <c r="AD65" s="5"/>
      <c r="AE65" s="5"/>
      <c r="AF65" s="5"/>
      <c r="AG65" s="5">
        <v>20</v>
      </c>
      <c r="AH65" s="5"/>
      <c r="AI65" s="5">
        <v>91</v>
      </c>
      <c r="AJ65" s="5"/>
      <c r="AK65" s="5" t="s">
        <v>996</v>
      </c>
      <c r="AL65" s="5">
        <v>2</v>
      </c>
      <c r="AM65" s="5"/>
      <c r="AN65" s="5">
        <v>10</v>
      </c>
      <c r="AO65" s="5"/>
      <c r="AP65" s="5">
        <v>0</v>
      </c>
      <c r="AQ65" s="5"/>
      <c r="AR65" s="5">
        <v>0</v>
      </c>
      <c r="AS65" s="5"/>
      <c r="AT65" s="5" t="s">
        <v>997</v>
      </c>
      <c r="AU65" s="5" t="s">
        <v>998</v>
      </c>
      <c r="AV65" s="5" t="s">
        <v>999</v>
      </c>
      <c r="AW65" s="8" t="str">
        <f>IFERROR(VLOOKUP(AA65,'Message Lookup'!D:J,7,FALSE),"")</f>
        <v>DQ-303 Corrected Density C3/C5 Alarm Malfunction Latched</v>
      </c>
    </row>
    <row r="66" spans="1:49" x14ac:dyDescent="0.25">
      <c r="A66" s="5" t="s">
        <v>4574</v>
      </c>
      <c r="B66" s="5" t="s">
        <v>992</v>
      </c>
      <c r="C66" s="5" t="s">
        <v>4575</v>
      </c>
      <c r="D66" s="5"/>
      <c r="E66" s="5"/>
      <c r="F66" s="5"/>
      <c r="G66" s="5"/>
      <c r="H66" s="5"/>
      <c r="I66" s="5"/>
      <c r="J66" s="5"/>
      <c r="K66" s="5" t="s">
        <v>993</v>
      </c>
      <c r="L66" s="5" t="s">
        <v>994</v>
      </c>
      <c r="M66" s="5" t="s">
        <v>4576</v>
      </c>
      <c r="N66" s="5">
        <v>41</v>
      </c>
      <c r="O66" s="5"/>
      <c r="P66" s="5" t="s">
        <v>995</v>
      </c>
      <c r="Q66" s="5">
        <v>36</v>
      </c>
      <c r="R66" s="5">
        <v>24</v>
      </c>
      <c r="S66" s="5">
        <v>4</v>
      </c>
      <c r="T66" s="5">
        <v>0</v>
      </c>
      <c r="U66" s="5" t="b">
        <v>0</v>
      </c>
      <c r="V66" s="5">
        <v>20</v>
      </c>
      <c r="W66" s="5">
        <v>0.5</v>
      </c>
      <c r="X66" s="5" t="s">
        <v>9</v>
      </c>
      <c r="Y66" s="5">
        <v>9</v>
      </c>
      <c r="Z66" s="5"/>
      <c r="AA66" s="5" t="s">
        <v>62</v>
      </c>
      <c r="AB66" s="5" t="s">
        <v>360</v>
      </c>
      <c r="AC66" s="5" t="b">
        <v>0</v>
      </c>
      <c r="AD66" s="5"/>
      <c r="AE66" s="5"/>
      <c r="AF66" s="5"/>
      <c r="AG66" s="5">
        <v>20</v>
      </c>
      <c r="AH66" s="5"/>
      <c r="AI66" s="5">
        <v>91</v>
      </c>
      <c r="AJ66" s="5"/>
      <c r="AK66" s="5" t="s">
        <v>996</v>
      </c>
      <c r="AL66" s="5">
        <v>2</v>
      </c>
      <c r="AM66" s="5"/>
      <c r="AN66" s="5">
        <v>10</v>
      </c>
      <c r="AO66" s="5"/>
      <c r="AP66" s="5">
        <v>0</v>
      </c>
      <c r="AQ66" s="5"/>
      <c r="AR66" s="5">
        <v>0</v>
      </c>
      <c r="AS66" s="5"/>
      <c r="AT66" s="5" t="s">
        <v>997</v>
      </c>
      <c r="AU66" s="5" t="s">
        <v>998</v>
      </c>
      <c r="AV66" s="5" t="s">
        <v>999</v>
      </c>
      <c r="AW66" s="8" t="str">
        <f>IFERROR(VLOOKUP(AA66,'Message Lookup'!D:J,7,FALSE),"")</f>
        <v>FQ-100 Corrected Net Volume MSO Meter 100 Alarm HiHi Latched</v>
      </c>
    </row>
    <row r="67" spans="1:49" x14ac:dyDescent="0.25">
      <c r="A67" s="5" t="s">
        <v>4574</v>
      </c>
      <c r="B67" s="5" t="s">
        <v>992</v>
      </c>
      <c r="C67" s="5" t="s">
        <v>4575</v>
      </c>
      <c r="D67" s="5"/>
      <c r="E67" s="5"/>
      <c r="F67" s="5"/>
      <c r="G67" s="5"/>
      <c r="H67" s="5"/>
      <c r="I67" s="5"/>
      <c r="J67" s="5"/>
      <c r="K67" s="5" t="s">
        <v>993</v>
      </c>
      <c r="L67" s="5" t="s">
        <v>994</v>
      </c>
      <c r="M67" s="5" t="s">
        <v>4576</v>
      </c>
      <c r="N67" s="5">
        <v>41</v>
      </c>
      <c r="O67" s="5"/>
      <c r="P67" s="5" t="s">
        <v>995</v>
      </c>
      <c r="Q67" s="5">
        <v>36</v>
      </c>
      <c r="R67" s="5">
        <v>24</v>
      </c>
      <c r="S67" s="5">
        <v>4</v>
      </c>
      <c r="T67" s="5">
        <v>0</v>
      </c>
      <c r="U67" s="5" t="b">
        <v>0</v>
      </c>
      <c r="V67" s="5">
        <v>20</v>
      </c>
      <c r="W67" s="5">
        <v>0.5</v>
      </c>
      <c r="X67" s="5" t="s">
        <v>9</v>
      </c>
      <c r="Y67" s="5">
        <v>9</v>
      </c>
      <c r="Z67" s="5"/>
      <c r="AA67" s="5" t="s">
        <v>63</v>
      </c>
      <c r="AB67" s="5" t="s">
        <v>361</v>
      </c>
      <c r="AC67" s="5" t="b">
        <v>0</v>
      </c>
      <c r="AD67" s="5"/>
      <c r="AE67" s="5"/>
      <c r="AF67" s="5"/>
      <c r="AG67" s="5">
        <v>20</v>
      </c>
      <c r="AH67" s="5"/>
      <c r="AI67" s="5">
        <v>91</v>
      </c>
      <c r="AJ67" s="5"/>
      <c r="AK67" s="5" t="s">
        <v>996</v>
      </c>
      <c r="AL67" s="5">
        <v>2</v>
      </c>
      <c r="AM67" s="5"/>
      <c r="AN67" s="5">
        <v>10</v>
      </c>
      <c r="AO67" s="5"/>
      <c r="AP67" s="5">
        <v>0</v>
      </c>
      <c r="AQ67" s="5"/>
      <c r="AR67" s="5">
        <v>0</v>
      </c>
      <c r="AS67" s="5"/>
      <c r="AT67" s="5" t="s">
        <v>997</v>
      </c>
      <c r="AU67" s="5" t="s">
        <v>998</v>
      </c>
      <c r="AV67" s="5" t="s">
        <v>999</v>
      </c>
      <c r="AW67" s="8" t="str">
        <f>IFERROR(VLOOKUP(AA67,'Message Lookup'!D:J,7,FALSE),"")</f>
        <v>FQ-100 Corrected Net Volume MSO Meter 100 Alarm Hi Latched</v>
      </c>
    </row>
    <row r="68" spans="1:49" x14ac:dyDescent="0.25">
      <c r="A68" s="5" t="s">
        <v>4574</v>
      </c>
      <c r="B68" s="5" t="s">
        <v>992</v>
      </c>
      <c r="C68" s="5" t="s">
        <v>4575</v>
      </c>
      <c r="D68" s="5"/>
      <c r="E68" s="5"/>
      <c r="F68" s="5"/>
      <c r="G68" s="5"/>
      <c r="H68" s="5"/>
      <c r="I68" s="5"/>
      <c r="J68" s="5"/>
      <c r="K68" s="5" t="s">
        <v>993</v>
      </c>
      <c r="L68" s="5" t="s">
        <v>994</v>
      </c>
      <c r="M68" s="5" t="s">
        <v>4576</v>
      </c>
      <c r="N68" s="5">
        <v>41</v>
      </c>
      <c r="O68" s="5"/>
      <c r="P68" s="5" t="s">
        <v>995</v>
      </c>
      <c r="Q68" s="5">
        <v>36</v>
      </c>
      <c r="R68" s="5">
        <v>24</v>
      </c>
      <c r="S68" s="5">
        <v>4</v>
      </c>
      <c r="T68" s="5">
        <v>0</v>
      </c>
      <c r="U68" s="5" t="b">
        <v>0</v>
      </c>
      <c r="V68" s="5">
        <v>20</v>
      </c>
      <c r="W68" s="5">
        <v>0.5</v>
      </c>
      <c r="X68" s="5" t="s">
        <v>9</v>
      </c>
      <c r="Y68" s="5">
        <v>9</v>
      </c>
      <c r="Z68" s="5"/>
      <c r="AA68" s="5" t="s">
        <v>64</v>
      </c>
      <c r="AB68" s="5" t="s">
        <v>362</v>
      </c>
      <c r="AC68" s="5" t="b">
        <v>0</v>
      </c>
      <c r="AD68" s="5"/>
      <c r="AE68" s="5"/>
      <c r="AF68" s="5"/>
      <c r="AG68" s="5">
        <v>20</v>
      </c>
      <c r="AH68" s="5"/>
      <c r="AI68" s="5">
        <v>91</v>
      </c>
      <c r="AJ68" s="5"/>
      <c r="AK68" s="5" t="s">
        <v>996</v>
      </c>
      <c r="AL68" s="5">
        <v>2</v>
      </c>
      <c r="AM68" s="5"/>
      <c r="AN68" s="5">
        <v>10</v>
      </c>
      <c r="AO68" s="5"/>
      <c r="AP68" s="5">
        <v>0</v>
      </c>
      <c r="AQ68" s="5"/>
      <c r="AR68" s="5">
        <v>0</v>
      </c>
      <c r="AS68" s="5"/>
      <c r="AT68" s="5" t="s">
        <v>997</v>
      </c>
      <c r="AU68" s="5" t="s">
        <v>998</v>
      </c>
      <c r="AV68" s="5" t="s">
        <v>999</v>
      </c>
      <c r="AW68" s="8" t="str">
        <f>IFERROR(VLOOKUP(AA68,'Message Lookup'!D:J,7,FALSE),"")</f>
        <v>FQ-100 Corrected Net Volume MSO Meter 100 Alarm Lo Condition</v>
      </c>
    </row>
    <row r="69" spans="1:49" x14ac:dyDescent="0.25">
      <c r="A69" s="5" t="s">
        <v>4574</v>
      </c>
      <c r="B69" s="5" t="s">
        <v>992</v>
      </c>
      <c r="C69" s="5" t="s">
        <v>4575</v>
      </c>
      <c r="D69" s="5"/>
      <c r="E69" s="5"/>
      <c r="F69" s="5"/>
      <c r="G69" s="5"/>
      <c r="H69" s="5"/>
      <c r="I69" s="5"/>
      <c r="J69" s="5"/>
      <c r="K69" s="5" t="s">
        <v>993</v>
      </c>
      <c r="L69" s="5" t="s">
        <v>994</v>
      </c>
      <c r="M69" s="5" t="s">
        <v>4576</v>
      </c>
      <c r="N69" s="5">
        <v>41</v>
      </c>
      <c r="O69" s="5"/>
      <c r="P69" s="5" t="s">
        <v>995</v>
      </c>
      <c r="Q69" s="5">
        <v>36</v>
      </c>
      <c r="R69" s="5">
        <v>24</v>
      </c>
      <c r="S69" s="5">
        <v>4</v>
      </c>
      <c r="T69" s="5">
        <v>0</v>
      </c>
      <c r="U69" s="5" t="b">
        <v>0</v>
      </c>
      <c r="V69" s="5">
        <v>20</v>
      </c>
      <c r="W69" s="5">
        <v>0.5</v>
      </c>
      <c r="X69" s="5" t="s">
        <v>9</v>
      </c>
      <c r="Y69" s="5">
        <v>9</v>
      </c>
      <c r="Z69" s="5"/>
      <c r="AA69" s="5" t="s">
        <v>65</v>
      </c>
      <c r="AB69" s="5" t="s">
        <v>363</v>
      </c>
      <c r="AC69" s="5" t="b">
        <v>0</v>
      </c>
      <c r="AD69" s="5"/>
      <c r="AE69" s="5"/>
      <c r="AF69" s="5"/>
      <c r="AG69" s="5">
        <v>20</v>
      </c>
      <c r="AH69" s="5"/>
      <c r="AI69" s="5">
        <v>91</v>
      </c>
      <c r="AJ69" s="5"/>
      <c r="AK69" s="5" t="s">
        <v>996</v>
      </c>
      <c r="AL69" s="5">
        <v>2</v>
      </c>
      <c r="AM69" s="5"/>
      <c r="AN69" s="5">
        <v>10</v>
      </c>
      <c r="AO69" s="5"/>
      <c r="AP69" s="5">
        <v>0</v>
      </c>
      <c r="AQ69" s="5"/>
      <c r="AR69" s="5">
        <v>0</v>
      </c>
      <c r="AS69" s="5"/>
      <c r="AT69" s="5" t="s">
        <v>997</v>
      </c>
      <c r="AU69" s="5" t="s">
        <v>998</v>
      </c>
      <c r="AV69" s="5" t="s">
        <v>999</v>
      </c>
      <c r="AW69" s="8" t="str">
        <f>IFERROR(VLOOKUP(AA69,'Message Lookup'!D:J,7,FALSE),"")</f>
        <v>FQ-100 Corrected Net Volume MSO Meter 100 Alarm LoLo Latched</v>
      </c>
    </row>
    <row r="70" spans="1:49" x14ac:dyDescent="0.25">
      <c r="A70" s="5" t="s">
        <v>4574</v>
      </c>
      <c r="B70" s="5" t="s">
        <v>992</v>
      </c>
      <c r="C70" s="5" t="s">
        <v>4575</v>
      </c>
      <c r="D70" s="5"/>
      <c r="E70" s="5"/>
      <c r="F70" s="5"/>
      <c r="G70" s="5"/>
      <c r="H70" s="5"/>
      <c r="I70" s="5"/>
      <c r="J70" s="5"/>
      <c r="K70" s="5" t="s">
        <v>993</v>
      </c>
      <c r="L70" s="5" t="s">
        <v>994</v>
      </c>
      <c r="M70" s="5" t="s">
        <v>4576</v>
      </c>
      <c r="N70" s="5">
        <v>41</v>
      </c>
      <c r="O70" s="5"/>
      <c r="P70" s="5" t="s">
        <v>995</v>
      </c>
      <c r="Q70" s="5">
        <v>36</v>
      </c>
      <c r="R70" s="5">
        <v>24</v>
      </c>
      <c r="S70" s="5">
        <v>4</v>
      </c>
      <c r="T70" s="5">
        <v>0</v>
      </c>
      <c r="U70" s="5" t="b">
        <v>0</v>
      </c>
      <c r="V70" s="5">
        <v>20</v>
      </c>
      <c r="W70" s="5">
        <v>0.5</v>
      </c>
      <c r="X70" s="5" t="s">
        <v>9</v>
      </c>
      <c r="Y70" s="5">
        <v>9</v>
      </c>
      <c r="Z70" s="5"/>
      <c r="AA70" s="5" t="s">
        <v>66</v>
      </c>
      <c r="AB70" s="5" t="s">
        <v>364</v>
      </c>
      <c r="AC70" s="5" t="b">
        <v>0</v>
      </c>
      <c r="AD70" s="5"/>
      <c r="AE70" s="5"/>
      <c r="AF70" s="5"/>
      <c r="AG70" s="5">
        <v>20</v>
      </c>
      <c r="AH70" s="5"/>
      <c r="AI70" s="5">
        <v>91</v>
      </c>
      <c r="AJ70" s="5"/>
      <c r="AK70" s="5" t="s">
        <v>996</v>
      </c>
      <c r="AL70" s="5">
        <v>2</v>
      </c>
      <c r="AM70" s="5"/>
      <c r="AN70" s="5">
        <v>10</v>
      </c>
      <c r="AO70" s="5"/>
      <c r="AP70" s="5">
        <v>0</v>
      </c>
      <c r="AQ70" s="5"/>
      <c r="AR70" s="5">
        <v>0</v>
      </c>
      <c r="AS70" s="5"/>
      <c r="AT70" s="5" t="s">
        <v>997</v>
      </c>
      <c r="AU70" s="5" t="s">
        <v>998</v>
      </c>
      <c r="AV70" s="5" t="s">
        <v>999</v>
      </c>
      <c r="AW70" s="8" t="str">
        <f>IFERROR(VLOOKUP(AA70,'Message Lookup'!D:J,7,FALSE),"")</f>
        <v>FQ-100 Corrected Net Volume MSO Meter 100 Alarm Malfunction Latched</v>
      </c>
    </row>
    <row r="71" spans="1:49" x14ac:dyDescent="0.25">
      <c r="A71" s="5" t="s">
        <v>4574</v>
      </c>
      <c r="B71" s="5" t="s">
        <v>992</v>
      </c>
      <c r="C71" s="5" t="s">
        <v>4575</v>
      </c>
      <c r="D71" s="5"/>
      <c r="E71" s="5"/>
      <c r="F71" s="5"/>
      <c r="G71" s="5"/>
      <c r="H71" s="5"/>
      <c r="I71" s="5"/>
      <c r="J71" s="5"/>
      <c r="K71" s="5" t="s">
        <v>993</v>
      </c>
      <c r="L71" s="5" t="s">
        <v>994</v>
      </c>
      <c r="M71" s="5" t="s">
        <v>4576</v>
      </c>
      <c r="N71" s="5">
        <v>41</v>
      </c>
      <c r="O71" s="5"/>
      <c r="P71" s="5" t="s">
        <v>995</v>
      </c>
      <c r="Q71" s="5">
        <v>36</v>
      </c>
      <c r="R71" s="5">
        <v>24</v>
      </c>
      <c r="S71" s="5">
        <v>4</v>
      </c>
      <c r="T71" s="5">
        <v>0</v>
      </c>
      <c r="U71" s="5" t="b">
        <v>0</v>
      </c>
      <c r="V71" s="5">
        <v>20</v>
      </c>
      <c r="W71" s="5">
        <v>0.5</v>
      </c>
      <c r="X71" s="5" t="s">
        <v>9</v>
      </c>
      <c r="Y71" s="5">
        <v>9</v>
      </c>
      <c r="Z71" s="5"/>
      <c r="AA71" s="5" t="s">
        <v>67</v>
      </c>
      <c r="AB71" s="5" t="s">
        <v>365</v>
      </c>
      <c r="AC71" s="5" t="b">
        <v>0</v>
      </c>
      <c r="AD71" s="5"/>
      <c r="AE71" s="5"/>
      <c r="AF71" s="5"/>
      <c r="AG71" s="5">
        <v>20</v>
      </c>
      <c r="AH71" s="5"/>
      <c r="AI71" s="5">
        <v>91</v>
      </c>
      <c r="AJ71" s="5"/>
      <c r="AK71" s="5" t="s">
        <v>996</v>
      </c>
      <c r="AL71" s="5">
        <v>2</v>
      </c>
      <c r="AM71" s="5"/>
      <c r="AN71" s="5">
        <v>10</v>
      </c>
      <c r="AO71" s="5"/>
      <c r="AP71" s="5">
        <v>0</v>
      </c>
      <c r="AQ71" s="5"/>
      <c r="AR71" s="5">
        <v>0</v>
      </c>
      <c r="AS71" s="5"/>
      <c r="AT71" s="5" t="s">
        <v>997</v>
      </c>
      <c r="AU71" s="5" t="s">
        <v>998</v>
      </c>
      <c r="AV71" s="5" t="s">
        <v>999</v>
      </c>
      <c r="AW71" s="8" t="str">
        <f>IFERROR(VLOOKUP(AA71,'Message Lookup'!D:J,7,FALSE),"")</f>
        <v>FQ-200 Corrected Net Volume MSO Meter 200 Alarm HiHi Latched</v>
      </c>
    </row>
    <row r="72" spans="1:49" x14ac:dyDescent="0.25">
      <c r="A72" s="5" t="s">
        <v>4574</v>
      </c>
      <c r="B72" s="5" t="s">
        <v>992</v>
      </c>
      <c r="C72" s="5" t="s">
        <v>4575</v>
      </c>
      <c r="D72" s="5"/>
      <c r="E72" s="5"/>
      <c r="F72" s="5"/>
      <c r="G72" s="5"/>
      <c r="H72" s="5"/>
      <c r="I72" s="5"/>
      <c r="J72" s="5"/>
      <c r="K72" s="5" t="s">
        <v>993</v>
      </c>
      <c r="L72" s="5" t="s">
        <v>994</v>
      </c>
      <c r="M72" s="5" t="s">
        <v>4576</v>
      </c>
      <c r="N72" s="5">
        <v>41</v>
      </c>
      <c r="O72" s="5"/>
      <c r="P72" s="5" t="s">
        <v>995</v>
      </c>
      <c r="Q72" s="5">
        <v>36</v>
      </c>
      <c r="R72" s="5">
        <v>24</v>
      </c>
      <c r="S72" s="5">
        <v>4</v>
      </c>
      <c r="T72" s="5">
        <v>0</v>
      </c>
      <c r="U72" s="5" t="b">
        <v>0</v>
      </c>
      <c r="V72" s="5">
        <v>20</v>
      </c>
      <c r="W72" s="5">
        <v>0.5</v>
      </c>
      <c r="X72" s="5" t="s">
        <v>9</v>
      </c>
      <c r="Y72" s="5">
        <v>9</v>
      </c>
      <c r="Z72" s="5"/>
      <c r="AA72" s="5" t="s">
        <v>68</v>
      </c>
      <c r="AB72" s="5" t="s">
        <v>366</v>
      </c>
      <c r="AC72" s="5" t="b">
        <v>0</v>
      </c>
      <c r="AD72" s="5"/>
      <c r="AE72" s="5"/>
      <c r="AF72" s="5"/>
      <c r="AG72" s="5">
        <v>20</v>
      </c>
      <c r="AH72" s="5"/>
      <c r="AI72" s="5">
        <v>91</v>
      </c>
      <c r="AJ72" s="5"/>
      <c r="AK72" s="5" t="s">
        <v>996</v>
      </c>
      <c r="AL72" s="5">
        <v>2</v>
      </c>
      <c r="AM72" s="5"/>
      <c r="AN72" s="5">
        <v>10</v>
      </c>
      <c r="AO72" s="5"/>
      <c r="AP72" s="5">
        <v>0</v>
      </c>
      <c r="AQ72" s="5"/>
      <c r="AR72" s="5">
        <v>0</v>
      </c>
      <c r="AS72" s="5"/>
      <c r="AT72" s="5" t="s">
        <v>997</v>
      </c>
      <c r="AU72" s="5" t="s">
        <v>998</v>
      </c>
      <c r="AV72" s="5" t="s">
        <v>999</v>
      </c>
      <c r="AW72" s="8" t="str">
        <f>IFERROR(VLOOKUP(AA72,'Message Lookup'!D:J,7,FALSE),"")</f>
        <v>FQ-200 Corrected Net Volume MSO Meter 200 Alarm Hi Latched</v>
      </c>
    </row>
    <row r="73" spans="1:49" x14ac:dyDescent="0.25">
      <c r="A73" s="5" t="s">
        <v>4574</v>
      </c>
      <c r="B73" s="5" t="s">
        <v>992</v>
      </c>
      <c r="C73" s="5" t="s">
        <v>4575</v>
      </c>
      <c r="D73" s="5"/>
      <c r="E73" s="5"/>
      <c r="F73" s="5"/>
      <c r="G73" s="5"/>
      <c r="H73" s="5"/>
      <c r="I73" s="5"/>
      <c r="J73" s="5"/>
      <c r="K73" s="5" t="s">
        <v>993</v>
      </c>
      <c r="L73" s="5" t="s">
        <v>994</v>
      </c>
      <c r="M73" s="5" t="s">
        <v>4576</v>
      </c>
      <c r="N73" s="5">
        <v>41</v>
      </c>
      <c r="O73" s="5"/>
      <c r="P73" s="5" t="s">
        <v>995</v>
      </c>
      <c r="Q73" s="5">
        <v>36</v>
      </c>
      <c r="R73" s="5">
        <v>24</v>
      </c>
      <c r="S73" s="5">
        <v>4</v>
      </c>
      <c r="T73" s="5">
        <v>0</v>
      </c>
      <c r="U73" s="5" t="b">
        <v>0</v>
      </c>
      <c r="V73" s="5">
        <v>20</v>
      </c>
      <c r="W73" s="5">
        <v>0.5</v>
      </c>
      <c r="X73" s="5" t="s">
        <v>9</v>
      </c>
      <c r="Y73" s="5">
        <v>9</v>
      </c>
      <c r="Z73" s="5"/>
      <c r="AA73" s="5" t="s">
        <v>69</v>
      </c>
      <c r="AB73" s="5" t="s">
        <v>367</v>
      </c>
      <c r="AC73" s="5" t="b">
        <v>0</v>
      </c>
      <c r="AD73" s="5"/>
      <c r="AE73" s="5"/>
      <c r="AF73" s="5"/>
      <c r="AG73" s="5">
        <v>20</v>
      </c>
      <c r="AH73" s="5"/>
      <c r="AI73" s="5">
        <v>91</v>
      </c>
      <c r="AJ73" s="5"/>
      <c r="AK73" s="5" t="s">
        <v>996</v>
      </c>
      <c r="AL73" s="5">
        <v>2</v>
      </c>
      <c r="AM73" s="5"/>
      <c r="AN73" s="5">
        <v>10</v>
      </c>
      <c r="AO73" s="5"/>
      <c r="AP73" s="5">
        <v>0</v>
      </c>
      <c r="AQ73" s="5"/>
      <c r="AR73" s="5">
        <v>0</v>
      </c>
      <c r="AS73" s="5"/>
      <c r="AT73" s="5" t="s">
        <v>997</v>
      </c>
      <c r="AU73" s="5" t="s">
        <v>998</v>
      </c>
      <c r="AV73" s="5" t="s">
        <v>999</v>
      </c>
      <c r="AW73" s="8" t="str">
        <f>IFERROR(VLOOKUP(AA73,'Message Lookup'!D:J,7,FALSE),"")</f>
        <v>FQ-200 Corrected Net Volume MSO Meter 200 Alarm Lo Condition</v>
      </c>
    </row>
    <row r="74" spans="1:49" x14ac:dyDescent="0.25">
      <c r="A74" s="5" t="s">
        <v>4574</v>
      </c>
      <c r="B74" s="5" t="s">
        <v>992</v>
      </c>
      <c r="C74" s="5" t="s">
        <v>4575</v>
      </c>
      <c r="D74" s="5"/>
      <c r="E74" s="5"/>
      <c r="F74" s="5"/>
      <c r="G74" s="5"/>
      <c r="H74" s="5"/>
      <c r="I74" s="5"/>
      <c r="J74" s="5"/>
      <c r="K74" s="5" t="s">
        <v>993</v>
      </c>
      <c r="L74" s="5" t="s">
        <v>994</v>
      </c>
      <c r="M74" s="5" t="s">
        <v>4576</v>
      </c>
      <c r="N74" s="5">
        <v>41</v>
      </c>
      <c r="O74" s="5"/>
      <c r="P74" s="5" t="s">
        <v>995</v>
      </c>
      <c r="Q74" s="5">
        <v>36</v>
      </c>
      <c r="R74" s="5">
        <v>24</v>
      </c>
      <c r="S74" s="5">
        <v>4</v>
      </c>
      <c r="T74" s="5">
        <v>0</v>
      </c>
      <c r="U74" s="5" t="b">
        <v>0</v>
      </c>
      <c r="V74" s="5">
        <v>20</v>
      </c>
      <c r="W74" s="5">
        <v>0.5</v>
      </c>
      <c r="X74" s="5" t="s">
        <v>9</v>
      </c>
      <c r="Y74" s="5">
        <v>9</v>
      </c>
      <c r="Z74" s="5"/>
      <c r="AA74" s="5" t="s">
        <v>70</v>
      </c>
      <c r="AB74" s="5" t="s">
        <v>368</v>
      </c>
      <c r="AC74" s="5" t="b">
        <v>0</v>
      </c>
      <c r="AD74" s="5"/>
      <c r="AE74" s="5"/>
      <c r="AF74" s="5"/>
      <c r="AG74" s="5">
        <v>20</v>
      </c>
      <c r="AH74" s="5"/>
      <c r="AI74" s="5">
        <v>91</v>
      </c>
      <c r="AJ74" s="5"/>
      <c r="AK74" s="5" t="s">
        <v>996</v>
      </c>
      <c r="AL74" s="5">
        <v>2</v>
      </c>
      <c r="AM74" s="5"/>
      <c r="AN74" s="5">
        <v>10</v>
      </c>
      <c r="AO74" s="5"/>
      <c r="AP74" s="5">
        <v>0</v>
      </c>
      <c r="AQ74" s="5"/>
      <c r="AR74" s="5">
        <v>0</v>
      </c>
      <c r="AS74" s="5"/>
      <c r="AT74" s="5" t="s">
        <v>997</v>
      </c>
      <c r="AU74" s="5" t="s">
        <v>998</v>
      </c>
      <c r="AV74" s="5" t="s">
        <v>999</v>
      </c>
      <c r="AW74" s="8" t="str">
        <f>IFERROR(VLOOKUP(AA74,'Message Lookup'!D:J,7,FALSE),"")</f>
        <v>FQ-200 Corrected Net Volume MSO Meter 200 Alarm LoLo Latched</v>
      </c>
    </row>
    <row r="75" spans="1:49" x14ac:dyDescent="0.25">
      <c r="A75" s="5" t="s">
        <v>4574</v>
      </c>
      <c r="B75" s="5" t="s">
        <v>992</v>
      </c>
      <c r="C75" s="5" t="s">
        <v>4575</v>
      </c>
      <c r="D75" s="5"/>
      <c r="E75" s="5"/>
      <c r="F75" s="5"/>
      <c r="G75" s="5"/>
      <c r="H75" s="5"/>
      <c r="I75" s="5"/>
      <c r="J75" s="5"/>
      <c r="K75" s="5" t="s">
        <v>993</v>
      </c>
      <c r="L75" s="5" t="s">
        <v>994</v>
      </c>
      <c r="M75" s="5" t="s">
        <v>4576</v>
      </c>
      <c r="N75" s="5">
        <v>41</v>
      </c>
      <c r="O75" s="5"/>
      <c r="P75" s="5" t="s">
        <v>995</v>
      </c>
      <c r="Q75" s="5">
        <v>36</v>
      </c>
      <c r="R75" s="5">
        <v>24</v>
      </c>
      <c r="S75" s="5">
        <v>4</v>
      </c>
      <c r="T75" s="5">
        <v>0</v>
      </c>
      <c r="U75" s="5" t="b">
        <v>0</v>
      </c>
      <c r="V75" s="5">
        <v>20</v>
      </c>
      <c r="W75" s="5">
        <v>0.5</v>
      </c>
      <c r="X75" s="5" t="s">
        <v>9</v>
      </c>
      <c r="Y75" s="5">
        <v>9</v>
      </c>
      <c r="Z75" s="5"/>
      <c r="AA75" s="5" t="s">
        <v>71</v>
      </c>
      <c r="AB75" s="5" t="s">
        <v>369</v>
      </c>
      <c r="AC75" s="5" t="b">
        <v>0</v>
      </c>
      <c r="AD75" s="5"/>
      <c r="AE75" s="5"/>
      <c r="AF75" s="5"/>
      <c r="AG75" s="5">
        <v>20</v>
      </c>
      <c r="AH75" s="5"/>
      <c r="AI75" s="5">
        <v>91</v>
      </c>
      <c r="AJ75" s="5"/>
      <c r="AK75" s="5" t="s">
        <v>996</v>
      </c>
      <c r="AL75" s="5">
        <v>2</v>
      </c>
      <c r="AM75" s="5"/>
      <c r="AN75" s="5">
        <v>10</v>
      </c>
      <c r="AO75" s="5"/>
      <c r="AP75" s="5">
        <v>0</v>
      </c>
      <c r="AQ75" s="5"/>
      <c r="AR75" s="5">
        <v>0</v>
      </c>
      <c r="AS75" s="5"/>
      <c r="AT75" s="5" t="s">
        <v>997</v>
      </c>
      <c r="AU75" s="5" t="s">
        <v>998</v>
      </c>
      <c r="AV75" s="5" t="s">
        <v>999</v>
      </c>
      <c r="AW75" s="8" t="str">
        <f>IFERROR(VLOOKUP(AA75,'Message Lookup'!D:J,7,FALSE),"")</f>
        <v>FQ-200 Corrected Net Volume MSO Meter 200 Alarm Malfunction Latched</v>
      </c>
    </row>
    <row r="76" spans="1:49" x14ac:dyDescent="0.25">
      <c r="A76" s="5" t="s">
        <v>4574</v>
      </c>
      <c r="B76" s="5" t="s">
        <v>992</v>
      </c>
      <c r="C76" s="5" t="s">
        <v>4575</v>
      </c>
      <c r="D76" s="5"/>
      <c r="E76" s="5"/>
      <c r="F76" s="5"/>
      <c r="G76" s="5"/>
      <c r="H76" s="5"/>
      <c r="I76" s="5"/>
      <c r="J76" s="5"/>
      <c r="K76" s="5" t="s">
        <v>993</v>
      </c>
      <c r="L76" s="5" t="s">
        <v>994</v>
      </c>
      <c r="M76" s="5" t="s">
        <v>4576</v>
      </c>
      <c r="N76" s="5">
        <v>41</v>
      </c>
      <c r="O76" s="5"/>
      <c r="P76" s="5" t="s">
        <v>995</v>
      </c>
      <c r="Q76" s="5">
        <v>36</v>
      </c>
      <c r="R76" s="5">
        <v>24</v>
      </c>
      <c r="S76" s="5">
        <v>4</v>
      </c>
      <c r="T76" s="5">
        <v>0</v>
      </c>
      <c r="U76" s="5" t="b">
        <v>0</v>
      </c>
      <c r="V76" s="5">
        <v>20</v>
      </c>
      <c r="W76" s="5">
        <v>0.5</v>
      </c>
      <c r="X76" s="5" t="s">
        <v>9</v>
      </c>
      <c r="Y76" s="5">
        <v>9</v>
      </c>
      <c r="Z76" s="5"/>
      <c r="AA76" s="5" t="s">
        <v>72</v>
      </c>
      <c r="AB76" s="5" t="s">
        <v>370</v>
      </c>
      <c r="AC76" s="5" t="b">
        <v>0</v>
      </c>
      <c r="AD76" s="5"/>
      <c r="AE76" s="5"/>
      <c r="AF76" s="5"/>
      <c r="AG76" s="5">
        <v>20</v>
      </c>
      <c r="AH76" s="5"/>
      <c r="AI76" s="5">
        <v>91</v>
      </c>
      <c r="AJ76" s="5"/>
      <c r="AK76" s="5" t="s">
        <v>996</v>
      </c>
      <c r="AL76" s="5">
        <v>2</v>
      </c>
      <c r="AM76" s="5"/>
      <c r="AN76" s="5">
        <v>10</v>
      </c>
      <c r="AO76" s="5"/>
      <c r="AP76" s="5">
        <v>0</v>
      </c>
      <c r="AQ76" s="5"/>
      <c r="AR76" s="5">
        <v>0</v>
      </c>
      <c r="AS76" s="5"/>
      <c r="AT76" s="5" t="s">
        <v>997</v>
      </c>
      <c r="AU76" s="5" t="s">
        <v>998</v>
      </c>
      <c r="AV76" s="5" t="s">
        <v>999</v>
      </c>
      <c r="AW76" s="8" t="str">
        <f>IFERROR(VLOOKUP(AA76,'Message Lookup'!D:J,7,FALSE),"")</f>
        <v>FQ-303 Corrected Net Volume C3/C5 Alarm HiHi Latched</v>
      </c>
    </row>
    <row r="77" spans="1:49" x14ac:dyDescent="0.25">
      <c r="A77" s="5" t="s">
        <v>4574</v>
      </c>
      <c r="B77" s="5" t="s">
        <v>992</v>
      </c>
      <c r="C77" s="5" t="s">
        <v>4575</v>
      </c>
      <c r="D77" s="5"/>
      <c r="E77" s="5"/>
      <c r="F77" s="5"/>
      <c r="G77" s="5"/>
      <c r="H77" s="5"/>
      <c r="I77" s="5"/>
      <c r="J77" s="5"/>
      <c r="K77" s="5" t="s">
        <v>993</v>
      </c>
      <c r="L77" s="5" t="s">
        <v>994</v>
      </c>
      <c r="M77" s="5" t="s">
        <v>4576</v>
      </c>
      <c r="N77" s="5">
        <v>41</v>
      </c>
      <c r="O77" s="5"/>
      <c r="P77" s="5" t="s">
        <v>995</v>
      </c>
      <c r="Q77" s="5">
        <v>36</v>
      </c>
      <c r="R77" s="5">
        <v>24</v>
      </c>
      <c r="S77" s="5">
        <v>4</v>
      </c>
      <c r="T77" s="5">
        <v>0</v>
      </c>
      <c r="U77" s="5" t="b">
        <v>0</v>
      </c>
      <c r="V77" s="5">
        <v>20</v>
      </c>
      <c r="W77" s="5">
        <v>0.5</v>
      </c>
      <c r="X77" s="5" t="s">
        <v>9</v>
      </c>
      <c r="Y77" s="5">
        <v>9</v>
      </c>
      <c r="Z77" s="5"/>
      <c r="AA77" s="5"/>
      <c r="AB77" s="5"/>
      <c r="AC77" s="5"/>
      <c r="AD77" s="5"/>
      <c r="AE77" s="5" t="s">
        <v>1000</v>
      </c>
      <c r="AF77" s="5" t="b">
        <v>0</v>
      </c>
      <c r="AG77" s="5">
        <v>20</v>
      </c>
      <c r="AH77" s="5"/>
      <c r="AI77" s="5">
        <v>91</v>
      </c>
      <c r="AJ77" s="5"/>
      <c r="AK77" s="5" t="s">
        <v>996</v>
      </c>
      <c r="AL77" s="5">
        <v>2</v>
      </c>
      <c r="AM77" s="5"/>
      <c r="AN77" s="5">
        <v>10</v>
      </c>
      <c r="AO77" s="5"/>
      <c r="AP77" s="5">
        <v>0</v>
      </c>
      <c r="AQ77" s="5"/>
      <c r="AR77" s="5">
        <v>0</v>
      </c>
      <c r="AS77" s="5"/>
      <c r="AT77" s="5" t="s">
        <v>997</v>
      </c>
      <c r="AU77" s="5" t="s">
        <v>998</v>
      </c>
      <c r="AV77" s="5" t="s">
        <v>999</v>
      </c>
      <c r="AW77" s="8" t="str">
        <f>IFERROR(VLOOKUP(AA77,'Message Lookup'!D:J,7,FALSE),"")</f>
        <v/>
      </c>
    </row>
    <row r="78" spans="1:49" x14ac:dyDescent="0.25">
      <c r="A78" s="5" t="s">
        <v>4574</v>
      </c>
      <c r="B78" s="5" t="s">
        <v>992</v>
      </c>
      <c r="C78" s="5" t="s">
        <v>4575</v>
      </c>
      <c r="D78" s="5"/>
      <c r="E78" s="5"/>
      <c r="F78" s="5"/>
      <c r="G78" s="5"/>
      <c r="H78" s="5"/>
      <c r="I78" s="5"/>
      <c r="J78" s="5"/>
      <c r="K78" s="5" t="s">
        <v>993</v>
      </c>
      <c r="L78" s="5" t="s">
        <v>994</v>
      </c>
      <c r="M78" s="5" t="s">
        <v>4576</v>
      </c>
      <c r="N78" s="5">
        <v>41</v>
      </c>
      <c r="O78" s="5"/>
      <c r="P78" s="5" t="s">
        <v>995</v>
      </c>
      <c r="Q78" s="5">
        <v>36</v>
      </c>
      <c r="R78" s="5">
        <v>24</v>
      </c>
      <c r="S78" s="5">
        <v>4</v>
      </c>
      <c r="T78" s="5">
        <v>0</v>
      </c>
      <c r="U78" s="5" t="b">
        <v>0</v>
      </c>
      <c r="V78" s="5">
        <v>20</v>
      </c>
      <c r="W78" s="5">
        <v>0.5</v>
      </c>
      <c r="X78" s="5" t="s">
        <v>9</v>
      </c>
      <c r="Y78" s="5">
        <v>9</v>
      </c>
      <c r="Z78" s="5"/>
      <c r="AA78" s="5"/>
      <c r="AB78" s="5"/>
      <c r="AC78" s="5"/>
      <c r="AD78" s="5" t="s">
        <v>1005</v>
      </c>
      <c r="AE78" s="5" t="s">
        <v>1002</v>
      </c>
      <c r="AF78" s="5" t="b">
        <v>0</v>
      </c>
      <c r="AG78" s="5">
        <v>20</v>
      </c>
      <c r="AH78" s="5"/>
      <c r="AI78" s="5">
        <v>91</v>
      </c>
      <c r="AJ78" s="5"/>
      <c r="AK78" s="5" t="s">
        <v>996</v>
      </c>
      <c r="AL78" s="5">
        <v>2</v>
      </c>
      <c r="AM78" s="5"/>
      <c r="AN78" s="5">
        <v>10</v>
      </c>
      <c r="AO78" s="5"/>
      <c r="AP78" s="5">
        <v>0</v>
      </c>
      <c r="AQ78" s="5"/>
      <c r="AR78" s="5">
        <v>0</v>
      </c>
      <c r="AS78" s="5"/>
      <c r="AT78" s="5" t="s">
        <v>997</v>
      </c>
      <c r="AU78" s="5" t="s">
        <v>998</v>
      </c>
      <c r="AV78" s="5" t="s">
        <v>999</v>
      </c>
      <c r="AW78" s="8" t="str">
        <f>IFERROR(VLOOKUP(AA78,'Message Lookup'!D:J,7,FALSE),"")</f>
        <v/>
      </c>
    </row>
    <row r="79" spans="1:49" x14ac:dyDescent="0.25">
      <c r="A79" s="5" t="s">
        <v>4574</v>
      </c>
      <c r="B79" s="5" t="s">
        <v>992</v>
      </c>
      <c r="C79" s="5" t="s">
        <v>4575</v>
      </c>
      <c r="D79" s="5"/>
      <c r="E79" s="5"/>
      <c r="F79" s="5"/>
      <c r="G79" s="5"/>
      <c r="H79" s="5"/>
      <c r="I79" s="5"/>
      <c r="J79" s="5"/>
      <c r="K79" s="5" t="s">
        <v>993</v>
      </c>
      <c r="L79" s="5" t="s">
        <v>994</v>
      </c>
      <c r="M79" s="5" t="s">
        <v>4576</v>
      </c>
      <c r="N79" s="5">
        <v>41</v>
      </c>
      <c r="O79" s="5"/>
      <c r="P79" s="5" t="s">
        <v>995</v>
      </c>
      <c r="Q79" s="5">
        <v>36</v>
      </c>
      <c r="R79" s="5">
        <v>24</v>
      </c>
      <c r="S79" s="5">
        <v>5</v>
      </c>
      <c r="T79" s="5">
        <v>0</v>
      </c>
      <c r="U79" s="5" t="b">
        <v>0</v>
      </c>
      <c r="V79" s="5">
        <v>20</v>
      </c>
      <c r="W79" s="5">
        <v>0.6</v>
      </c>
      <c r="X79" s="5" t="s">
        <v>9</v>
      </c>
      <c r="Y79" s="5">
        <v>9</v>
      </c>
      <c r="Z79" s="5"/>
      <c r="AA79" s="5"/>
      <c r="AB79" s="5" t="s">
        <v>354</v>
      </c>
      <c r="AC79" s="5" t="b">
        <v>0</v>
      </c>
      <c r="AD79" s="5"/>
      <c r="AE79" s="5"/>
      <c r="AF79" s="5"/>
      <c r="AG79" s="5">
        <v>20</v>
      </c>
      <c r="AH79" s="5">
        <v>20</v>
      </c>
      <c r="AI79" s="5">
        <v>112</v>
      </c>
      <c r="AJ79" s="5">
        <v>112</v>
      </c>
      <c r="AK79" s="5" t="s">
        <v>996</v>
      </c>
      <c r="AL79" s="5">
        <v>2</v>
      </c>
      <c r="AM79" s="5"/>
      <c r="AN79" s="5">
        <v>10</v>
      </c>
      <c r="AO79" s="5"/>
      <c r="AP79" s="5">
        <v>0</v>
      </c>
      <c r="AQ79" s="5"/>
      <c r="AR79" s="5">
        <v>0</v>
      </c>
      <c r="AS79" s="5"/>
      <c r="AT79" s="5" t="s">
        <v>997</v>
      </c>
      <c r="AU79" s="5" t="s">
        <v>998</v>
      </c>
      <c r="AV79" s="5" t="s">
        <v>999</v>
      </c>
      <c r="AW79" s="8" t="str">
        <f>IFERROR(VLOOKUP(AA79,'Message Lookup'!D:J,7,FALSE),"")</f>
        <v/>
      </c>
    </row>
    <row r="80" spans="1:49" x14ac:dyDescent="0.25">
      <c r="A80" s="5" t="s">
        <v>4574</v>
      </c>
      <c r="B80" s="5" t="s">
        <v>992</v>
      </c>
      <c r="C80" s="5" t="s">
        <v>4575</v>
      </c>
      <c r="D80" s="5"/>
      <c r="E80" s="5"/>
      <c r="F80" s="5"/>
      <c r="G80" s="5"/>
      <c r="H80" s="5"/>
      <c r="I80" s="5"/>
      <c r="J80" s="5"/>
      <c r="K80" s="5" t="s">
        <v>993</v>
      </c>
      <c r="L80" s="5" t="s">
        <v>994</v>
      </c>
      <c r="M80" s="5" t="s">
        <v>4576</v>
      </c>
      <c r="N80" s="5">
        <v>41</v>
      </c>
      <c r="O80" s="5"/>
      <c r="P80" s="5" t="s">
        <v>995</v>
      </c>
      <c r="Q80" s="5">
        <v>36</v>
      </c>
      <c r="R80" s="5">
        <v>24</v>
      </c>
      <c r="S80" s="5">
        <v>5</v>
      </c>
      <c r="T80" s="5">
        <v>0</v>
      </c>
      <c r="U80" s="5" t="b">
        <v>0</v>
      </c>
      <c r="V80" s="5">
        <v>20</v>
      </c>
      <c r="W80" s="5">
        <v>0.6</v>
      </c>
      <c r="X80" s="5" t="s">
        <v>9</v>
      </c>
      <c r="Y80" s="5">
        <v>9</v>
      </c>
      <c r="Z80" s="5"/>
      <c r="AA80" s="5" t="s">
        <v>58</v>
      </c>
      <c r="AB80" s="5" t="s">
        <v>355</v>
      </c>
      <c r="AC80" s="5" t="b">
        <v>0</v>
      </c>
      <c r="AD80" s="5"/>
      <c r="AE80" s="5"/>
      <c r="AF80" s="5"/>
      <c r="AG80" s="5">
        <v>20</v>
      </c>
      <c r="AH80" s="5"/>
      <c r="AI80" s="5">
        <v>112</v>
      </c>
      <c r="AJ80" s="5"/>
      <c r="AK80" s="5" t="s">
        <v>996</v>
      </c>
      <c r="AL80" s="5">
        <v>2</v>
      </c>
      <c r="AM80" s="5"/>
      <c r="AN80" s="5">
        <v>10</v>
      </c>
      <c r="AO80" s="5"/>
      <c r="AP80" s="5">
        <v>0</v>
      </c>
      <c r="AQ80" s="5"/>
      <c r="AR80" s="5">
        <v>0</v>
      </c>
      <c r="AS80" s="5"/>
      <c r="AT80" s="5" t="s">
        <v>997</v>
      </c>
      <c r="AU80" s="5" t="s">
        <v>998</v>
      </c>
      <c r="AV80" s="5" t="s">
        <v>999</v>
      </c>
      <c r="AW80" s="8" t="str">
        <f>IFERROR(VLOOKUP(AA80,'Message Lookup'!D:J,7,FALSE),"")</f>
        <v>DQ-303 Corrected Density C3/C5 Alarm Hi Latched</v>
      </c>
    </row>
    <row r="81" spans="1:49" x14ac:dyDescent="0.25">
      <c r="A81" s="5" t="s">
        <v>4574</v>
      </c>
      <c r="B81" s="5" t="s">
        <v>992</v>
      </c>
      <c r="C81" s="5" t="s">
        <v>4575</v>
      </c>
      <c r="D81" s="5"/>
      <c r="E81" s="5"/>
      <c r="F81" s="5"/>
      <c r="G81" s="5"/>
      <c r="H81" s="5"/>
      <c r="I81" s="5"/>
      <c r="J81" s="5"/>
      <c r="K81" s="5" t="s">
        <v>993</v>
      </c>
      <c r="L81" s="5" t="s">
        <v>994</v>
      </c>
      <c r="M81" s="5" t="s">
        <v>4576</v>
      </c>
      <c r="N81" s="5">
        <v>41</v>
      </c>
      <c r="O81" s="5"/>
      <c r="P81" s="5" t="s">
        <v>995</v>
      </c>
      <c r="Q81" s="5">
        <v>36</v>
      </c>
      <c r="R81" s="5">
        <v>24</v>
      </c>
      <c r="S81" s="5">
        <v>5</v>
      </c>
      <c r="T81" s="5">
        <v>0</v>
      </c>
      <c r="U81" s="5" t="b">
        <v>0</v>
      </c>
      <c r="V81" s="5">
        <v>20</v>
      </c>
      <c r="W81" s="5">
        <v>0.6</v>
      </c>
      <c r="X81" s="5" t="s">
        <v>9</v>
      </c>
      <c r="Y81" s="5">
        <v>9</v>
      </c>
      <c r="Z81" s="5"/>
      <c r="AA81" s="5" t="s">
        <v>59</v>
      </c>
      <c r="AB81" s="5" t="s">
        <v>356</v>
      </c>
      <c r="AC81" s="5" t="b">
        <v>0</v>
      </c>
      <c r="AD81" s="5"/>
      <c r="AE81" s="5"/>
      <c r="AF81" s="5"/>
      <c r="AG81" s="5">
        <v>20</v>
      </c>
      <c r="AH81" s="5"/>
      <c r="AI81" s="5">
        <v>112</v>
      </c>
      <c r="AJ81" s="5"/>
      <c r="AK81" s="5" t="s">
        <v>996</v>
      </c>
      <c r="AL81" s="5">
        <v>2</v>
      </c>
      <c r="AM81" s="5"/>
      <c r="AN81" s="5">
        <v>10</v>
      </c>
      <c r="AO81" s="5"/>
      <c r="AP81" s="5">
        <v>0</v>
      </c>
      <c r="AQ81" s="5"/>
      <c r="AR81" s="5">
        <v>0</v>
      </c>
      <c r="AS81" s="5"/>
      <c r="AT81" s="5" t="s">
        <v>997</v>
      </c>
      <c r="AU81" s="5" t="s">
        <v>998</v>
      </c>
      <c r="AV81" s="5" t="s">
        <v>999</v>
      </c>
      <c r="AW81" s="8" t="str">
        <f>IFERROR(VLOOKUP(AA81,'Message Lookup'!D:J,7,FALSE),"")</f>
        <v>DQ-303 Corrected Density C3/C5 Alarm Lo Condition</v>
      </c>
    </row>
    <row r="82" spans="1:49" x14ac:dyDescent="0.25">
      <c r="A82" s="5" t="s">
        <v>4574</v>
      </c>
      <c r="B82" s="5" t="s">
        <v>992</v>
      </c>
      <c r="C82" s="5" t="s">
        <v>4575</v>
      </c>
      <c r="D82" s="5"/>
      <c r="E82" s="5"/>
      <c r="F82" s="5"/>
      <c r="G82" s="5"/>
      <c r="H82" s="5"/>
      <c r="I82" s="5"/>
      <c r="J82" s="5"/>
      <c r="K82" s="5" t="s">
        <v>993</v>
      </c>
      <c r="L82" s="5" t="s">
        <v>994</v>
      </c>
      <c r="M82" s="5" t="s">
        <v>4576</v>
      </c>
      <c r="N82" s="5">
        <v>41</v>
      </c>
      <c r="O82" s="5"/>
      <c r="P82" s="5" t="s">
        <v>995</v>
      </c>
      <c r="Q82" s="5">
        <v>36</v>
      </c>
      <c r="R82" s="5">
        <v>24</v>
      </c>
      <c r="S82" s="5">
        <v>5</v>
      </c>
      <c r="T82" s="5">
        <v>0</v>
      </c>
      <c r="U82" s="5" t="b">
        <v>0</v>
      </c>
      <c r="V82" s="5">
        <v>20</v>
      </c>
      <c r="W82" s="5">
        <v>0.6</v>
      </c>
      <c r="X82" s="5" t="s">
        <v>9</v>
      </c>
      <c r="Y82" s="5">
        <v>9</v>
      </c>
      <c r="Z82" s="5"/>
      <c r="AA82" s="5" t="s">
        <v>60</v>
      </c>
      <c r="AB82" s="5" t="s">
        <v>357</v>
      </c>
      <c r="AC82" s="5" t="b">
        <v>0</v>
      </c>
      <c r="AD82" s="5"/>
      <c r="AE82" s="5"/>
      <c r="AF82" s="5"/>
      <c r="AG82" s="5">
        <v>20</v>
      </c>
      <c r="AH82" s="5"/>
      <c r="AI82" s="5">
        <v>112</v>
      </c>
      <c r="AJ82" s="5"/>
      <c r="AK82" s="5" t="s">
        <v>996</v>
      </c>
      <c r="AL82" s="5">
        <v>2</v>
      </c>
      <c r="AM82" s="5"/>
      <c r="AN82" s="5">
        <v>10</v>
      </c>
      <c r="AO82" s="5"/>
      <c r="AP82" s="5">
        <v>0</v>
      </c>
      <c r="AQ82" s="5"/>
      <c r="AR82" s="5">
        <v>0</v>
      </c>
      <c r="AS82" s="5"/>
      <c r="AT82" s="5" t="s">
        <v>997</v>
      </c>
      <c r="AU82" s="5" t="s">
        <v>998</v>
      </c>
      <c r="AV82" s="5" t="s">
        <v>999</v>
      </c>
      <c r="AW82" s="8" t="str">
        <f>IFERROR(VLOOKUP(AA82,'Message Lookup'!D:J,7,FALSE),"")</f>
        <v>DQ-303 Corrected Density C3/C5 Alarm LoLo Latched</v>
      </c>
    </row>
    <row r="83" spans="1:49" x14ac:dyDescent="0.25">
      <c r="A83" s="5" t="s">
        <v>4574</v>
      </c>
      <c r="B83" s="5" t="s">
        <v>992</v>
      </c>
      <c r="C83" s="5" t="s">
        <v>4575</v>
      </c>
      <c r="D83" s="5"/>
      <c r="E83" s="5"/>
      <c r="F83" s="5"/>
      <c r="G83" s="5"/>
      <c r="H83" s="5"/>
      <c r="I83" s="5"/>
      <c r="J83" s="5"/>
      <c r="K83" s="5" t="s">
        <v>993</v>
      </c>
      <c r="L83" s="5" t="s">
        <v>994</v>
      </c>
      <c r="M83" s="5" t="s">
        <v>4576</v>
      </c>
      <c r="N83" s="5">
        <v>41</v>
      </c>
      <c r="O83" s="5"/>
      <c r="P83" s="5" t="s">
        <v>995</v>
      </c>
      <c r="Q83" s="5">
        <v>36</v>
      </c>
      <c r="R83" s="5">
        <v>24</v>
      </c>
      <c r="S83" s="5">
        <v>5</v>
      </c>
      <c r="T83" s="5">
        <v>0</v>
      </c>
      <c r="U83" s="5" t="b">
        <v>0</v>
      </c>
      <c r="V83" s="5">
        <v>20</v>
      </c>
      <c r="W83" s="5">
        <v>0.6</v>
      </c>
      <c r="X83" s="5" t="s">
        <v>9</v>
      </c>
      <c r="Y83" s="5">
        <v>9</v>
      </c>
      <c r="Z83" s="5"/>
      <c r="AA83" s="5" t="s">
        <v>73</v>
      </c>
      <c r="AB83" s="5" t="s">
        <v>358</v>
      </c>
      <c r="AC83" s="5" t="b">
        <v>0</v>
      </c>
      <c r="AD83" s="5"/>
      <c r="AE83" s="5"/>
      <c r="AF83" s="5"/>
      <c r="AG83" s="5">
        <v>20</v>
      </c>
      <c r="AH83" s="5"/>
      <c r="AI83" s="5">
        <v>112</v>
      </c>
      <c r="AJ83" s="5"/>
      <c r="AK83" s="5" t="s">
        <v>996</v>
      </c>
      <c r="AL83" s="5">
        <v>2</v>
      </c>
      <c r="AM83" s="5"/>
      <c r="AN83" s="5">
        <v>10</v>
      </c>
      <c r="AO83" s="5"/>
      <c r="AP83" s="5">
        <v>0</v>
      </c>
      <c r="AQ83" s="5"/>
      <c r="AR83" s="5">
        <v>0</v>
      </c>
      <c r="AS83" s="5"/>
      <c r="AT83" s="5" t="s">
        <v>997</v>
      </c>
      <c r="AU83" s="5" t="s">
        <v>998</v>
      </c>
      <c r="AV83" s="5" t="s">
        <v>999</v>
      </c>
      <c r="AW83" s="8" t="str">
        <f>IFERROR(VLOOKUP(AA83,'Message Lookup'!D:J,7,FALSE),"")</f>
        <v>FQ-303 Corrected Net Volume C3/C5 Alarm Malfunction Latched</v>
      </c>
    </row>
    <row r="84" spans="1:49" x14ac:dyDescent="0.25">
      <c r="A84" s="5" t="s">
        <v>4574</v>
      </c>
      <c r="B84" s="5" t="s">
        <v>992</v>
      </c>
      <c r="C84" s="5" t="s">
        <v>4575</v>
      </c>
      <c r="D84" s="5"/>
      <c r="E84" s="5"/>
      <c r="F84" s="5"/>
      <c r="G84" s="5"/>
      <c r="H84" s="5"/>
      <c r="I84" s="5"/>
      <c r="J84" s="5"/>
      <c r="K84" s="5" t="s">
        <v>993</v>
      </c>
      <c r="L84" s="5" t="s">
        <v>994</v>
      </c>
      <c r="M84" s="5" t="s">
        <v>4576</v>
      </c>
      <c r="N84" s="5">
        <v>41</v>
      </c>
      <c r="O84" s="5"/>
      <c r="P84" s="5" t="s">
        <v>995</v>
      </c>
      <c r="Q84" s="5">
        <v>36</v>
      </c>
      <c r="R84" s="5">
        <v>24</v>
      </c>
      <c r="S84" s="5">
        <v>5</v>
      </c>
      <c r="T84" s="5">
        <v>0</v>
      </c>
      <c r="U84" s="5" t="b">
        <v>0</v>
      </c>
      <c r="V84" s="5">
        <v>20</v>
      </c>
      <c r="W84" s="5">
        <v>0.6</v>
      </c>
      <c r="X84" s="5" t="s">
        <v>9</v>
      </c>
      <c r="Y84" s="5">
        <v>9</v>
      </c>
      <c r="Z84" s="5"/>
      <c r="AA84" s="5" t="s">
        <v>74</v>
      </c>
      <c r="AB84" s="5" t="s">
        <v>359</v>
      </c>
      <c r="AC84" s="5" t="b">
        <v>0</v>
      </c>
      <c r="AD84" s="5"/>
      <c r="AE84" s="5"/>
      <c r="AF84" s="5"/>
      <c r="AG84" s="5">
        <v>20</v>
      </c>
      <c r="AH84" s="5"/>
      <c r="AI84" s="5">
        <v>112</v>
      </c>
      <c r="AJ84" s="5"/>
      <c r="AK84" s="5" t="s">
        <v>996</v>
      </c>
      <c r="AL84" s="5">
        <v>2</v>
      </c>
      <c r="AM84" s="5"/>
      <c r="AN84" s="5">
        <v>10</v>
      </c>
      <c r="AO84" s="5"/>
      <c r="AP84" s="5">
        <v>0</v>
      </c>
      <c r="AQ84" s="5"/>
      <c r="AR84" s="5">
        <v>0</v>
      </c>
      <c r="AS84" s="5"/>
      <c r="AT84" s="5" t="s">
        <v>997</v>
      </c>
      <c r="AU84" s="5" t="s">
        <v>998</v>
      </c>
      <c r="AV84" s="5" t="s">
        <v>999</v>
      </c>
      <c r="AW84" s="8" t="str">
        <f>IFERROR(VLOOKUP(AA84,'Message Lookup'!D:J,7,FALSE),"")</f>
        <v>P-1 H2S Monitor Alarm HiHi Latched</v>
      </c>
    </row>
    <row r="85" spans="1:49" x14ac:dyDescent="0.25">
      <c r="A85" s="5" t="s">
        <v>4574</v>
      </c>
      <c r="B85" s="5" t="s">
        <v>992</v>
      </c>
      <c r="C85" s="5" t="s">
        <v>4575</v>
      </c>
      <c r="D85" s="5"/>
      <c r="E85" s="5"/>
      <c r="F85" s="5"/>
      <c r="G85" s="5"/>
      <c r="H85" s="5"/>
      <c r="I85" s="5"/>
      <c r="J85" s="5"/>
      <c r="K85" s="5" t="s">
        <v>993</v>
      </c>
      <c r="L85" s="5" t="s">
        <v>994</v>
      </c>
      <c r="M85" s="5" t="s">
        <v>4576</v>
      </c>
      <c r="N85" s="5">
        <v>41</v>
      </c>
      <c r="O85" s="5"/>
      <c r="P85" s="5" t="s">
        <v>995</v>
      </c>
      <c r="Q85" s="5">
        <v>36</v>
      </c>
      <c r="R85" s="5">
        <v>24</v>
      </c>
      <c r="S85" s="5">
        <v>5</v>
      </c>
      <c r="T85" s="5">
        <v>0</v>
      </c>
      <c r="U85" s="5" t="b">
        <v>0</v>
      </c>
      <c r="V85" s="5">
        <v>20</v>
      </c>
      <c r="W85" s="5">
        <v>0.6</v>
      </c>
      <c r="X85" s="5" t="s">
        <v>9</v>
      </c>
      <c r="Y85" s="5">
        <v>9</v>
      </c>
      <c r="Z85" s="5"/>
      <c r="AA85" s="5" t="s">
        <v>75</v>
      </c>
      <c r="AB85" s="5" t="s">
        <v>360</v>
      </c>
      <c r="AC85" s="5" t="b">
        <v>0</v>
      </c>
      <c r="AD85" s="5"/>
      <c r="AE85" s="5"/>
      <c r="AF85" s="5"/>
      <c r="AG85" s="5">
        <v>20</v>
      </c>
      <c r="AH85" s="5"/>
      <c r="AI85" s="5">
        <v>112</v>
      </c>
      <c r="AJ85" s="5"/>
      <c r="AK85" s="5" t="s">
        <v>996</v>
      </c>
      <c r="AL85" s="5">
        <v>2</v>
      </c>
      <c r="AM85" s="5"/>
      <c r="AN85" s="5">
        <v>10</v>
      </c>
      <c r="AO85" s="5"/>
      <c r="AP85" s="5">
        <v>0</v>
      </c>
      <c r="AQ85" s="5"/>
      <c r="AR85" s="5">
        <v>0</v>
      </c>
      <c r="AS85" s="5"/>
      <c r="AT85" s="5" t="s">
        <v>997</v>
      </c>
      <c r="AU85" s="5" t="s">
        <v>998</v>
      </c>
      <c r="AV85" s="5" t="s">
        <v>999</v>
      </c>
      <c r="AW85" s="8" t="str">
        <f>IFERROR(VLOOKUP(AA85,'Message Lookup'!D:J,7,FALSE),"")</f>
        <v>P-1 H2S Monitor Alarm Hi Latched</v>
      </c>
    </row>
    <row r="86" spans="1:49" x14ac:dyDescent="0.25">
      <c r="A86" s="5" t="s">
        <v>4574</v>
      </c>
      <c r="B86" s="5" t="s">
        <v>992</v>
      </c>
      <c r="C86" s="5" t="s">
        <v>4575</v>
      </c>
      <c r="D86" s="5"/>
      <c r="E86" s="5"/>
      <c r="F86" s="5"/>
      <c r="G86" s="5"/>
      <c r="H86" s="5"/>
      <c r="I86" s="5"/>
      <c r="J86" s="5"/>
      <c r="K86" s="5" t="s">
        <v>993</v>
      </c>
      <c r="L86" s="5" t="s">
        <v>994</v>
      </c>
      <c r="M86" s="5" t="s">
        <v>4576</v>
      </c>
      <c r="N86" s="5">
        <v>41</v>
      </c>
      <c r="O86" s="5"/>
      <c r="P86" s="5" t="s">
        <v>995</v>
      </c>
      <c r="Q86" s="5">
        <v>36</v>
      </c>
      <c r="R86" s="5">
        <v>24</v>
      </c>
      <c r="S86" s="5">
        <v>5</v>
      </c>
      <c r="T86" s="5">
        <v>0</v>
      </c>
      <c r="U86" s="5" t="b">
        <v>0</v>
      </c>
      <c r="V86" s="5">
        <v>20</v>
      </c>
      <c r="W86" s="5">
        <v>0.6</v>
      </c>
      <c r="X86" s="5" t="s">
        <v>9</v>
      </c>
      <c r="Y86" s="5">
        <v>9</v>
      </c>
      <c r="Z86" s="5"/>
      <c r="AA86" s="5" t="s">
        <v>76</v>
      </c>
      <c r="AB86" s="5" t="s">
        <v>361</v>
      </c>
      <c r="AC86" s="5" t="b">
        <v>0</v>
      </c>
      <c r="AD86" s="5"/>
      <c r="AE86" s="5"/>
      <c r="AF86" s="5"/>
      <c r="AG86" s="5">
        <v>20</v>
      </c>
      <c r="AH86" s="5"/>
      <c r="AI86" s="5">
        <v>112</v>
      </c>
      <c r="AJ86" s="5"/>
      <c r="AK86" s="5" t="s">
        <v>996</v>
      </c>
      <c r="AL86" s="5">
        <v>2</v>
      </c>
      <c r="AM86" s="5"/>
      <c r="AN86" s="5">
        <v>10</v>
      </c>
      <c r="AO86" s="5"/>
      <c r="AP86" s="5">
        <v>0</v>
      </c>
      <c r="AQ86" s="5"/>
      <c r="AR86" s="5">
        <v>0</v>
      </c>
      <c r="AS86" s="5"/>
      <c r="AT86" s="5" t="s">
        <v>997</v>
      </c>
      <c r="AU86" s="5" t="s">
        <v>998</v>
      </c>
      <c r="AV86" s="5" t="s">
        <v>999</v>
      </c>
      <c r="AW86" s="8" t="str">
        <f>IFERROR(VLOOKUP(AA86,'Message Lookup'!D:J,7,FALSE),"")</f>
        <v>P-1 H2S Monitor Alarm Lo Condition</v>
      </c>
    </row>
    <row r="87" spans="1:49" x14ac:dyDescent="0.25">
      <c r="A87" s="5" t="s">
        <v>4574</v>
      </c>
      <c r="B87" s="5" t="s">
        <v>992</v>
      </c>
      <c r="C87" s="5" t="s">
        <v>4575</v>
      </c>
      <c r="D87" s="5"/>
      <c r="E87" s="5"/>
      <c r="F87" s="5"/>
      <c r="G87" s="5"/>
      <c r="H87" s="5"/>
      <c r="I87" s="5"/>
      <c r="J87" s="5"/>
      <c r="K87" s="5" t="s">
        <v>993</v>
      </c>
      <c r="L87" s="5" t="s">
        <v>994</v>
      </c>
      <c r="M87" s="5" t="s">
        <v>4576</v>
      </c>
      <c r="N87" s="5">
        <v>41</v>
      </c>
      <c r="O87" s="5"/>
      <c r="P87" s="5" t="s">
        <v>995</v>
      </c>
      <c r="Q87" s="5">
        <v>36</v>
      </c>
      <c r="R87" s="5">
        <v>24</v>
      </c>
      <c r="S87" s="5">
        <v>5</v>
      </c>
      <c r="T87" s="5">
        <v>0</v>
      </c>
      <c r="U87" s="5" t="b">
        <v>0</v>
      </c>
      <c r="V87" s="5">
        <v>20</v>
      </c>
      <c r="W87" s="5">
        <v>0.6</v>
      </c>
      <c r="X87" s="5" t="s">
        <v>9</v>
      </c>
      <c r="Y87" s="5">
        <v>9</v>
      </c>
      <c r="Z87" s="5"/>
      <c r="AA87" s="5" t="s">
        <v>77</v>
      </c>
      <c r="AB87" s="5" t="s">
        <v>362</v>
      </c>
      <c r="AC87" s="5" t="b">
        <v>0</v>
      </c>
      <c r="AD87" s="5"/>
      <c r="AE87" s="5"/>
      <c r="AF87" s="5"/>
      <c r="AG87" s="5">
        <v>20</v>
      </c>
      <c r="AH87" s="5"/>
      <c r="AI87" s="5">
        <v>112</v>
      </c>
      <c r="AJ87" s="5"/>
      <c r="AK87" s="5" t="s">
        <v>996</v>
      </c>
      <c r="AL87" s="5">
        <v>2</v>
      </c>
      <c r="AM87" s="5"/>
      <c r="AN87" s="5">
        <v>10</v>
      </c>
      <c r="AO87" s="5"/>
      <c r="AP87" s="5">
        <v>0</v>
      </c>
      <c r="AQ87" s="5"/>
      <c r="AR87" s="5">
        <v>0</v>
      </c>
      <c r="AS87" s="5"/>
      <c r="AT87" s="5" t="s">
        <v>997</v>
      </c>
      <c r="AU87" s="5" t="s">
        <v>998</v>
      </c>
      <c r="AV87" s="5" t="s">
        <v>999</v>
      </c>
      <c r="AW87" s="8" t="str">
        <f>IFERROR(VLOOKUP(AA87,'Message Lookup'!D:J,7,FALSE),"")</f>
        <v>P-1 H2S Monitor Alarm LoLo Latched</v>
      </c>
    </row>
    <row r="88" spans="1:49" x14ac:dyDescent="0.25">
      <c r="A88" s="5" t="s">
        <v>4574</v>
      </c>
      <c r="B88" s="5" t="s">
        <v>992</v>
      </c>
      <c r="C88" s="5" t="s">
        <v>4575</v>
      </c>
      <c r="D88" s="5"/>
      <c r="E88" s="5"/>
      <c r="F88" s="5"/>
      <c r="G88" s="5"/>
      <c r="H88" s="5"/>
      <c r="I88" s="5"/>
      <c r="J88" s="5"/>
      <c r="K88" s="5" t="s">
        <v>993</v>
      </c>
      <c r="L88" s="5" t="s">
        <v>994</v>
      </c>
      <c r="M88" s="5" t="s">
        <v>4576</v>
      </c>
      <c r="N88" s="5">
        <v>41</v>
      </c>
      <c r="O88" s="5"/>
      <c r="P88" s="5" t="s">
        <v>995</v>
      </c>
      <c r="Q88" s="5">
        <v>36</v>
      </c>
      <c r="R88" s="5">
        <v>24</v>
      </c>
      <c r="S88" s="5">
        <v>5</v>
      </c>
      <c r="T88" s="5">
        <v>0</v>
      </c>
      <c r="U88" s="5" t="b">
        <v>0</v>
      </c>
      <c r="V88" s="5">
        <v>20</v>
      </c>
      <c r="W88" s="5">
        <v>0.6</v>
      </c>
      <c r="X88" s="5" t="s">
        <v>9</v>
      </c>
      <c r="Y88" s="5">
        <v>9</v>
      </c>
      <c r="Z88" s="5"/>
      <c r="AA88" s="5" t="s">
        <v>78</v>
      </c>
      <c r="AB88" s="5" t="s">
        <v>363</v>
      </c>
      <c r="AC88" s="5" t="b">
        <v>0</v>
      </c>
      <c r="AD88" s="5"/>
      <c r="AE88" s="5"/>
      <c r="AF88" s="5"/>
      <c r="AG88" s="5">
        <v>20</v>
      </c>
      <c r="AH88" s="5"/>
      <c r="AI88" s="5">
        <v>112</v>
      </c>
      <c r="AJ88" s="5"/>
      <c r="AK88" s="5" t="s">
        <v>996</v>
      </c>
      <c r="AL88" s="5">
        <v>2</v>
      </c>
      <c r="AM88" s="5"/>
      <c r="AN88" s="5">
        <v>10</v>
      </c>
      <c r="AO88" s="5"/>
      <c r="AP88" s="5">
        <v>0</v>
      </c>
      <c r="AQ88" s="5"/>
      <c r="AR88" s="5">
        <v>0</v>
      </c>
      <c r="AS88" s="5"/>
      <c r="AT88" s="5" t="s">
        <v>997</v>
      </c>
      <c r="AU88" s="5" t="s">
        <v>998</v>
      </c>
      <c r="AV88" s="5" t="s">
        <v>999</v>
      </c>
      <c r="AW88" s="8" t="str">
        <f>IFERROR(VLOOKUP(AA88,'Message Lookup'!D:J,7,FALSE),"")</f>
        <v>P-1 H2S Monitor Alarm Malfunction Latched</v>
      </c>
    </row>
    <row r="89" spans="1:49" x14ac:dyDescent="0.25">
      <c r="A89" s="5" t="s">
        <v>4574</v>
      </c>
      <c r="B89" s="5" t="s">
        <v>992</v>
      </c>
      <c r="C89" s="5" t="s">
        <v>4575</v>
      </c>
      <c r="D89" s="5"/>
      <c r="E89" s="5"/>
      <c r="F89" s="5"/>
      <c r="G89" s="5"/>
      <c r="H89" s="5"/>
      <c r="I89" s="5"/>
      <c r="J89" s="5"/>
      <c r="K89" s="5" t="s">
        <v>993</v>
      </c>
      <c r="L89" s="5" t="s">
        <v>994</v>
      </c>
      <c r="M89" s="5" t="s">
        <v>4576</v>
      </c>
      <c r="N89" s="5">
        <v>41</v>
      </c>
      <c r="O89" s="5"/>
      <c r="P89" s="5" t="s">
        <v>995</v>
      </c>
      <c r="Q89" s="5">
        <v>36</v>
      </c>
      <c r="R89" s="5">
        <v>24</v>
      </c>
      <c r="S89" s="5">
        <v>5</v>
      </c>
      <c r="T89" s="5">
        <v>0</v>
      </c>
      <c r="U89" s="5" t="b">
        <v>0</v>
      </c>
      <c r="V89" s="5">
        <v>20</v>
      </c>
      <c r="W89" s="5">
        <v>0.6</v>
      </c>
      <c r="X89" s="5" t="s">
        <v>9</v>
      </c>
      <c r="Y89" s="5">
        <v>9</v>
      </c>
      <c r="Z89" s="5"/>
      <c r="AA89" s="5" t="s">
        <v>79</v>
      </c>
      <c r="AB89" s="5" t="s">
        <v>364</v>
      </c>
      <c r="AC89" s="5" t="b">
        <v>0</v>
      </c>
      <c r="AD89" s="5"/>
      <c r="AE89" s="5"/>
      <c r="AF89" s="5"/>
      <c r="AG89" s="5">
        <v>20</v>
      </c>
      <c r="AH89" s="5"/>
      <c r="AI89" s="5">
        <v>112</v>
      </c>
      <c r="AJ89" s="5"/>
      <c r="AK89" s="5" t="s">
        <v>996</v>
      </c>
      <c r="AL89" s="5">
        <v>2</v>
      </c>
      <c r="AM89" s="5"/>
      <c r="AN89" s="5">
        <v>10</v>
      </c>
      <c r="AO89" s="5"/>
      <c r="AP89" s="5">
        <v>0</v>
      </c>
      <c r="AQ89" s="5"/>
      <c r="AR89" s="5">
        <v>0</v>
      </c>
      <c r="AS89" s="5"/>
      <c r="AT89" s="5" t="s">
        <v>997</v>
      </c>
      <c r="AU89" s="5" t="s">
        <v>998</v>
      </c>
      <c r="AV89" s="5" t="s">
        <v>999</v>
      </c>
      <c r="AW89" s="8" t="str">
        <f>IFERROR(VLOOKUP(AA89,'Message Lookup'!D:J,7,FALSE),"")</f>
        <v>Sump Tank H2S Monitor Alarm HiHi Latched</v>
      </c>
    </row>
    <row r="90" spans="1:49" x14ac:dyDescent="0.25">
      <c r="A90" s="5" t="s">
        <v>4574</v>
      </c>
      <c r="B90" s="5" t="s">
        <v>992</v>
      </c>
      <c r="C90" s="5" t="s">
        <v>4575</v>
      </c>
      <c r="D90" s="5"/>
      <c r="E90" s="5"/>
      <c r="F90" s="5"/>
      <c r="G90" s="5"/>
      <c r="H90" s="5"/>
      <c r="I90" s="5"/>
      <c r="J90" s="5"/>
      <c r="K90" s="5" t="s">
        <v>993</v>
      </c>
      <c r="L90" s="5" t="s">
        <v>994</v>
      </c>
      <c r="M90" s="5" t="s">
        <v>4576</v>
      </c>
      <c r="N90" s="5">
        <v>41</v>
      </c>
      <c r="O90" s="5"/>
      <c r="P90" s="5" t="s">
        <v>995</v>
      </c>
      <c r="Q90" s="5">
        <v>36</v>
      </c>
      <c r="R90" s="5">
        <v>24</v>
      </c>
      <c r="S90" s="5">
        <v>5</v>
      </c>
      <c r="T90" s="5">
        <v>0</v>
      </c>
      <c r="U90" s="5" t="b">
        <v>0</v>
      </c>
      <c r="V90" s="5">
        <v>20</v>
      </c>
      <c r="W90" s="5">
        <v>0.6</v>
      </c>
      <c r="X90" s="5" t="s">
        <v>9</v>
      </c>
      <c r="Y90" s="5">
        <v>9</v>
      </c>
      <c r="Z90" s="5"/>
      <c r="AA90" s="5" t="s">
        <v>80</v>
      </c>
      <c r="AB90" s="5" t="s">
        <v>365</v>
      </c>
      <c r="AC90" s="5" t="b">
        <v>0</v>
      </c>
      <c r="AD90" s="5"/>
      <c r="AE90" s="5"/>
      <c r="AF90" s="5"/>
      <c r="AG90" s="5">
        <v>20</v>
      </c>
      <c r="AH90" s="5"/>
      <c r="AI90" s="5">
        <v>112</v>
      </c>
      <c r="AJ90" s="5"/>
      <c r="AK90" s="5" t="s">
        <v>996</v>
      </c>
      <c r="AL90" s="5">
        <v>2</v>
      </c>
      <c r="AM90" s="5"/>
      <c r="AN90" s="5">
        <v>10</v>
      </c>
      <c r="AO90" s="5"/>
      <c r="AP90" s="5">
        <v>0</v>
      </c>
      <c r="AQ90" s="5"/>
      <c r="AR90" s="5">
        <v>0</v>
      </c>
      <c r="AS90" s="5"/>
      <c r="AT90" s="5" t="s">
        <v>997</v>
      </c>
      <c r="AU90" s="5" t="s">
        <v>998</v>
      </c>
      <c r="AV90" s="5" t="s">
        <v>999</v>
      </c>
      <c r="AW90" s="8" t="str">
        <f>IFERROR(VLOOKUP(AA90,'Message Lookup'!D:J,7,FALSE),"")</f>
        <v>Sump Tank H2S Monitor Alarm Hi Latched</v>
      </c>
    </row>
    <row r="91" spans="1:49" x14ac:dyDescent="0.25">
      <c r="A91" s="5" t="s">
        <v>4574</v>
      </c>
      <c r="B91" s="5" t="s">
        <v>992</v>
      </c>
      <c r="C91" s="5" t="s">
        <v>4575</v>
      </c>
      <c r="D91" s="5"/>
      <c r="E91" s="5"/>
      <c r="F91" s="5"/>
      <c r="G91" s="5"/>
      <c r="H91" s="5"/>
      <c r="I91" s="5"/>
      <c r="J91" s="5"/>
      <c r="K91" s="5" t="s">
        <v>993</v>
      </c>
      <c r="L91" s="5" t="s">
        <v>994</v>
      </c>
      <c r="M91" s="5" t="s">
        <v>4576</v>
      </c>
      <c r="N91" s="5">
        <v>41</v>
      </c>
      <c r="O91" s="5"/>
      <c r="P91" s="5" t="s">
        <v>995</v>
      </c>
      <c r="Q91" s="5">
        <v>36</v>
      </c>
      <c r="R91" s="5">
        <v>24</v>
      </c>
      <c r="S91" s="5">
        <v>5</v>
      </c>
      <c r="T91" s="5">
        <v>0</v>
      </c>
      <c r="U91" s="5" t="b">
        <v>0</v>
      </c>
      <c r="V91" s="5">
        <v>20</v>
      </c>
      <c r="W91" s="5">
        <v>0.6</v>
      </c>
      <c r="X91" s="5" t="s">
        <v>9</v>
      </c>
      <c r="Y91" s="5">
        <v>9</v>
      </c>
      <c r="Z91" s="5"/>
      <c r="AA91" s="5" t="s">
        <v>81</v>
      </c>
      <c r="AB91" s="5" t="s">
        <v>366</v>
      </c>
      <c r="AC91" s="5" t="b">
        <v>0</v>
      </c>
      <c r="AD91" s="5"/>
      <c r="AE91" s="5"/>
      <c r="AF91" s="5"/>
      <c r="AG91" s="5">
        <v>20</v>
      </c>
      <c r="AH91" s="5"/>
      <c r="AI91" s="5">
        <v>112</v>
      </c>
      <c r="AJ91" s="5"/>
      <c r="AK91" s="5" t="s">
        <v>996</v>
      </c>
      <c r="AL91" s="5">
        <v>2</v>
      </c>
      <c r="AM91" s="5"/>
      <c r="AN91" s="5">
        <v>10</v>
      </c>
      <c r="AO91" s="5"/>
      <c r="AP91" s="5">
        <v>0</v>
      </c>
      <c r="AQ91" s="5"/>
      <c r="AR91" s="5">
        <v>0</v>
      </c>
      <c r="AS91" s="5"/>
      <c r="AT91" s="5" t="s">
        <v>997</v>
      </c>
      <c r="AU91" s="5" t="s">
        <v>998</v>
      </c>
      <c r="AV91" s="5" t="s">
        <v>999</v>
      </c>
      <c r="AW91" s="8" t="str">
        <f>IFERROR(VLOOKUP(AA91,'Message Lookup'!D:J,7,FALSE),"")</f>
        <v>Sump Tank H2S Monitor Alarm Lo Condition</v>
      </c>
    </row>
    <row r="92" spans="1:49" x14ac:dyDescent="0.25">
      <c r="A92" s="5" t="s">
        <v>4574</v>
      </c>
      <c r="B92" s="5" t="s">
        <v>992</v>
      </c>
      <c r="C92" s="5" t="s">
        <v>4575</v>
      </c>
      <c r="D92" s="5"/>
      <c r="E92" s="5"/>
      <c r="F92" s="5"/>
      <c r="G92" s="5"/>
      <c r="H92" s="5"/>
      <c r="I92" s="5"/>
      <c r="J92" s="5"/>
      <c r="K92" s="5" t="s">
        <v>993</v>
      </c>
      <c r="L92" s="5" t="s">
        <v>994</v>
      </c>
      <c r="M92" s="5" t="s">
        <v>4576</v>
      </c>
      <c r="N92" s="5">
        <v>41</v>
      </c>
      <c r="O92" s="5"/>
      <c r="P92" s="5" t="s">
        <v>995</v>
      </c>
      <c r="Q92" s="5">
        <v>36</v>
      </c>
      <c r="R92" s="5">
        <v>24</v>
      </c>
      <c r="S92" s="5">
        <v>5</v>
      </c>
      <c r="T92" s="5">
        <v>0</v>
      </c>
      <c r="U92" s="5" t="b">
        <v>0</v>
      </c>
      <c r="V92" s="5">
        <v>20</v>
      </c>
      <c r="W92" s="5">
        <v>0.6</v>
      </c>
      <c r="X92" s="5" t="s">
        <v>9</v>
      </c>
      <c r="Y92" s="5">
        <v>9</v>
      </c>
      <c r="Z92" s="5"/>
      <c r="AA92" s="5" t="s">
        <v>82</v>
      </c>
      <c r="AB92" s="5" t="s">
        <v>367</v>
      </c>
      <c r="AC92" s="5" t="b">
        <v>0</v>
      </c>
      <c r="AD92" s="5"/>
      <c r="AE92" s="5"/>
      <c r="AF92" s="5"/>
      <c r="AG92" s="5">
        <v>20</v>
      </c>
      <c r="AH92" s="5"/>
      <c r="AI92" s="5">
        <v>112</v>
      </c>
      <c r="AJ92" s="5"/>
      <c r="AK92" s="5" t="s">
        <v>996</v>
      </c>
      <c r="AL92" s="5">
        <v>2</v>
      </c>
      <c r="AM92" s="5"/>
      <c r="AN92" s="5">
        <v>10</v>
      </c>
      <c r="AO92" s="5"/>
      <c r="AP92" s="5">
        <v>0</v>
      </c>
      <c r="AQ92" s="5"/>
      <c r="AR92" s="5">
        <v>0</v>
      </c>
      <c r="AS92" s="5"/>
      <c r="AT92" s="5" t="s">
        <v>997</v>
      </c>
      <c r="AU92" s="5" t="s">
        <v>998</v>
      </c>
      <c r="AV92" s="5" t="s">
        <v>999</v>
      </c>
      <c r="AW92" s="8" t="str">
        <f>IFERROR(VLOOKUP(AA92,'Message Lookup'!D:J,7,FALSE),"")</f>
        <v>Sump Tank H2S Monitor Alarm LoLo Latched</v>
      </c>
    </row>
    <row r="93" spans="1:49" x14ac:dyDescent="0.25">
      <c r="A93" s="5" t="s">
        <v>4574</v>
      </c>
      <c r="B93" s="5" t="s">
        <v>992</v>
      </c>
      <c r="C93" s="5" t="s">
        <v>4575</v>
      </c>
      <c r="D93" s="5"/>
      <c r="E93" s="5"/>
      <c r="F93" s="5"/>
      <c r="G93" s="5"/>
      <c r="H93" s="5"/>
      <c r="I93" s="5"/>
      <c r="J93" s="5"/>
      <c r="K93" s="5" t="s">
        <v>993</v>
      </c>
      <c r="L93" s="5" t="s">
        <v>994</v>
      </c>
      <c r="M93" s="5" t="s">
        <v>4576</v>
      </c>
      <c r="N93" s="5">
        <v>41</v>
      </c>
      <c r="O93" s="5"/>
      <c r="P93" s="5" t="s">
        <v>995</v>
      </c>
      <c r="Q93" s="5">
        <v>36</v>
      </c>
      <c r="R93" s="5">
        <v>24</v>
      </c>
      <c r="S93" s="5">
        <v>5</v>
      </c>
      <c r="T93" s="5">
        <v>0</v>
      </c>
      <c r="U93" s="5" t="b">
        <v>0</v>
      </c>
      <c r="V93" s="5">
        <v>20</v>
      </c>
      <c r="W93" s="5">
        <v>0.6</v>
      </c>
      <c r="X93" s="5" t="s">
        <v>9</v>
      </c>
      <c r="Y93" s="5">
        <v>9</v>
      </c>
      <c r="Z93" s="5"/>
      <c r="AA93" s="5" t="s">
        <v>83</v>
      </c>
      <c r="AB93" s="5" t="s">
        <v>368</v>
      </c>
      <c r="AC93" s="5" t="b">
        <v>0</v>
      </c>
      <c r="AD93" s="5"/>
      <c r="AE93" s="5"/>
      <c r="AF93" s="5"/>
      <c r="AG93" s="5">
        <v>20</v>
      </c>
      <c r="AH93" s="5"/>
      <c r="AI93" s="5">
        <v>112</v>
      </c>
      <c r="AJ93" s="5"/>
      <c r="AK93" s="5" t="s">
        <v>996</v>
      </c>
      <c r="AL93" s="5">
        <v>2</v>
      </c>
      <c r="AM93" s="5"/>
      <c r="AN93" s="5">
        <v>10</v>
      </c>
      <c r="AO93" s="5"/>
      <c r="AP93" s="5">
        <v>0</v>
      </c>
      <c r="AQ93" s="5"/>
      <c r="AR93" s="5">
        <v>0</v>
      </c>
      <c r="AS93" s="5"/>
      <c r="AT93" s="5" t="s">
        <v>997</v>
      </c>
      <c r="AU93" s="5" t="s">
        <v>998</v>
      </c>
      <c r="AV93" s="5" t="s">
        <v>999</v>
      </c>
      <c r="AW93" s="8" t="str">
        <f>IFERROR(VLOOKUP(AA93,'Message Lookup'!D:J,7,FALSE),"")</f>
        <v>Sump Tank H2S Monitor Alarm Malfunction Latched</v>
      </c>
    </row>
    <row r="94" spans="1:49" x14ac:dyDescent="0.25">
      <c r="A94" s="5" t="s">
        <v>4574</v>
      </c>
      <c r="B94" s="5" t="s">
        <v>992</v>
      </c>
      <c r="C94" s="5" t="s">
        <v>4575</v>
      </c>
      <c r="D94" s="5"/>
      <c r="E94" s="5"/>
      <c r="F94" s="5"/>
      <c r="G94" s="5"/>
      <c r="H94" s="5"/>
      <c r="I94" s="5"/>
      <c r="J94" s="5"/>
      <c r="K94" s="5" t="s">
        <v>993</v>
      </c>
      <c r="L94" s="5" t="s">
        <v>994</v>
      </c>
      <c r="M94" s="5" t="s">
        <v>4576</v>
      </c>
      <c r="N94" s="5">
        <v>41</v>
      </c>
      <c r="O94" s="5"/>
      <c r="P94" s="5" t="s">
        <v>995</v>
      </c>
      <c r="Q94" s="5">
        <v>36</v>
      </c>
      <c r="R94" s="5">
        <v>24</v>
      </c>
      <c r="S94" s="5">
        <v>5</v>
      </c>
      <c r="T94" s="5">
        <v>0</v>
      </c>
      <c r="U94" s="5" t="b">
        <v>0</v>
      </c>
      <c r="V94" s="5">
        <v>20</v>
      </c>
      <c r="W94" s="5">
        <v>0.6</v>
      </c>
      <c r="X94" s="5" t="s">
        <v>9</v>
      </c>
      <c r="Y94" s="5">
        <v>9</v>
      </c>
      <c r="Z94" s="5"/>
      <c r="AA94" s="5" t="s">
        <v>84</v>
      </c>
      <c r="AB94" s="5" t="s">
        <v>369</v>
      </c>
      <c r="AC94" s="5" t="b">
        <v>0</v>
      </c>
      <c r="AD94" s="5"/>
      <c r="AE94" s="5"/>
      <c r="AF94" s="5"/>
      <c r="AG94" s="5">
        <v>20</v>
      </c>
      <c r="AH94" s="5"/>
      <c r="AI94" s="5">
        <v>112</v>
      </c>
      <c r="AJ94" s="5"/>
      <c r="AK94" s="5" t="s">
        <v>996</v>
      </c>
      <c r="AL94" s="5">
        <v>2</v>
      </c>
      <c r="AM94" s="5"/>
      <c r="AN94" s="5">
        <v>10</v>
      </c>
      <c r="AO94" s="5"/>
      <c r="AP94" s="5">
        <v>0</v>
      </c>
      <c r="AQ94" s="5"/>
      <c r="AR94" s="5">
        <v>0</v>
      </c>
      <c r="AS94" s="5"/>
      <c r="AT94" s="5" t="s">
        <v>997</v>
      </c>
      <c r="AU94" s="5" t="s">
        <v>998</v>
      </c>
      <c r="AV94" s="5" t="s">
        <v>999</v>
      </c>
      <c r="AW94" s="8" t="str">
        <f>IFERROR(VLOOKUP(AA94,'Message Lookup'!D:J,7,FALSE),"")</f>
        <v>P-2 H2S Monitor Alarm HiHi Latched</v>
      </c>
    </row>
    <row r="95" spans="1:49" x14ac:dyDescent="0.25">
      <c r="A95" s="5" t="s">
        <v>4574</v>
      </c>
      <c r="B95" s="5" t="s">
        <v>992</v>
      </c>
      <c r="C95" s="5" t="s">
        <v>4575</v>
      </c>
      <c r="D95" s="5"/>
      <c r="E95" s="5"/>
      <c r="F95" s="5"/>
      <c r="G95" s="5"/>
      <c r="H95" s="5"/>
      <c r="I95" s="5"/>
      <c r="J95" s="5"/>
      <c r="K95" s="5" t="s">
        <v>993</v>
      </c>
      <c r="L95" s="5" t="s">
        <v>994</v>
      </c>
      <c r="M95" s="5" t="s">
        <v>4576</v>
      </c>
      <c r="N95" s="5">
        <v>41</v>
      </c>
      <c r="O95" s="5"/>
      <c r="P95" s="5" t="s">
        <v>995</v>
      </c>
      <c r="Q95" s="5">
        <v>36</v>
      </c>
      <c r="R95" s="5">
        <v>24</v>
      </c>
      <c r="S95" s="5">
        <v>5</v>
      </c>
      <c r="T95" s="5">
        <v>0</v>
      </c>
      <c r="U95" s="5" t="b">
        <v>0</v>
      </c>
      <c r="V95" s="5">
        <v>20</v>
      </c>
      <c r="W95" s="5">
        <v>0.6</v>
      </c>
      <c r="X95" s="5" t="s">
        <v>9</v>
      </c>
      <c r="Y95" s="5">
        <v>9</v>
      </c>
      <c r="Z95" s="5"/>
      <c r="AA95" s="5" t="s">
        <v>85</v>
      </c>
      <c r="AB95" s="5" t="s">
        <v>370</v>
      </c>
      <c r="AC95" s="5" t="b">
        <v>0</v>
      </c>
      <c r="AD95" s="5"/>
      <c r="AE95" s="5"/>
      <c r="AF95" s="5"/>
      <c r="AG95" s="5">
        <v>20</v>
      </c>
      <c r="AH95" s="5"/>
      <c r="AI95" s="5">
        <v>112</v>
      </c>
      <c r="AJ95" s="5"/>
      <c r="AK95" s="5" t="s">
        <v>996</v>
      </c>
      <c r="AL95" s="5">
        <v>2</v>
      </c>
      <c r="AM95" s="5"/>
      <c r="AN95" s="5">
        <v>10</v>
      </c>
      <c r="AO95" s="5"/>
      <c r="AP95" s="5">
        <v>0</v>
      </c>
      <c r="AQ95" s="5"/>
      <c r="AR95" s="5">
        <v>0</v>
      </c>
      <c r="AS95" s="5"/>
      <c r="AT95" s="5" t="s">
        <v>997</v>
      </c>
      <c r="AU95" s="5" t="s">
        <v>998</v>
      </c>
      <c r="AV95" s="5" t="s">
        <v>999</v>
      </c>
      <c r="AW95" s="8" t="str">
        <f>IFERROR(VLOOKUP(AA95,'Message Lookup'!D:J,7,FALSE),"")</f>
        <v>P-2 H2S Monitor Alarm Hi Latched</v>
      </c>
    </row>
    <row r="96" spans="1:49" x14ac:dyDescent="0.25">
      <c r="A96" s="5" t="s">
        <v>4574</v>
      </c>
      <c r="B96" s="5" t="s">
        <v>992</v>
      </c>
      <c r="C96" s="5" t="s">
        <v>4575</v>
      </c>
      <c r="D96" s="5"/>
      <c r="E96" s="5"/>
      <c r="F96" s="5"/>
      <c r="G96" s="5"/>
      <c r="H96" s="5"/>
      <c r="I96" s="5"/>
      <c r="J96" s="5"/>
      <c r="K96" s="5" t="s">
        <v>993</v>
      </c>
      <c r="L96" s="5" t="s">
        <v>994</v>
      </c>
      <c r="M96" s="5" t="s">
        <v>4576</v>
      </c>
      <c r="N96" s="5">
        <v>41</v>
      </c>
      <c r="O96" s="5"/>
      <c r="P96" s="5" t="s">
        <v>995</v>
      </c>
      <c r="Q96" s="5">
        <v>36</v>
      </c>
      <c r="R96" s="5">
        <v>24</v>
      </c>
      <c r="S96" s="5">
        <v>5</v>
      </c>
      <c r="T96" s="5">
        <v>0</v>
      </c>
      <c r="U96" s="5" t="b">
        <v>0</v>
      </c>
      <c r="V96" s="5">
        <v>20</v>
      </c>
      <c r="W96" s="5">
        <v>0.6</v>
      </c>
      <c r="X96" s="5" t="s">
        <v>9</v>
      </c>
      <c r="Y96" s="5">
        <v>9</v>
      </c>
      <c r="Z96" s="5"/>
      <c r="AA96" s="5"/>
      <c r="AB96" s="5"/>
      <c r="AC96" s="5"/>
      <c r="AD96" s="5"/>
      <c r="AE96" s="5" t="s">
        <v>1000</v>
      </c>
      <c r="AF96" s="5" t="b">
        <v>0</v>
      </c>
      <c r="AG96" s="5">
        <v>20</v>
      </c>
      <c r="AH96" s="5"/>
      <c r="AI96" s="5">
        <v>112</v>
      </c>
      <c r="AJ96" s="5"/>
      <c r="AK96" s="5" t="s">
        <v>996</v>
      </c>
      <c r="AL96" s="5">
        <v>2</v>
      </c>
      <c r="AM96" s="5"/>
      <c r="AN96" s="5">
        <v>10</v>
      </c>
      <c r="AO96" s="5"/>
      <c r="AP96" s="5">
        <v>0</v>
      </c>
      <c r="AQ96" s="5"/>
      <c r="AR96" s="5">
        <v>0</v>
      </c>
      <c r="AS96" s="5"/>
      <c r="AT96" s="5" t="s">
        <v>997</v>
      </c>
      <c r="AU96" s="5" t="s">
        <v>998</v>
      </c>
      <c r="AV96" s="5" t="s">
        <v>999</v>
      </c>
      <c r="AW96" s="8" t="str">
        <f>IFERROR(VLOOKUP(AA96,'Message Lookup'!D:J,7,FALSE),"")</f>
        <v/>
      </c>
    </row>
    <row r="97" spans="1:49" x14ac:dyDescent="0.25">
      <c r="A97" s="5" t="s">
        <v>4574</v>
      </c>
      <c r="B97" s="5" t="s">
        <v>992</v>
      </c>
      <c r="C97" s="5" t="s">
        <v>4575</v>
      </c>
      <c r="D97" s="5"/>
      <c r="E97" s="5"/>
      <c r="F97" s="5"/>
      <c r="G97" s="5"/>
      <c r="H97" s="5"/>
      <c r="I97" s="5"/>
      <c r="J97" s="5"/>
      <c r="K97" s="5" t="s">
        <v>993</v>
      </c>
      <c r="L97" s="5" t="s">
        <v>994</v>
      </c>
      <c r="M97" s="5" t="s">
        <v>4576</v>
      </c>
      <c r="N97" s="5">
        <v>41</v>
      </c>
      <c r="O97" s="5"/>
      <c r="P97" s="5" t="s">
        <v>995</v>
      </c>
      <c r="Q97" s="5">
        <v>36</v>
      </c>
      <c r="R97" s="5">
        <v>24</v>
      </c>
      <c r="S97" s="5">
        <v>5</v>
      </c>
      <c r="T97" s="5">
        <v>0</v>
      </c>
      <c r="U97" s="5" t="b">
        <v>0</v>
      </c>
      <c r="V97" s="5">
        <v>20</v>
      </c>
      <c r="W97" s="5">
        <v>0.6</v>
      </c>
      <c r="X97" s="5" t="s">
        <v>9</v>
      </c>
      <c r="Y97" s="5">
        <v>9</v>
      </c>
      <c r="Z97" s="5"/>
      <c r="AA97" s="5"/>
      <c r="AB97" s="5"/>
      <c r="AC97" s="5"/>
      <c r="AD97" s="5" t="s">
        <v>1006</v>
      </c>
      <c r="AE97" s="5" t="s">
        <v>1002</v>
      </c>
      <c r="AF97" s="5" t="b">
        <v>0</v>
      </c>
      <c r="AG97" s="5">
        <v>20</v>
      </c>
      <c r="AH97" s="5"/>
      <c r="AI97" s="5">
        <v>112</v>
      </c>
      <c r="AJ97" s="5"/>
      <c r="AK97" s="5" t="s">
        <v>996</v>
      </c>
      <c r="AL97" s="5">
        <v>2</v>
      </c>
      <c r="AM97" s="5"/>
      <c r="AN97" s="5">
        <v>10</v>
      </c>
      <c r="AO97" s="5"/>
      <c r="AP97" s="5">
        <v>0</v>
      </c>
      <c r="AQ97" s="5"/>
      <c r="AR97" s="5">
        <v>0</v>
      </c>
      <c r="AS97" s="5"/>
      <c r="AT97" s="5" t="s">
        <v>997</v>
      </c>
      <c r="AU97" s="5" t="s">
        <v>998</v>
      </c>
      <c r="AV97" s="5" t="s">
        <v>999</v>
      </c>
      <c r="AW97" s="8" t="str">
        <f>IFERROR(VLOOKUP(AA97,'Message Lookup'!D:J,7,FALSE),"")</f>
        <v/>
      </c>
    </row>
    <row r="98" spans="1:49" x14ac:dyDescent="0.25">
      <c r="A98" s="5" t="s">
        <v>4574</v>
      </c>
      <c r="B98" s="5" t="s">
        <v>992</v>
      </c>
      <c r="C98" s="5" t="s">
        <v>4575</v>
      </c>
      <c r="D98" s="5"/>
      <c r="E98" s="5"/>
      <c r="F98" s="5"/>
      <c r="G98" s="5"/>
      <c r="H98" s="5"/>
      <c r="I98" s="5"/>
      <c r="J98" s="5"/>
      <c r="K98" s="5" t="s">
        <v>993</v>
      </c>
      <c r="L98" s="5" t="s">
        <v>994</v>
      </c>
      <c r="M98" s="5" t="s">
        <v>4576</v>
      </c>
      <c r="N98" s="5">
        <v>41</v>
      </c>
      <c r="O98" s="5"/>
      <c r="P98" s="5" t="s">
        <v>995</v>
      </c>
      <c r="Q98" s="5">
        <v>36</v>
      </c>
      <c r="R98" s="5">
        <v>24</v>
      </c>
      <c r="S98" s="5">
        <v>6</v>
      </c>
      <c r="T98" s="5">
        <v>0</v>
      </c>
      <c r="U98" s="5" t="b">
        <v>0</v>
      </c>
      <c r="V98" s="5">
        <v>20</v>
      </c>
      <c r="W98" s="5">
        <v>0.7</v>
      </c>
      <c r="X98" s="5" t="s">
        <v>9</v>
      </c>
      <c r="Y98" s="5">
        <v>9</v>
      </c>
      <c r="Z98" s="5"/>
      <c r="AA98" s="5"/>
      <c r="AB98" s="5" t="s">
        <v>354</v>
      </c>
      <c r="AC98" s="5" t="b">
        <v>0</v>
      </c>
      <c r="AD98" s="5"/>
      <c r="AE98" s="5"/>
      <c r="AF98" s="5"/>
      <c r="AG98" s="5">
        <v>20</v>
      </c>
      <c r="AH98" s="5">
        <v>20</v>
      </c>
      <c r="AI98" s="5">
        <v>134</v>
      </c>
      <c r="AJ98" s="5">
        <v>134</v>
      </c>
      <c r="AK98" s="5" t="s">
        <v>996</v>
      </c>
      <c r="AL98" s="5">
        <v>2</v>
      </c>
      <c r="AM98" s="5"/>
      <c r="AN98" s="5">
        <v>10</v>
      </c>
      <c r="AO98" s="5"/>
      <c r="AP98" s="5">
        <v>0</v>
      </c>
      <c r="AQ98" s="5"/>
      <c r="AR98" s="5">
        <v>0</v>
      </c>
      <c r="AS98" s="5"/>
      <c r="AT98" s="5" t="s">
        <v>997</v>
      </c>
      <c r="AU98" s="5" t="s">
        <v>998</v>
      </c>
      <c r="AV98" s="5" t="s">
        <v>999</v>
      </c>
      <c r="AW98" s="8" t="str">
        <f>IFERROR(VLOOKUP(AA98,'Message Lookup'!D:J,7,FALSE),"")</f>
        <v/>
      </c>
    </row>
    <row r="99" spans="1:49" x14ac:dyDescent="0.25">
      <c r="A99" s="5" t="s">
        <v>4574</v>
      </c>
      <c r="B99" s="5" t="s">
        <v>992</v>
      </c>
      <c r="C99" s="5" t="s">
        <v>4575</v>
      </c>
      <c r="D99" s="5"/>
      <c r="E99" s="5"/>
      <c r="F99" s="5"/>
      <c r="G99" s="5"/>
      <c r="H99" s="5"/>
      <c r="I99" s="5"/>
      <c r="J99" s="5"/>
      <c r="K99" s="5" t="s">
        <v>993</v>
      </c>
      <c r="L99" s="5" t="s">
        <v>994</v>
      </c>
      <c r="M99" s="5" t="s">
        <v>4576</v>
      </c>
      <c r="N99" s="5">
        <v>41</v>
      </c>
      <c r="O99" s="5"/>
      <c r="P99" s="5" t="s">
        <v>995</v>
      </c>
      <c r="Q99" s="5">
        <v>36</v>
      </c>
      <c r="R99" s="5">
        <v>24</v>
      </c>
      <c r="S99" s="5">
        <v>6</v>
      </c>
      <c r="T99" s="5">
        <v>0</v>
      </c>
      <c r="U99" s="5" t="b">
        <v>0</v>
      </c>
      <c r="V99" s="5">
        <v>20</v>
      </c>
      <c r="W99" s="5">
        <v>0.7</v>
      </c>
      <c r="X99" s="5" t="s">
        <v>9</v>
      </c>
      <c r="Y99" s="5">
        <v>9</v>
      </c>
      <c r="Z99" s="5"/>
      <c r="AA99" s="5" t="s">
        <v>86</v>
      </c>
      <c r="AB99" s="5" t="s">
        <v>355</v>
      </c>
      <c r="AC99" s="5" t="b">
        <v>0</v>
      </c>
      <c r="AD99" s="5"/>
      <c r="AE99" s="5"/>
      <c r="AF99" s="5"/>
      <c r="AG99" s="5">
        <v>20</v>
      </c>
      <c r="AH99" s="5"/>
      <c r="AI99" s="5">
        <v>134</v>
      </c>
      <c r="AJ99" s="5"/>
      <c r="AK99" s="5" t="s">
        <v>996</v>
      </c>
      <c r="AL99" s="5">
        <v>2</v>
      </c>
      <c r="AM99" s="5"/>
      <c r="AN99" s="5">
        <v>10</v>
      </c>
      <c r="AO99" s="5"/>
      <c r="AP99" s="5">
        <v>0</v>
      </c>
      <c r="AQ99" s="5"/>
      <c r="AR99" s="5">
        <v>0</v>
      </c>
      <c r="AS99" s="5"/>
      <c r="AT99" s="5" t="s">
        <v>997</v>
      </c>
      <c r="AU99" s="5" t="s">
        <v>998</v>
      </c>
      <c r="AV99" s="5" t="s">
        <v>999</v>
      </c>
      <c r="AW99" s="8" t="str">
        <f>IFERROR(VLOOKUP(AA99,'Message Lookup'!D:J,7,FALSE),"")</f>
        <v>P-2 H2S Monitor Alarm Lo Condition</v>
      </c>
    </row>
    <row r="100" spans="1:49" x14ac:dyDescent="0.25">
      <c r="A100" s="5" t="s">
        <v>4574</v>
      </c>
      <c r="B100" s="5" t="s">
        <v>992</v>
      </c>
      <c r="C100" s="5" t="s">
        <v>4575</v>
      </c>
      <c r="D100" s="5"/>
      <c r="E100" s="5"/>
      <c r="F100" s="5"/>
      <c r="G100" s="5"/>
      <c r="H100" s="5"/>
      <c r="I100" s="5"/>
      <c r="J100" s="5"/>
      <c r="K100" s="5" t="s">
        <v>993</v>
      </c>
      <c r="L100" s="5" t="s">
        <v>994</v>
      </c>
      <c r="M100" s="5" t="s">
        <v>4576</v>
      </c>
      <c r="N100" s="5">
        <v>41</v>
      </c>
      <c r="O100" s="5"/>
      <c r="P100" s="5" t="s">
        <v>995</v>
      </c>
      <c r="Q100" s="5">
        <v>36</v>
      </c>
      <c r="R100" s="5">
        <v>24</v>
      </c>
      <c r="S100" s="5">
        <v>6</v>
      </c>
      <c r="T100" s="5">
        <v>0</v>
      </c>
      <c r="U100" s="5" t="b">
        <v>0</v>
      </c>
      <c r="V100" s="5">
        <v>20</v>
      </c>
      <c r="W100" s="5">
        <v>0.7</v>
      </c>
      <c r="X100" s="5" t="s">
        <v>9</v>
      </c>
      <c r="Y100" s="5">
        <v>9</v>
      </c>
      <c r="Z100" s="5"/>
      <c r="AA100" s="5" t="s">
        <v>87</v>
      </c>
      <c r="AB100" s="5" t="s">
        <v>356</v>
      </c>
      <c r="AC100" s="5" t="b">
        <v>0</v>
      </c>
      <c r="AD100" s="5"/>
      <c r="AE100" s="5"/>
      <c r="AF100" s="5"/>
      <c r="AG100" s="5">
        <v>20</v>
      </c>
      <c r="AH100" s="5"/>
      <c r="AI100" s="5">
        <v>134</v>
      </c>
      <c r="AJ100" s="5"/>
      <c r="AK100" s="5" t="s">
        <v>996</v>
      </c>
      <c r="AL100" s="5">
        <v>2</v>
      </c>
      <c r="AM100" s="5"/>
      <c r="AN100" s="5">
        <v>10</v>
      </c>
      <c r="AO100" s="5"/>
      <c r="AP100" s="5">
        <v>0</v>
      </c>
      <c r="AQ100" s="5"/>
      <c r="AR100" s="5">
        <v>0</v>
      </c>
      <c r="AS100" s="5"/>
      <c r="AT100" s="5" t="s">
        <v>997</v>
      </c>
      <c r="AU100" s="5" t="s">
        <v>998</v>
      </c>
      <c r="AV100" s="5" t="s">
        <v>999</v>
      </c>
      <c r="AW100" s="8" t="str">
        <f>IFERROR(VLOOKUP(AA100,'Message Lookup'!D:J,7,FALSE),"")</f>
        <v>P-2 H2S Monitor Alarm LoLo Latched</v>
      </c>
    </row>
    <row r="101" spans="1:49" x14ac:dyDescent="0.25">
      <c r="A101" s="5" t="s">
        <v>4574</v>
      </c>
      <c r="B101" s="5" t="s">
        <v>992</v>
      </c>
      <c r="C101" s="5" t="s">
        <v>4575</v>
      </c>
      <c r="D101" s="5"/>
      <c r="E101" s="5"/>
      <c r="F101" s="5"/>
      <c r="G101" s="5"/>
      <c r="H101" s="5"/>
      <c r="I101" s="5"/>
      <c r="J101" s="5"/>
      <c r="K101" s="5" t="s">
        <v>993</v>
      </c>
      <c r="L101" s="5" t="s">
        <v>994</v>
      </c>
      <c r="M101" s="5" t="s">
        <v>4576</v>
      </c>
      <c r="N101" s="5">
        <v>41</v>
      </c>
      <c r="O101" s="5"/>
      <c r="P101" s="5" t="s">
        <v>995</v>
      </c>
      <c r="Q101" s="5">
        <v>36</v>
      </c>
      <c r="R101" s="5">
        <v>24</v>
      </c>
      <c r="S101" s="5">
        <v>6</v>
      </c>
      <c r="T101" s="5">
        <v>0</v>
      </c>
      <c r="U101" s="5" t="b">
        <v>0</v>
      </c>
      <c r="V101" s="5">
        <v>20</v>
      </c>
      <c r="W101" s="5">
        <v>0.7</v>
      </c>
      <c r="X101" s="5" t="s">
        <v>9</v>
      </c>
      <c r="Y101" s="5">
        <v>9</v>
      </c>
      <c r="Z101" s="5"/>
      <c r="AA101" s="5" t="s">
        <v>88</v>
      </c>
      <c r="AB101" s="5" t="s">
        <v>357</v>
      </c>
      <c r="AC101" s="5" t="b">
        <v>0</v>
      </c>
      <c r="AD101" s="5"/>
      <c r="AE101" s="5"/>
      <c r="AF101" s="5"/>
      <c r="AG101" s="5">
        <v>20</v>
      </c>
      <c r="AH101" s="5"/>
      <c r="AI101" s="5">
        <v>134</v>
      </c>
      <c r="AJ101" s="5"/>
      <c r="AK101" s="5" t="s">
        <v>996</v>
      </c>
      <c r="AL101" s="5">
        <v>2</v>
      </c>
      <c r="AM101" s="5"/>
      <c r="AN101" s="5">
        <v>10</v>
      </c>
      <c r="AO101" s="5"/>
      <c r="AP101" s="5">
        <v>0</v>
      </c>
      <c r="AQ101" s="5"/>
      <c r="AR101" s="5">
        <v>0</v>
      </c>
      <c r="AS101" s="5"/>
      <c r="AT101" s="5" t="s">
        <v>997</v>
      </c>
      <c r="AU101" s="5" t="s">
        <v>998</v>
      </c>
      <c r="AV101" s="5" t="s">
        <v>999</v>
      </c>
      <c r="AW101" s="8" t="str">
        <f>IFERROR(VLOOKUP(AA101,'Message Lookup'!D:J,7,FALSE),"")</f>
        <v>P-2 H2S Monitor Alarm Malfunction Latched</v>
      </c>
    </row>
    <row r="102" spans="1:49" x14ac:dyDescent="0.25">
      <c r="A102" s="5" t="s">
        <v>4574</v>
      </c>
      <c r="B102" s="5" t="s">
        <v>992</v>
      </c>
      <c r="C102" s="5" t="s">
        <v>4575</v>
      </c>
      <c r="D102" s="5"/>
      <c r="E102" s="5"/>
      <c r="F102" s="5"/>
      <c r="G102" s="5"/>
      <c r="H102" s="5"/>
      <c r="I102" s="5"/>
      <c r="J102" s="5"/>
      <c r="K102" s="5" t="s">
        <v>993</v>
      </c>
      <c r="L102" s="5" t="s">
        <v>994</v>
      </c>
      <c r="M102" s="5" t="s">
        <v>4576</v>
      </c>
      <c r="N102" s="5">
        <v>41</v>
      </c>
      <c r="O102" s="5"/>
      <c r="P102" s="5" t="s">
        <v>995</v>
      </c>
      <c r="Q102" s="5">
        <v>36</v>
      </c>
      <c r="R102" s="5">
        <v>24</v>
      </c>
      <c r="S102" s="5">
        <v>6</v>
      </c>
      <c r="T102" s="5">
        <v>0</v>
      </c>
      <c r="U102" s="5" t="b">
        <v>0</v>
      </c>
      <c r="V102" s="5">
        <v>20</v>
      </c>
      <c r="W102" s="5">
        <v>0.7</v>
      </c>
      <c r="X102" s="5" t="s">
        <v>9</v>
      </c>
      <c r="Y102" s="5">
        <v>9</v>
      </c>
      <c r="Z102" s="5"/>
      <c r="AA102" s="5" t="s">
        <v>89</v>
      </c>
      <c r="AB102" s="5" t="s">
        <v>358</v>
      </c>
      <c r="AC102" s="5" t="b">
        <v>0</v>
      </c>
      <c r="AD102" s="5"/>
      <c r="AE102" s="5"/>
      <c r="AF102" s="5"/>
      <c r="AG102" s="5">
        <v>20</v>
      </c>
      <c r="AH102" s="5"/>
      <c r="AI102" s="5">
        <v>134</v>
      </c>
      <c r="AJ102" s="5"/>
      <c r="AK102" s="5" t="s">
        <v>996</v>
      </c>
      <c r="AL102" s="5">
        <v>2</v>
      </c>
      <c r="AM102" s="5"/>
      <c r="AN102" s="5">
        <v>10</v>
      </c>
      <c r="AO102" s="5"/>
      <c r="AP102" s="5">
        <v>0</v>
      </c>
      <c r="AQ102" s="5"/>
      <c r="AR102" s="5">
        <v>0</v>
      </c>
      <c r="AS102" s="5"/>
      <c r="AT102" s="5" t="s">
        <v>997</v>
      </c>
      <c r="AU102" s="5" t="s">
        <v>998</v>
      </c>
      <c r="AV102" s="5" t="s">
        <v>999</v>
      </c>
      <c r="AW102" s="8" t="str">
        <f>IFERROR(VLOOKUP(AA102,'Message Lookup'!D:J,7,FALSE),"")</f>
        <v>P-1 LEL Alarm HiHi Latched</v>
      </c>
    </row>
    <row r="103" spans="1:49" x14ac:dyDescent="0.25">
      <c r="A103" s="5" t="s">
        <v>4574</v>
      </c>
      <c r="B103" s="5" t="s">
        <v>992</v>
      </c>
      <c r="C103" s="5" t="s">
        <v>4575</v>
      </c>
      <c r="D103" s="5"/>
      <c r="E103" s="5"/>
      <c r="F103" s="5"/>
      <c r="G103" s="5"/>
      <c r="H103" s="5"/>
      <c r="I103" s="5"/>
      <c r="J103" s="5"/>
      <c r="K103" s="5" t="s">
        <v>993</v>
      </c>
      <c r="L103" s="5" t="s">
        <v>994</v>
      </c>
      <c r="M103" s="5" t="s">
        <v>4576</v>
      </c>
      <c r="N103" s="5">
        <v>41</v>
      </c>
      <c r="O103" s="5"/>
      <c r="P103" s="5" t="s">
        <v>995</v>
      </c>
      <c r="Q103" s="5">
        <v>36</v>
      </c>
      <c r="R103" s="5">
        <v>24</v>
      </c>
      <c r="S103" s="5">
        <v>6</v>
      </c>
      <c r="T103" s="5">
        <v>0</v>
      </c>
      <c r="U103" s="5" t="b">
        <v>0</v>
      </c>
      <c r="V103" s="5">
        <v>20</v>
      </c>
      <c r="W103" s="5">
        <v>0.7</v>
      </c>
      <c r="X103" s="5" t="s">
        <v>9</v>
      </c>
      <c r="Y103" s="5">
        <v>9</v>
      </c>
      <c r="Z103" s="5"/>
      <c r="AA103" s="5" t="s">
        <v>90</v>
      </c>
      <c r="AB103" s="5" t="s">
        <v>359</v>
      </c>
      <c r="AC103" s="5" t="b">
        <v>0</v>
      </c>
      <c r="AD103" s="5"/>
      <c r="AE103" s="5"/>
      <c r="AF103" s="5"/>
      <c r="AG103" s="5">
        <v>20</v>
      </c>
      <c r="AH103" s="5"/>
      <c r="AI103" s="5">
        <v>134</v>
      </c>
      <c r="AJ103" s="5"/>
      <c r="AK103" s="5" t="s">
        <v>996</v>
      </c>
      <c r="AL103" s="5">
        <v>2</v>
      </c>
      <c r="AM103" s="5"/>
      <c r="AN103" s="5">
        <v>10</v>
      </c>
      <c r="AO103" s="5"/>
      <c r="AP103" s="5">
        <v>0</v>
      </c>
      <c r="AQ103" s="5"/>
      <c r="AR103" s="5">
        <v>0</v>
      </c>
      <c r="AS103" s="5"/>
      <c r="AT103" s="5" t="s">
        <v>997</v>
      </c>
      <c r="AU103" s="5" t="s">
        <v>998</v>
      </c>
      <c r="AV103" s="5" t="s">
        <v>999</v>
      </c>
      <c r="AW103" s="8" t="str">
        <f>IFERROR(VLOOKUP(AA103,'Message Lookup'!D:J,7,FALSE),"")</f>
        <v>P-1 LEL Alarm Hi Latched</v>
      </c>
    </row>
    <row r="104" spans="1:49" x14ac:dyDescent="0.25">
      <c r="A104" s="5" t="s">
        <v>4574</v>
      </c>
      <c r="B104" s="5" t="s">
        <v>992</v>
      </c>
      <c r="C104" s="5" t="s">
        <v>4575</v>
      </c>
      <c r="D104" s="5"/>
      <c r="E104" s="5"/>
      <c r="F104" s="5"/>
      <c r="G104" s="5"/>
      <c r="H104" s="5"/>
      <c r="I104" s="5"/>
      <c r="J104" s="5"/>
      <c r="K104" s="5" t="s">
        <v>993</v>
      </c>
      <c r="L104" s="5" t="s">
        <v>994</v>
      </c>
      <c r="M104" s="5" t="s">
        <v>4576</v>
      </c>
      <c r="N104" s="5">
        <v>41</v>
      </c>
      <c r="O104" s="5"/>
      <c r="P104" s="5" t="s">
        <v>995</v>
      </c>
      <c r="Q104" s="5">
        <v>36</v>
      </c>
      <c r="R104" s="5">
        <v>24</v>
      </c>
      <c r="S104" s="5">
        <v>6</v>
      </c>
      <c r="T104" s="5">
        <v>0</v>
      </c>
      <c r="U104" s="5" t="b">
        <v>0</v>
      </c>
      <c r="V104" s="5">
        <v>20</v>
      </c>
      <c r="W104" s="5">
        <v>0.7</v>
      </c>
      <c r="X104" s="5" t="s">
        <v>9</v>
      </c>
      <c r="Y104" s="5">
        <v>9</v>
      </c>
      <c r="Z104" s="5"/>
      <c r="AA104" s="5" t="s">
        <v>91</v>
      </c>
      <c r="AB104" s="5" t="s">
        <v>360</v>
      </c>
      <c r="AC104" s="5" t="b">
        <v>0</v>
      </c>
      <c r="AD104" s="5"/>
      <c r="AE104" s="5"/>
      <c r="AF104" s="5"/>
      <c r="AG104" s="5">
        <v>20</v>
      </c>
      <c r="AH104" s="5"/>
      <c r="AI104" s="5">
        <v>134</v>
      </c>
      <c r="AJ104" s="5"/>
      <c r="AK104" s="5" t="s">
        <v>996</v>
      </c>
      <c r="AL104" s="5">
        <v>2</v>
      </c>
      <c r="AM104" s="5"/>
      <c r="AN104" s="5">
        <v>10</v>
      </c>
      <c r="AO104" s="5"/>
      <c r="AP104" s="5">
        <v>0</v>
      </c>
      <c r="AQ104" s="5"/>
      <c r="AR104" s="5">
        <v>0</v>
      </c>
      <c r="AS104" s="5"/>
      <c r="AT104" s="5" t="s">
        <v>997</v>
      </c>
      <c r="AU104" s="5" t="s">
        <v>998</v>
      </c>
      <c r="AV104" s="5" t="s">
        <v>999</v>
      </c>
      <c r="AW104" s="8" t="str">
        <f>IFERROR(VLOOKUP(AA104,'Message Lookup'!D:J,7,FALSE),"")</f>
        <v>P-1 LEL Alarm Lo Condition</v>
      </c>
    </row>
    <row r="105" spans="1:49" x14ac:dyDescent="0.25">
      <c r="A105" s="5" t="s">
        <v>4574</v>
      </c>
      <c r="B105" s="5" t="s">
        <v>992</v>
      </c>
      <c r="C105" s="5" t="s">
        <v>4575</v>
      </c>
      <c r="D105" s="5"/>
      <c r="E105" s="5"/>
      <c r="F105" s="5"/>
      <c r="G105" s="5"/>
      <c r="H105" s="5"/>
      <c r="I105" s="5"/>
      <c r="J105" s="5"/>
      <c r="K105" s="5" t="s">
        <v>993</v>
      </c>
      <c r="L105" s="5" t="s">
        <v>994</v>
      </c>
      <c r="M105" s="5" t="s">
        <v>4576</v>
      </c>
      <c r="N105" s="5">
        <v>41</v>
      </c>
      <c r="O105" s="5"/>
      <c r="P105" s="5" t="s">
        <v>995</v>
      </c>
      <c r="Q105" s="5">
        <v>36</v>
      </c>
      <c r="R105" s="5">
        <v>24</v>
      </c>
      <c r="S105" s="5">
        <v>6</v>
      </c>
      <c r="T105" s="5">
        <v>0</v>
      </c>
      <c r="U105" s="5" t="b">
        <v>0</v>
      </c>
      <c r="V105" s="5">
        <v>20</v>
      </c>
      <c r="W105" s="5">
        <v>0.7</v>
      </c>
      <c r="X105" s="5" t="s">
        <v>9</v>
      </c>
      <c r="Y105" s="5">
        <v>9</v>
      </c>
      <c r="Z105" s="5"/>
      <c r="AA105" s="5" t="s">
        <v>92</v>
      </c>
      <c r="AB105" s="5" t="s">
        <v>361</v>
      </c>
      <c r="AC105" s="5" t="b">
        <v>0</v>
      </c>
      <c r="AD105" s="5"/>
      <c r="AE105" s="5"/>
      <c r="AF105" s="5"/>
      <c r="AG105" s="5">
        <v>20</v>
      </c>
      <c r="AH105" s="5"/>
      <c r="AI105" s="5">
        <v>134</v>
      </c>
      <c r="AJ105" s="5"/>
      <c r="AK105" s="5" t="s">
        <v>996</v>
      </c>
      <c r="AL105" s="5">
        <v>2</v>
      </c>
      <c r="AM105" s="5"/>
      <c r="AN105" s="5">
        <v>10</v>
      </c>
      <c r="AO105" s="5"/>
      <c r="AP105" s="5">
        <v>0</v>
      </c>
      <c r="AQ105" s="5"/>
      <c r="AR105" s="5">
        <v>0</v>
      </c>
      <c r="AS105" s="5"/>
      <c r="AT105" s="5" t="s">
        <v>997</v>
      </c>
      <c r="AU105" s="5" t="s">
        <v>998</v>
      </c>
      <c r="AV105" s="5" t="s">
        <v>999</v>
      </c>
      <c r="AW105" s="8" t="str">
        <f>IFERROR(VLOOKUP(AA105,'Message Lookup'!D:J,7,FALSE),"")</f>
        <v>P-1 LEL Alarm LoLo Latched</v>
      </c>
    </row>
    <row r="106" spans="1:49" x14ac:dyDescent="0.25">
      <c r="A106" s="5" t="s">
        <v>4574</v>
      </c>
      <c r="B106" s="5" t="s">
        <v>992</v>
      </c>
      <c r="C106" s="5" t="s">
        <v>4575</v>
      </c>
      <c r="D106" s="5"/>
      <c r="E106" s="5"/>
      <c r="F106" s="5"/>
      <c r="G106" s="5"/>
      <c r="H106" s="5"/>
      <c r="I106" s="5"/>
      <c r="J106" s="5"/>
      <c r="K106" s="5" t="s">
        <v>993</v>
      </c>
      <c r="L106" s="5" t="s">
        <v>994</v>
      </c>
      <c r="M106" s="5" t="s">
        <v>4576</v>
      </c>
      <c r="N106" s="5">
        <v>41</v>
      </c>
      <c r="O106" s="5"/>
      <c r="P106" s="5" t="s">
        <v>995</v>
      </c>
      <c r="Q106" s="5">
        <v>36</v>
      </c>
      <c r="R106" s="5">
        <v>24</v>
      </c>
      <c r="S106" s="5">
        <v>6</v>
      </c>
      <c r="T106" s="5">
        <v>0</v>
      </c>
      <c r="U106" s="5" t="b">
        <v>0</v>
      </c>
      <c r="V106" s="5">
        <v>20</v>
      </c>
      <c r="W106" s="5">
        <v>0.7</v>
      </c>
      <c r="X106" s="5" t="s">
        <v>9</v>
      </c>
      <c r="Y106" s="5">
        <v>9</v>
      </c>
      <c r="Z106" s="5"/>
      <c r="AA106" s="5" t="s">
        <v>93</v>
      </c>
      <c r="AB106" s="5" t="s">
        <v>362</v>
      </c>
      <c r="AC106" s="5" t="b">
        <v>0</v>
      </c>
      <c r="AD106" s="5"/>
      <c r="AE106" s="5"/>
      <c r="AF106" s="5"/>
      <c r="AG106" s="5">
        <v>20</v>
      </c>
      <c r="AH106" s="5"/>
      <c r="AI106" s="5">
        <v>134</v>
      </c>
      <c r="AJ106" s="5"/>
      <c r="AK106" s="5" t="s">
        <v>996</v>
      </c>
      <c r="AL106" s="5">
        <v>2</v>
      </c>
      <c r="AM106" s="5"/>
      <c r="AN106" s="5">
        <v>10</v>
      </c>
      <c r="AO106" s="5"/>
      <c r="AP106" s="5">
        <v>0</v>
      </c>
      <c r="AQ106" s="5"/>
      <c r="AR106" s="5">
        <v>0</v>
      </c>
      <c r="AS106" s="5"/>
      <c r="AT106" s="5" t="s">
        <v>997</v>
      </c>
      <c r="AU106" s="5" t="s">
        <v>998</v>
      </c>
      <c r="AV106" s="5" t="s">
        <v>999</v>
      </c>
      <c r="AW106" s="8" t="str">
        <f>IFERROR(VLOOKUP(AA106,'Message Lookup'!D:J,7,FALSE),"")</f>
        <v>P-1 LEL Alarm Malfunction Latched</v>
      </c>
    </row>
    <row r="107" spans="1:49" x14ac:dyDescent="0.25">
      <c r="A107" s="5" t="s">
        <v>4574</v>
      </c>
      <c r="B107" s="5" t="s">
        <v>992</v>
      </c>
      <c r="C107" s="5" t="s">
        <v>4575</v>
      </c>
      <c r="D107" s="5"/>
      <c r="E107" s="5"/>
      <c r="F107" s="5"/>
      <c r="G107" s="5"/>
      <c r="H107" s="5"/>
      <c r="I107" s="5"/>
      <c r="J107" s="5"/>
      <c r="K107" s="5" t="s">
        <v>993</v>
      </c>
      <c r="L107" s="5" t="s">
        <v>994</v>
      </c>
      <c r="M107" s="5" t="s">
        <v>4576</v>
      </c>
      <c r="N107" s="5">
        <v>41</v>
      </c>
      <c r="O107" s="5"/>
      <c r="P107" s="5" t="s">
        <v>995</v>
      </c>
      <c r="Q107" s="5">
        <v>36</v>
      </c>
      <c r="R107" s="5">
        <v>24</v>
      </c>
      <c r="S107" s="5">
        <v>6</v>
      </c>
      <c r="T107" s="5">
        <v>0</v>
      </c>
      <c r="U107" s="5" t="b">
        <v>0</v>
      </c>
      <c r="V107" s="5">
        <v>20</v>
      </c>
      <c r="W107" s="5">
        <v>0.7</v>
      </c>
      <c r="X107" s="5" t="s">
        <v>9</v>
      </c>
      <c r="Y107" s="5">
        <v>9</v>
      </c>
      <c r="Z107" s="5"/>
      <c r="AA107" s="5" t="s">
        <v>94</v>
      </c>
      <c r="AB107" s="5" t="s">
        <v>363</v>
      </c>
      <c r="AC107" s="5" t="b">
        <v>0</v>
      </c>
      <c r="AD107" s="5"/>
      <c r="AE107" s="5"/>
      <c r="AF107" s="5"/>
      <c r="AG107" s="5">
        <v>20</v>
      </c>
      <c r="AH107" s="5"/>
      <c r="AI107" s="5">
        <v>134</v>
      </c>
      <c r="AJ107" s="5"/>
      <c r="AK107" s="5" t="s">
        <v>996</v>
      </c>
      <c r="AL107" s="5">
        <v>2</v>
      </c>
      <c r="AM107" s="5"/>
      <c r="AN107" s="5">
        <v>10</v>
      </c>
      <c r="AO107" s="5"/>
      <c r="AP107" s="5">
        <v>0</v>
      </c>
      <c r="AQ107" s="5"/>
      <c r="AR107" s="5">
        <v>0</v>
      </c>
      <c r="AS107" s="5"/>
      <c r="AT107" s="5" t="s">
        <v>997</v>
      </c>
      <c r="AU107" s="5" t="s">
        <v>998</v>
      </c>
      <c r="AV107" s="5" t="s">
        <v>999</v>
      </c>
      <c r="AW107" s="8" t="str">
        <f>IFERROR(VLOOKUP(AA107,'Message Lookup'!D:J,7,FALSE),"")</f>
        <v>Sump Tank LEL Alarm HiHi Latched</v>
      </c>
    </row>
    <row r="108" spans="1:49" x14ac:dyDescent="0.25">
      <c r="A108" s="5" t="s">
        <v>4574</v>
      </c>
      <c r="B108" s="5" t="s">
        <v>992</v>
      </c>
      <c r="C108" s="5" t="s">
        <v>4575</v>
      </c>
      <c r="D108" s="5"/>
      <c r="E108" s="5"/>
      <c r="F108" s="5"/>
      <c r="G108" s="5"/>
      <c r="H108" s="5"/>
      <c r="I108" s="5"/>
      <c r="J108" s="5"/>
      <c r="K108" s="5" t="s">
        <v>993</v>
      </c>
      <c r="L108" s="5" t="s">
        <v>994</v>
      </c>
      <c r="M108" s="5" t="s">
        <v>4576</v>
      </c>
      <c r="N108" s="5">
        <v>41</v>
      </c>
      <c r="O108" s="5"/>
      <c r="P108" s="5" t="s">
        <v>995</v>
      </c>
      <c r="Q108" s="5">
        <v>36</v>
      </c>
      <c r="R108" s="5">
        <v>24</v>
      </c>
      <c r="S108" s="5">
        <v>6</v>
      </c>
      <c r="T108" s="5">
        <v>0</v>
      </c>
      <c r="U108" s="5" t="b">
        <v>0</v>
      </c>
      <c r="V108" s="5">
        <v>20</v>
      </c>
      <c r="W108" s="5">
        <v>0.7</v>
      </c>
      <c r="X108" s="5" t="s">
        <v>9</v>
      </c>
      <c r="Y108" s="5">
        <v>9</v>
      </c>
      <c r="Z108" s="5"/>
      <c r="AA108" s="5" t="s">
        <v>95</v>
      </c>
      <c r="AB108" s="5" t="s">
        <v>364</v>
      </c>
      <c r="AC108" s="5" t="b">
        <v>0</v>
      </c>
      <c r="AD108" s="5"/>
      <c r="AE108" s="5"/>
      <c r="AF108" s="5"/>
      <c r="AG108" s="5">
        <v>20</v>
      </c>
      <c r="AH108" s="5"/>
      <c r="AI108" s="5">
        <v>134</v>
      </c>
      <c r="AJ108" s="5"/>
      <c r="AK108" s="5" t="s">
        <v>996</v>
      </c>
      <c r="AL108" s="5">
        <v>2</v>
      </c>
      <c r="AM108" s="5"/>
      <c r="AN108" s="5">
        <v>10</v>
      </c>
      <c r="AO108" s="5"/>
      <c r="AP108" s="5">
        <v>0</v>
      </c>
      <c r="AQ108" s="5"/>
      <c r="AR108" s="5">
        <v>0</v>
      </c>
      <c r="AS108" s="5"/>
      <c r="AT108" s="5" t="s">
        <v>997</v>
      </c>
      <c r="AU108" s="5" t="s">
        <v>998</v>
      </c>
      <c r="AV108" s="5" t="s">
        <v>999</v>
      </c>
      <c r="AW108" s="8" t="str">
        <f>IFERROR(VLOOKUP(AA108,'Message Lookup'!D:J,7,FALSE),"")</f>
        <v>Sump Tank LEL Alarm Hi Latched</v>
      </c>
    </row>
    <row r="109" spans="1:49" x14ac:dyDescent="0.25">
      <c r="A109" s="5" t="s">
        <v>4574</v>
      </c>
      <c r="B109" s="5" t="s">
        <v>992</v>
      </c>
      <c r="C109" s="5" t="s">
        <v>4575</v>
      </c>
      <c r="D109" s="5"/>
      <c r="E109" s="5"/>
      <c r="F109" s="5"/>
      <c r="G109" s="5"/>
      <c r="H109" s="5"/>
      <c r="I109" s="5"/>
      <c r="J109" s="5"/>
      <c r="K109" s="5" t="s">
        <v>993</v>
      </c>
      <c r="L109" s="5" t="s">
        <v>994</v>
      </c>
      <c r="M109" s="5" t="s">
        <v>4576</v>
      </c>
      <c r="N109" s="5">
        <v>41</v>
      </c>
      <c r="O109" s="5"/>
      <c r="P109" s="5" t="s">
        <v>995</v>
      </c>
      <c r="Q109" s="5">
        <v>36</v>
      </c>
      <c r="R109" s="5">
        <v>24</v>
      </c>
      <c r="S109" s="5">
        <v>6</v>
      </c>
      <c r="T109" s="5">
        <v>0</v>
      </c>
      <c r="U109" s="5" t="b">
        <v>0</v>
      </c>
      <c r="V109" s="5">
        <v>20</v>
      </c>
      <c r="W109" s="5">
        <v>0.7</v>
      </c>
      <c r="X109" s="5" t="s">
        <v>9</v>
      </c>
      <c r="Y109" s="5">
        <v>9</v>
      </c>
      <c r="Z109" s="5"/>
      <c r="AA109" s="5" t="s">
        <v>96</v>
      </c>
      <c r="AB109" s="5" t="s">
        <v>365</v>
      </c>
      <c r="AC109" s="5" t="b">
        <v>0</v>
      </c>
      <c r="AD109" s="5"/>
      <c r="AE109" s="5"/>
      <c r="AF109" s="5"/>
      <c r="AG109" s="5">
        <v>20</v>
      </c>
      <c r="AH109" s="5"/>
      <c r="AI109" s="5">
        <v>134</v>
      </c>
      <c r="AJ109" s="5"/>
      <c r="AK109" s="5" t="s">
        <v>996</v>
      </c>
      <c r="AL109" s="5">
        <v>2</v>
      </c>
      <c r="AM109" s="5"/>
      <c r="AN109" s="5">
        <v>10</v>
      </c>
      <c r="AO109" s="5"/>
      <c r="AP109" s="5">
        <v>0</v>
      </c>
      <c r="AQ109" s="5"/>
      <c r="AR109" s="5">
        <v>0</v>
      </c>
      <c r="AS109" s="5"/>
      <c r="AT109" s="5" t="s">
        <v>997</v>
      </c>
      <c r="AU109" s="5" t="s">
        <v>998</v>
      </c>
      <c r="AV109" s="5" t="s">
        <v>999</v>
      </c>
      <c r="AW109" s="8" t="str">
        <f>IFERROR(VLOOKUP(AA109,'Message Lookup'!D:J,7,FALSE),"")</f>
        <v>Sump Tank LEL Alarm Lo Condition</v>
      </c>
    </row>
    <row r="110" spans="1:49" x14ac:dyDescent="0.25">
      <c r="A110" s="5" t="s">
        <v>4574</v>
      </c>
      <c r="B110" s="5" t="s">
        <v>992</v>
      </c>
      <c r="C110" s="5" t="s">
        <v>4575</v>
      </c>
      <c r="D110" s="5"/>
      <c r="E110" s="5"/>
      <c r="F110" s="5"/>
      <c r="G110" s="5"/>
      <c r="H110" s="5"/>
      <c r="I110" s="5"/>
      <c r="J110" s="5"/>
      <c r="K110" s="5" t="s">
        <v>993</v>
      </c>
      <c r="L110" s="5" t="s">
        <v>994</v>
      </c>
      <c r="M110" s="5" t="s">
        <v>4576</v>
      </c>
      <c r="N110" s="5">
        <v>41</v>
      </c>
      <c r="O110" s="5"/>
      <c r="P110" s="5" t="s">
        <v>995</v>
      </c>
      <c r="Q110" s="5">
        <v>36</v>
      </c>
      <c r="R110" s="5">
        <v>24</v>
      </c>
      <c r="S110" s="5">
        <v>6</v>
      </c>
      <c r="T110" s="5">
        <v>0</v>
      </c>
      <c r="U110" s="5" t="b">
        <v>0</v>
      </c>
      <c r="V110" s="5">
        <v>20</v>
      </c>
      <c r="W110" s="5">
        <v>0.7</v>
      </c>
      <c r="X110" s="5" t="s">
        <v>9</v>
      </c>
      <c r="Y110" s="5">
        <v>9</v>
      </c>
      <c r="Z110" s="5"/>
      <c r="AA110" s="5" t="s">
        <v>97</v>
      </c>
      <c r="AB110" s="5" t="s">
        <v>366</v>
      </c>
      <c r="AC110" s="5" t="b">
        <v>0</v>
      </c>
      <c r="AD110" s="5"/>
      <c r="AE110" s="5"/>
      <c r="AF110" s="5"/>
      <c r="AG110" s="5">
        <v>20</v>
      </c>
      <c r="AH110" s="5"/>
      <c r="AI110" s="5">
        <v>134</v>
      </c>
      <c r="AJ110" s="5"/>
      <c r="AK110" s="5" t="s">
        <v>996</v>
      </c>
      <c r="AL110" s="5">
        <v>2</v>
      </c>
      <c r="AM110" s="5"/>
      <c r="AN110" s="5">
        <v>10</v>
      </c>
      <c r="AO110" s="5"/>
      <c r="AP110" s="5">
        <v>0</v>
      </c>
      <c r="AQ110" s="5"/>
      <c r="AR110" s="5">
        <v>0</v>
      </c>
      <c r="AS110" s="5"/>
      <c r="AT110" s="5" t="s">
        <v>997</v>
      </c>
      <c r="AU110" s="5" t="s">
        <v>998</v>
      </c>
      <c r="AV110" s="5" t="s">
        <v>999</v>
      </c>
      <c r="AW110" s="8" t="str">
        <f>IFERROR(VLOOKUP(AA110,'Message Lookup'!D:J,7,FALSE),"")</f>
        <v>Sump Tank LEL Alarm LoLo Latched</v>
      </c>
    </row>
    <row r="111" spans="1:49" x14ac:dyDescent="0.25">
      <c r="A111" s="5" t="s">
        <v>4574</v>
      </c>
      <c r="B111" s="5" t="s">
        <v>992</v>
      </c>
      <c r="C111" s="5" t="s">
        <v>4575</v>
      </c>
      <c r="D111" s="5"/>
      <c r="E111" s="5"/>
      <c r="F111" s="5"/>
      <c r="G111" s="5"/>
      <c r="H111" s="5"/>
      <c r="I111" s="5"/>
      <c r="J111" s="5"/>
      <c r="K111" s="5" t="s">
        <v>993</v>
      </c>
      <c r="L111" s="5" t="s">
        <v>994</v>
      </c>
      <c r="M111" s="5" t="s">
        <v>4576</v>
      </c>
      <c r="N111" s="5">
        <v>41</v>
      </c>
      <c r="O111" s="5"/>
      <c r="P111" s="5" t="s">
        <v>995</v>
      </c>
      <c r="Q111" s="5">
        <v>36</v>
      </c>
      <c r="R111" s="5">
        <v>24</v>
      </c>
      <c r="S111" s="5">
        <v>6</v>
      </c>
      <c r="T111" s="5">
        <v>0</v>
      </c>
      <c r="U111" s="5" t="b">
        <v>0</v>
      </c>
      <c r="V111" s="5">
        <v>20</v>
      </c>
      <c r="W111" s="5">
        <v>0.7</v>
      </c>
      <c r="X111" s="5" t="s">
        <v>9</v>
      </c>
      <c r="Y111" s="5">
        <v>9</v>
      </c>
      <c r="Z111" s="5"/>
      <c r="AA111" s="5" t="s">
        <v>98</v>
      </c>
      <c r="AB111" s="5" t="s">
        <v>367</v>
      </c>
      <c r="AC111" s="5" t="b">
        <v>0</v>
      </c>
      <c r="AD111" s="5"/>
      <c r="AE111" s="5"/>
      <c r="AF111" s="5"/>
      <c r="AG111" s="5">
        <v>20</v>
      </c>
      <c r="AH111" s="5"/>
      <c r="AI111" s="5">
        <v>134</v>
      </c>
      <c r="AJ111" s="5"/>
      <c r="AK111" s="5" t="s">
        <v>996</v>
      </c>
      <c r="AL111" s="5">
        <v>2</v>
      </c>
      <c r="AM111" s="5"/>
      <c r="AN111" s="5">
        <v>10</v>
      </c>
      <c r="AO111" s="5"/>
      <c r="AP111" s="5">
        <v>0</v>
      </c>
      <c r="AQ111" s="5"/>
      <c r="AR111" s="5">
        <v>0</v>
      </c>
      <c r="AS111" s="5"/>
      <c r="AT111" s="5" t="s">
        <v>997</v>
      </c>
      <c r="AU111" s="5" t="s">
        <v>998</v>
      </c>
      <c r="AV111" s="5" t="s">
        <v>999</v>
      </c>
      <c r="AW111" s="8" t="str">
        <f>IFERROR(VLOOKUP(AA111,'Message Lookup'!D:J,7,FALSE),"")</f>
        <v>Sump Tank LEL Alarm Malfunction Latched</v>
      </c>
    </row>
    <row r="112" spans="1:49" x14ac:dyDescent="0.25">
      <c r="A112" s="5" t="s">
        <v>4574</v>
      </c>
      <c r="B112" s="5" t="s">
        <v>992</v>
      </c>
      <c r="C112" s="5" t="s">
        <v>4575</v>
      </c>
      <c r="D112" s="5"/>
      <c r="E112" s="5"/>
      <c r="F112" s="5"/>
      <c r="G112" s="5"/>
      <c r="H112" s="5"/>
      <c r="I112" s="5"/>
      <c r="J112" s="5"/>
      <c r="K112" s="5" t="s">
        <v>993</v>
      </c>
      <c r="L112" s="5" t="s">
        <v>994</v>
      </c>
      <c r="M112" s="5" t="s">
        <v>4576</v>
      </c>
      <c r="N112" s="5">
        <v>41</v>
      </c>
      <c r="O112" s="5"/>
      <c r="P112" s="5" t="s">
        <v>995</v>
      </c>
      <c r="Q112" s="5">
        <v>36</v>
      </c>
      <c r="R112" s="5">
        <v>24</v>
      </c>
      <c r="S112" s="5">
        <v>6</v>
      </c>
      <c r="T112" s="5">
        <v>0</v>
      </c>
      <c r="U112" s="5" t="b">
        <v>0</v>
      </c>
      <c r="V112" s="5">
        <v>20</v>
      </c>
      <c r="W112" s="5">
        <v>0.7</v>
      </c>
      <c r="X112" s="5" t="s">
        <v>9</v>
      </c>
      <c r="Y112" s="5">
        <v>9</v>
      </c>
      <c r="Z112" s="5"/>
      <c r="AA112" s="5" t="s">
        <v>99</v>
      </c>
      <c r="AB112" s="5" t="s">
        <v>368</v>
      </c>
      <c r="AC112" s="5" t="b">
        <v>0</v>
      </c>
      <c r="AD112" s="5"/>
      <c r="AE112" s="5"/>
      <c r="AF112" s="5"/>
      <c r="AG112" s="5">
        <v>20</v>
      </c>
      <c r="AH112" s="5"/>
      <c r="AI112" s="5">
        <v>134</v>
      </c>
      <c r="AJ112" s="5"/>
      <c r="AK112" s="5" t="s">
        <v>996</v>
      </c>
      <c r="AL112" s="5">
        <v>2</v>
      </c>
      <c r="AM112" s="5"/>
      <c r="AN112" s="5">
        <v>10</v>
      </c>
      <c r="AO112" s="5"/>
      <c r="AP112" s="5">
        <v>0</v>
      </c>
      <c r="AQ112" s="5"/>
      <c r="AR112" s="5">
        <v>0</v>
      </c>
      <c r="AS112" s="5"/>
      <c r="AT112" s="5" t="s">
        <v>997</v>
      </c>
      <c r="AU112" s="5" t="s">
        <v>998</v>
      </c>
      <c r="AV112" s="5" t="s">
        <v>999</v>
      </c>
      <c r="AW112" s="8" t="str">
        <f>IFERROR(VLOOKUP(AA112,'Message Lookup'!D:J,7,FALSE),"")</f>
        <v>P-2 LEL Alarm HiHi Latched</v>
      </c>
    </row>
    <row r="113" spans="1:49" x14ac:dyDescent="0.25">
      <c r="A113" s="5" t="s">
        <v>4574</v>
      </c>
      <c r="B113" s="5" t="s">
        <v>992</v>
      </c>
      <c r="C113" s="5" t="s">
        <v>4575</v>
      </c>
      <c r="D113" s="5"/>
      <c r="E113" s="5"/>
      <c r="F113" s="5"/>
      <c r="G113" s="5"/>
      <c r="H113" s="5"/>
      <c r="I113" s="5"/>
      <c r="J113" s="5"/>
      <c r="K113" s="5" t="s">
        <v>993</v>
      </c>
      <c r="L113" s="5" t="s">
        <v>994</v>
      </c>
      <c r="M113" s="5" t="s">
        <v>4576</v>
      </c>
      <c r="N113" s="5">
        <v>41</v>
      </c>
      <c r="O113" s="5"/>
      <c r="P113" s="5" t="s">
        <v>995</v>
      </c>
      <c r="Q113" s="5">
        <v>36</v>
      </c>
      <c r="R113" s="5">
        <v>24</v>
      </c>
      <c r="S113" s="5">
        <v>6</v>
      </c>
      <c r="T113" s="5">
        <v>0</v>
      </c>
      <c r="U113" s="5" t="b">
        <v>0</v>
      </c>
      <c r="V113" s="5">
        <v>20</v>
      </c>
      <c r="W113" s="5">
        <v>0.7</v>
      </c>
      <c r="X113" s="5" t="s">
        <v>9</v>
      </c>
      <c r="Y113" s="5">
        <v>9</v>
      </c>
      <c r="Z113" s="5"/>
      <c r="AA113" s="5" t="s">
        <v>100</v>
      </c>
      <c r="AB113" s="5" t="s">
        <v>369</v>
      </c>
      <c r="AC113" s="5" t="b">
        <v>0</v>
      </c>
      <c r="AD113" s="5"/>
      <c r="AE113" s="5"/>
      <c r="AF113" s="5"/>
      <c r="AG113" s="5">
        <v>20</v>
      </c>
      <c r="AH113" s="5"/>
      <c r="AI113" s="5">
        <v>134</v>
      </c>
      <c r="AJ113" s="5"/>
      <c r="AK113" s="5" t="s">
        <v>996</v>
      </c>
      <c r="AL113" s="5">
        <v>2</v>
      </c>
      <c r="AM113" s="5"/>
      <c r="AN113" s="5">
        <v>10</v>
      </c>
      <c r="AO113" s="5"/>
      <c r="AP113" s="5">
        <v>0</v>
      </c>
      <c r="AQ113" s="5"/>
      <c r="AR113" s="5">
        <v>0</v>
      </c>
      <c r="AS113" s="5"/>
      <c r="AT113" s="5" t="s">
        <v>997</v>
      </c>
      <c r="AU113" s="5" t="s">
        <v>998</v>
      </c>
      <c r="AV113" s="5" t="s">
        <v>999</v>
      </c>
      <c r="AW113" s="8" t="str">
        <f>IFERROR(VLOOKUP(AA113,'Message Lookup'!D:J,7,FALSE),"")</f>
        <v>P-2 LEL Alarm Hi Latched</v>
      </c>
    </row>
    <row r="114" spans="1:49" x14ac:dyDescent="0.25">
      <c r="A114" s="5" t="s">
        <v>4574</v>
      </c>
      <c r="B114" s="5" t="s">
        <v>992</v>
      </c>
      <c r="C114" s="5" t="s">
        <v>4575</v>
      </c>
      <c r="D114" s="5"/>
      <c r="E114" s="5"/>
      <c r="F114" s="5"/>
      <c r="G114" s="5"/>
      <c r="H114" s="5"/>
      <c r="I114" s="5"/>
      <c r="J114" s="5"/>
      <c r="K114" s="5" t="s">
        <v>993</v>
      </c>
      <c r="L114" s="5" t="s">
        <v>994</v>
      </c>
      <c r="M114" s="5" t="s">
        <v>4576</v>
      </c>
      <c r="N114" s="5">
        <v>41</v>
      </c>
      <c r="O114" s="5"/>
      <c r="P114" s="5" t="s">
        <v>995</v>
      </c>
      <c r="Q114" s="5">
        <v>36</v>
      </c>
      <c r="R114" s="5">
        <v>24</v>
      </c>
      <c r="S114" s="5">
        <v>6</v>
      </c>
      <c r="T114" s="5">
        <v>0</v>
      </c>
      <c r="U114" s="5" t="b">
        <v>0</v>
      </c>
      <c r="V114" s="5">
        <v>20</v>
      </c>
      <c r="W114" s="5">
        <v>0.7</v>
      </c>
      <c r="X114" s="5" t="s">
        <v>9</v>
      </c>
      <c r="Y114" s="5">
        <v>9</v>
      </c>
      <c r="Z114" s="5"/>
      <c r="AA114" s="5" t="s">
        <v>101</v>
      </c>
      <c r="AB114" s="5" t="s">
        <v>370</v>
      </c>
      <c r="AC114" s="5" t="b">
        <v>0</v>
      </c>
      <c r="AD114" s="5"/>
      <c r="AE114" s="5"/>
      <c r="AF114" s="5"/>
      <c r="AG114" s="5">
        <v>20</v>
      </c>
      <c r="AH114" s="5"/>
      <c r="AI114" s="5">
        <v>134</v>
      </c>
      <c r="AJ114" s="5"/>
      <c r="AK114" s="5" t="s">
        <v>996</v>
      </c>
      <c r="AL114" s="5">
        <v>2</v>
      </c>
      <c r="AM114" s="5"/>
      <c r="AN114" s="5">
        <v>10</v>
      </c>
      <c r="AO114" s="5"/>
      <c r="AP114" s="5">
        <v>0</v>
      </c>
      <c r="AQ114" s="5"/>
      <c r="AR114" s="5">
        <v>0</v>
      </c>
      <c r="AS114" s="5"/>
      <c r="AT114" s="5" t="s">
        <v>997</v>
      </c>
      <c r="AU114" s="5" t="s">
        <v>998</v>
      </c>
      <c r="AV114" s="5" t="s">
        <v>999</v>
      </c>
      <c r="AW114" s="8" t="str">
        <f>IFERROR(VLOOKUP(AA114,'Message Lookup'!D:J,7,FALSE),"")</f>
        <v>P-2 LEL Alarm Lo Condition</v>
      </c>
    </row>
    <row r="115" spans="1:49" x14ac:dyDescent="0.25">
      <c r="A115" s="5" t="s">
        <v>4574</v>
      </c>
      <c r="B115" s="5" t="s">
        <v>992</v>
      </c>
      <c r="C115" s="5" t="s">
        <v>4575</v>
      </c>
      <c r="D115" s="5"/>
      <c r="E115" s="5"/>
      <c r="F115" s="5"/>
      <c r="G115" s="5"/>
      <c r="H115" s="5"/>
      <c r="I115" s="5"/>
      <c r="J115" s="5"/>
      <c r="K115" s="5" t="s">
        <v>993</v>
      </c>
      <c r="L115" s="5" t="s">
        <v>994</v>
      </c>
      <c r="M115" s="5" t="s">
        <v>4576</v>
      </c>
      <c r="N115" s="5">
        <v>41</v>
      </c>
      <c r="O115" s="5"/>
      <c r="P115" s="5" t="s">
        <v>995</v>
      </c>
      <c r="Q115" s="5">
        <v>36</v>
      </c>
      <c r="R115" s="5">
        <v>24</v>
      </c>
      <c r="S115" s="5">
        <v>6</v>
      </c>
      <c r="T115" s="5">
        <v>0</v>
      </c>
      <c r="U115" s="5" t="b">
        <v>0</v>
      </c>
      <c r="V115" s="5">
        <v>20</v>
      </c>
      <c r="W115" s="5">
        <v>0.7</v>
      </c>
      <c r="X115" s="5" t="s">
        <v>9</v>
      </c>
      <c r="Y115" s="5">
        <v>9</v>
      </c>
      <c r="Z115" s="5"/>
      <c r="AA115" s="5"/>
      <c r="AB115" s="5"/>
      <c r="AC115" s="5"/>
      <c r="AD115" s="5"/>
      <c r="AE115" s="5" t="s">
        <v>1000</v>
      </c>
      <c r="AF115" s="5" t="b">
        <v>0</v>
      </c>
      <c r="AG115" s="5">
        <v>20</v>
      </c>
      <c r="AH115" s="5"/>
      <c r="AI115" s="5">
        <v>134</v>
      </c>
      <c r="AJ115" s="5"/>
      <c r="AK115" s="5" t="s">
        <v>996</v>
      </c>
      <c r="AL115" s="5">
        <v>2</v>
      </c>
      <c r="AM115" s="5"/>
      <c r="AN115" s="5">
        <v>10</v>
      </c>
      <c r="AO115" s="5"/>
      <c r="AP115" s="5">
        <v>0</v>
      </c>
      <c r="AQ115" s="5"/>
      <c r="AR115" s="5">
        <v>0</v>
      </c>
      <c r="AS115" s="5"/>
      <c r="AT115" s="5" t="s">
        <v>997</v>
      </c>
      <c r="AU115" s="5" t="s">
        <v>998</v>
      </c>
      <c r="AV115" s="5" t="s">
        <v>999</v>
      </c>
      <c r="AW115" s="8" t="str">
        <f>IFERROR(VLOOKUP(AA115,'Message Lookup'!D:J,7,FALSE),"")</f>
        <v/>
      </c>
    </row>
    <row r="116" spans="1:49" x14ac:dyDescent="0.25">
      <c r="A116" s="5" t="s">
        <v>4574</v>
      </c>
      <c r="B116" s="5" t="s">
        <v>992</v>
      </c>
      <c r="C116" s="5" t="s">
        <v>4575</v>
      </c>
      <c r="D116" s="5"/>
      <c r="E116" s="5"/>
      <c r="F116" s="5"/>
      <c r="G116" s="5"/>
      <c r="H116" s="5"/>
      <c r="I116" s="5"/>
      <c r="J116" s="5"/>
      <c r="K116" s="5" t="s">
        <v>993</v>
      </c>
      <c r="L116" s="5" t="s">
        <v>994</v>
      </c>
      <c r="M116" s="5" t="s">
        <v>4576</v>
      </c>
      <c r="N116" s="5">
        <v>41</v>
      </c>
      <c r="O116" s="5"/>
      <c r="P116" s="5" t="s">
        <v>995</v>
      </c>
      <c r="Q116" s="5">
        <v>36</v>
      </c>
      <c r="R116" s="5">
        <v>24</v>
      </c>
      <c r="S116" s="5">
        <v>6</v>
      </c>
      <c r="T116" s="5">
        <v>0</v>
      </c>
      <c r="U116" s="5" t="b">
        <v>0</v>
      </c>
      <c r="V116" s="5">
        <v>20</v>
      </c>
      <c r="W116" s="5">
        <v>0.7</v>
      </c>
      <c r="X116" s="5" t="s">
        <v>9</v>
      </c>
      <c r="Y116" s="5">
        <v>9</v>
      </c>
      <c r="Z116" s="5"/>
      <c r="AA116" s="5"/>
      <c r="AB116" s="5"/>
      <c r="AC116" s="5"/>
      <c r="AD116" s="5" t="s">
        <v>1007</v>
      </c>
      <c r="AE116" s="5" t="s">
        <v>1002</v>
      </c>
      <c r="AF116" s="5" t="b">
        <v>0</v>
      </c>
      <c r="AG116" s="5">
        <v>20</v>
      </c>
      <c r="AH116" s="5"/>
      <c r="AI116" s="5">
        <v>134</v>
      </c>
      <c r="AJ116" s="5"/>
      <c r="AK116" s="5" t="s">
        <v>996</v>
      </c>
      <c r="AL116" s="5">
        <v>2</v>
      </c>
      <c r="AM116" s="5"/>
      <c r="AN116" s="5">
        <v>10</v>
      </c>
      <c r="AO116" s="5"/>
      <c r="AP116" s="5">
        <v>0</v>
      </c>
      <c r="AQ116" s="5"/>
      <c r="AR116" s="5">
        <v>0</v>
      </c>
      <c r="AS116" s="5"/>
      <c r="AT116" s="5" t="s">
        <v>997</v>
      </c>
      <c r="AU116" s="5" t="s">
        <v>998</v>
      </c>
      <c r="AV116" s="5" t="s">
        <v>999</v>
      </c>
      <c r="AW116" s="8" t="str">
        <f>IFERROR(VLOOKUP(AA116,'Message Lookup'!D:J,7,FALSE),"")</f>
        <v/>
      </c>
    </row>
    <row r="117" spans="1:49" x14ac:dyDescent="0.25">
      <c r="A117" s="5" t="s">
        <v>4574</v>
      </c>
      <c r="B117" s="5" t="s">
        <v>992</v>
      </c>
      <c r="C117" s="5" t="s">
        <v>4575</v>
      </c>
      <c r="D117" s="5"/>
      <c r="E117" s="5"/>
      <c r="F117" s="5"/>
      <c r="G117" s="5"/>
      <c r="H117" s="5"/>
      <c r="I117" s="5"/>
      <c r="J117" s="5"/>
      <c r="K117" s="5" t="s">
        <v>993</v>
      </c>
      <c r="L117" s="5" t="s">
        <v>994</v>
      </c>
      <c r="M117" s="5" t="s">
        <v>4576</v>
      </c>
      <c r="N117" s="5">
        <v>41</v>
      </c>
      <c r="O117" s="5"/>
      <c r="P117" s="5" t="s">
        <v>995</v>
      </c>
      <c r="Q117" s="5">
        <v>36</v>
      </c>
      <c r="R117" s="5">
        <v>24</v>
      </c>
      <c r="S117" s="5">
        <v>7</v>
      </c>
      <c r="T117" s="5">
        <v>0</v>
      </c>
      <c r="U117" s="5" t="b">
        <v>0</v>
      </c>
      <c r="V117" s="5">
        <v>20</v>
      </c>
      <c r="W117" s="5">
        <v>0.8</v>
      </c>
      <c r="X117" s="5" t="s">
        <v>9</v>
      </c>
      <c r="Y117" s="5">
        <v>9</v>
      </c>
      <c r="Z117" s="5"/>
      <c r="AA117" s="5"/>
      <c r="AB117" s="5" t="s">
        <v>354</v>
      </c>
      <c r="AC117" s="5" t="b">
        <v>0</v>
      </c>
      <c r="AD117" s="5"/>
      <c r="AE117" s="5"/>
      <c r="AF117" s="5"/>
      <c r="AG117" s="5">
        <v>20</v>
      </c>
      <c r="AH117" s="5">
        <v>20</v>
      </c>
      <c r="AI117" s="5">
        <v>155</v>
      </c>
      <c r="AJ117" s="5">
        <v>155</v>
      </c>
      <c r="AK117" s="5" t="s">
        <v>996</v>
      </c>
      <c r="AL117" s="5">
        <v>2</v>
      </c>
      <c r="AM117" s="5"/>
      <c r="AN117" s="5">
        <v>10</v>
      </c>
      <c r="AO117" s="5"/>
      <c r="AP117" s="5">
        <v>0</v>
      </c>
      <c r="AQ117" s="5"/>
      <c r="AR117" s="5">
        <v>0</v>
      </c>
      <c r="AS117" s="5"/>
      <c r="AT117" s="5" t="s">
        <v>997</v>
      </c>
      <c r="AU117" s="5" t="s">
        <v>998</v>
      </c>
      <c r="AV117" s="5" t="s">
        <v>999</v>
      </c>
      <c r="AW117" s="8" t="str">
        <f>IFERROR(VLOOKUP(AA117,'Message Lookup'!D:J,7,FALSE),"")</f>
        <v/>
      </c>
    </row>
    <row r="118" spans="1:49" x14ac:dyDescent="0.25">
      <c r="A118" s="5" t="s">
        <v>4574</v>
      </c>
      <c r="B118" s="5" t="s">
        <v>992</v>
      </c>
      <c r="C118" s="5" t="s">
        <v>4575</v>
      </c>
      <c r="D118" s="5"/>
      <c r="E118" s="5"/>
      <c r="F118" s="5"/>
      <c r="G118" s="5"/>
      <c r="H118" s="5"/>
      <c r="I118" s="5"/>
      <c r="J118" s="5"/>
      <c r="K118" s="5" t="s">
        <v>993</v>
      </c>
      <c r="L118" s="5" t="s">
        <v>994</v>
      </c>
      <c r="M118" s="5" t="s">
        <v>4576</v>
      </c>
      <c r="N118" s="5">
        <v>41</v>
      </c>
      <c r="O118" s="5"/>
      <c r="P118" s="5" t="s">
        <v>995</v>
      </c>
      <c r="Q118" s="5">
        <v>36</v>
      </c>
      <c r="R118" s="5">
        <v>24</v>
      </c>
      <c r="S118" s="5">
        <v>7</v>
      </c>
      <c r="T118" s="5">
        <v>0</v>
      </c>
      <c r="U118" s="5" t="b">
        <v>0</v>
      </c>
      <c r="V118" s="5">
        <v>20</v>
      </c>
      <c r="W118" s="5">
        <v>0.8</v>
      </c>
      <c r="X118" s="5" t="s">
        <v>9</v>
      </c>
      <c r="Y118" s="5">
        <v>9</v>
      </c>
      <c r="Z118" s="5"/>
      <c r="AA118" s="5" t="s">
        <v>102</v>
      </c>
      <c r="AB118" s="5" t="s">
        <v>355</v>
      </c>
      <c r="AC118" s="5" t="b">
        <v>0</v>
      </c>
      <c r="AD118" s="5"/>
      <c r="AE118" s="5"/>
      <c r="AF118" s="5"/>
      <c r="AG118" s="5">
        <v>20</v>
      </c>
      <c r="AH118" s="5"/>
      <c r="AI118" s="5">
        <v>155</v>
      </c>
      <c r="AJ118" s="5"/>
      <c r="AK118" s="5" t="s">
        <v>996</v>
      </c>
      <c r="AL118" s="5">
        <v>2</v>
      </c>
      <c r="AM118" s="5"/>
      <c r="AN118" s="5">
        <v>10</v>
      </c>
      <c r="AO118" s="5"/>
      <c r="AP118" s="5">
        <v>0</v>
      </c>
      <c r="AQ118" s="5"/>
      <c r="AR118" s="5">
        <v>0</v>
      </c>
      <c r="AS118" s="5"/>
      <c r="AT118" s="5" t="s">
        <v>997</v>
      </c>
      <c r="AU118" s="5" t="s">
        <v>998</v>
      </c>
      <c r="AV118" s="5" t="s">
        <v>999</v>
      </c>
      <c r="AW118" s="8" t="str">
        <f>IFERROR(VLOOKUP(AA118,'Message Lookup'!D:J,7,FALSE),"")</f>
        <v>P-2 LEL Alarm LoLo Latched</v>
      </c>
    </row>
    <row r="119" spans="1:49" x14ac:dyDescent="0.25">
      <c r="A119" s="5" t="s">
        <v>4574</v>
      </c>
      <c r="B119" s="5" t="s">
        <v>992</v>
      </c>
      <c r="C119" s="5" t="s">
        <v>4575</v>
      </c>
      <c r="D119" s="5"/>
      <c r="E119" s="5"/>
      <c r="F119" s="5"/>
      <c r="G119" s="5"/>
      <c r="H119" s="5"/>
      <c r="I119" s="5"/>
      <c r="J119" s="5"/>
      <c r="K119" s="5" t="s">
        <v>993</v>
      </c>
      <c r="L119" s="5" t="s">
        <v>994</v>
      </c>
      <c r="M119" s="5" t="s">
        <v>4576</v>
      </c>
      <c r="N119" s="5">
        <v>41</v>
      </c>
      <c r="O119" s="5"/>
      <c r="P119" s="5" t="s">
        <v>995</v>
      </c>
      <c r="Q119" s="5">
        <v>36</v>
      </c>
      <c r="R119" s="5">
        <v>24</v>
      </c>
      <c r="S119" s="5">
        <v>7</v>
      </c>
      <c r="T119" s="5">
        <v>0</v>
      </c>
      <c r="U119" s="5" t="b">
        <v>0</v>
      </c>
      <c r="V119" s="5">
        <v>20</v>
      </c>
      <c r="W119" s="5">
        <v>0.8</v>
      </c>
      <c r="X119" s="5" t="s">
        <v>9</v>
      </c>
      <c r="Y119" s="5">
        <v>9</v>
      </c>
      <c r="Z119" s="5"/>
      <c r="AA119" s="5" t="s">
        <v>103</v>
      </c>
      <c r="AB119" s="5" t="s">
        <v>356</v>
      </c>
      <c r="AC119" s="5" t="b">
        <v>0</v>
      </c>
      <c r="AD119" s="5"/>
      <c r="AE119" s="5"/>
      <c r="AF119" s="5"/>
      <c r="AG119" s="5">
        <v>20</v>
      </c>
      <c r="AH119" s="5"/>
      <c r="AI119" s="5">
        <v>155</v>
      </c>
      <c r="AJ119" s="5"/>
      <c r="AK119" s="5" t="s">
        <v>996</v>
      </c>
      <c r="AL119" s="5">
        <v>2</v>
      </c>
      <c r="AM119" s="5"/>
      <c r="AN119" s="5">
        <v>10</v>
      </c>
      <c r="AO119" s="5"/>
      <c r="AP119" s="5">
        <v>0</v>
      </c>
      <c r="AQ119" s="5"/>
      <c r="AR119" s="5">
        <v>0</v>
      </c>
      <c r="AS119" s="5"/>
      <c r="AT119" s="5" t="s">
        <v>997</v>
      </c>
      <c r="AU119" s="5" t="s">
        <v>998</v>
      </c>
      <c r="AV119" s="5" t="s">
        <v>999</v>
      </c>
      <c r="AW119" s="8" t="str">
        <f>IFERROR(VLOOKUP(AA119,'Message Lookup'!D:J,7,FALSE),"")</f>
        <v>P-2 LEL Alarm Malfunction Latched</v>
      </c>
    </row>
    <row r="120" spans="1:49" x14ac:dyDescent="0.25">
      <c r="A120" s="5" t="s">
        <v>4574</v>
      </c>
      <c r="B120" s="5" t="s">
        <v>992</v>
      </c>
      <c r="C120" s="5" t="s">
        <v>4575</v>
      </c>
      <c r="D120" s="5"/>
      <c r="E120" s="5"/>
      <c r="F120" s="5"/>
      <c r="G120" s="5"/>
      <c r="H120" s="5"/>
      <c r="I120" s="5"/>
      <c r="J120" s="5"/>
      <c r="K120" s="5" t="s">
        <v>993</v>
      </c>
      <c r="L120" s="5" t="s">
        <v>994</v>
      </c>
      <c r="M120" s="5" t="s">
        <v>4576</v>
      </c>
      <c r="N120" s="5">
        <v>41</v>
      </c>
      <c r="O120" s="5"/>
      <c r="P120" s="5" t="s">
        <v>995</v>
      </c>
      <c r="Q120" s="5">
        <v>36</v>
      </c>
      <c r="R120" s="5">
        <v>24</v>
      </c>
      <c r="S120" s="5">
        <v>7</v>
      </c>
      <c r="T120" s="5">
        <v>0</v>
      </c>
      <c r="U120" s="5" t="b">
        <v>0</v>
      </c>
      <c r="V120" s="5">
        <v>20</v>
      </c>
      <c r="W120" s="5">
        <v>0.8</v>
      </c>
      <c r="X120" s="5" t="s">
        <v>9</v>
      </c>
      <c r="Y120" s="5">
        <v>9</v>
      </c>
      <c r="Z120" s="5"/>
      <c r="AA120" s="5" t="s">
        <v>104</v>
      </c>
      <c r="AB120" s="5" t="s">
        <v>357</v>
      </c>
      <c r="AC120" s="5" t="b">
        <v>0</v>
      </c>
      <c r="AD120" s="5"/>
      <c r="AE120" s="5"/>
      <c r="AF120" s="5"/>
      <c r="AG120" s="5">
        <v>20</v>
      </c>
      <c r="AH120" s="5"/>
      <c r="AI120" s="5">
        <v>155</v>
      </c>
      <c r="AJ120" s="5"/>
      <c r="AK120" s="5" t="s">
        <v>996</v>
      </c>
      <c r="AL120" s="5">
        <v>2</v>
      </c>
      <c r="AM120" s="5"/>
      <c r="AN120" s="5">
        <v>10</v>
      </c>
      <c r="AO120" s="5"/>
      <c r="AP120" s="5">
        <v>0</v>
      </c>
      <c r="AQ120" s="5"/>
      <c r="AR120" s="5">
        <v>0</v>
      </c>
      <c r="AS120" s="5"/>
      <c r="AT120" s="5" t="s">
        <v>997</v>
      </c>
      <c r="AU120" s="5" t="s">
        <v>998</v>
      </c>
      <c r="AV120" s="5" t="s">
        <v>999</v>
      </c>
      <c r="AW120" s="8" t="str">
        <f>IFERROR(VLOOKUP(AA120,'Message Lookup'!D:J,7,FALSE),"")</f>
        <v>P-3 Seal Leak LEL Alarm HiHi Latched</v>
      </c>
    </row>
    <row r="121" spans="1:49" x14ac:dyDescent="0.25">
      <c r="A121" s="5" t="s">
        <v>4574</v>
      </c>
      <c r="B121" s="5" t="s">
        <v>992</v>
      </c>
      <c r="C121" s="5" t="s">
        <v>4575</v>
      </c>
      <c r="D121" s="5"/>
      <c r="E121" s="5"/>
      <c r="F121" s="5"/>
      <c r="G121" s="5"/>
      <c r="H121" s="5"/>
      <c r="I121" s="5"/>
      <c r="J121" s="5"/>
      <c r="K121" s="5" t="s">
        <v>993</v>
      </c>
      <c r="L121" s="5" t="s">
        <v>994</v>
      </c>
      <c r="M121" s="5" t="s">
        <v>4576</v>
      </c>
      <c r="N121" s="5">
        <v>41</v>
      </c>
      <c r="O121" s="5"/>
      <c r="P121" s="5" t="s">
        <v>995</v>
      </c>
      <c r="Q121" s="5">
        <v>36</v>
      </c>
      <c r="R121" s="5">
        <v>24</v>
      </c>
      <c r="S121" s="5">
        <v>7</v>
      </c>
      <c r="T121" s="5">
        <v>0</v>
      </c>
      <c r="U121" s="5" t="b">
        <v>0</v>
      </c>
      <c r="V121" s="5">
        <v>20</v>
      </c>
      <c r="W121" s="5">
        <v>0.8</v>
      </c>
      <c r="X121" s="5" t="s">
        <v>9</v>
      </c>
      <c r="Y121" s="5">
        <v>9</v>
      </c>
      <c r="Z121" s="5"/>
      <c r="AA121" s="5" t="s">
        <v>105</v>
      </c>
      <c r="AB121" s="5" t="s">
        <v>358</v>
      </c>
      <c r="AC121" s="5" t="b">
        <v>0</v>
      </c>
      <c r="AD121" s="5"/>
      <c r="AE121" s="5"/>
      <c r="AF121" s="5"/>
      <c r="AG121" s="5">
        <v>20</v>
      </c>
      <c r="AH121" s="5"/>
      <c r="AI121" s="5">
        <v>155</v>
      </c>
      <c r="AJ121" s="5"/>
      <c r="AK121" s="5" t="s">
        <v>996</v>
      </c>
      <c r="AL121" s="5">
        <v>2</v>
      </c>
      <c r="AM121" s="5"/>
      <c r="AN121" s="5">
        <v>10</v>
      </c>
      <c r="AO121" s="5"/>
      <c r="AP121" s="5">
        <v>0</v>
      </c>
      <c r="AQ121" s="5"/>
      <c r="AR121" s="5">
        <v>0</v>
      </c>
      <c r="AS121" s="5"/>
      <c r="AT121" s="5" t="s">
        <v>997</v>
      </c>
      <c r="AU121" s="5" t="s">
        <v>998</v>
      </c>
      <c r="AV121" s="5" t="s">
        <v>999</v>
      </c>
      <c r="AW121" s="8" t="str">
        <f>IFERROR(VLOOKUP(AA121,'Message Lookup'!D:J,7,FALSE),"")</f>
        <v>P-3 Seal Leak LEL Alarm Hi Latched</v>
      </c>
    </row>
    <row r="122" spans="1:49" x14ac:dyDescent="0.25">
      <c r="A122" s="5" t="s">
        <v>4574</v>
      </c>
      <c r="B122" s="5" t="s">
        <v>992</v>
      </c>
      <c r="C122" s="5" t="s">
        <v>4575</v>
      </c>
      <c r="D122" s="5"/>
      <c r="E122" s="5"/>
      <c r="F122" s="5"/>
      <c r="G122" s="5"/>
      <c r="H122" s="5"/>
      <c r="I122" s="5"/>
      <c r="J122" s="5"/>
      <c r="K122" s="5" t="s">
        <v>993</v>
      </c>
      <c r="L122" s="5" t="s">
        <v>994</v>
      </c>
      <c r="M122" s="5" t="s">
        <v>4576</v>
      </c>
      <c r="N122" s="5">
        <v>41</v>
      </c>
      <c r="O122" s="5"/>
      <c r="P122" s="5" t="s">
        <v>995</v>
      </c>
      <c r="Q122" s="5">
        <v>36</v>
      </c>
      <c r="R122" s="5">
        <v>24</v>
      </c>
      <c r="S122" s="5">
        <v>7</v>
      </c>
      <c r="T122" s="5">
        <v>0</v>
      </c>
      <c r="U122" s="5" t="b">
        <v>0</v>
      </c>
      <c r="V122" s="5">
        <v>20</v>
      </c>
      <c r="W122" s="5">
        <v>0.8</v>
      </c>
      <c r="X122" s="5" t="s">
        <v>9</v>
      </c>
      <c r="Y122" s="5">
        <v>9</v>
      </c>
      <c r="Z122" s="5"/>
      <c r="AA122" s="5" t="s">
        <v>106</v>
      </c>
      <c r="AB122" s="5" t="s">
        <v>359</v>
      </c>
      <c r="AC122" s="5" t="b">
        <v>0</v>
      </c>
      <c r="AD122" s="5"/>
      <c r="AE122" s="5"/>
      <c r="AF122" s="5"/>
      <c r="AG122" s="5">
        <v>20</v>
      </c>
      <c r="AH122" s="5"/>
      <c r="AI122" s="5">
        <v>155</v>
      </c>
      <c r="AJ122" s="5"/>
      <c r="AK122" s="5" t="s">
        <v>996</v>
      </c>
      <c r="AL122" s="5">
        <v>2</v>
      </c>
      <c r="AM122" s="5"/>
      <c r="AN122" s="5">
        <v>10</v>
      </c>
      <c r="AO122" s="5"/>
      <c r="AP122" s="5">
        <v>0</v>
      </c>
      <c r="AQ122" s="5"/>
      <c r="AR122" s="5">
        <v>0</v>
      </c>
      <c r="AS122" s="5"/>
      <c r="AT122" s="5" t="s">
        <v>997</v>
      </c>
      <c r="AU122" s="5" t="s">
        <v>998</v>
      </c>
      <c r="AV122" s="5" t="s">
        <v>999</v>
      </c>
      <c r="AW122" s="8" t="str">
        <f>IFERROR(VLOOKUP(AA122,'Message Lookup'!D:J,7,FALSE),"")</f>
        <v>P-3 Seal Leak LEL Alarm Lo Condition</v>
      </c>
    </row>
    <row r="123" spans="1:49" x14ac:dyDescent="0.25">
      <c r="A123" s="5" t="s">
        <v>4574</v>
      </c>
      <c r="B123" s="5" t="s">
        <v>992</v>
      </c>
      <c r="C123" s="5" t="s">
        <v>4575</v>
      </c>
      <c r="D123" s="5"/>
      <c r="E123" s="5"/>
      <c r="F123" s="5"/>
      <c r="G123" s="5"/>
      <c r="H123" s="5"/>
      <c r="I123" s="5"/>
      <c r="J123" s="5"/>
      <c r="K123" s="5" t="s">
        <v>993</v>
      </c>
      <c r="L123" s="5" t="s">
        <v>994</v>
      </c>
      <c r="M123" s="5" t="s">
        <v>4576</v>
      </c>
      <c r="N123" s="5">
        <v>41</v>
      </c>
      <c r="O123" s="5"/>
      <c r="P123" s="5" t="s">
        <v>995</v>
      </c>
      <c r="Q123" s="5">
        <v>36</v>
      </c>
      <c r="R123" s="5">
        <v>24</v>
      </c>
      <c r="S123" s="5">
        <v>7</v>
      </c>
      <c r="T123" s="5">
        <v>0</v>
      </c>
      <c r="U123" s="5" t="b">
        <v>0</v>
      </c>
      <c r="V123" s="5">
        <v>20</v>
      </c>
      <c r="W123" s="5">
        <v>0.8</v>
      </c>
      <c r="X123" s="5" t="s">
        <v>9</v>
      </c>
      <c r="Y123" s="5">
        <v>9</v>
      </c>
      <c r="Z123" s="5"/>
      <c r="AA123" s="5" t="s">
        <v>107</v>
      </c>
      <c r="AB123" s="5" t="s">
        <v>360</v>
      </c>
      <c r="AC123" s="5" t="b">
        <v>0</v>
      </c>
      <c r="AD123" s="5"/>
      <c r="AE123" s="5"/>
      <c r="AF123" s="5"/>
      <c r="AG123" s="5">
        <v>20</v>
      </c>
      <c r="AH123" s="5"/>
      <c r="AI123" s="5">
        <v>155</v>
      </c>
      <c r="AJ123" s="5"/>
      <c r="AK123" s="5" t="s">
        <v>996</v>
      </c>
      <c r="AL123" s="5">
        <v>2</v>
      </c>
      <c r="AM123" s="5"/>
      <c r="AN123" s="5">
        <v>10</v>
      </c>
      <c r="AO123" s="5"/>
      <c r="AP123" s="5">
        <v>0</v>
      </c>
      <c r="AQ123" s="5"/>
      <c r="AR123" s="5">
        <v>0</v>
      </c>
      <c r="AS123" s="5"/>
      <c r="AT123" s="5" t="s">
        <v>997</v>
      </c>
      <c r="AU123" s="5" t="s">
        <v>998</v>
      </c>
      <c r="AV123" s="5" t="s">
        <v>999</v>
      </c>
      <c r="AW123" s="8" t="str">
        <f>IFERROR(VLOOKUP(AA123,'Message Lookup'!D:J,7,FALSE),"")</f>
        <v>P-3 Seal Leak LEL Alarm LoLo Latched</v>
      </c>
    </row>
    <row r="124" spans="1:49" x14ac:dyDescent="0.25">
      <c r="A124" s="5" t="s">
        <v>4574</v>
      </c>
      <c r="B124" s="5" t="s">
        <v>992</v>
      </c>
      <c r="C124" s="5" t="s">
        <v>4575</v>
      </c>
      <c r="D124" s="5"/>
      <c r="E124" s="5"/>
      <c r="F124" s="5"/>
      <c r="G124" s="5"/>
      <c r="H124" s="5"/>
      <c r="I124" s="5"/>
      <c r="J124" s="5"/>
      <c r="K124" s="5" t="s">
        <v>993</v>
      </c>
      <c r="L124" s="5" t="s">
        <v>994</v>
      </c>
      <c r="M124" s="5" t="s">
        <v>4576</v>
      </c>
      <c r="N124" s="5">
        <v>41</v>
      </c>
      <c r="O124" s="5"/>
      <c r="P124" s="5" t="s">
        <v>995</v>
      </c>
      <c r="Q124" s="5">
        <v>36</v>
      </c>
      <c r="R124" s="5">
        <v>24</v>
      </c>
      <c r="S124" s="5">
        <v>7</v>
      </c>
      <c r="T124" s="5">
        <v>0</v>
      </c>
      <c r="U124" s="5" t="b">
        <v>0</v>
      </c>
      <c r="V124" s="5">
        <v>20</v>
      </c>
      <c r="W124" s="5">
        <v>0.8</v>
      </c>
      <c r="X124" s="5" t="s">
        <v>9</v>
      </c>
      <c r="Y124" s="5">
        <v>9</v>
      </c>
      <c r="Z124" s="5"/>
      <c r="AA124" s="5" t="s">
        <v>108</v>
      </c>
      <c r="AB124" s="5" t="s">
        <v>361</v>
      </c>
      <c r="AC124" s="5" t="b">
        <v>0</v>
      </c>
      <c r="AD124" s="5"/>
      <c r="AE124" s="5"/>
      <c r="AF124" s="5"/>
      <c r="AG124" s="5">
        <v>20</v>
      </c>
      <c r="AH124" s="5"/>
      <c r="AI124" s="5">
        <v>155</v>
      </c>
      <c r="AJ124" s="5"/>
      <c r="AK124" s="5" t="s">
        <v>996</v>
      </c>
      <c r="AL124" s="5">
        <v>2</v>
      </c>
      <c r="AM124" s="5"/>
      <c r="AN124" s="5">
        <v>10</v>
      </c>
      <c r="AO124" s="5"/>
      <c r="AP124" s="5">
        <v>0</v>
      </c>
      <c r="AQ124" s="5"/>
      <c r="AR124" s="5">
        <v>0</v>
      </c>
      <c r="AS124" s="5"/>
      <c r="AT124" s="5" t="s">
        <v>997</v>
      </c>
      <c r="AU124" s="5" t="s">
        <v>998</v>
      </c>
      <c r="AV124" s="5" t="s">
        <v>999</v>
      </c>
      <c r="AW124" s="8" t="str">
        <f>IFERROR(VLOOKUP(AA124,'Message Lookup'!D:J,7,FALSE),"")</f>
        <v>P-3 Seal Leak LEL Alarm Malfunction Latched</v>
      </c>
    </row>
    <row r="125" spans="1:49" x14ac:dyDescent="0.25">
      <c r="A125" s="5" t="s">
        <v>4574</v>
      </c>
      <c r="B125" s="5" t="s">
        <v>992</v>
      </c>
      <c r="C125" s="5" t="s">
        <v>4575</v>
      </c>
      <c r="D125" s="5"/>
      <c r="E125" s="5"/>
      <c r="F125" s="5"/>
      <c r="G125" s="5"/>
      <c r="H125" s="5"/>
      <c r="I125" s="5"/>
      <c r="J125" s="5"/>
      <c r="K125" s="5" t="s">
        <v>993</v>
      </c>
      <c r="L125" s="5" t="s">
        <v>994</v>
      </c>
      <c r="M125" s="5" t="s">
        <v>4576</v>
      </c>
      <c r="N125" s="5">
        <v>41</v>
      </c>
      <c r="O125" s="5"/>
      <c r="P125" s="5" t="s">
        <v>995</v>
      </c>
      <c r="Q125" s="5">
        <v>36</v>
      </c>
      <c r="R125" s="5">
        <v>24</v>
      </c>
      <c r="S125" s="5">
        <v>7</v>
      </c>
      <c r="T125" s="5">
        <v>0</v>
      </c>
      <c r="U125" s="5" t="b">
        <v>0</v>
      </c>
      <c r="V125" s="5">
        <v>20</v>
      </c>
      <c r="W125" s="5">
        <v>0.8</v>
      </c>
      <c r="X125" s="5" t="s">
        <v>9</v>
      </c>
      <c r="Y125" s="5">
        <v>9</v>
      </c>
      <c r="Z125" s="5"/>
      <c r="AA125" s="5" t="s">
        <v>109</v>
      </c>
      <c r="AB125" s="5" t="s">
        <v>362</v>
      </c>
      <c r="AC125" s="5" t="b">
        <v>0</v>
      </c>
      <c r="AD125" s="5"/>
      <c r="AE125" s="5"/>
      <c r="AF125" s="5"/>
      <c r="AG125" s="5">
        <v>20</v>
      </c>
      <c r="AH125" s="5"/>
      <c r="AI125" s="5">
        <v>155</v>
      </c>
      <c r="AJ125" s="5"/>
      <c r="AK125" s="5" t="s">
        <v>996</v>
      </c>
      <c r="AL125" s="5">
        <v>2</v>
      </c>
      <c r="AM125" s="5"/>
      <c r="AN125" s="5">
        <v>10</v>
      </c>
      <c r="AO125" s="5"/>
      <c r="AP125" s="5">
        <v>0</v>
      </c>
      <c r="AQ125" s="5"/>
      <c r="AR125" s="5">
        <v>0</v>
      </c>
      <c r="AS125" s="5"/>
      <c r="AT125" s="5" t="s">
        <v>997</v>
      </c>
      <c r="AU125" s="5" t="s">
        <v>998</v>
      </c>
      <c r="AV125" s="5" t="s">
        <v>999</v>
      </c>
      <c r="AW125" s="8" t="str">
        <f>IFERROR(VLOOKUP(AA125,'Message Lookup'!D:J,7,FALSE),"")</f>
        <v>P-4 Seal Leak LEL Alarm HiHi Latched</v>
      </c>
    </row>
    <row r="126" spans="1:49" x14ac:dyDescent="0.25">
      <c r="A126" s="5" t="s">
        <v>4574</v>
      </c>
      <c r="B126" s="5" t="s">
        <v>992</v>
      </c>
      <c r="C126" s="5" t="s">
        <v>4575</v>
      </c>
      <c r="D126" s="5"/>
      <c r="E126" s="5"/>
      <c r="F126" s="5"/>
      <c r="G126" s="5"/>
      <c r="H126" s="5"/>
      <c r="I126" s="5"/>
      <c r="J126" s="5"/>
      <c r="K126" s="5" t="s">
        <v>993</v>
      </c>
      <c r="L126" s="5" t="s">
        <v>994</v>
      </c>
      <c r="M126" s="5" t="s">
        <v>4576</v>
      </c>
      <c r="N126" s="5">
        <v>41</v>
      </c>
      <c r="O126" s="5"/>
      <c r="P126" s="5" t="s">
        <v>995</v>
      </c>
      <c r="Q126" s="5">
        <v>36</v>
      </c>
      <c r="R126" s="5">
        <v>24</v>
      </c>
      <c r="S126" s="5">
        <v>7</v>
      </c>
      <c r="T126" s="5">
        <v>0</v>
      </c>
      <c r="U126" s="5" t="b">
        <v>0</v>
      </c>
      <c r="V126" s="5">
        <v>20</v>
      </c>
      <c r="W126" s="5">
        <v>0.8</v>
      </c>
      <c r="X126" s="5" t="s">
        <v>9</v>
      </c>
      <c r="Y126" s="5">
        <v>9</v>
      </c>
      <c r="Z126" s="5"/>
      <c r="AA126" s="5" t="s">
        <v>110</v>
      </c>
      <c r="AB126" s="5" t="s">
        <v>363</v>
      </c>
      <c r="AC126" s="5" t="b">
        <v>0</v>
      </c>
      <c r="AD126" s="5"/>
      <c r="AE126" s="5"/>
      <c r="AF126" s="5"/>
      <c r="AG126" s="5">
        <v>20</v>
      </c>
      <c r="AH126" s="5"/>
      <c r="AI126" s="5">
        <v>155</v>
      </c>
      <c r="AJ126" s="5"/>
      <c r="AK126" s="5" t="s">
        <v>996</v>
      </c>
      <c r="AL126" s="5">
        <v>2</v>
      </c>
      <c r="AM126" s="5"/>
      <c r="AN126" s="5">
        <v>10</v>
      </c>
      <c r="AO126" s="5"/>
      <c r="AP126" s="5">
        <v>0</v>
      </c>
      <c r="AQ126" s="5"/>
      <c r="AR126" s="5">
        <v>0</v>
      </c>
      <c r="AS126" s="5"/>
      <c r="AT126" s="5" t="s">
        <v>997</v>
      </c>
      <c r="AU126" s="5" t="s">
        <v>998</v>
      </c>
      <c r="AV126" s="5" t="s">
        <v>999</v>
      </c>
      <c r="AW126" s="8" t="str">
        <f>IFERROR(VLOOKUP(AA126,'Message Lookup'!D:J,7,FALSE),"")</f>
        <v>P-4 Seal Leak LEL Alarm Hi Latched</v>
      </c>
    </row>
    <row r="127" spans="1:49" x14ac:dyDescent="0.25">
      <c r="A127" s="5" t="s">
        <v>4574</v>
      </c>
      <c r="B127" s="5" t="s">
        <v>992</v>
      </c>
      <c r="C127" s="5" t="s">
        <v>4575</v>
      </c>
      <c r="D127" s="5"/>
      <c r="E127" s="5"/>
      <c r="F127" s="5"/>
      <c r="G127" s="5"/>
      <c r="H127" s="5"/>
      <c r="I127" s="5"/>
      <c r="J127" s="5"/>
      <c r="K127" s="5" t="s">
        <v>993</v>
      </c>
      <c r="L127" s="5" t="s">
        <v>994</v>
      </c>
      <c r="M127" s="5" t="s">
        <v>4576</v>
      </c>
      <c r="N127" s="5">
        <v>41</v>
      </c>
      <c r="O127" s="5"/>
      <c r="P127" s="5" t="s">
        <v>995</v>
      </c>
      <c r="Q127" s="5">
        <v>36</v>
      </c>
      <c r="R127" s="5">
        <v>24</v>
      </c>
      <c r="S127" s="5">
        <v>7</v>
      </c>
      <c r="T127" s="5">
        <v>0</v>
      </c>
      <c r="U127" s="5" t="b">
        <v>0</v>
      </c>
      <c r="V127" s="5">
        <v>20</v>
      </c>
      <c r="W127" s="5">
        <v>0.8</v>
      </c>
      <c r="X127" s="5" t="s">
        <v>9</v>
      </c>
      <c r="Y127" s="5">
        <v>9</v>
      </c>
      <c r="Z127" s="5"/>
      <c r="AA127" s="5" t="s">
        <v>111</v>
      </c>
      <c r="AB127" s="5" t="s">
        <v>364</v>
      </c>
      <c r="AC127" s="5" t="b">
        <v>0</v>
      </c>
      <c r="AD127" s="5"/>
      <c r="AE127" s="5"/>
      <c r="AF127" s="5"/>
      <c r="AG127" s="5">
        <v>20</v>
      </c>
      <c r="AH127" s="5"/>
      <c r="AI127" s="5">
        <v>155</v>
      </c>
      <c r="AJ127" s="5"/>
      <c r="AK127" s="5" t="s">
        <v>996</v>
      </c>
      <c r="AL127" s="5">
        <v>2</v>
      </c>
      <c r="AM127" s="5"/>
      <c r="AN127" s="5">
        <v>10</v>
      </c>
      <c r="AO127" s="5"/>
      <c r="AP127" s="5">
        <v>0</v>
      </c>
      <c r="AQ127" s="5"/>
      <c r="AR127" s="5">
        <v>0</v>
      </c>
      <c r="AS127" s="5"/>
      <c r="AT127" s="5" t="s">
        <v>997</v>
      </c>
      <c r="AU127" s="5" t="s">
        <v>998</v>
      </c>
      <c r="AV127" s="5" t="s">
        <v>999</v>
      </c>
      <c r="AW127" s="8" t="str">
        <f>IFERROR(VLOOKUP(AA127,'Message Lookup'!D:J,7,FALSE),"")</f>
        <v>P-4 Seal Leak LEL Alarm Lo Condition</v>
      </c>
    </row>
    <row r="128" spans="1:49" x14ac:dyDescent="0.25">
      <c r="A128" s="5" t="s">
        <v>4574</v>
      </c>
      <c r="B128" s="5" t="s">
        <v>992</v>
      </c>
      <c r="C128" s="5" t="s">
        <v>4575</v>
      </c>
      <c r="D128" s="5"/>
      <c r="E128" s="5"/>
      <c r="F128" s="5"/>
      <c r="G128" s="5"/>
      <c r="H128" s="5"/>
      <c r="I128" s="5"/>
      <c r="J128" s="5"/>
      <c r="K128" s="5" t="s">
        <v>993</v>
      </c>
      <c r="L128" s="5" t="s">
        <v>994</v>
      </c>
      <c r="M128" s="5" t="s">
        <v>4576</v>
      </c>
      <c r="N128" s="5">
        <v>41</v>
      </c>
      <c r="O128" s="5"/>
      <c r="P128" s="5" t="s">
        <v>995</v>
      </c>
      <c r="Q128" s="5">
        <v>36</v>
      </c>
      <c r="R128" s="5">
        <v>24</v>
      </c>
      <c r="S128" s="5">
        <v>7</v>
      </c>
      <c r="T128" s="5">
        <v>0</v>
      </c>
      <c r="U128" s="5" t="b">
        <v>0</v>
      </c>
      <c r="V128" s="5">
        <v>20</v>
      </c>
      <c r="W128" s="5">
        <v>0.8</v>
      </c>
      <c r="X128" s="5" t="s">
        <v>9</v>
      </c>
      <c r="Y128" s="5">
        <v>9</v>
      </c>
      <c r="Z128" s="5"/>
      <c r="AA128" s="5" t="s">
        <v>112</v>
      </c>
      <c r="AB128" s="5" t="s">
        <v>365</v>
      </c>
      <c r="AC128" s="5" t="b">
        <v>0</v>
      </c>
      <c r="AD128" s="5"/>
      <c r="AE128" s="5"/>
      <c r="AF128" s="5"/>
      <c r="AG128" s="5">
        <v>20</v>
      </c>
      <c r="AH128" s="5"/>
      <c r="AI128" s="5">
        <v>155</v>
      </c>
      <c r="AJ128" s="5"/>
      <c r="AK128" s="5" t="s">
        <v>996</v>
      </c>
      <c r="AL128" s="5">
        <v>2</v>
      </c>
      <c r="AM128" s="5"/>
      <c r="AN128" s="5">
        <v>10</v>
      </c>
      <c r="AO128" s="5"/>
      <c r="AP128" s="5">
        <v>0</v>
      </c>
      <c r="AQ128" s="5"/>
      <c r="AR128" s="5">
        <v>0</v>
      </c>
      <c r="AS128" s="5"/>
      <c r="AT128" s="5" t="s">
        <v>997</v>
      </c>
      <c r="AU128" s="5" t="s">
        <v>998</v>
      </c>
      <c r="AV128" s="5" t="s">
        <v>999</v>
      </c>
      <c r="AW128" s="8" t="str">
        <f>IFERROR(VLOOKUP(AA128,'Message Lookup'!D:J,7,FALSE),"")</f>
        <v>P-4 Seal Leak LEL Alarm LoLo Latched</v>
      </c>
    </row>
    <row r="129" spans="1:49" x14ac:dyDescent="0.25">
      <c r="A129" s="5" t="s">
        <v>4574</v>
      </c>
      <c r="B129" s="5" t="s">
        <v>992</v>
      </c>
      <c r="C129" s="5" t="s">
        <v>4575</v>
      </c>
      <c r="D129" s="5"/>
      <c r="E129" s="5"/>
      <c r="F129" s="5"/>
      <c r="G129" s="5"/>
      <c r="H129" s="5"/>
      <c r="I129" s="5"/>
      <c r="J129" s="5"/>
      <c r="K129" s="5" t="s">
        <v>993</v>
      </c>
      <c r="L129" s="5" t="s">
        <v>994</v>
      </c>
      <c r="M129" s="5" t="s">
        <v>4576</v>
      </c>
      <c r="N129" s="5">
        <v>41</v>
      </c>
      <c r="O129" s="5"/>
      <c r="P129" s="5" t="s">
        <v>995</v>
      </c>
      <c r="Q129" s="5">
        <v>36</v>
      </c>
      <c r="R129" s="5">
        <v>24</v>
      </c>
      <c r="S129" s="5">
        <v>7</v>
      </c>
      <c r="T129" s="5">
        <v>0</v>
      </c>
      <c r="U129" s="5" t="b">
        <v>0</v>
      </c>
      <c r="V129" s="5">
        <v>20</v>
      </c>
      <c r="W129" s="5">
        <v>0.8</v>
      </c>
      <c r="X129" s="5" t="s">
        <v>9</v>
      </c>
      <c r="Y129" s="5">
        <v>9</v>
      </c>
      <c r="Z129" s="5"/>
      <c r="AA129" s="5" t="s">
        <v>113</v>
      </c>
      <c r="AB129" s="5" t="s">
        <v>366</v>
      </c>
      <c r="AC129" s="5" t="b">
        <v>0</v>
      </c>
      <c r="AD129" s="5"/>
      <c r="AE129" s="5"/>
      <c r="AF129" s="5"/>
      <c r="AG129" s="5">
        <v>20</v>
      </c>
      <c r="AH129" s="5"/>
      <c r="AI129" s="5">
        <v>155</v>
      </c>
      <c r="AJ129" s="5"/>
      <c r="AK129" s="5" t="s">
        <v>996</v>
      </c>
      <c r="AL129" s="5">
        <v>2</v>
      </c>
      <c r="AM129" s="5"/>
      <c r="AN129" s="5">
        <v>10</v>
      </c>
      <c r="AO129" s="5"/>
      <c r="AP129" s="5">
        <v>0</v>
      </c>
      <c r="AQ129" s="5"/>
      <c r="AR129" s="5">
        <v>0</v>
      </c>
      <c r="AS129" s="5"/>
      <c r="AT129" s="5" t="s">
        <v>997</v>
      </c>
      <c r="AU129" s="5" t="s">
        <v>998</v>
      </c>
      <c r="AV129" s="5" t="s">
        <v>999</v>
      </c>
      <c r="AW129" s="8" t="str">
        <f>IFERROR(VLOOKUP(AA129,'Message Lookup'!D:J,7,FALSE),"")</f>
        <v>P-4 Seal Leak LEL Alarm Malfunction Latched</v>
      </c>
    </row>
    <row r="130" spans="1:49" x14ac:dyDescent="0.25">
      <c r="A130" s="5" t="s">
        <v>4574</v>
      </c>
      <c r="B130" s="5" t="s">
        <v>992</v>
      </c>
      <c r="C130" s="5" t="s">
        <v>4575</v>
      </c>
      <c r="D130" s="5"/>
      <c r="E130" s="5"/>
      <c r="F130" s="5"/>
      <c r="G130" s="5"/>
      <c r="H130" s="5"/>
      <c r="I130" s="5"/>
      <c r="J130" s="5"/>
      <c r="K130" s="5" t="s">
        <v>993</v>
      </c>
      <c r="L130" s="5" t="s">
        <v>994</v>
      </c>
      <c r="M130" s="5" t="s">
        <v>4576</v>
      </c>
      <c r="N130" s="5">
        <v>41</v>
      </c>
      <c r="O130" s="5"/>
      <c r="P130" s="5" t="s">
        <v>995</v>
      </c>
      <c r="Q130" s="5">
        <v>36</v>
      </c>
      <c r="R130" s="5">
        <v>24</v>
      </c>
      <c r="S130" s="5">
        <v>7</v>
      </c>
      <c r="T130" s="5">
        <v>0</v>
      </c>
      <c r="U130" s="5" t="b">
        <v>0</v>
      </c>
      <c r="V130" s="5">
        <v>20</v>
      </c>
      <c r="W130" s="5">
        <v>0.8</v>
      </c>
      <c r="X130" s="5" t="s">
        <v>9</v>
      </c>
      <c r="Y130" s="5">
        <v>9</v>
      </c>
      <c r="Z130" s="5"/>
      <c r="AA130" s="5" t="s">
        <v>114</v>
      </c>
      <c r="AB130" s="5" t="s">
        <v>367</v>
      </c>
      <c r="AC130" s="5" t="b">
        <v>0</v>
      </c>
      <c r="AD130" s="5"/>
      <c r="AE130" s="5"/>
      <c r="AF130" s="5"/>
      <c r="AG130" s="5">
        <v>20</v>
      </c>
      <c r="AH130" s="5"/>
      <c r="AI130" s="5">
        <v>155</v>
      </c>
      <c r="AJ130" s="5"/>
      <c r="AK130" s="5" t="s">
        <v>996</v>
      </c>
      <c r="AL130" s="5">
        <v>2</v>
      </c>
      <c r="AM130" s="5"/>
      <c r="AN130" s="5">
        <v>10</v>
      </c>
      <c r="AO130" s="5"/>
      <c r="AP130" s="5">
        <v>0</v>
      </c>
      <c r="AQ130" s="5"/>
      <c r="AR130" s="5">
        <v>0</v>
      </c>
      <c r="AS130" s="5"/>
      <c r="AT130" s="5" t="s">
        <v>997</v>
      </c>
      <c r="AU130" s="5" t="s">
        <v>998</v>
      </c>
      <c r="AV130" s="5" t="s">
        <v>999</v>
      </c>
      <c r="AW130" s="8" t="str">
        <f>IFERROR(VLOOKUP(AA130,'Message Lookup'!D:J,7,FALSE),"")</f>
        <v>Sump Tank LevelAlarm HiHi Latched</v>
      </c>
    </row>
    <row r="131" spans="1:49" x14ac:dyDescent="0.25">
      <c r="A131" s="5" t="s">
        <v>4574</v>
      </c>
      <c r="B131" s="5" t="s">
        <v>992</v>
      </c>
      <c r="C131" s="5" t="s">
        <v>4575</v>
      </c>
      <c r="D131" s="5"/>
      <c r="E131" s="5"/>
      <c r="F131" s="5"/>
      <c r="G131" s="5"/>
      <c r="H131" s="5"/>
      <c r="I131" s="5"/>
      <c r="J131" s="5"/>
      <c r="K131" s="5" t="s">
        <v>993</v>
      </c>
      <c r="L131" s="5" t="s">
        <v>994</v>
      </c>
      <c r="M131" s="5" t="s">
        <v>4576</v>
      </c>
      <c r="N131" s="5">
        <v>41</v>
      </c>
      <c r="O131" s="5"/>
      <c r="P131" s="5" t="s">
        <v>995</v>
      </c>
      <c r="Q131" s="5">
        <v>36</v>
      </c>
      <c r="R131" s="5">
        <v>24</v>
      </c>
      <c r="S131" s="5">
        <v>7</v>
      </c>
      <c r="T131" s="5">
        <v>0</v>
      </c>
      <c r="U131" s="5" t="b">
        <v>0</v>
      </c>
      <c r="V131" s="5">
        <v>20</v>
      </c>
      <c r="W131" s="5">
        <v>0.8</v>
      </c>
      <c r="X131" s="5" t="s">
        <v>9</v>
      </c>
      <c r="Y131" s="5">
        <v>9</v>
      </c>
      <c r="Z131" s="5"/>
      <c r="AA131" s="5" t="s">
        <v>115</v>
      </c>
      <c r="AB131" s="5" t="s">
        <v>368</v>
      </c>
      <c r="AC131" s="5" t="b">
        <v>0</v>
      </c>
      <c r="AD131" s="5"/>
      <c r="AE131" s="5"/>
      <c r="AF131" s="5"/>
      <c r="AG131" s="5">
        <v>20</v>
      </c>
      <c r="AH131" s="5"/>
      <c r="AI131" s="5">
        <v>155</v>
      </c>
      <c r="AJ131" s="5"/>
      <c r="AK131" s="5" t="s">
        <v>996</v>
      </c>
      <c r="AL131" s="5">
        <v>2</v>
      </c>
      <c r="AM131" s="5"/>
      <c r="AN131" s="5">
        <v>10</v>
      </c>
      <c r="AO131" s="5"/>
      <c r="AP131" s="5">
        <v>0</v>
      </c>
      <c r="AQ131" s="5"/>
      <c r="AR131" s="5">
        <v>0</v>
      </c>
      <c r="AS131" s="5"/>
      <c r="AT131" s="5" t="s">
        <v>997</v>
      </c>
      <c r="AU131" s="5" t="s">
        <v>998</v>
      </c>
      <c r="AV131" s="5" t="s">
        <v>999</v>
      </c>
      <c r="AW131" s="8" t="str">
        <f>IFERROR(VLOOKUP(AA131,'Message Lookup'!D:J,7,FALSE),"")</f>
        <v>Sump Tank LevelAlarm Hi Latched</v>
      </c>
    </row>
    <row r="132" spans="1:49" x14ac:dyDescent="0.25">
      <c r="A132" s="5" t="s">
        <v>4574</v>
      </c>
      <c r="B132" s="5" t="s">
        <v>992</v>
      </c>
      <c r="C132" s="5" t="s">
        <v>4575</v>
      </c>
      <c r="D132" s="5"/>
      <c r="E132" s="5"/>
      <c r="F132" s="5"/>
      <c r="G132" s="5"/>
      <c r="H132" s="5"/>
      <c r="I132" s="5"/>
      <c r="J132" s="5"/>
      <c r="K132" s="5" t="s">
        <v>993</v>
      </c>
      <c r="L132" s="5" t="s">
        <v>994</v>
      </c>
      <c r="M132" s="5" t="s">
        <v>4576</v>
      </c>
      <c r="N132" s="5">
        <v>41</v>
      </c>
      <c r="O132" s="5"/>
      <c r="P132" s="5" t="s">
        <v>995</v>
      </c>
      <c r="Q132" s="5">
        <v>36</v>
      </c>
      <c r="R132" s="5">
        <v>24</v>
      </c>
      <c r="S132" s="5">
        <v>7</v>
      </c>
      <c r="T132" s="5">
        <v>0</v>
      </c>
      <c r="U132" s="5" t="b">
        <v>0</v>
      </c>
      <c r="V132" s="5">
        <v>20</v>
      </c>
      <c r="W132" s="5">
        <v>0.8</v>
      </c>
      <c r="X132" s="5" t="s">
        <v>9</v>
      </c>
      <c r="Y132" s="5">
        <v>9</v>
      </c>
      <c r="Z132" s="5"/>
      <c r="AA132" s="5" t="s">
        <v>116</v>
      </c>
      <c r="AB132" s="5" t="s">
        <v>369</v>
      </c>
      <c r="AC132" s="5" t="b">
        <v>0</v>
      </c>
      <c r="AD132" s="5"/>
      <c r="AE132" s="5"/>
      <c r="AF132" s="5"/>
      <c r="AG132" s="5">
        <v>20</v>
      </c>
      <c r="AH132" s="5"/>
      <c r="AI132" s="5">
        <v>155</v>
      </c>
      <c r="AJ132" s="5"/>
      <c r="AK132" s="5" t="s">
        <v>996</v>
      </c>
      <c r="AL132" s="5">
        <v>2</v>
      </c>
      <c r="AM132" s="5"/>
      <c r="AN132" s="5">
        <v>10</v>
      </c>
      <c r="AO132" s="5"/>
      <c r="AP132" s="5">
        <v>0</v>
      </c>
      <c r="AQ132" s="5"/>
      <c r="AR132" s="5">
        <v>0</v>
      </c>
      <c r="AS132" s="5"/>
      <c r="AT132" s="5" t="s">
        <v>997</v>
      </c>
      <c r="AU132" s="5" t="s">
        <v>998</v>
      </c>
      <c r="AV132" s="5" t="s">
        <v>999</v>
      </c>
      <c r="AW132" s="8" t="str">
        <f>IFERROR(VLOOKUP(AA132,'Message Lookup'!D:J,7,FALSE),"")</f>
        <v>Sump Tank LevelAlarm Lo Condition</v>
      </c>
    </row>
    <row r="133" spans="1:49" x14ac:dyDescent="0.25">
      <c r="A133" s="5" t="s">
        <v>4574</v>
      </c>
      <c r="B133" s="5" t="s">
        <v>992</v>
      </c>
      <c r="C133" s="5" t="s">
        <v>4575</v>
      </c>
      <c r="D133" s="5"/>
      <c r="E133" s="5"/>
      <c r="F133" s="5"/>
      <c r="G133" s="5"/>
      <c r="H133" s="5"/>
      <c r="I133" s="5"/>
      <c r="J133" s="5"/>
      <c r="K133" s="5" t="s">
        <v>993</v>
      </c>
      <c r="L133" s="5" t="s">
        <v>994</v>
      </c>
      <c r="M133" s="5" t="s">
        <v>4576</v>
      </c>
      <c r="N133" s="5">
        <v>41</v>
      </c>
      <c r="O133" s="5"/>
      <c r="P133" s="5" t="s">
        <v>995</v>
      </c>
      <c r="Q133" s="5">
        <v>36</v>
      </c>
      <c r="R133" s="5">
        <v>24</v>
      </c>
      <c r="S133" s="5">
        <v>7</v>
      </c>
      <c r="T133" s="5">
        <v>0</v>
      </c>
      <c r="U133" s="5" t="b">
        <v>0</v>
      </c>
      <c r="V133" s="5">
        <v>20</v>
      </c>
      <c r="W133" s="5">
        <v>0.8</v>
      </c>
      <c r="X133" s="5" t="s">
        <v>9</v>
      </c>
      <c r="Y133" s="5">
        <v>9</v>
      </c>
      <c r="Z133" s="5"/>
      <c r="AA133" s="5" t="s">
        <v>117</v>
      </c>
      <c r="AB133" s="5" t="s">
        <v>370</v>
      </c>
      <c r="AC133" s="5" t="b">
        <v>0</v>
      </c>
      <c r="AD133" s="5"/>
      <c r="AE133" s="5"/>
      <c r="AF133" s="5"/>
      <c r="AG133" s="5">
        <v>20</v>
      </c>
      <c r="AH133" s="5"/>
      <c r="AI133" s="5">
        <v>155</v>
      </c>
      <c r="AJ133" s="5"/>
      <c r="AK133" s="5" t="s">
        <v>996</v>
      </c>
      <c r="AL133" s="5">
        <v>2</v>
      </c>
      <c r="AM133" s="5"/>
      <c r="AN133" s="5">
        <v>10</v>
      </c>
      <c r="AO133" s="5"/>
      <c r="AP133" s="5">
        <v>0</v>
      </c>
      <c r="AQ133" s="5"/>
      <c r="AR133" s="5">
        <v>0</v>
      </c>
      <c r="AS133" s="5"/>
      <c r="AT133" s="5" t="s">
        <v>997</v>
      </c>
      <c r="AU133" s="5" t="s">
        <v>998</v>
      </c>
      <c r="AV133" s="5" t="s">
        <v>999</v>
      </c>
      <c r="AW133" s="8" t="str">
        <f>IFERROR(VLOOKUP(AA133,'Message Lookup'!D:J,7,FALSE),"")</f>
        <v>Sump Tank LevelAlarm LoLo Latched</v>
      </c>
    </row>
    <row r="134" spans="1:49" x14ac:dyDescent="0.25">
      <c r="A134" s="5" t="s">
        <v>4574</v>
      </c>
      <c r="B134" s="5" t="s">
        <v>992</v>
      </c>
      <c r="C134" s="5" t="s">
        <v>4575</v>
      </c>
      <c r="D134" s="5"/>
      <c r="E134" s="5"/>
      <c r="F134" s="5"/>
      <c r="G134" s="5"/>
      <c r="H134" s="5"/>
      <c r="I134" s="5"/>
      <c r="J134" s="5"/>
      <c r="K134" s="5" t="s">
        <v>993</v>
      </c>
      <c r="L134" s="5" t="s">
        <v>994</v>
      </c>
      <c r="M134" s="5" t="s">
        <v>4576</v>
      </c>
      <c r="N134" s="5">
        <v>41</v>
      </c>
      <c r="O134" s="5"/>
      <c r="P134" s="5" t="s">
        <v>995</v>
      </c>
      <c r="Q134" s="5">
        <v>36</v>
      </c>
      <c r="R134" s="5">
        <v>24</v>
      </c>
      <c r="S134" s="5">
        <v>7</v>
      </c>
      <c r="T134" s="5">
        <v>0</v>
      </c>
      <c r="U134" s="5" t="b">
        <v>0</v>
      </c>
      <c r="V134" s="5">
        <v>20</v>
      </c>
      <c r="W134" s="5">
        <v>0.8</v>
      </c>
      <c r="X134" s="5" t="s">
        <v>9</v>
      </c>
      <c r="Y134" s="5">
        <v>9</v>
      </c>
      <c r="Z134" s="5"/>
      <c r="AA134" s="5"/>
      <c r="AB134" s="5"/>
      <c r="AC134" s="5"/>
      <c r="AD134" s="5"/>
      <c r="AE134" s="5" t="s">
        <v>1000</v>
      </c>
      <c r="AF134" s="5" t="b">
        <v>0</v>
      </c>
      <c r="AG134" s="5">
        <v>20</v>
      </c>
      <c r="AH134" s="5"/>
      <c r="AI134" s="5">
        <v>155</v>
      </c>
      <c r="AJ134" s="5"/>
      <c r="AK134" s="5" t="s">
        <v>996</v>
      </c>
      <c r="AL134" s="5">
        <v>2</v>
      </c>
      <c r="AM134" s="5"/>
      <c r="AN134" s="5">
        <v>10</v>
      </c>
      <c r="AO134" s="5"/>
      <c r="AP134" s="5">
        <v>0</v>
      </c>
      <c r="AQ134" s="5"/>
      <c r="AR134" s="5">
        <v>0</v>
      </c>
      <c r="AS134" s="5"/>
      <c r="AT134" s="5" t="s">
        <v>997</v>
      </c>
      <c r="AU134" s="5" t="s">
        <v>998</v>
      </c>
      <c r="AV134" s="5" t="s">
        <v>999</v>
      </c>
      <c r="AW134" s="8" t="str">
        <f>IFERROR(VLOOKUP(AA134,'Message Lookup'!D:J,7,FALSE),"")</f>
        <v/>
      </c>
    </row>
    <row r="135" spans="1:49" x14ac:dyDescent="0.25">
      <c r="A135" s="5" t="s">
        <v>4574</v>
      </c>
      <c r="B135" s="5" t="s">
        <v>992</v>
      </c>
      <c r="C135" s="5" t="s">
        <v>4575</v>
      </c>
      <c r="D135" s="5"/>
      <c r="E135" s="5"/>
      <c r="F135" s="5"/>
      <c r="G135" s="5"/>
      <c r="H135" s="5"/>
      <c r="I135" s="5"/>
      <c r="J135" s="5"/>
      <c r="K135" s="5" t="s">
        <v>993</v>
      </c>
      <c r="L135" s="5" t="s">
        <v>994</v>
      </c>
      <c r="M135" s="5" t="s">
        <v>4576</v>
      </c>
      <c r="N135" s="5">
        <v>41</v>
      </c>
      <c r="O135" s="5"/>
      <c r="P135" s="5" t="s">
        <v>995</v>
      </c>
      <c r="Q135" s="5">
        <v>36</v>
      </c>
      <c r="R135" s="5">
        <v>24</v>
      </c>
      <c r="S135" s="5">
        <v>7</v>
      </c>
      <c r="T135" s="5">
        <v>0</v>
      </c>
      <c r="U135" s="5" t="b">
        <v>0</v>
      </c>
      <c r="V135" s="5">
        <v>20</v>
      </c>
      <c r="W135" s="5">
        <v>0.8</v>
      </c>
      <c r="X135" s="5" t="s">
        <v>9</v>
      </c>
      <c r="Y135" s="5">
        <v>9</v>
      </c>
      <c r="Z135" s="5"/>
      <c r="AA135" s="5"/>
      <c r="AB135" s="5"/>
      <c r="AC135" s="5"/>
      <c r="AD135" s="5" t="s">
        <v>1008</v>
      </c>
      <c r="AE135" s="5" t="s">
        <v>1002</v>
      </c>
      <c r="AF135" s="5" t="b">
        <v>0</v>
      </c>
      <c r="AG135" s="5">
        <v>20</v>
      </c>
      <c r="AH135" s="5"/>
      <c r="AI135" s="5">
        <v>155</v>
      </c>
      <c r="AJ135" s="5"/>
      <c r="AK135" s="5" t="s">
        <v>996</v>
      </c>
      <c r="AL135" s="5">
        <v>2</v>
      </c>
      <c r="AM135" s="5"/>
      <c r="AN135" s="5">
        <v>10</v>
      </c>
      <c r="AO135" s="5"/>
      <c r="AP135" s="5">
        <v>0</v>
      </c>
      <c r="AQ135" s="5"/>
      <c r="AR135" s="5">
        <v>0</v>
      </c>
      <c r="AS135" s="5"/>
      <c r="AT135" s="5" t="s">
        <v>997</v>
      </c>
      <c r="AU135" s="5" t="s">
        <v>998</v>
      </c>
      <c r="AV135" s="5" t="s">
        <v>999</v>
      </c>
      <c r="AW135" s="8" t="str">
        <f>IFERROR(VLOOKUP(AA135,'Message Lookup'!D:J,7,FALSE),"")</f>
        <v/>
      </c>
    </row>
    <row r="136" spans="1:49" x14ac:dyDescent="0.25">
      <c r="A136" s="5" t="s">
        <v>4574</v>
      </c>
      <c r="B136" s="5" t="s">
        <v>992</v>
      </c>
      <c r="C136" s="5" t="s">
        <v>4575</v>
      </c>
      <c r="D136" s="5"/>
      <c r="E136" s="5"/>
      <c r="F136" s="5"/>
      <c r="G136" s="5"/>
      <c r="H136" s="5"/>
      <c r="I136" s="5"/>
      <c r="J136" s="5"/>
      <c r="K136" s="5" t="s">
        <v>993</v>
      </c>
      <c r="L136" s="5" t="s">
        <v>994</v>
      </c>
      <c r="M136" s="5" t="s">
        <v>4576</v>
      </c>
      <c r="N136" s="5">
        <v>41</v>
      </c>
      <c r="O136" s="5"/>
      <c r="P136" s="5" t="s">
        <v>995</v>
      </c>
      <c r="Q136" s="5">
        <v>36</v>
      </c>
      <c r="R136" s="5">
        <v>24</v>
      </c>
      <c r="S136" s="5">
        <v>8</v>
      </c>
      <c r="T136" s="5">
        <v>0</v>
      </c>
      <c r="U136" s="5" t="b">
        <v>0</v>
      </c>
      <c r="V136" s="5">
        <v>20</v>
      </c>
      <c r="W136" s="5">
        <v>0.9</v>
      </c>
      <c r="X136" s="5" t="s">
        <v>9</v>
      </c>
      <c r="Y136" s="5">
        <v>9</v>
      </c>
      <c r="Z136" s="5"/>
      <c r="AA136" s="5"/>
      <c r="AB136" s="5" t="s">
        <v>354</v>
      </c>
      <c r="AC136" s="5" t="b">
        <v>0</v>
      </c>
      <c r="AD136" s="5"/>
      <c r="AE136" s="5"/>
      <c r="AF136" s="5"/>
      <c r="AG136" s="5">
        <v>20</v>
      </c>
      <c r="AH136" s="5">
        <v>20</v>
      </c>
      <c r="AI136" s="5">
        <v>176</v>
      </c>
      <c r="AJ136" s="5">
        <v>176</v>
      </c>
      <c r="AK136" s="5" t="s">
        <v>996</v>
      </c>
      <c r="AL136" s="5">
        <v>2</v>
      </c>
      <c r="AM136" s="5"/>
      <c r="AN136" s="5">
        <v>10</v>
      </c>
      <c r="AO136" s="5"/>
      <c r="AP136" s="5">
        <v>0</v>
      </c>
      <c r="AQ136" s="5"/>
      <c r="AR136" s="5">
        <v>0</v>
      </c>
      <c r="AS136" s="5"/>
      <c r="AT136" s="5" t="s">
        <v>997</v>
      </c>
      <c r="AU136" s="5" t="s">
        <v>998</v>
      </c>
      <c r="AV136" s="5" t="s">
        <v>999</v>
      </c>
      <c r="AW136" s="8" t="str">
        <f>IFERROR(VLOOKUP(AA136,'Message Lookup'!D:J,7,FALSE),"")</f>
        <v/>
      </c>
    </row>
    <row r="137" spans="1:49" x14ac:dyDescent="0.25">
      <c r="A137" s="5" t="s">
        <v>4574</v>
      </c>
      <c r="B137" s="5" t="s">
        <v>992</v>
      </c>
      <c r="C137" s="5" t="s">
        <v>4575</v>
      </c>
      <c r="D137" s="5"/>
      <c r="E137" s="5"/>
      <c r="F137" s="5"/>
      <c r="G137" s="5"/>
      <c r="H137" s="5"/>
      <c r="I137" s="5"/>
      <c r="J137" s="5"/>
      <c r="K137" s="5" t="s">
        <v>993</v>
      </c>
      <c r="L137" s="5" t="s">
        <v>994</v>
      </c>
      <c r="M137" s="5" t="s">
        <v>4576</v>
      </c>
      <c r="N137" s="5">
        <v>41</v>
      </c>
      <c r="O137" s="5"/>
      <c r="P137" s="5" t="s">
        <v>995</v>
      </c>
      <c r="Q137" s="5">
        <v>36</v>
      </c>
      <c r="R137" s="5">
        <v>24</v>
      </c>
      <c r="S137" s="5">
        <v>8</v>
      </c>
      <c r="T137" s="5">
        <v>0</v>
      </c>
      <c r="U137" s="5" t="b">
        <v>0</v>
      </c>
      <c r="V137" s="5">
        <v>20</v>
      </c>
      <c r="W137" s="5">
        <v>0.9</v>
      </c>
      <c r="X137" s="5" t="s">
        <v>9</v>
      </c>
      <c r="Y137" s="5">
        <v>9</v>
      </c>
      <c r="Z137" s="5"/>
      <c r="AA137" s="5" t="s">
        <v>118</v>
      </c>
      <c r="AB137" s="5" t="s">
        <v>355</v>
      </c>
      <c r="AC137" s="5" t="b">
        <v>0</v>
      </c>
      <c r="AD137" s="5"/>
      <c r="AE137" s="5"/>
      <c r="AF137" s="5"/>
      <c r="AG137" s="5">
        <v>20</v>
      </c>
      <c r="AH137" s="5"/>
      <c r="AI137" s="5">
        <v>176</v>
      </c>
      <c r="AJ137" s="5"/>
      <c r="AK137" s="5" t="s">
        <v>996</v>
      </c>
      <c r="AL137" s="5">
        <v>2</v>
      </c>
      <c r="AM137" s="5"/>
      <c r="AN137" s="5">
        <v>10</v>
      </c>
      <c r="AO137" s="5"/>
      <c r="AP137" s="5">
        <v>0</v>
      </c>
      <c r="AQ137" s="5"/>
      <c r="AR137" s="5">
        <v>0</v>
      </c>
      <c r="AS137" s="5"/>
      <c r="AT137" s="5" t="s">
        <v>997</v>
      </c>
      <c r="AU137" s="5" t="s">
        <v>998</v>
      </c>
      <c r="AV137" s="5" t="s">
        <v>999</v>
      </c>
      <c r="AW137" s="8" t="str">
        <f>IFERROR(VLOOKUP(AA137,'Message Lookup'!D:J,7,FALSE),"")</f>
        <v>Sump Tank LevelAlarm Malfunction Latched</v>
      </c>
    </row>
    <row r="138" spans="1:49" x14ac:dyDescent="0.25">
      <c r="A138" s="5" t="s">
        <v>4574</v>
      </c>
      <c r="B138" s="5" t="s">
        <v>992</v>
      </c>
      <c r="C138" s="5" t="s">
        <v>4575</v>
      </c>
      <c r="D138" s="5"/>
      <c r="E138" s="5"/>
      <c r="F138" s="5"/>
      <c r="G138" s="5"/>
      <c r="H138" s="5"/>
      <c r="I138" s="5"/>
      <c r="J138" s="5"/>
      <c r="K138" s="5" t="s">
        <v>993</v>
      </c>
      <c r="L138" s="5" t="s">
        <v>994</v>
      </c>
      <c r="M138" s="5" t="s">
        <v>4576</v>
      </c>
      <c r="N138" s="5">
        <v>41</v>
      </c>
      <c r="O138" s="5"/>
      <c r="P138" s="5" t="s">
        <v>995</v>
      </c>
      <c r="Q138" s="5">
        <v>36</v>
      </c>
      <c r="R138" s="5">
        <v>24</v>
      </c>
      <c r="S138" s="5">
        <v>8</v>
      </c>
      <c r="T138" s="5">
        <v>0</v>
      </c>
      <c r="U138" s="5" t="b">
        <v>0</v>
      </c>
      <c r="V138" s="5">
        <v>20</v>
      </c>
      <c r="W138" s="5">
        <v>0.9</v>
      </c>
      <c r="X138" s="5" t="s">
        <v>9</v>
      </c>
      <c r="Y138" s="5">
        <v>9</v>
      </c>
      <c r="Z138" s="5"/>
      <c r="AA138" s="5" t="s">
        <v>119</v>
      </c>
      <c r="AB138" s="5" t="s">
        <v>356</v>
      </c>
      <c r="AC138" s="5" t="b">
        <v>0</v>
      </c>
      <c r="AD138" s="5"/>
      <c r="AE138" s="5"/>
      <c r="AF138" s="5"/>
      <c r="AG138" s="5">
        <v>20</v>
      </c>
      <c r="AH138" s="5"/>
      <c r="AI138" s="5">
        <v>176</v>
      </c>
      <c r="AJ138" s="5"/>
      <c r="AK138" s="5" t="s">
        <v>996</v>
      </c>
      <c r="AL138" s="5">
        <v>2</v>
      </c>
      <c r="AM138" s="5"/>
      <c r="AN138" s="5">
        <v>10</v>
      </c>
      <c r="AO138" s="5"/>
      <c r="AP138" s="5">
        <v>0</v>
      </c>
      <c r="AQ138" s="5"/>
      <c r="AR138" s="5">
        <v>0</v>
      </c>
      <c r="AS138" s="5"/>
      <c r="AT138" s="5" t="s">
        <v>997</v>
      </c>
      <c r="AU138" s="5" t="s">
        <v>998</v>
      </c>
      <c r="AV138" s="5" t="s">
        <v>999</v>
      </c>
      <c r="AW138" s="8" t="str">
        <f>IFERROR(VLOOKUP(AA138,'Message Lookup'!D:J,7,FALSE),"")</f>
        <v>MSO Procucer Tank Level Alarm HiHi Latched</v>
      </c>
    </row>
    <row r="139" spans="1:49" x14ac:dyDescent="0.25">
      <c r="A139" s="5" t="s">
        <v>4574</v>
      </c>
      <c r="B139" s="5" t="s">
        <v>992</v>
      </c>
      <c r="C139" s="5" t="s">
        <v>4575</v>
      </c>
      <c r="D139" s="5"/>
      <c r="E139" s="5"/>
      <c r="F139" s="5"/>
      <c r="G139" s="5"/>
      <c r="H139" s="5"/>
      <c r="I139" s="5"/>
      <c r="J139" s="5"/>
      <c r="K139" s="5" t="s">
        <v>993</v>
      </c>
      <c r="L139" s="5" t="s">
        <v>994</v>
      </c>
      <c r="M139" s="5" t="s">
        <v>4576</v>
      </c>
      <c r="N139" s="5">
        <v>41</v>
      </c>
      <c r="O139" s="5"/>
      <c r="P139" s="5" t="s">
        <v>995</v>
      </c>
      <c r="Q139" s="5">
        <v>36</v>
      </c>
      <c r="R139" s="5">
        <v>24</v>
      </c>
      <c r="S139" s="5">
        <v>8</v>
      </c>
      <c r="T139" s="5">
        <v>0</v>
      </c>
      <c r="U139" s="5" t="b">
        <v>0</v>
      </c>
      <c r="V139" s="5">
        <v>20</v>
      </c>
      <c r="W139" s="5">
        <v>0.9</v>
      </c>
      <c r="X139" s="5" t="s">
        <v>9</v>
      </c>
      <c r="Y139" s="5">
        <v>9</v>
      </c>
      <c r="Z139" s="5"/>
      <c r="AA139" s="5" t="s">
        <v>120</v>
      </c>
      <c r="AB139" s="5" t="s">
        <v>357</v>
      </c>
      <c r="AC139" s="5" t="b">
        <v>0</v>
      </c>
      <c r="AD139" s="5"/>
      <c r="AE139" s="5"/>
      <c r="AF139" s="5"/>
      <c r="AG139" s="5">
        <v>20</v>
      </c>
      <c r="AH139" s="5"/>
      <c r="AI139" s="5">
        <v>176</v>
      </c>
      <c r="AJ139" s="5"/>
      <c r="AK139" s="5" t="s">
        <v>996</v>
      </c>
      <c r="AL139" s="5">
        <v>2</v>
      </c>
      <c r="AM139" s="5"/>
      <c r="AN139" s="5">
        <v>10</v>
      </c>
      <c r="AO139" s="5"/>
      <c r="AP139" s="5">
        <v>0</v>
      </c>
      <c r="AQ139" s="5"/>
      <c r="AR139" s="5">
        <v>0</v>
      </c>
      <c r="AS139" s="5"/>
      <c r="AT139" s="5" t="s">
        <v>997</v>
      </c>
      <c r="AU139" s="5" t="s">
        <v>998</v>
      </c>
      <c r="AV139" s="5" t="s">
        <v>999</v>
      </c>
      <c r="AW139" s="8" t="str">
        <f>IFERROR(VLOOKUP(AA139,'Message Lookup'!D:J,7,FALSE),"")</f>
        <v>MSO Procucer Tank Level Alarm Hi Latched</v>
      </c>
    </row>
    <row r="140" spans="1:49" x14ac:dyDescent="0.25">
      <c r="A140" s="5" t="s">
        <v>4574</v>
      </c>
      <c r="B140" s="5" t="s">
        <v>992</v>
      </c>
      <c r="C140" s="5" t="s">
        <v>4575</v>
      </c>
      <c r="D140" s="5"/>
      <c r="E140" s="5"/>
      <c r="F140" s="5"/>
      <c r="G140" s="5"/>
      <c r="H140" s="5"/>
      <c r="I140" s="5"/>
      <c r="J140" s="5"/>
      <c r="K140" s="5" t="s">
        <v>993</v>
      </c>
      <c r="L140" s="5" t="s">
        <v>994</v>
      </c>
      <c r="M140" s="5" t="s">
        <v>4576</v>
      </c>
      <c r="N140" s="5">
        <v>41</v>
      </c>
      <c r="O140" s="5"/>
      <c r="P140" s="5" t="s">
        <v>995</v>
      </c>
      <c r="Q140" s="5">
        <v>36</v>
      </c>
      <c r="R140" s="5">
        <v>24</v>
      </c>
      <c r="S140" s="5">
        <v>8</v>
      </c>
      <c r="T140" s="5">
        <v>0</v>
      </c>
      <c r="U140" s="5" t="b">
        <v>0</v>
      </c>
      <c r="V140" s="5">
        <v>20</v>
      </c>
      <c r="W140" s="5">
        <v>0.9</v>
      </c>
      <c r="X140" s="5" t="s">
        <v>9</v>
      </c>
      <c r="Y140" s="5">
        <v>9</v>
      </c>
      <c r="Z140" s="5"/>
      <c r="AA140" s="5" t="s">
        <v>121</v>
      </c>
      <c r="AB140" s="5" t="s">
        <v>358</v>
      </c>
      <c r="AC140" s="5" t="b">
        <v>0</v>
      </c>
      <c r="AD140" s="5"/>
      <c r="AE140" s="5"/>
      <c r="AF140" s="5"/>
      <c r="AG140" s="5">
        <v>20</v>
      </c>
      <c r="AH140" s="5"/>
      <c r="AI140" s="5">
        <v>176</v>
      </c>
      <c r="AJ140" s="5"/>
      <c r="AK140" s="5" t="s">
        <v>996</v>
      </c>
      <c r="AL140" s="5">
        <v>2</v>
      </c>
      <c r="AM140" s="5"/>
      <c r="AN140" s="5">
        <v>10</v>
      </c>
      <c r="AO140" s="5"/>
      <c r="AP140" s="5">
        <v>0</v>
      </c>
      <c r="AQ140" s="5"/>
      <c r="AR140" s="5">
        <v>0</v>
      </c>
      <c r="AS140" s="5"/>
      <c r="AT140" s="5" t="s">
        <v>997</v>
      </c>
      <c r="AU140" s="5" t="s">
        <v>998</v>
      </c>
      <c r="AV140" s="5" t="s">
        <v>999</v>
      </c>
      <c r="AW140" s="8" t="str">
        <f>IFERROR(VLOOKUP(AA140,'Message Lookup'!D:J,7,FALSE),"")</f>
        <v>MSO Procucer Tank Level Alarm Lo Condition</v>
      </c>
    </row>
    <row r="141" spans="1:49" x14ac:dyDescent="0.25">
      <c r="A141" s="5" t="s">
        <v>4574</v>
      </c>
      <c r="B141" s="5" t="s">
        <v>992</v>
      </c>
      <c r="C141" s="5" t="s">
        <v>4575</v>
      </c>
      <c r="D141" s="5"/>
      <c r="E141" s="5"/>
      <c r="F141" s="5"/>
      <c r="G141" s="5"/>
      <c r="H141" s="5"/>
      <c r="I141" s="5"/>
      <c r="J141" s="5"/>
      <c r="K141" s="5" t="s">
        <v>993</v>
      </c>
      <c r="L141" s="5" t="s">
        <v>994</v>
      </c>
      <c r="M141" s="5" t="s">
        <v>4576</v>
      </c>
      <c r="N141" s="5">
        <v>41</v>
      </c>
      <c r="O141" s="5"/>
      <c r="P141" s="5" t="s">
        <v>995</v>
      </c>
      <c r="Q141" s="5">
        <v>36</v>
      </c>
      <c r="R141" s="5">
        <v>24</v>
      </c>
      <c r="S141" s="5">
        <v>8</v>
      </c>
      <c r="T141" s="5">
        <v>0</v>
      </c>
      <c r="U141" s="5" t="b">
        <v>0</v>
      </c>
      <c r="V141" s="5">
        <v>20</v>
      </c>
      <c r="W141" s="5">
        <v>0.9</v>
      </c>
      <c r="X141" s="5" t="s">
        <v>9</v>
      </c>
      <c r="Y141" s="5">
        <v>9</v>
      </c>
      <c r="Z141" s="5"/>
      <c r="AA141" s="5" t="s">
        <v>122</v>
      </c>
      <c r="AB141" s="5" t="s">
        <v>359</v>
      </c>
      <c r="AC141" s="5" t="b">
        <v>0</v>
      </c>
      <c r="AD141" s="5"/>
      <c r="AE141" s="5"/>
      <c r="AF141" s="5"/>
      <c r="AG141" s="5">
        <v>20</v>
      </c>
      <c r="AH141" s="5"/>
      <c r="AI141" s="5">
        <v>176</v>
      </c>
      <c r="AJ141" s="5"/>
      <c r="AK141" s="5" t="s">
        <v>996</v>
      </c>
      <c r="AL141" s="5">
        <v>2</v>
      </c>
      <c r="AM141" s="5"/>
      <c r="AN141" s="5">
        <v>10</v>
      </c>
      <c r="AO141" s="5"/>
      <c r="AP141" s="5">
        <v>0</v>
      </c>
      <c r="AQ141" s="5"/>
      <c r="AR141" s="5">
        <v>0</v>
      </c>
      <c r="AS141" s="5"/>
      <c r="AT141" s="5" t="s">
        <v>997</v>
      </c>
      <c r="AU141" s="5" t="s">
        <v>998</v>
      </c>
      <c r="AV141" s="5" t="s">
        <v>999</v>
      </c>
      <c r="AW141" s="8" t="str">
        <f>IFERROR(VLOOKUP(AA141,'Message Lookup'!D:J,7,FALSE),"")</f>
        <v>MSO Procucer Tank Level Alarm LoLo Latched</v>
      </c>
    </row>
    <row r="142" spans="1:49" x14ac:dyDescent="0.25">
      <c r="A142" s="5" t="s">
        <v>4574</v>
      </c>
      <c r="B142" s="5" t="s">
        <v>992</v>
      </c>
      <c r="C142" s="5" t="s">
        <v>4575</v>
      </c>
      <c r="D142" s="5"/>
      <c r="E142" s="5"/>
      <c r="F142" s="5"/>
      <c r="G142" s="5"/>
      <c r="H142" s="5"/>
      <c r="I142" s="5"/>
      <c r="J142" s="5"/>
      <c r="K142" s="5" t="s">
        <v>993</v>
      </c>
      <c r="L142" s="5" t="s">
        <v>994</v>
      </c>
      <c r="M142" s="5" t="s">
        <v>4576</v>
      </c>
      <c r="N142" s="5">
        <v>41</v>
      </c>
      <c r="O142" s="5"/>
      <c r="P142" s="5" t="s">
        <v>995</v>
      </c>
      <c r="Q142" s="5">
        <v>36</v>
      </c>
      <c r="R142" s="5">
        <v>24</v>
      </c>
      <c r="S142" s="5">
        <v>8</v>
      </c>
      <c r="T142" s="5">
        <v>0</v>
      </c>
      <c r="U142" s="5" t="b">
        <v>0</v>
      </c>
      <c r="V142" s="5">
        <v>20</v>
      </c>
      <c r="W142" s="5">
        <v>0.9</v>
      </c>
      <c r="X142" s="5" t="s">
        <v>9</v>
      </c>
      <c r="Y142" s="5">
        <v>9</v>
      </c>
      <c r="Z142" s="5"/>
      <c r="AA142" s="5" t="s">
        <v>123</v>
      </c>
      <c r="AB142" s="5" t="s">
        <v>360</v>
      </c>
      <c r="AC142" s="5" t="b">
        <v>0</v>
      </c>
      <c r="AD142" s="5"/>
      <c r="AE142" s="5"/>
      <c r="AF142" s="5"/>
      <c r="AG142" s="5">
        <v>20</v>
      </c>
      <c r="AH142" s="5"/>
      <c r="AI142" s="5">
        <v>176</v>
      </c>
      <c r="AJ142" s="5"/>
      <c r="AK142" s="5" t="s">
        <v>996</v>
      </c>
      <c r="AL142" s="5">
        <v>2</v>
      </c>
      <c r="AM142" s="5"/>
      <c r="AN142" s="5">
        <v>10</v>
      </c>
      <c r="AO142" s="5"/>
      <c r="AP142" s="5">
        <v>0</v>
      </c>
      <c r="AQ142" s="5"/>
      <c r="AR142" s="5">
        <v>0</v>
      </c>
      <c r="AS142" s="5"/>
      <c r="AT142" s="5" t="s">
        <v>997</v>
      </c>
      <c r="AU142" s="5" t="s">
        <v>998</v>
      </c>
      <c r="AV142" s="5" t="s">
        <v>999</v>
      </c>
      <c r="AW142" s="8" t="str">
        <f>IFERROR(VLOOKUP(AA142,'Message Lookup'!D:J,7,FALSE),"")</f>
        <v>MSO Procucer Tank Level Alarm Malfunction Latched</v>
      </c>
    </row>
    <row r="143" spans="1:49" x14ac:dyDescent="0.25">
      <c r="A143" s="5" t="s">
        <v>4574</v>
      </c>
      <c r="B143" s="5" t="s">
        <v>992</v>
      </c>
      <c r="C143" s="5" t="s">
        <v>4575</v>
      </c>
      <c r="D143" s="5"/>
      <c r="E143" s="5"/>
      <c r="F143" s="5"/>
      <c r="G143" s="5"/>
      <c r="H143" s="5"/>
      <c r="I143" s="5"/>
      <c r="J143" s="5"/>
      <c r="K143" s="5" t="s">
        <v>993</v>
      </c>
      <c r="L143" s="5" t="s">
        <v>994</v>
      </c>
      <c r="M143" s="5" t="s">
        <v>4576</v>
      </c>
      <c r="N143" s="5">
        <v>41</v>
      </c>
      <c r="O143" s="5"/>
      <c r="P143" s="5" t="s">
        <v>995</v>
      </c>
      <c r="Q143" s="5">
        <v>36</v>
      </c>
      <c r="R143" s="5">
        <v>24</v>
      </c>
      <c r="S143" s="5">
        <v>8</v>
      </c>
      <c r="T143" s="5">
        <v>0</v>
      </c>
      <c r="U143" s="5" t="b">
        <v>0</v>
      </c>
      <c r="V143" s="5">
        <v>20</v>
      </c>
      <c r="W143" s="5">
        <v>0.9</v>
      </c>
      <c r="X143" s="5" t="s">
        <v>9</v>
      </c>
      <c r="Y143" s="5">
        <v>9</v>
      </c>
      <c r="Z143" s="5"/>
      <c r="AA143" s="5" t="s">
        <v>124</v>
      </c>
      <c r="AB143" s="5" t="s">
        <v>361</v>
      </c>
      <c r="AC143" s="5" t="b">
        <v>0</v>
      </c>
      <c r="AD143" s="5"/>
      <c r="AE143" s="5"/>
      <c r="AF143" s="5"/>
      <c r="AG143" s="5">
        <v>20</v>
      </c>
      <c r="AH143" s="5"/>
      <c r="AI143" s="5">
        <v>176</v>
      </c>
      <c r="AJ143" s="5"/>
      <c r="AK143" s="5" t="s">
        <v>996</v>
      </c>
      <c r="AL143" s="5">
        <v>2</v>
      </c>
      <c r="AM143" s="5"/>
      <c r="AN143" s="5">
        <v>10</v>
      </c>
      <c r="AO143" s="5"/>
      <c r="AP143" s="5">
        <v>0</v>
      </c>
      <c r="AQ143" s="5"/>
      <c r="AR143" s="5">
        <v>0</v>
      </c>
      <c r="AS143" s="5"/>
      <c r="AT143" s="5" t="s">
        <v>997</v>
      </c>
      <c r="AU143" s="5" t="s">
        <v>998</v>
      </c>
      <c r="AV143" s="5" t="s">
        <v>999</v>
      </c>
      <c r="AW143" s="8" t="str">
        <f>IFERROR(VLOOKUP(AA143,'Message Lookup'!D:J,7,FALSE),"")</f>
        <v>C5+ Procucer Tank Level Alarm HiHi Latched</v>
      </c>
    </row>
    <row r="144" spans="1:49" x14ac:dyDescent="0.25">
      <c r="A144" s="5" t="s">
        <v>4574</v>
      </c>
      <c r="B144" s="5" t="s">
        <v>992</v>
      </c>
      <c r="C144" s="5" t="s">
        <v>4575</v>
      </c>
      <c r="D144" s="5"/>
      <c r="E144" s="5"/>
      <c r="F144" s="5"/>
      <c r="G144" s="5"/>
      <c r="H144" s="5"/>
      <c r="I144" s="5"/>
      <c r="J144" s="5"/>
      <c r="K144" s="5" t="s">
        <v>993</v>
      </c>
      <c r="L144" s="5" t="s">
        <v>994</v>
      </c>
      <c r="M144" s="5" t="s">
        <v>4576</v>
      </c>
      <c r="N144" s="5">
        <v>41</v>
      </c>
      <c r="O144" s="5"/>
      <c r="P144" s="5" t="s">
        <v>995</v>
      </c>
      <c r="Q144" s="5">
        <v>36</v>
      </c>
      <c r="R144" s="5">
        <v>24</v>
      </c>
      <c r="S144" s="5">
        <v>8</v>
      </c>
      <c r="T144" s="5">
        <v>0</v>
      </c>
      <c r="U144" s="5" t="b">
        <v>0</v>
      </c>
      <c r="V144" s="5">
        <v>20</v>
      </c>
      <c r="W144" s="5">
        <v>0.9</v>
      </c>
      <c r="X144" s="5" t="s">
        <v>9</v>
      </c>
      <c r="Y144" s="5">
        <v>9</v>
      </c>
      <c r="Z144" s="5"/>
      <c r="AA144" s="5" t="s">
        <v>125</v>
      </c>
      <c r="AB144" s="5" t="s">
        <v>362</v>
      </c>
      <c r="AC144" s="5" t="b">
        <v>0</v>
      </c>
      <c r="AD144" s="5"/>
      <c r="AE144" s="5"/>
      <c r="AF144" s="5"/>
      <c r="AG144" s="5">
        <v>20</v>
      </c>
      <c r="AH144" s="5"/>
      <c r="AI144" s="5">
        <v>176</v>
      </c>
      <c r="AJ144" s="5"/>
      <c r="AK144" s="5" t="s">
        <v>996</v>
      </c>
      <c r="AL144" s="5">
        <v>2</v>
      </c>
      <c r="AM144" s="5"/>
      <c r="AN144" s="5">
        <v>10</v>
      </c>
      <c r="AO144" s="5"/>
      <c r="AP144" s="5">
        <v>0</v>
      </c>
      <c r="AQ144" s="5"/>
      <c r="AR144" s="5">
        <v>0</v>
      </c>
      <c r="AS144" s="5"/>
      <c r="AT144" s="5" t="s">
        <v>997</v>
      </c>
      <c r="AU144" s="5" t="s">
        <v>998</v>
      </c>
      <c r="AV144" s="5" t="s">
        <v>999</v>
      </c>
      <c r="AW144" s="8" t="str">
        <f>IFERROR(VLOOKUP(AA144,'Message Lookup'!D:J,7,FALSE),"")</f>
        <v>C5+ Procucer Tank Level Alarm Hi Latched</v>
      </c>
    </row>
    <row r="145" spans="1:49" x14ac:dyDescent="0.25">
      <c r="A145" s="5" t="s">
        <v>4574</v>
      </c>
      <c r="B145" s="5" t="s">
        <v>992</v>
      </c>
      <c r="C145" s="5" t="s">
        <v>4575</v>
      </c>
      <c r="D145" s="5"/>
      <c r="E145" s="5"/>
      <c r="F145" s="5"/>
      <c r="G145" s="5"/>
      <c r="H145" s="5"/>
      <c r="I145" s="5"/>
      <c r="J145" s="5"/>
      <c r="K145" s="5" t="s">
        <v>993</v>
      </c>
      <c r="L145" s="5" t="s">
        <v>994</v>
      </c>
      <c r="M145" s="5" t="s">
        <v>4576</v>
      </c>
      <c r="N145" s="5">
        <v>41</v>
      </c>
      <c r="O145" s="5"/>
      <c r="P145" s="5" t="s">
        <v>995</v>
      </c>
      <c r="Q145" s="5">
        <v>36</v>
      </c>
      <c r="R145" s="5">
        <v>24</v>
      </c>
      <c r="S145" s="5">
        <v>8</v>
      </c>
      <c r="T145" s="5">
        <v>0</v>
      </c>
      <c r="U145" s="5" t="b">
        <v>0</v>
      </c>
      <c r="V145" s="5">
        <v>20</v>
      </c>
      <c r="W145" s="5">
        <v>0.9</v>
      </c>
      <c r="X145" s="5" t="s">
        <v>9</v>
      </c>
      <c r="Y145" s="5">
        <v>9</v>
      </c>
      <c r="Z145" s="5"/>
      <c r="AA145" s="5" t="s">
        <v>126</v>
      </c>
      <c r="AB145" s="5" t="s">
        <v>363</v>
      </c>
      <c r="AC145" s="5" t="b">
        <v>0</v>
      </c>
      <c r="AD145" s="5"/>
      <c r="AE145" s="5"/>
      <c r="AF145" s="5"/>
      <c r="AG145" s="5">
        <v>20</v>
      </c>
      <c r="AH145" s="5"/>
      <c r="AI145" s="5">
        <v>176</v>
      </c>
      <c r="AJ145" s="5"/>
      <c r="AK145" s="5" t="s">
        <v>996</v>
      </c>
      <c r="AL145" s="5">
        <v>2</v>
      </c>
      <c r="AM145" s="5"/>
      <c r="AN145" s="5">
        <v>10</v>
      </c>
      <c r="AO145" s="5"/>
      <c r="AP145" s="5">
        <v>0</v>
      </c>
      <c r="AQ145" s="5"/>
      <c r="AR145" s="5">
        <v>0</v>
      </c>
      <c r="AS145" s="5"/>
      <c r="AT145" s="5" t="s">
        <v>997</v>
      </c>
      <c r="AU145" s="5" t="s">
        <v>998</v>
      </c>
      <c r="AV145" s="5" t="s">
        <v>999</v>
      </c>
      <c r="AW145" s="8" t="str">
        <f>IFERROR(VLOOKUP(AA145,'Message Lookup'!D:J,7,FALSE),"")</f>
        <v>C5+ Procucer Tank Level Alarm Lo Condition</v>
      </c>
    </row>
    <row r="146" spans="1:49" x14ac:dyDescent="0.25">
      <c r="A146" s="5" t="s">
        <v>4574</v>
      </c>
      <c r="B146" s="5" t="s">
        <v>992</v>
      </c>
      <c r="C146" s="5" t="s">
        <v>4575</v>
      </c>
      <c r="D146" s="5"/>
      <c r="E146" s="5"/>
      <c r="F146" s="5"/>
      <c r="G146" s="5"/>
      <c r="H146" s="5"/>
      <c r="I146" s="5"/>
      <c r="J146" s="5"/>
      <c r="K146" s="5" t="s">
        <v>993</v>
      </c>
      <c r="L146" s="5" t="s">
        <v>994</v>
      </c>
      <c r="M146" s="5" t="s">
        <v>4576</v>
      </c>
      <c r="N146" s="5">
        <v>41</v>
      </c>
      <c r="O146" s="5"/>
      <c r="P146" s="5" t="s">
        <v>995</v>
      </c>
      <c r="Q146" s="5">
        <v>36</v>
      </c>
      <c r="R146" s="5">
        <v>24</v>
      </c>
      <c r="S146" s="5">
        <v>8</v>
      </c>
      <c r="T146" s="5">
        <v>0</v>
      </c>
      <c r="U146" s="5" t="b">
        <v>0</v>
      </c>
      <c r="V146" s="5">
        <v>20</v>
      </c>
      <c r="W146" s="5">
        <v>0.9</v>
      </c>
      <c r="X146" s="5" t="s">
        <v>9</v>
      </c>
      <c r="Y146" s="5">
        <v>9</v>
      </c>
      <c r="Z146" s="5"/>
      <c r="AA146" s="5" t="s">
        <v>127</v>
      </c>
      <c r="AB146" s="5" t="s">
        <v>364</v>
      </c>
      <c r="AC146" s="5" t="b">
        <v>0</v>
      </c>
      <c r="AD146" s="5"/>
      <c r="AE146" s="5"/>
      <c r="AF146" s="5"/>
      <c r="AG146" s="5">
        <v>20</v>
      </c>
      <c r="AH146" s="5"/>
      <c r="AI146" s="5">
        <v>176</v>
      </c>
      <c r="AJ146" s="5"/>
      <c r="AK146" s="5" t="s">
        <v>996</v>
      </c>
      <c r="AL146" s="5">
        <v>2</v>
      </c>
      <c r="AM146" s="5"/>
      <c r="AN146" s="5">
        <v>10</v>
      </c>
      <c r="AO146" s="5"/>
      <c r="AP146" s="5">
        <v>0</v>
      </c>
      <c r="AQ146" s="5"/>
      <c r="AR146" s="5">
        <v>0</v>
      </c>
      <c r="AS146" s="5"/>
      <c r="AT146" s="5" t="s">
        <v>997</v>
      </c>
      <c r="AU146" s="5" t="s">
        <v>998</v>
      </c>
      <c r="AV146" s="5" t="s">
        <v>999</v>
      </c>
      <c r="AW146" s="8" t="str">
        <f>IFERROR(VLOOKUP(AA146,'Message Lookup'!D:J,7,FALSE),"")</f>
        <v>C5+ Procucer Tank Level Alarm LoLo Latched</v>
      </c>
    </row>
    <row r="147" spans="1:49" x14ac:dyDescent="0.25">
      <c r="A147" s="5" t="s">
        <v>4574</v>
      </c>
      <c r="B147" s="5" t="s">
        <v>992</v>
      </c>
      <c r="C147" s="5" t="s">
        <v>4575</v>
      </c>
      <c r="D147" s="5"/>
      <c r="E147" s="5"/>
      <c r="F147" s="5"/>
      <c r="G147" s="5"/>
      <c r="H147" s="5"/>
      <c r="I147" s="5"/>
      <c r="J147" s="5"/>
      <c r="K147" s="5" t="s">
        <v>993</v>
      </c>
      <c r="L147" s="5" t="s">
        <v>994</v>
      </c>
      <c r="M147" s="5" t="s">
        <v>4576</v>
      </c>
      <c r="N147" s="5">
        <v>41</v>
      </c>
      <c r="O147" s="5"/>
      <c r="P147" s="5" t="s">
        <v>995</v>
      </c>
      <c r="Q147" s="5">
        <v>36</v>
      </c>
      <c r="R147" s="5">
        <v>24</v>
      </c>
      <c r="S147" s="5">
        <v>8</v>
      </c>
      <c r="T147" s="5">
        <v>0</v>
      </c>
      <c r="U147" s="5" t="b">
        <v>0</v>
      </c>
      <c r="V147" s="5">
        <v>20</v>
      </c>
      <c r="W147" s="5">
        <v>0.9</v>
      </c>
      <c r="X147" s="5" t="s">
        <v>9</v>
      </c>
      <c r="Y147" s="5">
        <v>9</v>
      </c>
      <c r="Z147" s="5"/>
      <c r="AA147" s="5" t="s">
        <v>128</v>
      </c>
      <c r="AB147" s="5" t="s">
        <v>365</v>
      </c>
      <c r="AC147" s="5" t="b">
        <v>0</v>
      </c>
      <c r="AD147" s="5"/>
      <c r="AE147" s="5"/>
      <c r="AF147" s="5"/>
      <c r="AG147" s="5">
        <v>20</v>
      </c>
      <c r="AH147" s="5"/>
      <c r="AI147" s="5">
        <v>176</v>
      </c>
      <c r="AJ147" s="5"/>
      <c r="AK147" s="5" t="s">
        <v>996</v>
      </c>
      <c r="AL147" s="5">
        <v>2</v>
      </c>
      <c r="AM147" s="5"/>
      <c r="AN147" s="5">
        <v>10</v>
      </c>
      <c r="AO147" s="5"/>
      <c r="AP147" s="5">
        <v>0</v>
      </c>
      <c r="AQ147" s="5"/>
      <c r="AR147" s="5">
        <v>0</v>
      </c>
      <c r="AS147" s="5"/>
      <c r="AT147" s="5" t="s">
        <v>997</v>
      </c>
      <c r="AU147" s="5" t="s">
        <v>998</v>
      </c>
      <c r="AV147" s="5" t="s">
        <v>999</v>
      </c>
      <c r="AW147" s="8" t="str">
        <f>IFERROR(VLOOKUP(AA147,'Message Lookup'!D:J,7,FALSE),"")</f>
        <v>C5+ Procucer Tank Level Alarm Malfunction Latched</v>
      </c>
    </row>
    <row r="148" spans="1:49" x14ac:dyDescent="0.25">
      <c r="A148" s="5" t="s">
        <v>4574</v>
      </c>
      <c r="B148" s="5" t="s">
        <v>992</v>
      </c>
      <c r="C148" s="5" t="s">
        <v>4575</v>
      </c>
      <c r="D148" s="5"/>
      <c r="E148" s="5"/>
      <c r="F148" s="5"/>
      <c r="G148" s="5"/>
      <c r="H148" s="5"/>
      <c r="I148" s="5"/>
      <c r="J148" s="5"/>
      <c r="K148" s="5" t="s">
        <v>993</v>
      </c>
      <c r="L148" s="5" t="s">
        <v>994</v>
      </c>
      <c r="M148" s="5" t="s">
        <v>4576</v>
      </c>
      <c r="N148" s="5">
        <v>41</v>
      </c>
      <c r="O148" s="5"/>
      <c r="P148" s="5" t="s">
        <v>995</v>
      </c>
      <c r="Q148" s="5">
        <v>36</v>
      </c>
      <c r="R148" s="5">
        <v>24</v>
      </c>
      <c r="S148" s="5">
        <v>8</v>
      </c>
      <c r="T148" s="5">
        <v>0</v>
      </c>
      <c r="U148" s="5" t="b">
        <v>0</v>
      </c>
      <c r="V148" s="5">
        <v>20</v>
      </c>
      <c r="W148" s="5">
        <v>0.9</v>
      </c>
      <c r="X148" s="5" t="s">
        <v>9</v>
      </c>
      <c r="Y148" s="5">
        <v>9</v>
      </c>
      <c r="Z148" s="5"/>
      <c r="AA148" s="5" t="s">
        <v>129</v>
      </c>
      <c r="AB148" s="5" t="s">
        <v>366</v>
      </c>
      <c r="AC148" s="5" t="b">
        <v>0</v>
      </c>
      <c r="AD148" s="5"/>
      <c r="AE148" s="5"/>
      <c r="AF148" s="5"/>
      <c r="AG148" s="5">
        <v>20</v>
      </c>
      <c r="AH148" s="5"/>
      <c r="AI148" s="5">
        <v>176</v>
      </c>
      <c r="AJ148" s="5"/>
      <c r="AK148" s="5" t="s">
        <v>996</v>
      </c>
      <c r="AL148" s="5">
        <v>2</v>
      </c>
      <c r="AM148" s="5"/>
      <c r="AN148" s="5">
        <v>10</v>
      </c>
      <c r="AO148" s="5"/>
      <c r="AP148" s="5">
        <v>0</v>
      </c>
      <c r="AQ148" s="5"/>
      <c r="AR148" s="5">
        <v>0</v>
      </c>
      <c r="AS148" s="5"/>
      <c r="AT148" s="5" t="s">
        <v>997</v>
      </c>
      <c r="AU148" s="5" t="s">
        <v>998</v>
      </c>
      <c r="AV148" s="5" t="s">
        <v>999</v>
      </c>
      <c r="AW148" s="8" t="str">
        <f>IFERROR(VLOOKUP(AA148,'Message Lookup'!D:J,7,FALSE),"")</f>
        <v>C3+ Procucer Tank Level Alarm HiHi Latched</v>
      </c>
    </row>
    <row r="149" spans="1:49" x14ac:dyDescent="0.25">
      <c r="A149" s="5" t="s">
        <v>4574</v>
      </c>
      <c r="B149" s="5" t="s">
        <v>992</v>
      </c>
      <c r="C149" s="5" t="s">
        <v>4575</v>
      </c>
      <c r="D149" s="5"/>
      <c r="E149" s="5"/>
      <c r="F149" s="5"/>
      <c r="G149" s="5"/>
      <c r="H149" s="5"/>
      <c r="I149" s="5"/>
      <c r="J149" s="5"/>
      <c r="K149" s="5" t="s">
        <v>993</v>
      </c>
      <c r="L149" s="5" t="s">
        <v>994</v>
      </c>
      <c r="M149" s="5" t="s">
        <v>4576</v>
      </c>
      <c r="N149" s="5">
        <v>41</v>
      </c>
      <c r="O149" s="5"/>
      <c r="P149" s="5" t="s">
        <v>995</v>
      </c>
      <c r="Q149" s="5">
        <v>36</v>
      </c>
      <c r="R149" s="5">
        <v>24</v>
      </c>
      <c r="S149" s="5">
        <v>8</v>
      </c>
      <c r="T149" s="5">
        <v>0</v>
      </c>
      <c r="U149" s="5" t="b">
        <v>0</v>
      </c>
      <c r="V149" s="5">
        <v>20</v>
      </c>
      <c r="W149" s="5">
        <v>0.9</v>
      </c>
      <c r="X149" s="5" t="s">
        <v>9</v>
      </c>
      <c r="Y149" s="5">
        <v>9</v>
      </c>
      <c r="Z149" s="5"/>
      <c r="AA149" s="5" t="s">
        <v>130</v>
      </c>
      <c r="AB149" s="5" t="s">
        <v>367</v>
      </c>
      <c r="AC149" s="5" t="b">
        <v>0</v>
      </c>
      <c r="AD149" s="5"/>
      <c r="AE149" s="5"/>
      <c r="AF149" s="5"/>
      <c r="AG149" s="5">
        <v>20</v>
      </c>
      <c r="AH149" s="5"/>
      <c r="AI149" s="5">
        <v>176</v>
      </c>
      <c r="AJ149" s="5"/>
      <c r="AK149" s="5" t="s">
        <v>996</v>
      </c>
      <c r="AL149" s="5">
        <v>2</v>
      </c>
      <c r="AM149" s="5"/>
      <c r="AN149" s="5">
        <v>10</v>
      </c>
      <c r="AO149" s="5"/>
      <c r="AP149" s="5">
        <v>0</v>
      </c>
      <c r="AQ149" s="5"/>
      <c r="AR149" s="5">
        <v>0</v>
      </c>
      <c r="AS149" s="5"/>
      <c r="AT149" s="5" t="s">
        <v>997</v>
      </c>
      <c r="AU149" s="5" t="s">
        <v>998</v>
      </c>
      <c r="AV149" s="5" t="s">
        <v>999</v>
      </c>
      <c r="AW149" s="8" t="str">
        <f>IFERROR(VLOOKUP(AA149,'Message Lookup'!D:J,7,FALSE),"")</f>
        <v>C3+ Procucer Tank Level Alarm Hi Latched</v>
      </c>
    </row>
    <row r="150" spans="1:49" x14ac:dyDescent="0.25">
      <c r="A150" s="5" t="s">
        <v>4574</v>
      </c>
      <c r="B150" s="5" t="s">
        <v>992</v>
      </c>
      <c r="C150" s="5" t="s">
        <v>4575</v>
      </c>
      <c r="D150" s="5"/>
      <c r="E150" s="5"/>
      <c r="F150" s="5"/>
      <c r="G150" s="5"/>
      <c r="H150" s="5"/>
      <c r="I150" s="5"/>
      <c r="J150" s="5"/>
      <c r="K150" s="5" t="s">
        <v>993</v>
      </c>
      <c r="L150" s="5" t="s">
        <v>994</v>
      </c>
      <c r="M150" s="5" t="s">
        <v>4576</v>
      </c>
      <c r="N150" s="5">
        <v>41</v>
      </c>
      <c r="O150" s="5"/>
      <c r="P150" s="5" t="s">
        <v>995</v>
      </c>
      <c r="Q150" s="5">
        <v>36</v>
      </c>
      <c r="R150" s="5">
        <v>24</v>
      </c>
      <c r="S150" s="5">
        <v>8</v>
      </c>
      <c r="T150" s="5">
        <v>0</v>
      </c>
      <c r="U150" s="5" t="b">
        <v>0</v>
      </c>
      <c r="V150" s="5">
        <v>20</v>
      </c>
      <c r="W150" s="5">
        <v>0.9</v>
      </c>
      <c r="X150" s="5" t="s">
        <v>9</v>
      </c>
      <c r="Y150" s="5">
        <v>9</v>
      </c>
      <c r="Z150" s="5"/>
      <c r="AA150" s="5" t="s">
        <v>131</v>
      </c>
      <c r="AB150" s="5" t="s">
        <v>368</v>
      </c>
      <c r="AC150" s="5" t="b">
        <v>0</v>
      </c>
      <c r="AD150" s="5"/>
      <c r="AE150" s="5"/>
      <c r="AF150" s="5"/>
      <c r="AG150" s="5">
        <v>20</v>
      </c>
      <c r="AH150" s="5"/>
      <c r="AI150" s="5">
        <v>176</v>
      </c>
      <c r="AJ150" s="5"/>
      <c r="AK150" s="5" t="s">
        <v>996</v>
      </c>
      <c r="AL150" s="5">
        <v>2</v>
      </c>
      <c r="AM150" s="5"/>
      <c r="AN150" s="5">
        <v>10</v>
      </c>
      <c r="AO150" s="5"/>
      <c r="AP150" s="5">
        <v>0</v>
      </c>
      <c r="AQ150" s="5"/>
      <c r="AR150" s="5">
        <v>0</v>
      </c>
      <c r="AS150" s="5"/>
      <c r="AT150" s="5" t="s">
        <v>997</v>
      </c>
      <c r="AU150" s="5" t="s">
        <v>998</v>
      </c>
      <c r="AV150" s="5" t="s">
        <v>999</v>
      </c>
      <c r="AW150" s="8" t="str">
        <f>IFERROR(VLOOKUP(AA150,'Message Lookup'!D:J,7,FALSE),"")</f>
        <v>C3+ Procucer Tank Level Alarm Lo Condition</v>
      </c>
    </row>
    <row r="151" spans="1:49" x14ac:dyDescent="0.25">
      <c r="A151" s="5" t="s">
        <v>4574</v>
      </c>
      <c r="B151" s="5" t="s">
        <v>992</v>
      </c>
      <c r="C151" s="5" t="s">
        <v>4575</v>
      </c>
      <c r="D151" s="5"/>
      <c r="E151" s="5"/>
      <c r="F151" s="5"/>
      <c r="G151" s="5"/>
      <c r="H151" s="5"/>
      <c r="I151" s="5"/>
      <c r="J151" s="5"/>
      <c r="K151" s="5" t="s">
        <v>993</v>
      </c>
      <c r="L151" s="5" t="s">
        <v>994</v>
      </c>
      <c r="M151" s="5" t="s">
        <v>4576</v>
      </c>
      <c r="N151" s="5">
        <v>41</v>
      </c>
      <c r="O151" s="5"/>
      <c r="P151" s="5" t="s">
        <v>995</v>
      </c>
      <c r="Q151" s="5">
        <v>36</v>
      </c>
      <c r="R151" s="5">
        <v>24</v>
      </c>
      <c r="S151" s="5">
        <v>8</v>
      </c>
      <c r="T151" s="5">
        <v>0</v>
      </c>
      <c r="U151" s="5" t="b">
        <v>0</v>
      </c>
      <c r="V151" s="5">
        <v>20</v>
      </c>
      <c r="W151" s="5">
        <v>0.9</v>
      </c>
      <c r="X151" s="5" t="s">
        <v>9</v>
      </c>
      <c r="Y151" s="5">
        <v>9</v>
      </c>
      <c r="Z151" s="5"/>
      <c r="AA151" s="5" t="s">
        <v>132</v>
      </c>
      <c r="AB151" s="5" t="s">
        <v>369</v>
      </c>
      <c r="AC151" s="5" t="b">
        <v>0</v>
      </c>
      <c r="AD151" s="5"/>
      <c r="AE151" s="5"/>
      <c r="AF151" s="5"/>
      <c r="AG151" s="5">
        <v>20</v>
      </c>
      <c r="AH151" s="5"/>
      <c r="AI151" s="5">
        <v>176</v>
      </c>
      <c r="AJ151" s="5"/>
      <c r="AK151" s="5" t="s">
        <v>996</v>
      </c>
      <c r="AL151" s="5">
        <v>2</v>
      </c>
      <c r="AM151" s="5"/>
      <c r="AN151" s="5">
        <v>10</v>
      </c>
      <c r="AO151" s="5"/>
      <c r="AP151" s="5">
        <v>0</v>
      </c>
      <c r="AQ151" s="5"/>
      <c r="AR151" s="5">
        <v>0</v>
      </c>
      <c r="AS151" s="5"/>
      <c r="AT151" s="5" t="s">
        <v>997</v>
      </c>
      <c r="AU151" s="5" t="s">
        <v>998</v>
      </c>
      <c r="AV151" s="5" t="s">
        <v>999</v>
      </c>
      <c r="AW151" s="8" t="str">
        <f>IFERROR(VLOOKUP(AA151,'Message Lookup'!D:J,7,FALSE),"")</f>
        <v>C3+ Procucer Tank Level Alarm LoLo Latched</v>
      </c>
    </row>
    <row r="152" spans="1:49" x14ac:dyDescent="0.25">
      <c r="A152" s="5" t="s">
        <v>4574</v>
      </c>
      <c r="B152" s="5" t="s">
        <v>992</v>
      </c>
      <c r="C152" s="5" t="s">
        <v>4575</v>
      </c>
      <c r="D152" s="5"/>
      <c r="E152" s="5"/>
      <c r="F152" s="5"/>
      <c r="G152" s="5"/>
      <c r="H152" s="5"/>
      <c r="I152" s="5"/>
      <c r="J152" s="5"/>
      <c r="K152" s="5" t="s">
        <v>993</v>
      </c>
      <c r="L152" s="5" t="s">
        <v>994</v>
      </c>
      <c r="M152" s="5" t="s">
        <v>4576</v>
      </c>
      <c r="N152" s="5">
        <v>41</v>
      </c>
      <c r="O152" s="5"/>
      <c r="P152" s="5" t="s">
        <v>995</v>
      </c>
      <c r="Q152" s="5">
        <v>36</v>
      </c>
      <c r="R152" s="5">
        <v>24</v>
      </c>
      <c r="S152" s="5">
        <v>8</v>
      </c>
      <c r="T152" s="5">
        <v>0</v>
      </c>
      <c r="U152" s="5" t="b">
        <v>0</v>
      </c>
      <c r="V152" s="5">
        <v>20</v>
      </c>
      <c r="W152" s="5">
        <v>0.9</v>
      </c>
      <c r="X152" s="5" t="s">
        <v>9</v>
      </c>
      <c r="Y152" s="5">
        <v>9</v>
      </c>
      <c r="Z152" s="5"/>
      <c r="AA152" s="5" t="s">
        <v>133</v>
      </c>
      <c r="AB152" s="5" t="s">
        <v>370</v>
      </c>
      <c r="AC152" s="5" t="b">
        <v>0</v>
      </c>
      <c r="AD152" s="5"/>
      <c r="AE152" s="5"/>
      <c r="AF152" s="5"/>
      <c r="AG152" s="5">
        <v>20</v>
      </c>
      <c r="AH152" s="5"/>
      <c r="AI152" s="5">
        <v>176</v>
      </c>
      <c r="AJ152" s="5"/>
      <c r="AK152" s="5" t="s">
        <v>996</v>
      </c>
      <c r="AL152" s="5">
        <v>2</v>
      </c>
      <c r="AM152" s="5"/>
      <c r="AN152" s="5">
        <v>10</v>
      </c>
      <c r="AO152" s="5"/>
      <c r="AP152" s="5">
        <v>0</v>
      </c>
      <c r="AQ152" s="5"/>
      <c r="AR152" s="5">
        <v>0</v>
      </c>
      <c r="AS152" s="5"/>
      <c r="AT152" s="5" t="s">
        <v>997</v>
      </c>
      <c r="AU152" s="5" t="s">
        <v>998</v>
      </c>
      <c r="AV152" s="5" t="s">
        <v>999</v>
      </c>
      <c r="AW152" s="8" t="str">
        <f>IFERROR(VLOOKUP(AA152,'Message Lookup'!D:J,7,FALSE),"")</f>
        <v>C3+ Procucer Tank Level Alarm Malfunction Latched</v>
      </c>
    </row>
    <row r="153" spans="1:49" x14ac:dyDescent="0.25">
      <c r="A153" s="5" t="s">
        <v>4574</v>
      </c>
      <c r="B153" s="5" t="s">
        <v>992</v>
      </c>
      <c r="C153" s="5" t="s">
        <v>4575</v>
      </c>
      <c r="D153" s="5"/>
      <c r="E153" s="5"/>
      <c r="F153" s="5"/>
      <c r="G153" s="5"/>
      <c r="H153" s="5"/>
      <c r="I153" s="5"/>
      <c r="J153" s="5"/>
      <c r="K153" s="5" t="s">
        <v>993</v>
      </c>
      <c r="L153" s="5" t="s">
        <v>994</v>
      </c>
      <c r="M153" s="5" t="s">
        <v>4576</v>
      </c>
      <c r="N153" s="5">
        <v>41</v>
      </c>
      <c r="O153" s="5"/>
      <c r="P153" s="5" t="s">
        <v>995</v>
      </c>
      <c r="Q153" s="5">
        <v>36</v>
      </c>
      <c r="R153" s="5">
        <v>24</v>
      </c>
      <c r="S153" s="5">
        <v>8</v>
      </c>
      <c r="T153" s="5">
        <v>0</v>
      </c>
      <c r="U153" s="5" t="b">
        <v>0</v>
      </c>
      <c r="V153" s="5">
        <v>20</v>
      </c>
      <c r="W153" s="5">
        <v>0.9</v>
      </c>
      <c r="X153" s="5" t="s">
        <v>9</v>
      </c>
      <c r="Y153" s="5">
        <v>9</v>
      </c>
      <c r="Z153" s="5"/>
      <c r="AA153" s="5"/>
      <c r="AB153" s="5"/>
      <c r="AC153" s="5"/>
      <c r="AD153" s="5"/>
      <c r="AE153" s="5" t="s">
        <v>1000</v>
      </c>
      <c r="AF153" s="5" t="b">
        <v>0</v>
      </c>
      <c r="AG153" s="5">
        <v>20</v>
      </c>
      <c r="AH153" s="5"/>
      <c r="AI153" s="5">
        <v>176</v>
      </c>
      <c r="AJ153" s="5"/>
      <c r="AK153" s="5" t="s">
        <v>996</v>
      </c>
      <c r="AL153" s="5">
        <v>2</v>
      </c>
      <c r="AM153" s="5"/>
      <c r="AN153" s="5">
        <v>10</v>
      </c>
      <c r="AO153" s="5"/>
      <c r="AP153" s="5">
        <v>0</v>
      </c>
      <c r="AQ153" s="5"/>
      <c r="AR153" s="5">
        <v>0</v>
      </c>
      <c r="AS153" s="5"/>
      <c r="AT153" s="5" t="s">
        <v>997</v>
      </c>
      <c r="AU153" s="5" t="s">
        <v>998</v>
      </c>
      <c r="AV153" s="5" t="s">
        <v>999</v>
      </c>
      <c r="AW153" s="8" t="str">
        <f>IFERROR(VLOOKUP(AA153,'Message Lookup'!D:J,7,FALSE),"")</f>
        <v/>
      </c>
    </row>
    <row r="154" spans="1:49" x14ac:dyDescent="0.25">
      <c r="A154" s="5" t="s">
        <v>4574</v>
      </c>
      <c r="B154" s="5" t="s">
        <v>992</v>
      </c>
      <c r="C154" s="5" t="s">
        <v>4575</v>
      </c>
      <c r="D154" s="5"/>
      <c r="E154" s="5"/>
      <c r="F154" s="5"/>
      <c r="G154" s="5"/>
      <c r="H154" s="5"/>
      <c r="I154" s="5"/>
      <c r="J154" s="5"/>
      <c r="K154" s="5" t="s">
        <v>993</v>
      </c>
      <c r="L154" s="5" t="s">
        <v>994</v>
      </c>
      <c r="M154" s="5" t="s">
        <v>4576</v>
      </c>
      <c r="N154" s="5">
        <v>41</v>
      </c>
      <c r="O154" s="5"/>
      <c r="P154" s="5" t="s">
        <v>995</v>
      </c>
      <c r="Q154" s="5">
        <v>36</v>
      </c>
      <c r="R154" s="5">
        <v>24</v>
      </c>
      <c r="S154" s="5">
        <v>8</v>
      </c>
      <c r="T154" s="5">
        <v>0</v>
      </c>
      <c r="U154" s="5" t="b">
        <v>0</v>
      </c>
      <c r="V154" s="5">
        <v>20</v>
      </c>
      <c r="W154" s="5">
        <v>0.9</v>
      </c>
      <c r="X154" s="5" t="s">
        <v>9</v>
      </c>
      <c r="Y154" s="5">
        <v>9</v>
      </c>
      <c r="Z154" s="5"/>
      <c r="AA154" s="5"/>
      <c r="AB154" s="5"/>
      <c r="AC154" s="5"/>
      <c r="AD154" s="5" t="s">
        <v>1009</v>
      </c>
      <c r="AE154" s="5" t="s">
        <v>1002</v>
      </c>
      <c r="AF154" s="5" t="b">
        <v>0</v>
      </c>
      <c r="AG154" s="5">
        <v>20</v>
      </c>
      <c r="AH154" s="5"/>
      <c r="AI154" s="5">
        <v>176</v>
      </c>
      <c r="AJ154" s="5"/>
      <c r="AK154" s="5" t="s">
        <v>996</v>
      </c>
      <c r="AL154" s="5">
        <v>2</v>
      </c>
      <c r="AM154" s="5"/>
      <c r="AN154" s="5">
        <v>10</v>
      </c>
      <c r="AO154" s="5"/>
      <c r="AP154" s="5">
        <v>0</v>
      </c>
      <c r="AQ154" s="5"/>
      <c r="AR154" s="5">
        <v>0</v>
      </c>
      <c r="AS154" s="5"/>
      <c r="AT154" s="5" t="s">
        <v>997</v>
      </c>
      <c r="AU154" s="5" t="s">
        <v>998</v>
      </c>
      <c r="AV154" s="5" t="s">
        <v>999</v>
      </c>
      <c r="AW154" s="8" t="str">
        <f>IFERROR(VLOOKUP(AA154,'Message Lookup'!D:J,7,FALSE),"")</f>
        <v/>
      </c>
    </row>
    <row r="155" spans="1:49" x14ac:dyDescent="0.25">
      <c r="A155" s="5" t="s">
        <v>4574</v>
      </c>
      <c r="B155" s="5" t="s">
        <v>992</v>
      </c>
      <c r="C155" s="5" t="s">
        <v>4575</v>
      </c>
      <c r="D155" s="5"/>
      <c r="E155" s="5"/>
      <c r="F155" s="5"/>
      <c r="G155" s="5"/>
      <c r="H155" s="5"/>
      <c r="I155" s="5"/>
      <c r="J155" s="5"/>
      <c r="K155" s="5" t="s">
        <v>993</v>
      </c>
      <c r="L155" s="5" t="s">
        <v>994</v>
      </c>
      <c r="M155" s="5" t="s">
        <v>4576</v>
      </c>
      <c r="N155" s="5">
        <v>41</v>
      </c>
      <c r="O155" s="5"/>
      <c r="P155" s="5" t="s">
        <v>995</v>
      </c>
      <c r="Q155" s="5">
        <v>36</v>
      </c>
      <c r="R155" s="5">
        <v>24</v>
      </c>
      <c r="S155" s="5">
        <v>9</v>
      </c>
      <c r="T155" s="5">
        <v>0</v>
      </c>
      <c r="U155" s="5" t="b">
        <v>0</v>
      </c>
      <c r="V155" s="5">
        <v>20</v>
      </c>
      <c r="W155" s="5">
        <v>0.1</v>
      </c>
      <c r="X155" s="5" t="s">
        <v>9</v>
      </c>
      <c r="Y155" s="5">
        <v>9</v>
      </c>
      <c r="Z155" s="5"/>
      <c r="AA155" s="5"/>
      <c r="AB155" s="5" t="s">
        <v>354</v>
      </c>
      <c r="AC155" s="5" t="b">
        <v>0</v>
      </c>
      <c r="AD155" s="5"/>
      <c r="AE155" s="5"/>
      <c r="AF155" s="5"/>
      <c r="AG155" s="5">
        <v>20</v>
      </c>
      <c r="AH155" s="5">
        <v>20</v>
      </c>
      <c r="AI155" s="5">
        <v>197</v>
      </c>
      <c r="AJ155" s="5">
        <v>197</v>
      </c>
      <c r="AK155" s="5" t="s">
        <v>996</v>
      </c>
      <c r="AL155" s="5">
        <v>2</v>
      </c>
      <c r="AM155" s="5"/>
      <c r="AN155" s="5">
        <v>10</v>
      </c>
      <c r="AO155" s="5"/>
      <c r="AP155" s="5">
        <v>0</v>
      </c>
      <c r="AQ155" s="5"/>
      <c r="AR155" s="5">
        <v>0</v>
      </c>
      <c r="AS155" s="5"/>
      <c r="AT155" s="5" t="s">
        <v>997</v>
      </c>
      <c r="AU155" s="5" t="s">
        <v>998</v>
      </c>
      <c r="AV155" s="5" t="s">
        <v>999</v>
      </c>
      <c r="AW155" s="8" t="str">
        <f>IFERROR(VLOOKUP(AA155,'Message Lookup'!D:J,7,FALSE),"")</f>
        <v/>
      </c>
    </row>
    <row r="156" spans="1:49" x14ac:dyDescent="0.25">
      <c r="A156" s="5" t="s">
        <v>4574</v>
      </c>
      <c r="B156" s="5" t="s">
        <v>992</v>
      </c>
      <c r="C156" s="5" t="s">
        <v>4575</v>
      </c>
      <c r="D156" s="5"/>
      <c r="E156" s="5"/>
      <c r="F156" s="5"/>
      <c r="G156" s="5"/>
      <c r="H156" s="5"/>
      <c r="I156" s="5"/>
      <c r="J156" s="5"/>
      <c r="K156" s="5" t="s">
        <v>993</v>
      </c>
      <c r="L156" s="5" t="s">
        <v>994</v>
      </c>
      <c r="M156" s="5" t="s">
        <v>4576</v>
      </c>
      <c r="N156" s="5">
        <v>41</v>
      </c>
      <c r="O156" s="5"/>
      <c r="P156" s="5" t="s">
        <v>995</v>
      </c>
      <c r="Q156" s="5">
        <v>36</v>
      </c>
      <c r="R156" s="5">
        <v>24</v>
      </c>
      <c r="S156" s="5">
        <v>9</v>
      </c>
      <c r="T156" s="5">
        <v>0</v>
      </c>
      <c r="U156" s="5" t="b">
        <v>0</v>
      </c>
      <c r="V156" s="5">
        <v>20</v>
      </c>
      <c r="W156" s="5">
        <v>0.1</v>
      </c>
      <c r="X156" s="5" t="s">
        <v>9</v>
      </c>
      <c r="Y156" s="5">
        <v>9</v>
      </c>
      <c r="Z156" s="5"/>
      <c r="AA156" s="5" t="s">
        <v>134</v>
      </c>
      <c r="AB156" s="5" t="s">
        <v>355</v>
      </c>
      <c r="AC156" s="5" t="b">
        <v>0</v>
      </c>
      <c r="AD156" s="5"/>
      <c r="AE156" s="5"/>
      <c r="AF156" s="5"/>
      <c r="AG156" s="5">
        <v>20</v>
      </c>
      <c r="AH156" s="5"/>
      <c r="AI156" s="5">
        <v>197</v>
      </c>
      <c r="AJ156" s="5"/>
      <c r="AK156" s="5" t="s">
        <v>996</v>
      </c>
      <c r="AL156" s="5">
        <v>2</v>
      </c>
      <c r="AM156" s="5"/>
      <c r="AN156" s="5">
        <v>10</v>
      </c>
      <c r="AO156" s="5"/>
      <c r="AP156" s="5">
        <v>0</v>
      </c>
      <c r="AQ156" s="5"/>
      <c r="AR156" s="5">
        <v>0</v>
      </c>
      <c r="AS156" s="5"/>
      <c r="AT156" s="5" t="s">
        <v>997</v>
      </c>
      <c r="AU156" s="5" t="s">
        <v>998</v>
      </c>
      <c r="AV156" s="5" t="s">
        <v>999</v>
      </c>
      <c r="AW156" s="8" t="str">
        <f>IFERROR(VLOOKUP(AA156,'Message Lookup'!D:J,7,FALSE),"")</f>
        <v>P-1 VFD Speed Alarm HiHi Latched</v>
      </c>
    </row>
    <row r="157" spans="1:49" x14ac:dyDescent="0.25">
      <c r="A157" s="5" t="s">
        <v>4574</v>
      </c>
      <c r="B157" s="5" t="s">
        <v>992</v>
      </c>
      <c r="C157" s="5" t="s">
        <v>4575</v>
      </c>
      <c r="D157" s="5"/>
      <c r="E157" s="5"/>
      <c r="F157" s="5"/>
      <c r="G157" s="5"/>
      <c r="H157" s="5"/>
      <c r="I157" s="5"/>
      <c r="J157" s="5"/>
      <c r="K157" s="5" t="s">
        <v>993</v>
      </c>
      <c r="L157" s="5" t="s">
        <v>994</v>
      </c>
      <c r="M157" s="5" t="s">
        <v>4576</v>
      </c>
      <c r="N157" s="5">
        <v>41</v>
      </c>
      <c r="O157" s="5"/>
      <c r="P157" s="5" t="s">
        <v>995</v>
      </c>
      <c r="Q157" s="5">
        <v>36</v>
      </c>
      <c r="R157" s="5">
        <v>24</v>
      </c>
      <c r="S157" s="5">
        <v>9</v>
      </c>
      <c r="T157" s="5">
        <v>0</v>
      </c>
      <c r="U157" s="5" t="b">
        <v>0</v>
      </c>
      <c r="V157" s="5">
        <v>20</v>
      </c>
      <c r="W157" s="5">
        <v>0.1</v>
      </c>
      <c r="X157" s="5" t="s">
        <v>9</v>
      </c>
      <c r="Y157" s="5">
        <v>9</v>
      </c>
      <c r="Z157" s="5"/>
      <c r="AA157" s="5" t="s">
        <v>135</v>
      </c>
      <c r="AB157" s="5" t="s">
        <v>356</v>
      </c>
      <c r="AC157" s="5" t="b">
        <v>0</v>
      </c>
      <c r="AD157" s="5"/>
      <c r="AE157" s="5"/>
      <c r="AF157" s="5"/>
      <c r="AG157" s="5">
        <v>20</v>
      </c>
      <c r="AH157" s="5"/>
      <c r="AI157" s="5">
        <v>197</v>
      </c>
      <c r="AJ157" s="5"/>
      <c r="AK157" s="5" t="s">
        <v>996</v>
      </c>
      <c r="AL157" s="5">
        <v>2</v>
      </c>
      <c r="AM157" s="5"/>
      <c r="AN157" s="5">
        <v>10</v>
      </c>
      <c r="AO157" s="5"/>
      <c r="AP157" s="5">
        <v>0</v>
      </c>
      <c r="AQ157" s="5"/>
      <c r="AR157" s="5">
        <v>0</v>
      </c>
      <c r="AS157" s="5"/>
      <c r="AT157" s="5" t="s">
        <v>997</v>
      </c>
      <c r="AU157" s="5" t="s">
        <v>998</v>
      </c>
      <c r="AV157" s="5" t="s">
        <v>999</v>
      </c>
      <c r="AW157" s="8" t="str">
        <f>IFERROR(VLOOKUP(AA157,'Message Lookup'!D:J,7,FALSE),"")</f>
        <v>P-1 VFD Speed Alarm Hi Latched</v>
      </c>
    </row>
    <row r="158" spans="1:49" x14ac:dyDescent="0.25">
      <c r="A158" s="5" t="s">
        <v>4574</v>
      </c>
      <c r="B158" s="5" t="s">
        <v>992</v>
      </c>
      <c r="C158" s="5" t="s">
        <v>4575</v>
      </c>
      <c r="D158" s="5"/>
      <c r="E158" s="5"/>
      <c r="F158" s="5"/>
      <c r="G158" s="5"/>
      <c r="H158" s="5"/>
      <c r="I158" s="5"/>
      <c r="J158" s="5"/>
      <c r="K158" s="5" t="s">
        <v>993</v>
      </c>
      <c r="L158" s="5" t="s">
        <v>994</v>
      </c>
      <c r="M158" s="5" t="s">
        <v>4576</v>
      </c>
      <c r="N158" s="5">
        <v>41</v>
      </c>
      <c r="O158" s="5"/>
      <c r="P158" s="5" t="s">
        <v>995</v>
      </c>
      <c r="Q158" s="5">
        <v>36</v>
      </c>
      <c r="R158" s="5">
        <v>24</v>
      </c>
      <c r="S158" s="5">
        <v>9</v>
      </c>
      <c r="T158" s="5">
        <v>0</v>
      </c>
      <c r="U158" s="5" t="b">
        <v>0</v>
      </c>
      <c r="V158" s="5">
        <v>20</v>
      </c>
      <c r="W158" s="5">
        <v>0.1</v>
      </c>
      <c r="X158" s="5" t="s">
        <v>9</v>
      </c>
      <c r="Y158" s="5">
        <v>9</v>
      </c>
      <c r="Z158" s="5"/>
      <c r="AA158" s="5" t="s">
        <v>136</v>
      </c>
      <c r="AB158" s="5" t="s">
        <v>357</v>
      </c>
      <c r="AC158" s="5" t="b">
        <v>0</v>
      </c>
      <c r="AD158" s="5"/>
      <c r="AE158" s="5"/>
      <c r="AF158" s="5"/>
      <c r="AG158" s="5">
        <v>20</v>
      </c>
      <c r="AH158" s="5"/>
      <c r="AI158" s="5">
        <v>197</v>
      </c>
      <c r="AJ158" s="5"/>
      <c r="AK158" s="5" t="s">
        <v>996</v>
      </c>
      <c r="AL158" s="5">
        <v>2</v>
      </c>
      <c r="AM158" s="5"/>
      <c r="AN158" s="5">
        <v>10</v>
      </c>
      <c r="AO158" s="5"/>
      <c r="AP158" s="5">
        <v>0</v>
      </c>
      <c r="AQ158" s="5"/>
      <c r="AR158" s="5">
        <v>0</v>
      </c>
      <c r="AS158" s="5"/>
      <c r="AT158" s="5" t="s">
        <v>997</v>
      </c>
      <c r="AU158" s="5" t="s">
        <v>998</v>
      </c>
      <c r="AV158" s="5" t="s">
        <v>999</v>
      </c>
      <c r="AW158" s="8" t="str">
        <f>IFERROR(VLOOKUP(AA158,'Message Lookup'!D:J,7,FALSE),"")</f>
        <v>P-1 VFD Speed Alarm Lo Condition</v>
      </c>
    </row>
    <row r="159" spans="1:49" x14ac:dyDescent="0.25">
      <c r="A159" s="5" t="s">
        <v>4574</v>
      </c>
      <c r="B159" s="5" t="s">
        <v>992</v>
      </c>
      <c r="C159" s="5" t="s">
        <v>4575</v>
      </c>
      <c r="D159" s="5"/>
      <c r="E159" s="5"/>
      <c r="F159" s="5"/>
      <c r="G159" s="5"/>
      <c r="H159" s="5"/>
      <c r="I159" s="5"/>
      <c r="J159" s="5"/>
      <c r="K159" s="5" t="s">
        <v>993</v>
      </c>
      <c r="L159" s="5" t="s">
        <v>994</v>
      </c>
      <c r="M159" s="5" t="s">
        <v>4576</v>
      </c>
      <c r="N159" s="5">
        <v>41</v>
      </c>
      <c r="O159" s="5"/>
      <c r="P159" s="5" t="s">
        <v>995</v>
      </c>
      <c r="Q159" s="5">
        <v>36</v>
      </c>
      <c r="R159" s="5">
        <v>24</v>
      </c>
      <c r="S159" s="5">
        <v>9</v>
      </c>
      <c r="T159" s="5">
        <v>0</v>
      </c>
      <c r="U159" s="5" t="b">
        <v>0</v>
      </c>
      <c r="V159" s="5">
        <v>20</v>
      </c>
      <c r="W159" s="5">
        <v>0.1</v>
      </c>
      <c r="X159" s="5" t="s">
        <v>9</v>
      </c>
      <c r="Y159" s="5">
        <v>9</v>
      </c>
      <c r="Z159" s="5"/>
      <c r="AA159" s="5" t="s">
        <v>137</v>
      </c>
      <c r="AB159" s="5" t="s">
        <v>358</v>
      </c>
      <c r="AC159" s="5" t="b">
        <v>0</v>
      </c>
      <c r="AD159" s="5"/>
      <c r="AE159" s="5"/>
      <c r="AF159" s="5"/>
      <c r="AG159" s="5">
        <v>20</v>
      </c>
      <c r="AH159" s="5"/>
      <c r="AI159" s="5">
        <v>197</v>
      </c>
      <c r="AJ159" s="5"/>
      <c r="AK159" s="5" t="s">
        <v>996</v>
      </c>
      <c r="AL159" s="5">
        <v>2</v>
      </c>
      <c r="AM159" s="5"/>
      <c r="AN159" s="5">
        <v>10</v>
      </c>
      <c r="AO159" s="5"/>
      <c r="AP159" s="5">
        <v>0</v>
      </c>
      <c r="AQ159" s="5"/>
      <c r="AR159" s="5">
        <v>0</v>
      </c>
      <c r="AS159" s="5"/>
      <c r="AT159" s="5" t="s">
        <v>997</v>
      </c>
      <c r="AU159" s="5" t="s">
        <v>998</v>
      </c>
      <c r="AV159" s="5" t="s">
        <v>999</v>
      </c>
      <c r="AW159" s="8" t="str">
        <f>IFERROR(VLOOKUP(AA159,'Message Lookup'!D:J,7,FALSE),"")</f>
        <v>P-1 VFD Speed Alarm LoLo Latched</v>
      </c>
    </row>
    <row r="160" spans="1:49" x14ac:dyDescent="0.25">
      <c r="A160" s="5" t="s">
        <v>4574</v>
      </c>
      <c r="B160" s="5" t="s">
        <v>992</v>
      </c>
      <c r="C160" s="5" t="s">
        <v>4575</v>
      </c>
      <c r="D160" s="5"/>
      <c r="E160" s="5"/>
      <c r="F160" s="5"/>
      <c r="G160" s="5"/>
      <c r="H160" s="5"/>
      <c r="I160" s="5"/>
      <c r="J160" s="5"/>
      <c r="K160" s="5" t="s">
        <v>993</v>
      </c>
      <c r="L160" s="5" t="s">
        <v>994</v>
      </c>
      <c r="M160" s="5" t="s">
        <v>4576</v>
      </c>
      <c r="N160" s="5">
        <v>41</v>
      </c>
      <c r="O160" s="5"/>
      <c r="P160" s="5" t="s">
        <v>995</v>
      </c>
      <c r="Q160" s="5">
        <v>36</v>
      </c>
      <c r="R160" s="5">
        <v>24</v>
      </c>
      <c r="S160" s="5">
        <v>9</v>
      </c>
      <c r="T160" s="5">
        <v>0</v>
      </c>
      <c r="U160" s="5" t="b">
        <v>0</v>
      </c>
      <c r="V160" s="5">
        <v>20</v>
      </c>
      <c r="W160" s="5">
        <v>0.1</v>
      </c>
      <c r="X160" s="5" t="s">
        <v>9</v>
      </c>
      <c r="Y160" s="5">
        <v>9</v>
      </c>
      <c r="Z160" s="5"/>
      <c r="AA160" s="5" t="s">
        <v>138</v>
      </c>
      <c r="AB160" s="5" t="s">
        <v>359</v>
      </c>
      <c r="AC160" s="5" t="b">
        <v>0</v>
      </c>
      <c r="AD160" s="5"/>
      <c r="AE160" s="5"/>
      <c r="AF160" s="5"/>
      <c r="AG160" s="5">
        <v>20</v>
      </c>
      <c r="AH160" s="5"/>
      <c r="AI160" s="5">
        <v>197</v>
      </c>
      <c r="AJ160" s="5"/>
      <c r="AK160" s="5" t="s">
        <v>996</v>
      </c>
      <c r="AL160" s="5">
        <v>2</v>
      </c>
      <c r="AM160" s="5"/>
      <c r="AN160" s="5">
        <v>10</v>
      </c>
      <c r="AO160" s="5"/>
      <c r="AP160" s="5">
        <v>0</v>
      </c>
      <c r="AQ160" s="5"/>
      <c r="AR160" s="5">
        <v>0</v>
      </c>
      <c r="AS160" s="5"/>
      <c r="AT160" s="5" t="s">
        <v>997</v>
      </c>
      <c r="AU160" s="5" t="s">
        <v>998</v>
      </c>
      <c r="AV160" s="5" t="s">
        <v>999</v>
      </c>
      <c r="AW160" s="8" t="str">
        <f>IFERROR(VLOOKUP(AA160,'Message Lookup'!D:J,7,FALSE),"")</f>
        <v>P-1 VFD Speed Alarm Malfunction Latched</v>
      </c>
    </row>
    <row r="161" spans="1:49" x14ac:dyDescent="0.25">
      <c r="A161" s="5" t="s">
        <v>4574</v>
      </c>
      <c r="B161" s="5" t="s">
        <v>992</v>
      </c>
      <c r="C161" s="5" t="s">
        <v>4575</v>
      </c>
      <c r="D161" s="5"/>
      <c r="E161" s="5"/>
      <c r="F161" s="5"/>
      <c r="G161" s="5"/>
      <c r="H161" s="5"/>
      <c r="I161" s="5"/>
      <c r="J161" s="5"/>
      <c r="K161" s="5" t="s">
        <v>993</v>
      </c>
      <c r="L161" s="5" t="s">
        <v>994</v>
      </c>
      <c r="M161" s="5" t="s">
        <v>4576</v>
      </c>
      <c r="N161" s="5">
        <v>41</v>
      </c>
      <c r="O161" s="5"/>
      <c r="P161" s="5" t="s">
        <v>995</v>
      </c>
      <c r="Q161" s="5">
        <v>36</v>
      </c>
      <c r="R161" s="5">
        <v>24</v>
      </c>
      <c r="S161" s="5">
        <v>9</v>
      </c>
      <c r="T161" s="5">
        <v>0</v>
      </c>
      <c r="U161" s="5" t="b">
        <v>0</v>
      </c>
      <c r="V161" s="5">
        <v>20</v>
      </c>
      <c r="W161" s="5">
        <v>0.1</v>
      </c>
      <c r="X161" s="5" t="s">
        <v>9</v>
      </c>
      <c r="Y161" s="5">
        <v>9</v>
      </c>
      <c r="Z161" s="5"/>
      <c r="AA161" s="5" t="s">
        <v>139</v>
      </c>
      <c r="AB161" s="5" t="s">
        <v>360</v>
      </c>
      <c r="AC161" s="5" t="b">
        <v>0</v>
      </c>
      <c r="AD161" s="5"/>
      <c r="AE161" s="5"/>
      <c r="AF161" s="5"/>
      <c r="AG161" s="5">
        <v>20</v>
      </c>
      <c r="AH161" s="5"/>
      <c r="AI161" s="5">
        <v>197</v>
      </c>
      <c r="AJ161" s="5"/>
      <c r="AK161" s="5" t="s">
        <v>996</v>
      </c>
      <c r="AL161" s="5">
        <v>2</v>
      </c>
      <c r="AM161" s="5"/>
      <c r="AN161" s="5">
        <v>10</v>
      </c>
      <c r="AO161" s="5"/>
      <c r="AP161" s="5">
        <v>0</v>
      </c>
      <c r="AQ161" s="5"/>
      <c r="AR161" s="5">
        <v>0</v>
      </c>
      <c r="AS161" s="5"/>
      <c r="AT161" s="5" t="s">
        <v>997</v>
      </c>
      <c r="AU161" s="5" t="s">
        <v>998</v>
      </c>
      <c r="AV161" s="5" t="s">
        <v>999</v>
      </c>
      <c r="AW161" s="8" t="str">
        <f>IFERROR(VLOOKUP(AA161,'Message Lookup'!D:J,7,FALSE),"")</f>
        <v>P-2 VFD Speed Alarm HiHi Latched</v>
      </c>
    </row>
    <row r="162" spans="1:49" x14ac:dyDescent="0.25">
      <c r="A162" s="5" t="s">
        <v>4574</v>
      </c>
      <c r="B162" s="5" t="s">
        <v>992</v>
      </c>
      <c r="C162" s="5" t="s">
        <v>4575</v>
      </c>
      <c r="D162" s="5"/>
      <c r="E162" s="5"/>
      <c r="F162" s="5"/>
      <c r="G162" s="5"/>
      <c r="H162" s="5"/>
      <c r="I162" s="5"/>
      <c r="J162" s="5"/>
      <c r="K162" s="5" t="s">
        <v>993</v>
      </c>
      <c r="L162" s="5" t="s">
        <v>994</v>
      </c>
      <c r="M162" s="5" t="s">
        <v>4576</v>
      </c>
      <c r="N162" s="5">
        <v>41</v>
      </c>
      <c r="O162" s="5"/>
      <c r="P162" s="5" t="s">
        <v>995</v>
      </c>
      <c r="Q162" s="5">
        <v>36</v>
      </c>
      <c r="R162" s="5">
        <v>24</v>
      </c>
      <c r="S162" s="5">
        <v>9</v>
      </c>
      <c r="T162" s="5">
        <v>0</v>
      </c>
      <c r="U162" s="5" t="b">
        <v>0</v>
      </c>
      <c r="V162" s="5">
        <v>20</v>
      </c>
      <c r="W162" s="5">
        <v>0.1</v>
      </c>
      <c r="X162" s="5" t="s">
        <v>9</v>
      </c>
      <c r="Y162" s="5">
        <v>9</v>
      </c>
      <c r="Z162" s="5"/>
      <c r="AA162" s="5" t="s">
        <v>140</v>
      </c>
      <c r="AB162" s="5" t="s">
        <v>361</v>
      </c>
      <c r="AC162" s="5" t="b">
        <v>0</v>
      </c>
      <c r="AD162" s="5"/>
      <c r="AE162" s="5"/>
      <c r="AF162" s="5"/>
      <c r="AG162" s="5">
        <v>20</v>
      </c>
      <c r="AH162" s="5"/>
      <c r="AI162" s="5">
        <v>197</v>
      </c>
      <c r="AJ162" s="5"/>
      <c r="AK162" s="5" t="s">
        <v>996</v>
      </c>
      <c r="AL162" s="5">
        <v>2</v>
      </c>
      <c r="AM162" s="5"/>
      <c r="AN162" s="5">
        <v>10</v>
      </c>
      <c r="AO162" s="5"/>
      <c r="AP162" s="5">
        <v>0</v>
      </c>
      <c r="AQ162" s="5"/>
      <c r="AR162" s="5">
        <v>0</v>
      </c>
      <c r="AS162" s="5"/>
      <c r="AT162" s="5" t="s">
        <v>997</v>
      </c>
      <c r="AU162" s="5" t="s">
        <v>998</v>
      </c>
      <c r="AV162" s="5" t="s">
        <v>999</v>
      </c>
      <c r="AW162" s="8" t="str">
        <f>IFERROR(VLOOKUP(AA162,'Message Lookup'!D:J,7,FALSE),"")</f>
        <v>P-2 VFD Speed Alarm Hi Latched</v>
      </c>
    </row>
    <row r="163" spans="1:49" x14ac:dyDescent="0.25">
      <c r="A163" s="5" t="s">
        <v>4574</v>
      </c>
      <c r="B163" s="5" t="s">
        <v>992</v>
      </c>
      <c r="C163" s="5" t="s">
        <v>4575</v>
      </c>
      <c r="D163" s="5"/>
      <c r="E163" s="5"/>
      <c r="F163" s="5"/>
      <c r="G163" s="5"/>
      <c r="H163" s="5"/>
      <c r="I163" s="5"/>
      <c r="J163" s="5"/>
      <c r="K163" s="5" t="s">
        <v>993</v>
      </c>
      <c r="L163" s="5" t="s">
        <v>994</v>
      </c>
      <c r="M163" s="5" t="s">
        <v>4576</v>
      </c>
      <c r="N163" s="5">
        <v>41</v>
      </c>
      <c r="O163" s="5"/>
      <c r="P163" s="5" t="s">
        <v>995</v>
      </c>
      <c r="Q163" s="5">
        <v>36</v>
      </c>
      <c r="R163" s="5">
        <v>24</v>
      </c>
      <c r="S163" s="5">
        <v>9</v>
      </c>
      <c r="T163" s="5">
        <v>0</v>
      </c>
      <c r="U163" s="5" t="b">
        <v>0</v>
      </c>
      <c r="V163" s="5">
        <v>20</v>
      </c>
      <c r="W163" s="5">
        <v>0.1</v>
      </c>
      <c r="X163" s="5" t="s">
        <v>9</v>
      </c>
      <c r="Y163" s="5">
        <v>9</v>
      </c>
      <c r="Z163" s="5"/>
      <c r="AA163" s="5" t="s">
        <v>141</v>
      </c>
      <c r="AB163" s="5" t="s">
        <v>362</v>
      </c>
      <c r="AC163" s="5" t="b">
        <v>0</v>
      </c>
      <c r="AD163" s="5"/>
      <c r="AE163" s="5"/>
      <c r="AF163" s="5"/>
      <c r="AG163" s="5">
        <v>20</v>
      </c>
      <c r="AH163" s="5"/>
      <c r="AI163" s="5">
        <v>197</v>
      </c>
      <c r="AJ163" s="5"/>
      <c r="AK163" s="5" t="s">
        <v>996</v>
      </c>
      <c r="AL163" s="5">
        <v>2</v>
      </c>
      <c r="AM163" s="5"/>
      <c r="AN163" s="5">
        <v>10</v>
      </c>
      <c r="AO163" s="5"/>
      <c r="AP163" s="5">
        <v>0</v>
      </c>
      <c r="AQ163" s="5"/>
      <c r="AR163" s="5">
        <v>0</v>
      </c>
      <c r="AS163" s="5"/>
      <c r="AT163" s="5" t="s">
        <v>997</v>
      </c>
      <c r="AU163" s="5" t="s">
        <v>998</v>
      </c>
      <c r="AV163" s="5" t="s">
        <v>999</v>
      </c>
      <c r="AW163" s="8" t="str">
        <f>IFERROR(VLOOKUP(AA163,'Message Lookup'!D:J,7,FALSE),"")</f>
        <v>P-2 VFD Speed Alarm Lo Condition</v>
      </c>
    </row>
    <row r="164" spans="1:49" x14ac:dyDescent="0.25">
      <c r="A164" s="5" t="s">
        <v>4574</v>
      </c>
      <c r="B164" s="5" t="s">
        <v>992</v>
      </c>
      <c r="C164" s="5" t="s">
        <v>4575</v>
      </c>
      <c r="D164" s="5"/>
      <c r="E164" s="5"/>
      <c r="F164" s="5"/>
      <c r="G164" s="5"/>
      <c r="H164" s="5"/>
      <c r="I164" s="5"/>
      <c r="J164" s="5"/>
      <c r="K164" s="5" t="s">
        <v>993</v>
      </c>
      <c r="L164" s="5" t="s">
        <v>994</v>
      </c>
      <c r="M164" s="5" t="s">
        <v>4576</v>
      </c>
      <c r="N164" s="5">
        <v>41</v>
      </c>
      <c r="O164" s="5"/>
      <c r="P164" s="5" t="s">
        <v>995</v>
      </c>
      <c r="Q164" s="5">
        <v>36</v>
      </c>
      <c r="R164" s="5">
        <v>24</v>
      </c>
      <c r="S164" s="5">
        <v>9</v>
      </c>
      <c r="T164" s="5">
        <v>0</v>
      </c>
      <c r="U164" s="5" t="b">
        <v>0</v>
      </c>
      <c r="V164" s="5">
        <v>20</v>
      </c>
      <c r="W164" s="5">
        <v>0.1</v>
      </c>
      <c r="X164" s="5" t="s">
        <v>9</v>
      </c>
      <c r="Y164" s="5">
        <v>9</v>
      </c>
      <c r="Z164" s="5"/>
      <c r="AA164" s="5" t="s">
        <v>142</v>
      </c>
      <c r="AB164" s="5" t="s">
        <v>363</v>
      </c>
      <c r="AC164" s="5" t="b">
        <v>0</v>
      </c>
      <c r="AD164" s="5"/>
      <c r="AE164" s="5"/>
      <c r="AF164" s="5"/>
      <c r="AG164" s="5">
        <v>20</v>
      </c>
      <c r="AH164" s="5"/>
      <c r="AI164" s="5">
        <v>197</v>
      </c>
      <c r="AJ164" s="5"/>
      <c r="AK164" s="5" t="s">
        <v>996</v>
      </c>
      <c r="AL164" s="5">
        <v>2</v>
      </c>
      <c r="AM164" s="5"/>
      <c r="AN164" s="5">
        <v>10</v>
      </c>
      <c r="AO164" s="5"/>
      <c r="AP164" s="5">
        <v>0</v>
      </c>
      <c r="AQ164" s="5"/>
      <c r="AR164" s="5">
        <v>0</v>
      </c>
      <c r="AS164" s="5"/>
      <c r="AT164" s="5" t="s">
        <v>997</v>
      </c>
      <c r="AU164" s="5" t="s">
        <v>998</v>
      </c>
      <c r="AV164" s="5" t="s">
        <v>999</v>
      </c>
      <c r="AW164" s="8" t="str">
        <f>IFERROR(VLOOKUP(AA164,'Message Lookup'!D:J,7,FALSE),"")</f>
        <v>P-2 VFD Speed Alarm LoLo Latched</v>
      </c>
    </row>
    <row r="165" spans="1:49" x14ac:dyDescent="0.25">
      <c r="A165" s="5" t="s">
        <v>4574</v>
      </c>
      <c r="B165" s="5" t="s">
        <v>992</v>
      </c>
      <c r="C165" s="5" t="s">
        <v>4575</v>
      </c>
      <c r="D165" s="5"/>
      <c r="E165" s="5"/>
      <c r="F165" s="5"/>
      <c r="G165" s="5"/>
      <c r="H165" s="5"/>
      <c r="I165" s="5"/>
      <c r="J165" s="5"/>
      <c r="K165" s="5" t="s">
        <v>993</v>
      </c>
      <c r="L165" s="5" t="s">
        <v>994</v>
      </c>
      <c r="M165" s="5" t="s">
        <v>4576</v>
      </c>
      <c r="N165" s="5">
        <v>41</v>
      </c>
      <c r="O165" s="5"/>
      <c r="P165" s="5" t="s">
        <v>995</v>
      </c>
      <c r="Q165" s="5">
        <v>36</v>
      </c>
      <c r="R165" s="5">
        <v>24</v>
      </c>
      <c r="S165" s="5">
        <v>9</v>
      </c>
      <c r="T165" s="5">
        <v>0</v>
      </c>
      <c r="U165" s="5" t="b">
        <v>0</v>
      </c>
      <c r="V165" s="5">
        <v>20</v>
      </c>
      <c r="W165" s="5">
        <v>0.1</v>
      </c>
      <c r="X165" s="5" t="s">
        <v>9</v>
      </c>
      <c r="Y165" s="5">
        <v>9</v>
      </c>
      <c r="Z165" s="5"/>
      <c r="AA165" s="5" t="s">
        <v>143</v>
      </c>
      <c r="AB165" s="5" t="s">
        <v>364</v>
      </c>
      <c r="AC165" s="5" t="b">
        <v>0</v>
      </c>
      <c r="AD165" s="5"/>
      <c r="AE165" s="5"/>
      <c r="AF165" s="5"/>
      <c r="AG165" s="5">
        <v>20</v>
      </c>
      <c r="AH165" s="5"/>
      <c r="AI165" s="5">
        <v>197</v>
      </c>
      <c r="AJ165" s="5"/>
      <c r="AK165" s="5" t="s">
        <v>996</v>
      </c>
      <c r="AL165" s="5">
        <v>2</v>
      </c>
      <c r="AM165" s="5"/>
      <c r="AN165" s="5">
        <v>10</v>
      </c>
      <c r="AO165" s="5"/>
      <c r="AP165" s="5">
        <v>0</v>
      </c>
      <c r="AQ165" s="5"/>
      <c r="AR165" s="5">
        <v>0</v>
      </c>
      <c r="AS165" s="5"/>
      <c r="AT165" s="5" t="s">
        <v>997</v>
      </c>
      <c r="AU165" s="5" t="s">
        <v>998</v>
      </c>
      <c r="AV165" s="5" t="s">
        <v>999</v>
      </c>
      <c r="AW165" s="8" t="str">
        <f>IFERROR(VLOOKUP(AA165,'Message Lookup'!D:J,7,FALSE),"")</f>
        <v>P-2 VFD Speed Alarm Malfunction Latched</v>
      </c>
    </row>
    <row r="166" spans="1:49" x14ac:dyDescent="0.25">
      <c r="A166" s="5" t="s">
        <v>4574</v>
      </c>
      <c r="B166" s="5" t="s">
        <v>992</v>
      </c>
      <c r="C166" s="5" t="s">
        <v>4575</v>
      </c>
      <c r="D166" s="5"/>
      <c r="E166" s="5"/>
      <c r="F166" s="5"/>
      <c r="G166" s="5"/>
      <c r="H166" s="5"/>
      <c r="I166" s="5"/>
      <c r="J166" s="5"/>
      <c r="K166" s="5" t="s">
        <v>993</v>
      </c>
      <c r="L166" s="5" t="s">
        <v>994</v>
      </c>
      <c r="M166" s="5" t="s">
        <v>4576</v>
      </c>
      <c r="N166" s="5">
        <v>41</v>
      </c>
      <c r="O166" s="5"/>
      <c r="P166" s="5" t="s">
        <v>995</v>
      </c>
      <c r="Q166" s="5">
        <v>36</v>
      </c>
      <c r="R166" s="5">
        <v>24</v>
      </c>
      <c r="S166" s="5">
        <v>9</v>
      </c>
      <c r="T166" s="5">
        <v>0</v>
      </c>
      <c r="U166" s="5" t="b">
        <v>0</v>
      </c>
      <c r="V166" s="5">
        <v>20</v>
      </c>
      <c r="W166" s="5">
        <v>0.1</v>
      </c>
      <c r="X166" s="5" t="s">
        <v>9</v>
      </c>
      <c r="Y166" s="5">
        <v>9</v>
      </c>
      <c r="Z166" s="5"/>
      <c r="AA166" s="5" t="s">
        <v>144</v>
      </c>
      <c r="AB166" s="5" t="s">
        <v>365</v>
      </c>
      <c r="AC166" s="5" t="b">
        <v>0</v>
      </c>
      <c r="AD166" s="5"/>
      <c r="AE166" s="5"/>
      <c r="AF166" s="5"/>
      <c r="AG166" s="5">
        <v>20</v>
      </c>
      <c r="AH166" s="5"/>
      <c r="AI166" s="5">
        <v>197</v>
      </c>
      <c r="AJ166" s="5"/>
      <c r="AK166" s="5" t="s">
        <v>996</v>
      </c>
      <c r="AL166" s="5">
        <v>2</v>
      </c>
      <c r="AM166" s="5"/>
      <c r="AN166" s="5">
        <v>10</v>
      </c>
      <c r="AO166" s="5"/>
      <c r="AP166" s="5">
        <v>0</v>
      </c>
      <c r="AQ166" s="5"/>
      <c r="AR166" s="5">
        <v>0</v>
      </c>
      <c r="AS166" s="5"/>
      <c r="AT166" s="5" t="s">
        <v>997</v>
      </c>
      <c r="AU166" s="5" t="s">
        <v>998</v>
      </c>
      <c r="AV166" s="5" t="s">
        <v>999</v>
      </c>
      <c r="AW166" s="8">
        <f>IFERROR(VLOOKUP(AA166,'Message Lookup'!D:J,7,FALSE),"")</f>
        <v>0</v>
      </c>
    </row>
    <row r="167" spans="1:49" x14ac:dyDescent="0.25">
      <c r="A167" s="5" t="s">
        <v>4574</v>
      </c>
      <c r="B167" s="5" t="s">
        <v>992</v>
      </c>
      <c r="C167" s="5" t="s">
        <v>4575</v>
      </c>
      <c r="D167" s="5"/>
      <c r="E167" s="5"/>
      <c r="F167" s="5"/>
      <c r="G167" s="5"/>
      <c r="H167" s="5"/>
      <c r="I167" s="5"/>
      <c r="J167" s="5"/>
      <c r="K167" s="5" t="s">
        <v>993</v>
      </c>
      <c r="L167" s="5" t="s">
        <v>994</v>
      </c>
      <c r="M167" s="5" t="s">
        <v>4576</v>
      </c>
      <c r="N167" s="5">
        <v>41</v>
      </c>
      <c r="O167" s="5"/>
      <c r="P167" s="5" t="s">
        <v>995</v>
      </c>
      <c r="Q167" s="5">
        <v>36</v>
      </c>
      <c r="R167" s="5">
        <v>24</v>
      </c>
      <c r="S167" s="5">
        <v>9</v>
      </c>
      <c r="T167" s="5">
        <v>0</v>
      </c>
      <c r="U167" s="5" t="b">
        <v>0</v>
      </c>
      <c r="V167" s="5">
        <v>20</v>
      </c>
      <c r="W167" s="5">
        <v>0.1</v>
      </c>
      <c r="X167" s="5" t="s">
        <v>9</v>
      </c>
      <c r="Y167" s="5">
        <v>9</v>
      </c>
      <c r="Z167" s="5"/>
      <c r="AA167" s="5" t="s">
        <v>145</v>
      </c>
      <c r="AB167" s="5" t="s">
        <v>366</v>
      </c>
      <c r="AC167" s="5" t="b">
        <v>0</v>
      </c>
      <c r="AD167" s="5"/>
      <c r="AE167" s="5"/>
      <c r="AF167" s="5"/>
      <c r="AG167" s="5">
        <v>20</v>
      </c>
      <c r="AH167" s="5"/>
      <c r="AI167" s="5">
        <v>197</v>
      </c>
      <c r="AJ167" s="5"/>
      <c r="AK167" s="5" t="s">
        <v>996</v>
      </c>
      <c r="AL167" s="5">
        <v>2</v>
      </c>
      <c r="AM167" s="5"/>
      <c r="AN167" s="5">
        <v>10</v>
      </c>
      <c r="AO167" s="5"/>
      <c r="AP167" s="5">
        <v>0</v>
      </c>
      <c r="AQ167" s="5"/>
      <c r="AR167" s="5">
        <v>0</v>
      </c>
      <c r="AS167" s="5"/>
      <c r="AT167" s="5" t="s">
        <v>997</v>
      </c>
      <c r="AU167" s="5" t="s">
        <v>998</v>
      </c>
      <c r="AV167" s="5" t="s">
        <v>999</v>
      </c>
      <c r="AW167" s="8">
        <f>IFERROR(VLOOKUP(AA167,'Message Lookup'!D:J,7,FALSE),"")</f>
        <v>0</v>
      </c>
    </row>
    <row r="168" spans="1:49" x14ac:dyDescent="0.25">
      <c r="A168" s="5" t="s">
        <v>4574</v>
      </c>
      <c r="B168" s="5" t="s">
        <v>992</v>
      </c>
      <c r="C168" s="5" t="s">
        <v>4575</v>
      </c>
      <c r="D168" s="5"/>
      <c r="E168" s="5"/>
      <c r="F168" s="5"/>
      <c r="G168" s="5"/>
      <c r="H168" s="5"/>
      <c r="I168" s="5"/>
      <c r="J168" s="5"/>
      <c r="K168" s="5" t="s">
        <v>993</v>
      </c>
      <c r="L168" s="5" t="s">
        <v>994</v>
      </c>
      <c r="M168" s="5" t="s">
        <v>4576</v>
      </c>
      <c r="N168" s="5">
        <v>41</v>
      </c>
      <c r="O168" s="5"/>
      <c r="P168" s="5" t="s">
        <v>995</v>
      </c>
      <c r="Q168" s="5">
        <v>36</v>
      </c>
      <c r="R168" s="5">
        <v>24</v>
      </c>
      <c r="S168" s="5">
        <v>9</v>
      </c>
      <c r="T168" s="5">
        <v>0</v>
      </c>
      <c r="U168" s="5" t="b">
        <v>0</v>
      </c>
      <c r="V168" s="5">
        <v>20</v>
      </c>
      <c r="W168" s="5">
        <v>0.1</v>
      </c>
      <c r="X168" s="5" t="s">
        <v>9</v>
      </c>
      <c r="Y168" s="5">
        <v>9</v>
      </c>
      <c r="Z168" s="5"/>
      <c r="AA168" s="5" t="s">
        <v>146</v>
      </c>
      <c r="AB168" s="5" t="s">
        <v>367</v>
      </c>
      <c r="AC168" s="5" t="b">
        <v>0</v>
      </c>
      <c r="AD168" s="5"/>
      <c r="AE168" s="5"/>
      <c r="AF168" s="5"/>
      <c r="AG168" s="5">
        <v>20</v>
      </c>
      <c r="AH168" s="5"/>
      <c r="AI168" s="5">
        <v>197</v>
      </c>
      <c r="AJ168" s="5"/>
      <c r="AK168" s="5" t="s">
        <v>996</v>
      </c>
      <c r="AL168" s="5">
        <v>2</v>
      </c>
      <c r="AM168" s="5"/>
      <c r="AN168" s="5">
        <v>10</v>
      </c>
      <c r="AO168" s="5"/>
      <c r="AP168" s="5">
        <v>0</v>
      </c>
      <c r="AQ168" s="5"/>
      <c r="AR168" s="5">
        <v>0</v>
      </c>
      <c r="AS168" s="5"/>
      <c r="AT168" s="5" t="s">
        <v>997</v>
      </c>
      <c r="AU168" s="5" t="s">
        <v>998</v>
      </c>
      <c r="AV168" s="5" t="s">
        <v>999</v>
      </c>
      <c r="AW168" s="8">
        <f>IFERROR(VLOOKUP(AA168,'Message Lookup'!D:J,7,FALSE),"")</f>
        <v>0</v>
      </c>
    </row>
    <row r="169" spans="1:49" x14ac:dyDescent="0.25">
      <c r="A169" s="5" t="s">
        <v>4574</v>
      </c>
      <c r="B169" s="5" t="s">
        <v>992</v>
      </c>
      <c r="C169" s="5" t="s">
        <v>4575</v>
      </c>
      <c r="D169" s="5"/>
      <c r="E169" s="5"/>
      <c r="F169" s="5"/>
      <c r="G169" s="5"/>
      <c r="H169" s="5"/>
      <c r="I169" s="5"/>
      <c r="J169" s="5"/>
      <c r="K169" s="5" t="s">
        <v>993</v>
      </c>
      <c r="L169" s="5" t="s">
        <v>994</v>
      </c>
      <c r="M169" s="5" t="s">
        <v>4576</v>
      </c>
      <c r="N169" s="5">
        <v>41</v>
      </c>
      <c r="O169" s="5"/>
      <c r="P169" s="5" t="s">
        <v>995</v>
      </c>
      <c r="Q169" s="5">
        <v>36</v>
      </c>
      <c r="R169" s="5">
        <v>24</v>
      </c>
      <c r="S169" s="5">
        <v>9</v>
      </c>
      <c r="T169" s="5">
        <v>0</v>
      </c>
      <c r="U169" s="5" t="b">
        <v>0</v>
      </c>
      <c r="V169" s="5">
        <v>20</v>
      </c>
      <c r="W169" s="5">
        <v>0.1</v>
      </c>
      <c r="X169" s="5" t="s">
        <v>9</v>
      </c>
      <c r="Y169" s="5">
        <v>9</v>
      </c>
      <c r="Z169" s="5"/>
      <c r="AA169" s="5" t="s">
        <v>147</v>
      </c>
      <c r="AB169" s="5" t="s">
        <v>368</v>
      </c>
      <c r="AC169" s="5" t="b">
        <v>0</v>
      </c>
      <c r="AD169" s="5"/>
      <c r="AE169" s="5"/>
      <c r="AF169" s="5"/>
      <c r="AG169" s="5">
        <v>20</v>
      </c>
      <c r="AH169" s="5"/>
      <c r="AI169" s="5">
        <v>197</v>
      </c>
      <c r="AJ169" s="5"/>
      <c r="AK169" s="5" t="s">
        <v>996</v>
      </c>
      <c r="AL169" s="5">
        <v>2</v>
      </c>
      <c r="AM169" s="5"/>
      <c r="AN169" s="5">
        <v>10</v>
      </c>
      <c r="AO169" s="5"/>
      <c r="AP169" s="5">
        <v>0</v>
      </c>
      <c r="AQ169" s="5"/>
      <c r="AR169" s="5">
        <v>0</v>
      </c>
      <c r="AS169" s="5"/>
      <c r="AT169" s="5" t="s">
        <v>997</v>
      </c>
      <c r="AU169" s="5" t="s">
        <v>998</v>
      </c>
      <c r="AV169" s="5" t="s">
        <v>999</v>
      </c>
      <c r="AW169" s="8">
        <f>IFERROR(VLOOKUP(AA169,'Message Lookup'!D:J,7,FALSE),"")</f>
        <v>0</v>
      </c>
    </row>
    <row r="170" spans="1:49" x14ac:dyDescent="0.25">
      <c r="A170" s="5" t="s">
        <v>4574</v>
      </c>
      <c r="B170" s="5" t="s">
        <v>992</v>
      </c>
      <c r="C170" s="5" t="s">
        <v>4575</v>
      </c>
      <c r="D170" s="5"/>
      <c r="E170" s="5"/>
      <c r="F170" s="5"/>
      <c r="G170" s="5"/>
      <c r="H170" s="5"/>
      <c r="I170" s="5"/>
      <c r="J170" s="5"/>
      <c r="K170" s="5" t="s">
        <v>993</v>
      </c>
      <c r="L170" s="5" t="s">
        <v>994</v>
      </c>
      <c r="M170" s="5" t="s">
        <v>4576</v>
      </c>
      <c r="N170" s="5">
        <v>41</v>
      </c>
      <c r="O170" s="5"/>
      <c r="P170" s="5" t="s">
        <v>995</v>
      </c>
      <c r="Q170" s="5">
        <v>36</v>
      </c>
      <c r="R170" s="5">
        <v>24</v>
      </c>
      <c r="S170" s="5">
        <v>9</v>
      </c>
      <c r="T170" s="5">
        <v>0</v>
      </c>
      <c r="U170" s="5" t="b">
        <v>0</v>
      </c>
      <c r="V170" s="5">
        <v>20</v>
      </c>
      <c r="W170" s="5">
        <v>0.1</v>
      </c>
      <c r="X170" s="5" t="s">
        <v>9</v>
      </c>
      <c r="Y170" s="5">
        <v>9</v>
      </c>
      <c r="Z170" s="5"/>
      <c r="AA170" s="5" t="s">
        <v>148</v>
      </c>
      <c r="AB170" s="5" t="s">
        <v>369</v>
      </c>
      <c r="AC170" s="5" t="b">
        <v>0</v>
      </c>
      <c r="AD170" s="5"/>
      <c r="AE170" s="5"/>
      <c r="AF170" s="5"/>
      <c r="AG170" s="5">
        <v>20</v>
      </c>
      <c r="AH170" s="5"/>
      <c r="AI170" s="5">
        <v>197</v>
      </c>
      <c r="AJ170" s="5"/>
      <c r="AK170" s="5" t="s">
        <v>996</v>
      </c>
      <c r="AL170" s="5">
        <v>2</v>
      </c>
      <c r="AM170" s="5"/>
      <c r="AN170" s="5">
        <v>10</v>
      </c>
      <c r="AO170" s="5"/>
      <c r="AP170" s="5">
        <v>0</v>
      </c>
      <c r="AQ170" s="5"/>
      <c r="AR170" s="5">
        <v>0</v>
      </c>
      <c r="AS170" s="5"/>
      <c r="AT170" s="5" t="s">
        <v>997</v>
      </c>
      <c r="AU170" s="5" t="s">
        <v>998</v>
      </c>
      <c r="AV170" s="5" t="s">
        <v>999</v>
      </c>
      <c r="AW170" s="8">
        <f>IFERROR(VLOOKUP(AA170,'Message Lookup'!D:J,7,FALSE),"")</f>
        <v>0</v>
      </c>
    </row>
    <row r="171" spans="1:49" x14ac:dyDescent="0.25">
      <c r="A171" s="5" t="s">
        <v>4574</v>
      </c>
      <c r="B171" s="5" t="s">
        <v>992</v>
      </c>
      <c r="C171" s="5" t="s">
        <v>4575</v>
      </c>
      <c r="D171" s="5"/>
      <c r="E171" s="5"/>
      <c r="F171" s="5"/>
      <c r="G171" s="5"/>
      <c r="H171" s="5"/>
      <c r="I171" s="5"/>
      <c r="J171" s="5"/>
      <c r="K171" s="5" t="s">
        <v>993</v>
      </c>
      <c r="L171" s="5" t="s">
        <v>994</v>
      </c>
      <c r="M171" s="5" t="s">
        <v>4576</v>
      </c>
      <c r="N171" s="5">
        <v>41</v>
      </c>
      <c r="O171" s="5"/>
      <c r="P171" s="5" t="s">
        <v>995</v>
      </c>
      <c r="Q171" s="5">
        <v>36</v>
      </c>
      <c r="R171" s="5">
        <v>24</v>
      </c>
      <c r="S171" s="5">
        <v>9</v>
      </c>
      <c r="T171" s="5">
        <v>0</v>
      </c>
      <c r="U171" s="5" t="b">
        <v>0</v>
      </c>
      <c r="V171" s="5">
        <v>20</v>
      </c>
      <c r="W171" s="5">
        <v>0.1</v>
      </c>
      <c r="X171" s="5" t="s">
        <v>9</v>
      </c>
      <c r="Y171" s="5">
        <v>9</v>
      </c>
      <c r="Z171" s="5"/>
      <c r="AA171" s="5" t="s">
        <v>149</v>
      </c>
      <c r="AB171" s="5" t="s">
        <v>370</v>
      </c>
      <c r="AC171" s="5" t="b">
        <v>0</v>
      </c>
      <c r="AD171" s="5"/>
      <c r="AE171" s="5"/>
      <c r="AF171" s="5"/>
      <c r="AG171" s="5">
        <v>20</v>
      </c>
      <c r="AH171" s="5"/>
      <c r="AI171" s="5">
        <v>197</v>
      </c>
      <c r="AJ171" s="5"/>
      <c r="AK171" s="5" t="s">
        <v>996</v>
      </c>
      <c r="AL171" s="5">
        <v>2</v>
      </c>
      <c r="AM171" s="5"/>
      <c r="AN171" s="5">
        <v>10</v>
      </c>
      <c r="AO171" s="5"/>
      <c r="AP171" s="5">
        <v>0</v>
      </c>
      <c r="AQ171" s="5"/>
      <c r="AR171" s="5">
        <v>0</v>
      </c>
      <c r="AS171" s="5"/>
      <c r="AT171" s="5" t="s">
        <v>997</v>
      </c>
      <c r="AU171" s="5" t="s">
        <v>998</v>
      </c>
      <c r="AV171" s="5" t="s">
        <v>999</v>
      </c>
      <c r="AW171" s="8">
        <f>IFERROR(VLOOKUP(AA171,'Message Lookup'!D:J,7,FALSE),"")</f>
        <v>0</v>
      </c>
    </row>
    <row r="172" spans="1:49" x14ac:dyDescent="0.25">
      <c r="A172" s="5" t="s">
        <v>4574</v>
      </c>
      <c r="B172" s="5" t="s">
        <v>992</v>
      </c>
      <c r="C172" s="5" t="s">
        <v>4575</v>
      </c>
      <c r="D172" s="5"/>
      <c r="E172" s="5"/>
      <c r="F172" s="5"/>
      <c r="G172" s="5"/>
      <c r="H172" s="5"/>
      <c r="I172" s="5"/>
      <c r="J172" s="5"/>
      <c r="K172" s="5" t="s">
        <v>993</v>
      </c>
      <c r="L172" s="5" t="s">
        <v>994</v>
      </c>
      <c r="M172" s="5" t="s">
        <v>4576</v>
      </c>
      <c r="N172" s="5">
        <v>41</v>
      </c>
      <c r="O172" s="5"/>
      <c r="P172" s="5" t="s">
        <v>995</v>
      </c>
      <c r="Q172" s="5">
        <v>36</v>
      </c>
      <c r="R172" s="5">
        <v>24</v>
      </c>
      <c r="S172" s="5">
        <v>9</v>
      </c>
      <c r="T172" s="5">
        <v>0</v>
      </c>
      <c r="U172" s="5" t="b">
        <v>0</v>
      </c>
      <c r="V172" s="5">
        <v>20</v>
      </c>
      <c r="W172" s="5">
        <v>0.1</v>
      </c>
      <c r="X172" s="5" t="s">
        <v>9</v>
      </c>
      <c r="Y172" s="5">
        <v>9</v>
      </c>
      <c r="Z172" s="5"/>
      <c r="AA172" s="5"/>
      <c r="AB172" s="5"/>
      <c r="AC172" s="5"/>
      <c r="AD172" s="5"/>
      <c r="AE172" s="5" t="s">
        <v>1000</v>
      </c>
      <c r="AF172" s="5" t="b">
        <v>0</v>
      </c>
      <c r="AG172" s="5">
        <v>20</v>
      </c>
      <c r="AH172" s="5"/>
      <c r="AI172" s="5">
        <v>197</v>
      </c>
      <c r="AJ172" s="5"/>
      <c r="AK172" s="5" t="s">
        <v>996</v>
      </c>
      <c r="AL172" s="5">
        <v>2</v>
      </c>
      <c r="AM172" s="5"/>
      <c r="AN172" s="5">
        <v>10</v>
      </c>
      <c r="AO172" s="5"/>
      <c r="AP172" s="5">
        <v>0</v>
      </c>
      <c r="AQ172" s="5"/>
      <c r="AR172" s="5">
        <v>0</v>
      </c>
      <c r="AS172" s="5"/>
      <c r="AT172" s="5" t="s">
        <v>997</v>
      </c>
      <c r="AU172" s="5" t="s">
        <v>998</v>
      </c>
      <c r="AV172" s="5" t="s">
        <v>999</v>
      </c>
      <c r="AW172" s="8" t="str">
        <f>IFERROR(VLOOKUP(AA172,'Message Lookup'!D:J,7,FALSE),"")</f>
        <v/>
      </c>
    </row>
    <row r="173" spans="1:49" x14ac:dyDescent="0.25">
      <c r="A173" s="5" t="s">
        <v>4574</v>
      </c>
      <c r="B173" s="5" t="s">
        <v>992</v>
      </c>
      <c r="C173" s="5" t="s">
        <v>4575</v>
      </c>
      <c r="D173" s="5"/>
      <c r="E173" s="5"/>
      <c r="F173" s="5"/>
      <c r="G173" s="5"/>
      <c r="H173" s="5"/>
      <c r="I173" s="5"/>
      <c r="J173" s="5"/>
      <c r="K173" s="5" t="s">
        <v>993</v>
      </c>
      <c r="L173" s="5" t="s">
        <v>994</v>
      </c>
      <c r="M173" s="5" t="s">
        <v>4576</v>
      </c>
      <c r="N173" s="5">
        <v>41</v>
      </c>
      <c r="O173" s="5"/>
      <c r="P173" s="5" t="s">
        <v>995</v>
      </c>
      <c r="Q173" s="5">
        <v>36</v>
      </c>
      <c r="R173" s="5">
        <v>24</v>
      </c>
      <c r="S173" s="5">
        <v>9</v>
      </c>
      <c r="T173" s="5">
        <v>0</v>
      </c>
      <c r="U173" s="5" t="b">
        <v>0</v>
      </c>
      <c r="V173" s="5">
        <v>20</v>
      </c>
      <c r="W173" s="5">
        <v>0.1</v>
      </c>
      <c r="X173" s="5" t="s">
        <v>9</v>
      </c>
      <c r="Y173" s="5">
        <v>9</v>
      </c>
      <c r="Z173" s="5"/>
      <c r="AA173" s="5"/>
      <c r="AB173" s="5"/>
      <c r="AC173" s="5"/>
      <c r="AD173" s="5" t="s">
        <v>1010</v>
      </c>
      <c r="AE173" s="5" t="s">
        <v>1002</v>
      </c>
      <c r="AF173" s="5" t="b">
        <v>0</v>
      </c>
      <c r="AG173" s="5">
        <v>20</v>
      </c>
      <c r="AH173" s="5"/>
      <c r="AI173" s="5">
        <v>197</v>
      </c>
      <c r="AJ173" s="5"/>
      <c r="AK173" s="5" t="s">
        <v>996</v>
      </c>
      <c r="AL173" s="5">
        <v>2</v>
      </c>
      <c r="AM173" s="5"/>
      <c r="AN173" s="5">
        <v>10</v>
      </c>
      <c r="AO173" s="5"/>
      <c r="AP173" s="5">
        <v>0</v>
      </c>
      <c r="AQ173" s="5"/>
      <c r="AR173" s="5">
        <v>0</v>
      </c>
      <c r="AS173" s="5"/>
      <c r="AT173" s="5" t="s">
        <v>997</v>
      </c>
      <c r="AU173" s="5" t="s">
        <v>998</v>
      </c>
      <c r="AV173" s="5" t="s">
        <v>999</v>
      </c>
      <c r="AW173" s="8" t="str">
        <f>IFERROR(VLOOKUP(AA173,'Message Lookup'!D:J,7,FALSE),"")</f>
        <v/>
      </c>
    </row>
    <row r="174" spans="1:49" x14ac:dyDescent="0.25">
      <c r="A174" s="5" t="s">
        <v>4574</v>
      </c>
      <c r="B174" s="5" t="s">
        <v>992</v>
      </c>
      <c r="C174" s="5" t="s">
        <v>4575</v>
      </c>
      <c r="D174" s="5"/>
      <c r="E174" s="5"/>
      <c r="F174" s="5"/>
      <c r="G174" s="5"/>
      <c r="H174" s="5"/>
      <c r="I174" s="5"/>
      <c r="J174" s="5"/>
      <c r="K174" s="5" t="s">
        <v>993</v>
      </c>
      <c r="L174" s="5" t="s">
        <v>994</v>
      </c>
      <c r="M174" s="5" t="s">
        <v>4576</v>
      </c>
      <c r="N174" s="5">
        <v>41</v>
      </c>
      <c r="O174" s="5"/>
      <c r="P174" s="5" t="s">
        <v>995</v>
      </c>
      <c r="Q174" s="5">
        <v>36</v>
      </c>
      <c r="R174" s="5">
        <v>24</v>
      </c>
      <c r="S174" s="5">
        <v>10</v>
      </c>
      <c r="T174" s="5">
        <v>0</v>
      </c>
      <c r="U174" s="5" t="b">
        <v>0</v>
      </c>
      <c r="V174" s="5">
        <v>20</v>
      </c>
      <c r="W174" s="5">
        <v>0.11</v>
      </c>
      <c r="X174" s="5" t="s">
        <v>9</v>
      </c>
      <c r="Y174" s="5">
        <v>9</v>
      </c>
      <c r="Z174" s="5"/>
      <c r="AA174" s="5"/>
      <c r="AB174" s="5" t="s">
        <v>354</v>
      </c>
      <c r="AC174" s="5" t="b">
        <v>0</v>
      </c>
      <c r="AD174" s="5"/>
      <c r="AE174" s="5"/>
      <c r="AF174" s="5"/>
      <c r="AG174" s="5">
        <v>20</v>
      </c>
      <c r="AH174" s="5">
        <v>20</v>
      </c>
      <c r="AI174" s="5">
        <v>220</v>
      </c>
      <c r="AJ174" s="5">
        <v>220</v>
      </c>
      <c r="AK174" s="5" t="s">
        <v>996</v>
      </c>
      <c r="AL174" s="5">
        <v>2</v>
      </c>
      <c r="AM174" s="5"/>
      <c r="AN174" s="5">
        <v>10</v>
      </c>
      <c r="AO174" s="5"/>
      <c r="AP174" s="5">
        <v>0</v>
      </c>
      <c r="AQ174" s="5"/>
      <c r="AR174" s="5">
        <v>0</v>
      </c>
      <c r="AS174" s="5"/>
      <c r="AT174" s="5" t="s">
        <v>997</v>
      </c>
      <c r="AU174" s="5" t="s">
        <v>998</v>
      </c>
      <c r="AV174" s="5" t="s">
        <v>999</v>
      </c>
      <c r="AW174" s="8" t="str">
        <f>IFERROR(VLOOKUP(AA174,'Message Lookup'!D:J,7,FALSE),"")</f>
        <v/>
      </c>
    </row>
    <row r="175" spans="1:49" x14ac:dyDescent="0.25">
      <c r="A175" s="5" t="s">
        <v>4574</v>
      </c>
      <c r="B175" s="5" t="s">
        <v>992</v>
      </c>
      <c r="C175" s="5" t="s">
        <v>4575</v>
      </c>
      <c r="D175" s="5"/>
      <c r="E175" s="5"/>
      <c r="F175" s="5"/>
      <c r="G175" s="5"/>
      <c r="H175" s="5"/>
      <c r="I175" s="5"/>
      <c r="J175" s="5"/>
      <c r="K175" s="5" t="s">
        <v>993</v>
      </c>
      <c r="L175" s="5" t="s">
        <v>994</v>
      </c>
      <c r="M175" s="5" t="s">
        <v>4576</v>
      </c>
      <c r="N175" s="5">
        <v>41</v>
      </c>
      <c r="O175" s="5"/>
      <c r="P175" s="5" t="s">
        <v>995</v>
      </c>
      <c r="Q175" s="5">
        <v>36</v>
      </c>
      <c r="R175" s="5">
        <v>24</v>
      </c>
      <c r="S175" s="5">
        <v>10</v>
      </c>
      <c r="T175" s="5">
        <v>0</v>
      </c>
      <c r="U175" s="5" t="b">
        <v>0</v>
      </c>
      <c r="V175" s="5">
        <v>20</v>
      </c>
      <c r="W175" s="5">
        <v>0.11</v>
      </c>
      <c r="X175" s="5" t="s">
        <v>9</v>
      </c>
      <c r="Y175" s="5">
        <v>9</v>
      </c>
      <c r="Z175" s="5"/>
      <c r="AA175" s="5" t="s">
        <v>150</v>
      </c>
      <c r="AB175" s="5" t="s">
        <v>355</v>
      </c>
      <c r="AC175" s="5" t="b">
        <v>0</v>
      </c>
      <c r="AD175" s="5"/>
      <c r="AE175" s="5"/>
      <c r="AF175" s="5"/>
      <c r="AG175" s="5">
        <v>20</v>
      </c>
      <c r="AH175" s="5"/>
      <c r="AI175" s="5">
        <v>220</v>
      </c>
      <c r="AJ175" s="5"/>
      <c r="AK175" s="5" t="s">
        <v>996</v>
      </c>
      <c r="AL175" s="5">
        <v>2</v>
      </c>
      <c r="AM175" s="5"/>
      <c r="AN175" s="5">
        <v>10</v>
      </c>
      <c r="AO175" s="5"/>
      <c r="AP175" s="5">
        <v>0</v>
      </c>
      <c r="AQ175" s="5"/>
      <c r="AR175" s="5">
        <v>0</v>
      </c>
      <c r="AS175" s="5"/>
      <c r="AT175" s="5" t="s">
        <v>997</v>
      </c>
      <c r="AU175" s="5" t="s">
        <v>998</v>
      </c>
      <c r="AV175" s="5" t="s">
        <v>999</v>
      </c>
      <c r="AW175" s="8">
        <f>IFERROR(VLOOKUP(AA175,'Message Lookup'!D:J,7,FALSE),"")</f>
        <v>0</v>
      </c>
    </row>
    <row r="176" spans="1:49" x14ac:dyDescent="0.25">
      <c r="A176" s="5" t="s">
        <v>4574</v>
      </c>
      <c r="B176" s="5" t="s">
        <v>992</v>
      </c>
      <c r="C176" s="5" t="s">
        <v>4575</v>
      </c>
      <c r="D176" s="5"/>
      <c r="E176" s="5"/>
      <c r="F176" s="5"/>
      <c r="G176" s="5"/>
      <c r="H176" s="5"/>
      <c r="I176" s="5"/>
      <c r="J176" s="5"/>
      <c r="K176" s="5" t="s">
        <v>993</v>
      </c>
      <c r="L176" s="5" t="s">
        <v>994</v>
      </c>
      <c r="M176" s="5" t="s">
        <v>4576</v>
      </c>
      <c r="N176" s="5">
        <v>41</v>
      </c>
      <c r="O176" s="5"/>
      <c r="P176" s="5" t="s">
        <v>995</v>
      </c>
      <c r="Q176" s="5">
        <v>36</v>
      </c>
      <c r="R176" s="5">
        <v>24</v>
      </c>
      <c r="S176" s="5">
        <v>10</v>
      </c>
      <c r="T176" s="5">
        <v>0</v>
      </c>
      <c r="U176" s="5" t="b">
        <v>0</v>
      </c>
      <c r="V176" s="5">
        <v>20</v>
      </c>
      <c r="W176" s="5">
        <v>0.11</v>
      </c>
      <c r="X176" s="5" t="s">
        <v>9</v>
      </c>
      <c r="Y176" s="5">
        <v>9</v>
      </c>
      <c r="Z176" s="5"/>
      <c r="AA176" s="5" t="s">
        <v>151</v>
      </c>
      <c r="AB176" s="5" t="s">
        <v>356</v>
      </c>
      <c r="AC176" s="5" t="b">
        <v>0</v>
      </c>
      <c r="AD176" s="5"/>
      <c r="AE176" s="5"/>
      <c r="AF176" s="5"/>
      <c r="AG176" s="5">
        <v>20</v>
      </c>
      <c r="AH176" s="5"/>
      <c r="AI176" s="5">
        <v>220</v>
      </c>
      <c r="AJ176" s="5"/>
      <c r="AK176" s="5" t="s">
        <v>996</v>
      </c>
      <c r="AL176" s="5">
        <v>2</v>
      </c>
      <c r="AM176" s="5"/>
      <c r="AN176" s="5">
        <v>10</v>
      </c>
      <c r="AO176" s="5"/>
      <c r="AP176" s="5">
        <v>0</v>
      </c>
      <c r="AQ176" s="5"/>
      <c r="AR176" s="5">
        <v>0</v>
      </c>
      <c r="AS176" s="5"/>
      <c r="AT176" s="5" t="s">
        <v>997</v>
      </c>
      <c r="AU176" s="5" t="s">
        <v>998</v>
      </c>
      <c r="AV176" s="5" t="s">
        <v>999</v>
      </c>
      <c r="AW176" s="8">
        <f>IFERROR(VLOOKUP(AA176,'Message Lookup'!D:J,7,FALSE),"")</f>
        <v>0</v>
      </c>
    </row>
    <row r="177" spans="1:49" x14ac:dyDescent="0.25">
      <c r="A177" s="5" t="s">
        <v>4574</v>
      </c>
      <c r="B177" s="5" t="s">
        <v>992</v>
      </c>
      <c r="C177" s="5" t="s">
        <v>4575</v>
      </c>
      <c r="D177" s="5"/>
      <c r="E177" s="5"/>
      <c r="F177" s="5"/>
      <c r="G177" s="5"/>
      <c r="H177" s="5"/>
      <c r="I177" s="5"/>
      <c r="J177" s="5"/>
      <c r="K177" s="5" t="s">
        <v>993</v>
      </c>
      <c r="L177" s="5" t="s">
        <v>994</v>
      </c>
      <c r="M177" s="5" t="s">
        <v>4576</v>
      </c>
      <c r="N177" s="5">
        <v>41</v>
      </c>
      <c r="O177" s="5"/>
      <c r="P177" s="5" t="s">
        <v>995</v>
      </c>
      <c r="Q177" s="5">
        <v>36</v>
      </c>
      <c r="R177" s="5">
        <v>24</v>
      </c>
      <c r="S177" s="5">
        <v>10</v>
      </c>
      <c r="T177" s="5">
        <v>0</v>
      </c>
      <c r="U177" s="5" t="b">
        <v>0</v>
      </c>
      <c r="V177" s="5">
        <v>20</v>
      </c>
      <c r="W177" s="5">
        <v>0.11</v>
      </c>
      <c r="X177" s="5" t="s">
        <v>9</v>
      </c>
      <c r="Y177" s="5">
        <v>9</v>
      </c>
      <c r="Z177" s="5"/>
      <c r="AA177" s="5" t="s">
        <v>152</v>
      </c>
      <c r="AB177" s="5" t="s">
        <v>357</v>
      </c>
      <c r="AC177" s="5" t="b">
        <v>0</v>
      </c>
      <c r="AD177" s="5"/>
      <c r="AE177" s="5"/>
      <c r="AF177" s="5"/>
      <c r="AG177" s="5">
        <v>20</v>
      </c>
      <c r="AH177" s="5"/>
      <c r="AI177" s="5">
        <v>220</v>
      </c>
      <c r="AJ177" s="5"/>
      <c r="AK177" s="5" t="s">
        <v>996</v>
      </c>
      <c r="AL177" s="5">
        <v>2</v>
      </c>
      <c r="AM177" s="5"/>
      <c r="AN177" s="5">
        <v>10</v>
      </c>
      <c r="AO177" s="5"/>
      <c r="AP177" s="5">
        <v>0</v>
      </c>
      <c r="AQ177" s="5"/>
      <c r="AR177" s="5">
        <v>0</v>
      </c>
      <c r="AS177" s="5"/>
      <c r="AT177" s="5" t="s">
        <v>997</v>
      </c>
      <c r="AU177" s="5" t="s">
        <v>998</v>
      </c>
      <c r="AV177" s="5" t="s">
        <v>999</v>
      </c>
      <c r="AW177" s="8">
        <f>IFERROR(VLOOKUP(AA177,'Message Lookup'!D:J,7,FALSE),"")</f>
        <v>0</v>
      </c>
    </row>
    <row r="178" spans="1:49" x14ac:dyDescent="0.25">
      <c r="A178" s="5" t="s">
        <v>4574</v>
      </c>
      <c r="B178" s="5" t="s">
        <v>992</v>
      </c>
      <c r="C178" s="5" t="s">
        <v>4575</v>
      </c>
      <c r="D178" s="5"/>
      <c r="E178" s="5"/>
      <c r="F178" s="5"/>
      <c r="G178" s="5"/>
      <c r="H178" s="5"/>
      <c r="I178" s="5"/>
      <c r="J178" s="5"/>
      <c r="K178" s="5" t="s">
        <v>993</v>
      </c>
      <c r="L178" s="5" t="s">
        <v>994</v>
      </c>
      <c r="M178" s="5" t="s">
        <v>4576</v>
      </c>
      <c r="N178" s="5">
        <v>41</v>
      </c>
      <c r="O178" s="5"/>
      <c r="P178" s="5" t="s">
        <v>995</v>
      </c>
      <c r="Q178" s="5">
        <v>36</v>
      </c>
      <c r="R178" s="5">
        <v>24</v>
      </c>
      <c r="S178" s="5">
        <v>10</v>
      </c>
      <c r="T178" s="5">
        <v>0</v>
      </c>
      <c r="U178" s="5" t="b">
        <v>0</v>
      </c>
      <c r="V178" s="5">
        <v>20</v>
      </c>
      <c r="W178" s="5">
        <v>0.11</v>
      </c>
      <c r="X178" s="5" t="s">
        <v>9</v>
      </c>
      <c r="Y178" s="5">
        <v>9</v>
      </c>
      <c r="Z178" s="5"/>
      <c r="AA178" s="5" t="s">
        <v>153</v>
      </c>
      <c r="AB178" s="5" t="s">
        <v>358</v>
      </c>
      <c r="AC178" s="5" t="b">
        <v>0</v>
      </c>
      <c r="AD178" s="5"/>
      <c r="AE178" s="5"/>
      <c r="AF178" s="5"/>
      <c r="AG178" s="5">
        <v>20</v>
      </c>
      <c r="AH178" s="5"/>
      <c r="AI178" s="5">
        <v>220</v>
      </c>
      <c r="AJ178" s="5"/>
      <c r="AK178" s="5" t="s">
        <v>996</v>
      </c>
      <c r="AL178" s="5">
        <v>2</v>
      </c>
      <c r="AM178" s="5"/>
      <c r="AN178" s="5">
        <v>10</v>
      </c>
      <c r="AO178" s="5"/>
      <c r="AP178" s="5">
        <v>0</v>
      </c>
      <c r="AQ178" s="5"/>
      <c r="AR178" s="5">
        <v>0</v>
      </c>
      <c r="AS178" s="5"/>
      <c r="AT178" s="5" t="s">
        <v>997</v>
      </c>
      <c r="AU178" s="5" t="s">
        <v>998</v>
      </c>
      <c r="AV178" s="5" t="s">
        <v>999</v>
      </c>
      <c r="AW178" s="8">
        <f>IFERROR(VLOOKUP(AA178,'Message Lookup'!D:J,7,FALSE),"")</f>
        <v>0</v>
      </c>
    </row>
    <row r="179" spans="1:49" x14ac:dyDescent="0.25">
      <c r="A179" s="5" t="s">
        <v>4574</v>
      </c>
      <c r="B179" s="5" t="s">
        <v>992</v>
      </c>
      <c r="C179" s="5" t="s">
        <v>4575</v>
      </c>
      <c r="D179" s="5"/>
      <c r="E179" s="5"/>
      <c r="F179" s="5"/>
      <c r="G179" s="5"/>
      <c r="H179" s="5"/>
      <c r="I179" s="5"/>
      <c r="J179" s="5"/>
      <c r="K179" s="5" t="s">
        <v>993</v>
      </c>
      <c r="L179" s="5" t="s">
        <v>994</v>
      </c>
      <c r="M179" s="5" t="s">
        <v>4576</v>
      </c>
      <c r="N179" s="5">
        <v>41</v>
      </c>
      <c r="O179" s="5"/>
      <c r="P179" s="5" t="s">
        <v>995</v>
      </c>
      <c r="Q179" s="5">
        <v>36</v>
      </c>
      <c r="R179" s="5">
        <v>24</v>
      </c>
      <c r="S179" s="5">
        <v>10</v>
      </c>
      <c r="T179" s="5">
        <v>0</v>
      </c>
      <c r="U179" s="5" t="b">
        <v>0</v>
      </c>
      <c r="V179" s="5">
        <v>20</v>
      </c>
      <c r="W179" s="5">
        <v>0.11</v>
      </c>
      <c r="X179" s="5" t="s">
        <v>9</v>
      </c>
      <c r="Y179" s="5">
        <v>9</v>
      </c>
      <c r="Z179" s="5"/>
      <c r="AA179" s="5" t="s">
        <v>154</v>
      </c>
      <c r="AB179" s="5" t="s">
        <v>359</v>
      </c>
      <c r="AC179" s="5" t="b">
        <v>0</v>
      </c>
      <c r="AD179" s="5"/>
      <c r="AE179" s="5"/>
      <c r="AF179" s="5"/>
      <c r="AG179" s="5">
        <v>20</v>
      </c>
      <c r="AH179" s="5"/>
      <c r="AI179" s="5">
        <v>220</v>
      </c>
      <c r="AJ179" s="5"/>
      <c r="AK179" s="5" t="s">
        <v>996</v>
      </c>
      <c r="AL179" s="5">
        <v>2</v>
      </c>
      <c r="AM179" s="5"/>
      <c r="AN179" s="5">
        <v>10</v>
      </c>
      <c r="AO179" s="5"/>
      <c r="AP179" s="5">
        <v>0</v>
      </c>
      <c r="AQ179" s="5"/>
      <c r="AR179" s="5">
        <v>0</v>
      </c>
      <c r="AS179" s="5"/>
      <c r="AT179" s="5" t="s">
        <v>997</v>
      </c>
      <c r="AU179" s="5" t="s">
        <v>998</v>
      </c>
      <c r="AV179" s="5" t="s">
        <v>999</v>
      </c>
      <c r="AW179" s="8" t="str">
        <f>IFERROR(VLOOKUP(AA179,'Message Lookup'!D:J,7,FALSE),"")</f>
        <v>P-1 Discharge Pressure Alarm HiHi Latched</v>
      </c>
    </row>
    <row r="180" spans="1:49" x14ac:dyDescent="0.25">
      <c r="A180" s="5" t="s">
        <v>4574</v>
      </c>
      <c r="B180" s="5" t="s">
        <v>992</v>
      </c>
      <c r="C180" s="5" t="s">
        <v>4575</v>
      </c>
      <c r="D180" s="5"/>
      <c r="E180" s="5"/>
      <c r="F180" s="5"/>
      <c r="G180" s="5"/>
      <c r="H180" s="5"/>
      <c r="I180" s="5"/>
      <c r="J180" s="5"/>
      <c r="K180" s="5" t="s">
        <v>993</v>
      </c>
      <c r="L180" s="5" t="s">
        <v>994</v>
      </c>
      <c r="M180" s="5" t="s">
        <v>4576</v>
      </c>
      <c r="N180" s="5">
        <v>41</v>
      </c>
      <c r="O180" s="5"/>
      <c r="P180" s="5" t="s">
        <v>995</v>
      </c>
      <c r="Q180" s="5">
        <v>36</v>
      </c>
      <c r="R180" s="5">
        <v>24</v>
      </c>
      <c r="S180" s="5">
        <v>10</v>
      </c>
      <c r="T180" s="5">
        <v>0</v>
      </c>
      <c r="U180" s="5" t="b">
        <v>0</v>
      </c>
      <c r="V180" s="5">
        <v>20</v>
      </c>
      <c r="W180" s="5">
        <v>0.11</v>
      </c>
      <c r="X180" s="5" t="s">
        <v>9</v>
      </c>
      <c r="Y180" s="5">
        <v>9</v>
      </c>
      <c r="Z180" s="5"/>
      <c r="AA180" s="5" t="s">
        <v>155</v>
      </c>
      <c r="AB180" s="5" t="s">
        <v>360</v>
      </c>
      <c r="AC180" s="5" t="b">
        <v>0</v>
      </c>
      <c r="AD180" s="5"/>
      <c r="AE180" s="5"/>
      <c r="AF180" s="5"/>
      <c r="AG180" s="5">
        <v>20</v>
      </c>
      <c r="AH180" s="5"/>
      <c r="AI180" s="5">
        <v>220</v>
      </c>
      <c r="AJ180" s="5"/>
      <c r="AK180" s="5" t="s">
        <v>996</v>
      </c>
      <c r="AL180" s="5">
        <v>2</v>
      </c>
      <c r="AM180" s="5"/>
      <c r="AN180" s="5">
        <v>10</v>
      </c>
      <c r="AO180" s="5"/>
      <c r="AP180" s="5">
        <v>0</v>
      </c>
      <c r="AQ180" s="5"/>
      <c r="AR180" s="5">
        <v>0</v>
      </c>
      <c r="AS180" s="5"/>
      <c r="AT180" s="5" t="s">
        <v>997</v>
      </c>
      <c r="AU180" s="5" t="s">
        <v>998</v>
      </c>
      <c r="AV180" s="5" t="s">
        <v>999</v>
      </c>
      <c r="AW180" s="8" t="str">
        <f>IFERROR(VLOOKUP(AA180,'Message Lookup'!D:J,7,FALSE),"")</f>
        <v>P-1 Discharge Pressure Alarm Hi Latched</v>
      </c>
    </row>
    <row r="181" spans="1:49" x14ac:dyDescent="0.25">
      <c r="A181" s="5" t="s">
        <v>4574</v>
      </c>
      <c r="B181" s="5" t="s">
        <v>992</v>
      </c>
      <c r="C181" s="5" t="s">
        <v>4575</v>
      </c>
      <c r="D181" s="5"/>
      <c r="E181" s="5"/>
      <c r="F181" s="5"/>
      <c r="G181" s="5"/>
      <c r="H181" s="5"/>
      <c r="I181" s="5"/>
      <c r="J181" s="5"/>
      <c r="K181" s="5" t="s">
        <v>993</v>
      </c>
      <c r="L181" s="5" t="s">
        <v>994</v>
      </c>
      <c r="M181" s="5" t="s">
        <v>4576</v>
      </c>
      <c r="N181" s="5">
        <v>41</v>
      </c>
      <c r="O181" s="5"/>
      <c r="P181" s="5" t="s">
        <v>995</v>
      </c>
      <c r="Q181" s="5">
        <v>36</v>
      </c>
      <c r="R181" s="5">
        <v>24</v>
      </c>
      <c r="S181" s="5">
        <v>10</v>
      </c>
      <c r="T181" s="5">
        <v>0</v>
      </c>
      <c r="U181" s="5" t="b">
        <v>0</v>
      </c>
      <c r="V181" s="5">
        <v>20</v>
      </c>
      <c r="W181" s="5">
        <v>0.11</v>
      </c>
      <c r="X181" s="5" t="s">
        <v>9</v>
      </c>
      <c r="Y181" s="5">
        <v>9</v>
      </c>
      <c r="Z181" s="5"/>
      <c r="AA181" s="5" t="s">
        <v>156</v>
      </c>
      <c r="AB181" s="5" t="s">
        <v>361</v>
      </c>
      <c r="AC181" s="5" t="b">
        <v>0</v>
      </c>
      <c r="AD181" s="5"/>
      <c r="AE181" s="5"/>
      <c r="AF181" s="5"/>
      <c r="AG181" s="5">
        <v>20</v>
      </c>
      <c r="AH181" s="5"/>
      <c r="AI181" s="5">
        <v>220</v>
      </c>
      <c r="AJ181" s="5"/>
      <c r="AK181" s="5" t="s">
        <v>996</v>
      </c>
      <c r="AL181" s="5">
        <v>2</v>
      </c>
      <c r="AM181" s="5"/>
      <c r="AN181" s="5">
        <v>10</v>
      </c>
      <c r="AO181" s="5"/>
      <c r="AP181" s="5">
        <v>0</v>
      </c>
      <c r="AQ181" s="5"/>
      <c r="AR181" s="5">
        <v>0</v>
      </c>
      <c r="AS181" s="5"/>
      <c r="AT181" s="5" t="s">
        <v>997</v>
      </c>
      <c r="AU181" s="5" t="s">
        <v>998</v>
      </c>
      <c r="AV181" s="5" t="s">
        <v>999</v>
      </c>
      <c r="AW181" s="8" t="str">
        <f>IFERROR(VLOOKUP(AA181,'Message Lookup'!D:J,7,FALSE),"")</f>
        <v>P-1 Discharge Pressure Alarm Lo Condition</v>
      </c>
    </row>
    <row r="182" spans="1:49" x14ac:dyDescent="0.25">
      <c r="A182" s="5" t="s">
        <v>4574</v>
      </c>
      <c r="B182" s="5" t="s">
        <v>992</v>
      </c>
      <c r="C182" s="5" t="s">
        <v>4575</v>
      </c>
      <c r="D182" s="5"/>
      <c r="E182" s="5"/>
      <c r="F182" s="5"/>
      <c r="G182" s="5"/>
      <c r="H182" s="5"/>
      <c r="I182" s="5"/>
      <c r="J182" s="5"/>
      <c r="K182" s="5" t="s">
        <v>993</v>
      </c>
      <c r="L182" s="5" t="s">
        <v>994</v>
      </c>
      <c r="M182" s="5" t="s">
        <v>4576</v>
      </c>
      <c r="N182" s="5">
        <v>41</v>
      </c>
      <c r="O182" s="5"/>
      <c r="P182" s="5" t="s">
        <v>995</v>
      </c>
      <c r="Q182" s="5">
        <v>36</v>
      </c>
      <c r="R182" s="5">
        <v>24</v>
      </c>
      <c r="S182" s="5">
        <v>10</v>
      </c>
      <c r="T182" s="5">
        <v>0</v>
      </c>
      <c r="U182" s="5" t="b">
        <v>0</v>
      </c>
      <c r="V182" s="5">
        <v>20</v>
      </c>
      <c r="W182" s="5">
        <v>0.11</v>
      </c>
      <c r="X182" s="5" t="s">
        <v>9</v>
      </c>
      <c r="Y182" s="5">
        <v>9</v>
      </c>
      <c r="Z182" s="5"/>
      <c r="AA182" s="5" t="s">
        <v>157</v>
      </c>
      <c r="AB182" s="5" t="s">
        <v>362</v>
      </c>
      <c r="AC182" s="5" t="b">
        <v>0</v>
      </c>
      <c r="AD182" s="5"/>
      <c r="AE182" s="5"/>
      <c r="AF182" s="5"/>
      <c r="AG182" s="5">
        <v>20</v>
      </c>
      <c r="AH182" s="5"/>
      <c r="AI182" s="5">
        <v>220</v>
      </c>
      <c r="AJ182" s="5"/>
      <c r="AK182" s="5" t="s">
        <v>996</v>
      </c>
      <c r="AL182" s="5">
        <v>2</v>
      </c>
      <c r="AM182" s="5"/>
      <c r="AN182" s="5">
        <v>10</v>
      </c>
      <c r="AO182" s="5"/>
      <c r="AP182" s="5">
        <v>0</v>
      </c>
      <c r="AQ182" s="5"/>
      <c r="AR182" s="5">
        <v>0</v>
      </c>
      <c r="AS182" s="5"/>
      <c r="AT182" s="5" t="s">
        <v>997</v>
      </c>
      <c r="AU182" s="5" t="s">
        <v>998</v>
      </c>
      <c r="AV182" s="5" t="s">
        <v>999</v>
      </c>
      <c r="AW182" s="8" t="str">
        <f>IFERROR(VLOOKUP(AA182,'Message Lookup'!D:J,7,FALSE),"")</f>
        <v>P-1 Discharge Pressure Alarm LoLo Latched</v>
      </c>
    </row>
    <row r="183" spans="1:49" x14ac:dyDescent="0.25">
      <c r="A183" s="5" t="s">
        <v>4574</v>
      </c>
      <c r="B183" s="5" t="s">
        <v>992</v>
      </c>
      <c r="C183" s="5" t="s">
        <v>4575</v>
      </c>
      <c r="D183" s="5"/>
      <c r="E183" s="5"/>
      <c r="F183" s="5"/>
      <c r="G183" s="5"/>
      <c r="H183" s="5"/>
      <c r="I183" s="5"/>
      <c r="J183" s="5"/>
      <c r="K183" s="5" t="s">
        <v>993</v>
      </c>
      <c r="L183" s="5" t="s">
        <v>994</v>
      </c>
      <c r="M183" s="5" t="s">
        <v>4576</v>
      </c>
      <c r="N183" s="5">
        <v>41</v>
      </c>
      <c r="O183" s="5"/>
      <c r="P183" s="5" t="s">
        <v>995</v>
      </c>
      <c r="Q183" s="5">
        <v>36</v>
      </c>
      <c r="R183" s="5">
        <v>24</v>
      </c>
      <c r="S183" s="5">
        <v>10</v>
      </c>
      <c r="T183" s="5">
        <v>0</v>
      </c>
      <c r="U183" s="5" t="b">
        <v>0</v>
      </c>
      <c r="V183" s="5">
        <v>20</v>
      </c>
      <c r="W183" s="5">
        <v>0.11</v>
      </c>
      <c r="X183" s="5" t="s">
        <v>9</v>
      </c>
      <c r="Y183" s="5">
        <v>9</v>
      </c>
      <c r="Z183" s="5"/>
      <c r="AA183" s="5" t="s">
        <v>158</v>
      </c>
      <c r="AB183" s="5" t="s">
        <v>363</v>
      </c>
      <c r="AC183" s="5" t="b">
        <v>0</v>
      </c>
      <c r="AD183" s="5"/>
      <c r="AE183" s="5"/>
      <c r="AF183" s="5"/>
      <c r="AG183" s="5">
        <v>20</v>
      </c>
      <c r="AH183" s="5"/>
      <c r="AI183" s="5">
        <v>220</v>
      </c>
      <c r="AJ183" s="5"/>
      <c r="AK183" s="5" t="s">
        <v>996</v>
      </c>
      <c r="AL183" s="5">
        <v>2</v>
      </c>
      <c r="AM183" s="5"/>
      <c r="AN183" s="5">
        <v>10</v>
      </c>
      <c r="AO183" s="5"/>
      <c r="AP183" s="5">
        <v>0</v>
      </c>
      <c r="AQ183" s="5"/>
      <c r="AR183" s="5">
        <v>0</v>
      </c>
      <c r="AS183" s="5"/>
      <c r="AT183" s="5" t="s">
        <v>997</v>
      </c>
      <c r="AU183" s="5" t="s">
        <v>998</v>
      </c>
      <c r="AV183" s="5" t="s">
        <v>999</v>
      </c>
      <c r="AW183" s="8" t="str">
        <f>IFERROR(VLOOKUP(AA183,'Message Lookup'!D:J,7,FALSE),"")</f>
        <v>P-1 Discharge Pressure Alarm Malfunction Latched</v>
      </c>
    </row>
    <row r="184" spans="1:49" x14ac:dyDescent="0.25">
      <c r="A184" s="5" t="s">
        <v>4574</v>
      </c>
      <c r="B184" s="5" t="s">
        <v>992</v>
      </c>
      <c r="C184" s="5" t="s">
        <v>4575</v>
      </c>
      <c r="D184" s="5"/>
      <c r="E184" s="5"/>
      <c r="F184" s="5"/>
      <c r="G184" s="5"/>
      <c r="H184" s="5"/>
      <c r="I184" s="5"/>
      <c r="J184" s="5"/>
      <c r="K184" s="5" t="s">
        <v>993</v>
      </c>
      <c r="L184" s="5" t="s">
        <v>994</v>
      </c>
      <c r="M184" s="5" t="s">
        <v>4576</v>
      </c>
      <c r="N184" s="5">
        <v>41</v>
      </c>
      <c r="O184" s="5"/>
      <c r="P184" s="5" t="s">
        <v>995</v>
      </c>
      <c r="Q184" s="5">
        <v>36</v>
      </c>
      <c r="R184" s="5">
        <v>24</v>
      </c>
      <c r="S184" s="5">
        <v>10</v>
      </c>
      <c r="T184" s="5">
        <v>0</v>
      </c>
      <c r="U184" s="5" t="b">
        <v>0</v>
      </c>
      <c r="V184" s="5">
        <v>20</v>
      </c>
      <c r="W184" s="5">
        <v>0.11</v>
      </c>
      <c r="X184" s="5" t="s">
        <v>9</v>
      </c>
      <c r="Y184" s="5">
        <v>9</v>
      </c>
      <c r="Z184" s="5"/>
      <c r="AA184" s="5" t="s">
        <v>159</v>
      </c>
      <c r="AB184" s="5" t="s">
        <v>364</v>
      </c>
      <c r="AC184" s="5" t="b">
        <v>0</v>
      </c>
      <c r="AD184" s="5"/>
      <c r="AE184" s="5"/>
      <c r="AF184" s="5"/>
      <c r="AG184" s="5">
        <v>20</v>
      </c>
      <c r="AH184" s="5"/>
      <c r="AI184" s="5">
        <v>220</v>
      </c>
      <c r="AJ184" s="5"/>
      <c r="AK184" s="5" t="s">
        <v>996</v>
      </c>
      <c r="AL184" s="5">
        <v>2</v>
      </c>
      <c r="AM184" s="5"/>
      <c r="AN184" s="5">
        <v>10</v>
      </c>
      <c r="AO184" s="5"/>
      <c r="AP184" s="5">
        <v>0</v>
      </c>
      <c r="AQ184" s="5"/>
      <c r="AR184" s="5">
        <v>0</v>
      </c>
      <c r="AS184" s="5"/>
      <c r="AT184" s="5" t="s">
        <v>997</v>
      </c>
      <c r="AU184" s="5" t="s">
        <v>998</v>
      </c>
      <c r="AV184" s="5" t="s">
        <v>999</v>
      </c>
      <c r="AW184" s="8" t="str">
        <f>IFERROR(VLOOKUP(AA184,'Message Lookup'!D:J,7,FALSE),"")</f>
        <v>P-2 Discharge Pressure Alarm HiHi Latched</v>
      </c>
    </row>
    <row r="185" spans="1:49" x14ac:dyDescent="0.25">
      <c r="A185" s="5" t="s">
        <v>4574</v>
      </c>
      <c r="B185" s="5" t="s">
        <v>992</v>
      </c>
      <c r="C185" s="5" t="s">
        <v>4575</v>
      </c>
      <c r="D185" s="5"/>
      <c r="E185" s="5"/>
      <c r="F185" s="5"/>
      <c r="G185" s="5"/>
      <c r="H185" s="5"/>
      <c r="I185" s="5"/>
      <c r="J185" s="5"/>
      <c r="K185" s="5" t="s">
        <v>993</v>
      </c>
      <c r="L185" s="5" t="s">
        <v>994</v>
      </c>
      <c r="M185" s="5" t="s">
        <v>4576</v>
      </c>
      <c r="N185" s="5">
        <v>41</v>
      </c>
      <c r="O185" s="5"/>
      <c r="P185" s="5" t="s">
        <v>995</v>
      </c>
      <c r="Q185" s="5">
        <v>36</v>
      </c>
      <c r="R185" s="5">
        <v>24</v>
      </c>
      <c r="S185" s="5">
        <v>10</v>
      </c>
      <c r="T185" s="5">
        <v>0</v>
      </c>
      <c r="U185" s="5" t="b">
        <v>0</v>
      </c>
      <c r="V185" s="5">
        <v>20</v>
      </c>
      <c r="W185" s="5">
        <v>0.11</v>
      </c>
      <c r="X185" s="5" t="s">
        <v>9</v>
      </c>
      <c r="Y185" s="5">
        <v>9</v>
      </c>
      <c r="Z185" s="5"/>
      <c r="AA185" s="5" t="s">
        <v>160</v>
      </c>
      <c r="AB185" s="5" t="s">
        <v>365</v>
      </c>
      <c r="AC185" s="5" t="b">
        <v>0</v>
      </c>
      <c r="AD185" s="5"/>
      <c r="AE185" s="5"/>
      <c r="AF185" s="5"/>
      <c r="AG185" s="5">
        <v>20</v>
      </c>
      <c r="AH185" s="5"/>
      <c r="AI185" s="5">
        <v>220</v>
      </c>
      <c r="AJ185" s="5"/>
      <c r="AK185" s="5" t="s">
        <v>996</v>
      </c>
      <c r="AL185" s="5">
        <v>2</v>
      </c>
      <c r="AM185" s="5"/>
      <c r="AN185" s="5">
        <v>10</v>
      </c>
      <c r="AO185" s="5"/>
      <c r="AP185" s="5">
        <v>0</v>
      </c>
      <c r="AQ185" s="5"/>
      <c r="AR185" s="5">
        <v>0</v>
      </c>
      <c r="AS185" s="5"/>
      <c r="AT185" s="5" t="s">
        <v>997</v>
      </c>
      <c r="AU185" s="5" t="s">
        <v>998</v>
      </c>
      <c r="AV185" s="5" t="s">
        <v>999</v>
      </c>
      <c r="AW185" s="8" t="str">
        <f>IFERROR(VLOOKUP(AA185,'Message Lookup'!D:J,7,FALSE),"")</f>
        <v>P-2 Discharge Pressure Alarm Hi Latched</v>
      </c>
    </row>
    <row r="186" spans="1:49" x14ac:dyDescent="0.25">
      <c r="A186" s="5" t="s">
        <v>4574</v>
      </c>
      <c r="B186" s="5" t="s">
        <v>992</v>
      </c>
      <c r="C186" s="5" t="s">
        <v>4575</v>
      </c>
      <c r="D186" s="5"/>
      <c r="E186" s="5"/>
      <c r="F186" s="5"/>
      <c r="G186" s="5"/>
      <c r="H186" s="5"/>
      <c r="I186" s="5"/>
      <c r="J186" s="5"/>
      <c r="K186" s="5" t="s">
        <v>993</v>
      </c>
      <c r="L186" s="5" t="s">
        <v>994</v>
      </c>
      <c r="M186" s="5" t="s">
        <v>4576</v>
      </c>
      <c r="N186" s="5">
        <v>41</v>
      </c>
      <c r="O186" s="5"/>
      <c r="P186" s="5" t="s">
        <v>995</v>
      </c>
      <c r="Q186" s="5">
        <v>36</v>
      </c>
      <c r="R186" s="5">
        <v>24</v>
      </c>
      <c r="S186" s="5">
        <v>10</v>
      </c>
      <c r="T186" s="5">
        <v>0</v>
      </c>
      <c r="U186" s="5" t="b">
        <v>0</v>
      </c>
      <c r="V186" s="5">
        <v>20</v>
      </c>
      <c r="W186" s="5">
        <v>0.11</v>
      </c>
      <c r="X186" s="5" t="s">
        <v>9</v>
      </c>
      <c r="Y186" s="5">
        <v>9</v>
      </c>
      <c r="Z186" s="5"/>
      <c r="AA186" s="5" t="s">
        <v>161</v>
      </c>
      <c r="AB186" s="5" t="s">
        <v>366</v>
      </c>
      <c r="AC186" s="5" t="b">
        <v>0</v>
      </c>
      <c r="AD186" s="5"/>
      <c r="AE186" s="5"/>
      <c r="AF186" s="5"/>
      <c r="AG186" s="5">
        <v>20</v>
      </c>
      <c r="AH186" s="5"/>
      <c r="AI186" s="5">
        <v>220</v>
      </c>
      <c r="AJ186" s="5"/>
      <c r="AK186" s="5" t="s">
        <v>996</v>
      </c>
      <c r="AL186" s="5">
        <v>2</v>
      </c>
      <c r="AM186" s="5"/>
      <c r="AN186" s="5">
        <v>10</v>
      </c>
      <c r="AO186" s="5"/>
      <c r="AP186" s="5">
        <v>0</v>
      </c>
      <c r="AQ186" s="5"/>
      <c r="AR186" s="5">
        <v>0</v>
      </c>
      <c r="AS186" s="5"/>
      <c r="AT186" s="5" t="s">
        <v>997</v>
      </c>
      <c r="AU186" s="5" t="s">
        <v>998</v>
      </c>
      <c r="AV186" s="5" t="s">
        <v>999</v>
      </c>
      <c r="AW186" s="8" t="str">
        <f>IFERROR(VLOOKUP(AA186,'Message Lookup'!D:J,7,FALSE),"")</f>
        <v>P-2 Discharge Pressure Alarm Lo Condition</v>
      </c>
    </row>
    <row r="187" spans="1:49" x14ac:dyDescent="0.25">
      <c r="A187" s="5" t="s">
        <v>4574</v>
      </c>
      <c r="B187" s="5" t="s">
        <v>992</v>
      </c>
      <c r="C187" s="5" t="s">
        <v>4575</v>
      </c>
      <c r="D187" s="5"/>
      <c r="E187" s="5"/>
      <c r="F187" s="5"/>
      <c r="G187" s="5"/>
      <c r="H187" s="5"/>
      <c r="I187" s="5"/>
      <c r="J187" s="5"/>
      <c r="K187" s="5" t="s">
        <v>993</v>
      </c>
      <c r="L187" s="5" t="s">
        <v>994</v>
      </c>
      <c r="M187" s="5" t="s">
        <v>4576</v>
      </c>
      <c r="N187" s="5">
        <v>41</v>
      </c>
      <c r="O187" s="5"/>
      <c r="P187" s="5" t="s">
        <v>995</v>
      </c>
      <c r="Q187" s="5">
        <v>36</v>
      </c>
      <c r="R187" s="5">
        <v>24</v>
      </c>
      <c r="S187" s="5">
        <v>10</v>
      </c>
      <c r="T187" s="5">
        <v>0</v>
      </c>
      <c r="U187" s="5" t="b">
        <v>0</v>
      </c>
      <c r="V187" s="5">
        <v>20</v>
      </c>
      <c r="W187" s="5">
        <v>0.11</v>
      </c>
      <c r="X187" s="5" t="s">
        <v>9</v>
      </c>
      <c r="Y187" s="5">
        <v>9</v>
      </c>
      <c r="Z187" s="5"/>
      <c r="AA187" s="5" t="s">
        <v>162</v>
      </c>
      <c r="AB187" s="5" t="s">
        <v>367</v>
      </c>
      <c r="AC187" s="5" t="b">
        <v>0</v>
      </c>
      <c r="AD187" s="5"/>
      <c r="AE187" s="5"/>
      <c r="AF187" s="5"/>
      <c r="AG187" s="5">
        <v>20</v>
      </c>
      <c r="AH187" s="5"/>
      <c r="AI187" s="5">
        <v>220</v>
      </c>
      <c r="AJ187" s="5"/>
      <c r="AK187" s="5" t="s">
        <v>996</v>
      </c>
      <c r="AL187" s="5">
        <v>2</v>
      </c>
      <c r="AM187" s="5"/>
      <c r="AN187" s="5">
        <v>10</v>
      </c>
      <c r="AO187" s="5"/>
      <c r="AP187" s="5">
        <v>0</v>
      </c>
      <c r="AQ187" s="5"/>
      <c r="AR187" s="5">
        <v>0</v>
      </c>
      <c r="AS187" s="5"/>
      <c r="AT187" s="5" t="s">
        <v>997</v>
      </c>
      <c r="AU187" s="5" t="s">
        <v>998</v>
      </c>
      <c r="AV187" s="5" t="s">
        <v>999</v>
      </c>
      <c r="AW187" s="8" t="str">
        <f>IFERROR(VLOOKUP(AA187,'Message Lookup'!D:J,7,FALSE),"")</f>
        <v>P-2 Discharge Pressure Alarm LoLo Latched</v>
      </c>
    </row>
    <row r="188" spans="1:49" x14ac:dyDescent="0.25">
      <c r="A188" s="5" t="s">
        <v>4574</v>
      </c>
      <c r="B188" s="5" t="s">
        <v>992</v>
      </c>
      <c r="C188" s="5" t="s">
        <v>4575</v>
      </c>
      <c r="D188" s="5"/>
      <c r="E188" s="5"/>
      <c r="F188" s="5"/>
      <c r="G188" s="5"/>
      <c r="H188" s="5"/>
      <c r="I188" s="5"/>
      <c r="J188" s="5"/>
      <c r="K188" s="5" t="s">
        <v>993</v>
      </c>
      <c r="L188" s="5" t="s">
        <v>994</v>
      </c>
      <c r="M188" s="5" t="s">
        <v>4576</v>
      </c>
      <c r="N188" s="5">
        <v>41</v>
      </c>
      <c r="O188" s="5"/>
      <c r="P188" s="5" t="s">
        <v>995</v>
      </c>
      <c r="Q188" s="5">
        <v>36</v>
      </c>
      <c r="R188" s="5">
        <v>24</v>
      </c>
      <c r="S188" s="5">
        <v>10</v>
      </c>
      <c r="T188" s="5">
        <v>0</v>
      </c>
      <c r="U188" s="5" t="b">
        <v>0</v>
      </c>
      <c r="V188" s="5">
        <v>20</v>
      </c>
      <c r="W188" s="5">
        <v>0.11</v>
      </c>
      <c r="X188" s="5" t="s">
        <v>9</v>
      </c>
      <c r="Y188" s="5">
        <v>9</v>
      </c>
      <c r="Z188" s="5"/>
      <c r="AA188" s="5" t="s">
        <v>163</v>
      </c>
      <c r="AB188" s="5" t="s">
        <v>368</v>
      </c>
      <c r="AC188" s="5" t="b">
        <v>0</v>
      </c>
      <c r="AD188" s="5"/>
      <c r="AE188" s="5"/>
      <c r="AF188" s="5"/>
      <c r="AG188" s="5">
        <v>20</v>
      </c>
      <c r="AH188" s="5"/>
      <c r="AI188" s="5">
        <v>220</v>
      </c>
      <c r="AJ188" s="5"/>
      <c r="AK188" s="5" t="s">
        <v>996</v>
      </c>
      <c r="AL188" s="5">
        <v>2</v>
      </c>
      <c r="AM188" s="5"/>
      <c r="AN188" s="5">
        <v>10</v>
      </c>
      <c r="AO188" s="5"/>
      <c r="AP188" s="5">
        <v>0</v>
      </c>
      <c r="AQ188" s="5"/>
      <c r="AR188" s="5">
        <v>0</v>
      </c>
      <c r="AS188" s="5"/>
      <c r="AT188" s="5" t="s">
        <v>997</v>
      </c>
      <c r="AU188" s="5" t="s">
        <v>998</v>
      </c>
      <c r="AV188" s="5" t="s">
        <v>999</v>
      </c>
      <c r="AW188" s="8" t="str">
        <f>IFERROR(VLOOKUP(AA188,'Message Lookup'!D:J,7,FALSE),"")</f>
        <v>P-2 Discharge Pressure Alarm Malfunction Latched</v>
      </c>
    </row>
    <row r="189" spans="1:49" x14ac:dyDescent="0.25">
      <c r="A189" s="5" t="s">
        <v>4574</v>
      </c>
      <c r="B189" s="5" t="s">
        <v>992</v>
      </c>
      <c r="C189" s="5" t="s">
        <v>4575</v>
      </c>
      <c r="D189" s="5"/>
      <c r="E189" s="5"/>
      <c r="F189" s="5"/>
      <c r="G189" s="5"/>
      <c r="H189" s="5"/>
      <c r="I189" s="5"/>
      <c r="J189" s="5"/>
      <c r="K189" s="5" t="s">
        <v>993</v>
      </c>
      <c r="L189" s="5" t="s">
        <v>994</v>
      </c>
      <c r="M189" s="5" t="s">
        <v>4576</v>
      </c>
      <c r="N189" s="5">
        <v>41</v>
      </c>
      <c r="O189" s="5"/>
      <c r="P189" s="5" t="s">
        <v>995</v>
      </c>
      <c r="Q189" s="5">
        <v>36</v>
      </c>
      <c r="R189" s="5">
        <v>24</v>
      </c>
      <c r="S189" s="5">
        <v>10</v>
      </c>
      <c r="T189" s="5">
        <v>0</v>
      </c>
      <c r="U189" s="5" t="b">
        <v>0</v>
      </c>
      <c r="V189" s="5">
        <v>20</v>
      </c>
      <c r="W189" s="5">
        <v>0.11</v>
      </c>
      <c r="X189" s="5" t="s">
        <v>9</v>
      </c>
      <c r="Y189" s="5">
        <v>9</v>
      </c>
      <c r="Z189" s="5"/>
      <c r="AA189" s="5" t="s">
        <v>164</v>
      </c>
      <c r="AB189" s="5" t="s">
        <v>369</v>
      </c>
      <c r="AC189" s="5" t="b">
        <v>0</v>
      </c>
      <c r="AD189" s="5"/>
      <c r="AE189" s="5"/>
      <c r="AF189" s="5"/>
      <c r="AG189" s="5">
        <v>20</v>
      </c>
      <c r="AH189" s="5"/>
      <c r="AI189" s="5">
        <v>220</v>
      </c>
      <c r="AJ189" s="5"/>
      <c r="AK189" s="5" t="s">
        <v>996</v>
      </c>
      <c r="AL189" s="5">
        <v>2</v>
      </c>
      <c r="AM189" s="5"/>
      <c r="AN189" s="5">
        <v>10</v>
      </c>
      <c r="AO189" s="5"/>
      <c r="AP189" s="5">
        <v>0</v>
      </c>
      <c r="AQ189" s="5"/>
      <c r="AR189" s="5">
        <v>0</v>
      </c>
      <c r="AS189" s="5"/>
      <c r="AT189" s="5" t="s">
        <v>997</v>
      </c>
      <c r="AU189" s="5" t="s">
        <v>998</v>
      </c>
      <c r="AV189" s="5" t="s">
        <v>999</v>
      </c>
      <c r="AW189" s="8" t="str">
        <f>IFERROR(VLOOKUP(AA189,'Message Lookup'!D:J,7,FALSE),"")</f>
        <v>MSO Discharge Pressure Alarm HiHi Latched</v>
      </c>
    </row>
    <row r="190" spans="1:49" x14ac:dyDescent="0.25">
      <c r="A190" s="5" t="s">
        <v>4574</v>
      </c>
      <c r="B190" s="5" t="s">
        <v>992</v>
      </c>
      <c r="C190" s="5" t="s">
        <v>4575</v>
      </c>
      <c r="D190" s="5"/>
      <c r="E190" s="5"/>
      <c r="F190" s="5"/>
      <c r="G190" s="5"/>
      <c r="H190" s="5"/>
      <c r="I190" s="5"/>
      <c r="J190" s="5"/>
      <c r="K190" s="5" t="s">
        <v>993</v>
      </c>
      <c r="L190" s="5" t="s">
        <v>994</v>
      </c>
      <c r="M190" s="5" t="s">
        <v>4576</v>
      </c>
      <c r="N190" s="5">
        <v>41</v>
      </c>
      <c r="O190" s="5"/>
      <c r="P190" s="5" t="s">
        <v>995</v>
      </c>
      <c r="Q190" s="5">
        <v>36</v>
      </c>
      <c r="R190" s="5">
        <v>24</v>
      </c>
      <c r="S190" s="5">
        <v>10</v>
      </c>
      <c r="T190" s="5">
        <v>0</v>
      </c>
      <c r="U190" s="5" t="b">
        <v>0</v>
      </c>
      <c r="V190" s="5">
        <v>20</v>
      </c>
      <c r="W190" s="5">
        <v>0.11</v>
      </c>
      <c r="X190" s="5" t="s">
        <v>9</v>
      </c>
      <c r="Y190" s="5">
        <v>9</v>
      </c>
      <c r="Z190" s="5"/>
      <c r="AA190" s="5" t="s">
        <v>165</v>
      </c>
      <c r="AB190" s="5" t="s">
        <v>370</v>
      </c>
      <c r="AC190" s="5" t="b">
        <v>0</v>
      </c>
      <c r="AD190" s="5"/>
      <c r="AE190" s="5"/>
      <c r="AF190" s="5"/>
      <c r="AG190" s="5">
        <v>20</v>
      </c>
      <c r="AH190" s="5"/>
      <c r="AI190" s="5">
        <v>220</v>
      </c>
      <c r="AJ190" s="5"/>
      <c r="AK190" s="5" t="s">
        <v>996</v>
      </c>
      <c r="AL190" s="5">
        <v>2</v>
      </c>
      <c r="AM190" s="5"/>
      <c r="AN190" s="5">
        <v>10</v>
      </c>
      <c r="AO190" s="5"/>
      <c r="AP190" s="5">
        <v>0</v>
      </c>
      <c r="AQ190" s="5"/>
      <c r="AR190" s="5">
        <v>0</v>
      </c>
      <c r="AS190" s="5"/>
      <c r="AT190" s="5" t="s">
        <v>997</v>
      </c>
      <c r="AU190" s="5" t="s">
        <v>998</v>
      </c>
      <c r="AV190" s="5" t="s">
        <v>999</v>
      </c>
      <c r="AW190" s="8" t="str">
        <f>IFERROR(VLOOKUP(AA190,'Message Lookup'!D:J,7,FALSE),"")</f>
        <v>MSO Discharge Pressure Alarm Hi Latched</v>
      </c>
    </row>
    <row r="191" spans="1:49" x14ac:dyDescent="0.25">
      <c r="A191" s="5" t="s">
        <v>4574</v>
      </c>
      <c r="B191" s="5" t="s">
        <v>992</v>
      </c>
      <c r="C191" s="5" t="s">
        <v>4575</v>
      </c>
      <c r="D191" s="5"/>
      <c r="E191" s="5"/>
      <c r="F191" s="5"/>
      <c r="G191" s="5"/>
      <c r="H191" s="5"/>
      <c r="I191" s="5"/>
      <c r="J191" s="5"/>
      <c r="K191" s="5" t="s">
        <v>993</v>
      </c>
      <c r="L191" s="5" t="s">
        <v>994</v>
      </c>
      <c r="M191" s="5" t="s">
        <v>4576</v>
      </c>
      <c r="N191" s="5">
        <v>41</v>
      </c>
      <c r="O191" s="5"/>
      <c r="P191" s="5" t="s">
        <v>995</v>
      </c>
      <c r="Q191" s="5">
        <v>36</v>
      </c>
      <c r="R191" s="5">
        <v>24</v>
      </c>
      <c r="S191" s="5">
        <v>10</v>
      </c>
      <c r="T191" s="5">
        <v>0</v>
      </c>
      <c r="U191" s="5" t="b">
        <v>0</v>
      </c>
      <c r="V191" s="5">
        <v>20</v>
      </c>
      <c r="W191" s="5">
        <v>0.11</v>
      </c>
      <c r="X191" s="5" t="s">
        <v>9</v>
      </c>
      <c r="Y191" s="5">
        <v>9</v>
      </c>
      <c r="Z191" s="5"/>
      <c r="AA191" s="5"/>
      <c r="AB191" s="5"/>
      <c r="AC191" s="5"/>
      <c r="AD191" s="5"/>
      <c r="AE191" s="5" t="s">
        <v>1000</v>
      </c>
      <c r="AF191" s="5" t="b">
        <v>0</v>
      </c>
      <c r="AG191" s="5">
        <v>20</v>
      </c>
      <c r="AH191" s="5"/>
      <c r="AI191" s="5">
        <v>220</v>
      </c>
      <c r="AJ191" s="5"/>
      <c r="AK191" s="5" t="s">
        <v>996</v>
      </c>
      <c r="AL191" s="5">
        <v>2</v>
      </c>
      <c r="AM191" s="5"/>
      <c r="AN191" s="5">
        <v>10</v>
      </c>
      <c r="AO191" s="5"/>
      <c r="AP191" s="5">
        <v>0</v>
      </c>
      <c r="AQ191" s="5"/>
      <c r="AR191" s="5">
        <v>0</v>
      </c>
      <c r="AS191" s="5"/>
      <c r="AT191" s="5" t="s">
        <v>997</v>
      </c>
      <c r="AU191" s="5" t="s">
        <v>998</v>
      </c>
      <c r="AV191" s="5" t="s">
        <v>999</v>
      </c>
      <c r="AW191" s="8" t="str">
        <f>IFERROR(VLOOKUP(AA191,'Message Lookup'!D:J,7,FALSE),"")</f>
        <v/>
      </c>
    </row>
    <row r="192" spans="1:49" x14ac:dyDescent="0.25">
      <c r="A192" s="5" t="s">
        <v>4574</v>
      </c>
      <c r="B192" s="5" t="s">
        <v>992</v>
      </c>
      <c r="C192" s="5" t="s">
        <v>4575</v>
      </c>
      <c r="D192" s="5"/>
      <c r="E192" s="5"/>
      <c r="F192" s="5"/>
      <c r="G192" s="5"/>
      <c r="H192" s="5"/>
      <c r="I192" s="5"/>
      <c r="J192" s="5"/>
      <c r="K192" s="5" t="s">
        <v>993</v>
      </c>
      <c r="L192" s="5" t="s">
        <v>994</v>
      </c>
      <c r="M192" s="5" t="s">
        <v>4576</v>
      </c>
      <c r="N192" s="5">
        <v>41</v>
      </c>
      <c r="O192" s="5"/>
      <c r="P192" s="5" t="s">
        <v>995</v>
      </c>
      <c r="Q192" s="5">
        <v>36</v>
      </c>
      <c r="R192" s="5">
        <v>24</v>
      </c>
      <c r="S192" s="5">
        <v>10</v>
      </c>
      <c r="T192" s="5">
        <v>0</v>
      </c>
      <c r="U192" s="5" t="b">
        <v>0</v>
      </c>
      <c r="V192" s="5">
        <v>20</v>
      </c>
      <c r="W192" s="5">
        <v>0.11</v>
      </c>
      <c r="X192" s="5" t="s">
        <v>9</v>
      </c>
      <c r="Y192" s="5">
        <v>9</v>
      </c>
      <c r="Z192" s="5"/>
      <c r="AA192" s="5"/>
      <c r="AB192" s="5"/>
      <c r="AC192" s="5"/>
      <c r="AD192" s="5" t="s">
        <v>1011</v>
      </c>
      <c r="AE192" s="5" t="s">
        <v>1002</v>
      </c>
      <c r="AF192" s="5" t="b">
        <v>0</v>
      </c>
      <c r="AG192" s="5">
        <v>20</v>
      </c>
      <c r="AH192" s="5"/>
      <c r="AI192" s="5">
        <v>220</v>
      </c>
      <c r="AJ192" s="5"/>
      <c r="AK192" s="5" t="s">
        <v>996</v>
      </c>
      <c r="AL192" s="5">
        <v>2</v>
      </c>
      <c r="AM192" s="5"/>
      <c r="AN192" s="5">
        <v>10</v>
      </c>
      <c r="AO192" s="5"/>
      <c r="AP192" s="5">
        <v>0</v>
      </c>
      <c r="AQ192" s="5"/>
      <c r="AR192" s="5">
        <v>0</v>
      </c>
      <c r="AS192" s="5"/>
      <c r="AT192" s="5" t="s">
        <v>997</v>
      </c>
      <c r="AU192" s="5" t="s">
        <v>998</v>
      </c>
      <c r="AV192" s="5" t="s">
        <v>999</v>
      </c>
      <c r="AW192" s="8" t="str">
        <f>IFERROR(VLOOKUP(AA192,'Message Lookup'!D:J,7,FALSE),"")</f>
        <v/>
      </c>
    </row>
    <row r="193" spans="1:49" x14ac:dyDescent="0.25">
      <c r="A193" s="5" t="s">
        <v>4574</v>
      </c>
      <c r="B193" s="5" t="s">
        <v>992</v>
      </c>
      <c r="C193" s="5" t="s">
        <v>4575</v>
      </c>
      <c r="D193" s="5"/>
      <c r="E193" s="5"/>
      <c r="F193" s="5"/>
      <c r="G193" s="5"/>
      <c r="H193" s="5"/>
      <c r="I193" s="5"/>
      <c r="J193" s="5"/>
      <c r="K193" s="5" t="s">
        <v>993</v>
      </c>
      <c r="L193" s="5" t="s">
        <v>994</v>
      </c>
      <c r="M193" s="5" t="s">
        <v>4576</v>
      </c>
      <c r="N193" s="5">
        <v>41</v>
      </c>
      <c r="O193" s="5"/>
      <c r="P193" s="5" t="s">
        <v>995</v>
      </c>
      <c r="Q193" s="5">
        <v>36</v>
      </c>
      <c r="R193" s="5">
        <v>24</v>
      </c>
      <c r="S193" s="5">
        <v>11</v>
      </c>
      <c r="T193" s="5">
        <v>0</v>
      </c>
      <c r="U193" s="5" t="b">
        <v>0</v>
      </c>
      <c r="V193" s="5">
        <v>20</v>
      </c>
      <c r="W193" s="5">
        <v>0.13</v>
      </c>
      <c r="X193" s="5" t="s">
        <v>9</v>
      </c>
      <c r="Y193" s="5">
        <v>9</v>
      </c>
      <c r="Z193" s="5"/>
      <c r="AA193" s="5"/>
      <c r="AB193" s="5" t="s">
        <v>354</v>
      </c>
      <c r="AC193" s="5" t="b">
        <v>0</v>
      </c>
      <c r="AD193" s="5"/>
      <c r="AE193" s="5"/>
      <c r="AF193" s="5"/>
      <c r="AG193" s="5">
        <v>51</v>
      </c>
      <c r="AH193" s="5">
        <v>51</v>
      </c>
      <c r="AI193" s="5">
        <v>28</v>
      </c>
      <c r="AJ193" s="5">
        <v>28</v>
      </c>
      <c r="AK193" s="5" t="s">
        <v>996</v>
      </c>
      <c r="AL193" s="5">
        <v>2</v>
      </c>
      <c r="AM193" s="5"/>
      <c r="AN193" s="5">
        <v>10</v>
      </c>
      <c r="AO193" s="5"/>
      <c r="AP193" s="5">
        <v>0</v>
      </c>
      <c r="AQ193" s="5"/>
      <c r="AR193" s="5">
        <v>0</v>
      </c>
      <c r="AS193" s="5"/>
      <c r="AT193" s="5" t="s">
        <v>997</v>
      </c>
      <c r="AU193" s="5" t="s">
        <v>998</v>
      </c>
      <c r="AV193" s="5" t="s">
        <v>999</v>
      </c>
      <c r="AW193" s="8" t="str">
        <f>IFERROR(VLOOKUP(AA193,'Message Lookup'!D:J,7,FALSE),"")</f>
        <v/>
      </c>
    </row>
    <row r="194" spans="1:49" x14ac:dyDescent="0.25">
      <c r="A194" s="5" t="s">
        <v>4574</v>
      </c>
      <c r="B194" s="5" t="s">
        <v>992</v>
      </c>
      <c r="C194" s="5" t="s">
        <v>4575</v>
      </c>
      <c r="D194" s="5"/>
      <c r="E194" s="5"/>
      <c r="F194" s="5"/>
      <c r="G194" s="5"/>
      <c r="H194" s="5"/>
      <c r="I194" s="5"/>
      <c r="J194" s="5"/>
      <c r="K194" s="5" t="s">
        <v>993</v>
      </c>
      <c r="L194" s="5" t="s">
        <v>994</v>
      </c>
      <c r="M194" s="5" t="s">
        <v>4576</v>
      </c>
      <c r="N194" s="5">
        <v>41</v>
      </c>
      <c r="O194" s="5"/>
      <c r="P194" s="5" t="s">
        <v>995</v>
      </c>
      <c r="Q194" s="5">
        <v>36</v>
      </c>
      <c r="R194" s="5">
        <v>24</v>
      </c>
      <c r="S194" s="5">
        <v>11</v>
      </c>
      <c r="T194" s="5">
        <v>0</v>
      </c>
      <c r="U194" s="5" t="b">
        <v>0</v>
      </c>
      <c r="V194" s="5">
        <v>20</v>
      </c>
      <c r="W194" s="5">
        <v>0.13</v>
      </c>
      <c r="X194" s="5" t="s">
        <v>9</v>
      </c>
      <c r="Y194" s="5">
        <v>9</v>
      </c>
      <c r="Z194" s="5"/>
      <c r="AA194" s="5" t="s">
        <v>166</v>
      </c>
      <c r="AB194" s="5" t="s">
        <v>355</v>
      </c>
      <c r="AC194" s="5" t="b">
        <v>0</v>
      </c>
      <c r="AD194" s="5"/>
      <c r="AE194" s="5"/>
      <c r="AF194" s="5"/>
      <c r="AG194" s="5">
        <v>51</v>
      </c>
      <c r="AH194" s="5"/>
      <c r="AI194" s="5">
        <v>28</v>
      </c>
      <c r="AJ194" s="5"/>
      <c r="AK194" s="5" t="s">
        <v>996</v>
      </c>
      <c r="AL194" s="5">
        <v>2</v>
      </c>
      <c r="AM194" s="5"/>
      <c r="AN194" s="5">
        <v>10</v>
      </c>
      <c r="AO194" s="5"/>
      <c r="AP194" s="5">
        <v>0</v>
      </c>
      <c r="AQ194" s="5"/>
      <c r="AR194" s="5">
        <v>0</v>
      </c>
      <c r="AS194" s="5"/>
      <c r="AT194" s="5" t="s">
        <v>997</v>
      </c>
      <c r="AU194" s="5" t="s">
        <v>998</v>
      </c>
      <c r="AV194" s="5" t="s">
        <v>999</v>
      </c>
      <c r="AW194" s="8">
        <f>IFERROR(VLOOKUP(AA194,'Message Lookup'!D:J,7,FALSE),"")</f>
        <v>0</v>
      </c>
    </row>
    <row r="195" spans="1:49" x14ac:dyDescent="0.25">
      <c r="A195" s="5" t="s">
        <v>4574</v>
      </c>
      <c r="B195" s="5" t="s">
        <v>992</v>
      </c>
      <c r="C195" s="5" t="s">
        <v>4575</v>
      </c>
      <c r="D195" s="5"/>
      <c r="E195" s="5"/>
      <c r="F195" s="5"/>
      <c r="G195" s="5"/>
      <c r="H195" s="5"/>
      <c r="I195" s="5"/>
      <c r="J195" s="5"/>
      <c r="K195" s="5" t="s">
        <v>993</v>
      </c>
      <c r="L195" s="5" t="s">
        <v>994</v>
      </c>
      <c r="M195" s="5" t="s">
        <v>4576</v>
      </c>
      <c r="N195" s="5">
        <v>41</v>
      </c>
      <c r="O195" s="5"/>
      <c r="P195" s="5" t="s">
        <v>995</v>
      </c>
      <c r="Q195" s="5">
        <v>36</v>
      </c>
      <c r="R195" s="5">
        <v>24</v>
      </c>
      <c r="S195" s="5">
        <v>11</v>
      </c>
      <c r="T195" s="5">
        <v>0</v>
      </c>
      <c r="U195" s="5" t="b">
        <v>0</v>
      </c>
      <c r="V195" s="5">
        <v>20</v>
      </c>
      <c r="W195" s="5">
        <v>0.13</v>
      </c>
      <c r="X195" s="5" t="s">
        <v>9</v>
      </c>
      <c r="Y195" s="5">
        <v>9</v>
      </c>
      <c r="Z195" s="5"/>
      <c r="AA195" s="5" t="s">
        <v>167</v>
      </c>
      <c r="AB195" s="5" t="s">
        <v>356</v>
      </c>
      <c r="AC195" s="5" t="b">
        <v>0</v>
      </c>
      <c r="AD195" s="5"/>
      <c r="AE195" s="5"/>
      <c r="AF195" s="5"/>
      <c r="AG195" s="5">
        <v>51</v>
      </c>
      <c r="AH195" s="5"/>
      <c r="AI195" s="5">
        <v>28</v>
      </c>
      <c r="AJ195" s="5"/>
      <c r="AK195" s="5" t="s">
        <v>996</v>
      </c>
      <c r="AL195" s="5">
        <v>2</v>
      </c>
      <c r="AM195" s="5"/>
      <c r="AN195" s="5">
        <v>10</v>
      </c>
      <c r="AO195" s="5"/>
      <c r="AP195" s="5">
        <v>0</v>
      </c>
      <c r="AQ195" s="5"/>
      <c r="AR195" s="5">
        <v>0</v>
      </c>
      <c r="AS195" s="5"/>
      <c r="AT195" s="5" t="s">
        <v>997</v>
      </c>
      <c r="AU195" s="5" t="s">
        <v>998</v>
      </c>
      <c r="AV195" s="5" t="s">
        <v>999</v>
      </c>
      <c r="AW195" s="8">
        <f>IFERROR(VLOOKUP(AA195,'Message Lookup'!D:J,7,FALSE),"")</f>
        <v>0</v>
      </c>
    </row>
    <row r="196" spans="1:49" x14ac:dyDescent="0.25">
      <c r="A196" s="5" t="s">
        <v>4574</v>
      </c>
      <c r="B196" s="5" t="s">
        <v>992</v>
      </c>
      <c r="C196" s="5" t="s">
        <v>4575</v>
      </c>
      <c r="D196" s="5"/>
      <c r="E196" s="5"/>
      <c r="F196" s="5"/>
      <c r="G196" s="5"/>
      <c r="H196" s="5"/>
      <c r="I196" s="5"/>
      <c r="J196" s="5"/>
      <c r="K196" s="5" t="s">
        <v>993</v>
      </c>
      <c r="L196" s="5" t="s">
        <v>994</v>
      </c>
      <c r="M196" s="5" t="s">
        <v>4576</v>
      </c>
      <c r="N196" s="5">
        <v>41</v>
      </c>
      <c r="O196" s="5"/>
      <c r="P196" s="5" t="s">
        <v>995</v>
      </c>
      <c r="Q196" s="5">
        <v>36</v>
      </c>
      <c r="R196" s="5">
        <v>24</v>
      </c>
      <c r="S196" s="5">
        <v>11</v>
      </c>
      <c r="T196" s="5">
        <v>0</v>
      </c>
      <c r="U196" s="5" t="b">
        <v>0</v>
      </c>
      <c r="V196" s="5">
        <v>20</v>
      </c>
      <c r="W196" s="5">
        <v>0.13</v>
      </c>
      <c r="X196" s="5" t="s">
        <v>9</v>
      </c>
      <c r="Y196" s="5">
        <v>9</v>
      </c>
      <c r="Z196" s="5"/>
      <c r="AA196" s="5" t="s">
        <v>168</v>
      </c>
      <c r="AB196" s="5" t="s">
        <v>357</v>
      </c>
      <c r="AC196" s="5" t="b">
        <v>0</v>
      </c>
      <c r="AD196" s="5"/>
      <c r="AE196" s="5"/>
      <c r="AF196" s="5"/>
      <c r="AG196" s="5">
        <v>51</v>
      </c>
      <c r="AH196" s="5"/>
      <c r="AI196" s="5">
        <v>28</v>
      </c>
      <c r="AJ196" s="5"/>
      <c r="AK196" s="5" t="s">
        <v>996</v>
      </c>
      <c r="AL196" s="5">
        <v>2</v>
      </c>
      <c r="AM196" s="5"/>
      <c r="AN196" s="5">
        <v>10</v>
      </c>
      <c r="AO196" s="5"/>
      <c r="AP196" s="5">
        <v>0</v>
      </c>
      <c r="AQ196" s="5"/>
      <c r="AR196" s="5">
        <v>0</v>
      </c>
      <c r="AS196" s="5"/>
      <c r="AT196" s="5" t="s">
        <v>997</v>
      </c>
      <c r="AU196" s="5" t="s">
        <v>998</v>
      </c>
      <c r="AV196" s="5" t="s">
        <v>999</v>
      </c>
      <c r="AW196" s="8">
        <f>IFERROR(VLOOKUP(AA196,'Message Lookup'!D:J,7,FALSE),"")</f>
        <v>0</v>
      </c>
    </row>
    <row r="197" spans="1:49" x14ac:dyDescent="0.25">
      <c r="A197" s="5" t="s">
        <v>4574</v>
      </c>
      <c r="B197" s="5" t="s">
        <v>992</v>
      </c>
      <c r="C197" s="5" t="s">
        <v>4575</v>
      </c>
      <c r="D197" s="5"/>
      <c r="E197" s="5"/>
      <c r="F197" s="5"/>
      <c r="G197" s="5"/>
      <c r="H197" s="5"/>
      <c r="I197" s="5"/>
      <c r="J197" s="5"/>
      <c r="K197" s="5" t="s">
        <v>993</v>
      </c>
      <c r="L197" s="5" t="s">
        <v>994</v>
      </c>
      <c r="M197" s="5" t="s">
        <v>4576</v>
      </c>
      <c r="N197" s="5">
        <v>41</v>
      </c>
      <c r="O197" s="5"/>
      <c r="P197" s="5" t="s">
        <v>995</v>
      </c>
      <c r="Q197" s="5">
        <v>36</v>
      </c>
      <c r="R197" s="5">
        <v>24</v>
      </c>
      <c r="S197" s="5">
        <v>11</v>
      </c>
      <c r="T197" s="5">
        <v>0</v>
      </c>
      <c r="U197" s="5" t="b">
        <v>0</v>
      </c>
      <c r="V197" s="5">
        <v>20</v>
      </c>
      <c r="W197" s="5">
        <v>0.13</v>
      </c>
      <c r="X197" s="5" t="s">
        <v>9</v>
      </c>
      <c r="Y197" s="5">
        <v>9</v>
      </c>
      <c r="Z197" s="5"/>
      <c r="AA197" s="5" t="s">
        <v>169</v>
      </c>
      <c r="AB197" s="5" t="s">
        <v>358</v>
      </c>
      <c r="AC197" s="5" t="b">
        <v>0</v>
      </c>
      <c r="AD197" s="5"/>
      <c r="AE197" s="5"/>
      <c r="AF197" s="5"/>
      <c r="AG197" s="5">
        <v>51</v>
      </c>
      <c r="AH197" s="5"/>
      <c r="AI197" s="5">
        <v>28</v>
      </c>
      <c r="AJ197" s="5"/>
      <c r="AK197" s="5" t="s">
        <v>996</v>
      </c>
      <c r="AL197" s="5">
        <v>2</v>
      </c>
      <c r="AM197" s="5"/>
      <c r="AN197" s="5">
        <v>10</v>
      </c>
      <c r="AO197" s="5"/>
      <c r="AP197" s="5">
        <v>0</v>
      </c>
      <c r="AQ197" s="5"/>
      <c r="AR197" s="5">
        <v>0</v>
      </c>
      <c r="AS197" s="5"/>
      <c r="AT197" s="5" t="s">
        <v>997</v>
      </c>
      <c r="AU197" s="5" t="s">
        <v>998</v>
      </c>
      <c r="AV197" s="5" t="s">
        <v>999</v>
      </c>
      <c r="AW197" s="8">
        <f>IFERROR(VLOOKUP(AA197,'Message Lookup'!D:J,7,FALSE),"")</f>
        <v>0</v>
      </c>
    </row>
    <row r="198" spans="1:49" x14ac:dyDescent="0.25">
      <c r="A198" s="5" t="s">
        <v>4574</v>
      </c>
      <c r="B198" s="5" t="s">
        <v>992</v>
      </c>
      <c r="C198" s="5" t="s">
        <v>4575</v>
      </c>
      <c r="D198" s="5"/>
      <c r="E198" s="5"/>
      <c r="F198" s="5"/>
      <c r="G198" s="5"/>
      <c r="H198" s="5"/>
      <c r="I198" s="5"/>
      <c r="J198" s="5"/>
      <c r="K198" s="5" t="s">
        <v>993</v>
      </c>
      <c r="L198" s="5" t="s">
        <v>994</v>
      </c>
      <c r="M198" s="5" t="s">
        <v>4576</v>
      </c>
      <c r="N198" s="5">
        <v>41</v>
      </c>
      <c r="O198" s="5"/>
      <c r="P198" s="5" t="s">
        <v>995</v>
      </c>
      <c r="Q198" s="5">
        <v>36</v>
      </c>
      <c r="R198" s="5">
        <v>24</v>
      </c>
      <c r="S198" s="5">
        <v>11</v>
      </c>
      <c r="T198" s="5">
        <v>0</v>
      </c>
      <c r="U198" s="5" t="b">
        <v>0</v>
      </c>
      <c r="V198" s="5">
        <v>20</v>
      </c>
      <c r="W198" s="5">
        <v>0.13</v>
      </c>
      <c r="X198" s="5" t="s">
        <v>9</v>
      </c>
      <c r="Y198" s="5">
        <v>9</v>
      </c>
      <c r="Z198" s="5"/>
      <c r="AA198" s="5" t="s">
        <v>170</v>
      </c>
      <c r="AB198" s="5" t="s">
        <v>359</v>
      </c>
      <c r="AC198" s="5" t="b">
        <v>0</v>
      </c>
      <c r="AD198" s="5"/>
      <c r="AE198" s="5"/>
      <c r="AF198" s="5"/>
      <c r="AG198" s="5">
        <v>51</v>
      </c>
      <c r="AH198" s="5"/>
      <c r="AI198" s="5">
        <v>28</v>
      </c>
      <c r="AJ198" s="5"/>
      <c r="AK198" s="5" t="s">
        <v>996</v>
      </c>
      <c r="AL198" s="5">
        <v>2</v>
      </c>
      <c r="AM198" s="5"/>
      <c r="AN198" s="5">
        <v>10</v>
      </c>
      <c r="AO198" s="5"/>
      <c r="AP198" s="5">
        <v>0</v>
      </c>
      <c r="AQ198" s="5"/>
      <c r="AR198" s="5">
        <v>0</v>
      </c>
      <c r="AS198" s="5"/>
      <c r="AT198" s="5" t="s">
        <v>997</v>
      </c>
      <c r="AU198" s="5" t="s">
        <v>998</v>
      </c>
      <c r="AV198" s="5" t="s">
        <v>999</v>
      </c>
      <c r="AW198" s="8">
        <f>IFERROR(VLOOKUP(AA198,'Message Lookup'!D:J,7,FALSE),"")</f>
        <v>0</v>
      </c>
    </row>
    <row r="199" spans="1:49" x14ac:dyDescent="0.25">
      <c r="A199" s="5" t="s">
        <v>4574</v>
      </c>
      <c r="B199" s="5" t="s">
        <v>992</v>
      </c>
      <c r="C199" s="5" t="s">
        <v>4575</v>
      </c>
      <c r="D199" s="5"/>
      <c r="E199" s="5"/>
      <c r="F199" s="5"/>
      <c r="G199" s="5"/>
      <c r="H199" s="5"/>
      <c r="I199" s="5"/>
      <c r="J199" s="5"/>
      <c r="K199" s="5" t="s">
        <v>993</v>
      </c>
      <c r="L199" s="5" t="s">
        <v>994</v>
      </c>
      <c r="M199" s="5" t="s">
        <v>4576</v>
      </c>
      <c r="N199" s="5">
        <v>41</v>
      </c>
      <c r="O199" s="5"/>
      <c r="P199" s="5" t="s">
        <v>995</v>
      </c>
      <c r="Q199" s="5">
        <v>36</v>
      </c>
      <c r="R199" s="5">
        <v>24</v>
      </c>
      <c r="S199" s="5">
        <v>11</v>
      </c>
      <c r="T199" s="5">
        <v>0</v>
      </c>
      <c r="U199" s="5" t="b">
        <v>0</v>
      </c>
      <c r="V199" s="5">
        <v>20</v>
      </c>
      <c r="W199" s="5">
        <v>0.13</v>
      </c>
      <c r="X199" s="5" t="s">
        <v>9</v>
      </c>
      <c r="Y199" s="5">
        <v>9</v>
      </c>
      <c r="Z199" s="5"/>
      <c r="AA199" s="5" t="s">
        <v>171</v>
      </c>
      <c r="AB199" s="5" t="s">
        <v>360</v>
      </c>
      <c r="AC199" s="5" t="b">
        <v>0</v>
      </c>
      <c r="AD199" s="5"/>
      <c r="AE199" s="5"/>
      <c r="AF199" s="5"/>
      <c r="AG199" s="5">
        <v>51</v>
      </c>
      <c r="AH199" s="5"/>
      <c r="AI199" s="5">
        <v>28</v>
      </c>
      <c r="AJ199" s="5"/>
      <c r="AK199" s="5" t="s">
        <v>996</v>
      </c>
      <c r="AL199" s="5">
        <v>2</v>
      </c>
      <c r="AM199" s="5"/>
      <c r="AN199" s="5">
        <v>10</v>
      </c>
      <c r="AO199" s="5"/>
      <c r="AP199" s="5">
        <v>0</v>
      </c>
      <c r="AQ199" s="5"/>
      <c r="AR199" s="5">
        <v>0</v>
      </c>
      <c r="AS199" s="5"/>
      <c r="AT199" s="5" t="s">
        <v>997</v>
      </c>
      <c r="AU199" s="5" t="s">
        <v>998</v>
      </c>
      <c r="AV199" s="5" t="s">
        <v>999</v>
      </c>
      <c r="AW199" s="8">
        <f>IFERROR(VLOOKUP(AA199,'Message Lookup'!D:J,7,FALSE),"")</f>
        <v>0</v>
      </c>
    </row>
    <row r="200" spans="1:49" x14ac:dyDescent="0.25">
      <c r="A200" s="5" t="s">
        <v>4574</v>
      </c>
      <c r="B200" s="5" t="s">
        <v>992</v>
      </c>
      <c r="C200" s="5" t="s">
        <v>4575</v>
      </c>
      <c r="D200" s="5"/>
      <c r="E200" s="5"/>
      <c r="F200" s="5"/>
      <c r="G200" s="5"/>
      <c r="H200" s="5"/>
      <c r="I200" s="5"/>
      <c r="J200" s="5"/>
      <c r="K200" s="5" t="s">
        <v>993</v>
      </c>
      <c r="L200" s="5" t="s">
        <v>994</v>
      </c>
      <c r="M200" s="5" t="s">
        <v>4576</v>
      </c>
      <c r="N200" s="5">
        <v>41</v>
      </c>
      <c r="O200" s="5"/>
      <c r="P200" s="5" t="s">
        <v>995</v>
      </c>
      <c r="Q200" s="5">
        <v>36</v>
      </c>
      <c r="R200" s="5">
        <v>24</v>
      </c>
      <c r="S200" s="5">
        <v>11</v>
      </c>
      <c r="T200" s="5">
        <v>0</v>
      </c>
      <c r="U200" s="5" t="b">
        <v>0</v>
      </c>
      <c r="V200" s="5">
        <v>20</v>
      </c>
      <c r="W200" s="5">
        <v>0.13</v>
      </c>
      <c r="X200" s="5" t="s">
        <v>9</v>
      </c>
      <c r="Y200" s="5">
        <v>9</v>
      </c>
      <c r="Z200" s="5"/>
      <c r="AA200" s="5" t="s">
        <v>172</v>
      </c>
      <c r="AB200" s="5" t="s">
        <v>361</v>
      </c>
      <c r="AC200" s="5" t="b">
        <v>0</v>
      </c>
      <c r="AD200" s="5"/>
      <c r="AE200" s="5"/>
      <c r="AF200" s="5"/>
      <c r="AG200" s="5">
        <v>51</v>
      </c>
      <c r="AH200" s="5"/>
      <c r="AI200" s="5">
        <v>28</v>
      </c>
      <c r="AJ200" s="5"/>
      <c r="AK200" s="5" t="s">
        <v>996</v>
      </c>
      <c r="AL200" s="5">
        <v>2</v>
      </c>
      <c r="AM200" s="5"/>
      <c r="AN200" s="5">
        <v>10</v>
      </c>
      <c r="AO200" s="5"/>
      <c r="AP200" s="5">
        <v>0</v>
      </c>
      <c r="AQ200" s="5"/>
      <c r="AR200" s="5">
        <v>0</v>
      </c>
      <c r="AS200" s="5"/>
      <c r="AT200" s="5" t="s">
        <v>997</v>
      </c>
      <c r="AU200" s="5" t="s">
        <v>998</v>
      </c>
      <c r="AV200" s="5" t="s">
        <v>999</v>
      </c>
      <c r="AW200" s="8">
        <f>IFERROR(VLOOKUP(AA200,'Message Lookup'!D:J,7,FALSE),"")</f>
        <v>0</v>
      </c>
    </row>
    <row r="201" spans="1:49" x14ac:dyDescent="0.25">
      <c r="A201" s="5" t="s">
        <v>4574</v>
      </c>
      <c r="B201" s="5" t="s">
        <v>992</v>
      </c>
      <c r="C201" s="5" t="s">
        <v>4575</v>
      </c>
      <c r="D201" s="5"/>
      <c r="E201" s="5"/>
      <c r="F201" s="5"/>
      <c r="G201" s="5"/>
      <c r="H201" s="5"/>
      <c r="I201" s="5"/>
      <c r="J201" s="5"/>
      <c r="K201" s="5" t="s">
        <v>993</v>
      </c>
      <c r="L201" s="5" t="s">
        <v>994</v>
      </c>
      <c r="M201" s="5" t="s">
        <v>4576</v>
      </c>
      <c r="N201" s="5">
        <v>41</v>
      </c>
      <c r="O201" s="5"/>
      <c r="P201" s="5" t="s">
        <v>995</v>
      </c>
      <c r="Q201" s="5">
        <v>36</v>
      </c>
      <c r="R201" s="5">
        <v>24</v>
      </c>
      <c r="S201" s="5">
        <v>11</v>
      </c>
      <c r="T201" s="5">
        <v>0</v>
      </c>
      <c r="U201" s="5" t="b">
        <v>0</v>
      </c>
      <c r="V201" s="5">
        <v>20</v>
      </c>
      <c r="W201" s="5">
        <v>0.13</v>
      </c>
      <c r="X201" s="5" t="s">
        <v>9</v>
      </c>
      <c r="Y201" s="5">
        <v>9</v>
      </c>
      <c r="Z201" s="5"/>
      <c r="AA201" s="5" t="s">
        <v>173</v>
      </c>
      <c r="AB201" s="5" t="s">
        <v>362</v>
      </c>
      <c r="AC201" s="5" t="b">
        <v>0</v>
      </c>
      <c r="AD201" s="5"/>
      <c r="AE201" s="5"/>
      <c r="AF201" s="5"/>
      <c r="AG201" s="5">
        <v>51</v>
      </c>
      <c r="AH201" s="5"/>
      <c r="AI201" s="5">
        <v>28</v>
      </c>
      <c r="AJ201" s="5"/>
      <c r="AK201" s="5" t="s">
        <v>996</v>
      </c>
      <c r="AL201" s="5">
        <v>2</v>
      </c>
      <c r="AM201" s="5"/>
      <c r="AN201" s="5">
        <v>10</v>
      </c>
      <c r="AO201" s="5"/>
      <c r="AP201" s="5">
        <v>0</v>
      </c>
      <c r="AQ201" s="5"/>
      <c r="AR201" s="5">
        <v>0</v>
      </c>
      <c r="AS201" s="5"/>
      <c r="AT201" s="5" t="s">
        <v>997</v>
      </c>
      <c r="AU201" s="5" t="s">
        <v>998</v>
      </c>
      <c r="AV201" s="5" t="s">
        <v>999</v>
      </c>
      <c r="AW201" s="8">
        <f>IFERROR(VLOOKUP(AA201,'Message Lookup'!D:J,7,FALSE),"")</f>
        <v>0</v>
      </c>
    </row>
    <row r="202" spans="1:49" x14ac:dyDescent="0.25">
      <c r="A202" s="5" t="s">
        <v>4574</v>
      </c>
      <c r="B202" s="5" t="s">
        <v>992</v>
      </c>
      <c r="C202" s="5" t="s">
        <v>4575</v>
      </c>
      <c r="D202" s="5"/>
      <c r="E202" s="5"/>
      <c r="F202" s="5"/>
      <c r="G202" s="5"/>
      <c r="H202" s="5"/>
      <c r="I202" s="5"/>
      <c r="J202" s="5"/>
      <c r="K202" s="5" t="s">
        <v>993</v>
      </c>
      <c r="L202" s="5" t="s">
        <v>994</v>
      </c>
      <c r="M202" s="5" t="s">
        <v>4576</v>
      </c>
      <c r="N202" s="5">
        <v>41</v>
      </c>
      <c r="O202" s="5"/>
      <c r="P202" s="5" t="s">
        <v>995</v>
      </c>
      <c r="Q202" s="5">
        <v>36</v>
      </c>
      <c r="R202" s="5">
        <v>24</v>
      </c>
      <c r="S202" s="5">
        <v>11</v>
      </c>
      <c r="T202" s="5">
        <v>0</v>
      </c>
      <c r="U202" s="5" t="b">
        <v>0</v>
      </c>
      <c r="V202" s="5">
        <v>20</v>
      </c>
      <c r="W202" s="5">
        <v>0.13</v>
      </c>
      <c r="X202" s="5" t="s">
        <v>9</v>
      </c>
      <c r="Y202" s="5">
        <v>9</v>
      </c>
      <c r="Z202" s="5"/>
      <c r="AA202" s="5" t="s">
        <v>174</v>
      </c>
      <c r="AB202" s="5" t="s">
        <v>363</v>
      </c>
      <c r="AC202" s="5" t="b">
        <v>0</v>
      </c>
      <c r="AD202" s="5"/>
      <c r="AE202" s="5"/>
      <c r="AF202" s="5"/>
      <c r="AG202" s="5">
        <v>51</v>
      </c>
      <c r="AH202" s="5"/>
      <c r="AI202" s="5">
        <v>28</v>
      </c>
      <c r="AJ202" s="5"/>
      <c r="AK202" s="5" t="s">
        <v>996</v>
      </c>
      <c r="AL202" s="5">
        <v>2</v>
      </c>
      <c r="AM202" s="5"/>
      <c r="AN202" s="5">
        <v>10</v>
      </c>
      <c r="AO202" s="5"/>
      <c r="AP202" s="5">
        <v>0</v>
      </c>
      <c r="AQ202" s="5"/>
      <c r="AR202" s="5">
        <v>0</v>
      </c>
      <c r="AS202" s="5"/>
      <c r="AT202" s="5" t="s">
        <v>997</v>
      </c>
      <c r="AU202" s="5" t="s">
        <v>998</v>
      </c>
      <c r="AV202" s="5" t="s">
        <v>999</v>
      </c>
      <c r="AW202" s="8">
        <f>IFERROR(VLOOKUP(AA202,'Message Lookup'!D:J,7,FALSE),"")</f>
        <v>0</v>
      </c>
    </row>
    <row r="203" spans="1:49" x14ac:dyDescent="0.25">
      <c r="A203" s="5" t="s">
        <v>4574</v>
      </c>
      <c r="B203" s="5" t="s">
        <v>992</v>
      </c>
      <c r="C203" s="5" t="s">
        <v>4575</v>
      </c>
      <c r="D203" s="5"/>
      <c r="E203" s="5"/>
      <c r="F203" s="5"/>
      <c r="G203" s="5"/>
      <c r="H203" s="5"/>
      <c r="I203" s="5"/>
      <c r="J203" s="5"/>
      <c r="K203" s="5" t="s">
        <v>993</v>
      </c>
      <c r="L203" s="5" t="s">
        <v>994</v>
      </c>
      <c r="M203" s="5" t="s">
        <v>4576</v>
      </c>
      <c r="N203" s="5">
        <v>41</v>
      </c>
      <c r="O203" s="5"/>
      <c r="P203" s="5" t="s">
        <v>995</v>
      </c>
      <c r="Q203" s="5">
        <v>36</v>
      </c>
      <c r="R203" s="5">
        <v>24</v>
      </c>
      <c r="S203" s="5">
        <v>11</v>
      </c>
      <c r="T203" s="5">
        <v>0</v>
      </c>
      <c r="U203" s="5" t="b">
        <v>0</v>
      </c>
      <c r="V203" s="5">
        <v>20</v>
      </c>
      <c r="W203" s="5">
        <v>0.13</v>
      </c>
      <c r="X203" s="5" t="s">
        <v>9</v>
      </c>
      <c r="Y203" s="5">
        <v>9</v>
      </c>
      <c r="Z203" s="5"/>
      <c r="AA203" s="5" t="s">
        <v>175</v>
      </c>
      <c r="AB203" s="5" t="s">
        <v>364</v>
      </c>
      <c r="AC203" s="5" t="b">
        <v>0</v>
      </c>
      <c r="AD203" s="5"/>
      <c r="AE203" s="5"/>
      <c r="AF203" s="5"/>
      <c r="AG203" s="5">
        <v>51</v>
      </c>
      <c r="AH203" s="5"/>
      <c r="AI203" s="5">
        <v>28</v>
      </c>
      <c r="AJ203" s="5"/>
      <c r="AK203" s="5" t="s">
        <v>996</v>
      </c>
      <c r="AL203" s="5">
        <v>2</v>
      </c>
      <c r="AM203" s="5"/>
      <c r="AN203" s="5">
        <v>10</v>
      </c>
      <c r="AO203" s="5"/>
      <c r="AP203" s="5">
        <v>0</v>
      </c>
      <c r="AQ203" s="5"/>
      <c r="AR203" s="5">
        <v>0</v>
      </c>
      <c r="AS203" s="5"/>
      <c r="AT203" s="5" t="s">
        <v>997</v>
      </c>
      <c r="AU203" s="5" t="s">
        <v>998</v>
      </c>
      <c r="AV203" s="5" t="s">
        <v>999</v>
      </c>
      <c r="AW203" s="8">
        <f>IFERROR(VLOOKUP(AA203,'Message Lookup'!D:J,7,FALSE),"")</f>
        <v>0</v>
      </c>
    </row>
    <row r="204" spans="1:49" x14ac:dyDescent="0.25">
      <c r="A204" s="5" t="s">
        <v>4574</v>
      </c>
      <c r="B204" s="5" t="s">
        <v>992</v>
      </c>
      <c r="C204" s="5" t="s">
        <v>4575</v>
      </c>
      <c r="D204" s="5"/>
      <c r="E204" s="5"/>
      <c r="F204" s="5"/>
      <c r="G204" s="5"/>
      <c r="H204" s="5"/>
      <c r="I204" s="5"/>
      <c r="J204" s="5"/>
      <c r="K204" s="5" t="s">
        <v>993</v>
      </c>
      <c r="L204" s="5" t="s">
        <v>994</v>
      </c>
      <c r="M204" s="5" t="s">
        <v>4576</v>
      </c>
      <c r="N204" s="5">
        <v>41</v>
      </c>
      <c r="O204" s="5"/>
      <c r="P204" s="5" t="s">
        <v>995</v>
      </c>
      <c r="Q204" s="5">
        <v>36</v>
      </c>
      <c r="R204" s="5">
        <v>24</v>
      </c>
      <c r="S204" s="5">
        <v>11</v>
      </c>
      <c r="T204" s="5">
        <v>0</v>
      </c>
      <c r="U204" s="5" t="b">
        <v>0</v>
      </c>
      <c r="V204" s="5">
        <v>20</v>
      </c>
      <c r="W204" s="5">
        <v>0.13</v>
      </c>
      <c r="X204" s="5" t="s">
        <v>9</v>
      </c>
      <c r="Y204" s="5">
        <v>9</v>
      </c>
      <c r="Z204" s="5"/>
      <c r="AA204" s="5" t="s">
        <v>176</v>
      </c>
      <c r="AB204" s="5" t="s">
        <v>365</v>
      </c>
      <c r="AC204" s="5" t="b">
        <v>0</v>
      </c>
      <c r="AD204" s="5"/>
      <c r="AE204" s="5"/>
      <c r="AF204" s="5"/>
      <c r="AG204" s="5">
        <v>51</v>
      </c>
      <c r="AH204" s="5"/>
      <c r="AI204" s="5">
        <v>28</v>
      </c>
      <c r="AJ204" s="5"/>
      <c r="AK204" s="5" t="s">
        <v>996</v>
      </c>
      <c r="AL204" s="5">
        <v>2</v>
      </c>
      <c r="AM204" s="5"/>
      <c r="AN204" s="5">
        <v>10</v>
      </c>
      <c r="AO204" s="5"/>
      <c r="AP204" s="5">
        <v>0</v>
      </c>
      <c r="AQ204" s="5"/>
      <c r="AR204" s="5">
        <v>0</v>
      </c>
      <c r="AS204" s="5"/>
      <c r="AT204" s="5" t="s">
        <v>997</v>
      </c>
      <c r="AU204" s="5" t="s">
        <v>998</v>
      </c>
      <c r="AV204" s="5" t="s">
        <v>999</v>
      </c>
      <c r="AW204" s="8">
        <f>IFERROR(VLOOKUP(AA204,'Message Lookup'!D:J,7,FALSE),"")</f>
        <v>0</v>
      </c>
    </row>
    <row r="205" spans="1:49" x14ac:dyDescent="0.25">
      <c r="A205" s="5" t="s">
        <v>4574</v>
      </c>
      <c r="B205" s="5" t="s">
        <v>992</v>
      </c>
      <c r="C205" s="5" t="s">
        <v>4575</v>
      </c>
      <c r="D205" s="5"/>
      <c r="E205" s="5"/>
      <c r="F205" s="5"/>
      <c r="G205" s="5"/>
      <c r="H205" s="5"/>
      <c r="I205" s="5"/>
      <c r="J205" s="5"/>
      <c r="K205" s="5" t="s">
        <v>993</v>
      </c>
      <c r="L205" s="5" t="s">
        <v>994</v>
      </c>
      <c r="M205" s="5" t="s">
        <v>4576</v>
      </c>
      <c r="N205" s="5">
        <v>41</v>
      </c>
      <c r="O205" s="5"/>
      <c r="P205" s="5" t="s">
        <v>995</v>
      </c>
      <c r="Q205" s="5">
        <v>36</v>
      </c>
      <c r="R205" s="5">
        <v>24</v>
      </c>
      <c r="S205" s="5">
        <v>11</v>
      </c>
      <c r="T205" s="5">
        <v>0</v>
      </c>
      <c r="U205" s="5" t="b">
        <v>0</v>
      </c>
      <c r="V205" s="5">
        <v>20</v>
      </c>
      <c r="W205" s="5">
        <v>0.13</v>
      </c>
      <c r="X205" s="5" t="s">
        <v>9</v>
      </c>
      <c r="Y205" s="5">
        <v>9</v>
      </c>
      <c r="Z205" s="5"/>
      <c r="AA205" s="5" t="s">
        <v>177</v>
      </c>
      <c r="AB205" s="5" t="s">
        <v>366</v>
      </c>
      <c r="AC205" s="5" t="b">
        <v>0</v>
      </c>
      <c r="AD205" s="5"/>
      <c r="AE205" s="5"/>
      <c r="AF205" s="5"/>
      <c r="AG205" s="5">
        <v>51</v>
      </c>
      <c r="AH205" s="5"/>
      <c r="AI205" s="5">
        <v>28</v>
      </c>
      <c r="AJ205" s="5"/>
      <c r="AK205" s="5" t="s">
        <v>996</v>
      </c>
      <c r="AL205" s="5">
        <v>2</v>
      </c>
      <c r="AM205" s="5"/>
      <c r="AN205" s="5">
        <v>10</v>
      </c>
      <c r="AO205" s="5"/>
      <c r="AP205" s="5">
        <v>0</v>
      </c>
      <c r="AQ205" s="5"/>
      <c r="AR205" s="5">
        <v>0</v>
      </c>
      <c r="AS205" s="5"/>
      <c r="AT205" s="5" t="s">
        <v>997</v>
      </c>
      <c r="AU205" s="5" t="s">
        <v>998</v>
      </c>
      <c r="AV205" s="5" t="s">
        <v>999</v>
      </c>
      <c r="AW205" s="8">
        <f>IFERROR(VLOOKUP(AA205,'Message Lookup'!D:J,7,FALSE),"")</f>
        <v>0</v>
      </c>
    </row>
    <row r="206" spans="1:49" x14ac:dyDescent="0.25">
      <c r="A206" s="5" t="s">
        <v>4574</v>
      </c>
      <c r="B206" s="5" t="s">
        <v>992</v>
      </c>
      <c r="C206" s="5" t="s">
        <v>4575</v>
      </c>
      <c r="D206" s="5"/>
      <c r="E206" s="5"/>
      <c r="F206" s="5"/>
      <c r="G206" s="5"/>
      <c r="H206" s="5"/>
      <c r="I206" s="5"/>
      <c r="J206" s="5"/>
      <c r="K206" s="5" t="s">
        <v>993</v>
      </c>
      <c r="L206" s="5" t="s">
        <v>994</v>
      </c>
      <c r="M206" s="5" t="s">
        <v>4576</v>
      </c>
      <c r="N206" s="5">
        <v>41</v>
      </c>
      <c r="O206" s="5"/>
      <c r="P206" s="5" t="s">
        <v>995</v>
      </c>
      <c r="Q206" s="5">
        <v>36</v>
      </c>
      <c r="R206" s="5">
        <v>24</v>
      </c>
      <c r="S206" s="5">
        <v>11</v>
      </c>
      <c r="T206" s="5">
        <v>0</v>
      </c>
      <c r="U206" s="5" t="b">
        <v>0</v>
      </c>
      <c r="V206" s="5">
        <v>20</v>
      </c>
      <c r="W206" s="5">
        <v>0.13</v>
      </c>
      <c r="X206" s="5" t="s">
        <v>9</v>
      </c>
      <c r="Y206" s="5">
        <v>9</v>
      </c>
      <c r="Z206" s="5"/>
      <c r="AA206" s="5" t="s">
        <v>178</v>
      </c>
      <c r="AB206" s="5" t="s">
        <v>367</v>
      </c>
      <c r="AC206" s="5" t="b">
        <v>0</v>
      </c>
      <c r="AD206" s="5"/>
      <c r="AE206" s="5"/>
      <c r="AF206" s="5"/>
      <c r="AG206" s="5">
        <v>51</v>
      </c>
      <c r="AH206" s="5"/>
      <c r="AI206" s="5">
        <v>28</v>
      </c>
      <c r="AJ206" s="5"/>
      <c r="AK206" s="5" t="s">
        <v>996</v>
      </c>
      <c r="AL206" s="5">
        <v>2</v>
      </c>
      <c r="AM206" s="5"/>
      <c r="AN206" s="5">
        <v>10</v>
      </c>
      <c r="AO206" s="5"/>
      <c r="AP206" s="5">
        <v>0</v>
      </c>
      <c r="AQ206" s="5"/>
      <c r="AR206" s="5">
        <v>0</v>
      </c>
      <c r="AS206" s="5"/>
      <c r="AT206" s="5" t="s">
        <v>997</v>
      </c>
      <c r="AU206" s="5" t="s">
        <v>998</v>
      </c>
      <c r="AV206" s="5" t="s">
        <v>999</v>
      </c>
      <c r="AW206" s="8" t="str">
        <f>IFERROR(VLOOKUP(AA206,'Message Lookup'!D:J,7,FALSE),"")</f>
        <v>P-4 Seal Pot Pressure Alarm HiHi Latched</v>
      </c>
    </row>
    <row r="207" spans="1:49" x14ac:dyDescent="0.25">
      <c r="A207" s="5" t="s">
        <v>4574</v>
      </c>
      <c r="B207" s="5" t="s">
        <v>992</v>
      </c>
      <c r="C207" s="5" t="s">
        <v>4575</v>
      </c>
      <c r="D207" s="5"/>
      <c r="E207" s="5"/>
      <c r="F207" s="5"/>
      <c r="G207" s="5"/>
      <c r="H207" s="5"/>
      <c r="I207" s="5"/>
      <c r="J207" s="5"/>
      <c r="K207" s="5" t="s">
        <v>993</v>
      </c>
      <c r="L207" s="5" t="s">
        <v>994</v>
      </c>
      <c r="M207" s="5" t="s">
        <v>4576</v>
      </c>
      <c r="N207" s="5">
        <v>41</v>
      </c>
      <c r="O207" s="5"/>
      <c r="P207" s="5" t="s">
        <v>995</v>
      </c>
      <c r="Q207" s="5">
        <v>36</v>
      </c>
      <c r="R207" s="5">
        <v>24</v>
      </c>
      <c r="S207" s="5">
        <v>11</v>
      </c>
      <c r="T207" s="5">
        <v>0</v>
      </c>
      <c r="U207" s="5" t="b">
        <v>0</v>
      </c>
      <c r="V207" s="5">
        <v>20</v>
      </c>
      <c r="W207" s="5">
        <v>0.13</v>
      </c>
      <c r="X207" s="5" t="s">
        <v>9</v>
      </c>
      <c r="Y207" s="5">
        <v>9</v>
      </c>
      <c r="Z207" s="5"/>
      <c r="AA207" s="5" t="s">
        <v>179</v>
      </c>
      <c r="AB207" s="5" t="s">
        <v>368</v>
      </c>
      <c r="AC207" s="5" t="b">
        <v>0</v>
      </c>
      <c r="AD207" s="5"/>
      <c r="AE207" s="5"/>
      <c r="AF207" s="5"/>
      <c r="AG207" s="5">
        <v>51</v>
      </c>
      <c r="AH207" s="5"/>
      <c r="AI207" s="5">
        <v>28</v>
      </c>
      <c r="AJ207" s="5"/>
      <c r="AK207" s="5" t="s">
        <v>996</v>
      </c>
      <c r="AL207" s="5">
        <v>2</v>
      </c>
      <c r="AM207" s="5"/>
      <c r="AN207" s="5">
        <v>10</v>
      </c>
      <c r="AO207" s="5"/>
      <c r="AP207" s="5">
        <v>0</v>
      </c>
      <c r="AQ207" s="5"/>
      <c r="AR207" s="5">
        <v>0</v>
      </c>
      <c r="AS207" s="5"/>
      <c r="AT207" s="5" t="s">
        <v>997</v>
      </c>
      <c r="AU207" s="5" t="s">
        <v>998</v>
      </c>
      <c r="AV207" s="5" t="s">
        <v>999</v>
      </c>
      <c r="AW207" s="8" t="str">
        <f>IFERROR(VLOOKUP(AA207,'Message Lookup'!D:J,7,FALSE),"")</f>
        <v>P-4 Seal Pot Pressure Alarm Hi Latched</v>
      </c>
    </row>
    <row r="208" spans="1:49" x14ac:dyDescent="0.25">
      <c r="A208" s="5" t="s">
        <v>4574</v>
      </c>
      <c r="B208" s="5" t="s">
        <v>992</v>
      </c>
      <c r="C208" s="5" t="s">
        <v>4575</v>
      </c>
      <c r="D208" s="5"/>
      <c r="E208" s="5"/>
      <c r="F208" s="5"/>
      <c r="G208" s="5"/>
      <c r="H208" s="5"/>
      <c r="I208" s="5"/>
      <c r="J208" s="5"/>
      <c r="K208" s="5" t="s">
        <v>993</v>
      </c>
      <c r="L208" s="5" t="s">
        <v>994</v>
      </c>
      <c r="M208" s="5" t="s">
        <v>4576</v>
      </c>
      <c r="N208" s="5">
        <v>41</v>
      </c>
      <c r="O208" s="5"/>
      <c r="P208" s="5" t="s">
        <v>995</v>
      </c>
      <c r="Q208" s="5">
        <v>36</v>
      </c>
      <c r="R208" s="5">
        <v>24</v>
      </c>
      <c r="S208" s="5">
        <v>11</v>
      </c>
      <c r="T208" s="5">
        <v>0</v>
      </c>
      <c r="U208" s="5" t="b">
        <v>0</v>
      </c>
      <c r="V208" s="5">
        <v>20</v>
      </c>
      <c r="W208" s="5">
        <v>0.13</v>
      </c>
      <c r="X208" s="5" t="s">
        <v>9</v>
      </c>
      <c r="Y208" s="5">
        <v>9</v>
      </c>
      <c r="Z208" s="5"/>
      <c r="AA208" s="5" t="s">
        <v>180</v>
      </c>
      <c r="AB208" s="5" t="s">
        <v>369</v>
      </c>
      <c r="AC208" s="5" t="b">
        <v>0</v>
      </c>
      <c r="AD208" s="5"/>
      <c r="AE208" s="5"/>
      <c r="AF208" s="5"/>
      <c r="AG208" s="5">
        <v>51</v>
      </c>
      <c r="AH208" s="5"/>
      <c r="AI208" s="5">
        <v>28</v>
      </c>
      <c r="AJ208" s="5"/>
      <c r="AK208" s="5" t="s">
        <v>996</v>
      </c>
      <c r="AL208" s="5">
        <v>2</v>
      </c>
      <c r="AM208" s="5"/>
      <c r="AN208" s="5">
        <v>10</v>
      </c>
      <c r="AO208" s="5"/>
      <c r="AP208" s="5">
        <v>0</v>
      </c>
      <c r="AQ208" s="5"/>
      <c r="AR208" s="5">
        <v>0</v>
      </c>
      <c r="AS208" s="5"/>
      <c r="AT208" s="5" t="s">
        <v>997</v>
      </c>
      <c r="AU208" s="5" t="s">
        <v>998</v>
      </c>
      <c r="AV208" s="5" t="s">
        <v>999</v>
      </c>
      <c r="AW208" s="8" t="str">
        <f>IFERROR(VLOOKUP(AA208,'Message Lookup'!D:J,7,FALSE),"")</f>
        <v>P-4 Seal Pot Pressure Alarm Lo Condition</v>
      </c>
    </row>
    <row r="209" spans="1:49" x14ac:dyDescent="0.25">
      <c r="A209" s="5" t="s">
        <v>4574</v>
      </c>
      <c r="B209" s="5" t="s">
        <v>992</v>
      </c>
      <c r="C209" s="5" t="s">
        <v>4575</v>
      </c>
      <c r="D209" s="5"/>
      <c r="E209" s="5"/>
      <c r="F209" s="5"/>
      <c r="G209" s="5"/>
      <c r="H209" s="5"/>
      <c r="I209" s="5"/>
      <c r="J209" s="5"/>
      <c r="K209" s="5" t="s">
        <v>993</v>
      </c>
      <c r="L209" s="5" t="s">
        <v>994</v>
      </c>
      <c r="M209" s="5" t="s">
        <v>4576</v>
      </c>
      <c r="N209" s="5">
        <v>41</v>
      </c>
      <c r="O209" s="5"/>
      <c r="P209" s="5" t="s">
        <v>995</v>
      </c>
      <c r="Q209" s="5">
        <v>36</v>
      </c>
      <c r="R209" s="5">
        <v>24</v>
      </c>
      <c r="S209" s="5">
        <v>11</v>
      </c>
      <c r="T209" s="5">
        <v>0</v>
      </c>
      <c r="U209" s="5" t="b">
        <v>0</v>
      </c>
      <c r="V209" s="5">
        <v>20</v>
      </c>
      <c r="W209" s="5">
        <v>0.13</v>
      </c>
      <c r="X209" s="5" t="s">
        <v>9</v>
      </c>
      <c r="Y209" s="5">
        <v>9</v>
      </c>
      <c r="Z209" s="5"/>
      <c r="AA209" s="5" t="s">
        <v>181</v>
      </c>
      <c r="AB209" s="5" t="s">
        <v>370</v>
      </c>
      <c r="AC209" s="5" t="b">
        <v>0</v>
      </c>
      <c r="AD209" s="5"/>
      <c r="AE209" s="5"/>
      <c r="AF209" s="5"/>
      <c r="AG209" s="5">
        <v>51</v>
      </c>
      <c r="AH209" s="5"/>
      <c r="AI209" s="5">
        <v>28</v>
      </c>
      <c r="AJ209" s="5"/>
      <c r="AK209" s="5" t="s">
        <v>996</v>
      </c>
      <c r="AL209" s="5">
        <v>2</v>
      </c>
      <c r="AM209" s="5"/>
      <c r="AN209" s="5">
        <v>10</v>
      </c>
      <c r="AO209" s="5"/>
      <c r="AP209" s="5">
        <v>0</v>
      </c>
      <c r="AQ209" s="5"/>
      <c r="AR209" s="5">
        <v>0</v>
      </c>
      <c r="AS209" s="5"/>
      <c r="AT209" s="5" t="s">
        <v>997</v>
      </c>
      <c r="AU209" s="5" t="s">
        <v>998</v>
      </c>
      <c r="AV209" s="5" t="s">
        <v>999</v>
      </c>
      <c r="AW209" s="8" t="str">
        <f>IFERROR(VLOOKUP(AA209,'Message Lookup'!D:J,7,FALSE),"")</f>
        <v>P-4 Seal Pot Pressure Alarm LoLo Latched</v>
      </c>
    </row>
    <row r="210" spans="1:49" x14ac:dyDescent="0.25">
      <c r="A210" s="5" t="s">
        <v>4574</v>
      </c>
      <c r="B210" s="5" t="s">
        <v>992</v>
      </c>
      <c r="C210" s="5" t="s">
        <v>4575</v>
      </c>
      <c r="D210" s="5"/>
      <c r="E210" s="5"/>
      <c r="F210" s="5"/>
      <c r="G210" s="5"/>
      <c r="H210" s="5"/>
      <c r="I210" s="5"/>
      <c r="J210" s="5"/>
      <c r="K210" s="5" t="s">
        <v>993</v>
      </c>
      <c r="L210" s="5" t="s">
        <v>994</v>
      </c>
      <c r="M210" s="5" t="s">
        <v>4576</v>
      </c>
      <c r="N210" s="5">
        <v>41</v>
      </c>
      <c r="O210" s="5"/>
      <c r="P210" s="5" t="s">
        <v>995</v>
      </c>
      <c r="Q210" s="5">
        <v>36</v>
      </c>
      <c r="R210" s="5">
        <v>24</v>
      </c>
      <c r="S210" s="5">
        <v>11</v>
      </c>
      <c r="T210" s="5">
        <v>0</v>
      </c>
      <c r="U210" s="5" t="b">
        <v>0</v>
      </c>
      <c r="V210" s="5">
        <v>20</v>
      </c>
      <c r="W210" s="5">
        <v>0.13</v>
      </c>
      <c r="X210" s="5" t="s">
        <v>9</v>
      </c>
      <c r="Y210" s="5">
        <v>9</v>
      </c>
      <c r="Z210" s="5"/>
      <c r="AA210" s="5"/>
      <c r="AB210" s="5"/>
      <c r="AC210" s="5"/>
      <c r="AD210" s="5"/>
      <c r="AE210" s="5" t="s">
        <v>1000</v>
      </c>
      <c r="AF210" s="5" t="b">
        <v>0</v>
      </c>
      <c r="AG210" s="5">
        <v>51</v>
      </c>
      <c r="AH210" s="5"/>
      <c r="AI210" s="5">
        <v>28</v>
      </c>
      <c r="AJ210" s="5"/>
      <c r="AK210" s="5" t="s">
        <v>996</v>
      </c>
      <c r="AL210" s="5">
        <v>2</v>
      </c>
      <c r="AM210" s="5"/>
      <c r="AN210" s="5">
        <v>10</v>
      </c>
      <c r="AO210" s="5"/>
      <c r="AP210" s="5">
        <v>0</v>
      </c>
      <c r="AQ210" s="5"/>
      <c r="AR210" s="5">
        <v>0</v>
      </c>
      <c r="AS210" s="5"/>
      <c r="AT210" s="5" t="s">
        <v>997</v>
      </c>
      <c r="AU210" s="5" t="s">
        <v>998</v>
      </c>
      <c r="AV210" s="5" t="s">
        <v>999</v>
      </c>
      <c r="AW210" s="8" t="str">
        <f>IFERROR(VLOOKUP(AA210,'Message Lookup'!D:J,7,FALSE),"")</f>
        <v/>
      </c>
    </row>
    <row r="211" spans="1:49" x14ac:dyDescent="0.25">
      <c r="A211" s="5" t="s">
        <v>4574</v>
      </c>
      <c r="B211" s="5" t="s">
        <v>992</v>
      </c>
      <c r="C211" s="5" t="s">
        <v>4575</v>
      </c>
      <c r="D211" s="5"/>
      <c r="E211" s="5"/>
      <c r="F211" s="5"/>
      <c r="G211" s="5"/>
      <c r="H211" s="5"/>
      <c r="I211" s="5"/>
      <c r="J211" s="5"/>
      <c r="K211" s="5" t="s">
        <v>993</v>
      </c>
      <c r="L211" s="5" t="s">
        <v>994</v>
      </c>
      <c r="M211" s="5" t="s">
        <v>4576</v>
      </c>
      <c r="N211" s="5">
        <v>41</v>
      </c>
      <c r="O211" s="5"/>
      <c r="P211" s="5" t="s">
        <v>995</v>
      </c>
      <c r="Q211" s="5">
        <v>36</v>
      </c>
      <c r="R211" s="5">
        <v>24</v>
      </c>
      <c r="S211" s="5">
        <v>11</v>
      </c>
      <c r="T211" s="5">
        <v>0</v>
      </c>
      <c r="U211" s="5" t="b">
        <v>0</v>
      </c>
      <c r="V211" s="5">
        <v>20</v>
      </c>
      <c r="W211" s="5">
        <v>0.13</v>
      </c>
      <c r="X211" s="5" t="s">
        <v>9</v>
      </c>
      <c r="Y211" s="5">
        <v>9</v>
      </c>
      <c r="Z211" s="5"/>
      <c r="AA211" s="5"/>
      <c r="AB211" s="5"/>
      <c r="AC211" s="5"/>
      <c r="AD211" s="5" t="s">
        <v>1012</v>
      </c>
      <c r="AE211" s="5" t="s">
        <v>1002</v>
      </c>
      <c r="AF211" s="5" t="b">
        <v>0</v>
      </c>
      <c r="AG211" s="5">
        <v>51</v>
      </c>
      <c r="AH211" s="5"/>
      <c r="AI211" s="5">
        <v>28</v>
      </c>
      <c r="AJ211" s="5"/>
      <c r="AK211" s="5" t="s">
        <v>996</v>
      </c>
      <c r="AL211" s="5">
        <v>2</v>
      </c>
      <c r="AM211" s="5"/>
      <c r="AN211" s="5">
        <v>10</v>
      </c>
      <c r="AO211" s="5"/>
      <c r="AP211" s="5">
        <v>0</v>
      </c>
      <c r="AQ211" s="5"/>
      <c r="AR211" s="5">
        <v>0</v>
      </c>
      <c r="AS211" s="5"/>
      <c r="AT211" s="5" t="s">
        <v>997</v>
      </c>
      <c r="AU211" s="5" t="s">
        <v>998</v>
      </c>
      <c r="AV211" s="5" t="s">
        <v>999</v>
      </c>
      <c r="AW211" s="8" t="str">
        <f>IFERROR(VLOOKUP(AA211,'Message Lookup'!D:J,7,FALSE),"")</f>
        <v/>
      </c>
    </row>
    <row r="212" spans="1:49" x14ac:dyDescent="0.25">
      <c r="A212" s="5" t="s">
        <v>4574</v>
      </c>
      <c r="B212" s="5" t="s">
        <v>992</v>
      </c>
      <c r="C212" s="5" t="s">
        <v>4575</v>
      </c>
      <c r="D212" s="5"/>
      <c r="E212" s="5"/>
      <c r="F212" s="5"/>
      <c r="G212" s="5"/>
      <c r="H212" s="5"/>
      <c r="I212" s="5"/>
      <c r="J212" s="5"/>
      <c r="K212" s="5" t="s">
        <v>993</v>
      </c>
      <c r="L212" s="5" t="s">
        <v>994</v>
      </c>
      <c r="M212" s="5" t="s">
        <v>4576</v>
      </c>
      <c r="N212" s="5">
        <v>41</v>
      </c>
      <c r="O212" s="5"/>
      <c r="P212" s="5" t="s">
        <v>995</v>
      </c>
      <c r="Q212" s="5">
        <v>36</v>
      </c>
      <c r="R212" s="5">
        <v>24</v>
      </c>
      <c r="S212" s="5">
        <v>12</v>
      </c>
      <c r="T212" s="5">
        <v>0</v>
      </c>
      <c r="U212" s="5" t="b">
        <v>0</v>
      </c>
      <c r="V212" s="5">
        <v>20</v>
      </c>
      <c r="W212" s="5">
        <v>0.14000000000000001</v>
      </c>
      <c r="X212" s="5" t="s">
        <v>9</v>
      </c>
      <c r="Y212" s="5">
        <v>9</v>
      </c>
      <c r="Z212" s="5"/>
      <c r="AA212" s="5"/>
      <c r="AB212" s="5" t="s">
        <v>354</v>
      </c>
      <c r="AC212" s="5" t="b">
        <v>0</v>
      </c>
      <c r="AD212" s="5"/>
      <c r="AE212" s="5"/>
      <c r="AF212" s="5"/>
      <c r="AG212" s="5">
        <v>51</v>
      </c>
      <c r="AH212" s="5">
        <v>51</v>
      </c>
      <c r="AI212" s="5">
        <v>49</v>
      </c>
      <c r="AJ212" s="5">
        <v>49</v>
      </c>
      <c r="AK212" s="5" t="s">
        <v>996</v>
      </c>
      <c r="AL212" s="5">
        <v>2</v>
      </c>
      <c r="AM212" s="5"/>
      <c r="AN212" s="5">
        <v>10</v>
      </c>
      <c r="AO212" s="5"/>
      <c r="AP212" s="5">
        <v>0</v>
      </c>
      <c r="AQ212" s="5"/>
      <c r="AR212" s="5">
        <v>0</v>
      </c>
      <c r="AS212" s="5"/>
      <c r="AT212" s="5" t="s">
        <v>997</v>
      </c>
      <c r="AU212" s="5" t="s">
        <v>998</v>
      </c>
      <c r="AV212" s="5" t="s">
        <v>999</v>
      </c>
      <c r="AW212" s="8" t="str">
        <f>IFERROR(VLOOKUP(AA212,'Message Lookup'!D:J,7,FALSE),"")</f>
        <v/>
      </c>
    </row>
    <row r="213" spans="1:49" x14ac:dyDescent="0.25">
      <c r="A213" s="5" t="s">
        <v>4574</v>
      </c>
      <c r="B213" s="5" t="s">
        <v>992</v>
      </c>
      <c r="C213" s="5" t="s">
        <v>4575</v>
      </c>
      <c r="D213" s="5"/>
      <c r="E213" s="5"/>
      <c r="F213" s="5"/>
      <c r="G213" s="5"/>
      <c r="H213" s="5"/>
      <c r="I213" s="5"/>
      <c r="J213" s="5"/>
      <c r="K213" s="5" t="s">
        <v>993</v>
      </c>
      <c r="L213" s="5" t="s">
        <v>994</v>
      </c>
      <c r="M213" s="5" t="s">
        <v>4576</v>
      </c>
      <c r="N213" s="5">
        <v>41</v>
      </c>
      <c r="O213" s="5"/>
      <c r="P213" s="5" t="s">
        <v>995</v>
      </c>
      <c r="Q213" s="5">
        <v>36</v>
      </c>
      <c r="R213" s="5">
        <v>24</v>
      </c>
      <c r="S213" s="5">
        <v>12</v>
      </c>
      <c r="T213" s="5">
        <v>0</v>
      </c>
      <c r="U213" s="5" t="b">
        <v>0</v>
      </c>
      <c r="V213" s="5">
        <v>20</v>
      </c>
      <c r="W213" s="5">
        <v>0.14000000000000001</v>
      </c>
      <c r="X213" s="5" t="s">
        <v>9</v>
      </c>
      <c r="Y213" s="5">
        <v>9</v>
      </c>
      <c r="Z213" s="5"/>
      <c r="AA213" s="5" t="s">
        <v>182</v>
      </c>
      <c r="AB213" s="5" t="s">
        <v>355</v>
      </c>
      <c r="AC213" s="5" t="b">
        <v>0</v>
      </c>
      <c r="AD213" s="5"/>
      <c r="AE213" s="5"/>
      <c r="AF213" s="5"/>
      <c r="AG213" s="5">
        <v>51</v>
      </c>
      <c r="AH213" s="5"/>
      <c r="AI213" s="5">
        <v>49</v>
      </c>
      <c r="AJ213" s="5"/>
      <c r="AK213" s="5" t="s">
        <v>996</v>
      </c>
      <c r="AL213" s="5">
        <v>2</v>
      </c>
      <c r="AM213" s="5"/>
      <c r="AN213" s="5">
        <v>10</v>
      </c>
      <c r="AO213" s="5"/>
      <c r="AP213" s="5">
        <v>0</v>
      </c>
      <c r="AQ213" s="5"/>
      <c r="AR213" s="5">
        <v>0</v>
      </c>
      <c r="AS213" s="5"/>
      <c r="AT213" s="5" t="s">
        <v>997</v>
      </c>
      <c r="AU213" s="5" t="s">
        <v>998</v>
      </c>
      <c r="AV213" s="5" t="s">
        <v>999</v>
      </c>
      <c r="AW213" s="8" t="str">
        <f>IFERROR(VLOOKUP(AA213,'Message Lookup'!D:J,7,FALSE),"")</f>
        <v>P-4 Seal Pot Pressure Alarm Malfunction Latched</v>
      </c>
    </row>
    <row r="214" spans="1:49" x14ac:dyDescent="0.25">
      <c r="A214" s="5" t="s">
        <v>4574</v>
      </c>
      <c r="B214" s="5" t="s">
        <v>992</v>
      </c>
      <c r="C214" s="5" t="s">
        <v>4575</v>
      </c>
      <c r="D214" s="5"/>
      <c r="E214" s="5"/>
      <c r="F214" s="5"/>
      <c r="G214" s="5"/>
      <c r="H214" s="5"/>
      <c r="I214" s="5"/>
      <c r="J214" s="5"/>
      <c r="K214" s="5" t="s">
        <v>993</v>
      </c>
      <c r="L214" s="5" t="s">
        <v>994</v>
      </c>
      <c r="M214" s="5" t="s">
        <v>4576</v>
      </c>
      <c r="N214" s="5">
        <v>41</v>
      </c>
      <c r="O214" s="5"/>
      <c r="P214" s="5" t="s">
        <v>995</v>
      </c>
      <c r="Q214" s="5">
        <v>36</v>
      </c>
      <c r="R214" s="5">
        <v>24</v>
      </c>
      <c r="S214" s="5">
        <v>12</v>
      </c>
      <c r="T214" s="5">
        <v>0</v>
      </c>
      <c r="U214" s="5" t="b">
        <v>0</v>
      </c>
      <c r="V214" s="5">
        <v>20</v>
      </c>
      <c r="W214" s="5">
        <v>0.14000000000000001</v>
      </c>
      <c r="X214" s="5" t="s">
        <v>9</v>
      </c>
      <c r="Y214" s="5">
        <v>9</v>
      </c>
      <c r="Z214" s="5"/>
      <c r="AA214" s="5" t="s">
        <v>183</v>
      </c>
      <c r="AB214" s="5" t="s">
        <v>356</v>
      </c>
      <c r="AC214" s="5" t="b">
        <v>0</v>
      </c>
      <c r="AD214" s="5"/>
      <c r="AE214" s="5"/>
      <c r="AF214" s="5"/>
      <c r="AG214" s="5">
        <v>51</v>
      </c>
      <c r="AH214" s="5"/>
      <c r="AI214" s="5">
        <v>49</v>
      </c>
      <c r="AJ214" s="5"/>
      <c r="AK214" s="5" t="s">
        <v>996</v>
      </c>
      <c r="AL214" s="5">
        <v>2</v>
      </c>
      <c r="AM214" s="5"/>
      <c r="AN214" s="5">
        <v>10</v>
      </c>
      <c r="AO214" s="5"/>
      <c r="AP214" s="5">
        <v>0</v>
      </c>
      <c r="AQ214" s="5"/>
      <c r="AR214" s="5">
        <v>0</v>
      </c>
      <c r="AS214" s="5"/>
      <c r="AT214" s="5" t="s">
        <v>997</v>
      </c>
      <c r="AU214" s="5" t="s">
        <v>998</v>
      </c>
      <c r="AV214" s="5" t="s">
        <v>999</v>
      </c>
      <c r="AW214" s="8" t="str">
        <f>IFERROR(VLOOKUP(AA214,'Message Lookup'!D:J,7,FALSE),"")</f>
        <v>MSO Meter Rum Temp Alarm HiHi Latched</v>
      </c>
    </row>
    <row r="215" spans="1:49" x14ac:dyDescent="0.25">
      <c r="A215" s="5" t="s">
        <v>4574</v>
      </c>
      <c r="B215" s="5" t="s">
        <v>992</v>
      </c>
      <c r="C215" s="5" t="s">
        <v>4575</v>
      </c>
      <c r="D215" s="5"/>
      <c r="E215" s="5"/>
      <c r="F215" s="5"/>
      <c r="G215" s="5"/>
      <c r="H215" s="5"/>
      <c r="I215" s="5"/>
      <c r="J215" s="5"/>
      <c r="K215" s="5" t="s">
        <v>993</v>
      </c>
      <c r="L215" s="5" t="s">
        <v>994</v>
      </c>
      <c r="M215" s="5" t="s">
        <v>4576</v>
      </c>
      <c r="N215" s="5">
        <v>41</v>
      </c>
      <c r="O215" s="5"/>
      <c r="P215" s="5" t="s">
        <v>995</v>
      </c>
      <c r="Q215" s="5">
        <v>36</v>
      </c>
      <c r="R215" s="5">
        <v>24</v>
      </c>
      <c r="S215" s="5">
        <v>12</v>
      </c>
      <c r="T215" s="5">
        <v>0</v>
      </c>
      <c r="U215" s="5" t="b">
        <v>0</v>
      </c>
      <c r="V215" s="5">
        <v>20</v>
      </c>
      <c r="W215" s="5">
        <v>0.14000000000000001</v>
      </c>
      <c r="X215" s="5" t="s">
        <v>9</v>
      </c>
      <c r="Y215" s="5">
        <v>9</v>
      </c>
      <c r="Z215" s="5"/>
      <c r="AA215" s="5" t="s">
        <v>184</v>
      </c>
      <c r="AB215" s="5" t="s">
        <v>357</v>
      </c>
      <c r="AC215" s="5" t="b">
        <v>0</v>
      </c>
      <c r="AD215" s="5"/>
      <c r="AE215" s="5"/>
      <c r="AF215" s="5"/>
      <c r="AG215" s="5">
        <v>51</v>
      </c>
      <c r="AH215" s="5"/>
      <c r="AI215" s="5">
        <v>49</v>
      </c>
      <c r="AJ215" s="5"/>
      <c r="AK215" s="5" t="s">
        <v>996</v>
      </c>
      <c r="AL215" s="5">
        <v>2</v>
      </c>
      <c r="AM215" s="5"/>
      <c r="AN215" s="5">
        <v>10</v>
      </c>
      <c r="AO215" s="5"/>
      <c r="AP215" s="5">
        <v>0</v>
      </c>
      <c r="AQ215" s="5"/>
      <c r="AR215" s="5">
        <v>0</v>
      </c>
      <c r="AS215" s="5"/>
      <c r="AT215" s="5" t="s">
        <v>997</v>
      </c>
      <c r="AU215" s="5" t="s">
        <v>998</v>
      </c>
      <c r="AV215" s="5" t="s">
        <v>999</v>
      </c>
      <c r="AW215" s="8" t="str">
        <f>IFERROR(VLOOKUP(AA215,'Message Lookup'!D:J,7,FALSE),"")</f>
        <v>MSO Meter Rum Temp Alarm Hi Latched</v>
      </c>
    </row>
    <row r="216" spans="1:49" x14ac:dyDescent="0.25">
      <c r="A216" s="5" t="s">
        <v>4574</v>
      </c>
      <c r="B216" s="5" t="s">
        <v>992</v>
      </c>
      <c r="C216" s="5" t="s">
        <v>4575</v>
      </c>
      <c r="D216" s="5"/>
      <c r="E216" s="5"/>
      <c r="F216" s="5"/>
      <c r="G216" s="5"/>
      <c r="H216" s="5"/>
      <c r="I216" s="5"/>
      <c r="J216" s="5"/>
      <c r="K216" s="5" t="s">
        <v>993</v>
      </c>
      <c r="L216" s="5" t="s">
        <v>994</v>
      </c>
      <c r="M216" s="5" t="s">
        <v>4576</v>
      </c>
      <c r="N216" s="5">
        <v>41</v>
      </c>
      <c r="O216" s="5"/>
      <c r="P216" s="5" t="s">
        <v>995</v>
      </c>
      <c r="Q216" s="5">
        <v>36</v>
      </c>
      <c r="R216" s="5">
        <v>24</v>
      </c>
      <c r="S216" s="5">
        <v>12</v>
      </c>
      <c r="T216" s="5">
        <v>0</v>
      </c>
      <c r="U216" s="5" t="b">
        <v>0</v>
      </c>
      <c r="V216" s="5">
        <v>20</v>
      </c>
      <c r="W216" s="5">
        <v>0.14000000000000001</v>
      </c>
      <c r="X216" s="5" t="s">
        <v>9</v>
      </c>
      <c r="Y216" s="5">
        <v>9</v>
      </c>
      <c r="Z216" s="5"/>
      <c r="AA216" s="5" t="s">
        <v>185</v>
      </c>
      <c r="AB216" s="5" t="s">
        <v>358</v>
      </c>
      <c r="AC216" s="5" t="b">
        <v>0</v>
      </c>
      <c r="AD216" s="5"/>
      <c r="AE216" s="5"/>
      <c r="AF216" s="5"/>
      <c r="AG216" s="5">
        <v>51</v>
      </c>
      <c r="AH216" s="5"/>
      <c r="AI216" s="5">
        <v>49</v>
      </c>
      <c r="AJ216" s="5"/>
      <c r="AK216" s="5" t="s">
        <v>996</v>
      </c>
      <c r="AL216" s="5">
        <v>2</v>
      </c>
      <c r="AM216" s="5"/>
      <c r="AN216" s="5">
        <v>10</v>
      </c>
      <c r="AO216" s="5"/>
      <c r="AP216" s="5">
        <v>0</v>
      </c>
      <c r="AQ216" s="5"/>
      <c r="AR216" s="5">
        <v>0</v>
      </c>
      <c r="AS216" s="5"/>
      <c r="AT216" s="5" t="s">
        <v>997</v>
      </c>
      <c r="AU216" s="5" t="s">
        <v>998</v>
      </c>
      <c r="AV216" s="5" t="s">
        <v>999</v>
      </c>
      <c r="AW216" s="8" t="str">
        <f>IFERROR(VLOOKUP(AA216,'Message Lookup'!D:J,7,FALSE),"")</f>
        <v>MSO Meter Rum Temp Alarm Lo Condition</v>
      </c>
    </row>
    <row r="217" spans="1:49" x14ac:dyDescent="0.25">
      <c r="A217" s="5" t="s">
        <v>4574</v>
      </c>
      <c r="B217" s="5" t="s">
        <v>992</v>
      </c>
      <c r="C217" s="5" t="s">
        <v>4575</v>
      </c>
      <c r="D217" s="5"/>
      <c r="E217" s="5"/>
      <c r="F217" s="5"/>
      <c r="G217" s="5"/>
      <c r="H217" s="5"/>
      <c r="I217" s="5"/>
      <c r="J217" s="5"/>
      <c r="K217" s="5" t="s">
        <v>993</v>
      </c>
      <c r="L217" s="5" t="s">
        <v>994</v>
      </c>
      <c r="M217" s="5" t="s">
        <v>4576</v>
      </c>
      <c r="N217" s="5">
        <v>41</v>
      </c>
      <c r="O217" s="5"/>
      <c r="P217" s="5" t="s">
        <v>995</v>
      </c>
      <c r="Q217" s="5">
        <v>36</v>
      </c>
      <c r="R217" s="5">
        <v>24</v>
      </c>
      <c r="S217" s="5">
        <v>12</v>
      </c>
      <c r="T217" s="5">
        <v>0</v>
      </c>
      <c r="U217" s="5" t="b">
        <v>0</v>
      </c>
      <c r="V217" s="5">
        <v>20</v>
      </c>
      <c r="W217" s="5">
        <v>0.14000000000000001</v>
      </c>
      <c r="X217" s="5" t="s">
        <v>9</v>
      </c>
      <c r="Y217" s="5">
        <v>9</v>
      </c>
      <c r="Z217" s="5"/>
      <c r="AA217" s="5" t="s">
        <v>186</v>
      </c>
      <c r="AB217" s="5" t="s">
        <v>359</v>
      </c>
      <c r="AC217" s="5" t="b">
        <v>0</v>
      </c>
      <c r="AD217" s="5"/>
      <c r="AE217" s="5"/>
      <c r="AF217" s="5"/>
      <c r="AG217" s="5">
        <v>51</v>
      </c>
      <c r="AH217" s="5"/>
      <c r="AI217" s="5">
        <v>49</v>
      </c>
      <c r="AJ217" s="5"/>
      <c r="AK217" s="5" t="s">
        <v>996</v>
      </c>
      <c r="AL217" s="5">
        <v>2</v>
      </c>
      <c r="AM217" s="5"/>
      <c r="AN217" s="5">
        <v>10</v>
      </c>
      <c r="AO217" s="5"/>
      <c r="AP217" s="5">
        <v>0</v>
      </c>
      <c r="AQ217" s="5"/>
      <c r="AR217" s="5">
        <v>0</v>
      </c>
      <c r="AS217" s="5"/>
      <c r="AT217" s="5" t="s">
        <v>997</v>
      </c>
      <c r="AU217" s="5" t="s">
        <v>998</v>
      </c>
      <c r="AV217" s="5" t="s">
        <v>999</v>
      </c>
      <c r="AW217" s="8" t="str">
        <f>IFERROR(VLOOKUP(AA217,'Message Lookup'!D:J,7,FALSE),"")</f>
        <v>MSO Meter Rum Temp Alarm LoLo Latched</v>
      </c>
    </row>
    <row r="218" spans="1:49" x14ac:dyDescent="0.25">
      <c r="A218" s="5" t="s">
        <v>4574</v>
      </c>
      <c r="B218" s="5" t="s">
        <v>992</v>
      </c>
      <c r="C218" s="5" t="s">
        <v>4575</v>
      </c>
      <c r="D218" s="5"/>
      <c r="E218" s="5"/>
      <c r="F218" s="5"/>
      <c r="G218" s="5"/>
      <c r="H218" s="5"/>
      <c r="I218" s="5"/>
      <c r="J218" s="5"/>
      <c r="K218" s="5" t="s">
        <v>993</v>
      </c>
      <c r="L218" s="5" t="s">
        <v>994</v>
      </c>
      <c r="M218" s="5" t="s">
        <v>4576</v>
      </c>
      <c r="N218" s="5">
        <v>41</v>
      </c>
      <c r="O218" s="5"/>
      <c r="P218" s="5" t="s">
        <v>995</v>
      </c>
      <c r="Q218" s="5">
        <v>36</v>
      </c>
      <c r="R218" s="5">
        <v>24</v>
      </c>
      <c r="S218" s="5">
        <v>12</v>
      </c>
      <c r="T218" s="5">
        <v>0</v>
      </c>
      <c r="U218" s="5" t="b">
        <v>0</v>
      </c>
      <c r="V218" s="5">
        <v>20</v>
      </c>
      <c r="W218" s="5">
        <v>0.14000000000000001</v>
      </c>
      <c r="X218" s="5" t="s">
        <v>9</v>
      </c>
      <c r="Y218" s="5">
        <v>9</v>
      </c>
      <c r="Z218" s="5"/>
      <c r="AA218" s="5" t="s">
        <v>187</v>
      </c>
      <c r="AB218" s="5" t="s">
        <v>360</v>
      </c>
      <c r="AC218" s="5" t="b">
        <v>0</v>
      </c>
      <c r="AD218" s="5"/>
      <c r="AE218" s="5"/>
      <c r="AF218" s="5"/>
      <c r="AG218" s="5">
        <v>51</v>
      </c>
      <c r="AH218" s="5"/>
      <c r="AI218" s="5">
        <v>49</v>
      </c>
      <c r="AJ218" s="5"/>
      <c r="AK218" s="5" t="s">
        <v>996</v>
      </c>
      <c r="AL218" s="5">
        <v>2</v>
      </c>
      <c r="AM218" s="5"/>
      <c r="AN218" s="5">
        <v>10</v>
      </c>
      <c r="AO218" s="5"/>
      <c r="AP218" s="5">
        <v>0</v>
      </c>
      <c r="AQ218" s="5"/>
      <c r="AR218" s="5">
        <v>0</v>
      </c>
      <c r="AS218" s="5"/>
      <c r="AT218" s="5" t="s">
        <v>997</v>
      </c>
      <c r="AU218" s="5" t="s">
        <v>998</v>
      </c>
      <c r="AV218" s="5" t="s">
        <v>999</v>
      </c>
      <c r="AW218" s="8" t="str">
        <f>IFERROR(VLOOKUP(AA218,'Message Lookup'!D:J,7,FALSE),"")</f>
        <v>MSO Meter Rum Temp Alarm Malfunction Latched</v>
      </c>
    </row>
    <row r="219" spans="1:49" x14ac:dyDescent="0.25">
      <c r="A219" s="5" t="s">
        <v>4574</v>
      </c>
      <c r="B219" s="5" t="s">
        <v>992</v>
      </c>
      <c r="C219" s="5" t="s">
        <v>4575</v>
      </c>
      <c r="D219" s="5"/>
      <c r="E219" s="5"/>
      <c r="F219" s="5"/>
      <c r="G219" s="5"/>
      <c r="H219" s="5"/>
      <c r="I219" s="5"/>
      <c r="J219" s="5"/>
      <c r="K219" s="5" t="s">
        <v>993</v>
      </c>
      <c r="L219" s="5" t="s">
        <v>994</v>
      </c>
      <c r="M219" s="5" t="s">
        <v>4576</v>
      </c>
      <c r="N219" s="5">
        <v>41</v>
      </c>
      <c r="O219" s="5"/>
      <c r="P219" s="5" t="s">
        <v>995</v>
      </c>
      <c r="Q219" s="5">
        <v>36</v>
      </c>
      <c r="R219" s="5">
        <v>24</v>
      </c>
      <c r="S219" s="5">
        <v>12</v>
      </c>
      <c r="T219" s="5">
        <v>0</v>
      </c>
      <c r="U219" s="5" t="b">
        <v>0</v>
      </c>
      <c r="V219" s="5">
        <v>20</v>
      </c>
      <c r="W219" s="5">
        <v>0.14000000000000001</v>
      </c>
      <c r="X219" s="5" t="s">
        <v>9</v>
      </c>
      <c r="Y219" s="5">
        <v>9</v>
      </c>
      <c r="Z219" s="5"/>
      <c r="AA219" s="5" t="s">
        <v>188</v>
      </c>
      <c r="AB219" s="5" t="s">
        <v>361</v>
      </c>
      <c r="AC219" s="5" t="b">
        <v>0</v>
      </c>
      <c r="AD219" s="5"/>
      <c r="AE219" s="5"/>
      <c r="AF219" s="5"/>
      <c r="AG219" s="5">
        <v>51</v>
      </c>
      <c r="AH219" s="5"/>
      <c r="AI219" s="5">
        <v>49</v>
      </c>
      <c r="AJ219" s="5"/>
      <c r="AK219" s="5" t="s">
        <v>996</v>
      </c>
      <c r="AL219" s="5">
        <v>2</v>
      </c>
      <c r="AM219" s="5"/>
      <c r="AN219" s="5">
        <v>10</v>
      </c>
      <c r="AO219" s="5"/>
      <c r="AP219" s="5">
        <v>0</v>
      </c>
      <c r="AQ219" s="5"/>
      <c r="AR219" s="5">
        <v>0</v>
      </c>
      <c r="AS219" s="5"/>
      <c r="AT219" s="5" t="s">
        <v>997</v>
      </c>
      <c r="AU219" s="5" t="s">
        <v>998</v>
      </c>
      <c r="AV219" s="5" t="s">
        <v>999</v>
      </c>
      <c r="AW219" s="8" t="str">
        <f>IFERROR(VLOOKUP(AA219,'Message Lookup'!D:J,7,FALSE),"")</f>
        <v>TIT-200 MSO Meter Rum Temp Alarm HiHi Latched</v>
      </c>
    </row>
    <row r="220" spans="1:49" x14ac:dyDescent="0.25">
      <c r="A220" s="5" t="s">
        <v>4574</v>
      </c>
      <c r="B220" s="5" t="s">
        <v>992</v>
      </c>
      <c r="C220" s="5" t="s">
        <v>4575</v>
      </c>
      <c r="D220" s="5"/>
      <c r="E220" s="5"/>
      <c r="F220" s="5"/>
      <c r="G220" s="5"/>
      <c r="H220" s="5"/>
      <c r="I220" s="5"/>
      <c r="J220" s="5"/>
      <c r="K220" s="5" t="s">
        <v>993</v>
      </c>
      <c r="L220" s="5" t="s">
        <v>994</v>
      </c>
      <c r="M220" s="5" t="s">
        <v>4576</v>
      </c>
      <c r="N220" s="5">
        <v>41</v>
      </c>
      <c r="O220" s="5"/>
      <c r="P220" s="5" t="s">
        <v>995</v>
      </c>
      <c r="Q220" s="5">
        <v>36</v>
      </c>
      <c r="R220" s="5">
        <v>24</v>
      </c>
      <c r="S220" s="5">
        <v>12</v>
      </c>
      <c r="T220" s="5">
        <v>0</v>
      </c>
      <c r="U220" s="5" t="b">
        <v>0</v>
      </c>
      <c r="V220" s="5">
        <v>20</v>
      </c>
      <c r="W220" s="5">
        <v>0.14000000000000001</v>
      </c>
      <c r="X220" s="5" t="s">
        <v>9</v>
      </c>
      <c r="Y220" s="5">
        <v>9</v>
      </c>
      <c r="Z220" s="5"/>
      <c r="AA220" s="5" t="s">
        <v>189</v>
      </c>
      <c r="AB220" s="5" t="s">
        <v>362</v>
      </c>
      <c r="AC220" s="5" t="b">
        <v>0</v>
      </c>
      <c r="AD220" s="5"/>
      <c r="AE220" s="5"/>
      <c r="AF220" s="5"/>
      <c r="AG220" s="5">
        <v>51</v>
      </c>
      <c r="AH220" s="5"/>
      <c r="AI220" s="5">
        <v>49</v>
      </c>
      <c r="AJ220" s="5"/>
      <c r="AK220" s="5" t="s">
        <v>996</v>
      </c>
      <c r="AL220" s="5">
        <v>2</v>
      </c>
      <c r="AM220" s="5"/>
      <c r="AN220" s="5">
        <v>10</v>
      </c>
      <c r="AO220" s="5"/>
      <c r="AP220" s="5">
        <v>0</v>
      </c>
      <c r="AQ220" s="5"/>
      <c r="AR220" s="5">
        <v>0</v>
      </c>
      <c r="AS220" s="5"/>
      <c r="AT220" s="5" t="s">
        <v>997</v>
      </c>
      <c r="AU220" s="5" t="s">
        <v>998</v>
      </c>
      <c r="AV220" s="5" t="s">
        <v>999</v>
      </c>
      <c r="AW220" s="8" t="str">
        <f>IFERROR(VLOOKUP(AA220,'Message Lookup'!D:J,7,FALSE),"")</f>
        <v>TIT-200 MSO Meter Rum Temp Alarm Hi Latched</v>
      </c>
    </row>
    <row r="221" spans="1:49" x14ac:dyDescent="0.25">
      <c r="A221" s="5" t="s">
        <v>4574</v>
      </c>
      <c r="B221" s="5" t="s">
        <v>992</v>
      </c>
      <c r="C221" s="5" t="s">
        <v>4575</v>
      </c>
      <c r="D221" s="5"/>
      <c r="E221" s="5"/>
      <c r="F221" s="5"/>
      <c r="G221" s="5"/>
      <c r="H221" s="5"/>
      <c r="I221" s="5"/>
      <c r="J221" s="5"/>
      <c r="K221" s="5" t="s">
        <v>993</v>
      </c>
      <c r="L221" s="5" t="s">
        <v>994</v>
      </c>
      <c r="M221" s="5" t="s">
        <v>4576</v>
      </c>
      <c r="N221" s="5">
        <v>41</v>
      </c>
      <c r="O221" s="5"/>
      <c r="P221" s="5" t="s">
        <v>995</v>
      </c>
      <c r="Q221" s="5">
        <v>36</v>
      </c>
      <c r="R221" s="5">
        <v>24</v>
      </c>
      <c r="S221" s="5">
        <v>12</v>
      </c>
      <c r="T221" s="5">
        <v>0</v>
      </c>
      <c r="U221" s="5" t="b">
        <v>0</v>
      </c>
      <c r="V221" s="5">
        <v>20</v>
      </c>
      <c r="W221" s="5">
        <v>0.14000000000000001</v>
      </c>
      <c r="X221" s="5" t="s">
        <v>9</v>
      </c>
      <c r="Y221" s="5">
        <v>9</v>
      </c>
      <c r="Z221" s="5"/>
      <c r="AA221" s="5" t="s">
        <v>190</v>
      </c>
      <c r="AB221" s="5" t="s">
        <v>363</v>
      </c>
      <c r="AC221" s="5" t="b">
        <v>0</v>
      </c>
      <c r="AD221" s="5"/>
      <c r="AE221" s="5"/>
      <c r="AF221" s="5"/>
      <c r="AG221" s="5">
        <v>51</v>
      </c>
      <c r="AH221" s="5"/>
      <c r="AI221" s="5">
        <v>49</v>
      </c>
      <c r="AJ221" s="5"/>
      <c r="AK221" s="5" t="s">
        <v>996</v>
      </c>
      <c r="AL221" s="5">
        <v>2</v>
      </c>
      <c r="AM221" s="5"/>
      <c r="AN221" s="5">
        <v>10</v>
      </c>
      <c r="AO221" s="5"/>
      <c r="AP221" s="5">
        <v>0</v>
      </c>
      <c r="AQ221" s="5"/>
      <c r="AR221" s="5">
        <v>0</v>
      </c>
      <c r="AS221" s="5"/>
      <c r="AT221" s="5" t="s">
        <v>997</v>
      </c>
      <c r="AU221" s="5" t="s">
        <v>998</v>
      </c>
      <c r="AV221" s="5" t="s">
        <v>999</v>
      </c>
      <c r="AW221" s="8" t="str">
        <f>IFERROR(VLOOKUP(AA221,'Message Lookup'!D:J,7,FALSE),"")</f>
        <v>TIT-200 MSO Meter Rum Temp Alarm Lo Condition</v>
      </c>
    </row>
    <row r="222" spans="1:49" x14ac:dyDescent="0.25">
      <c r="A222" s="5" t="s">
        <v>4574</v>
      </c>
      <c r="B222" s="5" t="s">
        <v>992</v>
      </c>
      <c r="C222" s="5" t="s">
        <v>4575</v>
      </c>
      <c r="D222" s="5"/>
      <c r="E222" s="5"/>
      <c r="F222" s="5"/>
      <c r="G222" s="5"/>
      <c r="H222" s="5"/>
      <c r="I222" s="5"/>
      <c r="J222" s="5"/>
      <c r="K222" s="5" t="s">
        <v>993</v>
      </c>
      <c r="L222" s="5" t="s">
        <v>994</v>
      </c>
      <c r="M222" s="5" t="s">
        <v>4576</v>
      </c>
      <c r="N222" s="5">
        <v>41</v>
      </c>
      <c r="O222" s="5"/>
      <c r="P222" s="5" t="s">
        <v>995</v>
      </c>
      <c r="Q222" s="5">
        <v>36</v>
      </c>
      <c r="R222" s="5">
        <v>24</v>
      </c>
      <c r="S222" s="5">
        <v>12</v>
      </c>
      <c r="T222" s="5">
        <v>0</v>
      </c>
      <c r="U222" s="5" t="b">
        <v>0</v>
      </c>
      <c r="V222" s="5">
        <v>20</v>
      </c>
      <c r="W222" s="5">
        <v>0.14000000000000001</v>
      </c>
      <c r="X222" s="5" t="s">
        <v>9</v>
      </c>
      <c r="Y222" s="5">
        <v>9</v>
      </c>
      <c r="Z222" s="5"/>
      <c r="AA222" s="5" t="s">
        <v>191</v>
      </c>
      <c r="AB222" s="5" t="s">
        <v>364</v>
      </c>
      <c r="AC222" s="5" t="b">
        <v>0</v>
      </c>
      <c r="AD222" s="5"/>
      <c r="AE222" s="5"/>
      <c r="AF222" s="5"/>
      <c r="AG222" s="5">
        <v>51</v>
      </c>
      <c r="AH222" s="5"/>
      <c r="AI222" s="5">
        <v>49</v>
      </c>
      <c r="AJ222" s="5"/>
      <c r="AK222" s="5" t="s">
        <v>996</v>
      </c>
      <c r="AL222" s="5">
        <v>2</v>
      </c>
      <c r="AM222" s="5"/>
      <c r="AN222" s="5">
        <v>10</v>
      </c>
      <c r="AO222" s="5"/>
      <c r="AP222" s="5">
        <v>0</v>
      </c>
      <c r="AQ222" s="5"/>
      <c r="AR222" s="5">
        <v>0</v>
      </c>
      <c r="AS222" s="5"/>
      <c r="AT222" s="5" t="s">
        <v>997</v>
      </c>
      <c r="AU222" s="5" t="s">
        <v>998</v>
      </c>
      <c r="AV222" s="5" t="s">
        <v>999</v>
      </c>
      <c r="AW222" s="8" t="str">
        <f>IFERROR(VLOOKUP(AA222,'Message Lookup'!D:J,7,FALSE),"")</f>
        <v>TIT-200 MSO Meter Rum Temp Alarm LoLo Latched</v>
      </c>
    </row>
    <row r="223" spans="1:49" x14ac:dyDescent="0.25">
      <c r="A223" s="5" t="s">
        <v>4574</v>
      </c>
      <c r="B223" s="5" t="s">
        <v>992</v>
      </c>
      <c r="C223" s="5" t="s">
        <v>4575</v>
      </c>
      <c r="D223" s="5"/>
      <c r="E223" s="5"/>
      <c r="F223" s="5"/>
      <c r="G223" s="5"/>
      <c r="H223" s="5"/>
      <c r="I223" s="5"/>
      <c r="J223" s="5"/>
      <c r="K223" s="5" t="s">
        <v>993</v>
      </c>
      <c r="L223" s="5" t="s">
        <v>994</v>
      </c>
      <c r="M223" s="5" t="s">
        <v>4576</v>
      </c>
      <c r="N223" s="5">
        <v>41</v>
      </c>
      <c r="O223" s="5"/>
      <c r="P223" s="5" t="s">
        <v>995</v>
      </c>
      <c r="Q223" s="5">
        <v>36</v>
      </c>
      <c r="R223" s="5">
        <v>24</v>
      </c>
      <c r="S223" s="5">
        <v>12</v>
      </c>
      <c r="T223" s="5">
        <v>0</v>
      </c>
      <c r="U223" s="5" t="b">
        <v>0</v>
      </c>
      <c r="V223" s="5">
        <v>20</v>
      </c>
      <c r="W223" s="5">
        <v>0.14000000000000001</v>
      </c>
      <c r="X223" s="5" t="s">
        <v>9</v>
      </c>
      <c r="Y223" s="5">
        <v>9</v>
      </c>
      <c r="Z223" s="5"/>
      <c r="AA223" s="5" t="s">
        <v>192</v>
      </c>
      <c r="AB223" s="5" t="s">
        <v>365</v>
      </c>
      <c r="AC223" s="5" t="b">
        <v>0</v>
      </c>
      <c r="AD223" s="5"/>
      <c r="AE223" s="5"/>
      <c r="AF223" s="5"/>
      <c r="AG223" s="5">
        <v>51</v>
      </c>
      <c r="AH223" s="5"/>
      <c r="AI223" s="5">
        <v>49</v>
      </c>
      <c r="AJ223" s="5"/>
      <c r="AK223" s="5" t="s">
        <v>996</v>
      </c>
      <c r="AL223" s="5">
        <v>2</v>
      </c>
      <c r="AM223" s="5"/>
      <c r="AN223" s="5">
        <v>10</v>
      </c>
      <c r="AO223" s="5"/>
      <c r="AP223" s="5">
        <v>0</v>
      </c>
      <c r="AQ223" s="5"/>
      <c r="AR223" s="5">
        <v>0</v>
      </c>
      <c r="AS223" s="5"/>
      <c r="AT223" s="5" t="s">
        <v>997</v>
      </c>
      <c r="AU223" s="5" t="s">
        <v>998</v>
      </c>
      <c r="AV223" s="5" t="s">
        <v>999</v>
      </c>
      <c r="AW223" s="8" t="str">
        <f>IFERROR(VLOOKUP(AA223,'Message Lookup'!D:J,7,FALSE),"")</f>
        <v>TIT-200 MSO Meter Rum Temp Alarm Malfunction Latched</v>
      </c>
    </row>
    <row r="224" spans="1:49" x14ac:dyDescent="0.25">
      <c r="A224" s="5" t="s">
        <v>4574</v>
      </c>
      <c r="B224" s="5" t="s">
        <v>992</v>
      </c>
      <c r="C224" s="5" t="s">
        <v>4575</v>
      </c>
      <c r="D224" s="5"/>
      <c r="E224" s="5"/>
      <c r="F224" s="5"/>
      <c r="G224" s="5"/>
      <c r="H224" s="5"/>
      <c r="I224" s="5"/>
      <c r="J224" s="5"/>
      <c r="K224" s="5" t="s">
        <v>993</v>
      </c>
      <c r="L224" s="5" t="s">
        <v>994</v>
      </c>
      <c r="M224" s="5" t="s">
        <v>4576</v>
      </c>
      <c r="N224" s="5">
        <v>41</v>
      </c>
      <c r="O224" s="5"/>
      <c r="P224" s="5" t="s">
        <v>995</v>
      </c>
      <c r="Q224" s="5">
        <v>36</v>
      </c>
      <c r="R224" s="5">
        <v>24</v>
      </c>
      <c r="S224" s="5">
        <v>12</v>
      </c>
      <c r="T224" s="5">
        <v>0</v>
      </c>
      <c r="U224" s="5" t="b">
        <v>0</v>
      </c>
      <c r="V224" s="5">
        <v>20</v>
      </c>
      <c r="W224" s="5">
        <v>0.14000000000000001</v>
      </c>
      <c r="X224" s="5" t="s">
        <v>9</v>
      </c>
      <c r="Y224" s="5">
        <v>9</v>
      </c>
      <c r="Z224" s="5"/>
      <c r="AA224" s="5" t="s">
        <v>193</v>
      </c>
      <c r="AB224" s="5" t="s">
        <v>366</v>
      </c>
      <c r="AC224" s="5" t="b">
        <v>0</v>
      </c>
      <c r="AD224" s="5"/>
      <c r="AE224" s="5"/>
      <c r="AF224" s="5"/>
      <c r="AG224" s="5">
        <v>51</v>
      </c>
      <c r="AH224" s="5"/>
      <c r="AI224" s="5">
        <v>49</v>
      </c>
      <c r="AJ224" s="5"/>
      <c r="AK224" s="5" t="s">
        <v>996</v>
      </c>
      <c r="AL224" s="5">
        <v>2</v>
      </c>
      <c r="AM224" s="5"/>
      <c r="AN224" s="5">
        <v>10</v>
      </c>
      <c r="AO224" s="5"/>
      <c r="AP224" s="5">
        <v>0</v>
      </c>
      <c r="AQ224" s="5"/>
      <c r="AR224" s="5">
        <v>0</v>
      </c>
      <c r="AS224" s="5"/>
      <c r="AT224" s="5" t="s">
        <v>997</v>
      </c>
      <c r="AU224" s="5" t="s">
        <v>998</v>
      </c>
      <c r="AV224" s="5" t="s">
        <v>999</v>
      </c>
      <c r="AW224" s="8" t="str">
        <f>IFERROR(VLOOKUP(AA224,'Message Lookup'!D:J,7,FALSE),"")</f>
        <v>TIT-303 MSO Meter Rum Temp Alarm HiHi Latched</v>
      </c>
    </row>
    <row r="225" spans="1:49" x14ac:dyDescent="0.25">
      <c r="A225" s="5" t="s">
        <v>4574</v>
      </c>
      <c r="B225" s="5" t="s">
        <v>992</v>
      </c>
      <c r="C225" s="5" t="s">
        <v>4575</v>
      </c>
      <c r="D225" s="5"/>
      <c r="E225" s="5"/>
      <c r="F225" s="5"/>
      <c r="G225" s="5"/>
      <c r="H225" s="5"/>
      <c r="I225" s="5"/>
      <c r="J225" s="5"/>
      <c r="K225" s="5" t="s">
        <v>993</v>
      </c>
      <c r="L225" s="5" t="s">
        <v>994</v>
      </c>
      <c r="M225" s="5" t="s">
        <v>4576</v>
      </c>
      <c r="N225" s="5">
        <v>41</v>
      </c>
      <c r="O225" s="5"/>
      <c r="P225" s="5" t="s">
        <v>995</v>
      </c>
      <c r="Q225" s="5">
        <v>36</v>
      </c>
      <c r="R225" s="5">
        <v>24</v>
      </c>
      <c r="S225" s="5">
        <v>12</v>
      </c>
      <c r="T225" s="5">
        <v>0</v>
      </c>
      <c r="U225" s="5" t="b">
        <v>0</v>
      </c>
      <c r="V225" s="5">
        <v>20</v>
      </c>
      <c r="W225" s="5">
        <v>0.14000000000000001</v>
      </c>
      <c r="X225" s="5" t="s">
        <v>9</v>
      </c>
      <c r="Y225" s="5">
        <v>9</v>
      </c>
      <c r="Z225" s="5"/>
      <c r="AA225" s="5" t="s">
        <v>194</v>
      </c>
      <c r="AB225" s="5" t="s">
        <v>367</v>
      </c>
      <c r="AC225" s="5" t="b">
        <v>0</v>
      </c>
      <c r="AD225" s="5"/>
      <c r="AE225" s="5"/>
      <c r="AF225" s="5"/>
      <c r="AG225" s="5">
        <v>51</v>
      </c>
      <c r="AH225" s="5"/>
      <c r="AI225" s="5">
        <v>49</v>
      </c>
      <c r="AJ225" s="5"/>
      <c r="AK225" s="5" t="s">
        <v>996</v>
      </c>
      <c r="AL225" s="5">
        <v>2</v>
      </c>
      <c r="AM225" s="5"/>
      <c r="AN225" s="5">
        <v>10</v>
      </c>
      <c r="AO225" s="5"/>
      <c r="AP225" s="5">
        <v>0</v>
      </c>
      <c r="AQ225" s="5"/>
      <c r="AR225" s="5">
        <v>0</v>
      </c>
      <c r="AS225" s="5"/>
      <c r="AT225" s="5" t="s">
        <v>997</v>
      </c>
      <c r="AU225" s="5" t="s">
        <v>998</v>
      </c>
      <c r="AV225" s="5" t="s">
        <v>999</v>
      </c>
      <c r="AW225" s="8" t="str">
        <f>IFERROR(VLOOKUP(AA225,'Message Lookup'!D:J,7,FALSE),"")</f>
        <v>TIT-303 MSO Meter Rum Temp Alarm Hi Latched</v>
      </c>
    </row>
    <row r="226" spans="1:49" x14ac:dyDescent="0.25">
      <c r="A226" s="5" t="s">
        <v>4574</v>
      </c>
      <c r="B226" s="5" t="s">
        <v>992</v>
      </c>
      <c r="C226" s="5" t="s">
        <v>4575</v>
      </c>
      <c r="D226" s="5"/>
      <c r="E226" s="5"/>
      <c r="F226" s="5"/>
      <c r="G226" s="5"/>
      <c r="H226" s="5"/>
      <c r="I226" s="5"/>
      <c r="J226" s="5"/>
      <c r="K226" s="5" t="s">
        <v>993</v>
      </c>
      <c r="L226" s="5" t="s">
        <v>994</v>
      </c>
      <c r="M226" s="5" t="s">
        <v>4576</v>
      </c>
      <c r="N226" s="5">
        <v>41</v>
      </c>
      <c r="O226" s="5"/>
      <c r="P226" s="5" t="s">
        <v>995</v>
      </c>
      <c r="Q226" s="5">
        <v>36</v>
      </c>
      <c r="R226" s="5">
        <v>24</v>
      </c>
      <c r="S226" s="5">
        <v>12</v>
      </c>
      <c r="T226" s="5">
        <v>0</v>
      </c>
      <c r="U226" s="5" t="b">
        <v>0</v>
      </c>
      <c r="V226" s="5">
        <v>20</v>
      </c>
      <c r="W226" s="5">
        <v>0.14000000000000001</v>
      </c>
      <c r="X226" s="5" t="s">
        <v>9</v>
      </c>
      <c r="Y226" s="5">
        <v>9</v>
      </c>
      <c r="Z226" s="5"/>
      <c r="AA226" s="5" t="s">
        <v>195</v>
      </c>
      <c r="AB226" s="5" t="s">
        <v>368</v>
      </c>
      <c r="AC226" s="5" t="b">
        <v>0</v>
      </c>
      <c r="AD226" s="5"/>
      <c r="AE226" s="5"/>
      <c r="AF226" s="5"/>
      <c r="AG226" s="5">
        <v>51</v>
      </c>
      <c r="AH226" s="5"/>
      <c r="AI226" s="5">
        <v>49</v>
      </c>
      <c r="AJ226" s="5"/>
      <c r="AK226" s="5" t="s">
        <v>996</v>
      </c>
      <c r="AL226" s="5">
        <v>2</v>
      </c>
      <c r="AM226" s="5"/>
      <c r="AN226" s="5">
        <v>10</v>
      </c>
      <c r="AO226" s="5"/>
      <c r="AP226" s="5">
        <v>0</v>
      </c>
      <c r="AQ226" s="5"/>
      <c r="AR226" s="5">
        <v>0</v>
      </c>
      <c r="AS226" s="5"/>
      <c r="AT226" s="5" t="s">
        <v>997</v>
      </c>
      <c r="AU226" s="5" t="s">
        <v>998</v>
      </c>
      <c r="AV226" s="5" t="s">
        <v>999</v>
      </c>
      <c r="AW226" s="8" t="str">
        <f>IFERROR(VLOOKUP(AA226,'Message Lookup'!D:J,7,FALSE),"")</f>
        <v>TIT-303 MSO Meter Rum Temp Alarm Lo Condition</v>
      </c>
    </row>
    <row r="227" spans="1:49" x14ac:dyDescent="0.25">
      <c r="A227" s="5" t="s">
        <v>4574</v>
      </c>
      <c r="B227" s="5" t="s">
        <v>992</v>
      </c>
      <c r="C227" s="5" t="s">
        <v>4575</v>
      </c>
      <c r="D227" s="5"/>
      <c r="E227" s="5"/>
      <c r="F227" s="5"/>
      <c r="G227" s="5"/>
      <c r="H227" s="5"/>
      <c r="I227" s="5"/>
      <c r="J227" s="5"/>
      <c r="K227" s="5" t="s">
        <v>993</v>
      </c>
      <c r="L227" s="5" t="s">
        <v>994</v>
      </c>
      <c r="M227" s="5" t="s">
        <v>4576</v>
      </c>
      <c r="N227" s="5">
        <v>41</v>
      </c>
      <c r="O227" s="5"/>
      <c r="P227" s="5" t="s">
        <v>995</v>
      </c>
      <c r="Q227" s="5">
        <v>36</v>
      </c>
      <c r="R227" s="5">
        <v>24</v>
      </c>
      <c r="S227" s="5">
        <v>12</v>
      </c>
      <c r="T227" s="5">
        <v>0</v>
      </c>
      <c r="U227" s="5" t="b">
        <v>0</v>
      </c>
      <c r="V227" s="5">
        <v>20</v>
      </c>
      <c r="W227" s="5">
        <v>0.14000000000000001</v>
      </c>
      <c r="X227" s="5" t="s">
        <v>9</v>
      </c>
      <c r="Y227" s="5">
        <v>9</v>
      </c>
      <c r="Z227" s="5"/>
      <c r="AA227" s="5" t="s">
        <v>196</v>
      </c>
      <c r="AB227" s="5" t="s">
        <v>369</v>
      </c>
      <c r="AC227" s="5" t="b">
        <v>0</v>
      </c>
      <c r="AD227" s="5"/>
      <c r="AE227" s="5"/>
      <c r="AF227" s="5"/>
      <c r="AG227" s="5">
        <v>51</v>
      </c>
      <c r="AH227" s="5"/>
      <c r="AI227" s="5">
        <v>49</v>
      </c>
      <c r="AJ227" s="5"/>
      <c r="AK227" s="5" t="s">
        <v>996</v>
      </c>
      <c r="AL227" s="5">
        <v>2</v>
      </c>
      <c r="AM227" s="5"/>
      <c r="AN227" s="5">
        <v>10</v>
      </c>
      <c r="AO227" s="5"/>
      <c r="AP227" s="5">
        <v>0</v>
      </c>
      <c r="AQ227" s="5"/>
      <c r="AR227" s="5">
        <v>0</v>
      </c>
      <c r="AS227" s="5"/>
      <c r="AT227" s="5" t="s">
        <v>997</v>
      </c>
      <c r="AU227" s="5" t="s">
        <v>998</v>
      </c>
      <c r="AV227" s="5" t="s">
        <v>999</v>
      </c>
      <c r="AW227" s="8" t="str">
        <f>IFERROR(VLOOKUP(AA227,'Message Lookup'!D:J,7,FALSE),"")</f>
        <v>TIT-303 MSO Meter Rum Temp Alarm LoLo Latched</v>
      </c>
    </row>
    <row r="228" spans="1:49" x14ac:dyDescent="0.25">
      <c r="A228" s="5" t="s">
        <v>4574</v>
      </c>
      <c r="B228" s="5" t="s">
        <v>992</v>
      </c>
      <c r="C228" s="5" t="s">
        <v>4575</v>
      </c>
      <c r="D228" s="5"/>
      <c r="E228" s="5"/>
      <c r="F228" s="5"/>
      <c r="G228" s="5"/>
      <c r="H228" s="5"/>
      <c r="I228" s="5"/>
      <c r="J228" s="5"/>
      <c r="K228" s="5" t="s">
        <v>993</v>
      </c>
      <c r="L228" s="5" t="s">
        <v>994</v>
      </c>
      <c r="M228" s="5" t="s">
        <v>4576</v>
      </c>
      <c r="N228" s="5">
        <v>41</v>
      </c>
      <c r="O228" s="5"/>
      <c r="P228" s="5" t="s">
        <v>995</v>
      </c>
      <c r="Q228" s="5">
        <v>36</v>
      </c>
      <c r="R228" s="5">
        <v>24</v>
      </c>
      <c r="S228" s="5">
        <v>12</v>
      </c>
      <c r="T228" s="5">
        <v>0</v>
      </c>
      <c r="U228" s="5" t="b">
        <v>0</v>
      </c>
      <c r="V228" s="5">
        <v>20</v>
      </c>
      <c r="W228" s="5">
        <v>0.14000000000000001</v>
      </c>
      <c r="X228" s="5" t="s">
        <v>9</v>
      </c>
      <c r="Y228" s="5">
        <v>9</v>
      </c>
      <c r="Z228" s="5"/>
      <c r="AA228" s="5" t="s">
        <v>197</v>
      </c>
      <c r="AB228" s="5" t="s">
        <v>370</v>
      </c>
      <c r="AC228" s="5" t="b">
        <v>0</v>
      </c>
      <c r="AD228" s="5"/>
      <c r="AE228" s="5"/>
      <c r="AF228" s="5"/>
      <c r="AG228" s="5">
        <v>51</v>
      </c>
      <c r="AH228" s="5"/>
      <c r="AI228" s="5">
        <v>49</v>
      </c>
      <c r="AJ228" s="5"/>
      <c r="AK228" s="5" t="s">
        <v>996</v>
      </c>
      <c r="AL228" s="5">
        <v>2</v>
      </c>
      <c r="AM228" s="5"/>
      <c r="AN228" s="5">
        <v>10</v>
      </c>
      <c r="AO228" s="5"/>
      <c r="AP228" s="5">
        <v>0</v>
      </c>
      <c r="AQ228" s="5"/>
      <c r="AR228" s="5">
        <v>0</v>
      </c>
      <c r="AS228" s="5"/>
      <c r="AT228" s="5" t="s">
        <v>997</v>
      </c>
      <c r="AU228" s="5" t="s">
        <v>998</v>
      </c>
      <c r="AV228" s="5" t="s">
        <v>999</v>
      </c>
      <c r="AW228" s="8" t="str">
        <f>IFERROR(VLOOKUP(AA228,'Message Lookup'!D:J,7,FALSE),"")</f>
        <v>TIT-303 MSO Meter Rum Temp Alarm Malfunction Latched</v>
      </c>
    </row>
    <row r="229" spans="1:49" x14ac:dyDescent="0.25">
      <c r="A229" s="5" t="s">
        <v>4574</v>
      </c>
      <c r="B229" s="5" t="s">
        <v>992</v>
      </c>
      <c r="C229" s="5" t="s">
        <v>4575</v>
      </c>
      <c r="D229" s="5"/>
      <c r="E229" s="5"/>
      <c r="F229" s="5"/>
      <c r="G229" s="5"/>
      <c r="H229" s="5"/>
      <c r="I229" s="5"/>
      <c r="J229" s="5"/>
      <c r="K229" s="5" t="s">
        <v>993</v>
      </c>
      <c r="L229" s="5" t="s">
        <v>994</v>
      </c>
      <c r="M229" s="5" t="s">
        <v>4576</v>
      </c>
      <c r="N229" s="5">
        <v>41</v>
      </c>
      <c r="O229" s="5"/>
      <c r="P229" s="5" t="s">
        <v>995</v>
      </c>
      <c r="Q229" s="5">
        <v>36</v>
      </c>
      <c r="R229" s="5">
        <v>24</v>
      </c>
      <c r="S229" s="5">
        <v>12</v>
      </c>
      <c r="T229" s="5">
        <v>0</v>
      </c>
      <c r="U229" s="5" t="b">
        <v>0</v>
      </c>
      <c r="V229" s="5">
        <v>20</v>
      </c>
      <c r="W229" s="5">
        <v>0.14000000000000001</v>
      </c>
      <c r="X229" s="5" t="s">
        <v>9</v>
      </c>
      <c r="Y229" s="5">
        <v>9</v>
      </c>
      <c r="Z229" s="5"/>
      <c r="AA229" s="5"/>
      <c r="AB229" s="5"/>
      <c r="AC229" s="5"/>
      <c r="AD229" s="5"/>
      <c r="AE229" s="5" t="s">
        <v>1000</v>
      </c>
      <c r="AF229" s="5" t="b">
        <v>0</v>
      </c>
      <c r="AG229" s="5">
        <v>51</v>
      </c>
      <c r="AH229" s="5"/>
      <c r="AI229" s="5">
        <v>49</v>
      </c>
      <c r="AJ229" s="5"/>
      <c r="AK229" s="5" t="s">
        <v>996</v>
      </c>
      <c r="AL229" s="5">
        <v>2</v>
      </c>
      <c r="AM229" s="5"/>
      <c r="AN229" s="5">
        <v>10</v>
      </c>
      <c r="AO229" s="5"/>
      <c r="AP229" s="5">
        <v>0</v>
      </c>
      <c r="AQ229" s="5"/>
      <c r="AR229" s="5">
        <v>0</v>
      </c>
      <c r="AS229" s="5"/>
      <c r="AT229" s="5" t="s">
        <v>997</v>
      </c>
      <c r="AU229" s="5" t="s">
        <v>998</v>
      </c>
      <c r="AV229" s="5" t="s">
        <v>999</v>
      </c>
      <c r="AW229" s="8" t="str">
        <f>IFERROR(VLOOKUP(AA229,'Message Lookup'!D:J,7,FALSE),"")</f>
        <v/>
      </c>
    </row>
    <row r="230" spans="1:49" x14ac:dyDescent="0.25">
      <c r="A230" s="5" t="s">
        <v>4574</v>
      </c>
      <c r="B230" s="5" t="s">
        <v>992</v>
      </c>
      <c r="C230" s="5" t="s">
        <v>4575</v>
      </c>
      <c r="D230" s="5"/>
      <c r="E230" s="5"/>
      <c r="F230" s="5"/>
      <c r="G230" s="5"/>
      <c r="H230" s="5"/>
      <c r="I230" s="5"/>
      <c r="J230" s="5"/>
      <c r="K230" s="5" t="s">
        <v>993</v>
      </c>
      <c r="L230" s="5" t="s">
        <v>994</v>
      </c>
      <c r="M230" s="5" t="s">
        <v>4576</v>
      </c>
      <c r="N230" s="5">
        <v>41</v>
      </c>
      <c r="O230" s="5"/>
      <c r="P230" s="5" t="s">
        <v>995</v>
      </c>
      <c r="Q230" s="5">
        <v>36</v>
      </c>
      <c r="R230" s="5">
        <v>24</v>
      </c>
      <c r="S230" s="5">
        <v>12</v>
      </c>
      <c r="T230" s="5">
        <v>0</v>
      </c>
      <c r="U230" s="5" t="b">
        <v>0</v>
      </c>
      <c r="V230" s="5">
        <v>20</v>
      </c>
      <c r="W230" s="5">
        <v>0.14000000000000001</v>
      </c>
      <c r="X230" s="5" t="s">
        <v>9</v>
      </c>
      <c r="Y230" s="5">
        <v>9</v>
      </c>
      <c r="Z230" s="5"/>
      <c r="AA230" s="5"/>
      <c r="AB230" s="5"/>
      <c r="AC230" s="5"/>
      <c r="AD230" s="5" t="s">
        <v>1013</v>
      </c>
      <c r="AE230" s="5" t="s">
        <v>1002</v>
      </c>
      <c r="AF230" s="5" t="b">
        <v>0</v>
      </c>
      <c r="AG230" s="5">
        <v>51</v>
      </c>
      <c r="AH230" s="5"/>
      <c r="AI230" s="5">
        <v>49</v>
      </c>
      <c r="AJ230" s="5"/>
      <c r="AK230" s="5" t="s">
        <v>996</v>
      </c>
      <c r="AL230" s="5">
        <v>2</v>
      </c>
      <c r="AM230" s="5"/>
      <c r="AN230" s="5">
        <v>10</v>
      </c>
      <c r="AO230" s="5"/>
      <c r="AP230" s="5">
        <v>0</v>
      </c>
      <c r="AQ230" s="5"/>
      <c r="AR230" s="5">
        <v>0</v>
      </c>
      <c r="AS230" s="5"/>
      <c r="AT230" s="5" t="s">
        <v>997</v>
      </c>
      <c r="AU230" s="5" t="s">
        <v>998</v>
      </c>
      <c r="AV230" s="5" t="s">
        <v>999</v>
      </c>
      <c r="AW230" s="8" t="str">
        <f>IFERROR(VLOOKUP(AA230,'Message Lookup'!D:J,7,FALSE),"")</f>
        <v/>
      </c>
    </row>
    <row r="231" spans="1:49" x14ac:dyDescent="0.25">
      <c r="A231" s="5" t="s">
        <v>4574</v>
      </c>
      <c r="B231" s="5" t="s">
        <v>992</v>
      </c>
      <c r="C231" s="5" t="s">
        <v>4575</v>
      </c>
      <c r="D231" s="5"/>
      <c r="E231" s="5"/>
      <c r="F231" s="5"/>
      <c r="G231" s="5"/>
      <c r="H231" s="5"/>
      <c r="I231" s="5"/>
      <c r="J231" s="5"/>
      <c r="K231" s="5" t="s">
        <v>993</v>
      </c>
      <c r="L231" s="5" t="s">
        <v>994</v>
      </c>
      <c r="M231" s="5" t="s">
        <v>4576</v>
      </c>
      <c r="N231" s="5">
        <v>41</v>
      </c>
      <c r="O231" s="5"/>
      <c r="P231" s="5" t="s">
        <v>995</v>
      </c>
      <c r="Q231" s="5">
        <v>36</v>
      </c>
      <c r="R231" s="5">
        <v>24</v>
      </c>
      <c r="S231" s="5">
        <v>13</v>
      </c>
      <c r="T231" s="5">
        <v>0</v>
      </c>
      <c r="U231" s="5" t="b">
        <v>0</v>
      </c>
      <c r="V231" s="5">
        <v>20</v>
      </c>
      <c r="W231" s="5">
        <v>0.15</v>
      </c>
      <c r="X231" s="5" t="s">
        <v>9</v>
      </c>
      <c r="Y231" s="5">
        <v>9</v>
      </c>
      <c r="Z231" s="5"/>
      <c r="AA231" s="5"/>
      <c r="AB231" s="5" t="s">
        <v>354</v>
      </c>
      <c r="AC231" s="5" t="b">
        <v>0</v>
      </c>
      <c r="AD231" s="5"/>
      <c r="AE231" s="5"/>
      <c r="AF231" s="5"/>
      <c r="AG231" s="5">
        <v>51</v>
      </c>
      <c r="AH231" s="5">
        <v>51</v>
      </c>
      <c r="AI231" s="5">
        <v>71</v>
      </c>
      <c r="AJ231" s="5">
        <v>71</v>
      </c>
      <c r="AK231" s="5" t="s">
        <v>996</v>
      </c>
      <c r="AL231" s="5">
        <v>2</v>
      </c>
      <c r="AM231" s="5"/>
      <c r="AN231" s="5">
        <v>10</v>
      </c>
      <c r="AO231" s="5"/>
      <c r="AP231" s="5">
        <v>0</v>
      </c>
      <c r="AQ231" s="5"/>
      <c r="AR231" s="5">
        <v>0</v>
      </c>
      <c r="AS231" s="5"/>
      <c r="AT231" s="5" t="s">
        <v>997</v>
      </c>
      <c r="AU231" s="5" t="s">
        <v>998</v>
      </c>
      <c r="AV231" s="5" t="s">
        <v>999</v>
      </c>
      <c r="AW231" s="8" t="str">
        <f>IFERROR(VLOOKUP(AA231,'Message Lookup'!D:J,7,FALSE),"")</f>
        <v/>
      </c>
    </row>
    <row r="232" spans="1:49" x14ac:dyDescent="0.25">
      <c r="A232" s="5" t="s">
        <v>4574</v>
      </c>
      <c r="B232" s="5" t="s">
        <v>992</v>
      </c>
      <c r="C232" s="5" t="s">
        <v>4575</v>
      </c>
      <c r="D232" s="5"/>
      <c r="E232" s="5"/>
      <c r="F232" s="5"/>
      <c r="G232" s="5"/>
      <c r="H232" s="5"/>
      <c r="I232" s="5"/>
      <c r="J232" s="5"/>
      <c r="K232" s="5" t="s">
        <v>993</v>
      </c>
      <c r="L232" s="5" t="s">
        <v>994</v>
      </c>
      <c r="M232" s="5" t="s">
        <v>4576</v>
      </c>
      <c r="N232" s="5">
        <v>41</v>
      </c>
      <c r="O232" s="5"/>
      <c r="P232" s="5" t="s">
        <v>995</v>
      </c>
      <c r="Q232" s="5">
        <v>36</v>
      </c>
      <c r="R232" s="5">
        <v>24</v>
      </c>
      <c r="S232" s="5">
        <v>13</v>
      </c>
      <c r="T232" s="5">
        <v>0</v>
      </c>
      <c r="U232" s="5" t="b">
        <v>0</v>
      </c>
      <c r="V232" s="5">
        <v>20</v>
      </c>
      <c r="W232" s="5">
        <v>0.15</v>
      </c>
      <c r="X232" s="5" t="s">
        <v>9</v>
      </c>
      <c r="Y232" s="5">
        <v>9</v>
      </c>
      <c r="Z232" s="5"/>
      <c r="AA232" s="5" t="s">
        <v>198</v>
      </c>
      <c r="AB232" s="5" t="s">
        <v>355</v>
      </c>
      <c r="AC232" s="5" t="b">
        <v>0</v>
      </c>
      <c r="AD232" s="5"/>
      <c r="AE232" s="5"/>
      <c r="AF232" s="5"/>
      <c r="AG232" s="5">
        <v>51</v>
      </c>
      <c r="AH232" s="5"/>
      <c r="AI232" s="5">
        <v>71</v>
      </c>
      <c r="AJ232" s="5"/>
      <c r="AK232" s="5" t="s">
        <v>996</v>
      </c>
      <c r="AL232" s="5">
        <v>2</v>
      </c>
      <c r="AM232" s="5"/>
      <c r="AN232" s="5">
        <v>10</v>
      </c>
      <c r="AO232" s="5"/>
      <c r="AP232" s="5">
        <v>0</v>
      </c>
      <c r="AQ232" s="5"/>
      <c r="AR232" s="5">
        <v>0</v>
      </c>
      <c r="AS232" s="5"/>
      <c r="AT232" s="5" t="s">
        <v>997</v>
      </c>
      <c r="AU232" s="5" t="s">
        <v>998</v>
      </c>
      <c r="AV232" s="5" t="s">
        <v>999</v>
      </c>
      <c r="AW232" s="8" t="str">
        <f>IFERROR(VLOOKUP(AA232,'Message Lookup'!D:J,7,FALSE),"")</f>
        <v>P-1 Vibration Alarm HiHi Latched</v>
      </c>
    </row>
    <row r="233" spans="1:49" x14ac:dyDescent="0.25">
      <c r="A233" s="5" t="s">
        <v>4574</v>
      </c>
      <c r="B233" s="5" t="s">
        <v>992</v>
      </c>
      <c r="C233" s="5" t="s">
        <v>4575</v>
      </c>
      <c r="D233" s="5"/>
      <c r="E233" s="5"/>
      <c r="F233" s="5"/>
      <c r="G233" s="5"/>
      <c r="H233" s="5"/>
      <c r="I233" s="5"/>
      <c r="J233" s="5"/>
      <c r="K233" s="5" t="s">
        <v>993</v>
      </c>
      <c r="L233" s="5" t="s">
        <v>994</v>
      </c>
      <c r="M233" s="5" t="s">
        <v>4576</v>
      </c>
      <c r="N233" s="5">
        <v>41</v>
      </c>
      <c r="O233" s="5"/>
      <c r="P233" s="5" t="s">
        <v>995</v>
      </c>
      <c r="Q233" s="5">
        <v>36</v>
      </c>
      <c r="R233" s="5">
        <v>24</v>
      </c>
      <c r="S233" s="5">
        <v>13</v>
      </c>
      <c r="T233" s="5">
        <v>0</v>
      </c>
      <c r="U233" s="5" t="b">
        <v>0</v>
      </c>
      <c r="V233" s="5">
        <v>20</v>
      </c>
      <c r="W233" s="5">
        <v>0.15</v>
      </c>
      <c r="X233" s="5" t="s">
        <v>9</v>
      </c>
      <c r="Y233" s="5">
        <v>9</v>
      </c>
      <c r="Z233" s="5"/>
      <c r="AA233" s="5" t="s">
        <v>199</v>
      </c>
      <c r="AB233" s="5" t="s">
        <v>356</v>
      </c>
      <c r="AC233" s="5" t="b">
        <v>0</v>
      </c>
      <c r="AD233" s="5"/>
      <c r="AE233" s="5"/>
      <c r="AF233" s="5"/>
      <c r="AG233" s="5">
        <v>51</v>
      </c>
      <c r="AH233" s="5"/>
      <c r="AI233" s="5">
        <v>71</v>
      </c>
      <c r="AJ233" s="5"/>
      <c r="AK233" s="5" t="s">
        <v>996</v>
      </c>
      <c r="AL233" s="5">
        <v>2</v>
      </c>
      <c r="AM233" s="5"/>
      <c r="AN233" s="5">
        <v>10</v>
      </c>
      <c r="AO233" s="5"/>
      <c r="AP233" s="5">
        <v>0</v>
      </c>
      <c r="AQ233" s="5"/>
      <c r="AR233" s="5">
        <v>0</v>
      </c>
      <c r="AS233" s="5"/>
      <c r="AT233" s="5" t="s">
        <v>997</v>
      </c>
      <c r="AU233" s="5" t="s">
        <v>998</v>
      </c>
      <c r="AV233" s="5" t="s">
        <v>999</v>
      </c>
      <c r="AW233" s="8" t="str">
        <f>IFERROR(VLOOKUP(AA233,'Message Lookup'!D:J,7,FALSE),"")</f>
        <v>P-1 Vibration Alarm Hi Latched</v>
      </c>
    </row>
    <row r="234" spans="1:49" x14ac:dyDescent="0.25">
      <c r="A234" s="5" t="s">
        <v>4574</v>
      </c>
      <c r="B234" s="5" t="s">
        <v>992</v>
      </c>
      <c r="C234" s="5" t="s">
        <v>4575</v>
      </c>
      <c r="D234" s="5"/>
      <c r="E234" s="5"/>
      <c r="F234" s="5"/>
      <c r="G234" s="5"/>
      <c r="H234" s="5"/>
      <c r="I234" s="5"/>
      <c r="J234" s="5"/>
      <c r="K234" s="5" t="s">
        <v>993</v>
      </c>
      <c r="L234" s="5" t="s">
        <v>994</v>
      </c>
      <c r="M234" s="5" t="s">
        <v>4576</v>
      </c>
      <c r="N234" s="5">
        <v>41</v>
      </c>
      <c r="O234" s="5"/>
      <c r="P234" s="5" t="s">
        <v>995</v>
      </c>
      <c r="Q234" s="5">
        <v>36</v>
      </c>
      <c r="R234" s="5">
        <v>24</v>
      </c>
      <c r="S234" s="5">
        <v>13</v>
      </c>
      <c r="T234" s="5">
        <v>0</v>
      </c>
      <c r="U234" s="5" t="b">
        <v>0</v>
      </c>
      <c r="V234" s="5">
        <v>20</v>
      </c>
      <c r="W234" s="5">
        <v>0.15</v>
      </c>
      <c r="X234" s="5" t="s">
        <v>9</v>
      </c>
      <c r="Y234" s="5">
        <v>9</v>
      </c>
      <c r="Z234" s="5"/>
      <c r="AA234" s="5" t="s">
        <v>200</v>
      </c>
      <c r="AB234" s="5" t="s">
        <v>357</v>
      </c>
      <c r="AC234" s="5" t="b">
        <v>0</v>
      </c>
      <c r="AD234" s="5"/>
      <c r="AE234" s="5"/>
      <c r="AF234" s="5"/>
      <c r="AG234" s="5">
        <v>51</v>
      </c>
      <c r="AH234" s="5"/>
      <c r="AI234" s="5">
        <v>71</v>
      </c>
      <c r="AJ234" s="5"/>
      <c r="AK234" s="5" t="s">
        <v>996</v>
      </c>
      <c r="AL234" s="5">
        <v>2</v>
      </c>
      <c r="AM234" s="5"/>
      <c r="AN234" s="5">
        <v>10</v>
      </c>
      <c r="AO234" s="5"/>
      <c r="AP234" s="5">
        <v>0</v>
      </c>
      <c r="AQ234" s="5"/>
      <c r="AR234" s="5">
        <v>0</v>
      </c>
      <c r="AS234" s="5"/>
      <c r="AT234" s="5" t="s">
        <v>997</v>
      </c>
      <c r="AU234" s="5" t="s">
        <v>998</v>
      </c>
      <c r="AV234" s="5" t="s">
        <v>999</v>
      </c>
      <c r="AW234" s="8" t="str">
        <f>IFERROR(VLOOKUP(AA234,'Message Lookup'!D:J,7,FALSE),"")</f>
        <v>P-1 Vibration Alarm Lo Condition</v>
      </c>
    </row>
    <row r="235" spans="1:49" x14ac:dyDescent="0.25">
      <c r="A235" s="5" t="s">
        <v>4574</v>
      </c>
      <c r="B235" s="5" t="s">
        <v>992</v>
      </c>
      <c r="C235" s="5" t="s">
        <v>4575</v>
      </c>
      <c r="D235" s="5"/>
      <c r="E235" s="5"/>
      <c r="F235" s="5"/>
      <c r="G235" s="5"/>
      <c r="H235" s="5"/>
      <c r="I235" s="5"/>
      <c r="J235" s="5"/>
      <c r="K235" s="5" t="s">
        <v>993</v>
      </c>
      <c r="L235" s="5" t="s">
        <v>994</v>
      </c>
      <c r="M235" s="5" t="s">
        <v>4576</v>
      </c>
      <c r="N235" s="5">
        <v>41</v>
      </c>
      <c r="O235" s="5"/>
      <c r="P235" s="5" t="s">
        <v>995</v>
      </c>
      <c r="Q235" s="5">
        <v>36</v>
      </c>
      <c r="R235" s="5">
        <v>24</v>
      </c>
      <c r="S235" s="5">
        <v>13</v>
      </c>
      <c r="T235" s="5">
        <v>0</v>
      </c>
      <c r="U235" s="5" t="b">
        <v>0</v>
      </c>
      <c r="V235" s="5">
        <v>20</v>
      </c>
      <c r="W235" s="5">
        <v>0.15</v>
      </c>
      <c r="X235" s="5" t="s">
        <v>9</v>
      </c>
      <c r="Y235" s="5">
        <v>9</v>
      </c>
      <c r="Z235" s="5"/>
      <c r="AA235" s="5" t="s">
        <v>201</v>
      </c>
      <c r="AB235" s="5" t="s">
        <v>358</v>
      </c>
      <c r="AC235" s="5" t="b">
        <v>0</v>
      </c>
      <c r="AD235" s="5"/>
      <c r="AE235" s="5"/>
      <c r="AF235" s="5"/>
      <c r="AG235" s="5">
        <v>51</v>
      </c>
      <c r="AH235" s="5"/>
      <c r="AI235" s="5">
        <v>71</v>
      </c>
      <c r="AJ235" s="5"/>
      <c r="AK235" s="5" t="s">
        <v>996</v>
      </c>
      <c r="AL235" s="5">
        <v>2</v>
      </c>
      <c r="AM235" s="5"/>
      <c r="AN235" s="5">
        <v>10</v>
      </c>
      <c r="AO235" s="5"/>
      <c r="AP235" s="5">
        <v>0</v>
      </c>
      <c r="AQ235" s="5"/>
      <c r="AR235" s="5">
        <v>0</v>
      </c>
      <c r="AS235" s="5"/>
      <c r="AT235" s="5" t="s">
        <v>997</v>
      </c>
      <c r="AU235" s="5" t="s">
        <v>998</v>
      </c>
      <c r="AV235" s="5" t="s">
        <v>999</v>
      </c>
      <c r="AW235" s="8" t="str">
        <f>IFERROR(VLOOKUP(AA235,'Message Lookup'!D:J,7,FALSE),"")</f>
        <v>P-1 Vibration Alarm LoLo Latched</v>
      </c>
    </row>
    <row r="236" spans="1:49" x14ac:dyDescent="0.25">
      <c r="A236" s="5" t="s">
        <v>4574</v>
      </c>
      <c r="B236" s="5" t="s">
        <v>992</v>
      </c>
      <c r="C236" s="5" t="s">
        <v>4575</v>
      </c>
      <c r="D236" s="5"/>
      <c r="E236" s="5"/>
      <c r="F236" s="5"/>
      <c r="G236" s="5"/>
      <c r="H236" s="5"/>
      <c r="I236" s="5"/>
      <c r="J236" s="5"/>
      <c r="K236" s="5" t="s">
        <v>993</v>
      </c>
      <c r="L236" s="5" t="s">
        <v>994</v>
      </c>
      <c r="M236" s="5" t="s">
        <v>4576</v>
      </c>
      <c r="N236" s="5">
        <v>41</v>
      </c>
      <c r="O236" s="5"/>
      <c r="P236" s="5" t="s">
        <v>995</v>
      </c>
      <c r="Q236" s="5">
        <v>36</v>
      </c>
      <c r="R236" s="5">
        <v>24</v>
      </c>
      <c r="S236" s="5">
        <v>13</v>
      </c>
      <c r="T236" s="5">
        <v>0</v>
      </c>
      <c r="U236" s="5" t="b">
        <v>0</v>
      </c>
      <c r="V236" s="5">
        <v>20</v>
      </c>
      <c r="W236" s="5">
        <v>0.15</v>
      </c>
      <c r="X236" s="5" t="s">
        <v>9</v>
      </c>
      <c r="Y236" s="5">
        <v>9</v>
      </c>
      <c r="Z236" s="5"/>
      <c r="AA236" s="5" t="s">
        <v>202</v>
      </c>
      <c r="AB236" s="5" t="s">
        <v>359</v>
      </c>
      <c r="AC236" s="5" t="b">
        <v>0</v>
      </c>
      <c r="AD236" s="5"/>
      <c r="AE236" s="5"/>
      <c r="AF236" s="5"/>
      <c r="AG236" s="5">
        <v>51</v>
      </c>
      <c r="AH236" s="5"/>
      <c r="AI236" s="5">
        <v>71</v>
      </c>
      <c r="AJ236" s="5"/>
      <c r="AK236" s="5" t="s">
        <v>996</v>
      </c>
      <c r="AL236" s="5">
        <v>2</v>
      </c>
      <c r="AM236" s="5"/>
      <c r="AN236" s="5">
        <v>10</v>
      </c>
      <c r="AO236" s="5"/>
      <c r="AP236" s="5">
        <v>0</v>
      </c>
      <c r="AQ236" s="5"/>
      <c r="AR236" s="5">
        <v>0</v>
      </c>
      <c r="AS236" s="5"/>
      <c r="AT236" s="5" t="s">
        <v>997</v>
      </c>
      <c r="AU236" s="5" t="s">
        <v>998</v>
      </c>
      <c r="AV236" s="5" t="s">
        <v>999</v>
      </c>
      <c r="AW236" s="8" t="str">
        <f>IFERROR(VLOOKUP(AA236,'Message Lookup'!D:J,7,FALSE),"")</f>
        <v>P-1 Vibration Alarm Malfunction Latched</v>
      </c>
    </row>
    <row r="237" spans="1:49" x14ac:dyDescent="0.25">
      <c r="A237" s="5" t="s">
        <v>4574</v>
      </c>
      <c r="B237" s="5" t="s">
        <v>992</v>
      </c>
      <c r="C237" s="5" t="s">
        <v>4575</v>
      </c>
      <c r="D237" s="5"/>
      <c r="E237" s="5"/>
      <c r="F237" s="5"/>
      <c r="G237" s="5"/>
      <c r="H237" s="5"/>
      <c r="I237" s="5"/>
      <c r="J237" s="5"/>
      <c r="K237" s="5" t="s">
        <v>993</v>
      </c>
      <c r="L237" s="5" t="s">
        <v>994</v>
      </c>
      <c r="M237" s="5" t="s">
        <v>4576</v>
      </c>
      <c r="N237" s="5">
        <v>41</v>
      </c>
      <c r="O237" s="5"/>
      <c r="P237" s="5" t="s">
        <v>995</v>
      </c>
      <c r="Q237" s="5">
        <v>36</v>
      </c>
      <c r="R237" s="5">
        <v>24</v>
      </c>
      <c r="S237" s="5">
        <v>13</v>
      </c>
      <c r="T237" s="5">
        <v>0</v>
      </c>
      <c r="U237" s="5" t="b">
        <v>0</v>
      </c>
      <c r="V237" s="5">
        <v>20</v>
      </c>
      <c r="W237" s="5">
        <v>0.15</v>
      </c>
      <c r="X237" s="5" t="s">
        <v>9</v>
      </c>
      <c r="Y237" s="5">
        <v>9</v>
      </c>
      <c r="Z237" s="5"/>
      <c r="AA237" s="5" t="s">
        <v>203</v>
      </c>
      <c r="AB237" s="5" t="s">
        <v>360</v>
      </c>
      <c r="AC237" s="5" t="b">
        <v>0</v>
      </c>
      <c r="AD237" s="5"/>
      <c r="AE237" s="5"/>
      <c r="AF237" s="5"/>
      <c r="AG237" s="5">
        <v>51</v>
      </c>
      <c r="AH237" s="5"/>
      <c r="AI237" s="5">
        <v>71</v>
      </c>
      <c r="AJ237" s="5"/>
      <c r="AK237" s="5" t="s">
        <v>996</v>
      </c>
      <c r="AL237" s="5">
        <v>2</v>
      </c>
      <c r="AM237" s="5"/>
      <c r="AN237" s="5">
        <v>10</v>
      </c>
      <c r="AO237" s="5"/>
      <c r="AP237" s="5">
        <v>0</v>
      </c>
      <c r="AQ237" s="5"/>
      <c r="AR237" s="5">
        <v>0</v>
      </c>
      <c r="AS237" s="5"/>
      <c r="AT237" s="5" t="s">
        <v>997</v>
      </c>
      <c r="AU237" s="5" t="s">
        <v>998</v>
      </c>
      <c r="AV237" s="5" t="s">
        <v>999</v>
      </c>
      <c r="AW237" s="8">
        <f>IFERROR(VLOOKUP(AA237,'Message Lookup'!D:J,7,FALSE),"")</f>
        <v>0</v>
      </c>
    </row>
    <row r="238" spans="1:49" x14ac:dyDescent="0.25">
      <c r="A238" s="5" t="s">
        <v>4574</v>
      </c>
      <c r="B238" s="5" t="s">
        <v>992</v>
      </c>
      <c r="C238" s="5" t="s">
        <v>4575</v>
      </c>
      <c r="D238" s="5"/>
      <c r="E238" s="5"/>
      <c r="F238" s="5"/>
      <c r="G238" s="5"/>
      <c r="H238" s="5"/>
      <c r="I238" s="5"/>
      <c r="J238" s="5"/>
      <c r="K238" s="5" t="s">
        <v>993</v>
      </c>
      <c r="L238" s="5" t="s">
        <v>994</v>
      </c>
      <c r="M238" s="5" t="s">
        <v>4576</v>
      </c>
      <c r="N238" s="5">
        <v>41</v>
      </c>
      <c r="O238" s="5"/>
      <c r="P238" s="5" t="s">
        <v>995</v>
      </c>
      <c r="Q238" s="5">
        <v>36</v>
      </c>
      <c r="R238" s="5">
        <v>24</v>
      </c>
      <c r="S238" s="5">
        <v>13</v>
      </c>
      <c r="T238" s="5">
        <v>0</v>
      </c>
      <c r="U238" s="5" t="b">
        <v>0</v>
      </c>
      <c r="V238" s="5">
        <v>20</v>
      </c>
      <c r="W238" s="5">
        <v>0.15</v>
      </c>
      <c r="X238" s="5" t="s">
        <v>9</v>
      </c>
      <c r="Y238" s="5">
        <v>9</v>
      </c>
      <c r="Z238" s="5"/>
      <c r="AA238" s="5" t="s">
        <v>204</v>
      </c>
      <c r="AB238" s="5" t="s">
        <v>361</v>
      </c>
      <c r="AC238" s="5" t="b">
        <v>0</v>
      </c>
      <c r="AD238" s="5"/>
      <c r="AE238" s="5"/>
      <c r="AF238" s="5"/>
      <c r="AG238" s="5">
        <v>51</v>
      </c>
      <c r="AH238" s="5"/>
      <c r="AI238" s="5">
        <v>71</v>
      </c>
      <c r="AJ238" s="5"/>
      <c r="AK238" s="5" t="s">
        <v>996</v>
      </c>
      <c r="AL238" s="5">
        <v>2</v>
      </c>
      <c r="AM238" s="5"/>
      <c r="AN238" s="5">
        <v>10</v>
      </c>
      <c r="AO238" s="5"/>
      <c r="AP238" s="5">
        <v>0</v>
      </c>
      <c r="AQ238" s="5"/>
      <c r="AR238" s="5">
        <v>0</v>
      </c>
      <c r="AS238" s="5"/>
      <c r="AT238" s="5" t="s">
        <v>997</v>
      </c>
      <c r="AU238" s="5" t="s">
        <v>998</v>
      </c>
      <c r="AV238" s="5" t="s">
        <v>999</v>
      </c>
      <c r="AW238" s="8">
        <f>IFERROR(VLOOKUP(AA238,'Message Lookup'!D:J,7,FALSE),"")</f>
        <v>0</v>
      </c>
    </row>
    <row r="239" spans="1:49" x14ac:dyDescent="0.25">
      <c r="A239" s="5" t="s">
        <v>4574</v>
      </c>
      <c r="B239" s="5" t="s">
        <v>992</v>
      </c>
      <c r="C239" s="5" t="s">
        <v>4575</v>
      </c>
      <c r="D239" s="5"/>
      <c r="E239" s="5"/>
      <c r="F239" s="5"/>
      <c r="G239" s="5"/>
      <c r="H239" s="5"/>
      <c r="I239" s="5"/>
      <c r="J239" s="5"/>
      <c r="K239" s="5" t="s">
        <v>993</v>
      </c>
      <c r="L239" s="5" t="s">
        <v>994</v>
      </c>
      <c r="M239" s="5" t="s">
        <v>4576</v>
      </c>
      <c r="N239" s="5">
        <v>41</v>
      </c>
      <c r="O239" s="5"/>
      <c r="P239" s="5" t="s">
        <v>995</v>
      </c>
      <c r="Q239" s="5">
        <v>36</v>
      </c>
      <c r="R239" s="5">
        <v>24</v>
      </c>
      <c r="S239" s="5">
        <v>13</v>
      </c>
      <c r="T239" s="5">
        <v>0</v>
      </c>
      <c r="U239" s="5" t="b">
        <v>0</v>
      </c>
      <c r="V239" s="5">
        <v>20</v>
      </c>
      <c r="W239" s="5">
        <v>0.15</v>
      </c>
      <c r="X239" s="5" t="s">
        <v>9</v>
      </c>
      <c r="Y239" s="5">
        <v>9</v>
      </c>
      <c r="Z239" s="5"/>
      <c r="AA239" s="5" t="s">
        <v>205</v>
      </c>
      <c r="AB239" s="5" t="s">
        <v>362</v>
      </c>
      <c r="AC239" s="5" t="b">
        <v>0</v>
      </c>
      <c r="AD239" s="5"/>
      <c r="AE239" s="5"/>
      <c r="AF239" s="5"/>
      <c r="AG239" s="5">
        <v>51</v>
      </c>
      <c r="AH239" s="5"/>
      <c r="AI239" s="5">
        <v>71</v>
      </c>
      <c r="AJ239" s="5"/>
      <c r="AK239" s="5" t="s">
        <v>996</v>
      </c>
      <c r="AL239" s="5">
        <v>2</v>
      </c>
      <c r="AM239" s="5"/>
      <c r="AN239" s="5">
        <v>10</v>
      </c>
      <c r="AO239" s="5"/>
      <c r="AP239" s="5">
        <v>0</v>
      </c>
      <c r="AQ239" s="5"/>
      <c r="AR239" s="5">
        <v>0</v>
      </c>
      <c r="AS239" s="5"/>
      <c r="AT239" s="5" t="s">
        <v>997</v>
      </c>
      <c r="AU239" s="5" t="s">
        <v>998</v>
      </c>
      <c r="AV239" s="5" t="s">
        <v>999</v>
      </c>
      <c r="AW239" s="8">
        <f>IFERROR(VLOOKUP(AA239,'Message Lookup'!D:J,7,FALSE),"")</f>
        <v>0</v>
      </c>
    </row>
    <row r="240" spans="1:49" x14ac:dyDescent="0.25">
      <c r="A240" s="5" t="s">
        <v>4574</v>
      </c>
      <c r="B240" s="5" t="s">
        <v>992</v>
      </c>
      <c r="C240" s="5" t="s">
        <v>4575</v>
      </c>
      <c r="D240" s="5"/>
      <c r="E240" s="5"/>
      <c r="F240" s="5"/>
      <c r="G240" s="5"/>
      <c r="H240" s="5"/>
      <c r="I240" s="5"/>
      <c r="J240" s="5"/>
      <c r="K240" s="5" t="s">
        <v>993</v>
      </c>
      <c r="L240" s="5" t="s">
        <v>994</v>
      </c>
      <c r="M240" s="5" t="s">
        <v>4576</v>
      </c>
      <c r="N240" s="5">
        <v>41</v>
      </c>
      <c r="O240" s="5"/>
      <c r="P240" s="5" t="s">
        <v>995</v>
      </c>
      <c r="Q240" s="5">
        <v>36</v>
      </c>
      <c r="R240" s="5">
        <v>24</v>
      </c>
      <c r="S240" s="5">
        <v>13</v>
      </c>
      <c r="T240" s="5">
        <v>0</v>
      </c>
      <c r="U240" s="5" t="b">
        <v>0</v>
      </c>
      <c r="V240" s="5">
        <v>20</v>
      </c>
      <c r="W240" s="5">
        <v>0.15</v>
      </c>
      <c r="X240" s="5" t="s">
        <v>9</v>
      </c>
      <c r="Y240" s="5">
        <v>9</v>
      </c>
      <c r="Z240" s="5"/>
      <c r="AA240" s="5" t="s">
        <v>206</v>
      </c>
      <c r="AB240" s="5" t="s">
        <v>363</v>
      </c>
      <c r="AC240" s="5" t="b">
        <v>0</v>
      </c>
      <c r="AD240" s="5"/>
      <c r="AE240" s="5"/>
      <c r="AF240" s="5"/>
      <c r="AG240" s="5">
        <v>51</v>
      </c>
      <c r="AH240" s="5"/>
      <c r="AI240" s="5">
        <v>71</v>
      </c>
      <c r="AJ240" s="5"/>
      <c r="AK240" s="5" t="s">
        <v>996</v>
      </c>
      <c r="AL240" s="5">
        <v>2</v>
      </c>
      <c r="AM240" s="5"/>
      <c r="AN240" s="5">
        <v>10</v>
      </c>
      <c r="AO240" s="5"/>
      <c r="AP240" s="5">
        <v>0</v>
      </c>
      <c r="AQ240" s="5"/>
      <c r="AR240" s="5">
        <v>0</v>
      </c>
      <c r="AS240" s="5"/>
      <c r="AT240" s="5" t="s">
        <v>997</v>
      </c>
      <c r="AU240" s="5" t="s">
        <v>998</v>
      </c>
      <c r="AV240" s="5" t="s">
        <v>999</v>
      </c>
      <c r="AW240" s="8">
        <f>IFERROR(VLOOKUP(AA240,'Message Lookup'!D:J,7,FALSE),"")</f>
        <v>0</v>
      </c>
    </row>
    <row r="241" spans="1:49" x14ac:dyDescent="0.25">
      <c r="A241" s="5" t="s">
        <v>4574</v>
      </c>
      <c r="B241" s="5" t="s">
        <v>992</v>
      </c>
      <c r="C241" s="5" t="s">
        <v>4575</v>
      </c>
      <c r="D241" s="5"/>
      <c r="E241" s="5"/>
      <c r="F241" s="5"/>
      <c r="G241" s="5"/>
      <c r="H241" s="5"/>
      <c r="I241" s="5"/>
      <c r="J241" s="5"/>
      <c r="K241" s="5" t="s">
        <v>993</v>
      </c>
      <c r="L241" s="5" t="s">
        <v>994</v>
      </c>
      <c r="M241" s="5" t="s">
        <v>4576</v>
      </c>
      <c r="N241" s="5">
        <v>41</v>
      </c>
      <c r="O241" s="5"/>
      <c r="P241" s="5" t="s">
        <v>995</v>
      </c>
      <c r="Q241" s="5">
        <v>36</v>
      </c>
      <c r="R241" s="5">
        <v>24</v>
      </c>
      <c r="S241" s="5">
        <v>13</v>
      </c>
      <c r="T241" s="5">
        <v>0</v>
      </c>
      <c r="U241" s="5" t="b">
        <v>0</v>
      </c>
      <c r="V241" s="5">
        <v>20</v>
      </c>
      <c r="W241" s="5">
        <v>0.15</v>
      </c>
      <c r="X241" s="5" t="s">
        <v>9</v>
      </c>
      <c r="Y241" s="5">
        <v>9</v>
      </c>
      <c r="Z241" s="5"/>
      <c r="AA241" s="5" t="s">
        <v>207</v>
      </c>
      <c r="AB241" s="5" t="s">
        <v>364</v>
      </c>
      <c r="AC241" s="5" t="b">
        <v>0</v>
      </c>
      <c r="AD241" s="5"/>
      <c r="AE241" s="5"/>
      <c r="AF241" s="5"/>
      <c r="AG241" s="5">
        <v>51</v>
      </c>
      <c r="AH241" s="5"/>
      <c r="AI241" s="5">
        <v>71</v>
      </c>
      <c r="AJ241" s="5"/>
      <c r="AK241" s="5" t="s">
        <v>996</v>
      </c>
      <c r="AL241" s="5">
        <v>2</v>
      </c>
      <c r="AM241" s="5"/>
      <c r="AN241" s="5">
        <v>10</v>
      </c>
      <c r="AO241" s="5"/>
      <c r="AP241" s="5">
        <v>0</v>
      </c>
      <c r="AQ241" s="5"/>
      <c r="AR241" s="5">
        <v>0</v>
      </c>
      <c r="AS241" s="5"/>
      <c r="AT241" s="5" t="s">
        <v>997</v>
      </c>
      <c r="AU241" s="5" t="s">
        <v>998</v>
      </c>
      <c r="AV241" s="5" t="s">
        <v>999</v>
      </c>
      <c r="AW241" s="8">
        <f>IFERROR(VLOOKUP(AA241,'Message Lookup'!D:J,7,FALSE),"")</f>
        <v>0</v>
      </c>
    </row>
    <row r="242" spans="1:49" x14ac:dyDescent="0.25">
      <c r="A242" s="5" t="s">
        <v>4574</v>
      </c>
      <c r="B242" s="5" t="s">
        <v>992</v>
      </c>
      <c r="C242" s="5" t="s">
        <v>4575</v>
      </c>
      <c r="D242" s="5"/>
      <c r="E242" s="5"/>
      <c r="F242" s="5"/>
      <c r="G242" s="5"/>
      <c r="H242" s="5"/>
      <c r="I242" s="5"/>
      <c r="J242" s="5"/>
      <c r="K242" s="5" t="s">
        <v>993</v>
      </c>
      <c r="L242" s="5" t="s">
        <v>994</v>
      </c>
      <c r="M242" s="5" t="s">
        <v>4576</v>
      </c>
      <c r="N242" s="5">
        <v>41</v>
      </c>
      <c r="O242" s="5"/>
      <c r="P242" s="5" t="s">
        <v>995</v>
      </c>
      <c r="Q242" s="5">
        <v>36</v>
      </c>
      <c r="R242" s="5">
        <v>24</v>
      </c>
      <c r="S242" s="5">
        <v>13</v>
      </c>
      <c r="T242" s="5">
        <v>0</v>
      </c>
      <c r="U242" s="5" t="b">
        <v>0</v>
      </c>
      <c r="V242" s="5">
        <v>20</v>
      </c>
      <c r="W242" s="5">
        <v>0.15</v>
      </c>
      <c r="X242" s="5" t="s">
        <v>9</v>
      </c>
      <c r="Y242" s="5">
        <v>9</v>
      </c>
      <c r="Z242" s="5"/>
      <c r="AA242" s="5" t="s">
        <v>208</v>
      </c>
      <c r="AB242" s="5" t="s">
        <v>365</v>
      </c>
      <c r="AC242" s="5" t="b">
        <v>0</v>
      </c>
      <c r="AD242" s="5"/>
      <c r="AE242" s="5"/>
      <c r="AF242" s="5"/>
      <c r="AG242" s="5">
        <v>51</v>
      </c>
      <c r="AH242" s="5"/>
      <c r="AI242" s="5">
        <v>71</v>
      </c>
      <c r="AJ242" s="5"/>
      <c r="AK242" s="5" t="s">
        <v>996</v>
      </c>
      <c r="AL242" s="5">
        <v>2</v>
      </c>
      <c r="AM242" s="5"/>
      <c r="AN242" s="5">
        <v>10</v>
      </c>
      <c r="AO242" s="5"/>
      <c r="AP242" s="5">
        <v>0</v>
      </c>
      <c r="AQ242" s="5"/>
      <c r="AR242" s="5">
        <v>0</v>
      </c>
      <c r="AS242" s="5"/>
      <c r="AT242" s="5" t="s">
        <v>997</v>
      </c>
      <c r="AU242" s="5" t="s">
        <v>998</v>
      </c>
      <c r="AV242" s="5" t="s">
        <v>999</v>
      </c>
      <c r="AW242" s="8">
        <f>IFERROR(VLOOKUP(AA242,'Message Lookup'!D:J,7,FALSE),"")</f>
        <v>0</v>
      </c>
    </row>
    <row r="243" spans="1:49" x14ac:dyDescent="0.25">
      <c r="A243" s="5" t="s">
        <v>4574</v>
      </c>
      <c r="B243" s="5" t="s">
        <v>992</v>
      </c>
      <c r="C243" s="5" t="s">
        <v>4575</v>
      </c>
      <c r="D243" s="5"/>
      <c r="E243" s="5"/>
      <c r="F243" s="5"/>
      <c r="G243" s="5"/>
      <c r="H243" s="5"/>
      <c r="I243" s="5"/>
      <c r="J243" s="5"/>
      <c r="K243" s="5" t="s">
        <v>993</v>
      </c>
      <c r="L243" s="5" t="s">
        <v>994</v>
      </c>
      <c r="M243" s="5" t="s">
        <v>4576</v>
      </c>
      <c r="N243" s="5">
        <v>41</v>
      </c>
      <c r="O243" s="5"/>
      <c r="P243" s="5" t="s">
        <v>995</v>
      </c>
      <c r="Q243" s="5">
        <v>36</v>
      </c>
      <c r="R243" s="5">
        <v>24</v>
      </c>
      <c r="S243" s="5">
        <v>13</v>
      </c>
      <c r="T243" s="5">
        <v>0</v>
      </c>
      <c r="U243" s="5" t="b">
        <v>0</v>
      </c>
      <c r="V243" s="5">
        <v>20</v>
      </c>
      <c r="W243" s="5">
        <v>0.15</v>
      </c>
      <c r="X243" s="5" t="s">
        <v>9</v>
      </c>
      <c r="Y243" s="5">
        <v>9</v>
      </c>
      <c r="Z243" s="5"/>
      <c r="AA243" s="5" t="s">
        <v>209</v>
      </c>
      <c r="AB243" s="5" t="s">
        <v>366</v>
      </c>
      <c r="AC243" s="5" t="b">
        <v>0</v>
      </c>
      <c r="AD243" s="5"/>
      <c r="AE243" s="5"/>
      <c r="AF243" s="5"/>
      <c r="AG243" s="5">
        <v>51</v>
      </c>
      <c r="AH243" s="5"/>
      <c r="AI243" s="5">
        <v>71</v>
      </c>
      <c r="AJ243" s="5"/>
      <c r="AK243" s="5" t="s">
        <v>996</v>
      </c>
      <c r="AL243" s="5">
        <v>2</v>
      </c>
      <c r="AM243" s="5"/>
      <c r="AN243" s="5">
        <v>10</v>
      </c>
      <c r="AO243" s="5"/>
      <c r="AP243" s="5">
        <v>0</v>
      </c>
      <c r="AQ243" s="5"/>
      <c r="AR243" s="5">
        <v>0</v>
      </c>
      <c r="AS243" s="5"/>
      <c r="AT243" s="5" t="s">
        <v>997</v>
      </c>
      <c r="AU243" s="5" t="s">
        <v>998</v>
      </c>
      <c r="AV243" s="5" t="s">
        <v>999</v>
      </c>
      <c r="AW243" s="8">
        <f>IFERROR(VLOOKUP(AA243,'Message Lookup'!D:J,7,FALSE),"")</f>
        <v>0</v>
      </c>
    </row>
    <row r="244" spans="1:49" x14ac:dyDescent="0.25">
      <c r="A244" s="5" t="s">
        <v>4574</v>
      </c>
      <c r="B244" s="5" t="s">
        <v>992</v>
      </c>
      <c r="C244" s="5" t="s">
        <v>4575</v>
      </c>
      <c r="D244" s="5"/>
      <c r="E244" s="5"/>
      <c r="F244" s="5"/>
      <c r="G244" s="5"/>
      <c r="H244" s="5"/>
      <c r="I244" s="5"/>
      <c r="J244" s="5"/>
      <c r="K244" s="5" t="s">
        <v>993</v>
      </c>
      <c r="L244" s="5" t="s">
        <v>994</v>
      </c>
      <c r="M244" s="5" t="s">
        <v>4576</v>
      </c>
      <c r="N244" s="5">
        <v>41</v>
      </c>
      <c r="O244" s="5"/>
      <c r="P244" s="5" t="s">
        <v>995</v>
      </c>
      <c r="Q244" s="5">
        <v>36</v>
      </c>
      <c r="R244" s="5">
        <v>24</v>
      </c>
      <c r="S244" s="5">
        <v>13</v>
      </c>
      <c r="T244" s="5">
        <v>0</v>
      </c>
      <c r="U244" s="5" t="b">
        <v>0</v>
      </c>
      <c r="V244" s="5">
        <v>20</v>
      </c>
      <c r="W244" s="5">
        <v>0.15</v>
      </c>
      <c r="X244" s="5" t="s">
        <v>9</v>
      </c>
      <c r="Y244" s="5">
        <v>9</v>
      </c>
      <c r="Z244" s="5"/>
      <c r="AA244" s="5" t="s">
        <v>210</v>
      </c>
      <c r="AB244" s="5" t="s">
        <v>367</v>
      </c>
      <c r="AC244" s="5" t="b">
        <v>0</v>
      </c>
      <c r="AD244" s="5"/>
      <c r="AE244" s="5"/>
      <c r="AF244" s="5"/>
      <c r="AG244" s="5">
        <v>51</v>
      </c>
      <c r="AH244" s="5"/>
      <c r="AI244" s="5">
        <v>71</v>
      </c>
      <c r="AJ244" s="5"/>
      <c r="AK244" s="5" t="s">
        <v>996</v>
      </c>
      <c r="AL244" s="5">
        <v>2</v>
      </c>
      <c r="AM244" s="5"/>
      <c r="AN244" s="5">
        <v>10</v>
      </c>
      <c r="AO244" s="5"/>
      <c r="AP244" s="5">
        <v>0</v>
      </c>
      <c r="AQ244" s="5"/>
      <c r="AR244" s="5">
        <v>0</v>
      </c>
      <c r="AS244" s="5"/>
      <c r="AT244" s="5" t="s">
        <v>997</v>
      </c>
      <c r="AU244" s="5" t="s">
        <v>998</v>
      </c>
      <c r="AV244" s="5" t="s">
        <v>999</v>
      </c>
      <c r="AW244" s="8">
        <f>IFERROR(VLOOKUP(AA244,'Message Lookup'!D:J,7,FALSE),"")</f>
        <v>0</v>
      </c>
    </row>
    <row r="245" spans="1:49" x14ac:dyDescent="0.25">
      <c r="A245" s="5" t="s">
        <v>4574</v>
      </c>
      <c r="B245" s="5" t="s">
        <v>992</v>
      </c>
      <c r="C245" s="5" t="s">
        <v>4575</v>
      </c>
      <c r="D245" s="5"/>
      <c r="E245" s="5"/>
      <c r="F245" s="5"/>
      <c r="G245" s="5"/>
      <c r="H245" s="5"/>
      <c r="I245" s="5"/>
      <c r="J245" s="5"/>
      <c r="K245" s="5" t="s">
        <v>993</v>
      </c>
      <c r="L245" s="5" t="s">
        <v>994</v>
      </c>
      <c r="M245" s="5" t="s">
        <v>4576</v>
      </c>
      <c r="N245" s="5">
        <v>41</v>
      </c>
      <c r="O245" s="5"/>
      <c r="P245" s="5" t="s">
        <v>995</v>
      </c>
      <c r="Q245" s="5">
        <v>36</v>
      </c>
      <c r="R245" s="5">
        <v>24</v>
      </c>
      <c r="S245" s="5">
        <v>13</v>
      </c>
      <c r="T245" s="5">
        <v>0</v>
      </c>
      <c r="U245" s="5" t="b">
        <v>0</v>
      </c>
      <c r="V245" s="5">
        <v>20</v>
      </c>
      <c r="W245" s="5">
        <v>0.15</v>
      </c>
      <c r="X245" s="5" t="s">
        <v>9</v>
      </c>
      <c r="Y245" s="5">
        <v>9</v>
      </c>
      <c r="Z245" s="5"/>
      <c r="AA245" s="5" t="s">
        <v>211</v>
      </c>
      <c r="AB245" s="5" t="s">
        <v>368</v>
      </c>
      <c r="AC245" s="5" t="b">
        <v>0</v>
      </c>
      <c r="AD245" s="5"/>
      <c r="AE245" s="5"/>
      <c r="AF245" s="5"/>
      <c r="AG245" s="5">
        <v>51</v>
      </c>
      <c r="AH245" s="5"/>
      <c r="AI245" s="5">
        <v>71</v>
      </c>
      <c r="AJ245" s="5"/>
      <c r="AK245" s="5" t="s">
        <v>996</v>
      </c>
      <c r="AL245" s="5">
        <v>2</v>
      </c>
      <c r="AM245" s="5"/>
      <c r="AN245" s="5">
        <v>10</v>
      </c>
      <c r="AO245" s="5"/>
      <c r="AP245" s="5">
        <v>0</v>
      </c>
      <c r="AQ245" s="5"/>
      <c r="AR245" s="5">
        <v>0</v>
      </c>
      <c r="AS245" s="5"/>
      <c r="AT245" s="5" t="s">
        <v>997</v>
      </c>
      <c r="AU245" s="5" t="s">
        <v>998</v>
      </c>
      <c r="AV245" s="5" t="s">
        <v>999</v>
      </c>
      <c r="AW245" s="8">
        <f>IFERROR(VLOOKUP(AA245,'Message Lookup'!D:J,7,FALSE),"")</f>
        <v>0</v>
      </c>
    </row>
    <row r="246" spans="1:49" x14ac:dyDescent="0.25">
      <c r="A246" s="5" t="s">
        <v>4574</v>
      </c>
      <c r="B246" s="5" t="s">
        <v>992</v>
      </c>
      <c r="C246" s="5" t="s">
        <v>4575</v>
      </c>
      <c r="D246" s="5"/>
      <c r="E246" s="5"/>
      <c r="F246" s="5"/>
      <c r="G246" s="5"/>
      <c r="H246" s="5"/>
      <c r="I246" s="5"/>
      <c r="J246" s="5"/>
      <c r="K246" s="5" t="s">
        <v>993</v>
      </c>
      <c r="L246" s="5" t="s">
        <v>994</v>
      </c>
      <c r="M246" s="5" t="s">
        <v>4576</v>
      </c>
      <c r="N246" s="5">
        <v>41</v>
      </c>
      <c r="O246" s="5"/>
      <c r="P246" s="5" t="s">
        <v>995</v>
      </c>
      <c r="Q246" s="5">
        <v>36</v>
      </c>
      <c r="R246" s="5">
        <v>24</v>
      </c>
      <c r="S246" s="5">
        <v>13</v>
      </c>
      <c r="T246" s="5">
        <v>0</v>
      </c>
      <c r="U246" s="5" t="b">
        <v>0</v>
      </c>
      <c r="V246" s="5">
        <v>20</v>
      </c>
      <c r="W246" s="5">
        <v>0.15</v>
      </c>
      <c r="X246" s="5" t="s">
        <v>9</v>
      </c>
      <c r="Y246" s="5">
        <v>9</v>
      </c>
      <c r="Z246" s="5"/>
      <c r="AA246" s="5" t="s">
        <v>212</v>
      </c>
      <c r="AB246" s="5" t="s">
        <v>369</v>
      </c>
      <c r="AC246" s="5" t="b">
        <v>0</v>
      </c>
      <c r="AD246" s="5"/>
      <c r="AE246" s="5"/>
      <c r="AF246" s="5"/>
      <c r="AG246" s="5">
        <v>51</v>
      </c>
      <c r="AH246" s="5"/>
      <c r="AI246" s="5">
        <v>71</v>
      </c>
      <c r="AJ246" s="5"/>
      <c r="AK246" s="5" t="s">
        <v>996</v>
      </c>
      <c r="AL246" s="5">
        <v>2</v>
      </c>
      <c r="AM246" s="5"/>
      <c r="AN246" s="5">
        <v>10</v>
      </c>
      <c r="AO246" s="5"/>
      <c r="AP246" s="5">
        <v>0</v>
      </c>
      <c r="AQ246" s="5"/>
      <c r="AR246" s="5">
        <v>0</v>
      </c>
      <c r="AS246" s="5"/>
      <c r="AT246" s="5" t="s">
        <v>997</v>
      </c>
      <c r="AU246" s="5" t="s">
        <v>998</v>
      </c>
      <c r="AV246" s="5" t="s">
        <v>999</v>
      </c>
      <c r="AW246" s="8">
        <f>IFERROR(VLOOKUP(AA246,'Message Lookup'!D:J,7,FALSE),"")</f>
        <v>0</v>
      </c>
    </row>
    <row r="247" spans="1:49" x14ac:dyDescent="0.25">
      <c r="A247" s="5" t="s">
        <v>4574</v>
      </c>
      <c r="B247" s="5" t="s">
        <v>992</v>
      </c>
      <c r="C247" s="5" t="s">
        <v>4575</v>
      </c>
      <c r="D247" s="5"/>
      <c r="E247" s="5"/>
      <c r="F247" s="5"/>
      <c r="G247" s="5"/>
      <c r="H247" s="5"/>
      <c r="I247" s="5"/>
      <c r="J247" s="5"/>
      <c r="K247" s="5" t="s">
        <v>993</v>
      </c>
      <c r="L247" s="5" t="s">
        <v>994</v>
      </c>
      <c r="M247" s="5" t="s">
        <v>4576</v>
      </c>
      <c r="N247" s="5">
        <v>41</v>
      </c>
      <c r="O247" s="5"/>
      <c r="P247" s="5" t="s">
        <v>995</v>
      </c>
      <c r="Q247" s="5">
        <v>36</v>
      </c>
      <c r="R247" s="5">
        <v>24</v>
      </c>
      <c r="S247" s="5">
        <v>13</v>
      </c>
      <c r="T247" s="5">
        <v>0</v>
      </c>
      <c r="U247" s="5" t="b">
        <v>0</v>
      </c>
      <c r="V247" s="5">
        <v>20</v>
      </c>
      <c r="W247" s="5">
        <v>0.15</v>
      </c>
      <c r="X247" s="5" t="s">
        <v>9</v>
      </c>
      <c r="Y247" s="5">
        <v>9</v>
      </c>
      <c r="Z247" s="5"/>
      <c r="AA247" s="5"/>
      <c r="AB247" s="5" t="s">
        <v>370</v>
      </c>
      <c r="AC247" s="5" t="b">
        <v>0</v>
      </c>
      <c r="AD247" s="5"/>
      <c r="AE247" s="5"/>
      <c r="AF247" s="5"/>
      <c r="AG247" s="5">
        <v>51</v>
      </c>
      <c r="AH247" s="5"/>
      <c r="AI247" s="5">
        <v>71</v>
      </c>
      <c r="AJ247" s="5"/>
      <c r="AK247" s="5" t="s">
        <v>996</v>
      </c>
      <c r="AL247" s="5">
        <v>2</v>
      </c>
      <c r="AM247" s="5"/>
      <c r="AN247" s="5">
        <v>10</v>
      </c>
      <c r="AO247" s="5"/>
      <c r="AP247" s="5">
        <v>0</v>
      </c>
      <c r="AQ247" s="5"/>
      <c r="AR247" s="5">
        <v>0</v>
      </c>
      <c r="AS247" s="5"/>
      <c r="AT247" s="5" t="s">
        <v>997</v>
      </c>
      <c r="AU247" s="5" t="s">
        <v>998</v>
      </c>
      <c r="AV247" s="5" t="s">
        <v>999</v>
      </c>
      <c r="AW247" s="8" t="str">
        <f>IFERROR(VLOOKUP(AA247,'Message Lookup'!D:J,7,FALSE),"")</f>
        <v/>
      </c>
    </row>
    <row r="248" spans="1:49" x14ac:dyDescent="0.25">
      <c r="A248" s="5" t="s">
        <v>4574</v>
      </c>
      <c r="B248" s="5" t="s">
        <v>992</v>
      </c>
      <c r="C248" s="5" t="s">
        <v>4575</v>
      </c>
      <c r="D248" s="5"/>
      <c r="E248" s="5"/>
      <c r="F248" s="5"/>
      <c r="G248" s="5"/>
      <c r="H248" s="5"/>
      <c r="I248" s="5"/>
      <c r="J248" s="5"/>
      <c r="K248" s="5" t="s">
        <v>993</v>
      </c>
      <c r="L248" s="5" t="s">
        <v>994</v>
      </c>
      <c r="M248" s="5" t="s">
        <v>4576</v>
      </c>
      <c r="N248" s="5">
        <v>41</v>
      </c>
      <c r="O248" s="5"/>
      <c r="P248" s="5" t="s">
        <v>995</v>
      </c>
      <c r="Q248" s="5">
        <v>36</v>
      </c>
      <c r="R248" s="5">
        <v>24</v>
      </c>
      <c r="S248" s="5">
        <v>13</v>
      </c>
      <c r="T248" s="5">
        <v>0</v>
      </c>
      <c r="U248" s="5" t="b">
        <v>0</v>
      </c>
      <c r="V248" s="5">
        <v>20</v>
      </c>
      <c r="W248" s="5">
        <v>0.15</v>
      </c>
      <c r="X248" s="5" t="s">
        <v>9</v>
      </c>
      <c r="Y248" s="5">
        <v>9</v>
      </c>
      <c r="Z248" s="5"/>
      <c r="AA248" s="5"/>
      <c r="AB248" s="5"/>
      <c r="AC248" s="5"/>
      <c r="AD248" s="5"/>
      <c r="AE248" s="5" t="s">
        <v>1000</v>
      </c>
      <c r="AF248" s="5" t="b">
        <v>0</v>
      </c>
      <c r="AG248" s="5">
        <v>51</v>
      </c>
      <c r="AH248" s="5"/>
      <c r="AI248" s="5">
        <v>71</v>
      </c>
      <c r="AJ248" s="5"/>
      <c r="AK248" s="5" t="s">
        <v>996</v>
      </c>
      <c r="AL248" s="5">
        <v>2</v>
      </c>
      <c r="AM248" s="5"/>
      <c r="AN248" s="5">
        <v>10</v>
      </c>
      <c r="AO248" s="5"/>
      <c r="AP248" s="5">
        <v>0</v>
      </c>
      <c r="AQ248" s="5"/>
      <c r="AR248" s="5">
        <v>0</v>
      </c>
      <c r="AS248" s="5"/>
      <c r="AT248" s="5" t="s">
        <v>997</v>
      </c>
      <c r="AU248" s="5" t="s">
        <v>998</v>
      </c>
      <c r="AV248" s="5" t="s">
        <v>999</v>
      </c>
      <c r="AW248" s="8" t="str">
        <f>IFERROR(VLOOKUP(AA248,'Message Lookup'!D:J,7,FALSE),"")</f>
        <v/>
      </c>
    </row>
    <row r="249" spans="1:49" x14ac:dyDescent="0.25">
      <c r="A249" s="5" t="s">
        <v>4574</v>
      </c>
      <c r="B249" s="5" t="s">
        <v>992</v>
      </c>
      <c r="C249" s="5" t="s">
        <v>4575</v>
      </c>
      <c r="D249" s="5"/>
      <c r="E249" s="5"/>
      <c r="F249" s="5"/>
      <c r="G249" s="5"/>
      <c r="H249" s="5"/>
      <c r="I249" s="5"/>
      <c r="J249" s="5"/>
      <c r="K249" s="5" t="s">
        <v>993</v>
      </c>
      <c r="L249" s="5" t="s">
        <v>994</v>
      </c>
      <c r="M249" s="5" t="s">
        <v>4576</v>
      </c>
      <c r="N249" s="5">
        <v>41</v>
      </c>
      <c r="O249" s="5"/>
      <c r="P249" s="5" t="s">
        <v>995</v>
      </c>
      <c r="Q249" s="5">
        <v>36</v>
      </c>
      <c r="R249" s="5">
        <v>24</v>
      </c>
      <c r="S249" s="5">
        <v>13</v>
      </c>
      <c r="T249" s="5">
        <v>0</v>
      </c>
      <c r="U249" s="5" t="b">
        <v>0</v>
      </c>
      <c r="V249" s="5">
        <v>20</v>
      </c>
      <c r="W249" s="5">
        <v>0.15</v>
      </c>
      <c r="X249" s="5" t="s">
        <v>9</v>
      </c>
      <c r="Y249" s="5">
        <v>9</v>
      </c>
      <c r="Z249" s="5"/>
      <c r="AA249" s="5"/>
      <c r="AB249" s="5"/>
      <c r="AC249" s="5"/>
      <c r="AD249" s="5" t="s">
        <v>1014</v>
      </c>
      <c r="AE249" s="5" t="s">
        <v>1002</v>
      </c>
      <c r="AF249" s="5" t="b">
        <v>0</v>
      </c>
      <c r="AG249" s="5">
        <v>51</v>
      </c>
      <c r="AH249" s="5"/>
      <c r="AI249" s="5">
        <v>71</v>
      </c>
      <c r="AJ249" s="5"/>
      <c r="AK249" s="5" t="s">
        <v>996</v>
      </c>
      <c r="AL249" s="5">
        <v>2</v>
      </c>
      <c r="AM249" s="5"/>
      <c r="AN249" s="5">
        <v>10</v>
      </c>
      <c r="AO249" s="5"/>
      <c r="AP249" s="5">
        <v>0</v>
      </c>
      <c r="AQ249" s="5"/>
      <c r="AR249" s="5">
        <v>0</v>
      </c>
      <c r="AS249" s="5"/>
      <c r="AT249" s="5" t="s">
        <v>997</v>
      </c>
      <c r="AU249" s="5" t="s">
        <v>998</v>
      </c>
      <c r="AV249" s="5" t="s">
        <v>999</v>
      </c>
      <c r="AW249" s="8" t="str">
        <f>IFERROR(VLOOKUP(AA249,'Message Lookup'!D:J,7,FALSE),"")</f>
        <v/>
      </c>
    </row>
    <row r="250" spans="1:49" x14ac:dyDescent="0.25">
      <c r="A250" s="5" t="s">
        <v>4574</v>
      </c>
      <c r="B250" s="5" t="s">
        <v>992</v>
      </c>
      <c r="C250" s="5" t="s">
        <v>4575</v>
      </c>
      <c r="D250" s="5"/>
      <c r="E250" s="5"/>
      <c r="F250" s="5"/>
      <c r="G250" s="5"/>
      <c r="H250" s="5"/>
      <c r="I250" s="5"/>
      <c r="J250" s="5"/>
      <c r="K250" s="5" t="s">
        <v>993</v>
      </c>
      <c r="L250" s="5" t="s">
        <v>994</v>
      </c>
      <c r="M250" s="5" t="s">
        <v>4576</v>
      </c>
      <c r="N250" s="5">
        <v>41</v>
      </c>
      <c r="O250" s="5"/>
      <c r="P250" s="5" t="s">
        <v>995</v>
      </c>
      <c r="Q250" s="5">
        <v>36</v>
      </c>
      <c r="R250" s="5">
        <v>24</v>
      </c>
      <c r="S250" s="5">
        <v>14</v>
      </c>
      <c r="T250" s="5">
        <v>0</v>
      </c>
      <c r="U250" s="5" t="b">
        <v>0</v>
      </c>
      <c r="V250" s="5">
        <v>20</v>
      </c>
      <c r="W250" s="5">
        <v>0.16</v>
      </c>
      <c r="X250" s="5" t="s">
        <v>9</v>
      </c>
      <c r="Y250" s="5">
        <v>9</v>
      </c>
      <c r="Z250" s="5"/>
      <c r="AA250" s="5"/>
      <c r="AB250" s="5" t="s">
        <v>354</v>
      </c>
      <c r="AC250" s="5" t="b">
        <v>0</v>
      </c>
      <c r="AD250" s="5"/>
      <c r="AE250" s="5"/>
      <c r="AF250" s="5"/>
      <c r="AG250" s="5">
        <v>51</v>
      </c>
      <c r="AH250" s="5">
        <v>51</v>
      </c>
      <c r="AI250" s="5">
        <v>177</v>
      </c>
      <c r="AJ250" s="5">
        <v>177</v>
      </c>
      <c r="AK250" s="5" t="s">
        <v>996</v>
      </c>
      <c r="AL250" s="5">
        <v>2</v>
      </c>
      <c r="AM250" s="5"/>
      <c r="AN250" s="5">
        <v>10</v>
      </c>
      <c r="AO250" s="5"/>
      <c r="AP250" s="5">
        <v>0</v>
      </c>
      <c r="AQ250" s="5"/>
      <c r="AR250" s="5">
        <v>0</v>
      </c>
      <c r="AS250" s="5"/>
      <c r="AT250" s="5" t="s">
        <v>997</v>
      </c>
      <c r="AU250" s="5" t="s">
        <v>998</v>
      </c>
      <c r="AV250" s="5" t="s">
        <v>999</v>
      </c>
      <c r="AW250" s="8" t="str">
        <f>IFERROR(VLOOKUP(AA250,'Message Lookup'!D:J,7,FALSE),"")</f>
        <v/>
      </c>
    </row>
    <row r="251" spans="1:49" x14ac:dyDescent="0.25">
      <c r="A251" s="5" t="s">
        <v>4574</v>
      </c>
      <c r="B251" s="5" t="s">
        <v>992</v>
      </c>
      <c r="C251" s="5" t="s">
        <v>4575</v>
      </c>
      <c r="D251" s="5"/>
      <c r="E251" s="5"/>
      <c r="F251" s="5"/>
      <c r="G251" s="5"/>
      <c r="H251" s="5"/>
      <c r="I251" s="5"/>
      <c r="J251" s="5"/>
      <c r="K251" s="5" t="s">
        <v>993</v>
      </c>
      <c r="L251" s="5" t="s">
        <v>994</v>
      </c>
      <c r="M251" s="5" t="s">
        <v>4576</v>
      </c>
      <c r="N251" s="5">
        <v>41</v>
      </c>
      <c r="O251" s="5"/>
      <c r="P251" s="5" t="s">
        <v>995</v>
      </c>
      <c r="Q251" s="5">
        <v>36</v>
      </c>
      <c r="R251" s="5">
        <v>24</v>
      </c>
      <c r="S251" s="5">
        <v>14</v>
      </c>
      <c r="T251" s="5">
        <v>0</v>
      </c>
      <c r="U251" s="5" t="b">
        <v>0</v>
      </c>
      <c r="V251" s="5">
        <v>20</v>
      </c>
      <c r="W251" s="5">
        <v>0.16</v>
      </c>
      <c r="X251" s="5" t="s">
        <v>9</v>
      </c>
      <c r="Y251" s="5">
        <v>9</v>
      </c>
      <c r="Z251" s="5"/>
      <c r="AA251" s="5"/>
      <c r="AB251" s="5" t="s">
        <v>355</v>
      </c>
      <c r="AC251" s="5" t="b">
        <v>0</v>
      </c>
      <c r="AD251" s="5"/>
      <c r="AE251" s="5"/>
      <c r="AF251" s="5"/>
      <c r="AG251" s="5">
        <v>51</v>
      </c>
      <c r="AH251" s="5"/>
      <c r="AI251" s="5">
        <v>177</v>
      </c>
      <c r="AJ251" s="5"/>
      <c r="AK251" s="5" t="s">
        <v>996</v>
      </c>
      <c r="AL251" s="5">
        <v>2</v>
      </c>
      <c r="AM251" s="5"/>
      <c r="AN251" s="5">
        <v>10</v>
      </c>
      <c r="AO251" s="5"/>
      <c r="AP251" s="5">
        <v>0</v>
      </c>
      <c r="AQ251" s="5"/>
      <c r="AR251" s="5">
        <v>0</v>
      </c>
      <c r="AS251" s="5"/>
      <c r="AT251" s="5" t="s">
        <v>997</v>
      </c>
      <c r="AU251" s="5" t="s">
        <v>998</v>
      </c>
      <c r="AV251" s="5" t="s">
        <v>999</v>
      </c>
      <c r="AW251" s="8" t="str">
        <f>IFERROR(VLOOKUP(AA251,'Message Lookup'!D:J,7,FALSE),"")</f>
        <v/>
      </c>
    </row>
    <row r="252" spans="1:49" x14ac:dyDescent="0.25">
      <c r="A252" s="5" t="s">
        <v>4574</v>
      </c>
      <c r="B252" s="5" t="s">
        <v>992</v>
      </c>
      <c r="C252" s="5" t="s">
        <v>4575</v>
      </c>
      <c r="D252" s="5"/>
      <c r="E252" s="5"/>
      <c r="F252" s="5"/>
      <c r="G252" s="5"/>
      <c r="H252" s="5"/>
      <c r="I252" s="5"/>
      <c r="J252" s="5"/>
      <c r="K252" s="5" t="s">
        <v>993</v>
      </c>
      <c r="L252" s="5" t="s">
        <v>994</v>
      </c>
      <c r="M252" s="5" t="s">
        <v>4576</v>
      </c>
      <c r="N252" s="5">
        <v>41</v>
      </c>
      <c r="O252" s="5"/>
      <c r="P252" s="5" t="s">
        <v>995</v>
      </c>
      <c r="Q252" s="5">
        <v>36</v>
      </c>
      <c r="R252" s="5">
        <v>24</v>
      </c>
      <c r="S252" s="5">
        <v>14</v>
      </c>
      <c r="T252" s="5">
        <v>0</v>
      </c>
      <c r="U252" s="5" t="b">
        <v>0</v>
      </c>
      <c r="V252" s="5">
        <v>20</v>
      </c>
      <c r="W252" s="5">
        <v>0.16</v>
      </c>
      <c r="X252" s="5" t="s">
        <v>9</v>
      </c>
      <c r="Y252" s="5">
        <v>9</v>
      </c>
      <c r="Z252" s="5"/>
      <c r="AA252" s="5"/>
      <c r="AB252" s="5" t="s">
        <v>356</v>
      </c>
      <c r="AC252" s="5" t="b">
        <v>0</v>
      </c>
      <c r="AD252" s="5"/>
      <c r="AE252" s="5"/>
      <c r="AF252" s="5"/>
      <c r="AG252" s="5">
        <v>51</v>
      </c>
      <c r="AH252" s="5"/>
      <c r="AI252" s="5">
        <v>177</v>
      </c>
      <c r="AJ252" s="5"/>
      <c r="AK252" s="5" t="s">
        <v>996</v>
      </c>
      <c r="AL252" s="5">
        <v>2</v>
      </c>
      <c r="AM252" s="5"/>
      <c r="AN252" s="5">
        <v>10</v>
      </c>
      <c r="AO252" s="5"/>
      <c r="AP252" s="5">
        <v>0</v>
      </c>
      <c r="AQ252" s="5"/>
      <c r="AR252" s="5">
        <v>0</v>
      </c>
      <c r="AS252" s="5"/>
      <c r="AT252" s="5" t="s">
        <v>997</v>
      </c>
      <c r="AU252" s="5" t="s">
        <v>998</v>
      </c>
      <c r="AV252" s="5" t="s">
        <v>999</v>
      </c>
      <c r="AW252" s="8" t="str">
        <f>IFERROR(VLOOKUP(AA252,'Message Lookup'!D:J,7,FALSE),"")</f>
        <v/>
      </c>
    </row>
    <row r="253" spans="1:49" x14ac:dyDescent="0.25">
      <c r="A253" s="5" t="s">
        <v>4574</v>
      </c>
      <c r="B253" s="5" t="s">
        <v>992</v>
      </c>
      <c r="C253" s="5" t="s">
        <v>4575</v>
      </c>
      <c r="D253" s="5"/>
      <c r="E253" s="5"/>
      <c r="F253" s="5"/>
      <c r="G253" s="5"/>
      <c r="H253" s="5"/>
      <c r="I253" s="5"/>
      <c r="J253" s="5"/>
      <c r="K253" s="5" t="s">
        <v>993</v>
      </c>
      <c r="L253" s="5" t="s">
        <v>994</v>
      </c>
      <c r="M253" s="5" t="s">
        <v>4576</v>
      </c>
      <c r="N253" s="5">
        <v>41</v>
      </c>
      <c r="O253" s="5"/>
      <c r="P253" s="5" t="s">
        <v>995</v>
      </c>
      <c r="Q253" s="5">
        <v>36</v>
      </c>
      <c r="R253" s="5">
        <v>24</v>
      </c>
      <c r="S253" s="5">
        <v>14</v>
      </c>
      <c r="T253" s="5">
        <v>0</v>
      </c>
      <c r="U253" s="5" t="b">
        <v>0</v>
      </c>
      <c r="V253" s="5">
        <v>20</v>
      </c>
      <c r="W253" s="5">
        <v>0.16</v>
      </c>
      <c r="X253" s="5" t="s">
        <v>9</v>
      </c>
      <c r="Y253" s="5">
        <v>9</v>
      </c>
      <c r="Z253" s="5"/>
      <c r="AA253" s="5"/>
      <c r="AB253" s="5" t="s">
        <v>357</v>
      </c>
      <c r="AC253" s="5" t="b">
        <v>0</v>
      </c>
      <c r="AD253" s="5"/>
      <c r="AE253" s="5"/>
      <c r="AF253" s="5"/>
      <c r="AG253" s="5">
        <v>51</v>
      </c>
      <c r="AH253" s="5"/>
      <c r="AI253" s="5">
        <v>177</v>
      </c>
      <c r="AJ253" s="5"/>
      <c r="AK253" s="5" t="s">
        <v>996</v>
      </c>
      <c r="AL253" s="5">
        <v>2</v>
      </c>
      <c r="AM253" s="5"/>
      <c r="AN253" s="5">
        <v>10</v>
      </c>
      <c r="AO253" s="5"/>
      <c r="AP253" s="5">
        <v>0</v>
      </c>
      <c r="AQ253" s="5"/>
      <c r="AR253" s="5">
        <v>0</v>
      </c>
      <c r="AS253" s="5"/>
      <c r="AT253" s="5" t="s">
        <v>997</v>
      </c>
      <c r="AU253" s="5" t="s">
        <v>998</v>
      </c>
      <c r="AV253" s="5" t="s">
        <v>999</v>
      </c>
      <c r="AW253" s="8" t="str">
        <f>IFERROR(VLOOKUP(AA253,'Message Lookup'!D:J,7,FALSE),"")</f>
        <v/>
      </c>
    </row>
    <row r="254" spans="1:49" x14ac:dyDescent="0.25">
      <c r="A254" s="5" t="s">
        <v>4574</v>
      </c>
      <c r="B254" s="5" t="s">
        <v>992</v>
      </c>
      <c r="C254" s="5" t="s">
        <v>4575</v>
      </c>
      <c r="D254" s="5"/>
      <c r="E254" s="5"/>
      <c r="F254" s="5"/>
      <c r="G254" s="5"/>
      <c r="H254" s="5"/>
      <c r="I254" s="5"/>
      <c r="J254" s="5"/>
      <c r="K254" s="5" t="s">
        <v>993</v>
      </c>
      <c r="L254" s="5" t="s">
        <v>994</v>
      </c>
      <c r="M254" s="5" t="s">
        <v>4576</v>
      </c>
      <c r="N254" s="5">
        <v>41</v>
      </c>
      <c r="O254" s="5"/>
      <c r="P254" s="5" t="s">
        <v>995</v>
      </c>
      <c r="Q254" s="5">
        <v>36</v>
      </c>
      <c r="R254" s="5">
        <v>24</v>
      </c>
      <c r="S254" s="5">
        <v>14</v>
      </c>
      <c r="T254" s="5">
        <v>0</v>
      </c>
      <c r="U254" s="5" t="b">
        <v>0</v>
      </c>
      <c r="V254" s="5">
        <v>20</v>
      </c>
      <c r="W254" s="5">
        <v>0.16</v>
      </c>
      <c r="X254" s="5" t="s">
        <v>9</v>
      </c>
      <c r="Y254" s="5">
        <v>9</v>
      </c>
      <c r="Z254" s="5"/>
      <c r="AA254" s="5"/>
      <c r="AB254" s="5" t="s">
        <v>358</v>
      </c>
      <c r="AC254" s="5" t="b">
        <v>0</v>
      </c>
      <c r="AD254" s="5"/>
      <c r="AE254" s="5"/>
      <c r="AF254" s="5"/>
      <c r="AG254" s="5">
        <v>51</v>
      </c>
      <c r="AH254" s="5"/>
      <c r="AI254" s="5">
        <v>177</v>
      </c>
      <c r="AJ254" s="5"/>
      <c r="AK254" s="5" t="s">
        <v>996</v>
      </c>
      <c r="AL254" s="5">
        <v>2</v>
      </c>
      <c r="AM254" s="5"/>
      <c r="AN254" s="5">
        <v>10</v>
      </c>
      <c r="AO254" s="5"/>
      <c r="AP254" s="5">
        <v>0</v>
      </c>
      <c r="AQ254" s="5"/>
      <c r="AR254" s="5">
        <v>0</v>
      </c>
      <c r="AS254" s="5"/>
      <c r="AT254" s="5" t="s">
        <v>997</v>
      </c>
      <c r="AU254" s="5" t="s">
        <v>998</v>
      </c>
      <c r="AV254" s="5" t="s">
        <v>999</v>
      </c>
      <c r="AW254" s="8" t="str">
        <f>IFERROR(VLOOKUP(AA254,'Message Lookup'!D:J,7,FALSE),"")</f>
        <v/>
      </c>
    </row>
    <row r="255" spans="1:49" x14ac:dyDescent="0.25">
      <c r="A255" s="5" t="s">
        <v>4574</v>
      </c>
      <c r="B255" s="5" t="s">
        <v>992</v>
      </c>
      <c r="C255" s="5" t="s">
        <v>4575</v>
      </c>
      <c r="D255" s="5"/>
      <c r="E255" s="5"/>
      <c r="F255" s="5"/>
      <c r="G255" s="5"/>
      <c r="H255" s="5"/>
      <c r="I255" s="5"/>
      <c r="J255" s="5"/>
      <c r="K255" s="5" t="s">
        <v>993</v>
      </c>
      <c r="L255" s="5" t="s">
        <v>994</v>
      </c>
      <c r="M255" s="5" t="s">
        <v>4576</v>
      </c>
      <c r="N255" s="5">
        <v>41</v>
      </c>
      <c r="O255" s="5"/>
      <c r="P255" s="5" t="s">
        <v>995</v>
      </c>
      <c r="Q255" s="5">
        <v>36</v>
      </c>
      <c r="R255" s="5">
        <v>24</v>
      </c>
      <c r="S255" s="5">
        <v>14</v>
      </c>
      <c r="T255" s="5">
        <v>0</v>
      </c>
      <c r="U255" s="5" t="b">
        <v>0</v>
      </c>
      <c r="V255" s="5">
        <v>20</v>
      </c>
      <c r="W255" s="5">
        <v>0.16</v>
      </c>
      <c r="X255" s="5" t="s">
        <v>9</v>
      </c>
      <c r="Y255" s="5">
        <v>9</v>
      </c>
      <c r="Z255" s="5"/>
      <c r="AA255" s="5" t="s">
        <v>213</v>
      </c>
      <c r="AB255" s="5" t="s">
        <v>359</v>
      </c>
      <c r="AC255" s="5" t="b">
        <v>0</v>
      </c>
      <c r="AD255" s="5"/>
      <c r="AE255" s="5"/>
      <c r="AF255" s="5"/>
      <c r="AG255" s="5">
        <v>51</v>
      </c>
      <c r="AH255" s="5"/>
      <c r="AI255" s="5">
        <v>177</v>
      </c>
      <c r="AJ255" s="5"/>
      <c r="AK255" s="5" t="s">
        <v>996</v>
      </c>
      <c r="AL255" s="5">
        <v>2</v>
      </c>
      <c r="AM255" s="5"/>
      <c r="AN255" s="5">
        <v>10</v>
      </c>
      <c r="AO255" s="5"/>
      <c r="AP255" s="5">
        <v>0</v>
      </c>
      <c r="AQ255" s="5"/>
      <c r="AR255" s="5">
        <v>0</v>
      </c>
      <c r="AS255" s="5"/>
      <c r="AT255" s="5" t="s">
        <v>997</v>
      </c>
      <c r="AU255" s="5" t="s">
        <v>998</v>
      </c>
      <c r="AV255" s="5" t="s">
        <v>999</v>
      </c>
      <c r="AW255" s="8" t="str">
        <f>IFERROR(VLOOKUP(AA255,'Message Lookup'!D:J,7,FALSE),"")</f>
        <v>AC fail from MCC alarm latched</v>
      </c>
    </row>
    <row r="256" spans="1:49" x14ac:dyDescent="0.25">
      <c r="A256" s="5" t="s">
        <v>4574</v>
      </c>
      <c r="B256" s="5" t="s">
        <v>992</v>
      </c>
      <c r="C256" s="5" t="s">
        <v>4575</v>
      </c>
      <c r="D256" s="5"/>
      <c r="E256" s="5"/>
      <c r="F256" s="5"/>
      <c r="G256" s="5"/>
      <c r="H256" s="5"/>
      <c r="I256" s="5"/>
      <c r="J256" s="5"/>
      <c r="K256" s="5" t="s">
        <v>993</v>
      </c>
      <c r="L256" s="5" t="s">
        <v>994</v>
      </c>
      <c r="M256" s="5" t="s">
        <v>4576</v>
      </c>
      <c r="N256" s="5">
        <v>41</v>
      </c>
      <c r="O256" s="5"/>
      <c r="P256" s="5" t="s">
        <v>995</v>
      </c>
      <c r="Q256" s="5">
        <v>36</v>
      </c>
      <c r="R256" s="5">
        <v>24</v>
      </c>
      <c r="S256" s="5">
        <v>14</v>
      </c>
      <c r="T256" s="5">
        <v>0</v>
      </c>
      <c r="U256" s="5" t="b">
        <v>0</v>
      </c>
      <c r="V256" s="5">
        <v>20</v>
      </c>
      <c r="W256" s="5">
        <v>0.16</v>
      </c>
      <c r="X256" s="5" t="s">
        <v>9</v>
      </c>
      <c r="Y256" s="5">
        <v>9</v>
      </c>
      <c r="Z256" s="5"/>
      <c r="AA256" s="5" t="s">
        <v>214</v>
      </c>
      <c r="AB256" s="5" t="s">
        <v>360</v>
      </c>
      <c r="AC256" s="5" t="b">
        <v>0</v>
      </c>
      <c r="AD256" s="5"/>
      <c r="AE256" s="5"/>
      <c r="AF256" s="5"/>
      <c r="AG256" s="5">
        <v>51</v>
      </c>
      <c r="AH256" s="5"/>
      <c r="AI256" s="5">
        <v>177</v>
      </c>
      <c r="AJ256" s="5"/>
      <c r="AK256" s="5" t="s">
        <v>996</v>
      </c>
      <c r="AL256" s="5">
        <v>2</v>
      </c>
      <c r="AM256" s="5"/>
      <c r="AN256" s="5">
        <v>10</v>
      </c>
      <c r="AO256" s="5"/>
      <c r="AP256" s="5">
        <v>0</v>
      </c>
      <c r="AQ256" s="5"/>
      <c r="AR256" s="5">
        <v>0</v>
      </c>
      <c r="AS256" s="5"/>
      <c r="AT256" s="5" t="s">
        <v>997</v>
      </c>
      <c r="AU256" s="5" t="s">
        <v>998</v>
      </c>
      <c r="AV256" s="5" t="s">
        <v>999</v>
      </c>
      <c r="AW256" s="8" t="str">
        <f>IFERROR(VLOOKUP(AA256,'Message Lookup'!D:J,7,FALSE),"")</f>
        <v>Pump 1 ESD push button alarm latched</v>
      </c>
    </row>
    <row r="257" spans="1:49" x14ac:dyDescent="0.25">
      <c r="A257" s="5" t="s">
        <v>4574</v>
      </c>
      <c r="B257" s="5" t="s">
        <v>992</v>
      </c>
      <c r="C257" s="5" t="s">
        <v>4575</v>
      </c>
      <c r="D257" s="5"/>
      <c r="E257" s="5"/>
      <c r="F257" s="5"/>
      <c r="G257" s="5"/>
      <c r="H257" s="5"/>
      <c r="I257" s="5"/>
      <c r="J257" s="5"/>
      <c r="K257" s="5" t="s">
        <v>993</v>
      </c>
      <c r="L257" s="5" t="s">
        <v>994</v>
      </c>
      <c r="M257" s="5" t="s">
        <v>4576</v>
      </c>
      <c r="N257" s="5">
        <v>41</v>
      </c>
      <c r="O257" s="5"/>
      <c r="P257" s="5" t="s">
        <v>995</v>
      </c>
      <c r="Q257" s="5">
        <v>36</v>
      </c>
      <c r="R257" s="5">
        <v>24</v>
      </c>
      <c r="S257" s="5">
        <v>14</v>
      </c>
      <c r="T257" s="5">
        <v>0</v>
      </c>
      <c r="U257" s="5" t="b">
        <v>0</v>
      </c>
      <c r="V257" s="5">
        <v>20</v>
      </c>
      <c r="W257" s="5">
        <v>0.16</v>
      </c>
      <c r="X257" s="5" t="s">
        <v>9</v>
      </c>
      <c r="Y257" s="5">
        <v>9</v>
      </c>
      <c r="Z257" s="5"/>
      <c r="AA257" s="5" t="s">
        <v>215</v>
      </c>
      <c r="AB257" s="5" t="s">
        <v>361</v>
      </c>
      <c r="AC257" s="5" t="b">
        <v>0</v>
      </c>
      <c r="AD257" s="5"/>
      <c r="AE257" s="5"/>
      <c r="AF257" s="5"/>
      <c r="AG257" s="5">
        <v>51</v>
      </c>
      <c r="AH257" s="5"/>
      <c r="AI257" s="5">
        <v>177</v>
      </c>
      <c r="AJ257" s="5"/>
      <c r="AK257" s="5" t="s">
        <v>996</v>
      </c>
      <c r="AL257" s="5">
        <v>2</v>
      </c>
      <c r="AM257" s="5"/>
      <c r="AN257" s="5">
        <v>10</v>
      </c>
      <c r="AO257" s="5"/>
      <c r="AP257" s="5">
        <v>0</v>
      </c>
      <c r="AQ257" s="5"/>
      <c r="AR257" s="5">
        <v>0</v>
      </c>
      <c r="AS257" s="5"/>
      <c r="AT257" s="5" t="s">
        <v>997</v>
      </c>
      <c r="AU257" s="5" t="s">
        <v>998</v>
      </c>
      <c r="AV257" s="5" t="s">
        <v>999</v>
      </c>
      <c r="AW257" s="8" t="str">
        <f>IFERROR(VLOOKUP(AA257,'Message Lookup'!D:J,7,FALSE),"")</f>
        <v>MCC Building esd push button alarm altched</v>
      </c>
    </row>
    <row r="258" spans="1:49" x14ac:dyDescent="0.25">
      <c r="A258" s="5" t="s">
        <v>4574</v>
      </c>
      <c r="B258" s="5" t="s">
        <v>992</v>
      </c>
      <c r="C258" s="5" t="s">
        <v>4575</v>
      </c>
      <c r="D258" s="5"/>
      <c r="E258" s="5"/>
      <c r="F258" s="5"/>
      <c r="G258" s="5"/>
      <c r="H258" s="5"/>
      <c r="I258" s="5"/>
      <c r="J258" s="5"/>
      <c r="K258" s="5" t="s">
        <v>993</v>
      </c>
      <c r="L258" s="5" t="s">
        <v>994</v>
      </c>
      <c r="M258" s="5" t="s">
        <v>4576</v>
      </c>
      <c r="N258" s="5">
        <v>41</v>
      </c>
      <c r="O258" s="5"/>
      <c r="P258" s="5" t="s">
        <v>995</v>
      </c>
      <c r="Q258" s="5">
        <v>36</v>
      </c>
      <c r="R258" s="5">
        <v>24</v>
      </c>
      <c r="S258" s="5">
        <v>14</v>
      </c>
      <c r="T258" s="5">
        <v>0</v>
      </c>
      <c r="U258" s="5" t="b">
        <v>0</v>
      </c>
      <c r="V258" s="5">
        <v>20</v>
      </c>
      <c r="W258" s="5">
        <v>0.16</v>
      </c>
      <c r="X258" s="5" t="s">
        <v>9</v>
      </c>
      <c r="Y258" s="5">
        <v>9</v>
      </c>
      <c r="Z258" s="5"/>
      <c r="AA258" s="5" t="s">
        <v>216</v>
      </c>
      <c r="AB258" s="5" t="s">
        <v>362</v>
      </c>
      <c r="AC258" s="5" t="b">
        <v>0</v>
      </c>
      <c r="AD258" s="5"/>
      <c r="AE258" s="5"/>
      <c r="AF258" s="5"/>
      <c r="AG258" s="5">
        <v>51</v>
      </c>
      <c r="AH258" s="5"/>
      <c r="AI258" s="5">
        <v>177</v>
      </c>
      <c r="AJ258" s="5"/>
      <c r="AK258" s="5" t="s">
        <v>996</v>
      </c>
      <c r="AL258" s="5">
        <v>2</v>
      </c>
      <c r="AM258" s="5"/>
      <c r="AN258" s="5">
        <v>10</v>
      </c>
      <c r="AO258" s="5"/>
      <c r="AP258" s="5">
        <v>0</v>
      </c>
      <c r="AQ258" s="5"/>
      <c r="AR258" s="5">
        <v>0</v>
      </c>
      <c r="AS258" s="5"/>
      <c r="AT258" s="5" t="s">
        <v>997</v>
      </c>
      <c r="AU258" s="5" t="s">
        <v>998</v>
      </c>
      <c r="AV258" s="5" t="s">
        <v>999</v>
      </c>
      <c r="AW258" s="8" t="str">
        <f>IFERROR(VLOOKUP(AA258,'Message Lookup'!D:J,7,FALSE),"")</f>
        <v>Pump 2 ESD push button alarm latched</v>
      </c>
    </row>
    <row r="259" spans="1:49" x14ac:dyDescent="0.25">
      <c r="A259" s="5" t="s">
        <v>4574</v>
      </c>
      <c r="B259" s="5" t="s">
        <v>992</v>
      </c>
      <c r="C259" s="5" t="s">
        <v>4575</v>
      </c>
      <c r="D259" s="5"/>
      <c r="E259" s="5"/>
      <c r="F259" s="5"/>
      <c r="G259" s="5"/>
      <c r="H259" s="5"/>
      <c r="I259" s="5"/>
      <c r="J259" s="5"/>
      <c r="K259" s="5" t="s">
        <v>993</v>
      </c>
      <c r="L259" s="5" t="s">
        <v>994</v>
      </c>
      <c r="M259" s="5" t="s">
        <v>4576</v>
      </c>
      <c r="N259" s="5">
        <v>41</v>
      </c>
      <c r="O259" s="5"/>
      <c r="P259" s="5" t="s">
        <v>995</v>
      </c>
      <c r="Q259" s="5">
        <v>36</v>
      </c>
      <c r="R259" s="5">
        <v>24</v>
      </c>
      <c r="S259" s="5">
        <v>14</v>
      </c>
      <c r="T259" s="5">
        <v>0</v>
      </c>
      <c r="U259" s="5" t="b">
        <v>0</v>
      </c>
      <c r="V259" s="5">
        <v>20</v>
      </c>
      <c r="W259" s="5">
        <v>0.16</v>
      </c>
      <c r="X259" s="5" t="s">
        <v>9</v>
      </c>
      <c r="Y259" s="5">
        <v>9</v>
      </c>
      <c r="Z259" s="5"/>
      <c r="AA259" s="5" t="s">
        <v>217</v>
      </c>
      <c r="AB259" s="5" t="s">
        <v>363</v>
      </c>
      <c r="AC259" s="5" t="b">
        <v>0</v>
      </c>
      <c r="AD259" s="5"/>
      <c r="AE259" s="5"/>
      <c r="AF259" s="5"/>
      <c r="AG259" s="5">
        <v>51</v>
      </c>
      <c r="AH259" s="5"/>
      <c r="AI259" s="5">
        <v>177</v>
      </c>
      <c r="AJ259" s="5"/>
      <c r="AK259" s="5" t="s">
        <v>996</v>
      </c>
      <c r="AL259" s="5">
        <v>2</v>
      </c>
      <c r="AM259" s="5"/>
      <c r="AN259" s="5">
        <v>10</v>
      </c>
      <c r="AO259" s="5"/>
      <c r="AP259" s="5">
        <v>0</v>
      </c>
      <c r="AQ259" s="5"/>
      <c r="AR259" s="5">
        <v>0</v>
      </c>
      <c r="AS259" s="5"/>
      <c r="AT259" s="5" t="s">
        <v>997</v>
      </c>
      <c r="AU259" s="5" t="s">
        <v>998</v>
      </c>
      <c r="AV259" s="5" t="s">
        <v>999</v>
      </c>
      <c r="AW259" s="8" t="str">
        <f>IFERROR(VLOOKUP(AA259,'Message Lookup'!D:J,7,FALSE),"")</f>
        <v>Pump 4 ESD push button alarm latched</v>
      </c>
    </row>
    <row r="260" spans="1:49" x14ac:dyDescent="0.25">
      <c r="A260" s="5" t="s">
        <v>4574</v>
      </c>
      <c r="B260" s="5" t="s">
        <v>992</v>
      </c>
      <c r="C260" s="5" t="s">
        <v>4575</v>
      </c>
      <c r="D260" s="5"/>
      <c r="E260" s="5"/>
      <c r="F260" s="5"/>
      <c r="G260" s="5"/>
      <c r="H260" s="5"/>
      <c r="I260" s="5"/>
      <c r="J260" s="5"/>
      <c r="K260" s="5" t="s">
        <v>993</v>
      </c>
      <c r="L260" s="5" t="s">
        <v>994</v>
      </c>
      <c r="M260" s="5" t="s">
        <v>4576</v>
      </c>
      <c r="N260" s="5">
        <v>41</v>
      </c>
      <c r="O260" s="5"/>
      <c r="P260" s="5" t="s">
        <v>995</v>
      </c>
      <c r="Q260" s="5">
        <v>36</v>
      </c>
      <c r="R260" s="5">
        <v>24</v>
      </c>
      <c r="S260" s="5">
        <v>14</v>
      </c>
      <c r="T260" s="5">
        <v>0</v>
      </c>
      <c r="U260" s="5" t="b">
        <v>0</v>
      </c>
      <c r="V260" s="5">
        <v>20</v>
      </c>
      <c r="W260" s="5">
        <v>0.16</v>
      </c>
      <c r="X260" s="5" t="s">
        <v>9</v>
      </c>
      <c r="Y260" s="5">
        <v>9</v>
      </c>
      <c r="Z260" s="5"/>
      <c r="AA260" s="5" t="s">
        <v>218</v>
      </c>
      <c r="AB260" s="5" t="s">
        <v>364</v>
      </c>
      <c r="AC260" s="5" t="b">
        <v>0</v>
      </c>
      <c r="AD260" s="5"/>
      <c r="AE260" s="5"/>
      <c r="AF260" s="5"/>
      <c r="AG260" s="5">
        <v>51</v>
      </c>
      <c r="AH260" s="5"/>
      <c r="AI260" s="5">
        <v>177</v>
      </c>
      <c r="AJ260" s="5"/>
      <c r="AK260" s="5" t="s">
        <v>996</v>
      </c>
      <c r="AL260" s="5">
        <v>2</v>
      </c>
      <c r="AM260" s="5"/>
      <c r="AN260" s="5">
        <v>10</v>
      </c>
      <c r="AO260" s="5"/>
      <c r="AP260" s="5">
        <v>0</v>
      </c>
      <c r="AQ260" s="5"/>
      <c r="AR260" s="5">
        <v>0</v>
      </c>
      <c r="AS260" s="5"/>
      <c r="AT260" s="5" t="s">
        <v>997</v>
      </c>
      <c r="AU260" s="5" t="s">
        <v>998</v>
      </c>
      <c r="AV260" s="5" t="s">
        <v>999</v>
      </c>
      <c r="AW260" s="8" t="str">
        <f>IFERROR(VLOOKUP(AA260,'Message Lookup'!D:J,7,FALSE),"")</f>
        <v>50 / 51 ground fault alarm latched</v>
      </c>
    </row>
    <row r="261" spans="1:49" x14ac:dyDescent="0.25">
      <c r="A261" s="5" t="s">
        <v>4574</v>
      </c>
      <c r="B261" s="5" t="s">
        <v>992</v>
      </c>
      <c r="C261" s="5" t="s">
        <v>4575</v>
      </c>
      <c r="D261" s="5"/>
      <c r="E261" s="5"/>
      <c r="F261" s="5"/>
      <c r="G261" s="5"/>
      <c r="H261" s="5"/>
      <c r="I261" s="5"/>
      <c r="J261" s="5"/>
      <c r="K261" s="5" t="s">
        <v>993</v>
      </c>
      <c r="L261" s="5" t="s">
        <v>994</v>
      </c>
      <c r="M261" s="5" t="s">
        <v>4576</v>
      </c>
      <c r="N261" s="5">
        <v>41</v>
      </c>
      <c r="O261" s="5"/>
      <c r="P261" s="5" t="s">
        <v>995</v>
      </c>
      <c r="Q261" s="5">
        <v>36</v>
      </c>
      <c r="R261" s="5">
        <v>24</v>
      </c>
      <c r="S261" s="5">
        <v>14</v>
      </c>
      <c r="T261" s="5">
        <v>0</v>
      </c>
      <c r="U261" s="5" t="b">
        <v>0</v>
      </c>
      <c r="V261" s="5">
        <v>20</v>
      </c>
      <c r="W261" s="5">
        <v>0.16</v>
      </c>
      <c r="X261" s="5" t="s">
        <v>9</v>
      </c>
      <c r="Y261" s="5">
        <v>9</v>
      </c>
      <c r="Z261" s="5"/>
      <c r="AA261" s="5" t="s">
        <v>219</v>
      </c>
      <c r="AB261" s="5" t="s">
        <v>365</v>
      </c>
      <c r="AC261" s="5" t="b">
        <v>0</v>
      </c>
      <c r="AD261" s="5"/>
      <c r="AE261" s="5"/>
      <c r="AF261" s="5"/>
      <c r="AG261" s="5">
        <v>51</v>
      </c>
      <c r="AH261" s="5"/>
      <c r="AI261" s="5">
        <v>177</v>
      </c>
      <c r="AJ261" s="5"/>
      <c r="AK261" s="5" t="s">
        <v>996</v>
      </c>
      <c r="AL261" s="5">
        <v>2</v>
      </c>
      <c r="AM261" s="5"/>
      <c r="AN261" s="5">
        <v>10</v>
      </c>
      <c r="AO261" s="5"/>
      <c r="AP261" s="5">
        <v>0</v>
      </c>
      <c r="AQ261" s="5"/>
      <c r="AR261" s="5">
        <v>0</v>
      </c>
      <c r="AS261" s="5"/>
      <c r="AT261" s="5" t="s">
        <v>997</v>
      </c>
      <c r="AU261" s="5" t="s">
        <v>998</v>
      </c>
      <c r="AV261" s="5" t="s">
        <v>999</v>
      </c>
      <c r="AW261" s="8" t="str">
        <f>IFERROR(VLOOKUP(AA261,'Message Lookup'!D:J,7,FALSE),"")</f>
        <v>High level sampler cabinet alarm latched</v>
      </c>
    </row>
    <row r="262" spans="1:49" x14ac:dyDescent="0.25">
      <c r="A262" s="5" t="s">
        <v>4574</v>
      </c>
      <c r="B262" s="5" t="s">
        <v>992</v>
      </c>
      <c r="C262" s="5" t="s">
        <v>4575</v>
      </c>
      <c r="D262" s="5"/>
      <c r="E262" s="5"/>
      <c r="F262" s="5"/>
      <c r="G262" s="5"/>
      <c r="H262" s="5"/>
      <c r="I262" s="5"/>
      <c r="J262" s="5"/>
      <c r="K262" s="5" t="s">
        <v>993</v>
      </c>
      <c r="L262" s="5" t="s">
        <v>994</v>
      </c>
      <c r="M262" s="5" t="s">
        <v>4576</v>
      </c>
      <c r="N262" s="5">
        <v>41</v>
      </c>
      <c r="O262" s="5"/>
      <c r="P262" s="5" t="s">
        <v>995</v>
      </c>
      <c r="Q262" s="5">
        <v>36</v>
      </c>
      <c r="R262" s="5">
        <v>24</v>
      </c>
      <c r="S262" s="5">
        <v>14</v>
      </c>
      <c r="T262" s="5">
        <v>0</v>
      </c>
      <c r="U262" s="5" t="b">
        <v>0</v>
      </c>
      <c r="V262" s="5">
        <v>20</v>
      </c>
      <c r="W262" s="5">
        <v>0.16</v>
      </c>
      <c r="X262" s="5" t="s">
        <v>9</v>
      </c>
      <c r="Y262" s="5">
        <v>9</v>
      </c>
      <c r="Z262" s="5"/>
      <c r="AA262" s="5" t="s">
        <v>220</v>
      </c>
      <c r="AB262" s="5" t="s">
        <v>366</v>
      </c>
      <c r="AC262" s="5" t="b">
        <v>0</v>
      </c>
      <c r="AD262" s="5"/>
      <c r="AE262" s="5"/>
      <c r="AF262" s="5"/>
      <c r="AG262" s="5">
        <v>51</v>
      </c>
      <c r="AH262" s="5"/>
      <c r="AI262" s="5">
        <v>177</v>
      </c>
      <c r="AJ262" s="5"/>
      <c r="AK262" s="5" t="s">
        <v>996</v>
      </c>
      <c r="AL262" s="5">
        <v>2</v>
      </c>
      <c r="AM262" s="5"/>
      <c r="AN262" s="5">
        <v>10</v>
      </c>
      <c r="AO262" s="5"/>
      <c r="AP262" s="5">
        <v>0</v>
      </c>
      <c r="AQ262" s="5"/>
      <c r="AR262" s="5">
        <v>0</v>
      </c>
      <c r="AS262" s="5"/>
      <c r="AT262" s="5" t="s">
        <v>997</v>
      </c>
      <c r="AU262" s="5" t="s">
        <v>998</v>
      </c>
      <c r="AV262" s="5" t="s">
        <v>999</v>
      </c>
      <c r="AW262" s="8" t="str">
        <f>IFERROR(VLOOKUP(AA262,'Message Lookup'!D:J,7,FALSE),"")</f>
        <v>Pump 1 seal leak detection level alarm latched</v>
      </c>
    </row>
    <row r="263" spans="1:49" x14ac:dyDescent="0.25">
      <c r="A263" s="5" t="s">
        <v>4574</v>
      </c>
      <c r="B263" s="5" t="s">
        <v>992</v>
      </c>
      <c r="C263" s="5" t="s">
        <v>4575</v>
      </c>
      <c r="D263" s="5"/>
      <c r="E263" s="5"/>
      <c r="F263" s="5"/>
      <c r="G263" s="5"/>
      <c r="H263" s="5"/>
      <c r="I263" s="5"/>
      <c r="J263" s="5"/>
      <c r="K263" s="5" t="s">
        <v>993</v>
      </c>
      <c r="L263" s="5" t="s">
        <v>994</v>
      </c>
      <c r="M263" s="5" t="s">
        <v>4576</v>
      </c>
      <c r="N263" s="5">
        <v>41</v>
      </c>
      <c r="O263" s="5"/>
      <c r="P263" s="5" t="s">
        <v>995</v>
      </c>
      <c r="Q263" s="5">
        <v>36</v>
      </c>
      <c r="R263" s="5">
        <v>24</v>
      </c>
      <c r="S263" s="5">
        <v>14</v>
      </c>
      <c r="T263" s="5">
        <v>0</v>
      </c>
      <c r="U263" s="5" t="b">
        <v>0</v>
      </c>
      <c r="V263" s="5">
        <v>20</v>
      </c>
      <c r="W263" s="5">
        <v>0.16</v>
      </c>
      <c r="X263" s="5" t="s">
        <v>9</v>
      </c>
      <c r="Y263" s="5">
        <v>9</v>
      </c>
      <c r="Z263" s="5"/>
      <c r="AA263" s="5" t="s">
        <v>221</v>
      </c>
      <c r="AB263" s="5" t="s">
        <v>367</v>
      </c>
      <c r="AC263" s="5" t="b">
        <v>0</v>
      </c>
      <c r="AD263" s="5"/>
      <c r="AE263" s="5"/>
      <c r="AF263" s="5"/>
      <c r="AG263" s="5">
        <v>51</v>
      </c>
      <c r="AH263" s="5"/>
      <c r="AI263" s="5">
        <v>177</v>
      </c>
      <c r="AJ263" s="5"/>
      <c r="AK263" s="5" t="s">
        <v>996</v>
      </c>
      <c r="AL263" s="5">
        <v>2</v>
      </c>
      <c r="AM263" s="5"/>
      <c r="AN263" s="5">
        <v>10</v>
      </c>
      <c r="AO263" s="5"/>
      <c r="AP263" s="5">
        <v>0</v>
      </c>
      <c r="AQ263" s="5"/>
      <c r="AR263" s="5">
        <v>0</v>
      </c>
      <c r="AS263" s="5"/>
      <c r="AT263" s="5" t="s">
        <v>997</v>
      </c>
      <c r="AU263" s="5" t="s">
        <v>998</v>
      </c>
      <c r="AV263" s="5" t="s">
        <v>999</v>
      </c>
      <c r="AW263" s="8" t="str">
        <f>IFERROR(VLOOKUP(AA263,'Message Lookup'!D:J,7,FALSE),"")</f>
        <v>Pump 2 seal leak detection level alarm latched</v>
      </c>
    </row>
    <row r="264" spans="1:49" x14ac:dyDescent="0.25">
      <c r="A264" s="5" t="s">
        <v>4574</v>
      </c>
      <c r="B264" s="5" t="s">
        <v>992</v>
      </c>
      <c r="C264" s="5" t="s">
        <v>4575</v>
      </c>
      <c r="D264" s="5"/>
      <c r="E264" s="5"/>
      <c r="F264" s="5"/>
      <c r="G264" s="5"/>
      <c r="H264" s="5"/>
      <c r="I264" s="5"/>
      <c r="J264" s="5"/>
      <c r="K264" s="5" t="s">
        <v>993</v>
      </c>
      <c r="L264" s="5" t="s">
        <v>994</v>
      </c>
      <c r="M264" s="5" t="s">
        <v>4576</v>
      </c>
      <c r="N264" s="5">
        <v>41</v>
      </c>
      <c r="O264" s="5"/>
      <c r="P264" s="5" t="s">
        <v>995</v>
      </c>
      <c r="Q264" s="5">
        <v>36</v>
      </c>
      <c r="R264" s="5">
        <v>24</v>
      </c>
      <c r="S264" s="5">
        <v>14</v>
      </c>
      <c r="T264" s="5">
        <v>0</v>
      </c>
      <c r="U264" s="5" t="b">
        <v>0</v>
      </c>
      <c r="V264" s="5">
        <v>20</v>
      </c>
      <c r="W264" s="5">
        <v>0.16</v>
      </c>
      <c r="X264" s="5" t="s">
        <v>9</v>
      </c>
      <c r="Y264" s="5">
        <v>9</v>
      </c>
      <c r="Z264" s="5"/>
      <c r="AA264" s="5" t="s">
        <v>222</v>
      </c>
      <c r="AB264" s="5" t="s">
        <v>368</v>
      </c>
      <c r="AC264" s="5" t="b">
        <v>0</v>
      </c>
      <c r="AD264" s="5"/>
      <c r="AE264" s="5"/>
      <c r="AF264" s="5"/>
      <c r="AG264" s="5">
        <v>51</v>
      </c>
      <c r="AH264" s="5"/>
      <c r="AI264" s="5">
        <v>177</v>
      </c>
      <c r="AJ264" s="5"/>
      <c r="AK264" s="5" t="s">
        <v>996</v>
      </c>
      <c r="AL264" s="5">
        <v>2</v>
      </c>
      <c r="AM264" s="5"/>
      <c r="AN264" s="5">
        <v>10</v>
      </c>
      <c r="AO264" s="5"/>
      <c r="AP264" s="5">
        <v>0</v>
      </c>
      <c r="AQ264" s="5"/>
      <c r="AR264" s="5">
        <v>0</v>
      </c>
      <c r="AS264" s="5"/>
      <c r="AT264" s="5" t="s">
        <v>997</v>
      </c>
      <c r="AU264" s="5" t="s">
        <v>998</v>
      </c>
      <c r="AV264" s="5" t="s">
        <v>999</v>
      </c>
      <c r="AW264" s="8" t="str">
        <f>IFERROR(VLOOKUP(AA264,'Message Lookup'!D:J,7,FALSE),"")</f>
        <v>Pump 3 seal leak detection level alarm latched</v>
      </c>
    </row>
    <row r="265" spans="1:49" x14ac:dyDescent="0.25">
      <c r="A265" s="5" t="s">
        <v>4574</v>
      </c>
      <c r="B265" s="5" t="s">
        <v>992</v>
      </c>
      <c r="C265" s="5" t="s">
        <v>4575</v>
      </c>
      <c r="D265" s="5"/>
      <c r="E265" s="5"/>
      <c r="F265" s="5"/>
      <c r="G265" s="5"/>
      <c r="H265" s="5"/>
      <c r="I265" s="5"/>
      <c r="J265" s="5"/>
      <c r="K265" s="5" t="s">
        <v>993</v>
      </c>
      <c r="L265" s="5" t="s">
        <v>994</v>
      </c>
      <c r="M265" s="5" t="s">
        <v>4576</v>
      </c>
      <c r="N265" s="5">
        <v>41</v>
      </c>
      <c r="O265" s="5"/>
      <c r="P265" s="5" t="s">
        <v>995</v>
      </c>
      <c r="Q265" s="5">
        <v>36</v>
      </c>
      <c r="R265" s="5">
        <v>24</v>
      </c>
      <c r="S265" s="5">
        <v>14</v>
      </c>
      <c r="T265" s="5">
        <v>0</v>
      </c>
      <c r="U265" s="5" t="b">
        <v>0</v>
      </c>
      <c r="V265" s="5">
        <v>20</v>
      </c>
      <c r="W265" s="5">
        <v>0.16</v>
      </c>
      <c r="X265" s="5" t="s">
        <v>9</v>
      </c>
      <c r="Y265" s="5">
        <v>9</v>
      </c>
      <c r="Z265" s="5"/>
      <c r="AA265" s="5" t="s">
        <v>223</v>
      </c>
      <c r="AB265" s="5" t="s">
        <v>369</v>
      </c>
      <c r="AC265" s="5" t="b">
        <v>0</v>
      </c>
      <c r="AD265" s="5"/>
      <c r="AE265" s="5"/>
      <c r="AF265" s="5"/>
      <c r="AG265" s="5">
        <v>51</v>
      </c>
      <c r="AH265" s="5"/>
      <c r="AI265" s="5">
        <v>177</v>
      </c>
      <c r="AJ265" s="5"/>
      <c r="AK265" s="5" t="s">
        <v>996</v>
      </c>
      <c r="AL265" s="5">
        <v>2</v>
      </c>
      <c r="AM265" s="5"/>
      <c r="AN265" s="5">
        <v>10</v>
      </c>
      <c r="AO265" s="5"/>
      <c r="AP265" s="5">
        <v>0</v>
      </c>
      <c r="AQ265" s="5"/>
      <c r="AR265" s="5">
        <v>0</v>
      </c>
      <c r="AS265" s="5"/>
      <c r="AT265" s="5" t="s">
        <v>997</v>
      </c>
      <c r="AU265" s="5" t="s">
        <v>998</v>
      </c>
      <c r="AV265" s="5" t="s">
        <v>999</v>
      </c>
      <c r="AW265" s="8" t="str">
        <f>IFERROR(VLOOKUP(AA265,'Message Lookup'!D:J,7,FALSE),"")</f>
        <v>Flare liquid trap level High High level alarm latched</v>
      </c>
    </row>
    <row r="266" spans="1:49" x14ac:dyDescent="0.25">
      <c r="A266" s="5" t="s">
        <v>4574</v>
      </c>
      <c r="B266" s="5" t="s">
        <v>992</v>
      </c>
      <c r="C266" s="5" t="s">
        <v>4575</v>
      </c>
      <c r="D266" s="5"/>
      <c r="E266" s="5"/>
      <c r="F266" s="5"/>
      <c r="G266" s="5"/>
      <c r="H266" s="5"/>
      <c r="I266" s="5"/>
      <c r="J266" s="5"/>
      <c r="K266" s="5" t="s">
        <v>993</v>
      </c>
      <c r="L266" s="5" t="s">
        <v>994</v>
      </c>
      <c r="M266" s="5" t="s">
        <v>4576</v>
      </c>
      <c r="N266" s="5">
        <v>41</v>
      </c>
      <c r="O266" s="5"/>
      <c r="P266" s="5" t="s">
        <v>995</v>
      </c>
      <c r="Q266" s="5">
        <v>36</v>
      </c>
      <c r="R266" s="5">
        <v>24</v>
      </c>
      <c r="S266" s="5">
        <v>14</v>
      </c>
      <c r="T266" s="5">
        <v>0</v>
      </c>
      <c r="U266" s="5" t="b">
        <v>0</v>
      </c>
      <c r="V266" s="5">
        <v>20</v>
      </c>
      <c r="W266" s="5">
        <v>0.16</v>
      </c>
      <c r="X266" s="5" t="s">
        <v>9</v>
      </c>
      <c r="Y266" s="5">
        <v>9</v>
      </c>
      <c r="Z266" s="5"/>
      <c r="AA266" s="5" t="s">
        <v>224</v>
      </c>
      <c r="AB266" s="5" t="s">
        <v>370</v>
      </c>
      <c r="AC266" s="5" t="b">
        <v>0</v>
      </c>
      <c r="AD266" s="5"/>
      <c r="AE266" s="5"/>
      <c r="AF266" s="5"/>
      <c r="AG266" s="5">
        <v>51</v>
      </c>
      <c r="AH266" s="5"/>
      <c r="AI266" s="5">
        <v>177</v>
      </c>
      <c r="AJ266" s="5"/>
      <c r="AK266" s="5" t="s">
        <v>996</v>
      </c>
      <c r="AL266" s="5">
        <v>2</v>
      </c>
      <c r="AM266" s="5"/>
      <c r="AN266" s="5">
        <v>10</v>
      </c>
      <c r="AO266" s="5"/>
      <c r="AP266" s="5">
        <v>0</v>
      </c>
      <c r="AQ266" s="5"/>
      <c r="AR266" s="5">
        <v>0</v>
      </c>
      <c r="AS266" s="5"/>
      <c r="AT266" s="5" t="s">
        <v>997</v>
      </c>
      <c r="AU266" s="5" t="s">
        <v>998</v>
      </c>
      <c r="AV266" s="5" t="s">
        <v>999</v>
      </c>
      <c r="AW266" s="8" t="str">
        <f>IFERROR(VLOOKUP(AA266,'Message Lookup'!D:J,7,FALSE),"")</f>
        <v>Pump 4 seal leak detection level alarm latched</v>
      </c>
    </row>
    <row r="267" spans="1:49" x14ac:dyDescent="0.25">
      <c r="A267" s="5" t="s">
        <v>4574</v>
      </c>
      <c r="B267" s="5" t="s">
        <v>992</v>
      </c>
      <c r="C267" s="5" t="s">
        <v>4575</v>
      </c>
      <c r="D267" s="5"/>
      <c r="E267" s="5"/>
      <c r="F267" s="5"/>
      <c r="G267" s="5"/>
      <c r="H267" s="5"/>
      <c r="I267" s="5"/>
      <c r="J267" s="5"/>
      <c r="K267" s="5" t="s">
        <v>993</v>
      </c>
      <c r="L267" s="5" t="s">
        <v>994</v>
      </c>
      <c r="M267" s="5" t="s">
        <v>4576</v>
      </c>
      <c r="N267" s="5">
        <v>41</v>
      </c>
      <c r="O267" s="5"/>
      <c r="P267" s="5" t="s">
        <v>995</v>
      </c>
      <c r="Q267" s="5">
        <v>36</v>
      </c>
      <c r="R267" s="5">
        <v>24</v>
      </c>
      <c r="S267" s="5">
        <v>14</v>
      </c>
      <c r="T267" s="5">
        <v>0</v>
      </c>
      <c r="U267" s="5" t="b">
        <v>0</v>
      </c>
      <c r="V267" s="5">
        <v>20</v>
      </c>
      <c r="W267" s="5">
        <v>0.16</v>
      </c>
      <c r="X267" s="5" t="s">
        <v>9</v>
      </c>
      <c r="Y267" s="5">
        <v>9</v>
      </c>
      <c r="Z267" s="5"/>
      <c r="AA267" s="5"/>
      <c r="AB267" s="5"/>
      <c r="AC267" s="5"/>
      <c r="AD267" s="5"/>
      <c r="AE267" s="5" t="s">
        <v>1000</v>
      </c>
      <c r="AF267" s="5" t="b">
        <v>0</v>
      </c>
      <c r="AG267" s="5">
        <v>51</v>
      </c>
      <c r="AH267" s="5"/>
      <c r="AI267" s="5">
        <v>177</v>
      </c>
      <c r="AJ267" s="5"/>
      <c r="AK267" s="5" t="s">
        <v>996</v>
      </c>
      <c r="AL267" s="5">
        <v>2</v>
      </c>
      <c r="AM267" s="5"/>
      <c r="AN267" s="5">
        <v>10</v>
      </c>
      <c r="AO267" s="5"/>
      <c r="AP267" s="5">
        <v>0</v>
      </c>
      <c r="AQ267" s="5"/>
      <c r="AR267" s="5">
        <v>0</v>
      </c>
      <c r="AS267" s="5"/>
      <c r="AT267" s="5" t="s">
        <v>997</v>
      </c>
      <c r="AU267" s="5" t="s">
        <v>998</v>
      </c>
      <c r="AV267" s="5" t="s">
        <v>999</v>
      </c>
      <c r="AW267" s="8" t="str">
        <f>IFERROR(VLOOKUP(AA267,'Message Lookup'!D:J,7,FALSE),"")</f>
        <v/>
      </c>
    </row>
    <row r="268" spans="1:49" x14ac:dyDescent="0.25">
      <c r="A268" s="5" t="s">
        <v>4574</v>
      </c>
      <c r="B268" s="5" t="s">
        <v>992</v>
      </c>
      <c r="C268" s="5" t="s">
        <v>4575</v>
      </c>
      <c r="D268" s="5"/>
      <c r="E268" s="5"/>
      <c r="F268" s="5"/>
      <c r="G268" s="5"/>
      <c r="H268" s="5"/>
      <c r="I268" s="5"/>
      <c r="J268" s="5"/>
      <c r="K268" s="5" t="s">
        <v>993</v>
      </c>
      <c r="L268" s="5" t="s">
        <v>994</v>
      </c>
      <c r="M268" s="5" t="s">
        <v>4576</v>
      </c>
      <c r="N268" s="5">
        <v>41</v>
      </c>
      <c r="O268" s="5"/>
      <c r="P268" s="5" t="s">
        <v>995</v>
      </c>
      <c r="Q268" s="5">
        <v>36</v>
      </c>
      <c r="R268" s="5">
        <v>24</v>
      </c>
      <c r="S268" s="5">
        <v>14</v>
      </c>
      <c r="T268" s="5">
        <v>0</v>
      </c>
      <c r="U268" s="5" t="b">
        <v>0</v>
      </c>
      <c r="V268" s="5">
        <v>20</v>
      </c>
      <c r="W268" s="5">
        <v>0.16</v>
      </c>
      <c r="X268" s="5" t="s">
        <v>9</v>
      </c>
      <c r="Y268" s="5">
        <v>9</v>
      </c>
      <c r="Z268" s="5"/>
      <c r="AA268" s="5"/>
      <c r="AB268" s="5"/>
      <c r="AC268" s="5"/>
      <c r="AD268" s="5" t="s">
        <v>1015</v>
      </c>
      <c r="AE268" s="5" t="s">
        <v>1002</v>
      </c>
      <c r="AF268" s="5" t="b">
        <v>0</v>
      </c>
      <c r="AG268" s="5">
        <v>51</v>
      </c>
      <c r="AH268" s="5"/>
      <c r="AI268" s="5">
        <v>177</v>
      </c>
      <c r="AJ268" s="5"/>
      <c r="AK268" s="5" t="s">
        <v>996</v>
      </c>
      <c r="AL268" s="5">
        <v>2</v>
      </c>
      <c r="AM268" s="5"/>
      <c r="AN268" s="5">
        <v>10</v>
      </c>
      <c r="AO268" s="5"/>
      <c r="AP268" s="5">
        <v>0</v>
      </c>
      <c r="AQ268" s="5"/>
      <c r="AR268" s="5">
        <v>0</v>
      </c>
      <c r="AS268" s="5"/>
      <c r="AT268" s="5" t="s">
        <v>997</v>
      </c>
      <c r="AU268" s="5" t="s">
        <v>998</v>
      </c>
      <c r="AV268" s="5" t="s">
        <v>999</v>
      </c>
      <c r="AW268" s="8" t="str">
        <f>IFERROR(VLOOKUP(AA268,'Message Lookup'!D:J,7,FALSE),"")</f>
        <v/>
      </c>
    </row>
    <row r="269" spans="1:49" x14ac:dyDescent="0.25">
      <c r="A269" s="5" t="s">
        <v>4574</v>
      </c>
      <c r="B269" s="5" t="s">
        <v>992</v>
      </c>
      <c r="C269" s="5" t="s">
        <v>4575</v>
      </c>
      <c r="D269" s="5"/>
      <c r="E269" s="5"/>
      <c r="F269" s="5"/>
      <c r="G269" s="5"/>
      <c r="H269" s="5"/>
      <c r="I269" s="5"/>
      <c r="J269" s="5"/>
      <c r="K269" s="5" t="s">
        <v>993</v>
      </c>
      <c r="L269" s="5" t="s">
        <v>994</v>
      </c>
      <c r="M269" s="5" t="s">
        <v>4576</v>
      </c>
      <c r="N269" s="5">
        <v>41</v>
      </c>
      <c r="O269" s="5"/>
      <c r="P269" s="5" t="s">
        <v>995</v>
      </c>
      <c r="Q269" s="5">
        <v>36</v>
      </c>
      <c r="R269" s="5">
        <v>24</v>
      </c>
      <c r="S269" s="5">
        <v>15</v>
      </c>
      <c r="T269" s="5">
        <v>0</v>
      </c>
      <c r="U269" s="5" t="b">
        <v>0</v>
      </c>
      <c r="V269" s="5">
        <v>20</v>
      </c>
      <c r="W269" s="5">
        <v>0.17</v>
      </c>
      <c r="X269" s="5" t="s">
        <v>9</v>
      </c>
      <c r="Y269" s="5">
        <v>9</v>
      </c>
      <c r="Z269" s="5"/>
      <c r="AA269" s="5"/>
      <c r="AB269" s="5" t="s">
        <v>354</v>
      </c>
      <c r="AC269" s="5" t="b">
        <v>0</v>
      </c>
      <c r="AD269" s="5"/>
      <c r="AE269" s="5"/>
      <c r="AF269" s="5"/>
      <c r="AG269" s="5">
        <v>51</v>
      </c>
      <c r="AH269" s="5">
        <v>51</v>
      </c>
      <c r="AI269" s="5">
        <v>156</v>
      </c>
      <c r="AJ269" s="5">
        <v>156</v>
      </c>
      <c r="AK269" s="5" t="s">
        <v>996</v>
      </c>
      <c r="AL269" s="5">
        <v>2</v>
      </c>
      <c r="AM269" s="5"/>
      <c r="AN269" s="5">
        <v>10</v>
      </c>
      <c r="AO269" s="5"/>
      <c r="AP269" s="5">
        <v>0</v>
      </c>
      <c r="AQ269" s="5"/>
      <c r="AR269" s="5">
        <v>0</v>
      </c>
      <c r="AS269" s="5"/>
      <c r="AT269" s="5" t="s">
        <v>997</v>
      </c>
      <c r="AU269" s="5" t="s">
        <v>998</v>
      </c>
      <c r="AV269" s="5" t="s">
        <v>999</v>
      </c>
      <c r="AW269" s="8" t="str">
        <f>IFERROR(VLOOKUP(AA269,'Message Lookup'!D:J,7,FALSE),"")</f>
        <v/>
      </c>
    </row>
    <row r="270" spans="1:49" x14ac:dyDescent="0.25">
      <c r="A270" s="5" t="s">
        <v>4574</v>
      </c>
      <c r="B270" s="5" t="s">
        <v>992</v>
      </c>
      <c r="C270" s="5" t="s">
        <v>4575</v>
      </c>
      <c r="D270" s="5"/>
      <c r="E270" s="5"/>
      <c r="F270" s="5"/>
      <c r="G270" s="5"/>
      <c r="H270" s="5"/>
      <c r="I270" s="5"/>
      <c r="J270" s="5"/>
      <c r="K270" s="5" t="s">
        <v>993</v>
      </c>
      <c r="L270" s="5" t="s">
        <v>994</v>
      </c>
      <c r="M270" s="5" t="s">
        <v>4576</v>
      </c>
      <c r="N270" s="5">
        <v>41</v>
      </c>
      <c r="O270" s="5"/>
      <c r="P270" s="5" t="s">
        <v>995</v>
      </c>
      <c r="Q270" s="5">
        <v>36</v>
      </c>
      <c r="R270" s="5">
        <v>24</v>
      </c>
      <c r="S270" s="5">
        <v>15</v>
      </c>
      <c r="T270" s="5">
        <v>0</v>
      </c>
      <c r="U270" s="5" t="b">
        <v>0</v>
      </c>
      <c r="V270" s="5">
        <v>20</v>
      </c>
      <c r="W270" s="5">
        <v>0.17</v>
      </c>
      <c r="X270" s="5" t="s">
        <v>9</v>
      </c>
      <c r="Y270" s="5">
        <v>9</v>
      </c>
      <c r="Z270" s="5"/>
      <c r="AA270" s="5" t="s">
        <v>225</v>
      </c>
      <c r="AB270" s="5" t="s">
        <v>355</v>
      </c>
      <c r="AC270" s="5" t="b">
        <v>0</v>
      </c>
      <c r="AD270" s="5"/>
      <c r="AE270" s="5"/>
      <c r="AF270" s="5"/>
      <c r="AG270" s="5">
        <v>51</v>
      </c>
      <c r="AH270" s="5"/>
      <c r="AI270" s="5">
        <v>156</v>
      </c>
      <c r="AJ270" s="5"/>
      <c r="AK270" s="5" t="s">
        <v>996</v>
      </c>
      <c r="AL270" s="5">
        <v>2</v>
      </c>
      <c r="AM270" s="5"/>
      <c r="AN270" s="5">
        <v>10</v>
      </c>
      <c r="AO270" s="5"/>
      <c r="AP270" s="5">
        <v>0</v>
      </c>
      <c r="AQ270" s="5"/>
      <c r="AR270" s="5">
        <v>0</v>
      </c>
      <c r="AS270" s="5"/>
      <c r="AT270" s="5" t="s">
        <v>997</v>
      </c>
      <c r="AU270" s="5" t="s">
        <v>998</v>
      </c>
      <c r="AV270" s="5" t="s">
        <v>999</v>
      </c>
      <c r="AW270" s="8" t="str">
        <f>IFERROR(VLOOKUP(AA270,'Message Lookup'!D:J,7,FALSE),"")</f>
        <v>DI-100 Standard density alarm High High latched</v>
      </c>
    </row>
    <row r="271" spans="1:49" x14ac:dyDescent="0.25">
      <c r="A271" s="5" t="s">
        <v>4574</v>
      </c>
      <c r="B271" s="5" t="s">
        <v>992</v>
      </c>
      <c r="C271" s="5" t="s">
        <v>4575</v>
      </c>
      <c r="D271" s="5"/>
      <c r="E271" s="5"/>
      <c r="F271" s="5"/>
      <c r="G271" s="5"/>
      <c r="H271" s="5"/>
      <c r="I271" s="5"/>
      <c r="J271" s="5"/>
      <c r="K271" s="5" t="s">
        <v>993</v>
      </c>
      <c r="L271" s="5" t="s">
        <v>994</v>
      </c>
      <c r="M271" s="5" t="s">
        <v>4576</v>
      </c>
      <c r="N271" s="5">
        <v>41</v>
      </c>
      <c r="O271" s="5"/>
      <c r="P271" s="5" t="s">
        <v>995</v>
      </c>
      <c r="Q271" s="5">
        <v>36</v>
      </c>
      <c r="R271" s="5">
        <v>24</v>
      </c>
      <c r="S271" s="5">
        <v>15</v>
      </c>
      <c r="T271" s="5">
        <v>0</v>
      </c>
      <c r="U271" s="5" t="b">
        <v>0</v>
      </c>
      <c r="V271" s="5">
        <v>20</v>
      </c>
      <c r="W271" s="5">
        <v>0.17</v>
      </c>
      <c r="X271" s="5" t="s">
        <v>9</v>
      </c>
      <c r="Y271" s="5">
        <v>9</v>
      </c>
      <c r="Z271" s="5"/>
      <c r="AA271" s="5" t="s">
        <v>226</v>
      </c>
      <c r="AB271" s="5" t="s">
        <v>356</v>
      </c>
      <c r="AC271" s="5" t="b">
        <v>0</v>
      </c>
      <c r="AD271" s="5"/>
      <c r="AE271" s="5"/>
      <c r="AF271" s="5"/>
      <c r="AG271" s="5">
        <v>51</v>
      </c>
      <c r="AH271" s="5"/>
      <c r="AI271" s="5">
        <v>156</v>
      </c>
      <c r="AJ271" s="5"/>
      <c r="AK271" s="5" t="s">
        <v>996</v>
      </c>
      <c r="AL271" s="5">
        <v>2</v>
      </c>
      <c r="AM271" s="5"/>
      <c r="AN271" s="5">
        <v>10</v>
      </c>
      <c r="AO271" s="5"/>
      <c r="AP271" s="5">
        <v>0</v>
      </c>
      <c r="AQ271" s="5"/>
      <c r="AR271" s="5">
        <v>0</v>
      </c>
      <c r="AS271" s="5"/>
      <c r="AT271" s="5" t="s">
        <v>997</v>
      </c>
      <c r="AU271" s="5" t="s">
        <v>998</v>
      </c>
      <c r="AV271" s="5" t="s">
        <v>999</v>
      </c>
      <c r="AW271" s="8" t="str">
        <f>IFERROR(VLOOKUP(AA271,'Message Lookup'!D:J,7,FALSE),"")</f>
        <v>DI-100 Standard density alarm High High latched</v>
      </c>
    </row>
    <row r="272" spans="1:49" x14ac:dyDescent="0.25">
      <c r="A272" s="5" t="s">
        <v>4574</v>
      </c>
      <c r="B272" s="5" t="s">
        <v>992</v>
      </c>
      <c r="C272" s="5" t="s">
        <v>4575</v>
      </c>
      <c r="D272" s="5"/>
      <c r="E272" s="5"/>
      <c r="F272" s="5"/>
      <c r="G272" s="5"/>
      <c r="H272" s="5"/>
      <c r="I272" s="5"/>
      <c r="J272" s="5"/>
      <c r="K272" s="5" t="s">
        <v>993</v>
      </c>
      <c r="L272" s="5" t="s">
        <v>994</v>
      </c>
      <c r="M272" s="5" t="s">
        <v>4576</v>
      </c>
      <c r="N272" s="5">
        <v>41</v>
      </c>
      <c r="O272" s="5"/>
      <c r="P272" s="5" t="s">
        <v>995</v>
      </c>
      <c r="Q272" s="5">
        <v>36</v>
      </c>
      <c r="R272" s="5">
        <v>24</v>
      </c>
      <c r="S272" s="5">
        <v>15</v>
      </c>
      <c r="T272" s="5">
        <v>0</v>
      </c>
      <c r="U272" s="5" t="b">
        <v>0</v>
      </c>
      <c r="V272" s="5">
        <v>20</v>
      </c>
      <c r="W272" s="5">
        <v>0.17</v>
      </c>
      <c r="X272" s="5" t="s">
        <v>9</v>
      </c>
      <c r="Y272" s="5">
        <v>9</v>
      </c>
      <c r="Z272" s="5"/>
      <c r="AA272" s="5" t="s">
        <v>227</v>
      </c>
      <c r="AB272" s="5" t="s">
        <v>357</v>
      </c>
      <c r="AC272" s="5" t="b">
        <v>0</v>
      </c>
      <c r="AD272" s="5"/>
      <c r="AE272" s="5"/>
      <c r="AF272" s="5"/>
      <c r="AG272" s="5">
        <v>51</v>
      </c>
      <c r="AH272" s="5"/>
      <c r="AI272" s="5">
        <v>156</v>
      </c>
      <c r="AJ272" s="5"/>
      <c r="AK272" s="5" t="s">
        <v>996</v>
      </c>
      <c r="AL272" s="5">
        <v>2</v>
      </c>
      <c r="AM272" s="5"/>
      <c r="AN272" s="5">
        <v>10</v>
      </c>
      <c r="AO272" s="5"/>
      <c r="AP272" s="5">
        <v>0</v>
      </c>
      <c r="AQ272" s="5"/>
      <c r="AR272" s="5">
        <v>0</v>
      </c>
      <c r="AS272" s="5"/>
      <c r="AT272" s="5" t="s">
        <v>997</v>
      </c>
      <c r="AU272" s="5" t="s">
        <v>998</v>
      </c>
      <c r="AV272" s="5" t="s">
        <v>999</v>
      </c>
      <c r="AW272" s="8" t="str">
        <f>IFERROR(VLOOKUP(AA272,'Message Lookup'!D:J,7,FALSE),"")</f>
        <v>DI-100 Standard density alarm Low latched</v>
      </c>
    </row>
    <row r="273" spans="1:49" x14ac:dyDescent="0.25">
      <c r="A273" s="5" t="s">
        <v>4574</v>
      </c>
      <c r="B273" s="5" t="s">
        <v>992</v>
      </c>
      <c r="C273" s="5" t="s">
        <v>4575</v>
      </c>
      <c r="D273" s="5"/>
      <c r="E273" s="5"/>
      <c r="F273" s="5"/>
      <c r="G273" s="5"/>
      <c r="H273" s="5"/>
      <c r="I273" s="5"/>
      <c r="J273" s="5"/>
      <c r="K273" s="5" t="s">
        <v>993</v>
      </c>
      <c r="L273" s="5" t="s">
        <v>994</v>
      </c>
      <c r="M273" s="5" t="s">
        <v>4576</v>
      </c>
      <c r="N273" s="5">
        <v>41</v>
      </c>
      <c r="O273" s="5"/>
      <c r="P273" s="5" t="s">
        <v>995</v>
      </c>
      <c r="Q273" s="5">
        <v>36</v>
      </c>
      <c r="R273" s="5">
        <v>24</v>
      </c>
      <c r="S273" s="5">
        <v>15</v>
      </c>
      <c r="T273" s="5">
        <v>0</v>
      </c>
      <c r="U273" s="5" t="b">
        <v>0</v>
      </c>
      <c r="V273" s="5">
        <v>20</v>
      </c>
      <c r="W273" s="5">
        <v>0.17</v>
      </c>
      <c r="X273" s="5" t="s">
        <v>9</v>
      </c>
      <c r="Y273" s="5">
        <v>9</v>
      </c>
      <c r="Z273" s="5"/>
      <c r="AA273" s="5" t="s">
        <v>228</v>
      </c>
      <c r="AB273" s="5" t="s">
        <v>358</v>
      </c>
      <c r="AC273" s="5" t="b">
        <v>0</v>
      </c>
      <c r="AD273" s="5"/>
      <c r="AE273" s="5"/>
      <c r="AF273" s="5"/>
      <c r="AG273" s="5">
        <v>51</v>
      </c>
      <c r="AH273" s="5"/>
      <c r="AI273" s="5">
        <v>156</v>
      </c>
      <c r="AJ273" s="5"/>
      <c r="AK273" s="5" t="s">
        <v>996</v>
      </c>
      <c r="AL273" s="5">
        <v>2</v>
      </c>
      <c r="AM273" s="5"/>
      <c r="AN273" s="5">
        <v>10</v>
      </c>
      <c r="AO273" s="5"/>
      <c r="AP273" s="5">
        <v>0</v>
      </c>
      <c r="AQ273" s="5"/>
      <c r="AR273" s="5">
        <v>0</v>
      </c>
      <c r="AS273" s="5"/>
      <c r="AT273" s="5" t="s">
        <v>997</v>
      </c>
      <c r="AU273" s="5" t="s">
        <v>998</v>
      </c>
      <c r="AV273" s="5" t="s">
        <v>999</v>
      </c>
      <c r="AW273" s="8" t="str">
        <f>IFERROR(VLOOKUP(AA273,'Message Lookup'!D:J,7,FALSE),"")</f>
        <v>DI-100 Standard density alarm Low Low latched</v>
      </c>
    </row>
    <row r="274" spans="1:49" x14ac:dyDescent="0.25">
      <c r="A274" s="5" t="s">
        <v>4574</v>
      </c>
      <c r="B274" s="5" t="s">
        <v>992</v>
      </c>
      <c r="C274" s="5" t="s">
        <v>4575</v>
      </c>
      <c r="D274" s="5"/>
      <c r="E274" s="5"/>
      <c r="F274" s="5"/>
      <c r="G274" s="5"/>
      <c r="H274" s="5"/>
      <c r="I274" s="5"/>
      <c r="J274" s="5"/>
      <c r="K274" s="5" t="s">
        <v>993</v>
      </c>
      <c r="L274" s="5" t="s">
        <v>994</v>
      </c>
      <c r="M274" s="5" t="s">
        <v>4576</v>
      </c>
      <c r="N274" s="5">
        <v>41</v>
      </c>
      <c r="O274" s="5"/>
      <c r="P274" s="5" t="s">
        <v>995</v>
      </c>
      <c r="Q274" s="5">
        <v>36</v>
      </c>
      <c r="R274" s="5">
        <v>24</v>
      </c>
      <c r="S274" s="5">
        <v>15</v>
      </c>
      <c r="T274" s="5">
        <v>0</v>
      </c>
      <c r="U274" s="5" t="b">
        <v>0</v>
      </c>
      <c r="V274" s="5">
        <v>20</v>
      </c>
      <c r="W274" s="5">
        <v>0.17</v>
      </c>
      <c r="X274" s="5" t="s">
        <v>9</v>
      </c>
      <c r="Y274" s="5">
        <v>9</v>
      </c>
      <c r="Z274" s="5"/>
      <c r="AA274" s="5" t="s">
        <v>229</v>
      </c>
      <c r="AB274" s="5" t="s">
        <v>359</v>
      </c>
      <c r="AC274" s="5" t="b">
        <v>0</v>
      </c>
      <c r="AD274" s="5"/>
      <c r="AE274" s="5"/>
      <c r="AF274" s="5"/>
      <c r="AG274" s="5">
        <v>51</v>
      </c>
      <c r="AH274" s="5"/>
      <c r="AI274" s="5">
        <v>156</v>
      </c>
      <c r="AJ274" s="5"/>
      <c r="AK274" s="5" t="s">
        <v>996</v>
      </c>
      <c r="AL274" s="5">
        <v>2</v>
      </c>
      <c r="AM274" s="5"/>
      <c r="AN274" s="5">
        <v>10</v>
      </c>
      <c r="AO274" s="5"/>
      <c r="AP274" s="5">
        <v>0</v>
      </c>
      <c r="AQ274" s="5"/>
      <c r="AR274" s="5">
        <v>0</v>
      </c>
      <c r="AS274" s="5"/>
      <c r="AT274" s="5" t="s">
        <v>997</v>
      </c>
      <c r="AU274" s="5" t="s">
        <v>998</v>
      </c>
      <c r="AV274" s="5" t="s">
        <v>999</v>
      </c>
      <c r="AW274" s="8" t="str">
        <f>IFERROR(VLOOKUP(AA274,'Message Lookup'!D:J,7,FALSE),"")</f>
        <v>DI-200 Standard density alarm High High latched</v>
      </c>
    </row>
    <row r="275" spans="1:49" x14ac:dyDescent="0.25">
      <c r="A275" s="5" t="s">
        <v>4574</v>
      </c>
      <c r="B275" s="5" t="s">
        <v>992</v>
      </c>
      <c r="C275" s="5" t="s">
        <v>4575</v>
      </c>
      <c r="D275" s="5"/>
      <c r="E275" s="5"/>
      <c r="F275" s="5"/>
      <c r="G275" s="5"/>
      <c r="H275" s="5"/>
      <c r="I275" s="5"/>
      <c r="J275" s="5"/>
      <c r="K275" s="5" t="s">
        <v>993</v>
      </c>
      <c r="L275" s="5" t="s">
        <v>994</v>
      </c>
      <c r="M275" s="5" t="s">
        <v>4576</v>
      </c>
      <c r="N275" s="5">
        <v>41</v>
      </c>
      <c r="O275" s="5"/>
      <c r="P275" s="5" t="s">
        <v>995</v>
      </c>
      <c r="Q275" s="5">
        <v>36</v>
      </c>
      <c r="R275" s="5">
        <v>24</v>
      </c>
      <c r="S275" s="5">
        <v>15</v>
      </c>
      <c r="T275" s="5">
        <v>0</v>
      </c>
      <c r="U275" s="5" t="b">
        <v>0</v>
      </c>
      <c r="V275" s="5">
        <v>20</v>
      </c>
      <c r="W275" s="5">
        <v>0.17</v>
      </c>
      <c r="X275" s="5" t="s">
        <v>9</v>
      </c>
      <c r="Y275" s="5">
        <v>9</v>
      </c>
      <c r="Z275" s="5"/>
      <c r="AA275" s="5" t="s">
        <v>230</v>
      </c>
      <c r="AB275" s="5" t="s">
        <v>360</v>
      </c>
      <c r="AC275" s="5" t="b">
        <v>0</v>
      </c>
      <c r="AD275" s="5"/>
      <c r="AE275" s="5"/>
      <c r="AF275" s="5"/>
      <c r="AG275" s="5">
        <v>51</v>
      </c>
      <c r="AH275" s="5"/>
      <c r="AI275" s="5">
        <v>156</v>
      </c>
      <c r="AJ275" s="5"/>
      <c r="AK275" s="5" t="s">
        <v>996</v>
      </c>
      <c r="AL275" s="5">
        <v>2</v>
      </c>
      <c r="AM275" s="5"/>
      <c r="AN275" s="5">
        <v>10</v>
      </c>
      <c r="AO275" s="5"/>
      <c r="AP275" s="5">
        <v>0</v>
      </c>
      <c r="AQ275" s="5"/>
      <c r="AR275" s="5">
        <v>0</v>
      </c>
      <c r="AS275" s="5"/>
      <c r="AT275" s="5" t="s">
        <v>997</v>
      </c>
      <c r="AU275" s="5" t="s">
        <v>998</v>
      </c>
      <c r="AV275" s="5" t="s">
        <v>999</v>
      </c>
      <c r="AW275" s="8" t="str">
        <f>IFERROR(VLOOKUP(AA275,'Message Lookup'!D:J,7,FALSE),"")</f>
        <v>DI-200 Standard density alarm High High latched</v>
      </c>
    </row>
    <row r="276" spans="1:49" x14ac:dyDescent="0.25">
      <c r="A276" s="5" t="s">
        <v>4574</v>
      </c>
      <c r="B276" s="5" t="s">
        <v>992</v>
      </c>
      <c r="C276" s="5" t="s">
        <v>4575</v>
      </c>
      <c r="D276" s="5"/>
      <c r="E276" s="5"/>
      <c r="F276" s="5"/>
      <c r="G276" s="5"/>
      <c r="H276" s="5"/>
      <c r="I276" s="5"/>
      <c r="J276" s="5"/>
      <c r="K276" s="5" t="s">
        <v>993</v>
      </c>
      <c r="L276" s="5" t="s">
        <v>994</v>
      </c>
      <c r="M276" s="5" t="s">
        <v>4576</v>
      </c>
      <c r="N276" s="5">
        <v>41</v>
      </c>
      <c r="O276" s="5"/>
      <c r="P276" s="5" t="s">
        <v>995</v>
      </c>
      <c r="Q276" s="5">
        <v>36</v>
      </c>
      <c r="R276" s="5">
        <v>24</v>
      </c>
      <c r="S276" s="5">
        <v>15</v>
      </c>
      <c r="T276" s="5">
        <v>0</v>
      </c>
      <c r="U276" s="5" t="b">
        <v>0</v>
      </c>
      <c r="V276" s="5">
        <v>20</v>
      </c>
      <c r="W276" s="5">
        <v>0.17</v>
      </c>
      <c r="X276" s="5" t="s">
        <v>9</v>
      </c>
      <c r="Y276" s="5">
        <v>9</v>
      </c>
      <c r="Z276" s="5"/>
      <c r="AA276" s="5" t="s">
        <v>231</v>
      </c>
      <c r="AB276" s="5" t="s">
        <v>361</v>
      </c>
      <c r="AC276" s="5" t="b">
        <v>0</v>
      </c>
      <c r="AD276" s="5"/>
      <c r="AE276" s="5"/>
      <c r="AF276" s="5"/>
      <c r="AG276" s="5">
        <v>51</v>
      </c>
      <c r="AH276" s="5"/>
      <c r="AI276" s="5">
        <v>156</v>
      </c>
      <c r="AJ276" s="5"/>
      <c r="AK276" s="5" t="s">
        <v>996</v>
      </c>
      <c r="AL276" s="5">
        <v>2</v>
      </c>
      <c r="AM276" s="5"/>
      <c r="AN276" s="5">
        <v>10</v>
      </c>
      <c r="AO276" s="5"/>
      <c r="AP276" s="5">
        <v>0</v>
      </c>
      <c r="AQ276" s="5"/>
      <c r="AR276" s="5">
        <v>0</v>
      </c>
      <c r="AS276" s="5"/>
      <c r="AT276" s="5" t="s">
        <v>997</v>
      </c>
      <c r="AU276" s="5" t="s">
        <v>998</v>
      </c>
      <c r="AV276" s="5" t="s">
        <v>999</v>
      </c>
      <c r="AW276" s="8" t="str">
        <f>IFERROR(VLOOKUP(AA276,'Message Lookup'!D:J,7,FALSE),"")</f>
        <v>DI-200 Standard density alarm Low latched</v>
      </c>
    </row>
    <row r="277" spans="1:49" x14ac:dyDescent="0.25">
      <c r="A277" s="5" t="s">
        <v>4574</v>
      </c>
      <c r="B277" s="5" t="s">
        <v>992</v>
      </c>
      <c r="C277" s="5" t="s">
        <v>4575</v>
      </c>
      <c r="D277" s="5"/>
      <c r="E277" s="5"/>
      <c r="F277" s="5"/>
      <c r="G277" s="5"/>
      <c r="H277" s="5"/>
      <c r="I277" s="5"/>
      <c r="J277" s="5"/>
      <c r="K277" s="5" t="s">
        <v>993</v>
      </c>
      <c r="L277" s="5" t="s">
        <v>994</v>
      </c>
      <c r="M277" s="5" t="s">
        <v>4576</v>
      </c>
      <c r="N277" s="5">
        <v>41</v>
      </c>
      <c r="O277" s="5"/>
      <c r="P277" s="5" t="s">
        <v>995</v>
      </c>
      <c r="Q277" s="5">
        <v>36</v>
      </c>
      <c r="R277" s="5">
        <v>24</v>
      </c>
      <c r="S277" s="5">
        <v>15</v>
      </c>
      <c r="T277" s="5">
        <v>0</v>
      </c>
      <c r="U277" s="5" t="b">
        <v>0</v>
      </c>
      <c r="V277" s="5">
        <v>20</v>
      </c>
      <c r="W277" s="5">
        <v>0.17</v>
      </c>
      <c r="X277" s="5" t="s">
        <v>9</v>
      </c>
      <c r="Y277" s="5">
        <v>9</v>
      </c>
      <c r="Z277" s="5"/>
      <c r="AA277" s="5" t="s">
        <v>232</v>
      </c>
      <c r="AB277" s="5" t="s">
        <v>362</v>
      </c>
      <c r="AC277" s="5" t="b">
        <v>0</v>
      </c>
      <c r="AD277" s="5"/>
      <c r="AE277" s="5"/>
      <c r="AF277" s="5"/>
      <c r="AG277" s="5">
        <v>51</v>
      </c>
      <c r="AH277" s="5"/>
      <c r="AI277" s="5">
        <v>156</v>
      </c>
      <c r="AJ277" s="5"/>
      <c r="AK277" s="5" t="s">
        <v>996</v>
      </c>
      <c r="AL277" s="5">
        <v>2</v>
      </c>
      <c r="AM277" s="5"/>
      <c r="AN277" s="5">
        <v>10</v>
      </c>
      <c r="AO277" s="5"/>
      <c r="AP277" s="5">
        <v>0</v>
      </c>
      <c r="AQ277" s="5"/>
      <c r="AR277" s="5">
        <v>0</v>
      </c>
      <c r="AS277" s="5"/>
      <c r="AT277" s="5" t="s">
        <v>997</v>
      </c>
      <c r="AU277" s="5" t="s">
        <v>998</v>
      </c>
      <c r="AV277" s="5" t="s">
        <v>999</v>
      </c>
      <c r="AW277" s="8" t="str">
        <f>IFERROR(VLOOKUP(AA277,'Message Lookup'!D:J,7,FALSE),"")</f>
        <v>DI-200 Standard density alarm Low Low latched</v>
      </c>
    </row>
    <row r="278" spans="1:49" x14ac:dyDescent="0.25">
      <c r="A278" s="5" t="s">
        <v>4574</v>
      </c>
      <c r="B278" s="5" t="s">
        <v>992</v>
      </c>
      <c r="C278" s="5" t="s">
        <v>4575</v>
      </c>
      <c r="D278" s="5"/>
      <c r="E278" s="5"/>
      <c r="F278" s="5"/>
      <c r="G278" s="5"/>
      <c r="H278" s="5"/>
      <c r="I278" s="5"/>
      <c r="J278" s="5"/>
      <c r="K278" s="5" t="s">
        <v>993</v>
      </c>
      <c r="L278" s="5" t="s">
        <v>994</v>
      </c>
      <c r="M278" s="5" t="s">
        <v>4576</v>
      </c>
      <c r="N278" s="5">
        <v>41</v>
      </c>
      <c r="O278" s="5"/>
      <c r="P278" s="5" t="s">
        <v>995</v>
      </c>
      <c r="Q278" s="5">
        <v>36</v>
      </c>
      <c r="R278" s="5">
        <v>24</v>
      </c>
      <c r="S278" s="5">
        <v>15</v>
      </c>
      <c r="T278" s="5">
        <v>0</v>
      </c>
      <c r="U278" s="5" t="b">
        <v>0</v>
      </c>
      <c r="V278" s="5">
        <v>20</v>
      </c>
      <c r="W278" s="5">
        <v>0.17</v>
      </c>
      <c r="X278" s="5" t="s">
        <v>9</v>
      </c>
      <c r="Y278" s="5">
        <v>9</v>
      </c>
      <c r="Z278" s="5"/>
      <c r="AA278" s="5" t="s">
        <v>233</v>
      </c>
      <c r="AB278" s="5" t="s">
        <v>363</v>
      </c>
      <c r="AC278" s="5" t="b">
        <v>0</v>
      </c>
      <c r="AD278" s="5"/>
      <c r="AE278" s="5"/>
      <c r="AF278" s="5"/>
      <c r="AG278" s="5">
        <v>51</v>
      </c>
      <c r="AH278" s="5"/>
      <c r="AI278" s="5">
        <v>156</v>
      </c>
      <c r="AJ278" s="5"/>
      <c r="AK278" s="5" t="s">
        <v>996</v>
      </c>
      <c r="AL278" s="5">
        <v>2</v>
      </c>
      <c r="AM278" s="5"/>
      <c r="AN278" s="5">
        <v>10</v>
      </c>
      <c r="AO278" s="5"/>
      <c r="AP278" s="5">
        <v>0</v>
      </c>
      <c r="AQ278" s="5"/>
      <c r="AR278" s="5">
        <v>0</v>
      </c>
      <c r="AS278" s="5"/>
      <c r="AT278" s="5" t="s">
        <v>997</v>
      </c>
      <c r="AU278" s="5" t="s">
        <v>998</v>
      </c>
      <c r="AV278" s="5" t="s">
        <v>999</v>
      </c>
      <c r="AW278" s="8">
        <f>IFERROR(VLOOKUP(AA278,'Message Lookup'!D:J,7,FALSE),"")</f>
        <v>0</v>
      </c>
    </row>
    <row r="279" spans="1:49" x14ac:dyDescent="0.25">
      <c r="A279" s="5" t="s">
        <v>4574</v>
      </c>
      <c r="B279" s="5" t="s">
        <v>992</v>
      </c>
      <c r="C279" s="5" t="s">
        <v>4575</v>
      </c>
      <c r="D279" s="5"/>
      <c r="E279" s="5"/>
      <c r="F279" s="5"/>
      <c r="G279" s="5"/>
      <c r="H279" s="5"/>
      <c r="I279" s="5"/>
      <c r="J279" s="5"/>
      <c r="K279" s="5" t="s">
        <v>993</v>
      </c>
      <c r="L279" s="5" t="s">
        <v>994</v>
      </c>
      <c r="M279" s="5" t="s">
        <v>4576</v>
      </c>
      <c r="N279" s="5">
        <v>41</v>
      </c>
      <c r="O279" s="5"/>
      <c r="P279" s="5" t="s">
        <v>995</v>
      </c>
      <c r="Q279" s="5">
        <v>36</v>
      </c>
      <c r="R279" s="5">
        <v>24</v>
      </c>
      <c r="S279" s="5">
        <v>15</v>
      </c>
      <c r="T279" s="5">
        <v>0</v>
      </c>
      <c r="U279" s="5" t="b">
        <v>0</v>
      </c>
      <c r="V279" s="5">
        <v>20</v>
      </c>
      <c r="W279" s="5">
        <v>0.17</v>
      </c>
      <c r="X279" s="5" t="s">
        <v>9</v>
      </c>
      <c r="Y279" s="5">
        <v>9</v>
      </c>
      <c r="Z279" s="5"/>
      <c r="AA279" s="5" t="s">
        <v>234</v>
      </c>
      <c r="AB279" s="5" t="s">
        <v>364</v>
      </c>
      <c r="AC279" s="5" t="b">
        <v>0</v>
      </c>
      <c r="AD279" s="5"/>
      <c r="AE279" s="5"/>
      <c r="AF279" s="5"/>
      <c r="AG279" s="5">
        <v>51</v>
      </c>
      <c r="AH279" s="5"/>
      <c r="AI279" s="5">
        <v>156</v>
      </c>
      <c r="AJ279" s="5"/>
      <c r="AK279" s="5" t="s">
        <v>996</v>
      </c>
      <c r="AL279" s="5">
        <v>2</v>
      </c>
      <c r="AM279" s="5"/>
      <c r="AN279" s="5">
        <v>10</v>
      </c>
      <c r="AO279" s="5"/>
      <c r="AP279" s="5">
        <v>0</v>
      </c>
      <c r="AQ279" s="5"/>
      <c r="AR279" s="5">
        <v>0</v>
      </c>
      <c r="AS279" s="5"/>
      <c r="AT279" s="5" t="s">
        <v>997</v>
      </c>
      <c r="AU279" s="5" t="s">
        <v>998</v>
      </c>
      <c r="AV279" s="5" t="s">
        <v>999</v>
      </c>
      <c r="AW279" s="8">
        <f>IFERROR(VLOOKUP(AA279,'Message Lookup'!D:J,7,FALSE),"")</f>
        <v>0</v>
      </c>
    </row>
    <row r="280" spans="1:49" x14ac:dyDescent="0.25">
      <c r="A280" s="5" t="s">
        <v>4574</v>
      </c>
      <c r="B280" s="5" t="s">
        <v>992</v>
      </c>
      <c r="C280" s="5" t="s">
        <v>4575</v>
      </c>
      <c r="D280" s="5"/>
      <c r="E280" s="5"/>
      <c r="F280" s="5"/>
      <c r="G280" s="5"/>
      <c r="H280" s="5"/>
      <c r="I280" s="5"/>
      <c r="J280" s="5"/>
      <c r="K280" s="5" t="s">
        <v>993</v>
      </c>
      <c r="L280" s="5" t="s">
        <v>994</v>
      </c>
      <c r="M280" s="5" t="s">
        <v>4576</v>
      </c>
      <c r="N280" s="5">
        <v>41</v>
      </c>
      <c r="O280" s="5"/>
      <c r="P280" s="5" t="s">
        <v>995</v>
      </c>
      <c r="Q280" s="5">
        <v>36</v>
      </c>
      <c r="R280" s="5">
        <v>24</v>
      </c>
      <c r="S280" s="5">
        <v>15</v>
      </c>
      <c r="T280" s="5">
        <v>0</v>
      </c>
      <c r="U280" s="5" t="b">
        <v>0</v>
      </c>
      <c r="V280" s="5">
        <v>20</v>
      </c>
      <c r="W280" s="5">
        <v>0.17</v>
      </c>
      <c r="X280" s="5" t="s">
        <v>9</v>
      </c>
      <c r="Y280" s="5">
        <v>9</v>
      </c>
      <c r="Z280" s="5"/>
      <c r="AA280" s="5" t="s">
        <v>235</v>
      </c>
      <c r="AB280" s="5" t="s">
        <v>365</v>
      </c>
      <c r="AC280" s="5" t="b">
        <v>0</v>
      </c>
      <c r="AD280" s="5"/>
      <c r="AE280" s="5"/>
      <c r="AF280" s="5"/>
      <c r="AG280" s="5">
        <v>51</v>
      </c>
      <c r="AH280" s="5"/>
      <c r="AI280" s="5">
        <v>156</v>
      </c>
      <c r="AJ280" s="5"/>
      <c r="AK280" s="5" t="s">
        <v>996</v>
      </c>
      <c r="AL280" s="5">
        <v>2</v>
      </c>
      <c r="AM280" s="5"/>
      <c r="AN280" s="5">
        <v>10</v>
      </c>
      <c r="AO280" s="5"/>
      <c r="AP280" s="5">
        <v>0</v>
      </c>
      <c r="AQ280" s="5"/>
      <c r="AR280" s="5">
        <v>0</v>
      </c>
      <c r="AS280" s="5"/>
      <c r="AT280" s="5" t="s">
        <v>997</v>
      </c>
      <c r="AU280" s="5" t="s">
        <v>998</v>
      </c>
      <c r="AV280" s="5" t="s">
        <v>999</v>
      </c>
      <c r="AW280" s="8">
        <f>IFERROR(VLOOKUP(AA280,'Message Lookup'!D:J,7,FALSE),"")</f>
        <v>0</v>
      </c>
    </row>
    <row r="281" spans="1:49" x14ac:dyDescent="0.25">
      <c r="A281" s="5" t="s">
        <v>4574</v>
      </c>
      <c r="B281" s="5" t="s">
        <v>992</v>
      </c>
      <c r="C281" s="5" t="s">
        <v>4575</v>
      </c>
      <c r="D281" s="5"/>
      <c r="E281" s="5"/>
      <c r="F281" s="5"/>
      <c r="G281" s="5"/>
      <c r="H281" s="5"/>
      <c r="I281" s="5"/>
      <c r="J281" s="5"/>
      <c r="K281" s="5" t="s">
        <v>993</v>
      </c>
      <c r="L281" s="5" t="s">
        <v>994</v>
      </c>
      <c r="M281" s="5" t="s">
        <v>4576</v>
      </c>
      <c r="N281" s="5">
        <v>41</v>
      </c>
      <c r="O281" s="5"/>
      <c r="P281" s="5" t="s">
        <v>995</v>
      </c>
      <c r="Q281" s="5">
        <v>36</v>
      </c>
      <c r="R281" s="5">
        <v>24</v>
      </c>
      <c r="S281" s="5">
        <v>15</v>
      </c>
      <c r="T281" s="5">
        <v>0</v>
      </c>
      <c r="U281" s="5" t="b">
        <v>0</v>
      </c>
      <c r="V281" s="5">
        <v>20</v>
      </c>
      <c r="W281" s="5">
        <v>0.17</v>
      </c>
      <c r="X281" s="5" t="s">
        <v>9</v>
      </c>
      <c r="Y281" s="5">
        <v>9</v>
      </c>
      <c r="Z281" s="5"/>
      <c r="AA281" s="5" t="s">
        <v>236</v>
      </c>
      <c r="AB281" s="5" t="s">
        <v>366</v>
      </c>
      <c r="AC281" s="5" t="b">
        <v>0</v>
      </c>
      <c r="AD281" s="5"/>
      <c r="AE281" s="5"/>
      <c r="AF281" s="5"/>
      <c r="AG281" s="5">
        <v>51</v>
      </c>
      <c r="AH281" s="5"/>
      <c r="AI281" s="5">
        <v>156</v>
      </c>
      <c r="AJ281" s="5"/>
      <c r="AK281" s="5" t="s">
        <v>996</v>
      </c>
      <c r="AL281" s="5">
        <v>2</v>
      </c>
      <c r="AM281" s="5"/>
      <c r="AN281" s="5">
        <v>10</v>
      </c>
      <c r="AO281" s="5"/>
      <c r="AP281" s="5">
        <v>0</v>
      </c>
      <c r="AQ281" s="5"/>
      <c r="AR281" s="5">
        <v>0</v>
      </c>
      <c r="AS281" s="5"/>
      <c r="AT281" s="5" t="s">
        <v>997</v>
      </c>
      <c r="AU281" s="5" t="s">
        <v>998</v>
      </c>
      <c r="AV281" s="5" t="s">
        <v>999</v>
      </c>
      <c r="AW281" s="8">
        <f>IFERROR(VLOOKUP(AA281,'Message Lookup'!D:J,7,FALSE),"")</f>
        <v>0</v>
      </c>
    </row>
    <row r="282" spans="1:49" x14ac:dyDescent="0.25">
      <c r="A282" s="5" t="s">
        <v>4574</v>
      </c>
      <c r="B282" s="5" t="s">
        <v>992</v>
      </c>
      <c r="C282" s="5" t="s">
        <v>4575</v>
      </c>
      <c r="D282" s="5"/>
      <c r="E282" s="5"/>
      <c r="F282" s="5"/>
      <c r="G282" s="5"/>
      <c r="H282" s="5"/>
      <c r="I282" s="5"/>
      <c r="J282" s="5"/>
      <c r="K282" s="5" t="s">
        <v>993</v>
      </c>
      <c r="L282" s="5" t="s">
        <v>994</v>
      </c>
      <c r="M282" s="5" t="s">
        <v>4576</v>
      </c>
      <c r="N282" s="5">
        <v>41</v>
      </c>
      <c r="O282" s="5"/>
      <c r="P282" s="5" t="s">
        <v>995</v>
      </c>
      <c r="Q282" s="5">
        <v>36</v>
      </c>
      <c r="R282" s="5">
        <v>24</v>
      </c>
      <c r="S282" s="5">
        <v>15</v>
      </c>
      <c r="T282" s="5">
        <v>0</v>
      </c>
      <c r="U282" s="5" t="b">
        <v>0</v>
      </c>
      <c r="V282" s="5">
        <v>20</v>
      </c>
      <c r="W282" s="5">
        <v>0.17</v>
      </c>
      <c r="X282" s="5" t="s">
        <v>9</v>
      </c>
      <c r="Y282" s="5">
        <v>9</v>
      </c>
      <c r="Z282" s="5"/>
      <c r="AA282" s="5" t="s">
        <v>237</v>
      </c>
      <c r="AB282" s="5" t="s">
        <v>367</v>
      </c>
      <c r="AC282" s="5" t="b">
        <v>0</v>
      </c>
      <c r="AD282" s="5"/>
      <c r="AE282" s="5"/>
      <c r="AF282" s="5"/>
      <c r="AG282" s="5">
        <v>51</v>
      </c>
      <c r="AH282" s="5"/>
      <c r="AI282" s="5">
        <v>156</v>
      </c>
      <c r="AJ282" s="5"/>
      <c r="AK282" s="5" t="s">
        <v>996</v>
      </c>
      <c r="AL282" s="5">
        <v>2</v>
      </c>
      <c r="AM282" s="5"/>
      <c r="AN282" s="5">
        <v>10</v>
      </c>
      <c r="AO282" s="5"/>
      <c r="AP282" s="5">
        <v>0</v>
      </c>
      <c r="AQ282" s="5"/>
      <c r="AR282" s="5">
        <v>0</v>
      </c>
      <c r="AS282" s="5"/>
      <c r="AT282" s="5" t="s">
        <v>997</v>
      </c>
      <c r="AU282" s="5" t="s">
        <v>998</v>
      </c>
      <c r="AV282" s="5" t="s">
        <v>999</v>
      </c>
      <c r="AW282" s="8">
        <f>IFERROR(VLOOKUP(AA282,'Message Lookup'!D:J,7,FALSE),"")</f>
        <v>0</v>
      </c>
    </row>
    <row r="283" spans="1:49" x14ac:dyDescent="0.25">
      <c r="A283" s="5" t="s">
        <v>4574</v>
      </c>
      <c r="B283" s="5" t="s">
        <v>992</v>
      </c>
      <c r="C283" s="5" t="s">
        <v>4575</v>
      </c>
      <c r="D283" s="5"/>
      <c r="E283" s="5"/>
      <c r="F283" s="5"/>
      <c r="G283" s="5"/>
      <c r="H283" s="5"/>
      <c r="I283" s="5"/>
      <c r="J283" s="5"/>
      <c r="K283" s="5" t="s">
        <v>993</v>
      </c>
      <c r="L283" s="5" t="s">
        <v>994</v>
      </c>
      <c r="M283" s="5" t="s">
        <v>4576</v>
      </c>
      <c r="N283" s="5">
        <v>41</v>
      </c>
      <c r="O283" s="5"/>
      <c r="P283" s="5" t="s">
        <v>995</v>
      </c>
      <c r="Q283" s="5">
        <v>36</v>
      </c>
      <c r="R283" s="5">
        <v>24</v>
      </c>
      <c r="S283" s="5">
        <v>15</v>
      </c>
      <c r="T283" s="5">
        <v>0</v>
      </c>
      <c r="U283" s="5" t="b">
        <v>0</v>
      </c>
      <c r="V283" s="5">
        <v>20</v>
      </c>
      <c r="W283" s="5">
        <v>0.17</v>
      </c>
      <c r="X283" s="5" t="s">
        <v>9</v>
      </c>
      <c r="Y283" s="5">
        <v>9</v>
      </c>
      <c r="Z283" s="5"/>
      <c r="AA283" s="5" t="s">
        <v>238</v>
      </c>
      <c r="AB283" s="5" t="s">
        <v>368</v>
      </c>
      <c r="AC283" s="5" t="b">
        <v>0</v>
      </c>
      <c r="AD283" s="5"/>
      <c r="AE283" s="5"/>
      <c r="AF283" s="5"/>
      <c r="AG283" s="5">
        <v>51</v>
      </c>
      <c r="AH283" s="5"/>
      <c r="AI283" s="5">
        <v>156</v>
      </c>
      <c r="AJ283" s="5"/>
      <c r="AK283" s="5" t="s">
        <v>996</v>
      </c>
      <c r="AL283" s="5">
        <v>2</v>
      </c>
      <c r="AM283" s="5"/>
      <c r="AN283" s="5">
        <v>10</v>
      </c>
      <c r="AO283" s="5"/>
      <c r="AP283" s="5">
        <v>0</v>
      </c>
      <c r="AQ283" s="5"/>
      <c r="AR283" s="5">
        <v>0</v>
      </c>
      <c r="AS283" s="5"/>
      <c r="AT283" s="5" t="s">
        <v>997</v>
      </c>
      <c r="AU283" s="5" t="s">
        <v>998</v>
      </c>
      <c r="AV283" s="5" t="s">
        <v>999</v>
      </c>
      <c r="AW283" s="8">
        <f>IFERROR(VLOOKUP(AA283,'Message Lookup'!D:J,7,FALSE),"")</f>
        <v>0</v>
      </c>
    </row>
    <row r="284" spans="1:49" x14ac:dyDescent="0.25">
      <c r="A284" s="5" t="s">
        <v>4574</v>
      </c>
      <c r="B284" s="5" t="s">
        <v>992</v>
      </c>
      <c r="C284" s="5" t="s">
        <v>4575</v>
      </c>
      <c r="D284" s="5"/>
      <c r="E284" s="5"/>
      <c r="F284" s="5"/>
      <c r="G284" s="5"/>
      <c r="H284" s="5"/>
      <c r="I284" s="5"/>
      <c r="J284" s="5"/>
      <c r="K284" s="5" t="s">
        <v>993</v>
      </c>
      <c r="L284" s="5" t="s">
        <v>994</v>
      </c>
      <c r="M284" s="5" t="s">
        <v>4576</v>
      </c>
      <c r="N284" s="5">
        <v>41</v>
      </c>
      <c r="O284" s="5"/>
      <c r="P284" s="5" t="s">
        <v>995</v>
      </c>
      <c r="Q284" s="5">
        <v>36</v>
      </c>
      <c r="R284" s="5">
        <v>24</v>
      </c>
      <c r="S284" s="5">
        <v>15</v>
      </c>
      <c r="T284" s="5">
        <v>0</v>
      </c>
      <c r="U284" s="5" t="b">
        <v>0</v>
      </c>
      <c r="V284" s="5">
        <v>20</v>
      </c>
      <c r="W284" s="5">
        <v>0.17</v>
      </c>
      <c r="X284" s="5" t="s">
        <v>9</v>
      </c>
      <c r="Y284" s="5">
        <v>9</v>
      </c>
      <c r="Z284" s="5"/>
      <c r="AA284" s="5" t="s">
        <v>239</v>
      </c>
      <c r="AB284" s="5" t="s">
        <v>369</v>
      </c>
      <c r="AC284" s="5" t="b">
        <v>0</v>
      </c>
      <c r="AD284" s="5"/>
      <c r="AE284" s="5"/>
      <c r="AF284" s="5"/>
      <c r="AG284" s="5">
        <v>51</v>
      </c>
      <c r="AH284" s="5"/>
      <c r="AI284" s="5">
        <v>156</v>
      </c>
      <c r="AJ284" s="5"/>
      <c r="AK284" s="5" t="s">
        <v>996</v>
      </c>
      <c r="AL284" s="5">
        <v>2</v>
      </c>
      <c r="AM284" s="5"/>
      <c r="AN284" s="5">
        <v>10</v>
      </c>
      <c r="AO284" s="5"/>
      <c r="AP284" s="5">
        <v>0</v>
      </c>
      <c r="AQ284" s="5"/>
      <c r="AR284" s="5">
        <v>0</v>
      </c>
      <c r="AS284" s="5"/>
      <c r="AT284" s="5" t="s">
        <v>997</v>
      </c>
      <c r="AU284" s="5" t="s">
        <v>998</v>
      </c>
      <c r="AV284" s="5" t="s">
        <v>999</v>
      </c>
      <c r="AW284" s="8">
        <f>IFERROR(VLOOKUP(AA284,'Message Lookup'!D:J,7,FALSE),"")</f>
        <v>0</v>
      </c>
    </row>
    <row r="285" spans="1:49" x14ac:dyDescent="0.25">
      <c r="A285" s="5" t="s">
        <v>4574</v>
      </c>
      <c r="B285" s="5" t="s">
        <v>992</v>
      </c>
      <c r="C285" s="5" t="s">
        <v>4575</v>
      </c>
      <c r="D285" s="5"/>
      <c r="E285" s="5"/>
      <c r="F285" s="5"/>
      <c r="G285" s="5"/>
      <c r="H285" s="5"/>
      <c r="I285" s="5"/>
      <c r="J285" s="5"/>
      <c r="K285" s="5" t="s">
        <v>993</v>
      </c>
      <c r="L285" s="5" t="s">
        <v>994</v>
      </c>
      <c r="M285" s="5" t="s">
        <v>4576</v>
      </c>
      <c r="N285" s="5">
        <v>41</v>
      </c>
      <c r="O285" s="5"/>
      <c r="P285" s="5" t="s">
        <v>995</v>
      </c>
      <c r="Q285" s="5">
        <v>36</v>
      </c>
      <c r="R285" s="5">
        <v>24</v>
      </c>
      <c r="S285" s="5">
        <v>15</v>
      </c>
      <c r="T285" s="5">
        <v>0</v>
      </c>
      <c r="U285" s="5" t="b">
        <v>0</v>
      </c>
      <c r="V285" s="5">
        <v>20</v>
      </c>
      <c r="W285" s="5">
        <v>0.17</v>
      </c>
      <c r="X285" s="5" t="s">
        <v>9</v>
      </c>
      <c r="Y285" s="5">
        <v>9</v>
      </c>
      <c r="Z285" s="5"/>
      <c r="AA285" s="5" t="s">
        <v>240</v>
      </c>
      <c r="AB285" s="5" t="s">
        <v>370</v>
      </c>
      <c r="AC285" s="5" t="b">
        <v>0</v>
      </c>
      <c r="AD285" s="5"/>
      <c r="AE285" s="5"/>
      <c r="AF285" s="5"/>
      <c r="AG285" s="5">
        <v>51</v>
      </c>
      <c r="AH285" s="5"/>
      <c r="AI285" s="5">
        <v>156</v>
      </c>
      <c r="AJ285" s="5"/>
      <c r="AK285" s="5" t="s">
        <v>996</v>
      </c>
      <c r="AL285" s="5">
        <v>2</v>
      </c>
      <c r="AM285" s="5"/>
      <c r="AN285" s="5">
        <v>10</v>
      </c>
      <c r="AO285" s="5"/>
      <c r="AP285" s="5">
        <v>0</v>
      </c>
      <c r="AQ285" s="5"/>
      <c r="AR285" s="5">
        <v>0</v>
      </c>
      <c r="AS285" s="5"/>
      <c r="AT285" s="5" t="s">
        <v>997</v>
      </c>
      <c r="AU285" s="5" t="s">
        <v>998</v>
      </c>
      <c r="AV285" s="5" t="s">
        <v>999</v>
      </c>
      <c r="AW285" s="8">
        <f>IFERROR(VLOOKUP(AA285,'Message Lookup'!D:J,7,FALSE),"")</f>
        <v>0</v>
      </c>
    </row>
    <row r="286" spans="1:49" x14ac:dyDescent="0.25">
      <c r="A286" s="5" t="s">
        <v>4574</v>
      </c>
      <c r="B286" s="5" t="s">
        <v>992</v>
      </c>
      <c r="C286" s="5" t="s">
        <v>4575</v>
      </c>
      <c r="D286" s="5"/>
      <c r="E286" s="5"/>
      <c r="F286" s="5"/>
      <c r="G286" s="5"/>
      <c r="H286" s="5"/>
      <c r="I286" s="5"/>
      <c r="J286" s="5"/>
      <c r="K286" s="5" t="s">
        <v>993</v>
      </c>
      <c r="L286" s="5" t="s">
        <v>994</v>
      </c>
      <c r="M286" s="5" t="s">
        <v>4576</v>
      </c>
      <c r="N286" s="5">
        <v>41</v>
      </c>
      <c r="O286" s="5"/>
      <c r="P286" s="5" t="s">
        <v>995</v>
      </c>
      <c r="Q286" s="5">
        <v>36</v>
      </c>
      <c r="R286" s="5">
        <v>24</v>
      </c>
      <c r="S286" s="5">
        <v>15</v>
      </c>
      <c r="T286" s="5">
        <v>0</v>
      </c>
      <c r="U286" s="5" t="b">
        <v>0</v>
      </c>
      <c r="V286" s="5">
        <v>20</v>
      </c>
      <c r="W286" s="5">
        <v>0.17</v>
      </c>
      <c r="X286" s="5" t="s">
        <v>9</v>
      </c>
      <c r="Y286" s="5">
        <v>9</v>
      </c>
      <c r="Z286" s="5"/>
      <c r="AA286" s="5"/>
      <c r="AB286" s="5"/>
      <c r="AC286" s="5"/>
      <c r="AD286" s="5"/>
      <c r="AE286" s="5" t="s">
        <v>1000</v>
      </c>
      <c r="AF286" s="5" t="b">
        <v>0</v>
      </c>
      <c r="AG286" s="5">
        <v>51</v>
      </c>
      <c r="AH286" s="5"/>
      <c r="AI286" s="5">
        <v>156</v>
      </c>
      <c r="AJ286" s="5"/>
      <c r="AK286" s="5" t="s">
        <v>996</v>
      </c>
      <c r="AL286" s="5">
        <v>2</v>
      </c>
      <c r="AM286" s="5"/>
      <c r="AN286" s="5">
        <v>10</v>
      </c>
      <c r="AO286" s="5"/>
      <c r="AP286" s="5">
        <v>0</v>
      </c>
      <c r="AQ286" s="5"/>
      <c r="AR286" s="5">
        <v>0</v>
      </c>
      <c r="AS286" s="5"/>
      <c r="AT286" s="5" t="s">
        <v>997</v>
      </c>
      <c r="AU286" s="5" t="s">
        <v>998</v>
      </c>
      <c r="AV286" s="5" t="s">
        <v>999</v>
      </c>
      <c r="AW286" s="8" t="str">
        <f>IFERROR(VLOOKUP(AA286,'Message Lookup'!D:J,7,FALSE),"")</f>
        <v/>
      </c>
    </row>
    <row r="287" spans="1:49" x14ac:dyDescent="0.25">
      <c r="A287" s="5" t="s">
        <v>4574</v>
      </c>
      <c r="B287" s="5" t="s">
        <v>992</v>
      </c>
      <c r="C287" s="5" t="s">
        <v>4575</v>
      </c>
      <c r="D287" s="5"/>
      <c r="E287" s="5"/>
      <c r="F287" s="5"/>
      <c r="G287" s="5"/>
      <c r="H287" s="5"/>
      <c r="I287" s="5"/>
      <c r="J287" s="5"/>
      <c r="K287" s="5" t="s">
        <v>993</v>
      </c>
      <c r="L287" s="5" t="s">
        <v>994</v>
      </c>
      <c r="M287" s="5" t="s">
        <v>4576</v>
      </c>
      <c r="N287" s="5">
        <v>41</v>
      </c>
      <c r="O287" s="5"/>
      <c r="P287" s="5" t="s">
        <v>995</v>
      </c>
      <c r="Q287" s="5">
        <v>36</v>
      </c>
      <c r="R287" s="5">
        <v>24</v>
      </c>
      <c r="S287" s="5">
        <v>15</v>
      </c>
      <c r="T287" s="5">
        <v>0</v>
      </c>
      <c r="U287" s="5" t="b">
        <v>0</v>
      </c>
      <c r="V287" s="5">
        <v>20</v>
      </c>
      <c r="W287" s="5">
        <v>0.17</v>
      </c>
      <c r="X287" s="5" t="s">
        <v>9</v>
      </c>
      <c r="Y287" s="5">
        <v>9</v>
      </c>
      <c r="Z287" s="5"/>
      <c r="AA287" s="5"/>
      <c r="AB287" s="5"/>
      <c r="AC287" s="5"/>
      <c r="AD287" s="5" t="s">
        <v>1016</v>
      </c>
      <c r="AE287" s="5" t="s">
        <v>1002</v>
      </c>
      <c r="AF287" s="5" t="b">
        <v>0</v>
      </c>
      <c r="AG287" s="5">
        <v>51</v>
      </c>
      <c r="AH287" s="5"/>
      <c r="AI287" s="5">
        <v>156</v>
      </c>
      <c r="AJ287" s="5"/>
      <c r="AK287" s="5" t="s">
        <v>996</v>
      </c>
      <c r="AL287" s="5">
        <v>2</v>
      </c>
      <c r="AM287" s="5"/>
      <c r="AN287" s="5">
        <v>10</v>
      </c>
      <c r="AO287" s="5"/>
      <c r="AP287" s="5">
        <v>0</v>
      </c>
      <c r="AQ287" s="5"/>
      <c r="AR287" s="5">
        <v>0</v>
      </c>
      <c r="AS287" s="5"/>
      <c r="AT287" s="5" t="s">
        <v>997</v>
      </c>
      <c r="AU287" s="5" t="s">
        <v>998</v>
      </c>
      <c r="AV287" s="5" t="s">
        <v>999</v>
      </c>
      <c r="AW287" s="8" t="str">
        <f>IFERROR(VLOOKUP(AA287,'Message Lookup'!D:J,7,FALSE),"")</f>
        <v/>
      </c>
    </row>
    <row r="288" spans="1:49" x14ac:dyDescent="0.25">
      <c r="A288" s="5" t="s">
        <v>4574</v>
      </c>
      <c r="B288" s="5" t="s">
        <v>992</v>
      </c>
      <c r="C288" s="5" t="s">
        <v>4575</v>
      </c>
      <c r="D288" s="5"/>
      <c r="E288" s="5"/>
      <c r="F288" s="5"/>
      <c r="G288" s="5"/>
      <c r="H288" s="5"/>
      <c r="I288" s="5"/>
      <c r="J288" s="5"/>
      <c r="K288" s="5" t="s">
        <v>993</v>
      </c>
      <c r="L288" s="5" t="s">
        <v>994</v>
      </c>
      <c r="M288" s="5" t="s">
        <v>4576</v>
      </c>
      <c r="N288" s="5">
        <v>41</v>
      </c>
      <c r="O288" s="5"/>
      <c r="P288" s="5" t="s">
        <v>995</v>
      </c>
      <c r="Q288" s="5">
        <v>36</v>
      </c>
      <c r="R288" s="5">
        <v>24</v>
      </c>
      <c r="S288" s="5">
        <v>16</v>
      </c>
      <c r="T288" s="5">
        <v>0</v>
      </c>
      <c r="U288" s="5" t="b">
        <v>0</v>
      </c>
      <c r="V288" s="5">
        <v>20</v>
      </c>
      <c r="W288" s="5">
        <v>0.18</v>
      </c>
      <c r="X288" s="5" t="s">
        <v>9</v>
      </c>
      <c r="Y288" s="5">
        <v>9</v>
      </c>
      <c r="Z288" s="5"/>
      <c r="AA288" s="5"/>
      <c r="AB288" s="5" t="s">
        <v>354</v>
      </c>
      <c r="AC288" s="5" t="b">
        <v>0</v>
      </c>
      <c r="AD288" s="5"/>
      <c r="AE288" s="5"/>
      <c r="AF288" s="5"/>
      <c r="AG288" s="5">
        <v>51</v>
      </c>
      <c r="AH288" s="5">
        <v>51</v>
      </c>
      <c r="AI288" s="5">
        <v>198</v>
      </c>
      <c r="AJ288" s="5">
        <v>198</v>
      </c>
      <c r="AK288" s="5" t="s">
        <v>996</v>
      </c>
      <c r="AL288" s="5">
        <v>2</v>
      </c>
      <c r="AM288" s="5"/>
      <c r="AN288" s="5">
        <v>10</v>
      </c>
      <c r="AO288" s="5"/>
      <c r="AP288" s="5">
        <v>0</v>
      </c>
      <c r="AQ288" s="5"/>
      <c r="AR288" s="5">
        <v>0</v>
      </c>
      <c r="AS288" s="5"/>
      <c r="AT288" s="5" t="s">
        <v>997</v>
      </c>
      <c r="AU288" s="5" t="s">
        <v>998</v>
      </c>
      <c r="AV288" s="5" t="s">
        <v>999</v>
      </c>
      <c r="AW288" s="8" t="str">
        <f>IFERROR(VLOOKUP(AA288,'Message Lookup'!D:J,7,FALSE),"")</f>
        <v/>
      </c>
    </row>
    <row r="289" spans="1:49" x14ac:dyDescent="0.25">
      <c r="A289" s="5" t="s">
        <v>4574</v>
      </c>
      <c r="B289" s="5" t="s">
        <v>992</v>
      </c>
      <c r="C289" s="5" t="s">
        <v>4575</v>
      </c>
      <c r="D289" s="5"/>
      <c r="E289" s="5"/>
      <c r="F289" s="5"/>
      <c r="G289" s="5"/>
      <c r="H289" s="5"/>
      <c r="I289" s="5"/>
      <c r="J289" s="5"/>
      <c r="K289" s="5" t="s">
        <v>993</v>
      </c>
      <c r="L289" s="5" t="s">
        <v>994</v>
      </c>
      <c r="M289" s="5" t="s">
        <v>4576</v>
      </c>
      <c r="N289" s="5">
        <v>41</v>
      </c>
      <c r="O289" s="5"/>
      <c r="P289" s="5" t="s">
        <v>995</v>
      </c>
      <c r="Q289" s="5">
        <v>36</v>
      </c>
      <c r="R289" s="5">
        <v>24</v>
      </c>
      <c r="S289" s="5">
        <v>16</v>
      </c>
      <c r="T289" s="5">
        <v>0</v>
      </c>
      <c r="U289" s="5" t="b">
        <v>0</v>
      </c>
      <c r="V289" s="5">
        <v>20</v>
      </c>
      <c r="W289" s="5">
        <v>0.18</v>
      </c>
      <c r="X289" s="5" t="s">
        <v>9</v>
      </c>
      <c r="Y289" s="5">
        <v>9</v>
      </c>
      <c r="Z289" s="5"/>
      <c r="AA289" s="5" t="s">
        <v>241</v>
      </c>
      <c r="AB289" s="5" t="s">
        <v>355</v>
      </c>
      <c r="AC289" s="5" t="b">
        <v>0</v>
      </c>
      <c r="AD289" s="5"/>
      <c r="AE289" s="5"/>
      <c r="AF289" s="5"/>
      <c r="AG289" s="5">
        <v>51</v>
      </c>
      <c r="AH289" s="5"/>
      <c r="AI289" s="5">
        <v>198</v>
      </c>
      <c r="AJ289" s="5"/>
      <c r="AK289" s="5" t="s">
        <v>996</v>
      </c>
      <c r="AL289" s="5">
        <v>2</v>
      </c>
      <c r="AM289" s="5"/>
      <c r="AN289" s="5">
        <v>10</v>
      </c>
      <c r="AO289" s="5"/>
      <c r="AP289" s="5">
        <v>0</v>
      </c>
      <c r="AQ289" s="5"/>
      <c r="AR289" s="5">
        <v>0</v>
      </c>
      <c r="AS289" s="5"/>
      <c r="AT289" s="5" t="s">
        <v>997</v>
      </c>
      <c r="AU289" s="5" t="s">
        <v>998</v>
      </c>
      <c r="AV289" s="5" t="s">
        <v>999</v>
      </c>
      <c r="AW289" s="8" t="str">
        <f>IFERROR(VLOOKUP(AA289,'Message Lookup'!D:J,7,FALSE),"")</f>
        <v>P1 MOTOR PROTECTION RELAY THERMAL ALARM Latched</v>
      </c>
    </row>
    <row r="290" spans="1:49" x14ac:dyDescent="0.25">
      <c r="A290" s="5" t="s">
        <v>4574</v>
      </c>
      <c r="B290" s="5" t="s">
        <v>992</v>
      </c>
      <c r="C290" s="5" t="s">
        <v>4575</v>
      </c>
      <c r="D290" s="5"/>
      <c r="E290" s="5"/>
      <c r="F290" s="5"/>
      <c r="G290" s="5"/>
      <c r="H290" s="5"/>
      <c r="I290" s="5"/>
      <c r="J290" s="5"/>
      <c r="K290" s="5" t="s">
        <v>993</v>
      </c>
      <c r="L290" s="5" t="s">
        <v>994</v>
      </c>
      <c r="M290" s="5" t="s">
        <v>4576</v>
      </c>
      <c r="N290" s="5">
        <v>41</v>
      </c>
      <c r="O290" s="5"/>
      <c r="P290" s="5" t="s">
        <v>995</v>
      </c>
      <c r="Q290" s="5">
        <v>36</v>
      </c>
      <c r="R290" s="5">
        <v>24</v>
      </c>
      <c r="S290" s="5">
        <v>16</v>
      </c>
      <c r="T290" s="5">
        <v>0</v>
      </c>
      <c r="U290" s="5" t="b">
        <v>0</v>
      </c>
      <c r="V290" s="5">
        <v>20</v>
      </c>
      <c r="W290" s="5">
        <v>0.18</v>
      </c>
      <c r="X290" s="5" t="s">
        <v>9</v>
      </c>
      <c r="Y290" s="5">
        <v>9</v>
      </c>
      <c r="Z290" s="5"/>
      <c r="AA290" s="5" t="s">
        <v>242</v>
      </c>
      <c r="AB290" s="5" t="s">
        <v>356</v>
      </c>
      <c r="AC290" s="5" t="b">
        <v>0</v>
      </c>
      <c r="AD290" s="5"/>
      <c r="AE290" s="5"/>
      <c r="AF290" s="5"/>
      <c r="AG290" s="5">
        <v>51</v>
      </c>
      <c r="AH290" s="5"/>
      <c r="AI290" s="5">
        <v>198</v>
      </c>
      <c r="AJ290" s="5"/>
      <c r="AK290" s="5" t="s">
        <v>996</v>
      </c>
      <c r="AL290" s="5">
        <v>2</v>
      </c>
      <c r="AM290" s="5"/>
      <c r="AN290" s="5">
        <v>10</v>
      </c>
      <c r="AO290" s="5"/>
      <c r="AP290" s="5">
        <v>0</v>
      </c>
      <c r="AQ290" s="5"/>
      <c r="AR290" s="5">
        <v>0</v>
      </c>
      <c r="AS290" s="5"/>
      <c r="AT290" s="5" t="s">
        <v>997</v>
      </c>
      <c r="AU290" s="5" t="s">
        <v>998</v>
      </c>
      <c r="AV290" s="5" t="s">
        <v>999</v>
      </c>
      <c r="AW290" s="8" t="str">
        <f>IFERROR(VLOOKUP(AA290,'Message Lookup'!D:J,7,FALSE),"")</f>
        <v>P1 MOTOR PROTECTION RELAY FAULT Latched</v>
      </c>
    </row>
    <row r="291" spans="1:49" x14ac:dyDescent="0.25">
      <c r="A291" s="5" t="s">
        <v>4574</v>
      </c>
      <c r="B291" s="5" t="s">
        <v>992</v>
      </c>
      <c r="C291" s="5" t="s">
        <v>4575</v>
      </c>
      <c r="D291" s="5"/>
      <c r="E291" s="5"/>
      <c r="F291" s="5"/>
      <c r="G291" s="5"/>
      <c r="H291" s="5"/>
      <c r="I291" s="5"/>
      <c r="J291" s="5"/>
      <c r="K291" s="5" t="s">
        <v>993</v>
      </c>
      <c r="L291" s="5" t="s">
        <v>994</v>
      </c>
      <c r="M291" s="5" t="s">
        <v>4576</v>
      </c>
      <c r="N291" s="5">
        <v>41</v>
      </c>
      <c r="O291" s="5"/>
      <c r="P291" s="5" t="s">
        <v>995</v>
      </c>
      <c r="Q291" s="5">
        <v>36</v>
      </c>
      <c r="R291" s="5">
        <v>24</v>
      </c>
      <c r="S291" s="5">
        <v>16</v>
      </c>
      <c r="T291" s="5">
        <v>0</v>
      </c>
      <c r="U291" s="5" t="b">
        <v>0</v>
      </c>
      <c r="V291" s="5">
        <v>20</v>
      </c>
      <c r="W291" s="5">
        <v>0.18</v>
      </c>
      <c r="X291" s="5" t="s">
        <v>9</v>
      </c>
      <c r="Y291" s="5">
        <v>9</v>
      </c>
      <c r="Z291" s="5"/>
      <c r="AA291" s="5" t="s">
        <v>243</v>
      </c>
      <c r="AB291" s="5" t="s">
        <v>357</v>
      </c>
      <c r="AC291" s="5" t="b">
        <v>0</v>
      </c>
      <c r="AD291" s="5"/>
      <c r="AE291" s="5"/>
      <c r="AF291" s="5"/>
      <c r="AG291" s="5">
        <v>51</v>
      </c>
      <c r="AH291" s="5"/>
      <c r="AI291" s="5">
        <v>198</v>
      </c>
      <c r="AJ291" s="5"/>
      <c r="AK291" s="5" t="s">
        <v>996</v>
      </c>
      <c r="AL291" s="5">
        <v>2</v>
      </c>
      <c r="AM291" s="5"/>
      <c r="AN291" s="5">
        <v>10</v>
      </c>
      <c r="AO291" s="5"/>
      <c r="AP291" s="5">
        <v>0</v>
      </c>
      <c r="AQ291" s="5"/>
      <c r="AR291" s="5">
        <v>0</v>
      </c>
      <c r="AS291" s="5"/>
      <c r="AT291" s="5" t="s">
        <v>997</v>
      </c>
      <c r="AU291" s="5" t="s">
        <v>998</v>
      </c>
      <c r="AV291" s="5" t="s">
        <v>999</v>
      </c>
      <c r="AW291" s="8" t="str">
        <f>IFERROR(VLOOKUP(AA291,'Message Lookup'!D:J,7,FALSE),"")</f>
        <v>P2 MOTOR PROTECTION RELAY THERMAL ALARM Latched</v>
      </c>
    </row>
    <row r="292" spans="1:49" x14ac:dyDescent="0.25">
      <c r="A292" s="5" t="s">
        <v>4574</v>
      </c>
      <c r="B292" s="5" t="s">
        <v>992</v>
      </c>
      <c r="C292" s="5" t="s">
        <v>4575</v>
      </c>
      <c r="D292" s="5"/>
      <c r="E292" s="5"/>
      <c r="F292" s="5"/>
      <c r="G292" s="5"/>
      <c r="H292" s="5"/>
      <c r="I292" s="5"/>
      <c r="J292" s="5"/>
      <c r="K292" s="5" t="s">
        <v>993</v>
      </c>
      <c r="L292" s="5" t="s">
        <v>994</v>
      </c>
      <c r="M292" s="5" t="s">
        <v>4576</v>
      </c>
      <c r="N292" s="5">
        <v>41</v>
      </c>
      <c r="O292" s="5"/>
      <c r="P292" s="5" t="s">
        <v>995</v>
      </c>
      <c r="Q292" s="5">
        <v>36</v>
      </c>
      <c r="R292" s="5">
        <v>24</v>
      </c>
      <c r="S292" s="5">
        <v>16</v>
      </c>
      <c r="T292" s="5">
        <v>0</v>
      </c>
      <c r="U292" s="5" t="b">
        <v>0</v>
      </c>
      <c r="V292" s="5">
        <v>20</v>
      </c>
      <c r="W292" s="5">
        <v>0.18</v>
      </c>
      <c r="X292" s="5" t="s">
        <v>9</v>
      </c>
      <c r="Y292" s="5">
        <v>9</v>
      </c>
      <c r="Z292" s="5"/>
      <c r="AA292" s="5" t="s">
        <v>244</v>
      </c>
      <c r="AB292" s="5" t="s">
        <v>358</v>
      </c>
      <c r="AC292" s="5" t="b">
        <v>0</v>
      </c>
      <c r="AD292" s="5"/>
      <c r="AE292" s="5"/>
      <c r="AF292" s="5"/>
      <c r="AG292" s="5">
        <v>51</v>
      </c>
      <c r="AH292" s="5"/>
      <c r="AI292" s="5">
        <v>198</v>
      </c>
      <c r="AJ292" s="5"/>
      <c r="AK292" s="5" t="s">
        <v>996</v>
      </c>
      <c r="AL292" s="5">
        <v>2</v>
      </c>
      <c r="AM292" s="5"/>
      <c r="AN292" s="5">
        <v>10</v>
      </c>
      <c r="AO292" s="5"/>
      <c r="AP292" s="5">
        <v>0</v>
      </c>
      <c r="AQ292" s="5"/>
      <c r="AR292" s="5">
        <v>0</v>
      </c>
      <c r="AS292" s="5"/>
      <c r="AT292" s="5" t="s">
        <v>997</v>
      </c>
      <c r="AU292" s="5" t="s">
        <v>998</v>
      </c>
      <c r="AV292" s="5" t="s">
        <v>999</v>
      </c>
      <c r="AW292" s="8" t="str">
        <f>IFERROR(VLOOKUP(AA292,'Message Lookup'!D:J,7,FALSE),"")</f>
        <v>P2 MOTOR PROTECTION RELAY FAULT Latched</v>
      </c>
    </row>
    <row r="293" spans="1:49" x14ac:dyDescent="0.25">
      <c r="A293" s="5" t="s">
        <v>4574</v>
      </c>
      <c r="B293" s="5" t="s">
        <v>992</v>
      </c>
      <c r="C293" s="5" t="s">
        <v>4575</v>
      </c>
      <c r="D293" s="5"/>
      <c r="E293" s="5"/>
      <c r="F293" s="5"/>
      <c r="G293" s="5"/>
      <c r="H293" s="5"/>
      <c r="I293" s="5"/>
      <c r="J293" s="5"/>
      <c r="K293" s="5" t="s">
        <v>993</v>
      </c>
      <c r="L293" s="5" t="s">
        <v>994</v>
      </c>
      <c r="M293" s="5" t="s">
        <v>4576</v>
      </c>
      <c r="N293" s="5">
        <v>41</v>
      </c>
      <c r="O293" s="5"/>
      <c r="P293" s="5" t="s">
        <v>995</v>
      </c>
      <c r="Q293" s="5">
        <v>36</v>
      </c>
      <c r="R293" s="5">
        <v>24</v>
      </c>
      <c r="S293" s="5">
        <v>16</v>
      </c>
      <c r="T293" s="5">
        <v>0</v>
      </c>
      <c r="U293" s="5" t="b">
        <v>0</v>
      </c>
      <c r="V293" s="5">
        <v>20</v>
      </c>
      <c r="W293" s="5">
        <v>0.18</v>
      </c>
      <c r="X293" s="5" t="s">
        <v>9</v>
      </c>
      <c r="Y293" s="5">
        <v>9</v>
      </c>
      <c r="Z293" s="5"/>
      <c r="AA293" s="5" t="s">
        <v>245</v>
      </c>
      <c r="AB293" s="5" t="s">
        <v>359</v>
      </c>
      <c r="AC293" s="5" t="b">
        <v>0</v>
      </c>
      <c r="AD293" s="5"/>
      <c r="AE293" s="5"/>
      <c r="AF293" s="5"/>
      <c r="AG293" s="5">
        <v>51</v>
      </c>
      <c r="AH293" s="5"/>
      <c r="AI293" s="5">
        <v>198</v>
      </c>
      <c r="AJ293" s="5"/>
      <c r="AK293" s="5" t="s">
        <v>996</v>
      </c>
      <c r="AL293" s="5">
        <v>2</v>
      </c>
      <c r="AM293" s="5"/>
      <c r="AN293" s="5">
        <v>10</v>
      </c>
      <c r="AO293" s="5"/>
      <c r="AP293" s="5">
        <v>0</v>
      </c>
      <c r="AQ293" s="5"/>
      <c r="AR293" s="5">
        <v>0</v>
      </c>
      <c r="AS293" s="5"/>
      <c r="AT293" s="5" t="s">
        <v>997</v>
      </c>
      <c r="AU293" s="5" t="s">
        <v>998</v>
      </c>
      <c r="AV293" s="5" t="s">
        <v>999</v>
      </c>
      <c r="AW293" s="8" t="str">
        <f>IFERROR(VLOOKUP(AA293,'Message Lookup'!D:J,7,FALSE),"")</f>
        <v>P4 MOTOR PROTECTION RELAY THERMAL ALARM Latched</v>
      </c>
    </row>
    <row r="294" spans="1:49" x14ac:dyDescent="0.25">
      <c r="A294" s="5" t="s">
        <v>4574</v>
      </c>
      <c r="B294" s="5" t="s">
        <v>992</v>
      </c>
      <c r="C294" s="5" t="s">
        <v>4575</v>
      </c>
      <c r="D294" s="5"/>
      <c r="E294" s="5"/>
      <c r="F294" s="5"/>
      <c r="G294" s="5"/>
      <c r="H294" s="5"/>
      <c r="I294" s="5"/>
      <c r="J294" s="5"/>
      <c r="K294" s="5" t="s">
        <v>993</v>
      </c>
      <c r="L294" s="5" t="s">
        <v>994</v>
      </c>
      <c r="M294" s="5" t="s">
        <v>4576</v>
      </c>
      <c r="N294" s="5">
        <v>41</v>
      </c>
      <c r="O294" s="5"/>
      <c r="P294" s="5" t="s">
        <v>995</v>
      </c>
      <c r="Q294" s="5">
        <v>36</v>
      </c>
      <c r="R294" s="5">
        <v>24</v>
      </c>
      <c r="S294" s="5">
        <v>16</v>
      </c>
      <c r="T294" s="5">
        <v>0</v>
      </c>
      <c r="U294" s="5" t="b">
        <v>0</v>
      </c>
      <c r="V294" s="5">
        <v>20</v>
      </c>
      <c r="W294" s="5">
        <v>0.18</v>
      </c>
      <c r="X294" s="5" t="s">
        <v>9</v>
      </c>
      <c r="Y294" s="5">
        <v>9</v>
      </c>
      <c r="Z294" s="5"/>
      <c r="AA294" s="5" t="s">
        <v>246</v>
      </c>
      <c r="AB294" s="5" t="s">
        <v>360</v>
      </c>
      <c r="AC294" s="5" t="b">
        <v>0</v>
      </c>
      <c r="AD294" s="5"/>
      <c r="AE294" s="5"/>
      <c r="AF294" s="5"/>
      <c r="AG294" s="5">
        <v>51</v>
      </c>
      <c r="AH294" s="5"/>
      <c r="AI294" s="5">
        <v>198</v>
      </c>
      <c r="AJ294" s="5"/>
      <c r="AK294" s="5" t="s">
        <v>996</v>
      </c>
      <c r="AL294" s="5">
        <v>2</v>
      </c>
      <c r="AM294" s="5"/>
      <c r="AN294" s="5">
        <v>10</v>
      </c>
      <c r="AO294" s="5"/>
      <c r="AP294" s="5">
        <v>0</v>
      </c>
      <c r="AQ294" s="5"/>
      <c r="AR294" s="5">
        <v>0</v>
      </c>
      <c r="AS294" s="5"/>
      <c r="AT294" s="5" t="s">
        <v>997</v>
      </c>
      <c r="AU294" s="5" t="s">
        <v>998</v>
      </c>
      <c r="AV294" s="5" t="s">
        <v>999</v>
      </c>
      <c r="AW294" s="8" t="str">
        <f>IFERROR(VLOOKUP(AA294,'Message Lookup'!D:J,7,FALSE),"")</f>
        <v>P4 MOTOR PROTECTION RELAY FAULT Latched</v>
      </c>
    </row>
    <row r="295" spans="1:49" x14ac:dyDescent="0.25">
      <c r="A295" s="5" t="s">
        <v>4574</v>
      </c>
      <c r="B295" s="5" t="s">
        <v>992</v>
      </c>
      <c r="C295" s="5" t="s">
        <v>4575</v>
      </c>
      <c r="D295" s="5"/>
      <c r="E295" s="5"/>
      <c r="F295" s="5"/>
      <c r="G295" s="5"/>
      <c r="H295" s="5"/>
      <c r="I295" s="5"/>
      <c r="J295" s="5"/>
      <c r="K295" s="5" t="s">
        <v>993</v>
      </c>
      <c r="L295" s="5" t="s">
        <v>994</v>
      </c>
      <c r="M295" s="5" t="s">
        <v>4576</v>
      </c>
      <c r="N295" s="5">
        <v>41</v>
      </c>
      <c r="O295" s="5"/>
      <c r="P295" s="5" t="s">
        <v>995</v>
      </c>
      <c r="Q295" s="5">
        <v>36</v>
      </c>
      <c r="R295" s="5">
        <v>24</v>
      </c>
      <c r="S295" s="5">
        <v>16</v>
      </c>
      <c r="T295" s="5">
        <v>0</v>
      </c>
      <c r="U295" s="5" t="b">
        <v>0</v>
      </c>
      <c r="V295" s="5">
        <v>20</v>
      </c>
      <c r="W295" s="5">
        <v>0.18</v>
      </c>
      <c r="X295" s="5" t="s">
        <v>9</v>
      </c>
      <c r="Y295" s="5">
        <v>9</v>
      </c>
      <c r="Z295" s="5"/>
      <c r="AA295" s="5" t="s">
        <v>247</v>
      </c>
      <c r="AB295" s="5" t="s">
        <v>361</v>
      </c>
      <c r="AC295" s="5" t="b">
        <v>0</v>
      </c>
      <c r="AD295" s="5"/>
      <c r="AE295" s="5"/>
      <c r="AF295" s="5"/>
      <c r="AG295" s="5">
        <v>51</v>
      </c>
      <c r="AH295" s="5"/>
      <c r="AI295" s="5">
        <v>198</v>
      </c>
      <c r="AJ295" s="5"/>
      <c r="AK295" s="5" t="s">
        <v>996</v>
      </c>
      <c r="AL295" s="5">
        <v>2</v>
      </c>
      <c r="AM295" s="5"/>
      <c r="AN295" s="5">
        <v>10</v>
      </c>
      <c r="AO295" s="5"/>
      <c r="AP295" s="5">
        <v>0</v>
      </c>
      <c r="AQ295" s="5"/>
      <c r="AR295" s="5">
        <v>0</v>
      </c>
      <c r="AS295" s="5"/>
      <c r="AT295" s="5" t="s">
        <v>997</v>
      </c>
      <c r="AU295" s="5" t="s">
        <v>998</v>
      </c>
      <c r="AV295" s="5" t="s">
        <v>999</v>
      </c>
      <c r="AW295" s="8" t="str">
        <f>IFERROR(VLOOKUP(AA295,'Message Lookup'!D:J,7,FALSE),"")</f>
        <v>P1 VFD fault Latched</v>
      </c>
    </row>
    <row r="296" spans="1:49" x14ac:dyDescent="0.25">
      <c r="A296" s="5" t="s">
        <v>4574</v>
      </c>
      <c r="B296" s="5" t="s">
        <v>992</v>
      </c>
      <c r="C296" s="5" t="s">
        <v>4575</v>
      </c>
      <c r="D296" s="5"/>
      <c r="E296" s="5"/>
      <c r="F296" s="5"/>
      <c r="G296" s="5"/>
      <c r="H296" s="5"/>
      <c r="I296" s="5"/>
      <c r="J296" s="5"/>
      <c r="K296" s="5" t="s">
        <v>993</v>
      </c>
      <c r="L296" s="5" t="s">
        <v>994</v>
      </c>
      <c r="M296" s="5" t="s">
        <v>4576</v>
      </c>
      <c r="N296" s="5">
        <v>41</v>
      </c>
      <c r="O296" s="5"/>
      <c r="P296" s="5" t="s">
        <v>995</v>
      </c>
      <c r="Q296" s="5">
        <v>36</v>
      </c>
      <c r="R296" s="5">
        <v>24</v>
      </c>
      <c r="S296" s="5">
        <v>16</v>
      </c>
      <c r="T296" s="5">
        <v>0</v>
      </c>
      <c r="U296" s="5" t="b">
        <v>0</v>
      </c>
      <c r="V296" s="5">
        <v>20</v>
      </c>
      <c r="W296" s="5">
        <v>0.18</v>
      </c>
      <c r="X296" s="5" t="s">
        <v>9</v>
      </c>
      <c r="Y296" s="5">
        <v>9</v>
      </c>
      <c r="Z296" s="5"/>
      <c r="AA296" s="5" t="s">
        <v>248</v>
      </c>
      <c r="AB296" s="5" t="s">
        <v>362</v>
      </c>
      <c r="AC296" s="5" t="b">
        <v>0</v>
      </c>
      <c r="AD296" s="5"/>
      <c r="AE296" s="5"/>
      <c r="AF296" s="5"/>
      <c r="AG296" s="5">
        <v>51</v>
      </c>
      <c r="AH296" s="5"/>
      <c r="AI296" s="5">
        <v>198</v>
      </c>
      <c r="AJ296" s="5"/>
      <c r="AK296" s="5" t="s">
        <v>996</v>
      </c>
      <c r="AL296" s="5">
        <v>2</v>
      </c>
      <c r="AM296" s="5"/>
      <c r="AN296" s="5">
        <v>10</v>
      </c>
      <c r="AO296" s="5"/>
      <c r="AP296" s="5">
        <v>0</v>
      </c>
      <c r="AQ296" s="5"/>
      <c r="AR296" s="5">
        <v>0</v>
      </c>
      <c r="AS296" s="5"/>
      <c r="AT296" s="5" t="s">
        <v>997</v>
      </c>
      <c r="AU296" s="5" t="s">
        <v>998</v>
      </c>
      <c r="AV296" s="5" t="s">
        <v>999</v>
      </c>
      <c r="AW296" s="8" t="str">
        <f>IFERROR(VLOOKUP(AA296,'Message Lookup'!D:J,7,FALSE),"")</f>
        <v>P1 Fail alarm latched</v>
      </c>
    </row>
    <row r="297" spans="1:49" x14ac:dyDescent="0.25">
      <c r="A297" s="5" t="s">
        <v>4574</v>
      </c>
      <c r="B297" s="5" t="s">
        <v>992</v>
      </c>
      <c r="C297" s="5" t="s">
        <v>4575</v>
      </c>
      <c r="D297" s="5"/>
      <c r="E297" s="5"/>
      <c r="F297" s="5"/>
      <c r="G297" s="5"/>
      <c r="H297" s="5"/>
      <c r="I297" s="5"/>
      <c r="J297" s="5"/>
      <c r="K297" s="5" t="s">
        <v>993</v>
      </c>
      <c r="L297" s="5" t="s">
        <v>994</v>
      </c>
      <c r="M297" s="5" t="s">
        <v>4576</v>
      </c>
      <c r="N297" s="5">
        <v>41</v>
      </c>
      <c r="O297" s="5"/>
      <c r="P297" s="5" t="s">
        <v>995</v>
      </c>
      <c r="Q297" s="5">
        <v>36</v>
      </c>
      <c r="R297" s="5">
        <v>24</v>
      </c>
      <c r="S297" s="5">
        <v>16</v>
      </c>
      <c r="T297" s="5">
        <v>0</v>
      </c>
      <c r="U297" s="5" t="b">
        <v>0</v>
      </c>
      <c r="V297" s="5">
        <v>20</v>
      </c>
      <c r="W297" s="5">
        <v>0.18</v>
      </c>
      <c r="X297" s="5" t="s">
        <v>9</v>
      </c>
      <c r="Y297" s="5">
        <v>9</v>
      </c>
      <c r="Z297" s="5"/>
      <c r="AA297" s="5" t="s">
        <v>249</v>
      </c>
      <c r="AB297" s="5" t="s">
        <v>363</v>
      </c>
      <c r="AC297" s="5" t="b">
        <v>0</v>
      </c>
      <c r="AD297" s="5"/>
      <c r="AE297" s="5"/>
      <c r="AF297" s="5"/>
      <c r="AG297" s="5">
        <v>51</v>
      </c>
      <c r="AH297" s="5"/>
      <c r="AI297" s="5">
        <v>198</v>
      </c>
      <c r="AJ297" s="5"/>
      <c r="AK297" s="5" t="s">
        <v>996</v>
      </c>
      <c r="AL297" s="5">
        <v>2</v>
      </c>
      <c r="AM297" s="5"/>
      <c r="AN297" s="5">
        <v>10</v>
      </c>
      <c r="AO297" s="5"/>
      <c r="AP297" s="5">
        <v>0</v>
      </c>
      <c r="AQ297" s="5"/>
      <c r="AR297" s="5">
        <v>0</v>
      </c>
      <c r="AS297" s="5"/>
      <c r="AT297" s="5" t="s">
        <v>997</v>
      </c>
      <c r="AU297" s="5" t="s">
        <v>998</v>
      </c>
      <c r="AV297" s="5" t="s">
        <v>999</v>
      </c>
      <c r="AW297" s="8" t="str">
        <f>IFERROR(VLOOKUP(AA297,'Message Lookup'!D:J,7,FALSE),"")</f>
        <v>P1 mode hand alarm latched</v>
      </c>
    </row>
    <row r="298" spans="1:49" x14ac:dyDescent="0.25">
      <c r="A298" s="5" t="s">
        <v>4574</v>
      </c>
      <c r="B298" s="5" t="s">
        <v>992</v>
      </c>
      <c r="C298" s="5" t="s">
        <v>4575</v>
      </c>
      <c r="D298" s="5"/>
      <c r="E298" s="5"/>
      <c r="F298" s="5"/>
      <c r="G298" s="5"/>
      <c r="H298" s="5"/>
      <c r="I298" s="5"/>
      <c r="J298" s="5"/>
      <c r="K298" s="5" t="s">
        <v>993</v>
      </c>
      <c r="L298" s="5" t="s">
        <v>994</v>
      </c>
      <c r="M298" s="5" t="s">
        <v>4576</v>
      </c>
      <c r="N298" s="5">
        <v>41</v>
      </c>
      <c r="O298" s="5"/>
      <c r="P298" s="5" t="s">
        <v>995</v>
      </c>
      <c r="Q298" s="5">
        <v>36</v>
      </c>
      <c r="R298" s="5">
        <v>24</v>
      </c>
      <c r="S298" s="5">
        <v>16</v>
      </c>
      <c r="T298" s="5">
        <v>0</v>
      </c>
      <c r="U298" s="5" t="b">
        <v>0</v>
      </c>
      <c r="V298" s="5">
        <v>20</v>
      </c>
      <c r="W298" s="5">
        <v>0.18</v>
      </c>
      <c r="X298" s="5" t="s">
        <v>9</v>
      </c>
      <c r="Y298" s="5">
        <v>9</v>
      </c>
      <c r="Z298" s="5"/>
      <c r="AA298" s="5" t="s">
        <v>250</v>
      </c>
      <c r="AB298" s="5" t="s">
        <v>364</v>
      </c>
      <c r="AC298" s="5" t="b">
        <v>0</v>
      </c>
      <c r="AD298" s="5"/>
      <c r="AE298" s="5"/>
      <c r="AF298" s="5"/>
      <c r="AG298" s="5">
        <v>51</v>
      </c>
      <c r="AH298" s="5"/>
      <c r="AI298" s="5">
        <v>198</v>
      </c>
      <c r="AJ298" s="5"/>
      <c r="AK298" s="5" t="s">
        <v>996</v>
      </c>
      <c r="AL298" s="5">
        <v>2</v>
      </c>
      <c r="AM298" s="5"/>
      <c r="AN298" s="5">
        <v>10</v>
      </c>
      <c r="AO298" s="5"/>
      <c r="AP298" s="5">
        <v>0</v>
      </c>
      <c r="AQ298" s="5"/>
      <c r="AR298" s="5">
        <v>0</v>
      </c>
      <c r="AS298" s="5"/>
      <c r="AT298" s="5" t="s">
        <v>997</v>
      </c>
      <c r="AU298" s="5" t="s">
        <v>998</v>
      </c>
      <c r="AV298" s="5" t="s">
        <v>999</v>
      </c>
      <c r="AW298" s="8" t="str">
        <f>IFERROR(VLOOKUP(AA298,'Message Lookup'!D:J,7,FALSE),"")</f>
        <v>P2 VFD fault Latched</v>
      </c>
    </row>
    <row r="299" spans="1:49" x14ac:dyDescent="0.25">
      <c r="A299" s="5" t="s">
        <v>4574</v>
      </c>
      <c r="B299" s="5" t="s">
        <v>992</v>
      </c>
      <c r="C299" s="5" t="s">
        <v>4575</v>
      </c>
      <c r="D299" s="5"/>
      <c r="E299" s="5"/>
      <c r="F299" s="5"/>
      <c r="G299" s="5"/>
      <c r="H299" s="5"/>
      <c r="I299" s="5"/>
      <c r="J299" s="5"/>
      <c r="K299" s="5" t="s">
        <v>993</v>
      </c>
      <c r="L299" s="5" t="s">
        <v>994</v>
      </c>
      <c r="M299" s="5" t="s">
        <v>4576</v>
      </c>
      <c r="N299" s="5">
        <v>41</v>
      </c>
      <c r="O299" s="5"/>
      <c r="P299" s="5" t="s">
        <v>995</v>
      </c>
      <c r="Q299" s="5">
        <v>36</v>
      </c>
      <c r="R299" s="5">
        <v>24</v>
      </c>
      <c r="S299" s="5">
        <v>16</v>
      </c>
      <c r="T299" s="5">
        <v>0</v>
      </c>
      <c r="U299" s="5" t="b">
        <v>0</v>
      </c>
      <c r="V299" s="5">
        <v>20</v>
      </c>
      <c r="W299" s="5">
        <v>0.18</v>
      </c>
      <c r="X299" s="5" t="s">
        <v>9</v>
      </c>
      <c r="Y299" s="5">
        <v>9</v>
      </c>
      <c r="Z299" s="5"/>
      <c r="AA299" s="5" t="s">
        <v>251</v>
      </c>
      <c r="AB299" s="5" t="s">
        <v>365</v>
      </c>
      <c r="AC299" s="5" t="b">
        <v>0</v>
      </c>
      <c r="AD299" s="5"/>
      <c r="AE299" s="5"/>
      <c r="AF299" s="5"/>
      <c r="AG299" s="5">
        <v>51</v>
      </c>
      <c r="AH299" s="5"/>
      <c r="AI299" s="5">
        <v>198</v>
      </c>
      <c r="AJ299" s="5"/>
      <c r="AK299" s="5" t="s">
        <v>996</v>
      </c>
      <c r="AL299" s="5">
        <v>2</v>
      </c>
      <c r="AM299" s="5"/>
      <c r="AN299" s="5">
        <v>10</v>
      </c>
      <c r="AO299" s="5"/>
      <c r="AP299" s="5">
        <v>0</v>
      </c>
      <c r="AQ299" s="5"/>
      <c r="AR299" s="5">
        <v>0</v>
      </c>
      <c r="AS299" s="5"/>
      <c r="AT299" s="5" t="s">
        <v>997</v>
      </c>
      <c r="AU299" s="5" t="s">
        <v>998</v>
      </c>
      <c r="AV299" s="5" t="s">
        <v>999</v>
      </c>
      <c r="AW299" s="8" t="str">
        <f>IFERROR(VLOOKUP(AA299,'Message Lookup'!D:J,7,FALSE),"")</f>
        <v>P2 Fail alarm latched</v>
      </c>
    </row>
    <row r="300" spans="1:49" x14ac:dyDescent="0.25">
      <c r="A300" s="5" t="s">
        <v>4574</v>
      </c>
      <c r="B300" s="5" t="s">
        <v>992</v>
      </c>
      <c r="C300" s="5" t="s">
        <v>4575</v>
      </c>
      <c r="D300" s="5"/>
      <c r="E300" s="5"/>
      <c r="F300" s="5"/>
      <c r="G300" s="5"/>
      <c r="H300" s="5"/>
      <c r="I300" s="5"/>
      <c r="J300" s="5"/>
      <c r="K300" s="5" t="s">
        <v>993</v>
      </c>
      <c r="L300" s="5" t="s">
        <v>994</v>
      </c>
      <c r="M300" s="5" t="s">
        <v>4576</v>
      </c>
      <c r="N300" s="5">
        <v>41</v>
      </c>
      <c r="O300" s="5"/>
      <c r="P300" s="5" t="s">
        <v>995</v>
      </c>
      <c r="Q300" s="5">
        <v>36</v>
      </c>
      <c r="R300" s="5">
        <v>24</v>
      </c>
      <c r="S300" s="5">
        <v>16</v>
      </c>
      <c r="T300" s="5">
        <v>0</v>
      </c>
      <c r="U300" s="5" t="b">
        <v>0</v>
      </c>
      <c r="V300" s="5">
        <v>20</v>
      </c>
      <c r="W300" s="5">
        <v>0.18</v>
      </c>
      <c r="X300" s="5" t="s">
        <v>9</v>
      </c>
      <c r="Y300" s="5">
        <v>9</v>
      </c>
      <c r="Z300" s="5"/>
      <c r="AA300" s="5" t="s">
        <v>252</v>
      </c>
      <c r="AB300" s="5" t="s">
        <v>366</v>
      </c>
      <c r="AC300" s="5" t="b">
        <v>0</v>
      </c>
      <c r="AD300" s="5"/>
      <c r="AE300" s="5"/>
      <c r="AF300" s="5"/>
      <c r="AG300" s="5">
        <v>51</v>
      </c>
      <c r="AH300" s="5"/>
      <c r="AI300" s="5">
        <v>198</v>
      </c>
      <c r="AJ300" s="5"/>
      <c r="AK300" s="5" t="s">
        <v>996</v>
      </c>
      <c r="AL300" s="5">
        <v>2</v>
      </c>
      <c r="AM300" s="5"/>
      <c r="AN300" s="5">
        <v>10</v>
      </c>
      <c r="AO300" s="5"/>
      <c r="AP300" s="5">
        <v>0</v>
      </c>
      <c r="AQ300" s="5"/>
      <c r="AR300" s="5">
        <v>0</v>
      </c>
      <c r="AS300" s="5"/>
      <c r="AT300" s="5" t="s">
        <v>997</v>
      </c>
      <c r="AU300" s="5" t="s">
        <v>998</v>
      </c>
      <c r="AV300" s="5" t="s">
        <v>999</v>
      </c>
      <c r="AW300" s="8" t="str">
        <f>IFERROR(VLOOKUP(AA300,'Message Lookup'!D:J,7,FALSE),"")</f>
        <v>P2 mode hand alarm latched</v>
      </c>
    </row>
    <row r="301" spans="1:49" x14ac:dyDescent="0.25">
      <c r="A301" s="5" t="s">
        <v>4574</v>
      </c>
      <c r="B301" s="5" t="s">
        <v>992</v>
      </c>
      <c r="C301" s="5" t="s">
        <v>4575</v>
      </c>
      <c r="D301" s="5"/>
      <c r="E301" s="5"/>
      <c r="F301" s="5"/>
      <c r="G301" s="5"/>
      <c r="H301" s="5"/>
      <c r="I301" s="5"/>
      <c r="J301" s="5"/>
      <c r="K301" s="5" t="s">
        <v>993</v>
      </c>
      <c r="L301" s="5" t="s">
        <v>994</v>
      </c>
      <c r="M301" s="5" t="s">
        <v>4576</v>
      </c>
      <c r="N301" s="5">
        <v>41</v>
      </c>
      <c r="O301" s="5"/>
      <c r="P301" s="5" t="s">
        <v>995</v>
      </c>
      <c r="Q301" s="5">
        <v>36</v>
      </c>
      <c r="R301" s="5">
        <v>24</v>
      </c>
      <c r="S301" s="5">
        <v>16</v>
      </c>
      <c r="T301" s="5">
        <v>0</v>
      </c>
      <c r="U301" s="5" t="b">
        <v>0</v>
      </c>
      <c r="V301" s="5">
        <v>20</v>
      </c>
      <c r="W301" s="5">
        <v>0.18</v>
      </c>
      <c r="X301" s="5" t="s">
        <v>9</v>
      </c>
      <c r="Y301" s="5">
        <v>9</v>
      </c>
      <c r="Z301" s="5"/>
      <c r="AA301" s="5" t="s">
        <v>253</v>
      </c>
      <c r="AB301" s="5" t="s">
        <v>367</v>
      </c>
      <c r="AC301" s="5" t="b">
        <v>0</v>
      </c>
      <c r="AD301" s="5"/>
      <c r="AE301" s="5"/>
      <c r="AF301" s="5"/>
      <c r="AG301" s="5">
        <v>51</v>
      </c>
      <c r="AH301" s="5"/>
      <c r="AI301" s="5">
        <v>198</v>
      </c>
      <c r="AJ301" s="5"/>
      <c r="AK301" s="5" t="s">
        <v>996</v>
      </c>
      <c r="AL301" s="5">
        <v>2</v>
      </c>
      <c r="AM301" s="5"/>
      <c r="AN301" s="5">
        <v>10</v>
      </c>
      <c r="AO301" s="5"/>
      <c r="AP301" s="5">
        <v>0</v>
      </c>
      <c r="AQ301" s="5"/>
      <c r="AR301" s="5">
        <v>0</v>
      </c>
      <c r="AS301" s="5"/>
      <c r="AT301" s="5" t="s">
        <v>997</v>
      </c>
      <c r="AU301" s="5" t="s">
        <v>998</v>
      </c>
      <c r="AV301" s="5" t="s">
        <v>999</v>
      </c>
      <c r="AW301" s="8" t="str">
        <f>IFERROR(VLOOKUP(AA301,'Message Lookup'!D:J,7,FALSE),"")</f>
        <v>P3 Fail alarm latched</v>
      </c>
    </row>
    <row r="302" spans="1:49" x14ac:dyDescent="0.25">
      <c r="A302" s="5" t="s">
        <v>4574</v>
      </c>
      <c r="B302" s="5" t="s">
        <v>992</v>
      </c>
      <c r="C302" s="5" t="s">
        <v>4575</v>
      </c>
      <c r="D302" s="5"/>
      <c r="E302" s="5"/>
      <c r="F302" s="5"/>
      <c r="G302" s="5"/>
      <c r="H302" s="5"/>
      <c r="I302" s="5"/>
      <c r="J302" s="5"/>
      <c r="K302" s="5" t="s">
        <v>993</v>
      </c>
      <c r="L302" s="5" t="s">
        <v>994</v>
      </c>
      <c r="M302" s="5" t="s">
        <v>4576</v>
      </c>
      <c r="N302" s="5">
        <v>41</v>
      </c>
      <c r="O302" s="5"/>
      <c r="P302" s="5" t="s">
        <v>995</v>
      </c>
      <c r="Q302" s="5">
        <v>36</v>
      </c>
      <c r="R302" s="5">
        <v>24</v>
      </c>
      <c r="S302" s="5">
        <v>16</v>
      </c>
      <c r="T302" s="5">
        <v>0</v>
      </c>
      <c r="U302" s="5" t="b">
        <v>0</v>
      </c>
      <c r="V302" s="5">
        <v>20</v>
      </c>
      <c r="W302" s="5">
        <v>0.18</v>
      </c>
      <c r="X302" s="5" t="s">
        <v>9</v>
      </c>
      <c r="Y302" s="5">
        <v>9</v>
      </c>
      <c r="Z302" s="5"/>
      <c r="AA302" s="5" t="s">
        <v>254</v>
      </c>
      <c r="AB302" s="5" t="s">
        <v>368</v>
      </c>
      <c r="AC302" s="5" t="b">
        <v>0</v>
      </c>
      <c r="AD302" s="5"/>
      <c r="AE302" s="5"/>
      <c r="AF302" s="5"/>
      <c r="AG302" s="5">
        <v>51</v>
      </c>
      <c r="AH302" s="5"/>
      <c r="AI302" s="5">
        <v>198</v>
      </c>
      <c r="AJ302" s="5"/>
      <c r="AK302" s="5" t="s">
        <v>996</v>
      </c>
      <c r="AL302" s="5">
        <v>2</v>
      </c>
      <c r="AM302" s="5"/>
      <c r="AN302" s="5">
        <v>10</v>
      </c>
      <c r="AO302" s="5"/>
      <c r="AP302" s="5">
        <v>0</v>
      </c>
      <c r="AQ302" s="5"/>
      <c r="AR302" s="5">
        <v>0</v>
      </c>
      <c r="AS302" s="5"/>
      <c r="AT302" s="5" t="s">
        <v>997</v>
      </c>
      <c r="AU302" s="5" t="s">
        <v>998</v>
      </c>
      <c r="AV302" s="5" t="s">
        <v>999</v>
      </c>
      <c r="AW302" s="8" t="str">
        <f>IFERROR(VLOOKUP(AA302,'Message Lookup'!D:J,7,FALSE),"")</f>
        <v>P3 mode hand alarm latched</v>
      </c>
    </row>
    <row r="303" spans="1:49" x14ac:dyDescent="0.25">
      <c r="A303" s="5" t="s">
        <v>4574</v>
      </c>
      <c r="B303" s="5" t="s">
        <v>992</v>
      </c>
      <c r="C303" s="5" t="s">
        <v>4575</v>
      </c>
      <c r="D303" s="5"/>
      <c r="E303" s="5"/>
      <c r="F303" s="5"/>
      <c r="G303" s="5"/>
      <c r="H303" s="5"/>
      <c r="I303" s="5"/>
      <c r="J303" s="5"/>
      <c r="K303" s="5" t="s">
        <v>993</v>
      </c>
      <c r="L303" s="5" t="s">
        <v>994</v>
      </c>
      <c r="M303" s="5" t="s">
        <v>4576</v>
      </c>
      <c r="N303" s="5">
        <v>41</v>
      </c>
      <c r="O303" s="5"/>
      <c r="P303" s="5" t="s">
        <v>995</v>
      </c>
      <c r="Q303" s="5">
        <v>36</v>
      </c>
      <c r="R303" s="5">
        <v>24</v>
      </c>
      <c r="S303" s="5">
        <v>16</v>
      </c>
      <c r="T303" s="5">
        <v>0</v>
      </c>
      <c r="U303" s="5" t="b">
        <v>0</v>
      </c>
      <c r="V303" s="5">
        <v>20</v>
      </c>
      <c r="W303" s="5">
        <v>0.18</v>
      </c>
      <c r="X303" s="5" t="s">
        <v>9</v>
      </c>
      <c r="Y303" s="5">
        <v>9</v>
      </c>
      <c r="Z303" s="5"/>
      <c r="AA303" s="5" t="s">
        <v>255</v>
      </c>
      <c r="AB303" s="5" t="s">
        <v>369</v>
      </c>
      <c r="AC303" s="5" t="b">
        <v>0</v>
      </c>
      <c r="AD303" s="5"/>
      <c r="AE303" s="5"/>
      <c r="AF303" s="5"/>
      <c r="AG303" s="5">
        <v>51</v>
      </c>
      <c r="AH303" s="5"/>
      <c r="AI303" s="5">
        <v>198</v>
      </c>
      <c r="AJ303" s="5"/>
      <c r="AK303" s="5" t="s">
        <v>996</v>
      </c>
      <c r="AL303" s="5">
        <v>2</v>
      </c>
      <c r="AM303" s="5"/>
      <c r="AN303" s="5">
        <v>10</v>
      </c>
      <c r="AO303" s="5"/>
      <c r="AP303" s="5">
        <v>0</v>
      </c>
      <c r="AQ303" s="5"/>
      <c r="AR303" s="5">
        <v>0</v>
      </c>
      <c r="AS303" s="5"/>
      <c r="AT303" s="5" t="s">
        <v>997</v>
      </c>
      <c r="AU303" s="5" t="s">
        <v>998</v>
      </c>
      <c r="AV303" s="5" t="s">
        <v>999</v>
      </c>
      <c r="AW303" s="8" t="str">
        <f>IFERROR(VLOOKUP(AA303,'Message Lookup'!D:J,7,FALSE),"")</f>
        <v>P3 Overload alarm latched</v>
      </c>
    </row>
    <row r="304" spans="1:49" x14ac:dyDescent="0.25">
      <c r="A304" s="5" t="s">
        <v>4574</v>
      </c>
      <c r="B304" s="5" t="s">
        <v>992</v>
      </c>
      <c r="C304" s="5" t="s">
        <v>4575</v>
      </c>
      <c r="D304" s="5"/>
      <c r="E304" s="5"/>
      <c r="F304" s="5"/>
      <c r="G304" s="5"/>
      <c r="H304" s="5"/>
      <c r="I304" s="5"/>
      <c r="J304" s="5"/>
      <c r="K304" s="5" t="s">
        <v>993</v>
      </c>
      <c r="L304" s="5" t="s">
        <v>994</v>
      </c>
      <c r="M304" s="5" t="s">
        <v>4576</v>
      </c>
      <c r="N304" s="5">
        <v>41</v>
      </c>
      <c r="O304" s="5"/>
      <c r="P304" s="5" t="s">
        <v>995</v>
      </c>
      <c r="Q304" s="5">
        <v>36</v>
      </c>
      <c r="R304" s="5">
        <v>24</v>
      </c>
      <c r="S304" s="5">
        <v>16</v>
      </c>
      <c r="T304" s="5">
        <v>0</v>
      </c>
      <c r="U304" s="5" t="b">
        <v>0</v>
      </c>
      <c r="V304" s="5">
        <v>20</v>
      </c>
      <c r="W304" s="5">
        <v>0.18</v>
      </c>
      <c r="X304" s="5" t="s">
        <v>9</v>
      </c>
      <c r="Y304" s="5">
        <v>9</v>
      </c>
      <c r="Z304" s="5"/>
      <c r="AA304" s="5" t="s">
        <v>256</v>
      </c>
      <c r="AB304" s="5" t="s">
        <v>370</v>
      </c>
      <c r="AC304" s="5" t="b">
        <v>0</v>
      </c>
      <c r="AD304" s="5"/>
      <c r="AE304" s="5"/>
      <c r="AF304" s="5"/>
      <c r="AG304" s="5">
        <v>51</v>
      </c>
      <c r="AH304" s="5"/>
      <c r="AI304" s="5">
        <v>198</v>
      </c>
      <c r="AJ304" s="5"/>
      <c r="AK304" s="5" t="s">
        <v>996</v>
      </c>
      <c r="AL304" s="5">
        <v>2</v>
      </c>
      <c r="AM304" s="5"/>
      <c r="AN304" s="5">
        <v>10</v>
      </c>
      <c r="AO304" s="5"/>
      <c r="AP304" s="5">
        <v>0</v>
      </c>
      <c r="AQ304" s="5"/>
      <c r="AR304" s="5">
        <v>0</v>
      </c>
      <c r="AS304" s="5"/>
      <c r="AT304" s="5" t="s">
        <v>997</v>
      </c>
      <c r="AU304" s="5" t="s">
        <v>998</v>
      </c>
      <c r="AV304" s="5" t="s">
        <v>999</v>
      </c>
      <c r="AW304" s="8" t="str">
        <f>IFERROR(VLOOKUP(AA304,'Message Lookup'!D:J,7,FALSE),"")</f>
        <v>P4 VFD fault Latched</v>
      </c>
    </row>
    <row r="305" spans="1:49" x14ac:dyDescent="0.25">
      <c r="A305" s="5" t="s">
        <v>4574</v>
      </c>
      <c r="B305" s="5" t="s">
        <v>992</v>
      </c>
      <c r="C305" s="5" t="s">
        <v>4575</v>
      </c>
      <c r="D305" s="5"/>
      <c r="E305" s="5"/>
      <c r="F305" s="5"/>
      <c r="G305" s="5"/>
      <c r="H305" s="5"/>
      <c r="I305" s="5"/>
      <c r="J305" s="5"/>
      <c r="K305" s="5" t="s">
        <v>993</v>
      </c>
      <c r="L305" s="5" t="s">
        <v>994</v>
      </c>
      <c r="M305" s="5" t="s">
        <v>4576</v>
      </c>
      <c r="N305" s="5">
        <v>41</v>
      </c>
      <c r="O305" s="5"/>
      <c r="P305" s="5" t="s">
        <v>995</v>
      </c>
      <c r="Q305" s="5">
        <v>36</v>
      </c>
      <c r="R305" s="5">
        <v>24</v>
      </c>
      <c r="S305" s="5">
        <v>16</v>
      </c>
      <c r="T305" s="5">
        <v>0</v>
      </c>
      <c r="U305" s="5" t="b">
        <v>0</v>
      </c>
      <c r="V305" s="5">
        <v>20</v>
      </c>
      <c r="W305" s="5">
        <v>0.18</v>
      </c>
      <c r="X305" s="5" t="s">
        <v>9</v>
      </c>
      <c r="Y305" s="5">
        <v>9</v>
      </c>
      <c r="Z305" s="5"/>
      <c r="AA305" s="5"/>
      <c r="AB305" s="5"/>
      <c r="AC305" s="5"/>
      <c r="AD305" s="5"/>
      <c r="AE305" s="5" t="s">
        <v>1000</v>
      </c>
      <c r="AF305" s="5" t="b">
        <v>0</v>
      </c>
      <c r="AG305" s="5">
        <v>51</v>
      </c>
      <c r="AH305" s="5"/>
      <c r="AI305" s="5">
        <v>198</v>
      </c>
      <c r="AJ305" s="5"/>
      <c r="AK305" s="5" t="s">
        <v>996</v>
      </c>
      <c r="AL305" s="5">
        <v>2</v>
      </c>
      <c r="AM305" s="5"/>
      <c r="AN305" s="5">
        <v>10</v>
      </c>
      <c r="AO305" s="5"/>
      <c r="AP305" s="5">
        <v>0</v>
      </c>
      <c r="AQ305" s="5"/>
      <c r="AR305" s="5">
        <v>0</v>
      </c>
      <c r="AS305" s="5"/>
      <c r="AT305" s="5" t="s">
        <v>997</v>
      </c>
      <c r="AU305" s="5" t="s">
        <v>998</v>
      </c>
      <c r="AV305" s="5" t="s">
        <v>999</v>
      </c>
      <c r="AW305" s="8" t="str">
        <f>IFERROR(VLOOKUP(AA305,'Message Lookup'!D:J,7,FALSE),"")</f>
        <v/>
      </c>
    </row>
    <row r="306" spans="1:49" x14ac:dyDescent="0.25">
      <c r="A306" s="5" t="s">
        <v>4574</v>
      </c>
      <c r="B306" s="5" t="s">
        <v>992</v>
      </c>
      <c r="C306" s="5" t="s">
        <v>4575</v>
      </c>
      <c r="D306" s="5"/>
      <c r="E306" s="5"/>
      <c r="F306" s="5"/>
      <c r="G306" s="5"/>
      <c r="H306" s="5"/>
      <c r="I306" s="5"/>
      <c r="J306" s="5"/>
      <c r="K306" s="5" t="s">
        <v>993</v>
      </c>
      <c r="L306" s="5" t="s">
        <v>994</v>
      </c>
      <c r="M306" s="5" t="s">
        <v>4576</v>
      </c>
      <c r="N306" s="5">
        <v>41</v>
      </c>
      <c r="O306" s="5"/>
      <c r="P306" s="5" t="s">
        <v>995</v>
      </c>
      <c r="Q306" s="5">
        <v>36</v>
      </c>
      <c r="R306" s="5">
        <v>24</v>
      </c>
      <c r="S306" s="5">
        <v>16</v>
      </c>
      <c r="T306" s="5">
        <v>0</v>
      </c>
      <c r="U306" s="5" t="b">
        <v>0</v>
      </c>
      <c r="V306" s="5">
        <v>20</v>
      </c>
      <c r="W306" s="5">
        <v>0.18</v>
      </c>
      <c r="X306" s="5" t="s">
        <v>9</v>
      </c>
      <c r="Y306" s="5">
        <v>9</v>
      </c>
      <c r="Z306" s="5"/>
      <c r="AA306" s="5"/>
      <c r="AB306" s="5"/>
      <c r="AC306" s="5"/>
      <c r="AD306" s="5" t="s">
        <v>1017</v>
      </c>
      <c r="AE306" s="5" t="s">
        <v>1002</v>
      </c>
      <c r="AF306" s="5" t="b">
        <v>0</v>
      </c>
      <c r="AG306" s="5">
        <v>51</v>
      </c>
      <c r="AH306" s="5"/>
      <c r="AI306" s="5">
        <v>198</v>
      </c>
      <c r="AJ306" s="5"/>
      <c r="AK306" s="5" t="s">
        <v>996</v>
      </c>
      <c r="AL306" s="5">
        <v>2</v>
      </c>
      <c r="AM306" s="5"/>
      <c r="AN306" s="5">
        <v>10</v>
      </c>
      <c r="AO306" s="5"/>
      <c r="AP306" s="5">
        <v>0</v>
      </c>
      <c r="AQ306" s="5"/>
      <c r="AR306" s="5">
        <v>0</v>
      </c>
      <c r="AS306" s="5"/>
      <c r="AT306" s="5" t="s">
        <v>997</v>
      </c>
      <c r="AU306" s="5" t="s">
        <v>998</v>
      </c>
      <c r="AV306" s="5" t="s">
        <v>999</v>
      </c>
      <c r="AW306" s="8" t="str">
        <f>IFERROR(VLOOKUP(AA306,'Message Lookup'!D:J,7,FALSE),"")</f>
        <v/>
      </c>
    </row>
    <row r="307" spans="1:49" x14ac:dyDescent="0.25">
      <c r="A307" s="5" t="s">
        <v>4574</v>
      </c>
      <c r="B307" s="5" t="s">
        <v>992</v>
      </c>
      <c r="C307" s="5" t="s">
        <v>4575</v>
      </c>
      <c r="D307" s="5"/>
      <c r="E307" s="5"/>
      <c r="F307" s="5"/>
      <c r="G307" s="5"/>
      <c r="H307" s="5"/>
      <c r="I307" s="5"/>
      <c r="J307" s="5"/>
      <c r="K307" s="5" t="s">
        <v>993</v>
      </c>
      <c r="L307" s="5" t="s">
        <v>994</v>
      </c>
      <c r="M307" s="5" t="s">
        <v>4576</v>
      </c>
      <c r="N307" s="5">
        <v>41</v>
      </c>
      <c r="O307" s="5"/>
      <c r="P307" s="5" t="s">
        <v>995</v>
      </c>
      <c r="Q307" s="5">
        <v>36</v>
      </c>
      <c r="R307" s="5">
        <v>24</v>
      </c>
      <c r="S307" s="5">
        <v>17</v>
      </c>
      <c r="T307" s="5">
        <v>0</v>
      </c>
      <c r="U307" s="5" t="b">
        <v>0</v>
      </c>
      <c r="V307" s="5">
        <v>20</v>
      </c>
      <c r="W307" s="5">
        <v>0.19</v>
      </c>
      <c r="X307" s="5" t="s">
        <v>9</v>
      </c>
      <c r="Y307" s="5">
        <v>9</v>
      </c>
      <c r="Z307" s="5"/>
      <c r="AA307" s="5"/>
      <c r="AB307" s="5" t="s">
        <v>354</v>
      </c>
      <c r="AC307" s="5" t="b">
        <v>0</v>
      </c>
      <c r="AD307" s="5"/>
      <c r="AE307" s="5"/>
      <c r="AF307" s="5"/>
      <c r="AG307" s="5">
        <v>51</v>
      </c>
      <c r="AH307" s="5">
        <v>51</v>
      </c>
      <c r="AI307" s="5">
        <v>220</v>
      </c>
      <c r="AJ307" s="5">
        <v>220</v>
      </c>
      <c r="AK307" s="5" t="s">
        <v>996</v>
      </c>
      <c r="AL307" s="5">
        <v>2</v>
      </c>
      <c r="AM307" s="5"/>
      <c r="AN307" s="5">
        <v>10</v>
      </c>
      <c r="AO307" s="5"/>
      <c r="AP307" s="5">
        <v>0</v>
      </c>
      <c r="AQ307" s="5"/>
      <c r="AR307" s="5">
        <v>0</v>
      </c>
      <c r="AS307" s="5"/>
      <c r="AT307" s="5" t="s">
        <v>997</v>
      </c>
      <c r="AU307" s="5" t="s">
        <v>998</v>
      </c>
      <c r="AV307" s="5" t="s">
        <v>999</v>
      </c>
      <c r="AW307" s="8" t="str">
        <f>IFERROR(VLOOKUP(AA307,'Message Lookup'!D:J,7,FALSE),"")</f>
        <v/>
      </c>
    </row>
    <row r="308" spans="1:49" x14ac:dyDescent="0.25">
      <c r="A308" s="5" t="s">
        <v>4574</v>
      </c>
      <c r="B308" s="5" t="s">
        <v>992</v>
      </c>
      <c r="C308" s="5" t="s">
        <v>4575</v>
      </c>
      <c r="D308" s="5"/>
      <c r="E308" s="5"/>
      <c r="F308" s="5"/>
      <c r="G308" s="5"/>
      <c r="H308" s="5"/>
      <c r="I308" s="5"/>
      <c r="J308" s="5"/>
      <c r="K308" s="5" t="s">
        <v>993</v>
      </c>
      <c r="L308" s="5" t="s">
        <v>994</v>
      </c>
      <c r="M308" s="5" t="s">
        <v>4576</v>
      </c>
      <c r="N308" s="5">
        <v>41</v>
      </c>
      <c r="O308" s="5"/>
      <c r="P308" s="5" t="s">
        <v>995</v>
      </c>
      <c r="Q308" s="5">
        <v>36</v>
      </c>
      <c r="R308" s="5">
        <v>24</v>
      </c>
      <c r="S308" s="5">
        <v>17</v>
      </c>
      <c r="T308" s="5">
        <v>0</v>
      </c>
      <c r="U308" s="5" t="b">
        <v>0</v>
      </c>
      <c r="V308" s="5">
        <v>20</v>
      </c>
      <c r="W308" s="5">
        <v>0.19</v>
      </c>
      <c r="X308" s="5" t="s">
        <v>9</v>
      </c>
      <c r="Y308" s="5">
        <v>9</v>
      </c>
      <c r="Z308" s="5"/>
      <c r="AA308" s="5" t="s">
        <v>257</v>
      </c>
      <c r="AB308" s="5" t="s">
        <v>355</v>
      </c>
      <c r="AC308" s="5" t="b">
        <v>0</v>
      </c>
      <c r="AD308" s="5"/>
      <c r="AE308" s="5"/>
      <c r="AF308" s="5"/>
      <c r="AG308" s="5">
        <v>51</v>
      </c>
      <c r="AH308" s="5"/>
      <c r="AI308" s="5">
        <v>220</v>
      </c>
      <c r="AJ308" s="5"/>
      <c r="AK308" s="5" t="s">
        <v>996</v>
      </c>
      <c r="AL308" s="5">
        <v>2</v>
      </c>
      <c r="AM308" s="5"/>
      <c r="AN308" s="5">
        <v>10</v>
      </c>
      <c r="AO308" s="5"/>
      <c r="AP308" s="5">
        <v>0</v>
      </c>
      <c r="AQ308" s="5"/>
      <c r="AR308" s="5">
        <v>0</v>
      </c>
      <c r="AS308" s="5"/>
      <c r="AT308" s="5" t="s">
        <v>997</v>
      </c>
      <c r="AU308" s="5" t="s">
        <v>998</v>
      </c>
      <c r="AV308" s="5" t="s">
        <v>999</v>
      </c>
      <c r="AW308" s="8" t="str">
        <f>IFERROR(VLOOKUP(AA308,'Message Lookup'!D:J,7,FALSE),"")</f>
        <v>P4 Fail alarm latched</v>
      </c>
    </row>
    <row r="309" spans="1:49" x14ac:dyDescent="0.25">
      <c r="A309" s="5" t="s">
        <v>4574</v>
      </c>
      <c r="B309" s="5" t="s">
        <v>992</v>
      </c>
      <c r="C309" s="5" t="s">
        <v>4575</v>
      </c>
      <c r="D309" s="5"/>
      <c r="E309" s="5"/>
      <c r="F309" s="5"/>
      <c r="G309" s="5"/>
      <c r="H309" s="5"/>
      <c r="I309" s="5"/>
      <c r="J309" s="5"/>
      <c r="K309" s="5" t="s">
        <v>993</v>
      </c>
      <c r="L309" s="5" t="s">
        <v>994</v>
      </c>
      <c r="M309" s="5" t="s">
        <v>4576</v>
      </c>
      <c r="N309" s="5">
        <v>41</v>
      </c>
      <c r="O309" s="5"/>
      <c r="P309" s="5" t="s">
        <v>995</v>
      </c>
      <c r="Q309" s="5">
        <v>36</v>
      </c>
      <c r="R309" s="5">
        <v>24</v>
      </c>
      <c r="S309" s="5">
        <v>17</v>
      </c>
      <c r="T309" s="5">
        <v>0</v>
      </c>
      <c r="U309" s="5" t="b">
        <v>0</v>
      </c>
      <c r="V309" s="5">
        <v>20</v>
      </c>
      <c r="W309" s="5">
        <v>0.19</v>
      </c>
      <c r="X309" s="5" t="s">
        <v>9</v>
      </c>
      <c r="Y309" s="5">
        <v>9</v>
      </c>
      <c r="Z309" s="5"/>
      <c r="AA309" s="5" t="s">
        <v>258</v>
      </c>
      <c r="AB309" s="5" t="s">
        <v>356</v>
      </c>
      <c r="AC309" s="5" t="b">
        <v>0</v>
      </c>
      <c r="AD309" s="5"/>
      <c r="AE309" s="5"/>
      <c r="AF309" s="5"/>
      <c r="AG309" s="5">
        <v>51</v>
      </c>
      <c r="AH309" s="5"/>
      <c r="AI309" s="5">
        <v>220</v>
      </c>
      <c r="AJ309" s="5"/>
      <c r="AK309" s="5" t="s">
        <v>996</v>
      </c>
      <c r="AL309" s="5">
        <v>2</v>
      </c>
      <c r="AM309" s="5"/>
      <c r="AN309" s="5">
        <v>10</v>
      </c>
      <c r="AO309" s="5"/>
      <c r="AP309" s="5">
        <v>0</v>
      </c>
      <c r="AQ309" s="5"/>
      <c r="AR309" s="5">
        <v>0</v>
      </c>
      <c r="AS309" s="5"/>
      <c r="AT309" s="5" t="s">
        <v>997</v>
      </c>
      <c r="AU309" s="5" t="s">
        <v>998</v>
      </c>
      <c r="AV309" s="5" t="s">
        <v>999</v>
      </c>
      <c r="AW309" s="8" t="str">
        <f>IFERROR(VLOOKUP(AA309,'Message Lookup'!D:J,7,FALSE),"")</f>
        <v>P4 mode hand alarm latched</v>
      </c>
    </row>
    <row r="310" spans="1:49" x14ac:dyDescent="0.25">
      <c r="A310" s="5" t="s">
        <v>4574</v>
      </c>
      <c r="B310" s="5" t="s">
        <v>992</v>
      </c>
      <c r="C310" s="5" t="s">
        <v>4575</v>
      </c>
      <c r="D310" s="5"/>
      <c r="E310" s="5"/>
      <c r="F310" s="5"/>
      <c r="G310" s="5"/>
      <c r="H310" s="5"/>
      <c r="I310" s="5"/>
      <c r="J310" s="5"/>
      <c r="K310" s="5" t="s">
        <v>993</v>
      </c>
      <c r="L310" s="5" t="s">
        <v>994</v>
      </c>
      <c r="M310" s="5" t="s">
        <v>4576</v>
      </c>
      <c r="N310" s="5">
        <v>41</v>
      </c>
      <c r="O310" s="5"/>
      <c r="P310" s="5" t="s">
        <v>995</v>
      </c>
      <c r="Q310" s="5">
        <v>36</v>
      </c>
      <c r="R310" s="5">
        <v>24</v>
      </c>
      <c r="S310" s="5">
        <v>17</v>
      </c>
      <c r="T310" s="5">
        <v>0</v>
      </c>
      <c r="U310" s="5" t="b">
        <v>0</v>
      </c>
      <c r="V310" s="5">
        <v>20</v>
      </c>
      <c r="W310" s="5">
        <v>0.19</v>
      </c>
      <c r="X310" s="5" t="s">
        <v>9</v>
      </c>
      <c r="Y310" s="5">
        <v>9</v>
      </c>
      <c r="Z310" s="5"/>
      <c r="AA310" s="5" t="s">
        <v>259</v>
      </c>
      <c r="AB310" s="5" t="s">
        <v>357</v>
      </c>
      <c r="AC310" s="5" t="b">
        <v>0</v>
      </c>
      <c r="AD310" s="5"/>
      <c r="AE310" s="5"/>
      <c r="AF310" s="5"/>
      <c r="AG310" s="5">
        <v>51</v>
      </c>
      <c r="AH310" s="5"/>
      <c r="AI310" s="5">
        <v>220</v>
      </c>
      <c r="AJ310" s="5"/>
      <c r="AK310" s="5" t="s">
        <v>996</v>
      </c>
      <c r="AL310" s="5">
        <v>2</v>
      </c>
      <c r="AM310" s="5"/>
      <c r="AN310" s="5">
        <v>10</v>
      </c>
      <c r="AO310" s="5"/>
      <c r="AP310" s="5">
        <v>0</v>
      </c>
      <c r="AQ310" s="5"/>
      <c r="AR310" s="5">
        <v>0</v>
      </c>
      <c r="AS310" s="5"/>
      <c r="AT310" s="5" t="s">
        <v>997</v>
      </c>
      <c r="AU310" s="5" t="s">
        <v>998</v>
      </c>
      <c r="AV310" s="5" t="s">
        <v>999</v>
      </c>
      <c r="AW310" s="8" t="str">
        <f>IFERROR(VLOOKUP(AA310,'Message Lookup'!D:J,7,FALSE),"")</f>
        <v>ESDV-200 IN REMOTE (HAND) alarm latched</v>
      </c>
    </row>
    <row r="311" spans="1:49" x14ac:dyDescent="0.25">
      <c r="A311" s="5" t="s">
        <v>4574</v>
      </c>
      <c r="B311" s="5" t="s">
        <v>992</v>
      </c>
      <c r="C311" s="5" t="s">
        <v>4575</v>
      </c>
      <c r="D311" s="5"/>
      <c r="E311" s="5"/>
      <c r="F311" s="5"/>
      <c r="G311" s="5"/>
      <c r="H311" s="5"/>
      <c r="I311" s="5"/>
      <c r="J311" s="5"/>
      <c r="K311" s="5" t="s">
        <v>993</v>
      </c>
      <c r="L311" s="5" t="s">
        <v>994</v>
      </c>
      <c r="M311" s="5" t="s">
        <v>4576</v>
      </c>
      <c r="N311" s="5">
        <v>41</v>
      </c>
      <c r="O311" s="5"/>
      <c r="P311" s="5" t="s">
        <v>995</v>
      </c>
      <c r="Q311" s="5">
        <v>36</v>
      </c>
      <c r="R311" s="5">
        <v>24</v>
      </c>
      <c r="S311" s="5">
        <v>17</v>
      </c>
      <c r="T311" s="5">
        <v>0</v>
      </c>
      <c r="U311" s="5" t="b">
        <v>0</v>
      </c>
      <c r="V311" s="5">
        <v>20</v>
      </c>
      <c r="W311" s="5">
        <v>0.19</v>
      </c>
      <c r="X311" s="5" t="s">
        <v>9</v>
      </c>
      <c r="Y311" s="5">
        <v>9</v>
      </c>
      <c r="Z311" s="5"/>
      <c r="AA311" s="5" t="s">
        <v>260</v>
      </c>
      <c r="AB311" s="5" t="s">
        <v>358</v>
      </c>
      <c r="AC311" s="5" t="b">
        <v>0</v>
      </c>
      <c r="AD311" s="5"/>
      <c r="AE311" s="5"/>
      <c r="AF311" s="5"/>
      <c r="AG311" s="5">
        <v>51</v>
      </c>
      <c r="AH311" s="5"/>
      <c r="AI311" s="5">
        <v>220</v>
      </c>
      <c r="AJ311" s="5"/>
      <c r="AK311" s="5" t="s">
        <v>996</v>
      </c>
      <c r="AL311" s="5">
        <v>2</v>
      </c>
      <c r="AM311" s="5"/>
      <c r="AN311" s="5">
        <v>10</v>
      </c>
      <c r="AO311" s="5"/>
      <c r="AP311" s="5">
        <v>0</v>
      </c>
      <c r="AQ311" s="5"/>
      <c r="AR311" s="5">
        <v>0</v>
      </c>
      <c r="AS311" s="5"/>
      <c r="AT311" s="5" t="s">
        <v>997</v>
      </c>
      <c r="AU311" s="5" t="s">
        <v>998</v>
      </c>
      <c r="AV311" s="5" t="s">
        <v>999</v>
      </c>
      <c r="AW311" s="8" t="str">
        <f>IFERROR(VLOOKUP(AA311,'Message Lookup'!D:J,7,FALSE),"")</f>
        <v>ESDV-200 Fault Latch</v>
      </c>
    </row>
    <row r="312" spans="1:49" x14ac:dyDescent="0.25">
      <c r="A312" s="5" t="s">
        <v>4574</v>
      </c>
      <c r="B312" s="5" t="s">
        <v>992</v>
      </c>
      <c r="C312" s="5" t="s">
        <v>4575</v>
      </c>
      <c r="D312" s="5"/>
      <c r="E312" s="5"/>
      <c r="F312" s="5"/>
      <c r="G312" s="5"/>
      <c r="H312" s="5"/>
      <c r="I312" s="5"/>
      <c r="J312" s="5"/>
      <c r="K312" s="5" t="s">
        <v>993</v>
      </c>
      <c r="L312" s="5" t="s">
        <v>994</v>
      </c>
      <c r="M312" s="5" t="s">
        <v>4576</v>
      </c>
      <c r="N312" s="5">
        <v>41</v>
      </c>
      <c r="O312" s="5"/>
      <c r="P312" s="5" t="s">
        <v>995</v>
      </c>
      <c r="Q312" s="5">
        <v>36</v>
      </c>
      <c r="R312" s="5">
        <v>24</v>
      </c>
      <c r="S312" s="5">
        <v>17</v>
      </c>
      <c r="T312" s="5">
        <v>0</v>
      </c>
      <c r="U312" s="5" t="b">
        <v>0</v>
      </c>
      <c r="V312" s="5">
        <v>20</v>
      </c>
      <c r="W312" s="5">
        <v>0.19</v>
      </c>
      <c r="X312" s="5" t="s">
        <v>9</v>
      </c>
      <c r="Y312" s="5">
        <v>9</v>
      </c>
      <c r="Z312" s="5"/>
      <c r="AA312" s="5" t="s">
        <v>261</v>
      </c>
      <c r="AB312" s="5" t="s">
        <v>359</v>
      </c>
      <c r="AC312" s="5" t="b">
        <v>0</v>
      </c>
      <c r="AD312" s="5"/>
      <c r="AE312" s="5"/>
      <c r="AF312" s="5"/>
      <c r="AG312" s="5">
        <v>51</v>
      </c>
      <c r="AH312" s="5"/>
      <c r="AI312" s="5">
        <v>220</v>
      </c>
      <c r="AJ312" s="5"/>
      <c r="AK312" s="5" t="s">
        <v>996</v>
      </c>
      <c r="AL312" s="5">
        <v>2</v>
      </c>
      <c r="AM312" s="5"/>
      <c r="AN312" s="5">
        <v>10</v>
      </c>
      <c r="AO312" s="5"/>
      <c r="AP312" s="5">
        <v>0</v>
      </c>
      <c r="AQ312" s="5"/>
      <c r="AR312" s="5">
        <v>0</v>
      </c>
      <c r="AS312" s="5"/>
      <c r="AT312" s="5" t="s">
        <v>997</v>
      </c>
      <c r="AU312" s="5" t="s">
        <v>998</v>
      </c>
      <c r="AV312" s="5" t="s">
        <v>999</v>
      </c>
      <c r="AW312" s="8" t="str">
        <f>IFERROR(VLOOKUP(AA312,'Message Lookup'!D:J,7,FALSE),"")</f>
        <v>ESDV-302 IN REMOTE (HAND) alarm latched</v>
      </c>
    </row>
    <row r="313" spans="1:49" x14ac:dyDescent="0.25">
      <c r="A313" s="5" t="s">
        <v>4574</v>
      </c>
      <c r="B313" s="5" t="s">
        <v>992</v>
      </c>
      <c r="C313" s="5" t="s">
        <v>4575</v>
      </c>
      <c r="D313" s="5"/>
      <c r="E313" s="5"/>
      <c r="F313" s="5"/>
      <c r="G313" s="5"/>
      <c r="H313" s="5"/>
      <c r="I313" s="5"/>
      <c r="J313" s="5"/>
      <c r="K313" s="5" t="s">
        <v>993</v>
      </c>
      <c r="L313" s="5" t="s">
        <v>994</v>
      </c>
      <c r="M313" s="5" t="s">
        <v>4576</v>
      </c>
      <c r="N313" s="5">
        <v>41</v>
      </c>
      <c r="O313" s="5"/>
      <c r="P313" s="5" t="s">
        <v>995</v>
      </c>
      <c r="Q313" s="5">
        <v>36</v>
      </c>
      <c r="R313" s="5">
        <v>24</v>
      </c>
      <c r="S313" s="5">
        <v>17</v>
      </c>
      <c r="T313" s="5">
        <v>0</v>
      </c>
      <c r="U313" s="5" t="b">
        <v>0</v>
      </c>
      <c r="V313" s="5">
        <v>20</v>
      </c>
      <c r="W313" s="5">
        <v>0.19</v>
      </c>
      <c r="X313" s="5" t="s">
        <v>9</v>
      </c>
      <c r="Y313" s="5">
        <v>9</v>
      </c>
      <c r="Z313" s="5"/>
      <c r="AA313" s="5" t="s">
        <v>262</v>
      </c>
      <c r="AB313" s="5" t="s">
        <v>360</v>
      </c>
      <c r="AC313" s="5" t="b">
        <v>0</v>
      </c>
      <c r="AD313" s="5"/>
      <c r="AE313" s="5"/>
      <c r="AF313" s="5"/>
      <c r="AG313" s="5">
        <v>51</v>
      </c>
      <c r="AH313" s="5"/>
      <c r="AI313" s="5">
        <v>220</v>
      </c>
      <c r="AJ313" s="5"/>
      <c r="AK313" s="5" t="s">
        <v>996</v>
      </c>
      <c r="AL313" s="5">
        <v>2</v>
      </c>
      <c r="AM313" s="5"/>
      <c r="AN313" s="5">
        <v>10</v>
      </c>
      <c r="AO313" s="5"/>
      <c r="AP313" s="5">
        <v>0</v>
      </c>
      <c r="AQ313" s="5"/>
      <c r="AR313" s="5">
        <v>0</v>
      </c>
      <c r="AS313" s="5"/>
      <c r="AT313" s="5" t="s">
        <v>997</v>
      </c>
      <c r="AU313" s="5" t="s">
        <v>998</v>
      </c>
      <c r="AV313" s="5" t="s">
        <v>999</v>
      </c>
      <c r="AW313" s="8" t="str">
        <f>IFERROR(VLOOKUP(AA313,'Message Lookup'!D:J,7,FALSE),"")</f>
        <v>ESDV-302 Fault Latch</v>
      </c>
    </row>
    <row r="314" spans="1:49" x14ac:dyDescent="0.25">
      <c r="A314" s="5" t="s">
        <v>4574</v>
      </c>
      <c r="B314" s="5" t="s">
        <v>992</v>
      </c>
      <c r="C314" s="5" t="s">
        <v>4575</v>
      </c>
      <c r="D314" s="5"/>
      <c r="E314" s="5"/>
      <c r="F314" s="5"/>
      <c r="G314" s="5"/>
      <c r="H314" s="5"/>
      <c r="I314" s="5"/>
      <c r="J314" s="5"/>
      <c r="K314" s="5" t="s">
        <v>993</v>
      </c>
      <c r="L314" s="5" t="s">
        <v>994</v>
      </c>
      <c r="M314" s="5" t="s">
        <v>4576</v>
      </c>
      <c r="N314" s="5">
        <v>41</v>
      </c>
      <c r="O314" s="5"/>
      <c r="P314" s="5" t="s">
        <v>995</v>
      </c>
      <c r="Q314" s="5">
        <v>36</v>
      </c>
      <c r="R314" s="5">
        <v>24</v>
      </c>
      <c r="S314" s="5">
        <v>17</v>
      </c>
      <c r="T314" s="5">
        <v>0</v>
      </c>
      <c r="U314" s="5" t="b">
        <v>0</v>
      </c>
      <c r="V314" s="5">
        <v>20</v>
      </c>
      <c r="W314" s="5">
        <v>0.19</v>
      </c>
      <c r="X314" s="5" t="s">
        <v>9</v>
      </c>
      <c r="Y314" s="5">
        <v>9</v>
      </c>
      <c r="Z314" s="5"/>
      <c r="AA314" s="5" t="s">
        <v>263</v>
      </c>
      <c r="AB314" s="5" t="s">
        <v>361</v>
      </c>
      <c r="AC314" s="5" t="b">
        <v>0</v>
      </c>
      <c r="AD314" s="5"/>
      <c r="AE314" s="5"/>
      <c r="AF314" s="5"/>
      <c r="AG314" s="5">
        <v>51</v>
      </c>
      <c r="AH314" s="5"/>
      <c r="AI314" s="5">
        <v>220</v>
      </c>
      <c r="AJ314" s="5"/>
      <c r="AK314" s="5" t="s">
        <v>996</v>
      </c>
      <c r="AL314" s="5">
        <v>2</v>
      </c>
      <c r="AM314" s="5"/>
      <c r="AN314" s="5">
        <v>10</v>
      </c>
      <c r="AO314" s="5"/>
      <c r="AP314" s="5">
        <v>0</v>
      </c>
      <c r="AQ314" s="5"/>
      <c r="AR314" s="5">
        <v>0</v>
      </c>
      <c r="AS314" s="5"/>
      <c r="AT314" s="5" t="s">
        <v>997</v>
      </c>
      <c r="AU314" s="5" t="s">
        <v>998</v>
      </c>
      <c r="AV314" s="5" t="s">
        <v>999</v>
      </c>
      <c r="AW314" s="8" t="str">
        <f>IFERROR(VLOOKUP(AA314,'Message Lookup'!D:J,7,FALSE),"")</f>
        <v>POV-100 IN REMOTE (HAND) alarm latched</v>
      </c>
    </row>
    <row r="315" spans="1:49" x14ac:dyDescent="0.25">
      <c r="A315" s="5" t="s">
        <v>4574</v>
      </c>
      <c r="B315" s="5" t="s">
        <v>992</v>
      </c>
      <c r="C315" s="5" t="s">
        <v>4575</v>
      </c>
      <c r="D315" s="5"/>
      <c r="E315" s="5"/>
      <c r="F315" s="5"/>
      <c r="G315" s="5"/>
      <c r="H315" s="5"/>
      <c r="I315" s="5"/>
      <c r="J315" s="5"/>
      <c r="K315" s="5" t="s">
        <v>993</v>
      </c>
      <c r="L315" s="5" t="s">
        <v>994</v>
      </c>
      <c r="M315" s="5" t="s">
        <v>4576</v>
      </c>
      <c r="N315" s="5">
        <v>41</v>
      </c>
      <c r="O315" s="5"/>
      <c r="P315" s="5" t="s">
        <v>995</v>
      </c>
      <c r="Q315" s="5">
        <v>36</v>
      </c>
      <c r="R315" s="5">
        <v>24</v>
      </c>
      <c r="S315" s="5">
        <v>17</v>
      </c>
      <c r="T315" s="5">
        <v>0</v>
      </c>
      <c r="U315" s="5" t="b">
        <v>0</v>
      </c>
      <c r="V315" s="5">
        <v>20</v>
      </c>
      <c r="W315" s="5">
        <v>0.19</v>
      </c>
      <c r="X315" s="5" t="s">
        <v>9</v>
      </c>
      <c r="Y315" s="5">
        <v>9</v>
      </c>
      <c r="Z315" s="5"/>
      <c r="AA315" s="5" t="s">
        <v>264</v>
      </c>
      <c r="AB315" s="5" t="s">
        <v>362</v>
      </c>
      <c r="AC315" s="5" t="b">
        <v>0</v>
      </c>
      <c r="AD315" s="5"/>
      <c r="AE315" s="5"/>
      <c r="AF315" s="5"/>
      <c r="AG315" s="5">
        <v>51</v>
      </c>
      <c r="AH315" s="5"/>
      <c r="AI315" s="5">
        <v>220</v>
      </c>
      <c r="AJ315" s="5"/>
      <c r="AK315" s="5" t="s">
        <v>996</v>
      </c>
      <c r="AL315" s="5">
        <v>2</v>
      </c>
      <c r="AM315" s="5"/>
      <c r="AN315" s="5">
        <v>10</v>
      </c>
      <c r="AO315" s="5"/>
      <c r="AP315" s="5">
        <v>0</v>
      </c>
      <c r="AQ315" s="5"/>
      <c r="AR315" s="5">
        <v>0</v>
      </c>
      <c r="AS315" s="5"/>
      <c r="AT315" s="5" t="s">
        <v>997</v>
      </c>
      <c r="AU315" s="5" t="s">
        <v>998</v>
      </c>
      <c r="AV315" s="5" t="s">
        <v>999</v>
      </c>
      <c r="AW315" s="8" t="str">
        <f>IFERROR(VLOOKUP(AA315,'Message Lookup'!D:J,7,FALSE),"")</f>
        <v>POV-100 Fault Latch</v>
      </c>
    </row>
    <row r="316" spans="1:49" x14ac:dyDescent="0.25">
      <c r="A316" s="5" t="s">
        <v>4574</v>
      </c>
      <c r="B316" s="5" t="s">
        <v>992</v>
      </c>
      <c r="C316" s="5" t="s">
        <v>4575</v>
      </c>
      <c r="D316" s="5"/>
      <c r="E316" s="5"/>
      <c r="F316" s="5"/>
      <c r="G316" s="5"/>
      <c r="H316" s="5"/>
      <c r="I316" s="5"/>
      <c r="J316" s="5"/>
      <c r="K316" s="5" t="s">
        <v>993</v>
      </c>
      <c r="L316" s="5" t="s">
        <v>994</v>
      </c>
      <c r="M316" s="5" t="s">
        <v>4576</v>
      </c>
      <c r="N316" s="5">
        <v>41</v>
      </c>
      <c r="O316" s="5"/>
      <c r="P316" s="5" t="s">
        <v>995</v>
      </c>
      <c r="Q316" s="5">
        <v>36</v>
      </c>
      <c r="R316" s="5">
        <v>24</v>
      </c>
      <c r="S316" s="5">
        <v>17</v>
      </c>
      <c r="T316" s="5">
        <v>0</v>
      </c>
      <c r="U316" s="5" t="b">
        <v>0</v>
      </c>
      <c r="V316" s="5">
        <v>20</v>
      </c>
      <c r="W316" s="5">
        <v>0.19</v>
      </c>
      <c r="X316" s="5" t="s">
        <v>9</v>
      </c>
      <c r="Y316" s="5">
        <v>9</v>
      </c>
      <c r="Z316" s="5"/>
      <c r="AA316" s="5" t="s">
        <v>265</v>
      </c>
      <c r="AB316" s="5" t="s">
        <v>363</v>
      </c>
      <c r="AC316" s="5" t="b">
        <v>0</v>
      </c>
      <c r="AD316" s="5"/>
      <c r="AE316" s="5"/>
      <c r="AF316" s="5"/>
      <c r="AG316" s="5">
        <v>51</v>
      </c>
      <c r="AH316" s="5"/>
      <c r="AI316" s="5">
        <v>220</v>
      </c>
      <c r="AJ316" s="5"/>
      <c r="AK316" s="5" t="s">
        <v>996</v>
      </c>
      <c r="AL316" s="5">
        <v>2</v>
      </c>
      <c r="AM316" s="5"/>
      <c r="AN316" s="5">
        <v>10</v>
      </c>
      <c r="AO316" s="5"/>
      <c r="AP316" s="5">
        <v>0</v>
      </c>
      <c r="AQ316" s="5"/>
      <c r="AR316" s="5">
        <v>0</v>
      </c>
      <c r="AS316" s="5"/>
      <c r="AT316" s="5" t="s">
        <v>997</v>
      </c>
      <c r="AU316" s="5" t="s">
        <v>998</v>
      </c>
      <c r="AV316" s="5" t="s">
        <v>999</v>
      </c>
      <c r="AW316" s="8" t="str">
        <f>IFERROR(VLOOKUP(AA316,'Message Lookup'!D:J,7,FALSE),"")</f>
        <v>POV-101 in auto alarm latched</v>
      </c>
    </row>
    <row r="317" spans="1:49" x14ac:dyDescent="0.25">
      <c r="A317" s="5" t="s">
        <v>4574</v>
      </c>
      <c r="B317" s="5" t="s">
        <v>992</v>
      </c>
      <c r="C317" s="5" t="s">
        <v>4575</v>
      </c>
      <c r="D317" s="5"/>
      <c r="E317" s="5"/>
      <c r="F317" s="5"/>
      <c r="G317" s="5"/>
      <c r="H317" s="5"/>
      <c r="I317" s="5"/>
      <c r="J317" s="5"/>
      <c r="K317" s="5" t="s">
        <v>993</v>
      </c>
      <c r="L317" s="5" t="s">
        <v>994</v>
      </c>
      <c r="M317" s="5" t="s">
        <v>4576</v>
      </c>
      <c r="N317" s="5">
        <v>41</v>
      </c>
      <c r="O317" s="5"/>
      <c r="P317" s="5" t="s">
        <v>995</v>
      </c>
      <c r="Q317" s="5">
        <v>36</v>
      </c>
      <c r="R317" s="5">
        <v>24</v>
      </c>
      <c r="S317" s="5">
        <v>17</v>
      </c>
      <c r="T317" s="5">
        <v>0</v>
      </c>
      <c r="U317" s="5" t="b">
        <v>0</v>
      </c>
      <c r="V317" s="5">
        <v>20</v>
      </c>
      <c r="W317" s="5">
        <v>0.19</v>
      </c>
      <c r="X317" s="5" t="s">
        <v>9</v>
      </c>
      <c r="Y317" s="5">
        <v>9</v>
      </c>
      <c r="Z317" s="5"/>
      <c r="AA317" s="5" t="s">
        <v>266</v>
      </c>
      <c r="AB317" s="5" t="s">
        <v>364</v>
      </c>
      <c r="AC317" s="5" t="b">
        <v>0</v>
      </c>
      <c r="AD317" s="5"/>
      <c r="AE317" s="5"/>
      <c r="AF317" s="5"/>
      <c r="AG317" s="5">
        <v>51</v>
      </c>
      <c r="AH317" s="5"/>
      <c r="AI317" s="5">
        <v>220</v>
      </c>
      <c r="AJ317" s="5"/>
      <c r="AK317" s="5" t="s">
        <v>996</v>
      </c>
      <c r="AL317" s="5">
        <v>2</v>
      </c>
      <c r="AM317" s="5"/>
      <c r="AN317" s="5">
        <v>10</v>
      </c>
      <c r="AO317" s="5"/>
      <c r="AP317" s="5">
        <v>0</v>
      </c>
      <c r="AQ317" s="5"/>
      <c r="AR317" s="5">
        <v>0</v>
      </c>
      <c r="AS317" s="5"/>
      <c r="AT317" s="5" t="s">
        <v>997</v>
      </c>
      <c r="AU317" s="5" t="s">
        <v>998</v>
      </c>
      <c r="AV317" s="5" t="s">
        <v>999</v>
      </c>
      <c r="AW317" s="8" t="str">
        <f>IFERROR(VLOOKUP(AA317,'Message Lookup'!D:J,7,FALSE),"")</f>
        <v>POV-101 Fault Latch</v>
      </c>
    </row>
    <row r="318" spans="1:49" x14ac:dyDescent="0.25">
      <c r="A318" s="5" t="s">
        <v>4574</v>
      </c>
      <c r="B318" s="5" t="s">
        <v>992</v>
      </c>
      <c r="C318" s="5" t="s">
        <v>4575</v>
      </c>
      <c r="D318" s="5"/>
      <c r="E318" s="5"/>
      <c r="F318" s="5"/>
      <c r="G318" s="5"/>
      <c r="H318" s="5"/>
      <c r="I318" s="5"/>
      <c r="J318" s="5"/>
      <c r="K318" s="5" t="s">
        <v>993</v>
      </c>
      <c r="L318" s="5" t="s">
        <v>994</v>
      </c>
      <c r="M318" s="5" t="s">
        <v>4576</v>
      </c>
      <c r="N318" s="5">
        <v>41</v>
      </c>
      <c r="O318" s="5"/>
      <c r="P318" s="5" t="s">
        <v>995</v>
      </c>
      <c r="Q318" s="5">
        <v>36</v>
      </c>
      <c r="R318" s="5">
        <v>24</v>
      </c>
      <c r="S318" s="5">
        <v>17</v>
      </c>
      <c r="T318" s="5">
        <v>0</v>
      </c>
      <c r="U318" s="5" t="b">
        <v>0</v>
      </c>
      <c r="V318" s="5">
        <v>20</v>
      </c>
      <c r="W318" s="5">
        <v>0.19</v>
      </c>
      <c r="X318" s="5" t="s">
        <v>9</v>
      </c>
      <c r="Y318" s="5">
        <v>9</v>
      </c>
      <c r="Z318" s="5"/>
      <c r="AA318" s="5" t="s">
        <v>267</v>
      </c>
      <c r="AB318" s="5" t="s">
        <v>365</v>
      </c>
      <c r="AC318" s="5" t="b">
        <v>0</v>
      </c>
      <c r="AD318" s="5"/>
      <c r="AE318" s="5"/>
      <c r="AF318" s="5"/>
      <c r="AG318" s="5">
        <v>51</v>
      </c>
      <c r="AH318" s="5"/>
      <c r="AI318" s="5">
        <v>220</v>
      </c>
      <c r="AJ318" s="5"/>
      <c r="AK318" s="5" t="s">
        <v>996</v>
      </c>
      <c r="AL318" s="5">
        <v>2</v>
      </c>
      <c r="AM318" s="5"/>
      <c r="AN318" s="5">
        <v>10</v>
      </c>
      <c r="AO318" s="5"/>
      <c r="AP318" s="5">
        <v>0</v>
      </c>
      <c r="AQ318" s="5"/>
      <c r="AR318" s="5">
        <v>0</v>
      </c>
      <c r="AS318" s="5"/>
      <c r="AT318" s="5" t="s">
        <v>997</v>
      </c>
      <c r="AU318" s="5" t="s">
        <v>998</v>
      </c>
      <c r="AV318" s="5" t="s">
        <v>999</v>
      </c>
      <c r="AW318" s="8" t="str">
        <f>IFERROR(VLOOKUP(AA318,'Message Lookup'!D:J,7,FALSE),"")</f>
        <v>POV-102 in auto alarm latched</v>
      </c>
    </row>
    <row r="319" spans="1:49" x14ac:dyDescent="0.25">
      <c r="A319" s="5" t="s">
        <v>4574</v>
      </c>
      <c r="B319" s="5" t="s">
        <v>992</v>
      </c>
      <c r="C319" s="5" t="s">
        <v>4575</v>
      </c>
      <c r="D319" s="5"/>
      <c r="E319" s="5"/>
      <c r="F319" s="5"/>
      <c r="G319" s="5"/>
      <c r="H319" s="5"/>
      <c r="I319" s="5"/>
      <c r="J319" s="5"/>
      <c r="K319" s="5" t="s">
        <v>993</v>
      </c>
      <c r="L319" s="5" t="s">
        <v>994</v>
      </c>
      <c r="M319" s="5" t="s">
        <v>4576</v>
      </c>
      <c r="N319" s="5">
        <v>41</v>
      </c>
      <c r="O319" s="5"/>
      <c r="P319" s="5" t="s">
        <v>995</v>
      </c>
      <c r="Q319" s="5">
        <v>36</v>
      </c>
      <c r="R319" s="5">
        <v>24</v>
      </c>
      <c r="S319" s="5">
        <v>17</v>
      </c>
      <c r="T319" s="5">
        <v>0</v>
      </c>
      <c r="U319" s="5" t="b">
        <v>0</v>
      </c>
      <c r="V319" s="5">
        <v>20</v>
      </c>
      <c r="W319" s="5">
        <v>0.19</v>
      </c>
      <c r="X319" s="5" t="s">
        <v>9</v>
      </c>
      <c r="Y319" s="5">
        <v>9</v>
      </c>
      <c r="Z319" s="5"/>
      <c r="AA319" s="5" t="s">
        <v>268</v>
      </c>
      <c r="AB319" s="5" t="s">
        <v>366</v>
      </c>
      <c r="AC319" s="5" t="b">
        <v>0</v>
      </c>
      <c r="AD319" s="5"/>
      <c r="AE319" s="5"/>
      <c r="AF319" s="5"/>
      <c r="AG319" s="5">
        <v>51</v>
      </c>
      <c r="AH319" s="5"/>
      <c r="AI319" s="5">
        <v>220</v>
      </c>
      <c r="AJ319" s="5"/>
      <c r="AK319" s="5" t="s">
        <v>996</v>
      </c>
      <c r="AL319" s="5">
        <v>2</v>
      </c>
      <c r="AM319" s="5"/>
      <c r="AN319" s="5">
        <v>10</v>
      </c>
      <c r="AO319" s="5"/>
      <c r="AP319" s="5">
        <v>0</v>
      </c>
      <c r="AQ319" s="5"/>
      <c r="AR319" s="5">
        <v>0</v>
      </c>
      <c r="AS319" s="5"/>
      <c r="AT319" s="5" t="s">
        <v>997</v>
      </c>
      <c r="AU319" s="5" t="s">
        <v>998</v>
      </c>
      <c r="AV319" s="5" t="s">
        <v>999</v>
      </c>
      <c r="AW319" s="8" t="str">
        <f>IFERROR(VLOOKUP(AA319,'Message Lookup'!D:J,7,FALSE),"")</f>
        <v>POV-102 Fault Latch</v>
      </c>
    </row>
    <row r="320" spans="1:49" x14ac:dyDescent="0.25">
      <c r="A320" s="5" t="s">
        <v>4574</v>
      </c>
      <c r="B320" s="5" t="s">
        <v>992</v>
      </c>
      <c r="C320" s="5" t="s">
        <v>4575</v>
      </c>
      <c r="D320" s="5"/>
      <c r="E320" s="5"/>
      <c r="F320" s="5"/>
      <c r="G320" s="5"/>
      <c r="H320" s="5"/>
      <c r="I320" s="5"/>
      <c r="J320" s="5"/>
      <c r="K320" s="5" t="s">
        <v>993</v>
      </c>
      <c r="L320" s="5" t="s">
        <v>994</v>
      </c>
      <c r="M320" s="5" t="s">
        <v>4576</v>
      </c>
      <c r="N320" s="5">
        <v>41</v>
      </c>
      <c r="O320" s="5"/>
      <c r="P320" s="5" t="s">
        <v>995</v>
      </c>
      <c r="Q320" s="5">
        <v>36</v>
      </c>
      <c r="R320" s="5">
        <v>24</v>
      </c>
      <c r="S320" s="5">
        <v>17</v>
      </c>
      <c r="T320" s="5">
        <v>0</v>
      </c>
      <c r="U320" s="5" t="b">
        <v>0</v>
      </c>
      <c r="V320" s="5">
        <v>20</v>
      </c>
      <c r="W320" s="5">
        <v>0.19</v>
      </c>
      <c r="X320" s="5" t="s">
        <v>9</v>
      </c>
      <c r="Y320" s="5">
        <v>9</v>
      </c>
      <c r="Z320" s="5"/>
      <c r="AA320" s="5" t="s">
        <v>269</v>
      </c>
      <c r="AB320" s="5" t="s">
        <v>367</v>
      </c>
      <c r="AC320" s="5" t="b">
        <v>0</v>
      </c>
      <c r="AD320" s="5"/>
      <c r="AE320" s="5"/>
      <c r="AF320" s="5"/>
      <c r="AG320" s="5">
        <v>51</v>
      </c>
      <c r="AH320" s="5"/>
      <c r="AI320" s="5">
        <v>220</v>
      </c>
      <c r="AJ320" s="5"/>
      <c r="AK320" s="5" t="s">
        <v>996</v>
      </c>
      <c r="AL320" s="5">
        <v>2</v>
      </c>
      <c r="AM320" s="5"/>
      <c r="AN320" s="5">
        <v>10</v>
      </c>
      <c r="AO320" s="5"/>
      <c r="AP320" s="5">
        <v>0</v>
      </c>
      <c r="AQ320" s="5"/>
      <c r="AR320" s="5">
        <v>0</v>
      </c>
      <c r="AS320" s="5"/>
      <c r="AT320" s="5" t="s">
        <v>997</v>
      </c>
      <c r="AU320" s="5" t="s">
        <v>998</v>
      </c>
      <c r="AV320" s="5" t="s">
        <v>999</v>
      </c>
      <c r="AW320" s="8" t="str">
        <f>IFERROR(VLOOKUP(AA320,'Message Lookup'!D:J,7,FALSE),"")</f>
        <v>POV-200 not in auto Alarm Latched</v>
      </c>
    </row>
    <row r="321" spans="1:49" x14ac:dyDescent="0.25">
      <c r="A321" s="5" t="s">
        <v>4574</v>
      </c>
      <c r="B321" s="5" t="s">
        <v>992</v>
      </c>
      <c r="C321" s="5" t="s">
        <v>4575</v>
      </c>
      <c r="D321" s="5"/>
      <c r="E321" s="5"/>
      <c r="F321" s="5"/>
      <c r="G321" s="5"/>
      <c r="H321" s="5"/>
      <c r="I321" s="5"/>
      <c r="J321" s="5"/>
      <c r="K321" s="5" t="s">
        <v>993</v>
      </c>
      <c r="L321" s="5" t="s">
        <v>994</v>
      </c>
      <c r="M321" s="5" t="s">
        <v>4576</v>
      </c>
      <c r="N321" s="5">
        <v>41</v>
      </c>
      <c r="O321" s="5"/>
      <c r="P321" s="5" t="s">
        <v>995</v>
      </c>
      <c r="Q321" s="5">
        <v>36</v>
      </c>
      <c r="R321" s="5">
        <v>24</v>
      </c>
      <c r="S321" s="5">
        <v>17</v>
      </c>
      <c r="T321" s="5">
        <v>0</v>
      </c>
      <c r="U321" s="5" t="b">
        <v>0</v>
      </c>
      <c r="V321" s="5">
        <v>20</v>
      </c>
      <c r="W321" s="5">
        <v>0.19</v>
      </c>
      <c r="X321" s="5" t="s">
        <v>9</v>
      </c>
      <c r="Y321" s="5">
        <v>9</v>
      </c>
      <c r="Z321" s="5"/>
      <c r="AA321" s="5" t="s">
        <v>270</v>
      </c>
      <c r="AB321" s="5" t="s">
        <v>368</v>
      </c>
      <c r="AC321" s="5" t="b">
        <v>0</v>
      </c>
      <c r="AD321" s="5"/>
      <c r="AE321" s="5"/>
      <c r="AF321" s="5"/>
      <c r="AG321" s="5">
        <v>51</v>
      </c>
      <c r="AH321" s="5"/>
      <c r="AI321" s="5">
        <v>220</v>
      </c>
      <c r="AJ321" s="5"/>
      <c r="AK321" s="5" t="s">
        <v>996</v>
      </c>
      <c r="AL321" s="5">
        <v>2</v>
      </c>
      <c r="AM321" s="5"/>
      <c r="AN321" s="5">
        <v>10</v>
      </c>
      <c r="AO321" s="5"/>
      <c r="AP321" s="5">
        <v>0</v>
      </c>
      <c r="AQ321" s="5"/>
      <c r="AR321" s="5">
        <v>0</v>
      </c>
      <c r="AS321" s="5"/>
      <c r="AT321" s="5" t="s">
        <v>997</v>
      </c>
      <c r="AU321" s="5" t="s">
        <v>998</v>
      </c>
      <c r="AV321" s="5" t="s">
        <v>999</v>
      </c>
      <c r="AW321" s="8" t="str">
        <f>IFERROR(VLOOKUP(AA321,'Message Lookup'!D:J,7,FALSE),"")</f>
        <v>POV-200 Fault Latch</v>
      </c>
    </row>
    <row r="322" spans="1:49" x14ac:dyDescent="0.25">
      <c r="A322" s="5" t="s">
        <v>4574</v>
      </c>
      <c r="B322" s="5" t="s">
        <v>992</v>
      </c>
      <c r="C322" s="5" t="s">
        <v>4575</v>
      </c>
      <c r="D322" s="5"/>
      <c r="E322" s="5"/>
      <c r="F322" s="5"/>
      <c r="G322" s="5"/>
      <c r="H322" s="5"/>
      <c r="I322" s="5"/>
      <c r="J322" s="5"/>
      <c r="K322" s="5" t="s">
        <v>993</v>
      </c>
      <c r="L322" s="5" t="s">
        <v>994</v>
      </c>
      <c r="M322" s="5" t="s">
        <v>4576</v>
      </c>
      <c r="N322" s="5">
        <v>41</v>
      </c>
      <c r="O322" s="5"/>
      <c r="P322" s="5" t="s">
        <v>995</v>
      </c>
      <c r="Q322" s="5">
        <v>36</v>
      </c>
      <c r="R322" s="5">
        <v>24</v>
      </c>
      <c r="S322" s="5">
        <v>17</v>
      </c>
      <c r="T322" s="5">
        <v>0</v>
      </c>
      <c r="U322" s="5" t="b">
        <v>0</v>
      </c>
      <c r="V322" s="5">
        <v>20</v>
      </c>
      <c r="W322" s="5">
        <v>0.19</v>
      </c>
      <c r="X322" s="5" t="s">
        <v>9</v>
      </c>
      <c r="Y322" s="5">
        <v>9</v>
      </c>
      <c r="Z322" s="5"/>
      <c r="AA322" s="5" t="s">
        <v>271</v>
      </c>
      <c r="AB322" s="5" t="s">
        <v>369</v>
      </c>
      <c r="AC322" s="5" t="b">
        <v>0</v>
      </c>
      <c r="AD322" s="5"/>
      <c r="AE322" s="5"/>
      <c r="AF322" s="5"/>
      <c r="AG322" s="5">
        <v>51</v>
      </c>
      <c r="AH322" s="5"/>
      <c r="AI322" s="5">
        <v>220</v>
      </c>
      <c r="AJ322" s="5"/>
      <c r="AK322" s="5" t="s">
        <v>996</v>
      </c>
      <c r="AL322" s="5">
        <v>2</v>
      </c>
      <c r="AM322" s="5"/>
      <c r="AN322" s="5">
        <v>10</v>
      </c>
      <c r="AO322" s="5"/>
      <c r="AP322" s="5">
        <v>0</v>
      </c>
      <c r="AQ322" s="5"/>
      <c r="AR322" s="5">
        <v>0</v>
      </c>
      <c r="AS322" s="5"/>
      <c r="AT322" s="5" t="s">
        <v>997</v>
      </c>
      <c r="AU322" s="5" t="s">
        <v>998</v>
      </c>
      <c r="AV322" s="5" t="s">
        <v>999</v>
      </c>
      <c r="AW322" s="8" t="str">
        <f>IFERROR(VLOOKUP(AA322,'Message Lookup'!D:J,7,FALSE),"")</f>
        <v>POV-201 MAINTENANCE MODE (HAND) Alarm Latched</v>
      </c>
    </row>
    <row r="323" spans="1:49" x14ac:dyDescent="0.25">
      <c r="A323" s="5" t="s">
        <v>4574</v>
      </c>
      <c r="B323" s="5" t="s">
        <v>992</v>
      </c>
      <c r="C323" s="5" t="s">
        <v>4575</v>
      </c>
      <c r="D323" s="5"/>
      <c r="E323" s="5"/>
      <c r="F323" s="5"/>
      <c r="G323" s="5"/>
      <c r="H323" s="5"/>
      <c r="I323" s="5"/>
      <c r="J323" s="5"/>
      <c r="K323" s="5" t="s">
        <v>993</v>
      </c>
      <c r="L323" s="5" t="s">
        <v>994</v>
      </c>
      <c r="M323" s="5" t="s">
        <v>4576</v>
      </c>
      <c r="N323" s="5">
        <v>41</v>
      </c>
      <c r="O323" s="5"/>
      <c r="P323" s="5" t="s">
        <v>995</v>
      </c>
      <c r="Q323" s="5">
        <v>36</v>
      </c>
      <c r="R323" s="5">
        <v>24</v>
      </c>
      <c r="S323" s="5">
        <v>17</v>
      </c>
      <c r="T323" s="5">
        <v>0</v>
      </c>
      <c r="U323" s="5" t="b">
        <v>0</v>
      </c>
      <c r="V323" s="5">
        <v>20</v>
      </c>
      <c r="W323" s="5">
        <v>0.19</v>
      </c>
      <c r="X323" s="5" t="s">
        <v>9</v>
      </c>
      <c r="Y323" s="5">
        <v>9</v>
      </c>
      <c r="Z323" s="5"/>
      <c r="AA323" s="5" t="s">
        <v>272</v>
      </c>
      <c r="AB323" s="5" t="s">
        <v>370</v>
      </c>
      <c r="AC323" s="5" t="b">
        <v>0</v>
      </c>
      <c r="AD323" s="5"/>
      <c r="AE323" s="5"/>
      <c r="AF323" s="5"/>
      <c r="AG323" s="5">
        <v>51</v>
      </c>
      <c r="AH323" s="5"/>
      <c r="AI323" s="5">
        <v>220</v>
      </c>
      <c r="AJ323" s="5"/>
      <c r="AK323" s="5" t="s">
        <v>996</v>
      </c>
      <c r="AL323" s="5">
        <v>2</v>
      </c>
      <c r="AM323" s="5"/>
      <c r="AN323" s="5">
        <v>10</v>
      </c>
      <c r="AO323" s="5"/>
      <c r="AP323" s="5">
        <v>0</v>
      </c>
      <c r="AQ323" s="5"/>
      <c r="AR323" s="5">
        <v>0</v>
      </c>
      <c r="AS323" s="5"/>
      <c r="AT323" s="5" t="s">
        <v>997</v>
      </c>
      <c r="AU323" s="5" t="s">
        <v>998</v>
      </c>
      <c r="AV323" s="5" t="s">
        <v>999</v>
      </c>
      <c r="AW323" s="8" t="str">
        <f>IFERROR(VLOOKUP(AA323,'Message Lookup'!D:J,7,FALSE),"")</f>
        <v>POV-201 Fault Latch</v>
      </c>
    </row>
    <row r="324" spans="1:49" x14ac:dyDescent="0.25">
      <c r="A324" s="5" t="s">
        <v>4574</v>
      </c>
      <c r="B324" s="5" t="s">
        <v>992</v>
      </c>
      <c r="C324" s="5" t="s">
        <v>4575</v>
      </c>
      <c r="D324" s="5"/>
      <c r="E324" s="5"/>
      <c r="F324" s="5"/>
      <c r="G324" s="5"/>
      <c r="H324" s="5"/>
      <c r="I324" s="5"/>
      <c r="J324" s="5"/>
      <c r="K324" s="5" t="s">
        <v>993</v>
      </c>
      <c r="L324" s="5" t="s">
        <v>994</v>
      </c>
      <c r="M324" s="5" t="s">
        <v>4576</v>
      </c>
      <c r="N324" s="5">
        <v>41</v>
      </c>
      <c r="O324" s="5"/>
      <c r="P324" s="5" t="s">
        <v>995</v>
      </c>
      <c r="Q324" s="5">
        <v>36</v>
      </c>
      <c r="R324" s="5">
        <v>24</v>
      </c>
      <c r="S324" s="5">
        <v>17</v>
      </c>
      <c r="T324" s="5">
        <v>0</v>
      </c>
      <c r="U324" s="5" t="b">
        <v>0</v>
      </c>
      <c r="V324" s="5">
        <v>20</v>
      </c>
      <c r="W324" s="5">
        <v>0.19</v>
      </c>
      <c r="X324" s="5" t="s">
        <v>9</v>
      </c>
      <c r="Y324" s="5">
        <v>9</v>
      </c>
      <c r="Z324" s="5"/>
      <c r="AA324" s="5"/>
      <c r="AB324" s="5"/>
      <c r="AC324" s="5"/>
      <c r="AD324" s="5"/>
      <c r="AE324" s="5" t="s">
        <v>1000</v>
      </c>
      <c r="AF324" s="5" t="b">
        <v>0</v>
      </c>
      <c r="AG324" s="5">
        <v>51</v>
      </c>
      <c r="AH324" s="5"/>
      <c r="AI324" s="5">
        <v>220</v>
      </c>
      <c r="AJ324" s="5"/>
      <c r="AK324" s="5" t="s">
        <v>996</v>
      </c>
      <c r="AL324" s="5">
        <v>2</v>
      </c>
      <c r="AM324" s="5"/>
      <c r="AN324" s="5">
        <v>10</v>
      </c>
      <c r="AO324" s="5"/>
      <c r="AP324" s="5">
        <v>0</v>
      </c>
      <c r="AQ324" s="5"/>
      <c r="AR324" s="5">
        <v>0</v>
      </c>
      <c r="AS324" s="5"/>
      <c r="AT324" s="5" t="s">
        <v>997</v>
      </c>
      <c r="AU324" s="5" t="s">
        <v>998</v>
      </c>
      <c r="AV324" s="5" t="s">
        <v>999</v>
      </c>
      <c r="AW324" s="8" t="str">
        <f>IFERROR(VLOOKUP(AA324,'Message Lookup'!D:J,7,FALSE),"")</f>
        <v/>
      </c>
    </row>
    <row r="325" spans="1:49" x14ac:dyDescent="0.25">
      <c r="A325" s="5" t="s">
        <v>4574</v>
      </c>
      <c r="B325" s="5" t="s">
        <v>992</v>
      </c>
      <c r="C325" s="5" t="s">
        <v>4575</v>
      </c>
      <c r="D325" s="5"/>
      <c r="E325" s="5"/>
      <c r="F325" s="5"/>
      <c r="G325" s="5"/>
      <c r="H325" s="5"/>
      <c r="I325" s="5"/>
      <c r="J325" s="5"/>
      <c r="K325" s="5" t="s">
        <v>993</v>
      </c>
      <c r="L325" s="5" t="s">
        <v>994</v>
      </c>
      <c r="M325" s="5" t="s">
        <v>4576</v>
      </c>
      <c r="N325" s="5">
        <v>41</v>
      </c>
      <c r="O325" s="5"/>
      <c r="P325" s="5" t="s">
        <v>995</v>
      </c>
      <c r="Q325" s="5">
        <v>36</v>
      </c>
      <c r="R325" s="5">
        <v>24</v>
      </c>
      <c r="S325" s="5">
        <v>17</v>
      </c>
      <c r="T325" s="5">
        <v>0</v>
      </c>
      <c r="U325" s="5" t="b">
        <v>0</v>
      </c>
      <c r="V325" s="5">
        <v>20</v>
      </c>
      <c r="W325" s="5">
        <v>0.19</v>
      </c>
      <c r="X325" s="5" t="s">
        <v>9</v>
      </c>
      <c r="Y325" s="5">
        <v>9</v>
      </c>
      <c r="Z325" s="5"/>
      <c r="AA325" s="5"/>
      <c r="AB325" s="5"/>
      <c r="AC325" s="5"/>
      <c r="AD325" s="5" t="s">
        <v>1018</v>
      </c>
      <c r="AE325" s="5" t="s">
        <v>1002</v>
      </c>
      <c r="AF325" s="5" t="b">
        <v>0</v>
      </c>
      <c r="AG325" s="5">
        <v>51</v>
      </c>
      <c r="AH325" s="5"/>
      <c r="AI325" s="5">
        <v>220</v>
      </c>
      <c r="AJ325" s="5"/>
      <c r="AK325" s="5" t="s">
        <v>996</v>
      </c>
      <c r="AL325" s="5">
        <v>2</v>
      </c>
      <c r="AM325" s="5"/>
      <c r="AN325" s="5">
        <v>10</v>
      </c>
      <c r="AO325" s="5"/>
      <c r="AP325" s="5">
        <v>0</v>
      </c>
      <c r="AQ325" s="5"/>
      <c r="AR325" s="5">
        <v>0</v>
      </c>
      <c r="AS325" s="5"/>
      <c r="AT325" s="5" t="s">
        <v>997</v>
      </c>
      <c r="AU325" s="5" t="s">
        <v>998</v>
      </c>
      <c r="AV325" s="5" t="s">
        <v>999</v>
      </c>
      <c r="AW325" s="8" t="str">
        <f>IFERROR(VLOOKUP(AA325,'Message Lookup'!D:J,7,FALSE),"")</f>
        <v/>
      </c>
    </row>
    <row r="326" spans="1:49" x14ac:dyDescent="0.25">
      <c r="A326" s="5" t="s">
        <v>4574</v>
      </c>
      <c r="B326" s="5" t="s">
        <v>992</v>
      </c>
      <c r="C326" s="5" t="s">
        <v>4575</v>
      </c>
      <c r="D326" s="5"/>
      <c r="E326" s="5"/>
      <c r="F326" s="5"/>
      <c r="G326" s="5"/>
      <c r="H326" s="5"/>
      <c r="I326" s="5"/>
      <c r="J326" s="5"/>
      <c r="K326" s="5" t="s">
        <v>993</v>
      </c>
      <c r="L326" s="5" t="s">
        <v>994</v>
      </c>
      <c r="M326" s="5" t="s">
        <v>4576</v>
      </c>
      <c r="N326" s="5">
        <v>41</v>
      </c>
      <c r="O326" s="5"/>
      <c r="P326" s="5" t="s">
        <v>995</v>
      </c>
      <c r="Q326" s="5">
        <v>36</v>
      </c>
      <c r="R326" s="5">
        <v>24</v>
      </c>
      <c r="S326" s="5">
        <v>18</v>
      </c>
      <c r="T326" s="5">
        <v>0</v>
      </c>
      <c r="U326" s="5" t="b">
        <v>0</v>
      </c>
      <c r="V326" s="5">
        <v>20</v>
      </c>
      <c r="W326" s="5">
        <v>0.2</v>
      </c>
      <c r="X326" s="5" t="s">
        <v>9</v>
      </c>
      <c r="Y326" s="5">
        <v>9</v>
      </c>
      <c r="Z326" s="5"/>
      <c r="AA326" s="5"/>
      <c r="AB326" s="5" t="s">
        <v>354</v>
      </c>
      <c r="AC326" s="5" t="b">
        <v>0</v>
      </c>
      <c r="AD326" s="5"/>
      <c r="AE326" s="5"/>
      <c r="AF326" s="5"/>
      <c r="AG326" s="5">
        <v>113</v>
      </c>
      <c r="AH326" s="5">
        <v>113</v>
      </c>
      <c r="AI326" s="5">
        <v>216</v>
      </c>
      <c r="AJ326" s="5">
        <v>216</v>
      </c>
      <c r="AK326" s="5" t="s">
        <v>996</v>
      </c>
      <c r="AL326" s="5">
        <v>2</v>
      </c>
      <c r="AM326" s="5"/>
      <c r="AN326" s="5">
        <v>10</v>
      </c>
      <c r="AO326" s="5"/>
      <c r="AP326" s="5">
        <v>0</v>
      </c>
      <c r="AQ326" s="5"/>
      <c r="AR326" s="5">
        <v>0</v>
      </c>
      <c r="AS326" s="5"/>
      <c r="AT326" s="5" t="s">
        <v>997</v>
      </c>
      <c r="AU326" s="5" t="s">
        <v>998</v>
      </c>
      <c r="AV326" s="5" t="s">
        <v>999</v>
      </c>
      <c r="AW326" s="8" t="str">
        <f>IFERROR(VLOOKUP(AA326,'Message Lookup'!D:J,7,FALSE),"")</f>
        <v/>
      </c>
    </row>
    <row r="327" spans="1:49" x14ac:dyDescent="0.25">
      <c r="A327" s="5" t="s">
        <v>4574</v>
      </c>
      <c r="B327" s="5" t="s">
        <v>992</v>
      </c>
      <c r="C327" s="5" t="s">
        <v>4575</v>
      </c>
      <c r="D327" s="5"/>
      <c r="E327" s="5"/>
      <c r="F327" s="5"/>
      <c r="G327" s="5"/>
      <c r="H327" s="5"/>
      <c r="I327" s="5"/>
      <c r="J327" s="5"/>
      <c r="K327" s="5" t="s">
        <v>993</v>
      </c>
      <c r="L327" s="5" t="s">
        <v>994</v>
      </c>
      <c r="M327" s="5" t="s">
        <v>4576</v>
      </c>
      <c r="N327" s="5">
        <v>41</v>
      </c>
      <c r="O327" s="5"/>
      <c r="P327" s="5" t="s">
        <v>995</v>
      </c>
      <c r="Q327" s="5">
        <v>36</v>
      </c>
      <c r="R327" s="5">
        <v>24</v>
      </c>
      <c r="S327" s="5">
        <v>18</v>
      </c>
      <c r="T327" s="5">
        <v>0</v>
      </c>
      <c r="U327" s="5" t="b">
        <v>0</v>
      </c>
      <c r="V327" s="5">
        <v>20</v>
      </c>
      <c r="W327" s="5">
        <v>0.2</v>
      </c>
      <c r="X327" s="5" t="s">
        <v>9</v>
      </c>
      <c r="Y327" s="5">
        <v>9</v>
      </c>
      <c r="Z327" s="5"/>
      <c r="AA327" s="5" t="s">
        <v>273</v>
      </c>
      <c r="AB327" s="5" t="s">
        <v>355</v>
      </c>
      <c r="AC327" s="5" t="b">
        <v>0</v>
      </c>
      <c r="AD327" s="5"/>
      <c r="AE327" s="5"/>
      <c r="AF327" s="5"/>
      <c r="AG327" s="5">
        <v>113</v>
      </c>
      <c r="AH327" s="5"/>
      <c r="AI327" s="5">
        <v>216</v>
      </c>
      <c r="AJ327" s="5"/>
      <c r="AK327" s="5" t="s">
        <v>996</v>
      </c>
      <c r="AL327" s="5">
        <v>2</v>
      </c>
      <c r="AM327" s="5"/>
      <c r="AN327" s="5">
        <v>10</v>
      </c>
      <c r="AO327" s="5"/>
      <c r="AP327" s="5">
        <v>0</v>
      </c>
      <c r="AQ327" s="5"/>
      <c r="AR327" s="5">
        <v>0</v>
      </c>
      <c r="AS327" s="5"/>
      <c r="AT327" s="5" t="s">
        <v>997</v>
      </c>
      <c r="AU327" s="5" t="s">
        <v>998</v>
      </c>
      <c r="AV327" s="5" t="s">
        <v>999</v>
      </c>
      <c r="AW327" s="8" t="str">
        <f>IFERROR(VLOOKUP(AA327,'Message Lookup'!D:J,7,FALSE),"")</f>
        <v>POV-202 IN REMOTE (HAND) alarm latched</v>
      </c>
    </row>
    <row r="328" spans="1:49" x14ac:dyDescent="0.25">
      <c r="A328" s="5" t="s">
        <v>4574</v>
      </c>
      <c r="B328" s="5" t="s">
        <v>992</v>
      </c>
      <c r="C328" s="5" t="s">
        <v>4575</v>
      </c>
      <c r="D328" s="5"/>
      <c r="E328" s="5"/>
      <c r="F328" s="5"/>
      <c r="G328" s="5"/>
      <c r="H328" s="5"/>
      <c r="I328" s="5"/>
      <c r="J328" s="5"/>
      <c r="K328" s="5" t="s">
        <v>993</v>
      </c>
      <c r="L328" s="5" t="s">
        <v>994</v>
      </c>
      <c r="M328" s="5" t="s">
        <v>4576</v>
      </c>
      <c r="N328" s="5">
        <v>41</v>
      </c>
      <c r="O328" s="5"/>
      <c r="P328" s="5" t="s">
        <v>995</v>
      </c>
      <c r="Q328" s="5">
        <v>36</v>
      </c>
      <c r="R328" s="5">
        <v>24</v>
      </c>
      <c r="S328" s="5">
        <v>18</v>
      </c>
      <c r="T328" s="5">
        <v>0</v>
      </c>
      <c r="U328" s="5" t="b">
        <v>0</v>
      </c>
      <c r="V328" s="5">
        <v>20</v>
      </c>
      <c r="W328" s="5">
        <v>0.2</v>
      </c>
      <c r="X328" s="5" t="s">
        <v>9</v>
      </c>
      <c r="Y328" s="5">
        <v>9</v>
      </c>
      <c r="Z328" s="5"/>
      <c r="AA328" s="5" t="s">
        <v>274</v>
      </c>
      <c r="AB328" s="5" t="s">
        <v>356</v>
      </c>
      <c r="AC328" s="5" t="b">
        <v>0</v>
      </c>
      <c r="AD328" s="5"/>
      <c r="AE328" s="5"/>
      <c r="AF328" s="5"/>
      <c r="AG328" s="5">
        <v>113</v>
      </c>
      <c r="AH328" s="5"/>
      <c r="AI328" s="5">
        <v>216</v>
      </c>
      <c r="AJ328" s="5"/>
      <c r="AK328" s="5" t="s">
        <v>996</v>
      </c>
      <c r="AL328" s="5">
        <v>2</v>
      </c>
      <c r="AM328" s="5"/>
      <c r="AN328" s="5">
        <v>10</v>
      </c>
      <c r="AO328" s="5"/>
      <c r="AP328" s="5">
        <v>0</v>
      </c>
      <c r="AQ328" s="5"/>
      <c r="AR328" s="5">
        <v>0</v>
      </c>
      <c r="AS328" s="5"/>
      <c r="AT328" s="5" t="s">
        <v>997</v>
      </c>
      <c r="AU328" s="5" t="s">
        <v>998</v>
      </c>
      <c r="AV328" s="5" t="s">
        <v>999</v>
      </c>
      <c r="AW328" s="8" t="str">
        <f>IFERROR(VLOOKUP(AA328,'Message Lookup'!D:J,7,FALSE),"")</f>
        <v>POV-202 Fault Latch</v>
      </c>
    </row>
    <row r="329" spans="1:49" x14ac:dyDescent="0.25">
      <c r="A329" s="5" t="s">
        <v>4574</v>
      </c>
      <c r="B329" s="5" t="s">
        <v>992</v>
      </c>
      <c r="C329" s="5" t="s">
        <v>4575</v>
      </c>
      <c r="D329" s="5"/>
      <c r="E329" s="5"/>
      <c r="F329" s="5"/>
      <c r="G329" s="5"/>
      <c r="H329" s="5"/>
      <c r="I329" s="5"/>
      <c r="J329" s="5"/>
      <c r="K329" s="5" t="s">
        <v>993</v>
      </c>
      <c r="L329" s="5" t="s">
        <v>994</v>
      </c>
      <c r="M329" s="5" t="s">
        <v>4576</v>
      </c>
      <c r="N329" s="5">
        <v>41</v>
      </c>
      <c r="O329" s="5"/>
      <c r="P329" s="5" t="s">
        <v>995</v>
      </c>
      <c r="Q329" s="5">
        <v>36</v>
      </c>
      <c r="R329" s="5">
        <v>24</v>
      </c>
      <c r="S329" s="5">
        <v>18</v>
      </c>
      <c r="T329" s="5">
        <v>0</v>
      </c>
      <c r="U329" s="5" t="b">
        <v>0</v>
      </c>
      <c r="V329" s="5">
        <v>20</v>
      </c>
      <c r="W329" s="5">
        <v>0.2</v>
      </c>
      <c r="X329" s="5" t="s">
        <v>9</v>
      </c>
      <c r="Y329" s="5">
        <v>9</v>
      </c>
      <c r="Z329" s="5"/>
      <c r="AA329" s="5" t="s">
        <v>275</v>
      </c>
      <c r="AB329" s="5" t="s">
        <v>357</v>
      </c>
      <c r="AC329" s="5" t="b">
        <v>0</v>
      </c>
      <c r="AD329" s="5"/>
      <c r="AE329" s="5"/>
      <c r="AF329" s="5"/>
      <c r="AG329" s="5">
        <v>113</v>
      </c>
      <c r="AH329" s="5"/>
      <c r="AI329" s="5">
        <v>216</v>
      </c>
      <c r="AJ329" s="5"/>
      <c r="AK329" s="5" t="s">
        <v>996</v>
      </c>
      <c r="AL329" s="5">
        <v>2</v>
      </c>
      <c r="AM329" s="5"/>
      <c r="AN329" s="5">
        <v>10</v>
      </c>
      <c r="AO329" s="5"/>
      <c r="AP329" s="5">
        <v>0</v>
      </c>
      <c r="AQ329" s="5"/>
      <c r="AR329" s="5">
        <v>0</v>
      </c>
      <c r="AS329" s="5"/>
      <c r="AT329" s="5" t="s">
        <v>997</v>
      </c>
      <c r="AU329" s="5" t="s">
        <v>998</v>
      </c>
      <c r="AV329" s="5" t="s">
        <v>999</v>
      </c>
      <c r="AW329" s="8" t="str">
        <f>IFERROR(VLOOKUP(AA329,'Message Lookup'!D:J,7,FALSE),"")</f>
        <v>POV-300 in auto conditioned</v>
      </c>
    </row>
    <row r="330" spans="1:49" x14ac:dyDescent="0.25">
      <c r="A330" s="5" t="s">
        <v>4574</v>
      </c>
      <c r="B330" s="5" t="s">
        <v>992</v>
      </c>
      <c r="C330" s="5" t="s">
        <v>4575</v>
      </c>
      <c r="D330" s="5"/>
      <c r="E330" s="5"/>
      <c r="F330" s="5"/>
      <c r="G330" s="5"/>
      <c r="H330" s="5"/>
      <c r="I330" s="5"/>
      <c r="J330" s="5"/>
      <c r="K330" s="5" t="s">
        <v>993</v>
      </c>
      <c r="L330" s="5" t="s">
        <v>994</v>
      </c>
      <c r="M330" s="5" t="s">
        <v>4576</v>
      </c>
      <c r="N330" s="5">
        <v>41</v>
      </c>
      <c r="O330" s="5"/>
      <c r="P330" s="5" t="s">
        <v>995</v>
      </c>
      <c r="Q330" s="5">
        <v>36</v>
      </c>
      <c r="R330" s="5">
        <v>24</v>
      </c>
      <c r="S330" s="5">
        <v>18</v>
      </c>
      <c r="T330" s="5">
        <v>0</v>
      </c>
      <c r="U330" s="5" t="b">
        <v>0</v>
      </c>
      <c r="V330" s="5">
        <v>20</v>
      </c>
      <c r="W330" s="5">
        <v>0.2</v>
      </c>
      <c r="X330" s="5" t="s">
        <v>9</v>
      </c>
      <c r="Y330" s="5">
        <v>9</v>
      </c>
      <c r="Z330" s="5"/>
      <c r="AA330" s="5" t="s">
        <v>276</v>
      </c>
      <c r="AB330" s="5" t="s">
        <v>358</v>
      </c>
      <c r="AC330" s="5" t="b">
        <v>0</v>
      </c>
      <c r="AD330" s="5"/>
      <c r="AE330" s="5"/>
      <c r="AF330" s="5"/>
      <c r="AG330" s="5">
        <v>113</v>
      </c>
      <c r="AH330" s="5"/>
      <c r="AI330" s="5">
        <v>216</v>
      </c>
      <c r="AJ330" s="5"/>
      <c r="AK330" s="5" t="s">
        <v>996</v>
      </c>
      <c r="AL330" s="5">
        <v>2</v>
      </c>
      <c r="AM330" s="5"/>
      <c r="AN330" s="5">
        <v>10</v>
      </c>
      <c r="AO330" s="5"/>
      <c r="AP330" s="5">
        <v>0</v>
      </c>
      <c r="AQ330" s="5"/>
      <c r="AR330" s="5">
        <v>0</v>
      </c>
      <c r="AS330" s="5"/>
      <c r="AT330" s="5" t="s">
        <v>997</v>
      </c>
      <c r="AU330" s="5" t="s">
        <v>998</v>
      </c>
      <c r="AV330" s="5" t="s">
        <v>999</v>
      </c>
      <c r="AW330" s="8" t="str">
        <f>IFERROR(VLOOKUP(AA330,'Message Lookup'!D:J,7,FALSE),"")</f>
        <v>POV-300 Fault Latch</v>
      </c>
    </row>
    <row r="331" spans="1:49" x14ac:dyDescent="0.25">
      <c r="A331" s="5" t="s">
        <v>4574</v>
      </c>
      <c r="B331" s="5" t="s">
        <v>992</v>
      </c>
      <c r="C331" s="5" t="s">
        <v>4575</v>
      </c>
      <c r="D331" s="5"/>
      <c r="E331" s="5"/>
      <c r="F331" s="5"/>
      <c r="G331" s="5"/>
      <c r="H331" s="5"/>
      <c r="I331" s="5"/>
      <c r="J331" s="5"/>
      <c r="K331" s="5" t="s">
        <v>993</v>
      </c>
      <c r="L331" s="5" t="s">
        <v>994</v>
      </c>
      <c r="M331" s="5" t="s">
        <v>4576</v>
      </c>
      <c r="N331" s="5">
        <v>41</v>
      </c>
      <c r="O331" s="5"/>
      <c r="P331" s="5" t="s">
        <v>995</v>
      </c>
      <c r="Q331" s="5">
        <v>36</v>
      </c>
      <c r="R331" s="5">
        <v>24</v>
      </c>
      <c r="S331" s="5">
        <v>18</v>
      </c>
      <c r="T331" s="5">
        <v>0</v>
      </c>
      <c r="U331" s="5" t="b">
        <v>0</v>
      </c>
      <c r="V331" s="5">
        <v>20</v>
      </c>
      <c r="W331" s="5">
        <v>0.2</v>
      </c>
      <c r="X331" s="5" t="s">
        <v>9</v>
      </c>
      <c r="Y331" s="5">
        <v>9</v>
      </c>
      <c r="Z331" s="5"/>
      <c r="AA331" s="5" t="s">
        <v>277</v>
      </c>
      <c r="AB331" s="5" t="s">
        <v>359</v>
      </c>
      <c r="AC331" s="5" t="b">
        <v>0</v>
      </c>
      <c r="AD331" s="5"/>
      <c r="AE331" s="5"/>
      <c r="AF331" s="5"/>
      <c r="AG331" s="5">
        <v>113</v>
      </c>
      <c r="AH331" s="5"/>
      <c r="AI331" s="5">
        <v>216</v>
      </c>
      <c r="AJ331" s="5"/>
      <c r="AK331" s="5" t="s">
        <v>996</v>
      </c>
      <c r="AL331" s="5">
        <v>2</v>
      </c>
      <c r="AM331" s="5"/>
      <c r="AN331" s="5">
        <v>10</v>
      </c>
      <c r="AO331" s="5"/>
      <c r="AP331" s="5">
        <v>0</v>
      </c>
      <c r="AQ331" s="5"/>
      <c r="AR331" s="5">
        <v>0</v>
      </c>
      <c r="AS331" s="5"/>
      <c r="AT331" s="5" t="s">
        <v>997</v>
      </c>
      <c r="AU331" s="5" t="s">
        <v>998</v>
      </c>
      <c r="AV331" s="5" t="s">
        <v>999</v>
      </c>
      <c r="AW331" s="8" t="str">
        <f>IFERROR(VLOOKUP(AA331,'Message Lookup'!D:J,7,FALSE),"")</f>
        <v>POV-301 IN REMOTE (HAND) alarm latched</v>
      </c>
    </row>
    <row r="332" spans="1:49" x14ac:dyDescent="0.25">
      <c r="A332" s="5" t="s">
        <v>4574</v>
      </c>
      <c r="B332" s="5" t="s">
        <v>992</v>
      </c>
      <c r="C332" s="5" t="s">
        <v>4575</v>
      </c>
      <c r="D332" s="5"/>
      <c r="E332" s="5"/>
      <c r="F332" s="5"/>
      <c r="G332" s="5"/>
      <c r="H332" s="5"/>
      <c r="I332" s="5"/>
      <c r="J332" s="5"/>
      <c r="K332" s="5" t="s">
        <v>993</v>
      </c>
      <c r="L332" s="5" t="s">
        <v>994</v>
      </c>
      <c r="M332" s="5" t="s">
        <v>4576</v>
      </c>
      <c r="N332" s="5">
        <v>41</v>
      </c>
      <c r="O332" s="5"/>
      <c r="P332" s="5" t="s">
        <v>995</v>
      </c>
      <c r="Q332" s="5">
        <v>36</v>
      </c>
      <c r="R332" s="5">
        <v>24</v>
      </c>
      <c r="S332" s="5">
        <v>18</v>
      </c>
      <c r="T332" s="5">
        <v>0</v>
      </c>
      <c r="U332" s="5" t="b">
        <v>0</v>
      </c>
      <c r="V332" s="5">
        <v>20</v>
      </c>
      <c r="W332" s="5">
        <v>0.2</v>
      </c>
      <c r="X332" s="5" t="s">
        <v>9</v>
      </c>
      <c r="Y332" s="5">
        <v>9</v>
      </c>
      <c r="Z332" s="5"/>
      <c r="AA332" s="5" t="s">
        <v>278</v>
      </c>
      <c r="AB332" s="5" t="s">
        <v>360</v>
      </c>
      <c r="AC332" s="5" t="b">
        <v>0</v>
      </c>
      <c r="AD332" s="5"/>
      <c r="AE332" s="5"/>
      <c r="AF332" s="5"/>
      <c r="AG332" s="5">
        <v>113</v>
      </c>
      <c r="AH332" s="5"/>
      <c r="AI332" s="5">
        <v>216</v>
      </c>
      <c r="AJ332" s="5"/>
      <c r="AK332" s="5" t="s">
        <v>996</v>
      </c>
      <c r="AL332" s="5">
        <v>2</v>
      </c>
      <c r="AM332" s="5"/>
      <c r="AN332" s="5">
        <v>10</v>
      </c>
      <c r="AO332" s="5"/>
      <c r="AP332" s="5">
        <v>0</v>
      </c>
      <c r="AQ332" s="5"/>
      <c r="AR332" s="5">
        <v>0</v>
      </c>
      <c r="AS332" s="5"/>
      <c r="AT332" s="5" t="s">
        <v>997</v>
      </c>
      <c r="AU332" s="5" t="s">
        <v>998</v>
      </c>
      <c r="AV332" s="5" t="s">
        <v>999</v>
      </c>
      <c r="AW332" s="8" t="str">
        <f>IFERROR(VLOOKUP(AA332,'Message Lookup'!D:J,7,FALSE),"")</f>
        <v>POV-301 Fault Latch</v>
      </c>
    </row>
    <row r="333" spans="1:49" x14ac:dyDescent="0.25">
      <c r="A333" s="5" t="s">
        <v>4574</v>
      </c>
      <c r="B333" s="5" t="s">
        <v>992</v>
      </c>
      <c r="C333" s="5" t="s">
        <v>4575</v>
      </c>
      <c r="D333" s="5"/>
      <c r="E333" s="5"/>
      <c r="F333" s="5"/>
      <c r="G333" s="5"/>
      <c r="H333" s="5"/>
      <c r="I333" s="5"/>
      <c r="J333" s="5"/>
      <c r="K333" s="5" t="s">
        <v>993</v>
      </c>
      <c r="L333" s="5" t="s">
        <v>994</v>
      </c>
      <c r="M333" s="5" t="s">
        <v>4576</v>
      </c>
      <c r="N333" s="5">
        <v>41</v>
      </c>
      <c r="O333" s="5"/>
      <c r="P333" s="5" t="s">
        <v>995</v>
      </c>
      <c r="Q333" s="5">
        <v>36</v>
      </c>
      <c r="R333" s="5">
        <v>24</v>
      </c>
      <c r="S333" s="5">
        <v>18</v>
      </c>
      <c r="T333" s="5">
        <v>0</v>
      </c>
      <c r="U333" s="5" t="b">
        <v>0</v>
      </c>
      <c r="V333" s="5">
        <v>20</v>
      </c>
      <c r="W333" s="5">
        <v>0.2</v>
      </c>
      <c r="X333" s="5" t="s">
        <v>9</v>
      </c>
      <c r="Y333" s="5">
        <v>9</v>
      </c>
      <c r="Z333" s="5"/>
      <c r="AA333" s="5" t="s">
        <v>279</v>
      </c>
      <c r="AB333" s="5" t="s">
        <v>361</v>
      </c>
      <c r="AC333" s="5" t="b">
        <v>0</v>
      </c>
      <c r="AD333" s="5"/>
      <c r="AE333" s="5"/>
      <c r="AF333" s="5"/>
      <c r="AG333" s="5">
        <v>113</v>
      </c>
      <c r="AH333" s="5"/>
      <c r="AI333" s="5">
        <v>216</v>
      </c>
      <c r="AJ333" s="5"/>
      <c r="AK333" s="5" t="s">
        <v>996</v>
      </c>
      <c r="AL333" s="5">
        <v>2</v>
      </c>
      <c r="AM333" s="5"/>
      <c r="AN333" s="5">
        <v>10</v>
      </c>
      <c r="AO333" s="5"/>
      <c r="AP333" s="5">
        <v>0</v>
      </c>
      <c r="AQ333" s="5"/>
      <c r="AR333" s="5">
        <v>0</v>
      </c>
      <c r="AS333" s="5"/>
      <c r="AT333" s="5" t="s">
        <v>997</v>
      </c>
      <c r="AU333" s="5" t="s">
        <v>998</v>
      </c>
      <c r="AV333" s="5" t="s">
        <v>999</v>
      </c>
      <c r="AW333" s="8" t="str">
        <f>IFERROR(VLOOKUP(AA333,'Message Lookup'!D:J,7,FALSE),"")</f>
        <v>POV-302 IN REMOTE (HAND) alarm latched</v>
      </c>
    </row>
    <row r="334" spans="1:49" x14ac:dyDescent="0.25">
      <c r="A334" s="5" t="s">
        <v>4574</v>
      </c>
      <c r="B334" s="5" t="s">
        <v>992</v>
      </c>
      <c r="C334" s="5" t="s">
        <v>4575</v>
      </c>
      <c r="D334" s="5"/>
      <c r="E334" s="5"/>
      <c r="F334" s="5"/>
      <c r="G334" s="5"/>
      <c r="H334" s="5"/>
      <c r="I334" s="5"/>
      <c r="J334" s="5"/>
      <c r="K334" s="5" t="s">
        <v>993</v>
      </c>
      <c r="L334" s="5" t="s">
        <v>994</v>
      </c>
      <c r="M334" s="5" t="s">
        <v>4576</v>
      </c>
      <c r="N334" s="5">
        <v>41</v>
      </c>
      <c r="O334" s="5"/>
      <c r="P334" s="5" t="s">
        <v>995</v>
      </c>
      <c r="Q334" s="5">
        <v>36</v>
      </c>
      <c r="R334" s="5">
        <v>24</v>
      </c>
      <c r="S334" s="5">
        <v>18</v>
      </c>
      <c r="T334" s="5">
        <v>0</v>
      </c>
      <c r="U334" s="5" t="b">
        <v>0</v>
      </c>
      <c r="V334" s="5">
        <v>20</v>
      </c>
      <c r="W334" s="5">
        <v>0.2</v>
      </c>
      <c r="X334" s="5" t="s">
        <v>9</v>
      </c>
      <c r="Y334" s="5">
        <v>9</v>
      </c>
      <c r="Z334" s="5"/>
      <c r="AA334" s="5" t="s">
        <v>278</v>
      </c>
      <c r="AB334" s="5" t="s">
        <v>362</v>
      </c>
      <c r="AC334" s="5" t="b">
        <v>0</v>
      </c>
      <c r="AD334" s="5"/>
      <c r="AE334" s="5"/>
      <c r="AF334" s="5"/>
      <c r="AG334" s="5">
        <v>113</v>
      </c>
      <c r="AH334" s="5"/>
      <c r="AI334" s="5">
        <v>216</v>
      </c>
      <c r="AJ334" s="5"/>
      <c r="AK334" s="5" t="s">
        <v>996</v>
      </c>
      <c r="AL334" s="5">
        <v>2</v>
      </c>
      <c r="AM334" s="5"/>
      <c r="AN334" s="5">
        <v>10</v>
      </c>
      <c r="AO334" s="5"/>
      <c r="AP334" s="5">
        <v>0</v>
      </c>
      <c r="AQ334" s="5"/>
      <c r="AR334" s="5">
        <v>0</v>
      </c>
      <c r="AS334" s="5"/>
      <c r="AT334" s="5" t="s">
        <v>997</v>
      </c>
      <c r="AU334" s="5" t="s">
        <v>998</v>
      </c>
      <c r="AV334" s="5" t="s">
        <v>999</v>
      </c>
      <c r="AW334" s="8" t="str">
        <f>IFERROR(VLOOKUP(AA334,'Message Lookup'!D:J,7,FALSE),"")</f>
        <v>POV-301 Fault Latch</v>
      </c>
    </row>
    <row r="335" spans="1:49" x14ac:dyDescent="0.25">
      <c r="A335" s="5" t="s">
        <v>4574</v>
      </c>
      <c r="B335" s="5" t="s">
        <v>992</v>
      </c>
      <c r="C335" s="5" t="s">
        <v>4575</v>
      </c>
      <c r="D335" s="5"/>
      <c r="E335" s="5"/>
      <c r="F335" s="5"/>
      <c r="G335" s="5"/>
      <c r="H335" s="5"/>
      <c r="I335" s="5"/>
      <c r="J335" s="5"/>
      <c r="K335" s="5" t="s">
        <v>993</v>
      </c>
      <c r="L335" s="5" t="s">
        <v>994</v>
      </c>
      <c r="M335" s="5" t="s">
        <v>4576</v>
      </c>
      <c r="N335" s="5">
        <v>41</v>
      </c>
      <c r="O335" s="5"/>
      <c r="P335" s="5" t="s">
        <v>995</v>
      </c>
      <c r="Q335" s="5">
        <v>36</v>
      </c>
      <c r="R335" s="5">
        <v>24</v>
      </c>
      <c r="S335" s="5">
        <v>18</v>
      </c>
      <c r="T335" s="5">
        <v>0</v>
      </c>
      <c r="U335" s="5" t="b">
        <v>0</v>
      </c>
      <c r="V335" s="5">
        <v>20</v>
      </c>
      <c r="W335" s="5">
        <v>0.2</v>
      </c>
      <c r="X335" s="5" t="s">
        <v>9</v>
      </c>
      <c r="Y335" s="5">
        <v>9</v>
      </c>
      <c r="Z335" s="5"/>
      <c r="AA335" s="5"/>
      <c r="AB335" s="5" t="s">
        <v>363</v>
      </c>
      <c r="AC335" s="5" t="b">
        <v>0</v>
      </c>
      <c r="AD335" s="5"/>
      <c r="AE335" s="5"/>
      <c r="AF335" s="5"/>
      <c r="AG335" s="5">
        <v>113</v>
      </c>
      <c r="AH335" s="5"/>
      <c r="AI335" s="5">
        <v>216</v>
      </c>
      <c r="AJ335" s="5"/>
      <c r="AK335" s="5" t="s">
        <v>996</v>
      </c>
      <c r="AL335" s="5">
        <v>2</v>
      </c>
      <c r="AM335" s="5"/>
      <c r="AN335" s="5">
        <v>10</v>
      </c>
      <c r="AO335" s="5"/>
      <c r="AP335" s="5">
        <v>0</v>
      </c>
      <c r="AQ335" s="5"/>
      <c r="AR335" s="5">
        <v>0</v>
      </c>
      <c r="AS335" s="5"/>
      <c r="AT335" s="5" t="s">
        <v>997</v>
      </c>
      <c r="AU335" s="5" t="s">
        <v>998</v>
      </c>
      <c r="AV335" s="5" t="s">
        <v>999</v>
      </c>
      <c r="AW335" s="8" t="str">
        <f>IFERROR(VLOOKUP(AA335,'Message Lookup'!D:J,7,FALSE),"")</f>
        <v/>
      </c>
    </row>
    <row r="336" spans="1:49" x14ac:dyDescent="0.25">
      <c r="A336" s="5" t="s">
        <v>4574</v>
      </c>
      <c r="B336" s="5" t="s">
        <v>992</v>
      </c>
      <c r="C336" s="5" t="s">
        <v>4575</v>
      </c>
      <c r="D336" s="5"/>
      <c r="E336" s="5"/>
      <c r="F336" s="5"/>
      <c r="G336" s="5"/>
      <c r="H336" s="5"/>
      <c r="I336" s="5"/>
      <c r="J336" s="5"/>
      <c r="K336" s="5" t="s">
        <v>993</v>
      </c>
      <c r="L336" s="5" t="s">
        <v>994</v>
      </c>
      <c r="M336" s="5" t="s">
        <v>4576</v>
      </c>
      <c r="N336" s="5">
        <v>41</v>
      </c>
      <c r="O336" s="5"/>
      <c r="P336" s="5" t="s">
        <v>995</v>
      </c>
      <c r="Q336" s="5">
        <v>36</v>
      </c>
      <c r="R336" s="5">
        <v>24</v>
      </c>
      <c r="S336" s="5">
        <v>18</v>
      </c>
      <c r="T336" s="5">
        <v>0</v>
      </c>
      <c r="U336" s="5" t="b">
        <v>0</v>
      </c>
      <c r="V336" s="5">
        <v>20</v>
      </c>
      <c r="W336" s="5">
        <v>0.2</v>
      </c>
      <c r="X336" s="5" t="s">
        <v>9</v>
      </c>
      <c r="Y336" s="5">
        <v>9</v>
      </c>
      <c r="Z336" s="5"/>
      <c r="AA336" s="5"/>
      <c r="AB336" s="5" t="s">
        <v>364</v>
      </c>
      <c r="AC336" s="5" t="b">
        <v>0</v>
      </c>
      <c r="AD336" s="5"/>
      <c r="AE336" s="5"/>
      <c r="AF336" s="5"/>
      <c r="AG336" s="5">
        <v>113</v>
      </c>
      <c r="AH336" s="5"/>
      <c r="AI336" s="5">
        <v>216</v>
      </c>
      <c r="AJ336" s="5"/>
      <c r="AK336" s="5" t="s">
        <v>996</v>
      </c>
      <c r="AL336" s="5">
        <v>2</v>
      </c>
      <c r="AM336" s="5"/>
      <c r="AN336" s="5">
        <v>10</v>
      </c>
      <c r="AO336" s="5"/>
      <c r="AP336" s="5">
        <v>0</v>
      </c>
      <c r="AQ336" s="5"/>
      <c r="AR336" s="5">
        <v>0</v>
      </c>
      <c r="AS336" s="5"/>
      <c r="AT336" s="5" t="s">
        <v>997</v>
      </c>
      <c r="AU336" s="5" t="s">
        <v>998</v>
      </c>
      <c r="AV336" s="5" t="s">
        <v>999</v>
      </c>
      <c r="AW336" s="8" t="str">
        <f>IFERROR(VLOOKUP(AA336,'Message Lookup'!D:J,7,FALSE),"")</f>
        <v/>
      </c>
    </row>
    <row r="337" spans="1:49" x14ac:dyDescent="0.25">
      <c r="A337" s="5" t="s">
        <v>4574</v>
      </c>
      <c r="B337" s="5" t="s">
        <v>992</v>
      </c>
      <c r="C337" s="5" t="s">
        <v>4575</v>
      </c>
      <c r="D337" s="5"/>
      <c r="E337" s="5"/>
      <c r="F337" s="5"/>
      <c r="G337" s="5"/>
      <c r="H337" s="5"/>
      <c r="I337" s="5"/>
      <c r="J337" s="5"/>
      <c r="K337" s="5" t="s">
        <v>993</v>
      </c>
      <c r="L337" s="5" t="s">
        <v>994</v>
      </c>
      <c r="M337" s="5" t="s">
        <v>4576</v>
      </c>
      <c r="N337" s="5">
        <v>41</v>
      </c>
      <c r="O337" s="5"/>
      <c r="P337" s="5" t="s">
        <v>995</v>
      </c>
      <c r="Q337" s="5">
        <v>36</v>
      </c>
      <c r="R337" s="5">
        <v>24</v>
      </c>
      <c r="S337" s="5">
        <v>18</v>
      </c>
      <c r="T337" s="5">
        <v>0</v>
      </c>
      <c r="U337" s="5" t="b">
        <v>0</v>
      </c>
      <c r="V337" s="5">
        <v>20</v>
      </c>
      <c r="W337" s="5">
        <v>0.2</v>
      </c>
      <c r="X337" s="5" t="s">
        <v>9</v>
      </c>
      <c r="Y337" s="5">
        <v>9</v>
      </c>
      <c r="Z337" s="5"/>
      <c r="AA337" s="5"/>
      <c r="AB337" s="5" t="s">
        <v>365</v>
      </c>
      <c r="AC337" s="5" t="b">
        <v>0</v>
      </c>
      <c r="AD337" s="5"/>
      <c r="AE337" s="5"/>
      <c r="AF337" s="5"/>
      <c r="AG337" s="5">
        <v>113</v>
      </c>
      <c r="AH337" s="5"/>
      <c r="AI337" s="5">
        <v>216</v>
      </c>
      <c r="AJ337" s="5"/>
      <c r="AK337" s="5" t="s">
        <v>996</v>
      </c>
      <c r="AL337" s="5">
        <v>2</v>
      </c>
      <c r="AM337" s="5"/>
      <c r="AN337" s="5">
        <v>10</v>
      </c>
      <c r="AO337" s="5"/>
      <c r="AP337" s="5">
        <v>0</v>
      </c>
      <c r="AQ337" s="5"/>
      <c r="AR337" s="5">
        <v>0</v>
      </c>
      <c r="AS337" s="5"/>
      <c r="AT337" s="5" t="s">
        <v>997</v>
      </c>
      <c r="AU337" s="5" t="s">
        <v>998</v>
      </c>
      <c r="AV337" s="5" t="s">
        <v>999</v>
      </c>
      <c r="AW337" s="8" t="str">
        <f>IFERROR(VLOOKUP(AA337,'Message Lookup'!D:J,7,FALSE),"")</f>
        <v/>
      </c>
    </row>
    <row r="338" spans="1:49" x14ac:dyDescent="0.25">
      <c r="A338" s="5" t="s">
        <v>4574</v>
      </c>
      <c r="B338" s="5" t="s">
        <v>992</v>
      </c>
      <c r="C338" s="5" t="s">
        <v>4575</v>
      </c>
      <c r="D338" s="5"/>
      <c r="E338" s="5"/>
      <c r="F338" s="5"/>
      <c r="G338" s="5"/>
      <c r="H338" s="5"/>
      <c r="I338" s="5"/>
      <c r="J338" s="5"/>
      <c r="K338" s="5" t="s">
        <v>993</v>
      </c>
      <c r="L338" s="5" t="s">
        <v>994</v>
      </c>
      <c r="M338" s="5" t="s">
        <v>4576</v>
      </c>
      <c r="N338" s="5">
        <v>41</v>
      </c>
      <c r="O338" s="5"/>
      <c r="P338" s="5" t="s">
        <v>995</v>
      </c>
      <c r="Q338" s="5">
        <v>36</v>
      </c>
      <c r="R338" s="5">
        <v>24</v>
      </c>
      <c r="S338" s="5">
        <v>18</v>
      </c>
      <c r="T338" s="5">
        <v>0</v>
      </c>
      <c r="U338" s="5" t="b">
        <v>0</v>
      </c>
      <c r="V338" s="5">
        <v>20</v>
      </c>
      <c r="W338" s="5">
        <v>0.2</v>
      </c>
      <c r="X338" s="5" t="s">
        <v>9</v>
      </c>
      <c r="Y338" s="5">
        <v>9</v>
      </c>
      <c r="Z338" s="5"/>
      <c r="AA338" s="5"/>
      <c r="AB338" s="5" t="s">
        <v>366</v>
      </c>
      <c r="AC338" s="5" t="b">
        <v>0</v>
      </c>
      <c r="AD338" s="5"/>
      <c r="AE338" s="5"/>
      <c r="AF338" s="5"/>
      <c r="AG338" s="5">
        <v>113</v>
      </c>
      <c r="AH338" s="5"/>
      <c r="AI338" s="5">
        <v>216</v>
      </c>
      <c r="AJ338" s="5"/>
      <c r="AK338" s="5" t="s">
        <v>996</v>
      </c>
      <c r="AL338" s="5">
        <v>2</v>
      </c>
      <c r="AM338" s="5"/>
      <c r="AN338" s="5">
        <v>10</v>
      </c>
      <c r="AO338" s="5"/>
      <c r="AP338" s="5">
        <v>0</v>
      </c>
      <c r="AQ338" s="5"/>
      <c r="AR338" s="5">
        <v>0</v>
      </c>
      <c r="AS338" s="5"/>
      <c r="AT338" s="5" t="s">
        <v>997</v>
      </c>
      <c r="AU338" s="5" t="s">
        <v>998</v>
      </c>
      <c r="AV338" s="5" t="s">
        <v>999</v>
      </c>
      <c r="AW338" s="8" t="str">
        <f>IFERROR(VLOOKUP(AA338,'Message Lookup'!D:J,7,FALSE),"")</f>
        <v/>
      </c>
    </row>
    <row r="339" spans="1:49" x14ac:dyDescent="0.25">
      <c r="A339" s="5" t="s">
        <v>4574</v>
      </c>
      <c r="B339" s="5" t="s">
        <v>992</v>
      </c>
      <c r="C339" s="5" t="s">
        <v>4575</v>
      </c>
      <c r="D339" s="5"/>
      <c r="E339" s="5"/>
      <c r="F339" s="5"/>
      <c r="G339" s="5"/>
      <c r="H339" s="5"/>
      <c r="I339" s="5"/>
      <c r="J339" s="5"/>
      <c r="K339" s="5" t="s">
        <v>993</v>
      </c>
      <c r="L339" s="5" t="s">
        <v>994</v>
      </c>
      <c r="M339" s="5" t="s">
        <v>4576</v>
      </c>
      <c r="N339" s="5">
        <v>41</v>
      </c>
      <c r="O339" s="5"/>
      <c r="P339" s="5" t="s">
        <v>995</v>
      </c>
      <c r="Q339" s="5">
        <v>36</v>
      </c>
      <c r="R339" s="5">
        <v>24</v>
      </c>
      <c r="S339" s="5">
        <v>18</v>
      </c>
      <c r="T339" s="5">
        <v>0</v>
      </c>
      <c r="U339" s="5" t="b">
        <v>0</v>
      </c>
      <c r="V339" s="5">
        <v>20</v>
      </c>
      <c r="W339" s="5">
        <v>0.2</v>
      </c>
      <c r="X339" s="5" t="s">
        <v>9</v>
      </c>
      <c r="Y339" s="5">
        <v>9</v>
      </c>
      <c r="Z339" s="5"/>
      <c r="AA339" s="5"/>
      <c r="AB339" s="5" t="s">
        <v>367</v>
      </c>
      <c r="AC339" s="5" t="b">
        <v>0</v>
      </c>
      <c r="AD339" s="5"/>
      <c r="AE339" s="5"/>
      <c r="AF339" s="5"/>
      <c r="AG339" s="5">
        <v>113</v>
      </c>
      <c r="AH339" s="5"/>
      <c r="AI339" s="5">
        <v>216</v>
      </c>
      <c r="AJ339" s="5"/>
      <c r="AK339" s="5" t="s">
        <v>996</v>
      </c>
      <c r="AL339" s="5">
        <v>2</v>
      </c>
      <c r="AM339" s="5"/>
      <c r="AN339" s="5">
        <v>10</v>
      </c>
      <c r="AO339" s="5"/>
      <c r="AP339" s="5">
        <v>0</v>
      </c>
      <c r="AQ339" s="5"/>
      <c r="AR339" s="5">
        <v>0</v>
      </c>
      <c r="AS339" s="5"/>
      <c r="AT339" s="5" t="s">
        <v>997</v>
      </c>
      <c r="AU339" s="5" t="s">
        <v>998</v>
      </c>
      <c r="AV339" s="5" t="s">
        <v>999</v>
      </c>
      <c r="AW339" s="8" t="str">
        <f>IFERROR(VLOOKUP(AA339,'Message Lookup'!D:J,7,FALSE),"")</f>
        <v/>
      </c>
    </row>
    <row r="340" spans="1:49" x14ac:dyDescent="0.25">
      <c r="A340" s="5" t="s">
        <v>4574</v>
      </c>
      <c r="B340" s="5" t="s">
        <v>992</v>
      </c>
      <c r="C340" s="5" t="s">
        <v>4575</v>
      </c>
      <c r="D340" s="5"/>
      <c r="E340" s="5"/>
      <c r="F340" s="5"/>
      <c r="G340" s="5"/>
      <c r="H340" s="5"/>
      <c r="I340" s="5"/>
      <c r="J340" s="5"/>
      <c r="K340" s="5" t="s">
        <v>993</v>
      </c>
      <c r="L340" s="5" t="s">
        <v>994</v>
      </c>
      <c r="M340" s="5" t="s">
        <v>4576</v>
      </c>
      <c r="N340" s="5">
        <v>41</v>
      </c>
      <c r="O340" s="5"/>
      <c r="P340" s="5" t="s">
        <v>995</v>
      </c>
      <c r="Q340" s="5">
        <v>36</v>
      </c>
      <c r="R340" s="5">
        <v>24</v>
      </c>
      <c r="S340" s="5">
        <v>18</v>
      </c>
      <c r="T340" s="5">
        <v>0</v>
      </c>
      <c r="U340" s="5" t="b">
        <v>0</v>
      </c>
      <c r="V340" s="5">
        <v>20</v>
      </c>
      <c r="W340" s="5">
        <v>0.2</v>
      </c>
      <c r="X340" s="5" t="s">
        <v>9</v>
      </c>
      <c r="Y340" s="5">
        <v>9</v>
      </c>
      <c r="Z340" s="5"/>
      <c r="AA340" s="5"/>
      <c r="AB340" s="5" t="s">
        <v>368</v>
      </c>
      <c r="AC340" s="5" t="b">
        <v>0</v>
      </c>
      <c r="AD340" s="5"/>
      <c r="AE340" s="5"/>
      <c r="AF340" s="5"/>
      <c r="AG340" s="5">
        <v>113</v>
      </c>
      <c r="AH340" s="5"/>
      <c r="AI340" s="5">
        <v>216</v>
      </c>
      <c r="AJ340" s="5"/>
      <c r="AK340" s="5" t="s">
        <v>996</v>
      </c>
      <c r="AL340" s="5">
        <v>2</v>
      </c>
      <c r="AM340" s="5"/>
      <c r="AN340" s="5">
        <v>10</v>
      </c>
      <c r="AO340" s="5"/>
      <c r="AP340" s="5">
        <v>0</v>
      </c>
      <c r="AQ340" s="5"/>
      <c r="AR340" s="5">
        <v>0</v>
      </c>
      <c r="AS340" s="5"/>
      <c r="AT340" s="5" t="s">
        <v>997</v>
      </c>
      <c r="AU340" s="5" t="s">
        <v>998</v>
      </c>
      <c r="AV340" s="5" t="s">
        <v>999</v>
      </c>
      <c r="AW340" s="8" t="str">
        <f>IFERROR(VLOOKUP(AA340,'Message Lookup'!D:J,7,FALSE),"")</f>
        <v/>
      </c>
    </row>
    <row r="341" spans="1:49" x14ac:dyDescent="0.25">
      <c r="A341" s="5" t="s">
        <v>4574</v>
      </c>
      <c r="B341" s="5" t="s">
        <v>992</v>
      </c>
      <c r="C341" s="5" t="s">
        <v>4575</v>
      </c>
      <c r="D341" s="5"/>
      <c r="E341" s="5"/>
      <c r="F341" s="5"/>
      <c r="G341" s="5"/>
      <c r="H341" s="5"/>
      <c r="I341" s="5"/>
      <c r="J341" s="5"/>
      <c r="K341" s="5" t="s">
        <v>993</v>
      </c>
      <c r="L341" s="5" t="s">
        <v>994</v>
      </c>
      <c r="M341" s="5" t="s">
        <v>4576</v>
      </c>
      <c r="N341" s="5">
        <v>41</v>
      </c>
      <c r="O341" s="5"/>
      <c r="P341" s="5" t="s">
        <v>995</v>
      </c>
      <c r="Q341" s="5">
        <v>36</v>
      </c>
      <c r="R341" s="5">
        <v>24</v>
      </c>
      <c r="S341" s="5">
        <v>18</v>
      </c>
      <c r="T341" s="5">
        <v>0</v>
      </c>
      <c r="U341" s="5" t="b">
        <v>0</v>
      </c>
      <c r="V341" s="5">
        <v>20</v>
      </c>
      <c r="W341" s="5">
        <v>0.2</v>
      </c>
      <c r="X341" s="5" t="s">
        <v>9</v>
      </c>
      <c r="Y341" s="5">
        <v>9</v>
      </c>
      <c r="Z341" s="5"/>
      <c r="AA341" s="5"/>
      <c r="AB341" s="5" t="s">
        <v>369</v>
      </c>
      <c r="AC341" s="5" t="b">
        <v>0</v>
      </c>
      <c r="AD341" s="5"/>
      <c r="AE341" s="5"/>
      <c r="AF341" s="5"/>
      <c r="AG341" s="5">
        <v>113</v>
      </c>
      <c r="AH341" s="5"/>
      <c r="AI341" s="5">
        <v>216</v>
      </c>
      <c r="AJ341" s="5"/>
      <c r="AK341" s="5" t="s">
        <v>996</v>
      </c>
      <c r="AL341" s="5">
        <v>2</v>
      </c>
      <c r="AM341" s="5"/>
      <c r="AN341" s="5">
        <v>10</v>
      </c>
      <c r="AO341" s="5"/>
      <c r="AP341" s="5">
        <v>0</v>
      </c>
      <c r="AQ341" s="5"/>
      <c r="AR341" s="5">
        <v>0</v>
      </c>
      <c r="AS341" s="5"/>
      <c r="AT341" s="5" t="s">
        <v>997</v>
      </c>
      <c r="AU341" s="5" t="s">
        <v>998</v>
      </c>
      <c r="AV341" s="5" t="s">
        <v>999</v>
      </c>
      <c r="AW341" s="8" t="str">
        <f>IFERROR(VLOOKUP(AA341,'Message Lookup'!D:J,7,FALSE),"")</f>
        <v/>
      </c>
    </row>
    <row r="342" spans="1:49" x14ac:dyDescent="0.25">
      <c r="A342" s="5" t="s">
        <v>4574</v>
      </c>
      <c r="B342" s="5" t="s">
        <v>992</v>
      </c>
      <c r="C342" s="5" t="s">
        <v>4575</v>
      </c>
      <c r="D342" s="5"/>
      <c r="E342" s="5"/>
      <c r="F342" s="5"/>
      <c r="G342" s="5"/>
      <c r="H342" s="5"/>
      <c r="I342" s="5"/>
      <c r="J342" s="5"/>
      <c r="K342" s="5" t="s">
        <v>993</v>
      </c>
      <c r="L342" s="5" t="s">
        <v>994</v>
      </c>
      <c r="M342" s="5" t="s">
        <v>4576</v>
      </c>
      <c r="N342" s="5">
        <v>41</v>
      </c>
      <c r="O342" s="5"/>
      <c r="P342" s="5" t="s">
        <v>995</v>
      </c>
      <c r="Q342" s="5">
        <v>36</v>
      </c>
      <c r="R342" s="5">
        <v>24</v>
      </c>
      <c r="S342" s="5">
        <v>18</v>
      </c>
      <c r="T342" s="5">
        <v>0</v>
      </c>
      <c r="U342" s="5" t="b">
        <v>0</v>
      </c>
      <c r="V342" s="5">
        <v>20</v>
      </c>
      <c r="W342" s="5">
        <v>0.2</v>
      </c>
      <c r="X342" s="5" t="s">
        <v>9</v>
      </c>
      <c r="Y342" s="5">
        <v>9</v>
      </c>
      <c r="Z342" s="5"/>
      <c r="AA342" s="5"/>
      <c r="AB342" s="5" t="s">
        <v>370</v>
      </c>
      <c r="AC342" s="5" t="b">
        <v>0</v>
      </c>
      <c r="AD342" s="5"/>
      <c r="AE342" s="5"/>
      <c r="AF342" s="5"/>
      <c r="AG342" s="5">
        <v>113</v>
      </c>
      <c r="AH342" s="5"/>
      <c r="AI342" s="5">
        <v>216</v>
      </c>
      <c r="AJ342" s="5"/>
      <c r="AK342" s="5" t="s">
        <v>996</v>
      </c>
      <c r="AL342" s="5">
        <v>2</v>
      </c>
      <c r="AM342" s="5"/>
      <c r="AN342" s="5">
        <v>10</v>
      </c>
      <c r="AO342" s="5"/>
      <c r="AP342" s="5">
        <v>0</v>
      </c>
      <c r="AQ342" s="5"/>
      <c r="AR342" s="5">
        <v>0</v>
      </c>
      <c r="AS342" s="5"/>
      <c r="AT342" s="5" t="s">
        <v>997</v>
      </c>
      <c r="AU342" s="5" t="s">
        <v>998</v>
      </c>
      <c r="AV342" s="5" t="s">
        <v>999</v>
      </c>
      <c r="AW342" s="8" t="str">
        <f>IFERROR(VLOOKUP(AA342,'Message Lookup'!D:J,7,FALSE),"")</f>
        <v/>
      </c>
    </row>
    <row r="343" spans="1:49" x14ac:dyDescent="0.25">
      <c r="A343" s="5" t="s">
        <v>4574</v>
      </c>
      <c r="B343" s="5" t="s">
        <v>992</v>
      </c>
      <c r="C343" s="5" t="s">
        <v>4575</v>
      </c>
      <c r="D343" s="5"/>
      <c r="E343" s="5"/>
      <c r="F343" s="5"/>
      <c r="G343" s="5"/>
      <c r="H343" s="5"/>
      <c r="I343" s="5"/>
      <c r="J343" s="5"/>
      <c r="K343" s="5" t="s">
        <v>993</v>
      </c>
      <c r="L343" s="5" t="s">
        <v>994</v>
      </c>
      <c r="M343" s="5" t="s">
        <v>4576</v>
      </c>
      <c r="N343" s="5">
        <v>41</v>
      </c>
      <c r="O343" s="5"/>
      <c r="P343" s="5" t="s">
        <v>995</v>
      </c>
      <c r="Q343" s="5">
        <v>36</v>
      </c>
      <c r="R343" s="5">
        <v>24</v>
      </c>
      <c r="S343" s="5">
        <v>18</v>
      </c>
      <c r="T343" s="5">
        <v>0</v>
      </c>
      <c r="U343" s="5" t="b">
        <v>0</v>
      </c>
      <c r="V343" s="5">
        <v>20</v>
      </c>
      <c r="W343" s="5">
        <v>0.2</v>
      </c>
      <c r="X343" s="5" t="s">
        <v>9</v>
      </c>
      <c r="Y343" s="5">
        <v>9</v>
      </c>
      <c r="Z343" s="5"/>
      <c r="AA343" s="5"/>
      <c r="AB343" s="5"/>
      <c r="AC343" s="5"/>
      <c r="AD343" s="5"/>
      <c r="AE343" s="5" t="s">
        <v>1000</v>
      </c>
      <c r="AF343" s="5" t="b">
        <v>0</v>
      </c>
      <c r="AG343" s="5">
        <v>113</v>
      </c>
      <c r="AH343" s="5"/>
      <c r="AI343" s="5">
        <v>216</v>
      </c>
      <c r="AJ343" s="5"/>
      <c r="AK343" s="5" t="s">
        <v>996</v>
      </c>
      <c r="AL343" s="5">
        <v>2</v>
      </c>
      <c r="AM343" s="5"/>
      <c r="AN343" s="5">
        <v>10</v>
      </c>
      <c r="AO343" s="5"/>
      <c r="AP343" s="5">
        <v>0</v>
      </c>
      <c r="AQ343" s="5"/>
      <c r="AR343" s="5">
        <v>0</v>
      </c>
      <c r="AS343" s="5"/>
      <c r="AT343" s="5" t="s">
        <v>997</v>
      </c>
      <c r="AU343" s="5" t="s">
        <v>998</v>
      </c>
      <c r="AV343" s="5" t="s">
        <v>999</v>
      </c>
      <c r="AW343" s="8" t="str">
        <f>IFERROR(VLOOKUP(AA343,'Message Lookup'!D:J,7,FALSE),"")</f>
        <v/>
      </c>
    </row>
    <row r="344" spans="1:49" x14ac:dyDescent="0.25">
      <c r="A344" s="5" t="s">
        <v>4574</v>
      </c>
      <c r="B344" s="5" t="s">
        <v>992</v>
      </c>
      <c r="C344" s="5" t="s">
        <v>4575</v>
      </c>
      <c r="D344" s="5"/>
      <c r="E344" s="5"/>
      <c r="F344" s="5"/>
      <c r="G344" s="5"/>
      <c r="H344" s="5"/>
      <c r="I344" s="5"/>
      <c r="J344" s="5"/>
      <c r="K344" s="5" t="s">
        <v>993</v>
      </c>
      <c r="L344" s="5" t="s">
        <v>994</v>
      </c>
      <c r="M344" s="5" t="s">
        <v>4576</v>
      </c>
      <c r="N344" s="5">
        <v>41</v>
      </c>
      <c r="O344" s="5"/>
      <c r="P344" s="5" t="s">
        <v>995</v>
      </c>
      <c r="Q344" s="5">
        <v>36</v>
      </c>
      <c r="R344" s="5">
        <v>24</v>
      </c>
      <c r="S344" s="5">
        <v>18</v>
      </c>
      <c r="T344" s="5">
        <v>0</v>
      </c>
      <c r="U344" s="5" t="b">
        <v>0</v>
      </c>
      <c r="V344" s="5">
        <v>20</v>
      </c>
      <c r="W344" s="5">
        <v>0.2</v>
      </c>
      <c r="X344" s="5" t="s">
        <v>9</v>
      </c>
      <c r="Y344" s="5">
        <v>9</v>
      </c>
      <c r="Z344" s="5"/>
      <c r="AA344" s="5"/>
      <c r="AB344" s="5"/>
      <c r="AC344" s="5"/>
      <c r="AD344" s="5" t="s">
        <v>1016</v>
      </c>
      <c r="AE344" s="5" t="s">
        <v>1002</v>
      </c>
      <c r="AF344" s="5" t="b">
        <v>0</v>
      </c>
      <c r="AG344" s="5">
        <v>113</v>
      </c>
      <c r="AH344" s="5"/>
      <c r="AI344" s="5">
        <v>216</v>
      </c>
      <c r="AJ344" s="5"/>
      <c r="AK344" s="5" t="s">
        <v>996</v>
      </c>
      <c r="AL344" s="5">
        <v>2</v>
      </c>
      <c r="AM344" s="5"/>
      <c r="AN344" s="5">
        <v>10</v>
      </c>
      <c r="AO344" s="5"/>
      <c r="AP344" s="5">
        <v>0</v>
      </c>
      <c r="AQ344" s="5"/>
      <c r="AR344" s="5">
        <v>0</v>
      </c>
      <c r="AS344" s="5"/>
      <c r="AT344" s="5" t="s">
        <v>997</v>
      </c>
      <c r="AU344" s="5" t="s">
        <v>998</v>
      </c>
      <c r="AV344" s="5" t="s">
        <v>999</v>
      </c>
      <c r="AW344" s="8" t="str">
        <f>IFERROR(VLOOKUP(AA344,'Message Lookup'!D:J,7,FALSE),"")</f>
        <v/>
      </c>
    </row>
    <row r="345" spans="1:49" x14ac:dyDescent="0.25">
      <c r="A345" s="5" t="s">
        <v>4574</v>
      </c>
      <c r="B345" s="5" t="s">
        <v>992</v>
      </c>
      <c r="C345" s="5" t="s">
        <v>4575</v>
      </c>
      <c r="D345" s="5"/>
      <c r="E345" s="5"/>
      <c r="F345" s="5"/>
      <c r="G345" s="5"/>
      <c r="H345" s="5"/>
      <c r="I345" s="5"/>
      <c r="J345" s="5"/>
      <c r="K345" s="5" t="s">
        <v>993</v>
      </c>
      <c r="L345" s="5" t="s">
        <v>994</v>
      </c>
      <c r="M345" s="5" t="s">
        <v>4576</v>
      </c>
      <c r="N345" s="5">
        <v>41</v>
      </c>
      <c r="O345" s="5"/>
      <c r="P345" s="5" t="s">
        <v>995</v>
      </c>
      <c r="Q345" s="5">
        <v>36</v>
      </c>
      <c r="R345" s="5">
        <v>24</v>
      </c>
      <c r="S345" s="5">
        <v>19</v>
      </c>
      <c r="T345" s="5">
        <v>0</v>
      </c>
      <c r="U345" s="5" t="b">
        <v>0</v>
      </c>
      <c r="V345" s="5">
        <v>20</v>
      </c>
      <c r="W345" s="5">
        <v>0.21</v>
      </c>
      <c r="X345" s="5" t="s">
        <v>9</v>
      </c>
      <c r="Y345" s="5">
        <v>9</v>
      </c>
      <c r="Z345" s="5"/>
      <c r="AA345" s="5"/>
      <c r="AB345" s="5" t="s">
        <v>354</v>
      </c>
      <c r="AC345" s="5" t="b">
        <v>0</v>
      </c>
      <c r="AD345" s="5"/>
      <c r="AE345" s="5"/>
      <c r="AF345" s="5"/>
      <c r="AG345" s="5">
        <v>51</v>
      </c>
      <c r="AH345" s="5">
        <v>51</v>
      </c>
      <c r="AI345" s="5">
        <v>92</v>
      </c>
      <c r="AJ345" s="5">
        <v>92</v>
      </c>
      <c r="AK345" s="5" t="s">
        <v>996</v>
      </c>
      <c r="AL345" s="5">
        <v>2</v>
      </c>
      <c r="AM345" s="5"/>
      <c r="AN345" s="5">
        <v>10</v>
      </c>
      <c r="AO345" s="5"/>
      <c r="AP345" s="5">
        <v>0</v>
      </c>
      <c r="AQ345" s="5"/>
      <c r="AR345" s="5">
        <v>0</v>
      </c>
      <c r="AS345" s="5"/>
      <c r="AT345" s="5" t="s">
        <v>997</v>
      </c>
      <c r="AU345" s="5" t="s">
        <v>998</v>
      </c>
      <c r="AV345" s="5" t="s">
        <v>999</v>
      </c>
      <c r="AW345" s="8" t="str">
        <f>IFERROR(VLOOKUP(AA345,'Message Lookup'!D:J,7,FALSE),"")</f>
        <v/>
      </c>
    </row>
    <row r="346" spans="1:49" x14ac:dyDescent="0.25">
      <c r="A346" s="5" t="s">
        <v>4574</v>
      </c>
      <c r="B346" s="5" t="s">
        <v>992</v>
      </c>
      <c r="C346" s="5" t="s">
        <v>4575</v>
      </c>
      <c r="D346" s="5"/>
      <c r="E346" s="5"/>
      <c r="F346" s="5"/>
      <c r="G346" s="5"/>
      <c r="H346" s="5"/>
      <c r="I346" s="5"/>
      <c r="J346" s="5"/>
      <c r="K346" s="5" t="s">
        <v>993</v>
      </c>
      <c r="L346" s="5" t="s">
        <v>994</v>
      </c>
      <c r="M346" s="5" t="s">
        <v>4576</v>
      </c>
      <c r="N346" s="5">
        <v>41</v>
      </c>
      <c r="O346" s="5"/>
      <c r="P346" s="5" t="s">
        <v>995</v>
      </c>
      <c r="Q346" s="5">
        <v>36</v>
      </c>
      <c r="R346" s="5">
        <v>24</v>
      </c>
      <c r="S346" s="5">
        <v>19</v>
      </c>
      <c r="T346" s="5">
        <v>0</v>
      </c>
      <c r="U346" s="5" t="b">
        <v>0</v>
      </c>
      <c r="V346" s="5">
        <v>20</v>
      </c>
      <c r="W346" s="5">
        <v>0.21</v>
      </c>
      <c r="X346" s="5" t="s">
        <v>9</v>
      </c>
      <c r="Y346" s="5">
        <v>9</v>
      </c>
      <c r="Z346" s="5"/>
      <c r="AA346" s="5" t="s">
        <v>280</v>
      </c>
      <c r="AB346" s="5" t="s">
        <v>355</v>
      </c>
      <c r="AC346" s="5" t="b">
        <v>0</v>
      </c>
      <c r="AD346" s="5"/>
      <c r="AE346" s="5"/>
      <c r="AF346" s="5"/>
      <c r="AG346" s="5">
        <v>51</v>
      </c>
      <c r="AH346" s="5"/>
      <c r="AI346" s="5">
        <v>92</v>
      </c>
      <c r="AJ346" s="5"/>
      <c r="AK346" s="5" t="s">
        <v>996</v>
      </c>
      <c r="AL346" s="5">
        <v>2</v>
      </c>
      <c r="AM346" s="5"/>
      <c r="AN346" s="5">
        <v>10</v>
      </c>
      <c r="AO346" s="5"/>
      <c r="AP346" s="5">
        <v>0</v>
      </c>
      <c r="AQ346" s="5"/>
      <c r="AR346" s="5">
        <v>0</v>
      </c>
      <c r="AS346" s="5"/>
      <c r="AT346" s="5" t="s">
        <v>997</v>
      </c>
      <c r="AU346" s="5" t="s">
        <v>998</v>
      </c>
      <c r="AV346" s="5" t="s">
        <v>999</v>
      </c>
      <c r="AW346" s="8" t="str">
        <f>IFERROR(VLOOKUP(AA346,'Message Lookup'!D:J,7,FALSE),"")</f>
        <v>P-1 FIRE Bypassed</v>
      </c>
    </row>
    <row r="347" spans="1:49" x14ac:dyDescent="0.25">
      <c r="A347" s="5" t="s">
        <v>4574</v>
      </c>
      <c r="B347" s="5" t="s">
        <v>992</v>
      </c>
      <c r="C347" s="5" t="s">
        <v>4575</v>
      </c>
      <c r="D347" s="5"/>
      <c r="E347" s="5"/>
      <c r="F347" s="5"/>
      <c r="G347" s="5"/>
      <c r="H347" s="5"/>
      <c r="I347" s="5"/>
      <c r="J347" s="5"/>
      <c r="K347" s="5" t="s">
        <v>993</v>
      </c>
      <c r="L347" s="5" t="s">
        <v>994</v>
      </c>
      <c r="M347" s="5" t="s">
        <v>4576</v>
      </c>
      <c r="N347" s="5">
        <v>41</v>
      </c>
      <c r="O347" s="5"/>
      <c r="P347" s="5" t="s">
        <v>995</v>
      </c>
      <c r="Q347" s="5">
        <v>36</v>
      </c>
      <c r="R347" s="5">
        <v>24</v>
      </c>
      <c r="S347" s="5">
        <v>19</v>
      </c>
      <c r="T347" s="5">
        <v>0</v>
      </c>
      <c r="U347" s="5" t="b">
        <v>0</v>
      </c>
      <c r="V347" s="5">
        <v>20</v>
      </c>
      <c r="W347" s="5">
        <v>0.21</v>
      </c>
      <c r="X347" s="5" t="s">
        <v>9</v>
      </c>
      <c r="Y347" s="5">
        <v>9</v>
      </c>
      <c r="Z347" s="5"/>
      <c r="AA347" s="5" t="s">
        <v>281</v>
      </c>
      <c r="AB347" s="5" t="s">
        <v>356</v>
      </c>
      <c r="AC347" s="5" t="b">
        <v>0</v>
      </c>
      <c r="AD347" s="5"/>
      <c r="AE347" s="5"/>
      <c r="AF347" s="5"/>
      <c r="AG347" s="5">
        <v>51</v>
      </c>
      <c r="AH347" s="5"/>
      <c r="AI347" s="5">
        <v>92</v>
      </c>
      <c r="AJ347" s="5"/>
      <c r="AK347" s="5" t="s">
        <v>996</v>
      </c>
      <c r="AL347" s="5">
        <v>2</v>
      </c>
      <c r="AM347" s="5"/>
      <c r="AN347" s="5">
        <v>10</v>
      </c>
      <c r="AO347" s="5"/>
      <c r="AP347" s="5">
        <v>0</v>
      </c>
      <c r="AQ347" s="5"/>
      <c r="AR347" s="5">
        <v>0</v>
      </c>
      <c r="AS347" s="5"/>
      <c r="AT347" s="5" t="s">
        <v>997</v>
      </c>
      <c r="AU347" s="5" t="s">
        <v>998</v>
      </c>
      <c r="AV347" s="5" t="s">
        <v>999</v>
      </c>
      <c r="AW347" s="8" t="str">
        <f>IFERROR(VLOOKUP(AA347,'Message Lookup'!D:J,7,FALSE),"")</f>
        <v>P-2 FIRE Bypassed</v>
      </c>
    </row>
    <row r="348" spans="1:49" x14ac:dyDescent="0.25">
      <c r="A348" s="5" t="s">
        <v>4574</v>
      </c>
      <c r="B348" s="5" t="s">
        <v>992</v>
      </c>
      <c r="C348" s="5" t="s">
        <v>4575</v>
      </c>
      <c r="D348" s="5"/>
      <c r="E348" s="5"/>
      <c r="F348" s="5"/>
      <c r="G348" s="5"/>
      <c r="H348" s="5"/>
      <c r="I348" s="5"/>
      <c r="J348" s="5"/>
      <c r="K348" s="5" t="s">
        <v>993</v>
      </c>
      <c r="L348" s="5" t="s">
        <v>994</v>
      </c>
      <c r="M348" s="5" t="s">
        <v>4576</v>
      </c>
      <c r="N348" s="5">
        <v>41</v>
      </c>
      <c r="O348" s="5"/>
      <c r="P348" s="5" t="s">
        <v>995</v>
      </c>
      <c r="Q348" s="5">
        <v>36</v>
      </c>
      <c r="R348" s="5">
        <v>24</v>
      </c>
      <c r="S348" s="5">
        <v>19</v>
      </c>
      <c r="T348" s="5">
        <v>0</v>
      </c>
      <c r="U348" s="5" t="b">
        <v>0</v>
      </c>
      <c r="V348" s="5">
        <v>20</v>
      </c>
      <c r="W348" s="5">
        <v>0.21</v>
      </c>
      <c r="X348" s="5" t="s">
        <v>9</v>
      </c>
      <c r="Y348" s="5">
        <v>9</v>
      </c>
      <c r="Z348" s="5"/>
      <c r="AA348" s="5" t="s">
        <v>282</v>
      </c>
      <c r="AB348" s="5" t="s">
        <v>357</v>
      </c>
      <c r="AC348" s="5" t="b">
        <v>0</v>
      </c>
      <c r="AD348" s="5"/>
      <c r="AE348" s="5"/>
      <c r="AF348" s="5"/>
      <c r="AG348" s="5">
        <v>51</v>
      </c>
      <c r="AH348" s="5"/>
      <c r="AI348" s="5">
        <v>92</v>
      </c>
      <c r="AJ348" s="5"/>
      <c r="AK348" s="5" t="s">
        <v>996</v>
      </c>
      <c r="AL348" s="5">
        <v>2</v>
      </c>
      <c r="AM348" s="5"/>
      <c r="AN348" s="5">
        <v>10</v>
      </c>
      <c r="AO348" s="5"/>
      <c r="AP348" s="5">
        <v>0</v>
      </c>
      <c r="AQ348" s="5"/>
      <c r="AR348" s="5">
        <v>0</v>
      </c>
      <c r="AS348" s="5"/>
      <c r="AT348" s="5" t="s">
        <v>997</v>
      </c>
      <c r="AU348" s="5" t="s">
        <v>998</v>
      </c>
      <c r="AV348" s="5" t="s">
        <v>999</v>
      </c>
      <c r="AW348" s="8" t="str">
        <f>IFERROR(VLOOKUP(AA348,'Message Lookup'!D:J,7,FALSE),"")</f>
        <v>P-3 FIRE Bypassed</v>
      </c>
    </row>
    <row r="349" spans="1:49" x14ac:dyDescent="0.25">
      <c r="A349" s="5" t="s">
        <v>4574</v>
      </c>
      <c r="B349" s="5" t="s">
        <v>992</v>
      </c>
      <c r="C349" s="5" t="s">
        <v>4575</v>
      </c>
      <c r="D349" s="5"/>
      <c r="E349" s="5"/>
      <c r="F349" s="5"/>
      <c r="G349" s="5"/>
      <c r="H349" s="5"/>
      <c r="I349" s="5"/>
      <c r="J349" s="5"/>
      <c r="K349" s="5" t="s">
        <v>993</v>
      </c>
      <c r="L349" s="5" t="s">
        <v>994</v>
      </c>
      <c r="M349" s="5" t="s">
        <v>4576</v>
      </c>
      <c r="N349" s="5">
        <v>41</v>
      </c>
      <c r="O349" s="5"/>
      <c r="P349" s="5" t="s">
        <v>995</v>
      </c>
      <c r="Q349" s="5">
        <v>36</v>
      </c>
      <c r="R349" s="5">
        <v>24</v>
      </c>
      <c r="S349" s="5">
        <v>19</v>
      </c>
      <c r="T349" s="5">
        <v>0</v>
      </c>
      <c r="U349" s="5" t="b">
        <v>0</v>
      </c>
      <c r="V349" s="5">
        <v>20</v>
      </c>
      <c r="W349" s="5">
        <v>0.21</v>
      </c>
      <c r="X349" s="5" t="s">
        <v>9</v>
      </c>
      <c r="Y349" s="5">
        <v>9</v>
      </c>
      <c r="Z349" s="5"/>
      <c r="AA349" s="5" t="s">
        <v>283</v>
      </c>
      <c r="AB349" s="5" t="s">
        <v>358</v>
      </c>
      <c r="AC349" s="5" t="b">
        <v>0</v>
      </c>
      <c r="AD349" s="5"/>
      <c r="AE349" s="5"/>
      <c r="AF349" s="5"/>
      <c r="AG349" s="5">
        <v>51</v>
      </c>
      <c r="AH349" s="5"/>
      <c r="AI349" s="5">
        <v>92</v>
      </c>
      <c r="AJ349" s="5"/>
      <c r="AK349" s="5" t="s">
        <v>996</v>
      </c>
      <c r="AL349" s="5">
        <v>2</v>
      </c>
      <c r="AM349" s="5"/>
      <c r="AN349" s="5">
        <v>10</v>
      </c>
      <c r="AO349" s="5"/>
      <c r="AP349" s="5">
        <v>0</v>
      </c>
      <c r="AQ349" s="5"/>
      <c r="AR349" s="5">
        <v>0</v>
      </c>
      <c r="AS349" s="5"/>
      <c r="AT349" s="5" t="s">
        <v>997</v>
      </c>
      <c r="AU349" s="5" t="s">
        <v>998</v>
      </c>
      <c r="AV349" s="5" t="s">
        <v>999</v>
      </c>
      <c r="AW349" s="8" t="str">
        <f>IFERROR(VLOOKUP(AA349,'Message Lookup'!D:J,7,FALSE),"")</f>
        <v>P-4 FIRE Bypassed</v>
      </c>
    </row>
    <row r="350" spans="1:49" x14ac:dyDescent="0.25">
      <c r="A350" s="5" t="s">
        <v>4574</v>
      </c>
      <c r="B350" s="5" t="s">
        <v>992</v>
      </c>
      <c r="C350" s="5" t="s">
        <v>4575</v>
      </c>
      <c r="D350" s="5"/>
      <c r="E350" s="5"/>
      <c r="F350" s="5"/>
      <c r="G350" s="5"/>
      <c r="H350" s="5"/>
      <c r="I350" s="5"/>
      <c r="J350" s="5"/>
      <c r="K350" s="5" t="s">
        <v>993</v>
      </c>
      <c r="L350" s="5" t="s">
        <v>994</v>
      </c>
      <c r="M350" s="5" t="s">
        <v>4576</v>
      </c>
      <c r="N350" s="5">
        <v>41</v>
      </c>
      <c r="O350" s="5"/>
      <c r="P350" s="5" t="s">
        <v>995</v>
      </c>
      <c r="Q350" s="5">
        <v>36</v>
      </c>
      <c r="R350" s="5">
        <v>24</v>
      </c>
      <c r="S350" s="5">
        <v>19</v>
      </c>
      <c r="T350" s="5">
        <v>0</v>
      </c>
      <c r="U350" s="5" t="b">
        <v>0</v>
      </c>
      <c r="V350" s="5">
        <v>20</v>
      </c>
      <c r="W350" s="5">
        <v>0.21</v>
      </c>
      <c r="X350" s="5" t="s">
        <v>9</v>
      </c>
      <c r="Y350" s="5">
        <v>9</v>
      </c>
      <c r="Z350" s="5"/>
      <c r="AA350" s="5" t="s">
        <v>284</v>
      </c>
      <c r="AB350" s="5" t="s">
        <v>359</v>
      </c>
      <c r="AC350" s="5" t="b">
        <v>0</v>
      </c>
      <c r="AD350" s="5"/>
      <c r="AE350" s="5"/>
      <c r="AF350" s="5"/>
      <c r="AG350" s="5">
        <v>51</v>
      </c>
      <c r="AH350" s="5"/>
      <c r="AI350" s="5">
        <v>92</v>
      </c>
      <c r="AJ350" s="5"/>
      <c r="AK350" s="5" t="s">
        <v>996</v>
      </c>
      <c r="AL350" s="5">
        <v>2</v>
      </c>
      <c r="AM350" s="5"/>
      <c r="AN350" s="5">
        <v>10</v>
      </c>
      <c r="AO350" s="5"/>
      <c r="AP350" s="5">
        <v>0</v>
      </c>
      <c r="AQ350" s="5"/>
      <c r="AR350" s="5">
        <v>0</v>
      </c>
      <c r="AS350" s="5"/>
      <c r="AT350" s="5" t="s">
        <v>997</v>
      </c>
      <c r="AU350" s="5" t="s">
        <v>998</v>
      </c>
      <c r="AV350" s="5" t="s">
        <v>999</v>
      </c>
      <c r="AW350" s="8" t="str">
        <f>IFERROR(VLOOKUP(AA350,'Message Lookup'!D:J,7,FALSE),"")</f>
        <v>BSW-200 MSO Stytem Water Cut Meter Bypassed</v>
      </c>
    </row>
    <row r="351" spans="1:49" x14ac:dyDescent="0.25">
      <c r="A351" s="5" t="s">
        <v>4574</v>
      </c>
      <c r="B351" s="5" t="s">
        <v>992</v>
      </c>
      <c r="C351" s="5" t="s">
        <v>4575</v>
      </c>
      <c r="D351" s="5"/>
      <c r="E351" s="5"/>
      <c r="F351" s="5"/>
      <c r="G351" s="5"/>
      <c r="H351" s="5"/>
      <c r="I351" s="5"/>
      <c r="J351" s="5"/>
      <c r="K351" s="5" t="s">
        <v>993</v>
      </c>
      <c r="L351" s="5" t="s">
        <v>994</v>
      </c>
      <c r="M351" s="5" t="s">
        <v>4576</v>
      </c>
      <c r="N351" s="5">
        <v>41</v>
      </c>
      <c r="O351" s="5"/>
      <c r="P351" s="5" t="s">
        <v>995</v>
      </c>
      <c r="Q351" s="5">
        <v>36</v>
      </c>
      <c r="R351" s="5">
        <v>24</v>
      </c>
      <c r="S351" s="5">
        <v>19</v>
      </c>
      <c r="T351" s="5">
        <v>0</v>
      </c>
      <c r="U351" s="5" t="b">
        <v>0</v>
      </c>
      <c r="V351" s="5">
        <v>20</v>
      </c>
      <c r="W351" s="5">
        <v>0.21</v>
      </c>
      <c r="X351" s="5" t="s">
        <v>9</v>
      </c>
      <c r="Y351" s="5">
        <v>9</v>
      </c>
      <c r="Z351" s="5"/>
      <c r="AA351" s="5" t="s">
        <v>285</v>
      </c>
      <c r="AB351" s="5" t="s">
        <v>360</v>
      </c>
      <c r="AC351" s="5" t="b">
        <v>0</v>
      </c>
      <c r="AD351" s="5"/>
      <c r="AE351" s="5"/>
      <c r="AF351" s="5"/>
      <c r="AG351" s="5">
        <v>51</v>
      </c>
      <c r="AH351" s="5"/>
      <c r="AI351" s="5">
        <v>92</v>
      </c>
      <c r="AJ351" s="5"/>
      <c r="AK351" s="5" t="s">
        <v>996</v>
      </c>
      <c r="AL351" s="5">
        <v>2</v>
      </c>
      <c r="AM351" s="5"/>
      <c r="AN351" s="5">
        <v>10</v>
      </c>
      <c r="AO351" s="5"/>
      <c r="AP351" s="5">
        <v>0</v>
      </c>
      <c r="AQ351" s="5"/>
      <c r="AR351" s="5">
        <v>0</v>
      </c>
      <c r="AS351" s="5"/>
      <c r="AT351" s="5" t="s">
        <v>997</v>
      </c>
      <c r="AU351" s="5" t="s">
        <v>998</v>
      </c>
      <c r="AV351" s="5" t="s">
        <v>999</v>
      </c>
      <c r="AW351" s="8" t="str">
        <f>IFERROR(VLOOKUP(AA351,'Message Lookup'!D:J,7,FALSE),"")</f>
        <v>BSW-300 MSO Stytem Water Cut Meter Bypassed</v>
      </c>
    </row>
    <row r="352" spans="1:49" x14ac:dyDescent="0.25">
      <c r="A352" s="5" t="s">
        <v>4574</v>
      </c>
      <c r="B352" s="5" t="s">
        <v>992</v>
      </c>
      <c r="C352" s="5" t="s">
        <v>4575</v>
      </c>
      <c r="D352" s="5"/>
      <c r="E352" s="5"/>
      <c r="F352" s="5"/>
      <c r="G352" s="5"/>
      <c r="H352" s="5"/>
      <c r="I352" s="5"/>
      <c r="J352" s="5"/>
      <c r="K352" s="5" t="s">
        <v>993</v>
      </c>
      <c r="L352" s="5" t="s">
        <v>994</v>
      </c>
      <c r="M352" s="5" t="s">
        <v>4576</v>
      </c>
      <c r="N352" s="5">
        <v>41</v>
      </c>
      <c r="O352" s="5"/>
      <c r="P352" s="5" t="s">
        <v>995</v>
      </c>
      <c r="Q352" s="5">
        <v>36</v>
      </c>
      <c r="R352" s="5">
        <v>24</v>
      </c>
      <c r="S352" s="5">
        <v>19</v>
      </c>
      <c r="T352" s="5">
        <v>0</v>
      </c>
      <c r="U352" s="5" t="b">
        <v>0</v>
      </c>
      <c r="V352" s="5">
        <v>20</v>
      </c>
      <c r="W352" s="5">
        <v>0.21</v>
      </c>
      <c r="X352" s="5" t="s">
        <v>9</v>
      </c>
      <c r="Y352" s="5">
        <v>9</v>
      </c>
      <c r="Z352" s="5"/>
      <c r="AA352" s="5" t="s">
        <v>286</v>
      </c>
      <c r="AB352" s="5" t="s">
        <v>361</v>
      </c>
      <c r="AC352" s="5" t="b">
        <v>0</v>
      </c>
      <c r="AD352" s="5"/>
      <c r="AE352" s="5"/>
      <c r="AF352" s="5"/>
      <c r="AG352" s="5">
        <v>51</v>
      </c>
      <c r="AH352" s="5"/>
      <c r="AI352" s="5">
        <v>92</v>
      </c>
      <c r="AJ352" s="5"/>
      <c r="AK352" s="5" t="s">
        <v>996</v>
      </c>
      <c r="AL352" s="5">
        <v>2</v>
      </c>
      <c r="AM352" s="5"/>
      <c r="AN352" s="5">
        <v>10</v>
      </c>
      <c r="AO352" s="5"/>
      <c r="AP352" s="5">
        <v>0</v>
      </c>
      <c r="AQ352" s="5"/>
      <c r="AR352" s="5">
        <v>0</v>
      </c>
      <c r="AS352" s="5"/>
      <c r="AT352" s="5" t="s">
        <v>997</v>
      </c>
      <c r="AU352" s="5" t="s">
        <v>998</v>
      </c>
      <c r="AV352" s="5" t="s">
        <v>999</v>
      </c>
      <c r="AW352" s="8" t="str">
        <f>IFERROR(VLOOKUP(AA352,'Message Lookup'!D:J,7,FALSE),"")</f>
        <v>DQ-100 Corrected Density MSO Meter 100 Bypassed</v>
      </c>
    </row>
    <row r="353" spans="1:49" x14ac:dyDescent="0.25">
      <c r="A353" s="5" t="s">
        <v>4574</v>
      </c>
      <c r="B353" s="5" t="s">
        <v>992</v>
      </c>
      <c r="C353" s="5" t="s">
        <v>4575</v>
      </c>
      <c r="D353" s="5"/>
      <c r="E353" s="5"/>
      <c r="F353" s="5"/>
      <c r="G353" s="5"/>
      <c r="H353" s="5"/>
      <c r="I353" s="5"/>
      <c r="J353" s="5"/>
      <c r="K353" s="5" t="s">
        <v>993</v>
      </c>
      <c r="L353" s="5" t="s">
        <v>994</v>
      </c>
      <c r="M353" s="5" t="s">
        <v>4576</v>
      </c>
      <c r="N353" s="5">
        <v>41</v>
      </c>
      <c r="O353" s="5"/>
      <c r="P353" s="5" t="s">
        <v>995</v>
      </c>
      <c r="Q353" s="5">
        <v>36</v>
      </c>
      <c r="R353" s="5">
        <v>24</v>
      </c>
      <c r="S353" s="5">
        <v>19</v>
      </c>
      <c r="T353" s="5">
        <v>0</v>
      </c>
      <c r="U353" s="5" t="b">
        <v>0</v>
      </c>
      <c r="V353" s="5">
        <v>20</v>
      </c>
      <c r="W353" s="5">
        <v>0.21</v>
      </c>
      <c r="X353" s="5" t="s">
        <v>9</v>
      </c>
      <c r="Y353" s="5">
        <v>9</v>
      </c>
      <c r="Z353" s="5"/>
      <c r="AA353" s="5" t="s">
        <v>287</v>
      </c>
      <c r="AB353" s="5" t="s">
        <v>362</v>
      </c>
      <c r="AC353" s="5" t="b">
        <v>0</v>
      </c>
      <c r="AD353" s="5"/>
      <c r="AE353" s="5"/>
      <c r="AF353" s="5"/>
      <c r="AG353" s="5">
        <v>51</v>
      </c>
      <c r="AH353" s="5"/>
      <c r="AI353" s="5">
        <v>92</v>
      </c>
      <c r="AJ353" s="5"/>
      <c r="AK353" s="5" t="s">
        <v>996</v>
      </c>
      <c r="AL353" s="5">
        <v>2</v>
      </c>
      <c r="AM353" s="5"/>
      <c r="AN353" s="5">
        <v>10</v>
      </c>
      <c r="AO353" s="5"/>
      <c r="AP353" s="5">
        <v>0</v>
      </c>
      <c r="AQ353" s="5"/>
      <c r="AR353" s="5">
        <v>0</v>
      </c>
      <c r="AS353" s="5"/>
      <c r="AT353" s="5" t="s">
        <v>997</v>
      </c>
      <c r="AU353" s="5" t="s">
        <v>998</v>
      </c>
      <c r="AV353" s="5" t="s">
        <v>999</v>
      </c>
      <c r="AW353" s="8" t="str">
        <f>IFERROR(VLOOKUP(AA353,'Message Lookup'!D:J,7,FALSE),"")</f>
        <v>DQ-200 Corrected Density MSO Meter 200 Bypassed</v>
      </c>
    </row>
    <row r="354" spans="1:49" x14ac:dyDescent="0.25">
      <c r="A354" s="5" t="s">
        <v>4574</v>
      </c>
      <c r="B354" s="5" t="s">
        <v>992</v>
      </c>
      <c r="C354" s="5" t="s">
        <v>4575</v>
      </c>
      <c r="D354" s="5"/>
      <c r="E354" s="5"/>
      <c r="F354" s="5"/>
      <c r="G354" s="5"/>
      <c r="H354" s="5"/>
      <c r="I354" s="5"/>
      <c r="J354" s="5"/>
      <c r="K354" s="5" t="s">
        <v>993</v>
      </c>
      <c r="L354" s="5" t="s">
        <v>994</v>
      </c>
      <c r="M354" s="5" t="s">
        <v>4576</v>
      </c>
      <c r="N354" s="5">
        <v>41</v>
      </c>
      <c r="O354" s="5"/>
      <c r="P354" s="5" t="s">
        <v>995</v>
      </c>
      <c r="Q354" s="5">
        <v>36</v>
      </c>
      <c r="R354" s="5">
        <v>24</v>
      </c>
      <c r="S354" s="5">
        <v>19</v>
      </c>
      <c r="T354" s="5">
        <v>0</v>
      </c>
      <c r="U354" s="5" t="b">
        <v>0</v>
      </c>
      <c r="V354" s="5">
        <v>20</v>
      </c>
      <c r="W354" s="5">
        <v>0.21</v>
      </c>
      <c r="X354" s="5" t="s">
        <v>9</v>
      </c>
      <c r="Y354" s="5">
        <v>9</v>
      </c>
      <c r="Z354" s="5"/>
      <c r="AA354" s="5" t="s">
        <v>288</v>
      </c>
      <c r="AB354" s="5" t="s">
        <v>363</v>
      </c>
      <c r="AC354" s="5" t="b">
        <v>0</v>
      </c>
      <c r="AD354" s="5"/>
      <c r="AE354" s="5"/>
      <c r="AF354" s="5"/>
      <c r="AG354" s="5">
        <v>51</v>
      </c>
      <c r="AH354" s="5"/>
      <c r="AI354" s="5">
        <v>92</v>
      </c>
      <c r="AJ354" s="5"/>
      <c r="AK354" s="5" t="s">
        <v>996</v>
      </c>
      <c r="AL354" s="5">
        <v>2</v>
      </c>
      <c r="AM354" s="5"/>
      <c r="AN354" s="5">
        <v>10</v>
      </c>
      <c r="AO354" s="5"/>
      <c r="AP354" s="5">
        <v>0</v>
      </c>
      <c r="AQ354" s="5"/>
      <c r="AR354" s="5">
        <v>0</v>
      </c>
      <c r="AS354" s="5"/>
      <c r="AT354" s="5" t="s">
        <v>997</v>
      </c>
      <c r="AU354" s="5" t="s">
        <v>998</v>
      </c>
      <c r="AV354" s="5" t="s">
        <v>999</v>
      </c>
      <c r="AW354" s="8" t="str">
        <f>IFERROR(VLOOKUP(AA354,'Message Lookup'!D:J,7,FALSE),"")</f>
        <v>DQ-303 Corrected Density C3/C5 Bypassed</v>
      </c>
    </row>
    <row r="355" spans="1:49" x14ac:dyDescent="0.25">
      <c r="A355" s="5" t="s">
        <v>4574</v>
      </c>
      <c r="B355" s="5" t="s">
        <v>992</v>
      </c>
      <c r="C355" s="5" t="s">
        <v>4575</v>
      </c>
      <c r="D355" s="5"/>
      <c r="E355" s="5"/>
      <c r="F355" s="5"/>
      <c r="G355" s="5"/>
      <c r="H355" s="5"/>
      <c r="I355" s="5"/>
      <c r="J355" s="5"/>
      <c r="K355" s="5" t="s">
        <v>993</v>
      </c>
      <c r="L355" s="5" t="s">
        <v>994</v>
      </c>
      <c r="M355" s="5" t="s">
        <v>4576</v>
      </c>
      <c r="N355" s="5">
        <v>41</v>
      </c>
      <c r="O355" s="5"/>
      <c r="P355" s="5" t="s">
        <v>995</v>
      </c>
      <c r="Q355" s="5">
        <v>36</v>
      </c>
      <c r="R355" s="5">
        <v>24</v>
      </c>
      <c r="S355" s="5">
        <v>19</v>
      </c>
      <c r="T355" s="5">
        <v>0</v>
      </c>
      <c r="U355" s="5" t="b">
        <v>0</v>
      </c>
      <c r="V355" s="5">
        <v>20</v>
      </c>
      <c r="W355" s="5">
        <v>0.21</v>
      </c>
      <c r="X355" s="5" t="s">
        <v>9</v>
      </c>
      <c r="Y355" s="5">
        <v>9</v>
      </c>
      <c r="Z355" s="5"/>
      <c r="AA355" s="5" t="s">
        <v>289</v>
      </c>
      <c r="AB355" s="5" t="s">
        <v>364</v>
      </c>
      <c r="AC355" s="5" t="b">
        <v>0</v>
      </c>
      <c r="AD355" s="5"/>
      <c r="AE355" s="5"/>
      <c r="AF355" s="5"/>
      <c r="AG355" s="5">
        <v>51</v>
      </c>
      <c r="AH355" s="5"/>
      <c r="AI355" s="5">
        <v>92</v>
      </c>
      <c r="AJ355" s="5"/>
      <c r="AK355" s="5" t="s">
        <v>996</v>
      </c>
      <c r="AL355" s="5">
        <v>2</v>
      </c>
      <c r="AM355" s="5"/>
      <c r="AN355" s="5">
        <v>10</v>
      </c>
      <c r="AO355" s="5"/>
      <c r="AP355" s="5">
        <v>0</v>
      </c>
      <c r="AQ355" s="5"/>
      <c r="AR355" s="5">
        <v>0</v>
      </c>
      <c r="AS355" s="5"/>
      <c r="AT355" s="5" t="s">
        <v>997</v>
      </c>
      <c r="AU355" s="5" t="s">
        <v>998</v>
      </c>
      <c r="AV355" s="5" t="s">
        <v>999</v>
      </c>
      <c r="AW355" s="8" t="str">
        <f>IFERROR(VLOOKUP(AA355,'Message Lookup'!D:J,7,FALSE),"")</f>
        <v>FQ-100 Corrected Net Volume MSO Meter 100 Bypassed</v>
      </c>
    </row>
    <row r="356" spans="1:49" x14ac:dyDescent="0.25">
      <c r="A356" s="5" t="s">
        <v>4574</v>
      </c>
      <c r="B356" s="5" t="s">
        <v>992</v>
      </c>
      <c r="C356" s="5" t="s">
        <v>4575</v>
      </c>
      <c r="D356" s="5"/>
      <c r="E356" s="5"/>
      <c r="F356" s="5"/>
      <c r="G356" s="5"/>
      <c r="H356" s="5"/>
      <c r="I356" s="5"/>
      <c r="J356" s="5"/>
      <c r="K356" s="5" t="s">
        <v>993</v>
      </c>
      <c r="L356" s="5" t="s">
        <v>994</v>
      </c>
      <c r="M356" s="5" t="s">
        <v>4576</v>
      </c>
      <c r="N356" s="5">
        <v>41</v>
      </c>
      <c r="O356" s="5"/>
      <c r="P356" s="5" t="s">
        <v>995</v>
      </c>
      <c r="Q356" s="5">
        <v>36</v>
      </c>
      <c r="R356" s="5">
        <v>24</v>
      </c>
      <c r="S356" s="5">
        <v>19</v>
      </c>
      <c r="T356" s="5">
        <v>0</v>
      </c>
      <c r="U356" s="5" t="b">
        <v>0</v>
      </c>
      <c r="V356" s="5">
        <v>20</v>
      </c>
      <c r="W356" s="5">
        <v>0.21</v>
      </c>
      <c r="X356" s="5" t="s">
        <v>9</v>
      </c>
      <c r="Y356" s="5">
        <v>9</v>
      </c>
      <c r="Z356" s="5"/>
      <c r="AA356" s="5" t="s">
        <v>290</v>
      </c>
      <c r="AB356" s="5" t="s">
        <v>365</v>
      </c>
      <c r="AC356" s="5" t="b">
        <v>0</v>
      </c>
      <c r="AD356" s="5"/>
      <c r="AE356" s="5"/>
      <c r="AF356" s="5"/>
      <c r="AG356" s="5">
        <v>51</v>
      </c>
      <c r="AH356" s="5"/>
      <c r="AI356" s="5">
        <v>92</v>
      </c>
      <c r="AJ356" s="5"/>
      <c r="AK356" s="5" t="s">
        <v>996</v>
      </c>
      <c r="AL356" s="5">
        <v>2</v>
      </c>
      <c r="AM356" s="5"/>
      <c r="AN356" s="5">
        <v>10</v>
      </c>
      <c r="AO356" s="5"/>
      <c r="AP356" s="5">
        <v>0</v>
      </c>
      <c r="AQ356" s="5"/>
      <c r="AR356" s="5">
        <v>0</v>
      </c>
      <c r="AS356" s="5"/>
      <c r="AT356" s="5" t="s">
        <v>997</v>
      </c>
      <c r="AU356" s="5" t="s">
        <v>998</v>
      </c>
      <c r="AV356" s="5" t="s">
        <v>999</v>
      </c>
      <c r="AW356" s="8" t="str">
        <f>IFERROR(VLOOKUP(AA356,'Message Lookup'!D:J,7,FALSE),"")</f>
        <v>FQ-200 Corrected Net Volume MSO Meter 200 Bypassed</v>
      </c>
    </row>
    <row r="357" spans="1:49" x14ac:dyDescent="0.25">
      <c r="A357" s="5" t="s">
        <v>4574</v>
      </c>
      <c r="B357" s="5" t="s">
        <v>992</v>
      </c>
      <c r="C357" s="5" t="s">
        <v>4575</v>
      </c>
      <c r="D357" s="5"/>
      <c r="E357" s="5"/>
      <c r="F357" s="5"/>
      <c r="G357" s="5"/>
      <c r="H357" s="5"/>
      <c r="I357" s="5"/>
      <c r="J357" s="5"/>
      <c r="K357" s="5" t="s">
        <v>993</v>
      </c>
      <c r="L357" s="5" t="s">
        <v>994</v>
      </c>
      <c r="M357" s="5" t="s">
        <v>4576</v>
      </c>
      <c r="N357" s="5">
        <v>41</v>
      </c>
      <c r="O357" s="5"/>
      <c r="P357" s="5" t="s">
        <v>995</v>
      </c>
      <c r="Q357" s="5">
        <v>36</v>
      </c>
      <c r="R357" s="5">
        <v>24</v>
      </c>
      <c r="S357" s="5">
        <v>19</v>
      </c>
      <c r="T357" s="5">
        <v>0</v>
      </c>
      <c r="U357" s="5" t="b">
        <v>0</v>
      </c>
      <c r="V357" s="5">
        <v>20</v>
      </c>
      <c r="W357" s="5">
        <v>0.21</v>
      </c>
      <c r="X357" s="5" t="s">
        <v>9</v>
      </c>
      <c r="Y357" s="5">
        <v>9</v>
      </c>
      <c r="Z357" s="5"/>
      <c r="AA357" s="5" t="s">
        <v>291</v>
      </c>
      <c r="AB357" s="5" t="s">
        <v>366</v>
      </c>
      <c r="AC357" s="5" t="b">
        <v>0</v>
      </c>
      <c r="AD357" s="5"/>
      <c r="AE357" s="5"/>
      <c r="AF357" s="5"/>
      <c r="AG357" s="5">
        <v>51</v>
      </c>
      <c r="AH357" s="5"/>
      <c r="AI357" s="5">
        <v>92</v>
      </c>
      <c r="AJ357" s="5"/>
      <c r="AK357" s="5" t="s">
        <v>996</v>
      </c>
      <c r="AL357" s="5">
        <v>2</v>
      </c>
      <c r="AM357" s="5"/>
      <c r="AN357" s="5">
        <v>10</v>
      </c>
      <c r="AO357" s="5"/>
      <c r="AP357" s="5">
        <v>0</v>
      </c>
      <c r="AQ357" s="5"/>
      <c r="AR357" s="5">
        <v>0</v>
      </c>
      <c r="AS357" s="5"/>
      <c r="AT357" s="5" t="s">
        <v>997</v>
      </c>
      <c r="AU357" s="5" t="s">
        <v>998</v>
      </c>
      <c r="AV357" s="5" t="s">
        <v>999</v>
      </c>
      <c r="AW357" s="8" t="str">
        <f>IFERROR(VLOOKUP(AA357,'Message Lookup'!D:J,7,FALSE),"")</f>
        <v>FQ-303 Corrected Net Volume C3/C5 Bypassed</v>
      </c>
    </row>
    <row r="358" spans="1:49" x14ac:dyDescent="0.25">
      <c r="A358" s="5" t="s">
        <v>4574</v>
      </c>
      <c r="B358" s="5" t="s">
        <v>992</v>
      </c>
      <c r="C358" s="5" t="s">
        <v>4575</v>
      </c>
      <c r="D358" s="5"/>
      <c r="E358" s="5"/>
      <c r="F358" s="5"/>
      <c r="G358" s="5"/>
      <c r="H358" s="5"/>
      <c r="I358" s="5"/>
      <c r="J358" s="5"/>
      <c r="K358" s="5" t="s">
        <v>993</v>
      </c>
      <c r="L358" s="5" t="s">
        <v>994</v>
      </c>
      <c r="M358" s="5" t="s">
        <v>4576</v>
      </c>
      <c r="N358" s="5">
        <v>41</v>
      </c>
      <c r="O358" s="5"/>
      <c r="P358" s="5" t="s">
        <v>995</v>
      </c>
      <c r="Q358" s="5">
        <v>36</v>
      </c>
      <c r="R358" s="5">
        <v>24</v>
      </c>
      <c r="S358" s="5">
        <v>19</v>
      </c>
      <c r="T358" s="5">
        <v>0</v>
      </c>
      <c r="U358" s="5" t="b">
        <v>0</v>
      </c>
      <c r="V358" s="5">
        <v>20</v>
      </c>
      <c r="W358" s="5">
        <v>0.21</v>
      </c>
      <c r="X358" s="5" t="s">
        <v>9</v>
      </c>
      <c r="Y358" s="5">
        <v>9</v>
      </c>
      <c r="Z358" s="5"/>
      <c r="AA358" s="5" t="s">
        <v>292</v>
      </c>
      <c r="AB358" s="5" t="s">
        <v>367</v>
      </c>
      <c r="AC358" s="5" t="b">
        <v>0</v>
      </c>
      <c r="AD358" s="5"/>
      <c r="AE358" s="5"/>
      <c r="AF358" s="5"/>
      <c r="AG358" s="5">
        <v>51</v>
      </c>
      <c r="AH358" s="5"/>
      <c r="AI358" s="5">
        <v>92</v>
      </c>
      <c r="AJ358" s="5"/>
      <c r="AK358" s="5" t="s">
        <v>996</v>
      </c>
      <c r="AL358" s="5">
        <v>2</v>
      </c>
      <c r="AM358" s="5"/>
      <c r="AN358" s="5">
        <v>10</v>
      </c>
      <c r="AO358" s="5"/>
      <c r="AP358" s="5">
        <v>0</v>
      </c>
      <c r="AQ358" s="5"/>
      <c r="AR358" s="5">
        <v>0</v>
      </c>
      <c r="AS358" s="5"/>
      <c r="AT358" s="5" t="s">
        <v>997</v>
      </c>
      <c r="AU358" s="5" t="s">
        <v>998</v>
      </c>
      <c r="AV358" s="5" t="s">
        <v>999</v>
      </c>
      <c r="AW358" s="8" t="str">
        <f>IFERROR(VLOOKUP(AA358,'Message Lookup'!D:J,7,FALSE),"")</f>
        <v>P-1 H2S Monitor Bypassed</v>
      </c>
    </row>
    <row r="359" spans="1:49" x14ac:dyDescent="0.25">
      <c r="A359" s="5" t="s">
        <v>4574</v>
      </c>
      <c r="B359" s="5" t="s">
        <v>992</v>
      </c>
      <c r="C359" s="5" t="s">
        <v>4575</v>
      </c>
      <c r="D359" s="5"/>
      <c r="E359" s="5"/>
      <c r="F359" s="5"/>
      <c r="G359" s="5"/>
      <c r="H359" s="5"/>
      <c r="I359" s="5"/>
      <c r="J359" s="5"/>
      <c r="K359" s="5" t="s">
        <v>993</v>
      </c>
      <c r="L359" s="5" t="s">
        <v>994</v>
      </c>
      <c r="M359" s="5" t="s">
        <v>4576</v>
      </c>
      <c r="N359" s="5">
        <v>41</v>
      </c>
      <c r="O359" s="5"/>
      <c r="P359" s="5" t="s">
        <v>995</v>
      </c>
      <c r="Q359" s="5">
        <v>36</v>
      </c>
      <c r="R359" s="5">
        <v>24</v>
      </c>
      <c r="S359" s="5">
        <v>19</v>
      </c>
      <c r="T359" s="5">
        <v>0</v>
      </c>
      <c r="U359" s="5" t="b">
        <v>0</v>
      </c>
      <c r="V359" s="5">
        <v>20</v>
      </c>
      <c r="W359" s="5">
        <v>0.21</v>
      </c>
      <c r="X359" s="5" t="s">
        <v>9</v>
      </c>
      <c r="Y359" s="5">
        <v>9</v>
      </c>
      <c r="Z359" s="5"/>
      <c r="AA359" s="5" t="s">
        <v>293</v>
      </c>
      <c r="AB359" s="5" t="s">
        <v>368</v>
      </c>
      <c r="AC359" s="5" t="b">
        <v>0</v>
      </c>
      <c r="AD359" s="5"/>
      <c r="AE359" s="5"/>
      <c r="AF359" s="5"/>
      <c r="AG359" s="5">
        <v>51</v>
      </c>
      <c r="AH359" s="5"/>
      <c r="AI359" s="5">
        <v>92</v>
      </c>
      <c r="AJ359" s="5"/>
      <c r="AK359" s="5" t="s">
        <v>996</v>
      </c>
      <c r="AL359" s="5">
        <v>2</v>
      </c>
      <c r="AM359" s="5"/>
      <c r="AN359" s="5">
        <v>10</v>
      </c>
      <c r="AO359" s="5"/>
      <c r="AP359" s="5">
        <v>0</v>
      </c>
      <c r="AQ359" s="5"/>
      <c r="AR359" s="5">
        <v>0</v>
      </c>
      <c r="AS359" s="5"/>
      <c r="AT359" s="5" t="s">
        <v>997</v>
      </c>
      <c r="AU359" s="5" t="s">
        <v>998</v>
      </c>
      <c r="AV359" s="5" t="s">
        <v>999</v>
      </c>
      <c r="AW359" s="8" t="str">
        <f>IFERROR(VLOOKUP(AA359,'Message Lookup'!D:J,7,FALSE),"")</f>
        <v>Sump Tank H2S Monitor Bypassed</v>
      </c>
    </row>
    <row r="360" spans="1:49" x14ac:dyDescent="0.25">
      <c r="A360" s="5" t="s">
        <v>4574</v>
      </c>
      <c r="B360" s="5" t="s">
        <v>992</v>
      </c>
      <c r="C360" s="5" t="s">
        <v>4575</v>
      </c>
      <c r="D360" s="5"/>
      <c r="E360" s="5"/>
      <c r="F360" s="5"/>
      <c r="G360" s="5"/>
      <c r="H360" s="5"/>
      <c r="I360" s="5"/>
      <c r="J360" s="5"/>
      <c r="K360" s="5" t="s">
        <v>993</v>
      </c>
      <c r="L360" s="5" t="s">
        <v>994</v>
      </c>
      <c r="M360" s="5" t="s">
        <v>4576</v>
      </c>
      <c r="N360" s="5">
        <v>41</v>
      </c>
      <c r="O360" s="5"/>
      <c r="P360" s="5" t="s">
        <v>995</v>
      </c>
      <c r="Q360" s="5">
        <v>36</v>
      </c>
      <c r="R360" s="5">
        <v>24</v>
      </c>
      <c r="S360" s="5">
        <v>19</v>
      </c>
      <c r="T360" s="5">
        <v>0</v>
      </c>
      <c r="U360" s="5" t="b">
        <v>0</v>
      </c>
      <c r="V360" s="5">
        <v>20</v>
      </c>
      <c r="W360" s="5">
        <v>0.21</v>
      </c>
      <c r="X360" s="5" t="s">
        <v>9</v>
      </c>
      <c r="Y360" s="5">
        <v>9</v>
      </c>
      <c r="Z360" s="5"/>
      <c r="AA360" s="5" t="s">
        <v>294</v>
      </c>
      <c r="AB360" s="5" t="s">
        <v>369</v>
      </c>
      <c r="AC360" s="5" t="b">
        <v>0</v>
      </c>
      <c r="AD360" s="5"/>
      <c r="AE360" s="5"/>
      <c r="AF360" s="5"/>
      <c r="AG360" s="5">
        <v>51</v>
      </c>
      <c r="AH360" s="5"/>
      <c r="AI360" s="5">
        <v>92</v>
      </c>
      <c r="AJ360" s="5"/>
      <c r="AK360" s="5" t="s">
        <v>996</v>
      </c>
      <c r="AL360" s="5">
        <v>2</v>
      </c>
      <c r="AM360" s="5"/>
      <c r="AN360" s="5">
        <v>10</v>
      </c>
      <c r="AO360" s="5"/>
      <c r="AP360" s="5">
        <v>0</v>
      </c>
      <c r="AQ360" s="5"/>
      <c r="AR360" s="5">
        <v>0</v>
      </c>
      <c r="AS360" s="5"/>
      <c r="AT360" s="5" t="s">
        <v>997</v>
      </c>
      <c r="AU360" s="5" t="s">
        <v>998</v>
      </c>
      <c r="AV360" s="5" t="s">
        <v>999</v>
      </c>
      <c r="AW360" s="8" t="str">
        <f>IFERROR(VLOOKUP(AA360,'Message Lookup'!D:J,7,FALSE),"")</f>
        <v>P-2 H2S Monitor Bypassed</v>
      </c>
    </row>
    <row r="361" spans="1:49" x14ac:dyDescent="0.25">
      <c r="A361" s="5" t="s">
        <v>4574</v>
      </c>
      <c r="B361" s="5" t="s">
        <v>992</v>
      </c>
      <c r="C361" s="5" t="s">
        <v>4575</v>
      </c>
      <c r="D361" s="5"/>
      <c r="E361" s="5"/>
      <c r="F361" s="5"/>
      <c r="G361" s="5"/>
      <c r="H361" s="5"/>
      <c r="I361" s="5"/>
      <c r="J361" s="5"/>
      <c r="K361" s="5" t="s">
        <v>993</v>
      </c>
      <c r="L361" s="5" t="s">
        <v>994</v>
      </c>
      <c r="M361" s="5" t="s">
        <v>4576</v>
      </c>
      <c r="N361" s="5">
        <v>41</v>
      </c>
      <c r="O361" s="5"/>
      <c r="P361" s="5" t="s">
        <v>995</v>
      </c>
      <c r="Q361" s="5">
        <v>36</v>
      </c>
      <c r="R361" s="5">
        <v>24</v>
      </c>
      <c r="S361" s="5">
        <v>19</v>
      </c>
      <c r="T361" s="5">
        <v>0</v>
      </c>
      <c r="U361" s="5" t="b">
        <v>0</v>
      </c>
      <c r="V361" s="5">
        <v>20</v>
      </c>
      <c r="W361" s="5">
        <v>0.21</v>
      </c>
      <c r="X361" s="5" t="s">
        <v>9</v>
      </c>
      <c r="Y361" s="5">
        <v>9</v>
      </c>
      <c r="Z361" s="5"/>
      <c r="AA361" s="5" t="s">
        <v>295</v>
      </c>
      <c r="AB361" s="5" t="s">
        <v>370</v>
      </c>
      <c r="AC361" s="5" t="b">
        <v>0</v>
      </c>
      <c r="AD361" s="5"/>
      <c r="AE361" s="5"/>
      <c r="AF361" s="5"/>
      <c r="AG361" s="5">
        <v>51</v>
      </c>
      <c r="AH361" s="5"/>
      <c r="AI361" s="5">
        <v>92</v>
      </c>
      <c r="AJ361" s="5"/>
      <c r="AK361" s="5" t="s">
        <v>996</v>
      </c>
      <c r="AL361" s="5">
        <v>2</v>
      </c>
      <c r="AM361" s="5"/>
      <c r="AN361" s="5">
        <v>10</v>
      </c>
      <c r="AO361" s="5"/>
      <c r="AP361" s="5">
        <v>0</v>
      </c>
      <c r="AQ361" s="5"/>
      <c r="AR361" s="5">
        <v>0</v>
      </c>
      <c r="AS361" s="5"/>
      <c r="AT361" s="5" t="s">
        <v>997</v>
      </c>
      <c r="AU361" s="5" t="s">
        <v>998</v>
      </c>
      <c r="AV361" s="5" t="s">
        <v>999</v>
      </c>
      <c r="AW361" s="8" t="str">
        <f>IFERROR(VLOOKUP(AA361,'Message Lookup'!D:J,7,FALSE),"")</f>
        <v>P-1 LEL Bypassed</v>
      </c>
    </row>
    <row r="362" spans="1:49" x14ac:dyDescent="0.25">
      <c r="A362" s="5" t="s">
        <v>4574</v>
      </c>
      <c r="B362" s="5" t="s">
        <v>992</v>
      </c>
      <c r="C362" s="5" t="s">
        <v>4575</v>
      </c>
      <c r="D362" s="5"/>
      <c r="E362" s="5"/>
      <c r="F362" s="5"/>
      <c r="G362" s="5"/>
      <c r="H362" s="5"/>
      <c r="I362" s="5"/>
      <c r="J362" s="5"/>
      <c r="K362" s="5" t="s">
        <v>993</v>
      </c>
      <c r="L362" s="5" t="s">
        <v>994</v>
      </c>
      <c r="M362" s="5" t="s">
        <v>4576</v>
      </c>
      <c r="N362" s="5">
        <v>41</v>
      </c>
      <c r="O362" s="5"/>
      <c r="P362" s="5" t="s">
        <v>995</v>
      </c>
      <c r="Q362" s="5">
        <v>36</v>
      </c>
      <c r="R362" s="5">
        <v>24</v>
      </c>
      <c r="S362" s="5">
        <v>19</v>
      </c>
      <c r="T362" s="5">
        <v>0</v>
      </c>
      <c r="U362" s="5" t="b">
        <v>0</v>
      </c>
      <c r="V362" s="5">
        <v>20</v>
      </c>
      <c r="W362" s="5">
        <v>0.21</v>
      </c>
      <c r="X362" s="5" t="s">
        <v>9</v>
      </c>
      <c r="Y362" s="5">
        <v>9</v>
      </c>
      <c r="Z362" s="5"/>
      <c r="AA362" s="5"/>
      <c r="AB362" s="5"/>
      <c r="AC362" s="5"/>
      <c r="AD362" s="5"/>
      <c r="AE362" s="5" t="s">
        <v>1000</v>
      </c>
      <c r="AF362" s="5" t="b">
        <v>0</v>
      </c>
      <c r="AG362" s="5">
        <v>51</v>
      </c>
      <c r="AH362" s="5"/>
      <c r="AI362" s="5">
        <v>92</v>
      </c>
      <c r="AJ362" s="5"/>
      <c r="AK362" s="5" t="s">
        <v>996</v>
      </c>
      <c r="AL362" s="5">
        <v>2</v>
      </c>
      <c r="AM362" s="5"/>
      <c r="AN362" s="5">
        <v>10</v>
      </c>
      <c r="AO362" s="5"/>
      <c r="AP362" s="5">
        <v>0</v>
      </c>
      <c r="AQ362" s="5"/>
      <c r="AR362" s="5">
        <v>0</v>
      </c>
      <c r="AS362" s="5"/>
      <c r="AT362" s="5" t="s">
        <v>997</v>
      </c>
      <c r="AU362" s="5" t="s">
        <v>998</v>
      </c>
      <c r="AV362" s="5" t="s">
        <v>999</v>
      </c>
      <c r="AW362" s="8" t="str">
        <f>IFERROR(VLOOKUP(AA362,'Message Lookup'!D:J,7,FALSE),"")</f>
        <v/>
      </c>
    </row>
    <row r="363" spans="1:49" x14ac:dyDescent="0.25">
      <c r="A363" s="5" t="s">
        <v>4574</v>
      </c>
      <c r="B363" s="5" t="s">
        <v>992</v>
      </c>
      <c r="C363" s="5" t="s">
        <v>4575</v>
      </c>
      <c r="D363" s="5"/>
      <c r="E363" s="5"/>
      <c r="F363" s="5"/>
      <c r="G363" s="5"/>
      <c r="H363" s="5"/>
      <c r="I363" s="5"/>
      <c r="J363" s="5"/>
      <c r="K363" s="5" t="s">
        <v>993</v>
      </c>
      <c r="L363" s="5" t="s">
        <v>994</v>
      </c>
      <c r="M363" s="5" t="s">
        <v>4576</v>
      </c>
      <c r="N363" s="5">
        <v>41</v>
      </c>
      <c r="O363" s="5"/>
      <c r="P363" s="5" t="s">
        <v>995</v>
      </c>
      <c r="Q363" s="5">
        <v>36</v>
      </c>
      <c r="R363" s="5">
        <v>24</v>
      </c>
      <c r="S363" s="5">
        <v>19</v>
      </c>
      <c r="T363" s="5">
        <v>0</v>
      </c>
      <c r="U363" s="5" t="b">
        <v>0</v>
      </c>
      <c r="V363" s="5">
        <v>20</v>
      </c>
      <c r="W363" s="5">
        <v>0.21</v>
      </c>
      <c r="X363" s="5" t="s">
        <v>9</v>
      </c>
      <c r="Y363" s="5">
        <v>9</v>
      </c>
      <c r="Z363" s="5"/>
      <c r="AA363" s="5"/>
      <c r="AB363" s="5"/>
      <c r="AC363" s="5"/>
      <c r="AD363" s="5" t="s">
        <v>1019</v>
      </c>
      <c r="AE363" s="5" t="s">
        <v>1002</v>
      </c>
      <c r="AF363" s="5" t="b">
        <v>0</v>
      </c>
      <c r="AG363" s="5">
        <v>51</v>
      </c>
      <c r="AH363" s="5"/>
      <c r="AI363" s="5">
        <v>92</v>
      </c>
      <c r="AJ363" s="5"/>
      <c r="AK363" s="5" t="s">
        <v>996</v>
      </c>
      <c r="AL363" s="5">
        <v>2</v>
      </c>
      <c r="AM363" s="5"/>
      <c r="AN363" s="5">
        <v>10</v>
      </c>
      <c r="AO363" s="5"/>
      <c r="AP363" s="5">
        <v>0</v>
      </c>
      <c r="AQ363" s="5"/>
      <c r="AR363" s="5">
        <v>0</v>
      </c>
      <c r="AS363" s="5"/>
      <c r="AT363" s="5" t="s">
        <v>997</v>
      </c>
      <c r="AU363" s="5" t="s">
        <v>998</v>
      </c>
      <c r="AV363" s="5" t="s">
        <v>999</v>
      </c>
      <c r="AW363" s="8" t="str">
        <f>IFERROR(VLOOKUP(AA363,'Message Lookup'!D:J,7,FALSE),"")</f>
        <v/>
      </c>
    </row>
    <row r="364" spans="1:49" x14ac:dyDescent="0.25">
      <c r="A364" s="5" t="s">
        <v>4574</v>
      </c>
      <c r="B364" s="5" t="s">
        <v>992</v>
      </c>
      <c r="C364" s="5" t="s">
        <v>4575</v>
      </c>
      <c r="D364" s="5"/>
      <c r="E364" s="5"/>
      <c r="F364" s="5"/>
      <c r="G364" s="5"/>
      <c r="H364" s="5"/>
      <c r="I364" s="5"/>
      <c r="J364" s="5"/>
      <c r="K364" s="5" t="s">
        <v>993</v>
      </c>
      <c r="L364" s="5" t="s">
        <v>994</v>
      </c>
      <c r="M364" s="5" t="s">
        <v>4576</v>
      </c>
      <c r="N364" s="5">
        <v>41</v>
      </c>
      <c r="O364" s="5"/>
      <c r="P364" s="5" t="s">
        <v>995</v>
      </c>
      <c r="Q364" s="5">
        <v>36</v>
      </c>
      <c r="R364" s="5">
        <v>24</v>
      </c>
      <c r="S364" s="5">
        <v>20</v>
      </c>
      <c r="T364" s="5">
        <v>0</v>
      </c>
      <c r="U364" s="5" t="b">
        <v>0</v>
      </c>
      <c r="V364" s="5">
        <v>20</v>
      </c>
      <c r="W364" s="5">
        <v>0.22</v>
      </c>
      <c r="X364" s="5" t="s">
        <v>9</v>
      </c>
      <c r="Y364" s="5">
        <v>9</v>
      </c>
      <c r="Z364" s="5"/>
      <c r="AA364" s="5"/>
      <c r="AB364" s="5" t="s">
        <v>354</v>
      </c>
      <c r="AC364" s="5" t="b">
        <v>0</v>
      </c>
      <c r="AD364" s="5"/>
      <c r="AE364" s="5"/>
      <c r="AF364" s="5"/>
      <c r="AG364" s="5">
        <v>51</v>
      </c>
      <c r="AH364" s="5">
        <v>51</v>
      </c>
      <c r="AI364" s="5">
        <v>113</v>
      </c>
      <c r="AJ364" s="5">
        <v>113</v>
      </c>
      <c r="AK364" s="5" t="s">
        <v>996</v>
      </c>
      <c r="AL364" s="5">
        <v>2</v>
      </c>
      <c r="AM364" s="5"/>
      <c r="AN364" s="5">
        <v>10</v>
      </c>
      <c r="AO364" s="5"/>
      <c r="AP364" s="5">
        <v>0</v>
      </c>
      <c r="AQ364" s="5"/>
      <c r="AR364" s="5">
        <v>0</v>
      </c>
      <c r="AS364" s="5"/>
      <c r="AT364" s="5" t="s">
        <v>997</v>
      </c>
      <c r="AU364" s="5" t="s">
        <v>998</v>
      </c>
      <c r="AV364" s="5" t="s">
        <v>999</v>
      </c>
      <c r="AW364" s="8" t="str">
        <f>IFERROR(VLOOKUP(AA364,'Message Lookup'!D:J,7,FALSE),"")</f>
        <v/>
      </c>
    </row>
    <row r="365" spans="1:49" x14ac:dyDescent="0.25">
      <c r="A365" s="5" t="s">
        <v>4574</v>
      </c>
      <c r="B365" s="5" t="s">
        <v>992</v>
      </c>
      <c r="C365" s="5" t="s">
        <v>4575</v>
      </c>
      <c r="D365" s="5"/>
      <c r="E365" s="5"/>
      <c r="F365" s="5"/>
      <c r="G365" s="5"/>
      <c r="H365" s="5"/>
      <c r="I365" s="5"/>
      <c r="J365" s="5"/>
      <c r="K365" s="5" t="s">
        <v>993</v>
      </c>
      <c r="L365" s="5" t="s">
        <v>994</v>
      </c>
      <c r="M365" s="5" t="s">
        <v>4576</v>
      </c>
      <c r="N365" s="5">
        <v>41</v>
      </c>
      <c r="O365" s="5"/>
      <c r="P365" s="5" t="s">
        <v>995</v>
      </c>
      <c r="Q365" s="5">
        <v>36</v>
      </c>
      <c r="R365" s="5">
        <v>24</v>
      </c>
      <c r="S365" s="5">
        <v>20</v>
      </c>
      <c r="T365" s="5">
        <v>0</v>
      </c>
      <c r="U365" s="5" t="b">
        <v>0</v>
      </c>
      <c r="V365" s="5">
        <v>20</v>
      </c>
      <c r="W365" s="5">
        <v>0.22</v>
      </c>
      <c r="X365" s="5" t="s">
        <v>9</v>
      </c>
      <c r="Y365" s="5">
        <v>9</v>
      </c>
      <c r="Z365" s="5"/>
      <c r="AA365" s="5" t="s">
        <v>296</v>
      </c>
      <c r="AB365" s="5" t="s">
        <v>355</v>
      </c>
      <c r="AC365" s="5" t="b">
        <v>0</v>
      </c>
      <c r="AD365" s="5"/>
      <c r="AE365" s="5"/>
      <c r="AF365" s="5"/>
      <c r="AG365" s="5">
        <v>51</v>
      </c>
      <c r="AH365" s="5"/>
      <c r="AI365" s="5">
        <v>113</v>
      </c>
      <c r="AJ365" s="5"/>
      <c r="AK365" s="5" t="s">
        <v>996</v>
      </c>
      <c r="AL365" s="5">
        <v>2</v>
      </c>
      <c r="AM365" s="5"/>
      <c r="AN365" s="5">
        <v>10</v>
      </c>
      <c r="AO365" s="5"/>
      <c r="AP365" s="5">
        <v>0</v>
      </c>
      <c r="AQ365" s="5"/>
      <c r="AR365" s="5">
        <v>0</v>
      </c>
      <c r="AS365" s="5"/>
      <c r="AT365" s="5" t="s">
        <v>997</v>
      </c>
      <c r="AU365" s="5" t="s">
        <v>998</v>
      </c>
      <c r="AV365" s="5" t="s">
        <v>999</v>
      </c>
      <c r="AW365" s="8" t="str">
        <f>IFERROR(VLOOKUP(AA365,'Message Lookup'!D:J,7,FALSE),"")</f>
        <v>Sump Tank LEL Bypassed</v>
      </c>
    </row>
    <row r="366" spans="1:49" x14ac:dyDescent="0.25">
      <c r="A366" s="5" t="s">
        <v>4574</v>
      </c>
      <c r="B366" s="5" t="s">
        <v>992</v>
      </c>
      <c r="C366" s="5" t="s">
        <v>4575</v>
      </c>
      <c r="D366" s="5"/>
      <c r="E366" s="5"/>
      <c r="F366" s="5"/>
      <c r="G366" s="5"/>
      <c r="H366" s="5"/>
      <c r="I366" s="5"/>
      <c r="J366" s="5"/>
      <c r="K366" s="5" t="s">
        <v>993</v>
      </c>
      <c r="L366" s="5" t="s">
        <v>994</v>
      </c>
      <c r="M366" s="5" t="s">
        <v>4576</v>
      </c>
      <c r="N366" s="5">
        <v>41</v>
      </c>
      <c r="O366" s="5"/>
      <c r="P366" s="5" t="s">
        <v>995</v>
      </c>
      <c r="Q366" s="5">
        <v>36</v>
      </c>
      <c r="R366" s="5">
        <v>24</v>
      </c>
      <c r="S366" s="5">
        <v>20</v>
      </c>
      <c r="T366" s="5">
        <v>0</v>
      </c>
      <c r="U366" s="5" t="b">
        <v>0</v>
      </c>
      <c r="V366" s="5">
        <v>20</v>
      </c>
      <c r="W366" s="5">
        <v>0.22</v>
      </c>
      <c r="X366" s="5" t="s">
        <v>9</v>
      </c>
      <c r="Y366" s="5">
        <v>9</v>
      </c>
      <c r="Z366" s="5"/>
      <c r="AA366" s="5" t="s">
        <v>297</v>
      </c>
      <c r="AB366" s="5" t="s">
        <v>356</v>
      </c>
      <c r="AC366" s="5" t="b">
        <v>0</v>
      </c>
      <c r="AD366" s="5"/>
      <c r="AE366" s="5"/>
      <c r="AF366" s="5"/>
      <c r="AG366" s="5">
        <v>51</v>
      </c>
      <c r="AH366" s="5"/>
      <c r="AI366" s="5">
        <v>113</v>
      </c>
      <c r="AJ366" s="5"/>
      <c r="AK366" s="5" t="s">
        <v>996</v>
      </c>
      <c r="AL366" s="5">
        <v>2</v>
      </c>
      <c r="AM366" s="5"/>
      <c r="AN366" s="5">
        <v>10</v>
      </c>
      <c r="AO366" s="5"/>
      <c r="AP366" s="5">
        <v>0</v>
      </c>
      <c r="AQ366" s="5"/>
      <c r="AR366" s="5">
        <v>0</v>
      </c>
      <c r="AS366" s="5"/>
      <c r="AT366" s="5" t="s">
        <v>997</v>
      </c>
      <c r="AU366" s="5" t="s">
        <v>998</v>
      </c>
      <c r="AV366" s="5" t="s">
        <v>999</v>
      </c>
      <c r="AW366" s="8" t="str">
        <f>IFERROR(VLOOKUP(AA366,'Message Lookup'!D:J,7,FALSE),"")</f>
        <v>P-2 LEL Bypassed</v>
      </c>
    </row>
    <row r="367" spans="1:49" x14ac:dyDescent="0.25">
      <c r="A367" s="5" t="s">
        <v>4574</v>
      </c>
      <c r="B367" s="5" t="s">
        <v>992</v>
      </c>
      <c r="C367" s="5" t="s">
        <v>4575</v>
      </c>
      <c r="D367" s="5"/>
      <c r="E367" s="5"/>
      <c r="F367" s="5"/>
      <c r="G367" s="5"/>
      <c r="H367" s="5"/>
      <c r="I367" s="5"/>
      <c r="J367" s="5"/>
      <c r="K367" s="5" t="s">
        <v>993</v>
      </c>
      <c r="L367" s="5" t="s">
        <v>994</v>
      </c>
      <c r="M367" s="5" t="s">
        <v>4576</v>
      </c>
      <c r="N367" s="5">
        <v>41</v>
      </c>
      <c r="O367" s="5"/>
      <c r="P367" s="5" t="s">
        <v>995</v>
      </c>
      <c r="Q367" s="5">
        <v>36</v>
      </c>
      <c r="R367" s="5">
        <v>24</v>
      </c>
      <c r="S367" s="5">
        <v>20</v>
      </c>
      <c r="T367" s="5">
        <v>0</v>
      </c>
      <c r="U367" s="5" t="b">
        <v>0</v>
      </c>
      <c r="V367" s="5">
        <v>20</v>
      </c>
      <c r="W367" s="5">
        <v>0.22</v>
      </c>
      <c r="X367" s="5" t="s">
        <v>9</v>
      </c>
      <c r="Y367" s="5">
        <v>9</v>
      </c>
      <c r="Z367" s="5"/>
      <c r="AA367" s="5" t="s">
        <v>298</v>
      </c>
      <c r="AB367" s="5" t="s">
        <v>357</v>
      </c>
      <c r="AC367" s="5" t="b">
        <v>0</v>
      </c>
      <c r="AD367" s="5"/>
      <c r="AE367" s="5"/>
      <c r="AF367" s="5"/>
      <c r="AG367" s="5">
        <v>51</v>
      </c>
      <c r="AH367" s="5"/>
      <c r="AI367" s="5">
        <v>113</v>
      </c>
      <c r="AJ367" s="5"/>
      <c r="AK367" s="5" t="s">
        <v>996</v>
      </c>
      <c r="AL367" s="5">
        <v>2</v>
      </c>
      <c r="AM367" s="5"/>
      <c r="AN367" s="5">
        <v>10</v>
      </c>
      <c r="AO367" s="5"/>
      <c r="AP367" s="5">
        <v>0</v>
      </c>
      <c r="AQ367" s="5"/>
      <c r="AR367" s="5">
        <v>0</v>
      </c>
      <c r="AS367" s="5"/>
      <c r="AT367" s="5" t="s">
        <v>997</v>
      </c>
      <c r="AU367" s="5" t="s">
        <v>998</v>
      </c>
      <c r="AV367" s="5" t="s">
        <v>999</v>
      </c>
      <c r="AW367" s="8" t="str">
        <f>IFERROR(VLOOKUP(AA367,'Message Lookup'!D:J,7,FALSE),"")</f>
        <v>P-3 Seal Leak LEL Bypassed</v>
      </c>
    </row>
    <row r="368" spans="1:49" x14ac:dyDescent="0.25">
      <c r="A368" s="5" t="s">
        <v>4574</v>
      </c>
      <c r="B368" s="5" t="s">
        <v>992</v>
      </c>
      <c r="C368" s="5" t="s">
        <v>4575</v>
      </c>
      <c r="D368" s="5"/>
      <c r="E368" s="5"/>
      <c r="F368" s="5"/>
      <c r="G368" s="5"/>
      <c r="H368" s="5"/>
      <c r="I368" s="5"/>
      <c r="J368" s="5"/>
      <c r="K368" s="5" t="s">
        <v>993</v>
      </c>
      <c r="L368" s="5" t="s">
        <v>994</v>
      </c>
      <c r="M368" s="5" t="s">
        <v>4576</v>
      </c>
      <c r="N368" s="5">
        <v>41</v>
      </c>
      <c r="O368" s="5"/>
      <c r="P368" s="5" t="s">
        <v>995</v>
      </c>
      <c r="Q368" s="5">
        <v>36</v>
      </c>
      <c r="R368" s="5">
        <v>24</v>
      </c>
      <c r="S368" s="5">
        <v>20</v>
      </c>
      <c r="T368" s="5">
        <v>0</v>
      </c>
      <c r="U368" s="5" t="b">
        <v>0</v>
      </c>
      <c r="V368" s="5">
        <v>20</v>
      </c>
      <c r="W368" s="5">
        <v>0.22</v>
      </c>
      <c r="X368" s="5" t="s">
        <v>9</v>
      </c>
      <c r="Y368" s="5">
        <v>9</v>
      </c>
      <c r="Z368" s="5"/>
      <c r="AA368" s="5" t="s">
        <v>299</v>
      </c>
      <c r="AB368" s="5" t="s">
        <v>358</v>
      </c>
      <c r="AC368" s="5" t="b">
        <v>0</v>
      </c>
      <c r="AD368" s="5"/>
      <c r="AE368" s="5"/>
      <c r="AF368" s="5"/>
      <c r="AG368" s="5">
        <v>51</v>
      </c>
      <c r="AH368" s="5"/>
      <c r="AI368" s="5">
        <v>113</v>
      </c>
      <c r="AJ368" s="5"/>
      <c r="AK368" s="5" t="s">
        <v>996</v>
      </c>
      <c r="AL368" s="5">
        <v>2</v>
      </c>
      <c r="AM368" s="5"/>
      <c r="AN368" s="5">
        <v>10</v>
      </c>
      <c r="AO368" s="5"/>
      <c r="AP368" s="5">
        <v>0</v>
      </c>
      <c r="AQ368" s="5"/>
      <c r="AR368" s="5">
        <v>0</v>
      </c>
      <c r="AS368" s="5"/>
      <c r="AT368" s="5" t="s">
        <v>997</v>
      </c>
      <c r="AU368" s="5" t="s">
        <v>998</v>
      </c>
      <c r="AV368" s="5" t="s">
        <v>999</v>
      </c>
      <c r="AW368" s="8" t="str">
        <f>IFERROR(VLOOKUP(AA368,'Message Lookup'!D:J,7,FALSE),"")</f>
        <v>P-4 Seal Leak LEL Bypassed</v>
      </c>
    </row>
    <row r="369" spans="1:49" x14ac:dyDescent="0.25">
      <c r="A369" s="5" t="s">
        <v>4574</v>
      </c>
      <c r="B369" s="5" t="s">
        <v>992</v>
      </c>
      <c r="C369" s="5" t="s">
        <v>4575</v>
      </c>
      <c r="D369" s="5"/>
      <c r="E369" s="5"/>
      <c r="F369" s="5"/>
      <c r="G369" s="5"/>
      <c r="H369" s="5"/>
      <c r="I369" s="5"/>
      <c r="J369" s="5"/>
      <c r="K369" s="5" t="s">
        <v>993</v>
      </c>
      <c r="L369" s="5" t="s">
        <v>994</v>
      </c>
      <c r="M369" s="5" t="s">
        <v>4576</v>
      </c>
      <c r="N369" s="5">
        <v>41</v>
      </c>
      <c r="O369" s="5"/>
      <c r="P369" s="5" t="s">
        <v>995</v>
      </c>
      <c r="Q369" s="5">
        <v>36</v>
      </c>
      <c r="R369" s="5">
        <v>24</v>
      </c>
      <c r="S369" s="5">
        <v>20</v>
      </c>
      <c r="T369" s="5">
        <v>0</v>
      </c>
      <c r="U369" s="5" t="b">
        <v>0</v>
      </c>
      <c r="V369" s="5">
        <v>20</v>
      </c>
      <c r="W369" s="5">
        <v>0.22</v>
      </c>
      <c r="X369" s="5" t="s">
        <v>9</v>
      </c>
      <c r="Y369" s="5">
        <v>9</v>
      </c>
      <c r="Z369" s="5"/>
      <c r="AA369" s="5" t="s">
        <v>300</v>
      </c>
      <c r="AB369" s="5" t="s">
        <v>359</v>
      </c>
      <c r="AC369" s="5" t="b">
        <v>0</v>
      </c>
      <c r="AD369" s="5"/>
      <c r="AE369" s="5"/>
      <c r="AF369" s="5"/>
      <c r="AG369" s="5">
        <v>51</v>
      </c>
      <c r="AH369" s="5"/>
      <c r="AI369" s="5">
        <v>113</v>
      </c>
      <c r="AJ369" s="5"/>
      <c r="AK369" s="5" t="s">
        <v>996</v>
      </c>
      <c r="AL369" s="5">
        <v>2</v>
      </c>
      <c r="AM369" s="5"/>
      <c r="AN369" s="5">
        <v>10</v>
      </c>
      <c r="AO369" s="5"/>
      <c r="AP369" s="5">
        <v>0</v>
      </c>
      <c r="AQ369" s="5"/>
      <c r="AR369" s="5">
        <v>0</v>
      </c>
      <c r="AS369" s="5"/>
      <c r="AT369" s="5" t="s">
        <v>997</v>
      </c>
      <c r="AU369" s="5" t="s">
        <v>998</v>
      </c>
      <c r="AV369" s="5" t="s">
        <v>999</v>
      </c>
      <c r="AW369" s="8" t="str">
        <f>IFERROR(VLOOKUP(AA369,'Message Lookup'!D:J,7,FALSE),"")</f>
        <v>Sump Tank LevelBypassed</v>
      </c>
    </row>
    <row r="370" spans="1:49" x14ac:dyDescent="0.25">
      <c r="A370" s="5" t="s">
        <v>4574</v>
      </c>
      <c r="B370" s="5" t="s">
        <v>992</v>
      </c>
      <c r="C370" s="5" t="s">
        <v>4575</v>
      </c>
      <c r="D370" s="5"/>
      <c r="E370" s="5"/>
      <c r="F370" s="5"/>
      <c r="G370" s="5"/>
      <c r="H370" s="5"/>
      <c r="I370" s="5"/>
      <c r="J370" s="5"/>
      <c r="K370" s="5" t="s">
        <v>993</v>
      </c>
      <c r="L370" s="5" t="s">
        <v>994</v>
      </c>
      <c r="M370" s="5" t="s">
        <v>4576</v>
      </c>
      <c r="N370" s="5">
        <v>41</v>
      </c>
      <c r="O370" s="5"/>
      <c r="P370" s="5" t="s">
        <v>995</v>
      </c>
      <c r="Q370" s="5">
        <v>36</v>
      </c>
      <c r="R370" s="5">
        <v>24</v>
      </c>
      <c r="S370" s="5">
        <v>20</v>
      </c>
      <c r="T370" s="5">
        <v>0</v>
      </c>
      <c r="U370" s="5" t="b">
        <v>0</v>
      </c>
      <c r="V370" s="5">
        <v>20</v>
      </c>
      <c r="W370" s="5">
        <v>0.22</v>
      </c>
      <c r="X370" s="5" t="s">
        <v>9</v>
      </c>
      <c r="Y370" s="5">
        <v>9</v>
      </c>
      <c r="Z370" s="5"/>
      <c r="AA370" s="5" t="s">
        <v>301</v>
      </c>
      <c r="AB370" s="5" t="s">
        <v>360</v>
      </c>
      <c r="AC370" s="5" t="b">
        <v>0</v>
      </c>
      <c r="AD370" s="5"/>
      <c r="AE370" s="5"/>
      <c r="AF370" s="5"/>
      <c r="AG370" s="5">
        <v>51</v>
      </c>
      <c r="AH370" s="5"/>
      <c r="AI370" s="5">
        <v>113</v>
      </c>
      <c r="AJ370" s="5"/>
      <c r="AK370" s="5" t="s">
        <v>996</v>
      </c>
      <c r="AL370" s="5">
        <v>2</v>
      </c>
      <c r="AM370" s="5"/>
      <c r="AN370" s="5">
        <v>10</v>
      </c>
      <c r="AO370" s="5"/>
      <c r="AP370" s="5">
        <v>0</v>
      </c>
      <c r="AQ370" s="5"/>
      <c r="AR370" s="5">
        <v>0</v>
      </c>
      <c r="AS370" s="5"/>
      <c r="AT370" s="5" t="s">
        <v>997</v>
      </c>
      <c r="AU370" s="5" t="s">
        <v>998</v>
      </c>
      <c r="AV370" s="5" t="s">
        <v>999</v>
      </c>
      <c r="AW370" s="8" t="str">
        <f>IFERROR(VLOOKUP(AA370,'Message Lookup'!D:J,7,FALSE),"")</f>
        <v>MSO Procucer Tank Level Bypassed</v>
      </c>
    </row>
    <row r="371" spans="1:49" x14ac:dyDescent="0.25">
      <c r="A371" s="5" t="s">
        <v>4574</v>
      </c>
      <c r="B371" s="5" t="s">
        <v>992</v>
      </c>
      <c r="C371" s="5" t="s">
        <v>4575</v>
      </c>
      <c r="D371" s="5"/>
      <c r="E371" s="5"/>
      <c r="F371" s="5"/>
      <c r="G371" s="5"/>
      <c r="H371" s="5"/>
      <c r="I371" s="5"/>
      <c r="J371" s="5"/>
      <c r="K371" s="5" t="s">
        <v>993</v>
      </c>
      <c r="L371" s="5" t="s">
        <v>994</v>
      </c>
      <c r="M371" s="5" t="s">
        <v>4576</v>
      </c>
      <c r="N371" s="5">
        <v>41</v>
      </c>
      <c r="O371" s="5"/>
      <c r="P371" s="5" t="s">
        <v>995</v>
      </c>
      <c r="Q371" s="5">
        <v>36</v>
      </c>
      <c r="R371" s="5">
        <v>24</v>
      </c>
      <c r="S371" s="5">
        <v>20</v>
      </c>
      <c r="T371" s="5">
        <v>0</v>
      </c>
      <c r="U371" s="5" t="b">
        <v>0</v>
      </c>
      <c r="V371" s="5">
        <v>20</v>
      </c>
      <c r="W371" s="5">
        <v>0.22</v>
      </c>
      <c r="X371" s="5" t="s">
        <v>9</v>
      </c>
      <c r="Y371" s="5">
        <v>9</v>
      </c>
      <c r="Z371" s="5"/>
      <c r="AA371" s="5" t="s">
        <v>302</v>
      </c>
      <c r="AB371" s="5" t="s">
        <v>361</v>
      </c>
      <c r="AC371" s="5" t="b">
        <v>0</v>
      </c>
      <c r="AD371" s="5"/>
      <c r="AE371" s="5"/>
      <c r="AF371" s="5"/>
      <c r="AG371" s="5">
        <v>51</v>
      </c>
      <c r="AH371" s="5"/>
      <c r="AI371" s="5">
        <v>113</v>
      </c>
      <c r="AJ371" s="5"/>
      <c r="AK371" s="5" t="s">
        <v>996</v>
      </c>
      <c r="AL371" s="5">
        <v>2</v>
      </c>
      <c r="AM371" s="5"/>
      <c r="AN371" s="5">
        <v>10</v>
      </c>
      <c r="AO371" s="5"/>
      <c r="AP371" s="5">
        <v>0</v>
      </c>
      <c r="AQ371" s="5"/>
      <c r="AR371" s="5">
        <v>0</v>
      </c>
      <c r="AS371" s="5"/>
      <c r="AT371" s="5" t="s">
        <v>997</v>
      </c>
      <c r="AU371" s="5" t="s">
        <v>998</v>
      </c>
      <c r="AV371" s="5" t="s">
        <v>999</v>
      </c>
      <c r="AW371" s="8" t="str">
        <f>IFERROR(VLOOKUP(AA371,'Message Lookup'!D:J,7,FALSE),"")</f>
        <v>C5+ Procucer Tank Level Bypassed</v>
      </c>
    </row>
    <row r="372" spans="1:49" x14ac:dyDescent="0.25">
      <c r="A372" s="5" t="s">
        <v>4574</v>
      </c>
      <c r="B372" s="5" t="s">
        <v>992</v>
      </c>
      <c r="C372" s="5" t="s">
        <v>4575</v>
      </c>
      <c r="D372" s="5"/>
      <c r="E372" s="5"/>
      <c r="F372" s="5"/>
      <c r="G372" s="5"/>
      <c r="H372" s="5"/>
      <c r="I372" s="5"/>
      <c r="J372" s="5"/>
      <c r="K372" s="5" t="s">
        <v>993</v>
      </c>
      <c r="L372" s="5" t="s">
        <v>994</v>
      </c>
      <c r="M372" s="5" t="s">
        <v>4576</v>
      </c>
      <c r="N372" s="5">
        <v>41</v>
      </c>
      <c r="O372" s="5"/>
      <c r="P372" s="5" t="s">
        <v>995</v>
      </c>
      <c r="Q372" s="5">
        <v>36</v>
      </c>
      <c r="R372" s="5">
        <v>24</v>
      </c>
      <c r="S372" s="5">
        <v>20</v>
      </c>
      <c r="T372" s="5">
        <v>0</v>
      </c>
      <c r="U372" s="5" t="b">
        <v>0</v>
      </c>
      <c r="V372" s="5">
        <v>20</v>
      </c>
      <c r="W372" s="5">
        <v>0.22</v>
      </c>
      <c r="X372" s="5" t="s">
        <v>9</v>
      </c>
      <c r="Y372" s="5">
        <v>9</v>
      </c>
      <c r="Z372" s="5"/>
      <c r="AA372" s="5" t="s">
        <v>303</v>
      </c>
      <c r="AB372" s="5" t="s">
        <v>362</v>
      </c>
      <c r="AC372" s="5" t="b">
        <v>0</v>
      </c>
      <c r="AD372" s="5"/>
      <c r="AE372" s="5"/>
      <c r="AF372" s="5"/>
      <c r="AG372" s="5">
        <v>51</v>
      </c>
      <c r="AH372" s="5"/>
      <c r="AI372" s="5">
        <v>113</v>
      </c>
      <c r="AJ372" s="5"/>
      <c r="AK372" s="5" t="s">
        <v>996</v>
      </c>
      <c r="AL372" s="5">
        <v>2</v>
      </c>
      <c r="AM372" s="5"/>
      <c r="AN372" s="5">
        <v>10</v>
      </c>
      <c r="AO372" s="5"/>
      <c r="AP372" s="5">
        <v>0</v>
      </c>
      <c r="AQ372" s="5"/>
      <c r="AR372" s="5">
        <v>0</v>
      </c>
      <c r="AS372" s="5"/>
      <c r="AT372" s="5" t="s">
        <v>997</v>
      </c>
      <c r="AU372" s="5" t="s">
        <v>998</v>
      </c>
      <c r="AV372" s="5" t="s">
        <v>999</v>
      </c>
      <c r="AW372" s="8" t="str">
        <f>IFERROR(VLOOKUP(AA372,'Message Lookup'!D:J,7,FALSE),"")</f>
        <v>C3+ Procucer Tank Level Bypassed</v>
      </c>
    </row>
    <row r="373" spans="1:49" x14ac:dyDescent="0.25">
      <c r="A373" s="5" t="s">
        <v>4574</v>
      </c>
      <c r="B373" s="5" t="s">
        <v>992</v>
      </c>
      <c r="C373" s="5" t="s">
        <v>4575</v>
      </c>
      <c r="D373" s="5"/>
      <c r="E373" s="5"/>
      <c r="F373" s="5"/>
      <c r="G373" s="5"/>
      <c r="H373" s="5"/>
      <c r="I373" s="5"/>
      <c r="J373" s="5"/>
      <c r="K373" s="5" t="s">
        <v>993</v>
      </c>
      <c r="L373" s="5" t="s">
        <v>994</v>
      </c>
      <c r="M373" s="5" t="s">
        <v>4576</v>
      </c>
      <c r="N373" s="5">
        <v>41</v>
      </c>
      <c r="O373" s="5"/>
      <c r="P373" s="5" t="s">
        <v>995</v>
      </c>
      <c r="Q373" s="5">
        <v>36</v>
      </c>
      <c r="R373" s="5">
        <v>24</v>
      </c>
      <c r="S373" s="5">
        <v>20</v>
      </c>
      <c r="T373" s="5">
        <v>0</v>
      </c>
      <c r="U373" s="5" t="b">
        <v>0</v>
      </c>
      <c r="V373" s="5">
        <v>20</v>
      </c>
      <c r="W373" s="5">
        <v>0.22</v>
      </c>
      <c r="X373" s="5" t="s">
        <v>9</v>
      </c>
      <c r="Y373" s="5">
        <v>9</v>
      </c>
      <c r="Z373" s="5"/>
      <c r="AA373" s="5" t="s">
        <v>304</v>
      </c>
      <c r="AB373" s="5" t="s">
        <v>363</v>
      </c>
      <c r="AC373" s="5" t="b">
        <v>0</v>
      </c>
      <c r="AD373" s="5"/>
      <c r="AE373" s="5"/>
      <c r="AF373" s="5"/>
      <c r="AG373" s="5">
        <v>51</v>
      </c>
      <c r="AH373" s="5"/>
      <c r="AI373" s="5">
        <v>113</v>
      </c>
      <c r="AJ373" s="5"/>
      <c r="AK373" s="5" t="s">
        <v>996</v>
      </c>
      <c r="AL373" s="5">
        <v>2</v>
      </c>
      <c r="AM373" s="5"/>
      <c r="AN373" s="5">
        <v>10</v>
      </c>
      <c r="AO373" s="5"/>
      <c r="AP373" s="5">
        <v>0</v>
      </c>
      <c r="AQ373" s="5"/>
      <c r="AR373" s="5">
        <v>0</v>
      </c>
      <c r="AS373" s="5"/>
      <c r="AT373" s="5" t="s">
        <v>997</v>
      </c>
      <c r="AU373" s="5" t="s">
        <v>998</v>
      </c>
      <c r="AV373" s="5" t="s">
        <v>999</v>
      </c>
      <c r="AW373" s="8" t="str">
        <f>IFERROR(VLOOKUP(AA373,'Message Lookup'!D:J,7,FALSE),"")</f>
        <v>P-1 VFD Speed Bypassed</v>
      </c>
    </row>
    <row r="374" spans="1:49" x14ac:dyDescent="0.25">
      <c r="A374" s="5" t="s">
        <v>4574</v>
      </c>
      <c r="B374" s="5" t="s">
        <v>992</v>
      </c>
      <c r="C374" s="5" t="s">
        <v>4575</v>
      </c>
      <c r="D374" s="5"/>
      <c r="E374" s="5"/>
      <c r="F374" s="5"/>
      <c r="G374" s="5"/>
      <c r="H374" s="5"/>
      <c r="I374" s="5"/>
      <c r="J374" s="5"/>
      <c r="K374" s="5" t="s">
        <v>993</v>
      </c>
      <c r="L374" s="5" t="s">
        <v>994</v>
      </c>
      <c r="M374" s="5" t="s">
        <v>4576</v>
      </c>
      <c r="N374" s="5">
        <v>41</v>
      </c>
      <c r="O374" s="5"/>
      <c r="P374" s="5" t="s">
        <v>995</v>
      </c>
      <c r="Q374" s="5">
        <v>36</v>
      </c>
      <c r="R374" s="5">
        <v>24</v>
      </c>
      <c r="S374" s="5">
        <v>20</v>
      </c>
      <c r="T374" s="5">
        <v>0</v>
      </c>
      <c r="U374" s="5" t="b">
        <v>0</v>
      </c>
      <c r="V374" s="5">
        <v>20</v>
      </c>
      <c r="W374" s="5">
        <v>0.22</v>
      </c>
      <c r="X374" s="5" t="s">
        <v>9</v>
      </c>
      <c r="Y374" s="5">
        <v>9</v>
      </c>
      <c r="Z374" s="5"/>
      <c r="AA374" s="5" t="s">
        <v>305</v>
      </c>
      <c r="AB374" s="5" t="s">
        <v>364</v>
      </c>
      <c r="AC374" s="5" t="b">
        <v>0</v>
      </c>
      <c r="AD374" s="5"/>
      <c r="AE374" s="5"/>
      <c r="AF374" s="5"/>
      <c r="AG374" s="5">
        <v>51</v>
      </c>
      <c r="AH374" s="5"/>
      <c r="AI374" s="5">
        <v>113</v>
      </c>
      <c r="AJ374" s="5"/>
      <c r="AK374" s="5" t="s">
        <v>996</v>
      </c>
      <c r="AL374" s="5">
        <v>2</v>
      </c>
      <c r="AM374" s="5"/>
      <c r="AN374" s="5">
        <v>10</v>
      </c>
      <c r="AO374" s="5"/>
      <c r="AP374" s="5">
        <v>0</v>
      </c>
      <c r="AQ374" s="5"/>
      <c r="AR374" s="5">
        <v>0</v>
      </c>
      <c r="AS374" s="5"/>
      <c r="AT374" s="5" t="s">
        <v>997</v>
      </c>
      <c r="AU374" s="5" t="s">
        <v>998</v>
      </c>
      <c r="AV374" s="5" t="s">
        <v>999</v>
      </c>
      <c r="AW374" s="8" t="str">
        <f>IFERROR(VLOOKUP(AA374,'Message Lookup'!D:J,7,FALSE),"")</f>
        <v>P-2 VFD Speed Bypassed</v>
      </c>
    </row>
    <row r="375" spans="1:49" x14ac:dyDescent="0.25">
      <c r="A375" s="5" t="s">
        <v>4574</v>
      </c>
      <c r="B375" s="5" t="s">
        <v>992</v>
      </c>
      <c r="C375" s="5" t="s">
        <v>4575</v>
      </c>
      <c r="D375" s="5"/>
      <c r="E375" s="5"/>
      <c r="F375" s="5"/>
      <c r="G375" s="5"/>
      <c r="H375" s="5"/>
      <c r="I375" s="5"/>
      <c r="J375" s="5"/>
      <c r="K375" s="5" t="s">
        <v>993</v>
      </c>
      <c r="L375" s="5" t="s">
        <v>994</v>
      </c>
      <c r="M375" s="5" t="s">
        <v>4576</v>
      </c>
      <c r="N375" s="5">
        <v>41</v>
      </c>
      <c r="O375" s="5"/>
      <c r="P375" s="5" t="s">
        <v>995</v>
      </c>
      <c r="Q375" s="5">
        <v>36</v>
      </c>
      <c r="R375" s="5">
        <v>24</v>
      </c>
      <c r="S375" s="5">
        <v>20</v>
      </c>
      <c r="T375" s="5">
        <v>0</v>
      </c>
      <c r="U375" s="5" t="b">
        <v>0</v>
      </c>
      <c r="V375" s="5">
        <v>20</v>
      </c>
      <c r="W375" s="5">
        <v>0.22</v>
      </c>
      <c r="X375" s="5" t="s">
        <v>9</v>
      </c>
      <c r="Y375" s="5">
        <v>9</v>
      </c>
      <c r="Z375" s="5"/>
      <c r="AA375" s="5" t="s">
        <v>306</v>
      </c>
      <c r="AB375" s="5" t="s">
        <v>365</v>
      </c>
      <c r="AC375" s="5" t="b">
        <v>0</v>
      </c>
      <c r="AD375" s="5"/>
      <c r="AE375" s="5"/>
      <c r="AF375" s="5"/>
      <c r="AG375" s="5">
        <v>51</v>
      </c>
      <c r="AH375" s="5"/>
      <c r="AI375" s="5">
        <v>113</v>
      </c>
      <c r="AJ375" s="5"/>
      <c r="AK375" s="5" t="s">
        <v>996</v>
      </c>
      <c r="AL375" s="5">
        <v>2</v>
      </c>
      <c r="AM375" s="5"/>
      <c r="AN375" s="5">
        <v>10</v>
      </c>
      <c r="AO375" s="5"/>
      <c r="AP375" s="5">
        <v>0</v>
      </c>
      <c r="AQ375" s="5"/>
      <c r="AR375" s="5">
        <v>0</v>
      </c>
      <c r="AS375" s="5"/>
      <c r="AT375" s="5" t="s">
        <v>997</v>
      </c>
      <c r="AU375" s="5" t="s">
        <v>998</v>
      </c>
      <c r="AV375" s="5" t="s">
        <v>999</v>
      </c>
      <c r="AW375" s="8">
        <f>IFERROR(VLOOKUP(AA375,'Message Lookup'!D:J,7,FALSE),"")</f>
        <v>0</v>
      </c>
    </row>
    <row r="376" spans="1:49" x14ac:dyDescent="0.25">
      <c r="A376" s="5" t="s">
        <v>4574</v>
      </c>
      <c r="B376" s="5" t="s">
        <v>992</v>
      </c>
      <c r="C376" s="5" t="s">
        <v>4575</v>
      </c>
      <c r="D376" s="5"/>
      <c r="E376" s="5"/>
      <c r="F376" s="5"/>
      <c r="G376" s="5"/>
      <c r="H376" s="5"/>
      <c r="I376" s="5"/>
      <c r="J376" s="5"/>
      <c r="K376" s="5" t="s">
        <v>993</v>
      </c>
      <c r="L376" s="5" t="s">
        <v>994</v>
      </c>
      <c r="M376" s="5" t="s">
        <v>4576</v>
      </c>
      <c r="N376" s="5">
        <v>41</v>
      </c>
      <c r="O376" s="5"/>
      <c r="P376" s="5" t="s">
        <v>995</v>
      </c>
      <c r="Q376" s="5">
        <v>36</v>
      </c>
      <c r="R376" s="5">
        <v>24</v>
      </c>
      <c r="S376" s="5">
        <v>20</v>
      </c>
      <c r="T376" s="5">
        <v>0</v>
      </c>
      <c r="U376" s="5" t="b">
        <v>0</v>
      </c>
      <c r="V376" s="5">
        <v>20</v>
      </c>
      <c r="W376" s="5">
        <v>0.22</v>
      </c>
      <c r="X376" s="5" t="s">
        <v>9</v>
      </c>
      <c r="Y376" s="5">
        <v>9</v>
      </c>
      <c r="Z376" s="5"/>
      <c r="AA376" s="5" t="s">
        <v>307</v>
      </c>
      <c r="AB376" s="5" t="s">
        <v>366</v>
      </c>
      <c r="AC376" s="5" t="b">
        <v>0</v>
      </c>
      <c r="AD376" s="5"/>
      <c r="AE376" s="5"/>
      <c r="AF376" s="5"/>
      <c r="AG376" s="5">
        <v>51</v>
      </c>
      <c r="AH376" s="5"/>
      <c r="AI376" s="5">
        <v>113</v>
      </c>
      <c r="AJ376" s="5"/>
      <c r="AK376" s="5" t="s">
        <v>996</v>
      </c>
      <c r="AL376" s="5">
        <v>2</v>
      </c>
      <c r="AM376" s="5"/>
      <c r="AN376" s="5">
        <v>10</v>
      </c>
      <c r="AO376" s="5"/>
      <c r="AP376" s="5">
        <v>0</v>
      </c>
      <c r="AQ376" s="5"/>
      <c r="AR376" s="5">
        <v>0</v>
      </c>
      <c r="AS376" s="5"/>
      <c r="AT376" s="5" t="s">
        <v>997</v>
      </c>
      <c r="AU376" s="5" t="s">
        <v>998</v>
      </c>
      <c r="AV376" s="5" t="s">
        <v>999</v>
      </c>
      <c r="AW376" s="8">
        <f>IFERROR(VLOOKUP(AA376,'Message Lookup'!D:J,7,FALSE),"")</f>
        <v>0</v>
      </c>
    </row>
    <row r="377" spans="1:49" x14ac:dyDescent="0.25">
      <c r="A377" s="5" t="s">
        <v>4574</v>
      </c>
      <c r="B377" s="5" t="s">
        <v>992</v>
      </c>
      <c r="C377" s="5" t="s">
        <v>4575</v>
      </c>
      <c r="D377" s="5"/>
      <c r="E377" s="5"/>
      <c r="F377" s="5"/>
      <c r="G377" s="5"/>
      <c r="H377" s="5"/>
      <c r="I377" s="5"/>
      <c r="J377" s="5"/>
      <c r="K377" s="5" t="s">
        <v>993</v>
      </c>
      <c r="L377" s="5" t="s">
        <v>994</v>
      </c>
      <c r="M377" s="5" t="s">
        <v>4576</v>
      </c>
      <c r="N377" s="5">
        <v>41</v>
      </c>
      <c r="O377" s="5"/>
      <c r="P377" s="5" t="s">
        <v>995</v>
      </c>
      <c r="Q377" s="5">
        <v>36</v>
      </c>
      <c r="R377" s="5">
        <v>24</v>
      </c>
      <c r="S377" s="5">
        <v>20</v>
      </c>
      <c r="T377" s="5">
        <v>0</v>
      </c>
      <c r="U377" s="5" t="b">
        <v>0</v>
      </c>
      <c r="V377" s="5">
        <v>20</v>
      </c>
      <c r="W377" s="5">
        <v>0.22</v>
      </c>
      <c r="X377" s="5" t="s">
        <v>9</v>
      </c>
      <c r="Y377" s="5">
        <v>9</v>
      </c>
      <c r="Z377" s="5"/>
      <c r="AA377" s="5" t="s">
        <v>308</v>
      </c>
      <c r="AB377" s="5" t="s">
        <v>367</v>
      </c>
      <c r="AC377" s="5" t="b">
        <v>0</v>
      </c>
      <c r="AD377" s="5"/>
      <c r="AE377" s="5"/>
      <c r="AF377" s="5"/>
      <c r="AG377" s="5">
        <v>51</v>
      </c>
      <c r="AH377" s="5"/>
      <c r="AI377" s="5">
        <v>113</v>
      </c>
      <c r="AJ377" s="5"/>
      <c r="AK377" s="5" t="s">
        <v>996</v>
      </c>
      <c r="AL377" s="5">
        <v>2</v>
      </c>
      <c r="AM377" s="5"/>
      <c r="AN377" s="5">
        <v>10</v>
      </c>
      <c r="AO377" s="5"/>
      <c r="AP377" s="5">
        <v>0</v>
      </c>
      <c r="AQ377" s="5"/>
      <c r="AR377" s="5">
        <v>0</v>
      </c>
      <c r="AS377" s="5"/>
      <c r="AT377" s="5" t="s">
        <v>997</v>
      </c>
      <c r="AU377" s="5" t="s">
        <v>998</v>
      </c>
      <c r="AV377" s="5" t="s">
        <v>999</v>
      </c>
      <c r="AW377" s="8" t="str">
        <f>IFERROR(VLOOKUP(AA377,'Message Lookup'!D:J,7,FALSE),"")</f>
        <v>P-1 Discharge Pressure Bypassed</v>
      </c>
    </row>
    <row r="378" spans="1:49" x14ac:dyDescent="0.25">
      <c r="A378" s="5" t="s">
        <v>4574</v>
      </c>
      <c r="B378" s="5" t="s">
        <v>992</v>
      </c>
      <c r="C378" s="5" t="s">
        <v>4575</v>
      </c>
      <c r="D378" s="5"/>
      <c r="E378" s="5"/>
      <c r="F378" s="5"/>
      <c r="G378" s="5"/>
      <c r="H378" s="5"/>
      <c r="I378" s="5"/>
      <c r="J378" s="5"/>
      <c r="K378" s="5" t="s">
        <v>993</v>
      </c>
      <c r="L378" s="5" t="s">
        <v>994</v>
      </c>
      <c r="M378" s="5" t="s">
        <v>4576</v>
      </c>
      <c r="N378" s="5">
        <v>41</v>
      </c>
      <c r="O378" s="5"/>
      <c r="P378" s="5" t="s">
        <v>995</v>
      </c>
      <c r="Q378" s="5">
        <v>36</v>
      </c>
      <c r="R378" s="5">
        <v>24</v>
      </c>
      <c r="S378" s="5">
        <v>20</v>
      </c>
      <c r="T378" s="5">
        <v>0</v>
      </c>
      <c r="U378" s="5" t="b">
        <v>0</v>
      </c>
      <c r="V378" s="5">
        <v>20</v>
      </c>
      <c r="W378" s="5">
        <v>0.22</v>
      </c>
      <c r="X378" s="5" t="s">
        <v>9</v>
      </c>
      <c r="Y378" s="5">
        <v>9</v>
      </c>
      <c r="Z378" s="5"/>
      <c r="AA378" s="5" t="s">
        <v>309</v>
      </c>
      <c r="AB378" s="5" t="s">
        <v>368</v>
      </c>
      <c r="AC378" s="5" t="b">
        <v>0</v>
      </c>
      <c r="AD378" s="5"/>
      <c r="AE378" s="5"/>
      <c r="AF378" s="5"/>
      <c r="AG378" s="5">
        <v>51</v>
      </c>
      <c r="AH378" s="5"/>
      <c r="AI378" s="5">
        <v>113</v>
      </c>
      <c r="AJ378" s="5"/>
      <c r="AK378" s="5" t="s">
        <v>996</v>
      </c>
      <c r="AL378" s="5">
        <v>2</v>
      </c>
      <c r="AM378" s="5"/>
      <c r="AN378" s="5">
        <v>10</v>
      </c>
      <c r="AO378" s="5"/>
      <c r="AP378" s="5">
        <v>0</v>
      </c>
      <c r="AQ378" s="5"/>
      <c r="AR378" s="5">
        <v>0</v>
      </c>
      <c r="AS378" s="5"/>
      <c r="AT378" s="5" t="s">
        <v>997</v>
      </c>
      <c r="AU378" s="5" t="s">
        <v>998</v>
      </c>
      <c r="AV378" s="5" t="s">
        <v>999</v>
      </c>
      <c r="AW378" s="8" t="str">
        <f>IFERROR(VLOOKUP(AA378,'Message Lookup'!D:J,7,FALSE),"")</f>
        <v>P-2 Discharge Pressure Bypassed</v>
      </c>
    </row>
    <row r="379" spans="1:49" x14ac:dyDescent="0.25">
      <c r="A379" s="5" t="s">
        <v>4574</v>
      </c>
      <c r="B379" s="5" t="s">
        <v>992</v>
      </c>
      <c r="C379" s="5" t="s">
        <v>4575</v>
      </c>
      <c r="D379" s="5"/>
      <c r="E379" s="5"/>
      <c r="F379" s="5"/>
      <c r="G379" s="5"/>
      <c r="H379" s="5"/>
      <c r="I379" s="5"/>
      <c r="J379" s="5"/>
      <c r="K379" s="5" t="s">
        <v>993</v>
      </c>
      <c r="L379" s="5" t="s">
        <v>994</v>
      </c>
      <c r="M379" s="5" t="s">
        <v>4576</v>
      </c>
      <c r="N379" s="5">
        <v>41</v>
      </c>
      <c r="O379" s="5"/>
      <c r="P379" s="5" t="s">
        <v>995</v>
      </c>
      <c r="Q379" s="5">
        <v>36</v>
      </c>
      <c r="R379" s="5">
        <v>24</v>
      </c>
      <c r="S379" s="5">
        <v>20</v>
      </c>
      <c r="T379" s="5">
        <v>0</v>
      </c>
      <c r="U379" s="5" t="b">
        <v>0</v>
      </c>
      <c r="V379" s="5">
        <v>20</v>
      </c>
      <c r="W379" s="5">
        <v>0.22</v>
      </c>
      <c r="X379" s="5" t="s">
        <v>9</v>
      </c>
      <c r="Y379" s="5">
        <v>9</v>
      </c>
      <c r="Z379" s="5"/>
      <c r="AA379" s="5" t="s">
        <v>310</v>
      </c>
      <c r="AB379" s="5" t="s">
        <v>369</v>
      </c>
      <c r="AC379" s="5" t="b">
        <v>0</v>
      </c>
      <c r="AD379" s="5"/>
      <c r="AE379" s="5"/>
      <c r="AF379" s="5"/>
      <c r="AG379" s="5">
        <v>51</v>
      </c>
      <c r="AH379" s="5"/>
      <c r="AI379" s="5">
        <v>113</v>
      </c>
      <c r="AJ379" s="5"/>
      <c r="AK379" s="5" t="s">
        <v>996</v>
      </c>
      <c r="AL379" s="5">
        <v>2</v>
      </c>
      <c r="AM379" s="5"/>
      <c r="AN379" s="5">
        <v>10</v>
      </c>
      <c r="AO379" s="5"/>
      <c r="AP379" s="5">
        <v>0</v>
      </c>
      <c r="AQ379" s="5"/>
      <c r="AR379" s="5">
        <v>0</v>
      </c>
      <c r="AS379" s="5"/>
      <c r="AT379" s="5" t="s">
        <v>997</v>
      </c>
      <c r="AU379" s="5" t="s">
        <v>998</v>
      </c>
      <c r="AV379" s="5" t="s">
        <v>999</v>
      </c>
      <c r="AW379" s="8" t="str">
        <f>IFERROR(VLOOKUP(AA379,'Message Lookup'!D:J,7,FALSE),"")</f>
        <v>MSO Discharge Pressure Bypassed</v>
      </c>
    </row>
    <row r="380" spans="1:49" x14ac:dyDescent="0.25">
      <c r="A380" s="5" t="s">
        <v>4574</v>
      </c>
      <c r="B380" s="5" t="s">
        <v>992</v>
      </c>
      <c r="C380" s="5" t="s">
        <v>4575</v>
      </c>
      <c r="D380" s="5"/>
      <c r="E380" s="5"/>
      <c r="F380" s="5"/>
      <c r="G380" s="5"/>
      <c r="H380" s="5"/>
      <c r="I380" s="5"/>
      <c r="J380" s="5"/>
      <c r="K380" s="5" t="s">
        <v>993</v>
      </c>
      <c r="L380" s="5" t="s">
        <v>994</v>
      </c>
      <c r="M380" s="5" t="s">
        <v>4576</v>
      </c>
      <c r="N380" s="5">
        <v>41</v>
      </c>
      <c r="O380" s="5"/>
      <c r="P380" s="5" t="s">
        <v>995</v>
      </c>
      <c r="Q380" s="5">
        <v>36</v>
      </c>
      <c r="R380" s="5">
        <v>24</v>
      </c>
      <c r="S380" s="5">
        <v>20</v>
      </c>
      <c r="T380" s="5">
        <v>0</v>
      </c>
      <c r="U380" s="5" t="b">
        <v>0</v>
      </c>
      <c r="V380" s="5">
        <v>20</v>
      </c>
      <c r="W380" s="5">
        <v>0.22</v>
      </c>
      <c r="X380" s="5" t="s">
        <v>9</v>
      </c>
      <c r="Y380" s="5">
        <v>9</v>
      </c>
      <c r="Z380" s="5"/>
      <c r="AA380" s="5" t="s">
        <v>311</v>
      </c>
      <c r="AB380" s="5" t="s">
        <v>370</v>
      </c>
      <c r="AC380" s="5" t="b">
        <v>0</v>
      </c>
      <c r="AD380" s="5"/>
      <c r="AE380" s="5"/>
      <c r="AF380" s="5"/>
      <c r="AG380" s="5">
        <v>51</v>
      </c>
      <c r="AH380" s="5"/>
      <c r="AI380" s="5">
        <v>113</v>
      </c>
      <c r="AJ380" s="5"/>
      <c r="AK380" s="5" t="s">
        <v>996</v>
      </c>
      <c r="AL380" s="5">
        <v>2</v>
      </c>
      <c r="AM380" s="5"/>
      <c r="AN380" s="5">
        <v>10</v>
      </c>
      <c r="AO380" s="5"/>
      <c r="AP380" s="5">
        <v>0</v>
      </c>
      <c r="AQ380" s="5"/>
      <c r="AR380" s="5">
        <v>0</v>
      </c>
      <c r="AS380" s="5"/>
      <c r="AT380" s="5" t="s">
        <v>997</v>
      </c>
      <c r="AU380" s="5" t="s">
        <v>998</v>
      </c>
      <c r="AV380" s="5" t="s">
        <v>999</v>
      </c>
      <c r="AW380" s="8">
        <f>IFERROR(VLOOKUP(AA380,'Message Lookup'!D:J,7,FALSE),"")</f>
        <v>0</v>
      </c>
    </row>
    <row r="381" spans="1:49" x14ac:dyDescent="0.25">
      <c r="A381" s="5" t="s">
        <v>4574</v>
      </c>
      <c r="B381" s="5" t="s">
        <v>992</v>
      </c>
      <c r="C381" s="5" t="s">
        <v>4575</v>
      </c>
      <c r="D381" s="5"/>
      <c r="E381" s="5"/>
      <c r="F381" s="5"/>
      <c r="G381" s="5"/>
      <c r="H381" s="5"/>
      <c r="I381" s="5"/>
      <c r="J381" s="5"/>
      <c r="K381" s="5" t="s">
        <v>993</v>
      </c>
      <c r="L381" s="5" t="s">
        <v>994</v>
      </c>
      <c r="M381" s="5" t="s">
        <v>4576</v>
      </c>
      <c r="N381" s="5">
        <v>41</v>
      </c>
      <c r="O381" s="5"/>
      <c r="P381" s="5" t="s">
        <v>995</v>
      </c>
      <c r="Q381" s="5">
        <v>36</v>
      </c>
      <c r="R381" s="5">
        <v>24</v>
      </c>
      <c r="S381" s="5">
        <v>20</v>
      </c>
      <c r="T381" s="5">
        <v>0</v>
      </c>
      <c r="U381" s="5" t="b">
        <v>0</v>
      </c>
      <c r="V381" s="5">
        <v>20</v>
      </c>
      <c r="W381" s="5">
        <v>0.22</v>
      </c>
      <c r="X381" s="5" t="s">
        <v>9</v>
      </c>
      <c r="Y381" s="5">
        <v>9</v>
      </c>
      <c r="Z381" s="5"/>
      <c r="AA381" s="5"/>
      <c r="AB381" s="5"/>
      <c r="AC381" s="5"/>
      <c r="AD381" s="5"/>
      <c r="AE381" s="5" t="s">
        <v>1000</v>
      </c>
      <c r="AF381" s="5" t="b">
        <v>0</v>
      </c>
      <c r="AG381" s="5">
        <v>51</v>
      </c>
      <c r="AH381" s="5"/>
      <c r="AI381" s="5">
        <v>113</v>
      </c>
      <c r="AJ381" s="5"/>
      <c r="AK381" s="5" t="s">
        <v>996</v>
      </c>
      <c r="AL381" s="5">
        <v>2</v>
      </c>
      <c r="AM381" s="5"/>
      <c r="AN381" s="5">
        <v>10</v>
      </c>
      <c r="AO381" s="5"/>
      <c r="AP381" s="5">
        <v>0</v>
      </c>
      <c r="AQ381" s="5"/>
      <c r="AR381" s="5">
        <v>0</v>
      </c>
      <c r="AS381" s="5"/>
      <c r="AT381" s="5" t="s">
        <v>997</v>
      </c>
      <c r="AU381" s="5" t="s">
        <v>998</v>
      </c>
      <c r="AV381" s="5" t="s">
        <v>999</v>
      </c>
      <c r="AW381" s="8" t="str">
        <f>IFERROR(VLOOKUP(AA381,'Message Lookup'!D:J,7,FALSE),"")</f>
        <v/>
      </c>
    </row>
    <row r="382" spans="1:49" x14ac:dyDescent="0.25">
      <c r="A382" s="5" t="s">
        <v>4574</v>
      </c>
      <c r="B382" s="5" t="s">
        <v>992</v>
      </c>
      <c r="C382" s="5" t="s">
        <v>4575</v>
      </c>
      <c r="D382" s="5"/>
      <c r="E382" s="5"/>
      <c r="F382" s="5"/>
      <c r="G382" s="5"/>
      <c r="H382" s="5"/>
      <c r="I382" s="5"/>
      <c r="J382" s="5"/>
      <c r="K382" s="5" t="s">
        <v>993</v>
      </c>
      <c r="L382" s="5" t="s">
        <v>994</v>
      </c>
      <c r="M382" s="5" t="s">
        <v>4576</v>
      </c>
      <c r="N382" s="5">
        <v>41</v>
      </c>
      <c r="O382" s="5"/>
      <c r="P382" s="5" t="s">
        <v>995</v>
      </c>
      <c r="Q382" s="5">
        <v>36</v>
      </c>
      <c r="R382" s="5">
        <v>24</v>
      </c>
      <c r="S382" s="5">
        <v>20</v>
      </c>
      <c r="T382" s="5">
        <v>0</v>
      </c>
      <c r="U382" s="5" t="b">
        <v>0</v>
      </c>
      <c r="V382" s="5">
        <v>20</v>
      </c>
      <c r="W382" s="5">
        <v>0.22</v>
      </c>
      <c r="X382" s="5" t="s">
        <v>9</v>
      </c>
      <c r="Y382" s="5">
        <v>9</v>
      </c>
      <c r="Z382" s="5"/>
      <c r="AA382" s="5"/>
      <c r="AB382" s="5"/>
      <c r="AC382" s="5"/>
      <c r="AD382" s="5" t="s">
        <v>1020</v>
      </c>
      <c r="AE382" s="5" t="s">
        <v>1002</v>
      </c>
      <c r="AF382" s="5" t="b">
        <v>0</v>
      </c>
      <c r="AG382" s="5">
        <v>51</v>
      </c>
      <c r="AH382" s="5"/>
      <c r="AI382" s="5">
        <v>113</v>
      </c>
      <c r="AJ382" s="5"/>
      <c r="AK382" s="5" t="s">
        <v>996</v>
      </c>
      <c r="AL382" s="5">
        <v>2</v>
      </c>
      <c r="AM382" s="5"/>
      <c r="AN382" s="5">
        <v>10</v>
      </c>
      <c r="AO382" s="5"/>
      <c r="AP382" s="5">
        <v>0</v>
      </c>
      <c r="AQ382" s="5"/>
      <c r="AR382" s="5">
        <v>0</v>
      </c>
      <c r="AS382" s="5"/>
      <c r="AT382" s="5" t="s">
        <v>997</v>
      </c>
      <c r="AU382" s="5" t="s">
        <v>998</v>
      </c>
      <c r="AV382" s="5" t="s">
        <v>999</v>
      </c>
      <c r="AW382" s="8" t="str">
        <f>IFERROR(VLOOKUP(AA382,'Message Lookup'!D:J,7,FALSE),"")</f>
        <v/>
      </c>
    </row>
    <row r="383" spans="1:49" x14ac:dyDescent="0.25">
      <c r="A383" s="5" t="s">
        <v>4574</v>
      </c>
      <c r="B383" s="5" t="s">
        <v>992</v>
      </c>
      <c r="C383" s="5" t="s">
        <v>4575</v>
      </c>
      <c r="D383" s="5"/>
      <c r="E383" s="5"/>
      <c r="F383" s="5"/>
      <c r="G383" s="5"/>
      <c r="H383" s="5"/>
      <c r="I383" s="5"/>
      <c r="J383" s="5"/>
      <c r="K383" s="5" t="s">
        <v>993</v>
      </c>
      <c r="L383" s="5" t="s">
        <v>994</v>
      </c>
      <c r="M383" s="5" t="s">
        <v>4576</v>
      </c>
      <c r="N383" s="5">
        <v>41</v>
      </c>
      <c r="O383" s="5"/>
      <c r="P383" s="5" t="s">
        <v>995</v>
      </c>
      <c r="Q383" s="5">
        <v>36</v>
      </c>
      <c r="R383" s="5">
        <v>24</v>
      </c>
      <c r="S383" s="5">
        <v>21</v>
      </c>
      <c r="T383" s="5">
        <v>0</v>
      </c>
      <c r="U383" s="5" t="b">
        <v>0</v>
      </c>
      <c r="V383" s="5">
        <v>20</v>
      </c>
      <c r="W383" s="5">
        <v>0.23</v>
      </c>
      <c r="X383" s="5" t="s">
        <v>9</v>
      </c>
      <c r="Y383" s="5">
        <v>9</v>
      </c>
      <c r="Z383" s="5"/>
      <c r="AA383" s="5"/>
      <c r="AB383" s="5" t="s">
        <v>354</v>
      </c>
      <c r="AC383" s="5" t="b">
        <v>0</v>
      </c>
      <c r="AD383" s="5"/>
      <c r="AE383" s="5"/>
      <c r="AF383" s="5"/>
      <c r="AG383" s="5">
        <v>51</v>
      </c>
      <c r="AH383" s="5">
        <v>51</v>
      </c>
      <c r="AI383" s="5">
        <v>135</v>
      </c>
      <c r="AJ383" s="5">
        <v>135</v>
      </c>
      <c r="AK383" s="5" t="s">
        <v>996</v>
      </c>
      <c r="AL383" s="5">
        <v>2</v>
      </c>
      <c r="AM383" s="5"/>
      <c r="AN383" s="5">
        <v>10</v>
      </c>
      <c r="AO383" s="5"/>
      <c r="AP383" s="5">
        <v>0</v>
      </c>
      <c r="AQ383" s="5"/>
      <c r="AR383" s="5">
        <v>0</v>
      </c>
      <c r="AS383" s="5"/>
      <c r="AT383" s="5" t="s">
        <v>997</v>
      </c>
      <c r="AU383" s="5" t="s">
        <v>998</v>
      </c>
      <c r="AV383" s="5" t="s">
        <v>999</v>
      </c>
      <c r="AW383" s="8" t="str">
        <f>IFERROR(VLOOKUP(AA383,'Message Lookup'!D:J,7,FALSE),"")</f>
        <v/>
      </c>
    </row>
    <row r="384" spans="1:49" x14ac:dyDescent="0.25">
      <c r="A384" s="5" t="s">
        <v>4574</v>
      </c>
      <c r="B384" s="5" t="s">
        <v>992</v>
      </c>
      <c r="C384" s="5" t="s">
        <v>4575</v>
      </c>
      <c r="D384" s="5"/>
      <c r="E384" s="5"/>
      <c r="F384" s="5"/>
      <c r="G384" s="5"/>
      <c r="H384" s="5"/>
      <c r="I384" s="5"/>
      <c r="J384" s="5"/>
      <c r="K384" s="5" t="s">
        <v>993</v>
      </c>
      <c r="L384" s="5" t="s">
        <v>994</v>
      </c>
      <c r="M384" s="5" t="s">
        <v>4576</v>
      </c>
      <c r="N384" s="5">
        <v>41</v>
      </c>
      <c r="O384" s="5"/>
      <c r="P384" s="5" t="s">
        <v>995</v>
      </c>
      <c r="Q384" s="5">
        <v>36</v>
      </c>
      <c r="R384" s="5">
        <v>24</v>
      </c>
      <c r="S384" s="5">
        <v>21</v>
      </c>
      <c r="T384" s="5">
        <v>0</v>
      </c>
      <c r="U384" s="5" t="b">
        <v>0</v>
      </c>
      <c r="V384" s="5">
        <v>20</v>
      </c>
      <c r="W384" s="5">
        <v>0.23</v>
      </c>
      <c r="X384" s="5" t="s">
        <v>9</v>
      </c>
      <c r="Y384" s="5">
        <v>9</v>
      </c>
      <c r="Z384" s="5"/>
      <c r="AA384" s="5" t="s">
        <v>312</v>
      </c>
      <c r="AB384" s="5" t="s">
        <v>355</v>
      </c>
      <c r="AC384" s="5" t="b">
        <v>0</v>
      </c>
      <c r="AD384" s="5"/>
      <c r="AE384" s="5"/>
      <c r="AF384" s="5"/>
      <c r="AG384" s="5">
        <v>51</v>
      </c>
      <c r="AH384" s="5"/>
      <c r="AI384" s="5">
        <v>135</v>
      </c>
      <c r="AJ384" s="5"/>
      <c r="AK384" s="5" t="s">
        <v>996</v>
      </c>
      <c r="AL384" s="5">
        <v>2</v>
      </c>
      <c r="AM384" s="5"/>
      <c r="AN384" s="5">
        <v>10</v>
      </c>
      <c r="AO384" s="5"/>
      <c r="AP384" s="5">
        <v>0</v>
      </c>
      <c r="AQ384" s="5"/>
      <c r="AR384" s="5">
        <v>0</v>
      </c>
      <c r="AS384" s="5"/>
      <c r="AT384" s="5" t="s">
        <v>997</v>
      </c>
      <c r="AU384" s="5" t="s">
        <v>998</v>
      </c>
      <c r="AV384" s="5" t="s">
        <v>999</v>
      </c>
      <c r="AW384" s="8" t="str">
        <f>IFERROR(VLOOKUP(AA384,'Message Lookup'!D:J,7,FALSE),"")</f>
        <v>P-3 Seal Pot Pressure Bypassed</v>
      </c>
    </row>
    <row r="385" spans="1:49" x14ac:dyDescent="0.25">
      <c r="A385" s="5" t="s">
        <v>4574</v>
      </c>
      <c r="B385" s="5" t="s">
        <v>992</v>
      </c>
      <c r="C385" s="5" t="s">
        <v>4575</v>
      </c>
      <c r="D385" s="5"/>
      <c r="E385" s="5"/>
      <c r="F385" s="5"/>
      <c r="G385" s="5"/>
      <c r="H385" s="5"/>
      <c r="I385" s="5"/>
      <c r="J385" s="5"/>
      <c r="K385" s="5" t="s">
        <v>993</v>
      </c>
      <c r="L385" s="5" t="s">
        <v>994</v>
      </c>
      <c r="M385" s="5" t="s">
        <v>4576</v>
      </c>
      <c r="N385" s="5">
        <v>41</v>
      </c>
      <c r="O385" s="5"/>
      <c r="P385" s="5" t="s">
        <v>995</v>
      </c>
      <c r="Q385" s="5">
        <v>36</v>
      </c>
      <c r="R385" s="5">
        <v>24</v>
      </c>
      <c r="S385" s="5">
        <v>21</v>
      </c>
      <c r="T385" s="5">
        <v>0</v>
      </c>
      <c r="U385" s="5" t="b">
        <v>0</v>
      </c>
      <c r="V385" s="5">
        <v>20</v>
      </c>
      <c r="W385" s="5">
        <v>0.23</v>
      </c>
      <c r="X385" s="5" t="s">
        <v>9</v>
      </c>
      <c r="Y385" s="5">
        <v>9</v>
      </c>
      <c r="Z385" s="5"/>
      <c r="AA385" s="5" t="s">
        <v>313</v>
      </c>
      <c r="AB385" s="5" t="s">
        <v>356</v>
      </c>
      <c r="AC385" s="5" t="b">
        <v>0</v>
      </c>
      <c r="AD385" s="5"/>
      <c r="AE385" s="5"/>
      <c r="AF385" s="5"/>
      <c r="AG385" s="5">
        <v>51</v>
      </c>
      <c r="AH385" s="5"/>
      <c r="AI385" s="5">
        <v>135</v>
      </c>
      <c r="AJ385" s="5"/>
      <c r="AK385" s="5" t="s">
        <v>996</v>
      </c>
      <c r="AL385" s="5">
        <v>2</v>
      </c>
      <c r="AM385" s="5"/>
      <c r="AN385" s="5">
        <v>10</v>
      </c>
      <c r="AO385" s="5"/>
      <c r="AP385" s="5">
        <v>0</v>
      </c>
      <c r="AQ385" s="5"/>
      <c r="AR385" s="5">
        <v>0</v>
      </c>
      <c r="AS385" s="5"/>
      <c r="AT385" s="5" t="s">
        <v>997</v>
      </c>
      <c r="AU385" s="5" t="s">
        <v>998</v>
      </c>
      <c r="AV385" s="5" t="s">
        <v>999</v>
      </c>
      <c r="AW385" s="8">
        <f>IFERROR(VLOOKUP(AA385,'Message Lookup'!D:J,7,FALSE),"")</f>
        <v>0</v>
      </c>
    </row>
    <row r="386" spans="1:49" x14ac:dyDescent="0.25">
      <c r="A386" s="5" t="s">
        <v>4574</v>
      </c>
      <c r="B386" s="5" t="s">
        <v>992</v>
      </c>
      <c r="C386" s="5" t="s">
        <v>4575</v>
      </c>
      <c r="D386" s="5"/>
      <c r="E386" s="5"/>
      <c r="F386" s="5"/>
      <c r="G386" s="5"/>
      <c r="H386" s="5"/>
      <c r="I386" s="5"/>
      <c r="J386" s="5"/>
      <c r="K386" s="5" t="s">
        <v>993</v>
      </c>
      <c r="L386" s="5" t="s">
        <v>994</v>
      </c>
      <c r="M386" s="5" t="s">
        <v>4576</v>
      </c>
      <c r="N386" s="5">
        <v>41</v>
      </c>
      <c r="O386" s="5"/>
      <c r="P386" s="5" t="s">
        <v>995</v>
      </c>
      <c r="Q386" s="5">
        <v>36</v>
      </c>
      <c r="R386" s="5">
        <v>24</v>
      </c>
      <c r="S386" s="5">
        <v>21</v>
      </c>
      <c r="T386" s="5">
        <v>0</v>
      </c>
      <c r="U386" s="5" t="b">
        <v>0</v>
      </c>
      <c r="V386" s="5">
        <v>20</v>
      </c>
      <c r="W386" s="5">
        <v>0.23</v>
      </c>
      <c r="X386" s="5" t="s">
        <v>9</v>
      </c>
      <c r="Y386" s="5">
        <v>9</v>
      </c>
      <c r="Z386" s="5"/>
      <c r="AA386" s="5" t="s">
        <v>314</v>
      </c>
      <c r="AB386" s="5" t="s">
        <v>357</v>
      </c>
      <c r="AC386" s="5" t="b">
        <v>0</v>
      </c>
      <c r="AD386" s="5"/>
      <c r="AE386" s="5"/>
      <c r="AF386" s="5"/>
      <c r="AG386" s="5">
        <v>51</v>
      </c>
      <c r="AH386" s="5"/>
      <c r="AI386" s="5">
        <v>135</v>
      </c>
      <c r="AJ386" s="5"/>
      <c r="AK386" s="5" t="s">
        <v>996</v>
      </c>
      <c r="AL386" s="5">
        <v>2</v>
      </c>
      <c r="AM386" s="5"/>
      <c r="AN386" s="5">
        <v>10</v>
      </c>
      <c r="AO386" s="5"/>
      <c r="AP386" s="5">
        <v>0</v>
      </c>
      <c r="AQ386" s="5"/>
      <c r="AR386" s="5">
        <v>0</v>
      </c>
      <c r="AS386" s="5"/>
      <c r="AT386" s="5" t="s">
        <v>997</v>
      </c>
      <c r="AU386" s="5" t="s">
        <v>998</v>
      </c>
      <c r="AV386" s="5" t="s">
        <v>999</v>
      </c>
      <c r="AW386" s="8">
        <f>IFERROR(VLOOKUP(AA386,'Message Lookup'!D:J,7,FALSE),"")</f>
        <v>0</v>
      </c>
    </row>
    <row r="387" spans="1:49" x14ac:dyDescent="0.25">
      <c r="A387" s="5" t="s">
        <v>4574</v>
      </c>
      <c r="B387" s="5" t="s">
        <v>992</v>
      </c>
      <c r="C387" s="5" t="s">
        <v>4575</v>
      </c>
      <c r="D387" s="5"/>
      <c r="E387" s="5"/>
      <c r="F387" s="5"/>
      <c r="G387" s="5"/>
      <c r="H387" s="5"/>
      <c r="I387" s="5"/>
      <c r="J387" s="5"/>
      <c r="K387" s="5" t="s">
        <v>993</v>
      </c>
      <c r="L387" s="5" t="s">
        <v>994</v>
      </c>
      <c r="M387" s="5" t="s">
        <v>4576</v>
      </c>
      <c r="N387" s="5">
        <v>41</v>
      </c>
      <c r="O387" s="5"/>
      <c r="P387" s="5" t="s">
        <v>995</v>
      </c>
      <c r="Q387" s="5">
        <v>36</v>
      </c>
      <c r="R387" s="5">
        <v>24</v>
      </c>
      <c r="S387" s="5">
        <v>21</v>
      </c>
      <c r="T387" s="5">
        <v>0</v>
      </c>
      <c r="U387" s="5" t="b">
        <v>0</v>
      </c>
      <c r="V387" s="5">
        <v>20</v>
      </c>
      <c r="W387" s="5">
        <v>0.23</v>
      </c>
      <c r="X387" s="5" t="s">
        <v>9</v>
      </c>
      <c r="Y387" s="5">
        <v>9</v>
      </c>
      <c r="Z387" s="5"/>
      <c r="AA387" s="5" t="s">
        <v>315</v>
      </c>
      <c r="AB387" s="5" t="s">
        <v>358</v>
      </c>
      <c r="AC387" s="5" t="b">
        <v>0</v>
      </c>
      <c r="AD387" s="5"/>
      <c r="AE387" s="5"/>
      <c r="AF387" s="5"/>
      <c r="AG387" s="5">
        <v>51</v>
      </c>
      <c r="AH387" s="5"/>
      <c r="AI387" s="5">
        <v>135</v>
      </c>
      <c r="AJ387" s="5"/>
      <c r="AK387" s="5" t="s">
        <v>996</v>
      </c>
      <c r="AL387" s="5">
        <v>2</v>
      </c>
      <c r="AM387" s="5"/>
      <c r="AN387" s="5">
        <v>10</v>
      </c>
      <c r="AO387" s="5"/>
      <c r="AP387" s="5">
        <v>0</v>
      </c>
      <c r="AQ387" s="5"/>
      <c r="AR387" s="5">
        <v>0</v>
      </c>
      <c r="AS387" s="5"/>
      <c r="AT387" s="5" t="s">
        <v>997</v>
      </c>
      <c r="AU387" s="5" t="s">
        <v>998</v>
      </c>
      <c r="AV387" s="5" t="s">
        <v>999</v>
      </c>
      <c r="AW387" s="8">
        <f>IFERROR(VLOOKUP(AA387,'Message Lookup'!D:J,7,FALSE),"")</f>
        <v>0</v>
      </c>
    </row>
    <row r="388" spans="1:49" x14ac:dyDescent="0.25">
      <c r="A388" s="5" t="s">
        <v>4574</v>
      </c>
      <c r="B388" s="5" t="s">
        <v>992</v>
      </c>
      <c r="C388" s="5" t="s">
        <v>4575</v>
      </c>
      <c r="D388" s="5"/>
      <c r="E388" s="5"/>
      <c r="F388" s="5"/>
      <c r="G388" s="5"/>
      <c r="H388" s="5"/>
      <c r="I388" s="5"/>
      <c r="J388" s="5"/>
      <c r="K388" s="5" t="s">
        <v>993</v>
      </c>
      <c r="L388" s="5" t="s">
        <v>994</v>
      </c>
      <c r="M388" s="5" t="s">
        <v>4576</v>
      </c>
      <c r="N388" s="5">
        <v>41</v>
      </c>
      <c r="O388" s="5"/>
      <c r="P388" s="5" t="s">
        <v>995</v>
      </c>
      <c r="Q388" s="5">
        <v>36</v>
      </c>
      <c r="R388" s="5">
        <v>24</v>
      </c>
      <c r="S388" s="5">
        <v>21</v>
      </c>
      <c r="T388" s="5">
        <v>0</v>
      </c>
      <c r="U388" s="5" t="b">
        <v>0</v>
      </c>
      <c r="V388" s="5">
        <v>20</v>
      </c>
      <c r="W388" s="5">
        <v>0.23</v>
      </c>
      <c r="X388" s="5" t="s">
        <v>9</v>
      </c>
      <c r="Y388" s="5">
        <v>9</v>
      </c>
      <c r="Z388" s="5"/>
      <c r="AA388" s="5" t="s">
        <v>316</v>
      </c>
      <c r="AB388" s="5" t="s">
        <v>359</v>
      </c>
      <c r="AC388" s="5" t="b">
        <v>0</v>
      </c>
      <c r="AD388" s="5"/>
      <c r="AE388" s="5"/>
      <c r="AF388" s="5"/>
      <c r="AG388" s="5">
        <v>51</v>
      </c>
      <c r="AH388" s="5"/>
      <c r="AI388" s="5">
        <v>135</v>
      </c>
      <c r="AJ388" s="5"/>
      <c r="AK388" s="5" t="s">
        <v>996</v>
      </c>
      <c r="AL388" s="5">
        <v>2</v>
      </c>
      <c r="AM388" s="5"/>
      <c r="AN388" s="5">
        <v>10</v>
      </c>
      <c r="AO388" s="5"/>
      <c r="AP388" s="5">
        <v>0</v>
      </c>
      <c r="AQ388" s="5"/>
      <c r="AR388" s="5">
        <v>0</v>
      </c>
      <c r="AS388" s="5"/>
      <c r="AT388" s="5" t="s">
        <v>997</v>
      </c>
      <c r="AU388" s="5" t="s">
        <v>998</v>
      </c>
      <c r="AV388" s="5" t="s">
        <v>999</v>
      </c>
      <c r="AW388" s="8" t="str">
        <f>IFERROR(VLOOKUP(AA388,'Message Lookup'!D:J,7,FALSE),"")</f>
        <v>P-4 Seal Pot Pressure Bypassed</v>
      </c>
    </row>
    <row r="389" spans="1:49" x14ac:dyDescent="0.25">
      <c r="A389" s="5" t="s">
        <v>4574</v>
      </c>
      <c r="B389" s="5" t="s">
        <v>992</v>
      </c>
      <c r="C389" s="5" t="s">
        <v>4575</v>
      </c>
      <c r="D389" s="5"/>
      <c r="E389" s="5"/>
      <c r="F389" s="5"/>
      <c r="G389" s="5"/>
      <c r="H389" s="5"/>
      <c r="I389" s="5"/>
      <c r="J389" s="5"/>
      <c r="K389" s="5" t="s">
        <v>993</v>
      </c>
      <c r="L389" s="5" t="s">
        <v>994</v>
      </c>
      <c r="M389" s="5" t="s">
        <v>4576</v>
      </c>
      <c r="N389" s="5">
        <v>41</v>
      </c>
      <c r="O389" s="5"/>
      <c r="P389" s="5" t="s">
        <v>995</v>
      </c>
      <c r="Q389" s="5">
        <v>36</v>
      </c>
      <c r="R389" s="5">
        <v>24</v>
      </c>
      <c r="S389" s="5">
        <v>21</v>
      </c>
      <c r="T389" s="5">
        <v>0</v>
      </c>
      <c r="U389" s="5" t="b">
        <v>0</v>
      </c>
      <c r="V389" s="5">
        <v>20</v>
      </c>
      <c r="W389" s="5">
        <v>0.23</v>
      </c>
      <c r="X389" s="5" t="s">
        <v>9</v>
      </c>
      <c r="Y389" s="5">
        <v>9</v>
      </c>
      <c r="Z389" s="5"/>
      <c r="AA389" s="5" t="s">
        <v>317</v>
      </c>
      <c r="AB389" s="5" t="s">
        <v>360</v>
      </c>
      <c r="AC389" s="5" t="b">
        <v>0</v>
      </c>
      <c r="AD389" s="5"/>
      <c r="AE389" s="5"/>
      <c r="AF389" s="5"/>
      <c r="AG389" s="5">
        <v>51</v>
      </c>
      <c r="AH389" s="5"/>
      <c r="AI389" s="5">
        <v>135</v>
      </c>
      <c r="AJ389" s="5"/>
      <c r="AK389" s="5" t="s">
        <v>996</v>
      </c>
      <c r="AL389" s="5">
        <v>2</v>
      </c>
      <c r="AM389" s="5"/>
      <c r="AN389" s="5">
        <v>10</v>
      </c>
      <c r="AO389" s="5"/>
      <c r="AP389" s="5">
        <v>0</v>
      </c>
      <c r="AQ389" s="5"/>
      <c r="AR389" s="5">
        <v>0</v>
      </c>
      <c r="AS389" s="5"/>
      <c r="AT389" s="5" t="s">
        <v>997</v>
      </c>
      <c r="AU389" s="5" t="s">
        <v>998</v>
      </c>
      <c r="AV389" s="5" t="s">
        <v>999</v>
      </c>
      <c r="AW389" s="8" t="str">
        <f>IFERROR(VLOOKUP(AA389,'Message Lookup'!D:J,7,FALSE),"")</f>
        <v>MSO Meter Rum Temp Bypassed</v>
      </c>
    </row>
    <row r="390" spans="1:49" x14ac:dyDescent="0.25">
      <c r="A390" s="5" t="s">
        <v>4574</v>
      </c>
      <c r="B390" s="5" t="s">
        <v>992</v>
      </c>
      <c r="C390" s="5" t="s">
        <v>4575</v>
      </c>
      <c r="D390" s="5"/>
      <c r="E390" s="5"/>
      <c r="F390" s="5"/>
      <c r="G390" s="5"/>
      <c r="H390" s="5"/>
      <c r="I390" s="5"/>
      <c r="J390" s="5"/>
      <c r="K390" s="5" t="s">
        <v>993</v>
      </c>
      <c r="L390" s="5" t="s">
        <v>994</v>
      </c>
      <c r="M390" s="5" t="s">
        <v>4576</v>
      </c>
      <c r="N390" s="5">
        <v>41</v>
      </c>
      <c r="O390" s="5"/>
      <c r="P390" s="5" t="s">
        <v>995</v>
      </c>
      <c r="Q390" s="5">
        <v>36</v>
      </c>
      <c r="R390" s="5">
        <v>24</v>
      </c>
      <c r="S390" s="5">
        <v>21</v>
      </c>
      <c r="T390" s="5">
        <v>0</v>
      </c>
      <c r="U390" s="5" t="b">
        <v>0</v>
      </c>
      <c r="V390" s="5">
        <v>20</v>
      </c>
      <c r="W390" s="5">
        <v>0.23</v>
      </c>
      <c r="X390" s="5" t="s">
        <v>9</v>
      </c>
      <c r="Y390" s="5">
        <v>9</v>
      </c>
      <c r="Z390" s="5"/>
      <c r="AA390" s="5" t="s">
        <v>318</v>
      </c>
      <c r="AB390" s="5" t="s">
        <v>361</v>
      </c>
      <c r="AC390" s="5" t="b">
        <v>0</v>
      </c>
      <c r="AD390" s="5"/>
      <c r="AE390" s="5"/>
      <c r="AF390" s="5"/>
      <c r="AG390" s="5">
        <v>51</v>
      </c>
      <c r="AH390" s="5"/>
      <c r="AI390" s="5">
        <v>135</v>
      </c>
      <c r="AJ390" s="5"/>
      <c r="AK390" s="5" t="s">
        <v>996</v>
      </c>
      <c r="AL390" s="5">
        <v>2</v>
      </c>
      <c r="AM390" s="5"/>
      <c r="AN390" s="5">
        <v>10</v>
      </c>
      <c r="AO390" s="5"/>
      <c r="AP390" s="5">
        <v>0</v>
      </c>
      <c r="AQ390" s="5"/>
      <c r="AR390" s="5">
        <v>0</v>
      </c>
      <c r="AS390" s="5"/>
      <c r="AT390" s="5" t="s">
        <v>997</v>
      </c>
      <c r="AU390" s="5" t="s">
        <v>998</v>
      </c>
      <c r="AV390" s="5" t="s">
        <v>999</v>
      </c>
      <c r="AW390" s="8" t="str">
        <f>IFERROR(VLOOKUP(AA390,'Message Lookup'!D:J,7,FALSE),"")</f>
        <v>TIT-200 MSO Meter Rum Temp Bypassed</v>
      </c>
    </row>
    <row r="391" spans="1:49" x14ac:dyDescent="0.25">
      <c r="A391" s="5" t="s">
        <v>4574</v>
      </c>
      <c r="B391" s="5" t="s">
        <v>992</v>
      </c>
      <c r="C391" s="5" t="s">
        <v>4575</v>
      </c>
      <c r="D391" s="5"/>
      <c r="E391" s="5"/>
      <c r="F391" s="5"/>
      <c r="G391" s="5"/>
      <c r="H391" s="5"/>
      <c r="I391" s="5"/>
      <c r="J391" s="5"/>
      <c r="K391" s="5" t="s">
        <v>993</v>
      </c>
      <c r="L391" s="5" t="s">
        <v>994</v>
      </c>
      <c r="M391" s="5" t="s">
        <v>4576</v>
      </c>
      <c r="N391" s="5">
        <v>41</v>
      </c>
      <c r="O391" s="5"/>
      <c r="P391" s="5" t="s">
        <v>995</v>
      </c>
      <c r="Q391" s="5">
        <v>36</v>
      </c>
      <c r="R391" s="5">
        <v>24</v>
      </c>
      <c r="S391" s="5">
        <v>21</v>
      </c>
      <c r="T391" s="5">
        <v>0</v>
      </c>
      <c r="U391" s="5" t="b">
        <v>0</v>
      </c>
      <c r="V391" s="5">
        <v>20</v>
      </c>
      <c r="W391" s="5">
        <v>0.23</v>
      </c>
      <c r="X391" s="5" t="s">
        <v>9</v>
      </c>
      <c r="Y391" s="5">
        <v>9</v>
      </c>
      <c r="Z391" s="5"/>
      <c r="AA391" s="5" t="s">
        <v>319</v>
      </c>
      <c r="AB391" s="5" t="s">
        <v>362</v>
      </c>
      <c r="AC391" s="5" t="b">
        <v>0</v>
      </c>
      <c r="AD391" s="5"/>
      <c r="AE391" s="5"/>
      <c r="AF391" s="5"/>
      <c r="AG391" s="5">
        <v>51</v>
      </c>
      <c r="AH391" s="5"/>
      <c r="AI391" s="5">
        <v>135</v>
      </c>
      <c r="AJ391" s="5"/>
      <c r="AK391" s="5" t="s">
        <v>996</v>
      </c>
      <c r="AL391" s="5">
        <v>2</v>
      </c>
      <c r="AM391" s="5"/>
      <c r="AN391" s="5">
        <v>10</v>
      </c>
      <c r="AO391" s="5"/>
      <c r="AP391" s="5">
        <v>0</v>
      </c>
      <c r="AQ391" s="5"/>
      <c r="AR391" s="5">
        <v>0</v>
      </c>
      <c r="AS391" s="5"/>
      <c r="AT391" s="5" t="s">
        <v>997</v>
      </c>
      <c r="AU391" s="5" t="s">
        <v>998</v>
      </c>
      <c r="AV391" s="5" t="s">
        <v>999</v>
      </c>
      <c r="AW391" s="8" t="str">
        <f>IFERROR(VLOOKUP(AA391,'Message Lookup'!D:J,7,FALSE),"")</f>
        <v>TIT-303 MSO Meter Rum Temp Bypassed</v>
      </c>
    </row>
    <row r="392" spans="1:49" x14ac:dyDescent="0.25">
      <c r="A392" s="5" t="s">
        <v>4574</v>
      </c>
      <c r="B392" s="5" t="s">
        <v>992</v>
      </c>
      <c r="C392" s="5" t="s">
        <v>4575</v>
      </c>
      <c r="D392" s="5"/>
      <c r="E392" s="5"/>
      <c r="F392" s="5"/>
      <c r="G392" s="5"/>
      <c r="H392" s="5"/>
      <c r="I392" s="5"/>
      <c r="J392" s="5"/>
      <c r="K392" s="5" t="s">
        <v>993</v>
      </c>
      <c r="L392" s="5" t="s">
        <v>994</v>
      </c>
      <c r="M392" s="5" t="s">
        <v>4576</v>
      </c>
      <c r="N392" s="5">
        <v>41</v>
      </c>
      <c r="O392" s="5"/>
      <c r="P392" s="5" t="s">
        <v>995</v>
      </c>
      <c r="Q392" s="5">
        <v>36</v>
      </c>
      <c r="R392" s="5">
        <v>24</v>
      </c>
      <c r="S392" s="5">
        <v>21</v>
      </c>
      <c r="T392" s="5">
        <v>0</v>
      </c>
      <c r="U392" s="5" t="b">
        <v>0</v>
      </c>
      <c r="V392" s="5">
        <v>20</v>
      </c>
      <c r="W392" s="5">
        <v>0.23</v>
      </c>
      <c r="X392" s="5" t="s">
        <v>9</v>
      </c>
      <c r="Y392" s="5">
        <v>9</v>
      </c>
      <c r="Z392" s="5"/>
      <c r="AA392" s="5" t="s">
        <v>320</v>
      </c>
      <c r="AB392" s="5" t="s">
        <v>363</v>
      </c>
      <c r="AC392" s="5" t="b">
        <v>0</v>
      </c>
      <c r="AD392" s="5"/>
      <c r="AE392" s="5"/>
      <c r="AF392" s="5"/>
      <c r="AG392" s="5">
        <v>51</v>
      </c>
      <c r="AH392" s="5"/>
      <c r="AI392" s="5">
        <v>135</v>
      </c>
      <c r="AJ392" s="5"/>
      <c r="AK392" s="5" t="s">
        <v>996</v>
      </c>
      <c r="AL392" s="5">
        <v>2</v>
      </c>
      <c r="AM392" s="5"/>
      <c r="AN392" s="5">
        <v>10</v>
      </c>
      <c r="AO392" s="5"/>
      <c r="AP392" s="5">
        <v>0</v>
      </c>
      <c r="AQ392" s="5"/>
      <c r="AR392" s="5">
        <v>0</v>
      </c>
      <c r="AS392" s="5"/>
      <c r="AT392" s="5" t="s">
        <v>997</v>
      </c>
      <c r="AU392" s="5" t="s">
        <v>998</v>
      </c>
      <c r="AV392" s="5" t="s">
        <v>999</v>
      </c>
      <c r="AW392" s="8" t="str">
        <f>IFERROR(VLOOKUP(AA392,'Message Lookup'!D:J,7,FALSE),"")</f>
        <v>P-1 Vibration Bypassed</v>
      </c>
    </row>
    <row r="393" spans="1:49" x14ac:dyDescent="0.25">
      <c r="A393" s="5" t="s">
        <v>4574</v>
      </c>
      <c r="B393" s="5" t="s">
        <v>992</v>
      </c>
      <c r="C393" s="5" t="s">
        <v>4575</v>
      </c>
      <c r="D393" s="5"/>
      <c r="E393" s="5"/>
      <c r="F393" s="5"/>
      <c r="G393" s="5"/>
      <c r="H393" s="5"/>
      <c r="I393" s="5"/>
      <c r="J393" s="5"/>
      <c r="K393" s="5" t="s">
        <v>993</v>
      </c>
      <c r="L393" s="5" t="s">
        <v>994</v>
      </c>
      <c r="M393" s="5" t="s">
        <v>4576</v>
      </c>
      <c r="N393" s="5">
        <v>41</v>
      </c>
      <c r="O393" s="5"/>
      <c r="P393" s="5" t="s">
        <v>995</v>
      </c>
      <c r="Q393" s="5">
        <v>36</v>
      </c>
      <c r="R393" s="5">
        <v>24</v>
      </c>
      <c r="S393" s="5">
        <v>21</v>
      </c>
      <c r="T393" s="5">
        <v>0</v>
      </c>
      <c r="U393" s="5" t="b">
        <v>0</v>
      </c>
      <c r="V393" s="5">
        <v>20</v>
      </c>
      <c r="W393" s="5">
        <v>0.23</v>
      </c>
      <c r="X393" s="5" t="s">
        <v>9</v>
      </c>
      <c r="Y393" s="5">
        <v>9</v>
      </c>
      <c r="Z393" s="5"/>
      <c r="AA393" s="5" t="s">
        <v>321</v>
      </c>
      <c r="AB393" s="5" t="s">
        <v>364</v>
      </c>
      <c r="AC393" s="5" t="b">
        <v>0</v>
      </c>
      <c r="AD393" s="5"/>
      <c r="AE393" s="5"/>
      <c r="AF393" s="5"/>
      <c r="AG393" s="5">
        <v>51</v>
      </c>
      <c r="AH393" s="5"/>
      <c r="AI393" s="5">
        <v>135</v>
      </c>
      <c r="AJ393" s="5"/>
      <c r="AK393" s="5" t="s">
        <v>996</v>
      </c>
      <c r="AL393" s="5">
        <v>2</v>
      </c>
      <c r="AM393" s="5"/>
      <c r="AN393" s="5">
        <v>10</v>
      </c>
      <c r="AO393" s="5"/>
      <c r="AP393" s="5">
        <v>0</v>
      </c>
      <c r="AQ393" s="5"/>
      <c r="AR393" s="5">
        <v>0</v>
      </c>
      <c r="AS393" s="5"/>
      <c r="AT393" s="5" t="s">
        <v>997</v>
      </c>
      <c r="AU393" s="5" t="s">
        <v>998</v>
      </c>
      <c r="AV393" s="5" t="s">
        <v>999</v>
      </c>
      <c r="AW393" s="8">
        <f>IFERROR(VLOOKUP(AA393,'Message Lookup'!D:J,7,FALSE),"")</f>
        <v>0</v>
      </c>
    </row>
    <row r="394" spans="1:49" x14ac:dyDescent="0.25">
      <c r="A394" s="5" t="s">
        <v>4574</v>
      </c>
      <c r="B394" s="5" t="s">
        <v>992</v>
      </c>
      <c r="C394" s="5" t="s">
        <v>4575</v>
      </c>
      <c r="D394" s="5"/>
      <c r="E394" s="5"/>
      <c r="F394" s="5"/>
      <c r="G394" s="5"/>
      <c r="H394" s="5"/>
      <c r="I394" s="5"/>
      <c r="J394" s="5"/>
      <c r="K394" s="5" t="s">
        <v>993</v>
      </c>
      <c r="L394" s="5" t="s">
        <v>994</v>
      </c>
      <c r="M394" s="5" t="s">
        <v>4576</v>
      </c>
      <c r="N394" s="5">
        <v>41</v>
      </c>
      <c r="O394" s="5"/>
      <c r="P394" s="5" t="s">
        <v>995</v>
      </c>
      <c r="Q394" s="5">
        <v>36</v>
      </c>
      <c r="R394" s="5">
        <v>24</v>
      </c>
      <c r="S394" s="5">
        <v>21</v>
      </c>
      <c r="T394" s="5">
        <v>0</v>
      </c>
      <c r="U394" s="5" t="b">
        <v>0</v>
      </c>
      <c r="V394" s="5">
        <v>20</v>
      </c>
      <c r="W394" s="5">
        <v>0.23</v>
      </c>
      <c r="X394" s="5" t="s">
        <v>9</v>
      </c>
      <c r="Y394" s="5">
        <v>9</v>
      </c>
      <c r="Z394" s="5"/>
      <c r="AA394" s="5" t="s">
        <v>322</v>
      </c>
      <c r="AB394" s="5" t="s">
        <v>365</v>
      </c>
      <c r="AC394" s="5" t="b">
        <v>0</v>
      </c>
      <c r="AD394" s="5"/>
      <c r="AE394" s="5"/>
      <c r="AF394" s="5"/>
      <c r="AG394" s="5">
        <v>51</v>
      </c>
      <c r="AH394" s="5"/>
      <c r="AI394" s="5">
        <v>135</v>
      </c>
      <c r="AJ394" s="5"/>
      <c r="AK394" s="5" t="s">
        <v>996</v>
      </c>
      <c r="AL394" s="5">
        <v>2</v>
      </c>
      <c r="AM394" s="5"/>
      <c r="AN394" s="5">
        <v>10</v>
      </c>
      <c r="AO394" s="5"/>
      <c r="AP394" s="5">
        <v>0</v>
      </c>
      <c r="AQ394" s="5"/>
      <c r="AR394" s="5">
        <v>0</v>
      </c>
      <c r="AS394" s="5"/>
      <c r="AT394" s="5" t="s">
        <v>997</v>
      </c>
      <c r="AU394" s="5" t="s">
        <v>998</v>
      </c>
      <c r="AV394" s="5" t="s">
        <v>999</v>
      </c>
      <c r="AW394" s="8">
        <f>IFERROR(VLOOKUP(AA394,'Message Lookup'!D:J,7,FALSE),"")</f>
        <v>0</v>
      </c>
    </row>
    <row r="395" spans="1:49" x14ac:dyDescent="0.25">
      <c r="A395" s="5" t="s">
        <v>4574</v>
      </c>
      <c r="B395" s="5" t="s">
        <v>992</v>
      </c>
      <c r="C395" s="5" t="s">
        <v>4575</v>
      </c>
      <c r="D395" s="5"/>
      <c r="E395" s="5"/>
      <c r="F395" s="5"/>
      <c r="G395" s="5"/>
      <c r="H395" s="5"/>
      <c r="I395" s="5"/>
      <c r="J395" s="5"/>
      <c r="K395" s="5" t="s">
        <v>993</v>
      </c>
      <c r="L395" s="5" t="s">
        <v>994</v>
      </c>
      <c r="M395" s="5" t="s">
        <v>4576</v>
      </c>
      <c r="N395" s="5">
        <v>41</v>
      </c>
      <c r="O395" s="5"/>
      <c r="P395" s="5" t="s">
        <v>995</v>
      </c>
      <c r="Q395" s="5">
        <v>36</v>
      </c>
      <c r="R395" s="5">
        <v>24</v>
      </c>
      <c r="S395" s="5">
        <v>21</v>
      </c>
      <c r="T395" s="5">
        <v>0</v>
      </c>
      <c r="U395" s="5" t="b">
        <v>0</v>
      </c>
      <c r="V395" s="5">
        <v>20</v>
      </c>
      <c r="W395" s="5">
        <v>0.23</v>
      </c>
      <c r="X395" s="5" t="s">
        <v>9</v>
      </c>
      <c r="Y395" s="5">
        <v>9</v>
      </c>
      <c r="Z395" s="5"/>
      <c r="AA395" s="5"/>
      <c r="AB395" s="5" t="s">
        <v>366</v>
      </c>
      <c r="AC395" s="5" t="b">
        <v>0</v>
      </c>
      <c r="AD395" s="5"/>
      <c r="AE395" s="5"/>
      <c r="AF395" s="5"/>
      <c r="AG395" s="5">
        <v>51</v>
      </c>
      <c r="AH395" s="5"/>
      <c r="AI395" s="5">
        <v>135</v>
      </c>
      <c r="AJ395" s="5"/>
      <c r="AK395" s="5" t="s">
        <v>996</v>
      </c>
      <c r="AL395" s="5">
        <v>2</v>
      </c>
      <c r="AM395" s="5"/>
      <c r="AN395" s="5">
        <v>10</v>
      </c>
      <c r="AO395" s="5"/>
      <c r="AP395" s="5">
        <v>0</v>
      </c>
      <c r="AQ395" s="5"/>
      <c r="AR395" s="5">
        <v>0</v>
      </c>
      <c r="AS395" s="5"/>
      <c r="AT395" s="5" t="s">
        <v>997</v>
      </c>
      <c r="AU395" s="5" t="s">
        <v>998</v>
      </c>
      <c r="AV395" s="5" t="s">
        <v>999</v>
      </c>
      <c r="AW395" s="8" t="str">
        <f>IFERROR(VLOOKUP(AA395,'Message Lookup'!D:J,7,FALSE),"")</f>
        <v/>
      </c>
    </row>
    <row r="396" spans="1:49" x14ac:dyDescent="0.25">
      <c r="A396" s="5" t="s">
        <v>4574</v>
      </c>
      <c r="B396" s="5" t="s">
        <v>992</v>
      </c>
      <c r="C396" s="5" t="s">
        <v>4575</v>
      </c>
      <c r="D396" s="5"/>
      <c r="E396" s="5"/>
      <c r="F396" s="5"/>
      <c r="G396" s="5"/>
      <c r="H396" s="5"/>
      <c r="I396" s="5"/>
      <c r="J396" s="5"/>
      <c r="K396" s="5" t="s">
        <v>993</v>
      </c>
      <c r="L396" s="5" t="s">
        <v>994</v>
      </c>
      <c r="M396" s="5" t="s">
        <v>4576</v>
      </c>
      <c r="N396" s="5">
        <v>41</v>
      </c>
      <c r="O396" s="5"/>
      <c r="P396" s="5" t="s">
        <v>995</v>
      </c>
      <c r="Q396" s="5">
        <v>36</v>
      </c>
      <c r="R396" s="5">
        <v>24</v>
      </c>
      <c r="S396" s="5">
        <v>21</v>
      </c>
      <c r="T396" s="5">
        <v>0</v>
      </c>
      <c r="U396" s="5" t="b">
        <v>0</v>
      </c>
      <c r="V396" s="5">
        <v>20</v>
      </c>
      <c r="W396" s="5">
        <v>0.23</v>
      </c>
      <c r="X396" s="5" t="s">
        <v>9</v>
      </c>
      <c r="Y396" s="5">
        <v>9</v>
      </c>
      <c r="Z396" s="5"/>
      <c r="AA396" s="5"/>
      <c r="AB396" s="5" t="s">
        <v>367</v>
      </c>
      <c r="AC396" s="5" t="b">
        <v>0</v>
      </c>
      <c r="AD396" s="5"/>
      <c r="AE396" s="5"/>
      <c r="AF396" s="5"/>
      <c r="AG396" s="5">
        <v>51</v>
      </c>
      <c r="AH396" s="5"/>
      <c r="AI396" s="5">
        <v>135</v>
      </c>
      <c r="AJ396" s="5"/>
      <c r="AK396" s="5" t="s">
        <v>996</v>
      </c>
      <c r="AL396" s="5">
        <v>2</v>
      </c>
      <c r="AM396" s="5"/>
      <c r="AN396" s="5">
        <v>10</v>
      </c>
      <c r="AO396" s="5"/>
      <c r="AP396" s="5">
        <v>0</v>
      </c>
      <c r="AQ396" s="5"/>
      <c r="AR396" s="5">
        <v>0</v>
      </c>
      <c r="AS396" s="5"/>
      <c r="AT396" s="5" t="s">
        <v>997</v>
      </c>
      <c r="AU396" s="5" t="s">
        <v>998</v>
      </c>
      <c r="AV396" s="5" t="s">
        <v>999</v>
      </c>
      <c r="AW396" s="8" t="str">
        <f>IFERROR(VLOOKUP(AA396,'Message Lookup'!D:J,7,FALSE),"")</f>
        <v/>
      </c>
    </row>
    <row r="397" spans="1:49" x14ac:dyDescent="0.25">
      <c r="A397" s="5" t="s">
        <v>4574</v>
      </c>
      <c r="B397" s="5" t="s">
        <v>992</v>
      </c>
      <c r="C397" s="5" t="s">
        <v>4575</v>
      </c>
      <c r="D397" s="5"/>
      <c r="E397" s="5"/>
      <c r="F397" s="5"/>
      <c r="G397" s="5"/>
      <c r="H397" s="5"/>
      <c r="I397" s="5"/>
      <c r="J397" s="5"/>
      <c r="K397" s="5" t="s">
        <v>993</v>
      </c>
      <c r="L397" s="5" t="s">
        <v>994</v>
      </c>
      <c r="M397" s="5" t="s">
        <v>4576</v>
      </c>
      <c r="N397" s="5">
        <v>41</v>
      </c>
      <c r="O397" s="5"/>
      <c r="P397" s="5" t="s">
        <v>995</v>
      </c>
      <c r="Q397" s="5">
        <v>36</v>
      </c>
      <c r="R397" s="5">
        <v>24</v>
      </c>
      <c r="S397" s="5">
        <v>21</v>
      </c>
      <c r="T397" s="5">
        <v>0</v>
      </c>
      <c r="U397" s="5" t="b">
        <v>0</v>
      </c>
      <c r="V397" s="5">
        <v>20</v>
      </c>
      <c r="W397" s="5">
        <v>0.23</v>
      </c>
      <c r="X397" s="5" t="s">
        <v>9</v>
      </c>
      <c r="Y397" s="5">
        <v>9</v>
      </c>
      <c r="Z397" s="5"/>
      <c r="AA397" s="5"/>
      <c r="AB397" s="5" t="s">
        <v>368</v>
      </c>
      <c r="AC397" s="5" t="b">
        <v>0</v>
      </c>
      <c r="AD397" s="5"/>
      <c r="AE397" s="5"/>
      <c r="AF397" s="5"/>
      <c r="AG397" s="5">
        <v>51</v>
      </c>
      <c r="AH397" s="5"/>
      <c r="AI397" s="5">
        <v>135</v>
      </c>
      <c r="AJ397" s="5"/>
      <c r="AK397" s="5" t="s">
        <v>996</v>
      </c>
      <c r="AL397" s="5">
        <v>2</v>
      </c>
      <c r="AM397" s="5"/>
      <c r="AN397" s="5">
        <v>10</v>
      </c>
      <c r="AO397" s="5"/>
      <c r="AP397" s="5">
        <v>0</v>
      </c>
      <c r="AQ397" s="5"/>
      <c r="AR397" s="5">
        <v>0</v>
      </c>
      <c r="AS397" s="5"/>
      <c r="AT397" s="5" t="s">
        <v>997</v>
      </c>
      <c r="AU397" s="5" t="s">
        <v>998</v>
      </c>
      <c r="AV397" s="5" t="s">
        <v>999</v>
      </c>
      <c r="AW397" s="8" t="str">
        <f>IFERROR(VLOOKUP(AA397,'Message Lookup'!D:J,7,FALSE),"")</f>
        <v/>
      </c>
    </row>
    <row r="398" spans="1:49" x14ac:dyDescent="0.25">
      <c r="A398" s="5" t="s">
        <v>4574</v>
      </c>
      <c r="B398" s="5" t="s">
        <v>992</v>
      </c>
      <c r="C398" s="5" t="s">
        <v>4575</v>
      </c>
      <c r="D398" s="5"/>
      <c r="E398" s="5"/>
      <c r="F398" s="5"/>
      <c r="G398" s="5"/>
      <c r="H398" s="5"/>
      <c r="I398" s="5"/>
      <c r="J398" s="5"/>
      <c r="K398" s="5" t="s">
        <v>993</v>
      </c>
      <c r="L398" s="5" t="s">
        <v>994</v>
      </c>
      <c r="M398" s="5" t="s">
        <v>4576</v>
      </c>
      <c r="N398" s="5">
        <v>41</v>
      </c>
      <c r="O398" s="5"/>
      <c r="P398" s="5" t="s">
        <v>995</v>
      </c>
      <c r="Q398" s="5">
        <v>36</v>
      </c>
      <c r="R398" s="5">
        <v>24</v>
      </c>
      <c r="S398" s="5">
        <v>21</v>
      </c>
      <c r="T398" s="5">
        <v>0</v>
      </c>
      <c r="U398" s="5" t="b">
        <v>0</v>
      </c>
      <c r="V398" s="5">
        <v>20</v>
      </c>
      <c r="W398" s="5">
        <v>0.23</v>
      </c>
      <c r="X398" s="5" t="s">
        <v>9</v>
      </c>
      <c r="Y398" s="5">
        <v>9</v>
      </c>
      <c r="Z398" s="5"/>
      <c r="AA398" s="5"/>
      <c r="AB398" s="5" t="s">
        <v>369</v>
      </c>
      <c r="AC398" s="5" t="b">
        <v>0</v>
      </c>
      <c r="AD398" s="5"/>
      <c r="AE398" s="5"/>
      <c r="AF398" s="5"/>
      <c r="AG398" s="5">
        <v>51</v>
      </c>
      <c r="AH398" s="5"/>
      <c r="AI398" s="5">
        <v>135</v>
      </c>
      <c r="AJ398" s="5"/>
      <c r="AK398" s="5" t="s">
        <v>996</v>
      </c>
      <c r="AL398" s="5">
        <v>2</v>
      </c>
      <c r="AM398" s="5"/>
      <c r="AN398" s="5">
        <v>10</v>
      </c>
      <c r="AO398" s="5"/>
      <c r="AP398" s="5">
        <v>0</v>
      </c>
      <c r="AQ398" s="5"/>
      <c r="AR398" s="5">
        <v>0</v>
      </c>
      <c r="AS398" s="5"/>
      <c r="AT398" s="5" t="s">
        <v>997</v>
      </c>
      <c r="AU398" s="5" t="s">
        <v>998</v>
      </c>
      <c r="AV398" s="5" t="s">
        <v>999</v>
      </c>
      <c r="AW398" s="8" t="str">
        <f>IFERROR(VLOOKUP(AA398,'Message Lookup'!D:J,7,FALSE),"")</f>
        <v/>
      </c>
    </row>
    <row r="399" spans="1:49" x14ac:dyDescent="0.25">
      <c r="A399" s="5" t="s">
        <v>4574</v>
      </c>
      <c r="B399" s="5" t="s">
        <v>992</v>
      </c>
      <c r="C399" s="5" t="s">
        <v>4575</v>
      </c>
      <c r="D399" s="5"/>
      <c r="E399" s="5"/>
      <c r="F399" s="5"/>
      <c r="G399" s="5"/>
      <c r="H399" s="5"/>
      <c r="I399" s="5"/>
      <c r="J399" s="5"/>
      <c r="K399" s="5" t="s">
        <v>993</v>
      </c>
      <c r="L399" s="5" t="s">
        <v>994</v>
      </c>
      <c r="M399" s="5" t="s">
        <v>4576</v>
      </c>
      <c r="N399" s="5">
        <v>41</v>
      </c>
      <c r="O399" s="5"/>
      <c r="P399" s="5" t="s">
        <v>995</v>
      </c>
      <c r="Q399" s="5">
        <v>36</v>
      </c>
      <c r="R399" s="5">
        <v>24</v>
      </c>
      <c r="S399" s="5">
        <v>21</v>
      </c>
      <c r="T399" s="5">
        <v>0</v>
      </c>
      <c r="U399" s="5" t="b">
        <v>0</v>
      </c>
      <c r="V399" s="5">
        <v>20</v>
      </c>
      <c r="W399" s="5">
        <v>0.23</v>
      </c>
      <c r="X399" s="5" t="s">
        <v>9</v>
      </c>
      <c r="Y399" s="5">
        <v>9</v>
      </c>
      <c r="Z399" s="5"/>
      <c r="AA399" s="5"/>
      <c r="AB399" s="5" t="s">
        <v>370</v>
      </c>
      <c r="AC399" s="5" t="b">
        <v>0</v>
      </c>
      <c r="AD399" s="5"/>
      <c r="AE399" s="5"/>
      <c r="AF399" s="5"/>
      <c r="AG399" s="5">
        <v>51</v>
      </c>
      <c r="AH399" s="5"/>
      <c r="AI399" s="5">
        <v>135</v>
      </c>
      <c r="AJ399" s="5"/>
      <c r="AK399" s="5" t="s">
        <v>996</v>
      </c>
      <c r="AL399" s="5">
        <v>2</v>
      </c>
      <c r="AM399" s="5"/>
      <c r="AN399" s="5">
        <v>10</v>
      </c>
      <c r="AO399" s="5"/>
      <c r="AP399" s="5">
        <v>0</v>
      </c>
      <c r="AQ399" s="5"/>
      <c r="AR399" s="5">
        <v>0</v>
      </c>
      <c r="AS399" s="5"/>
      <c r="AT399" s="5" t="s">
        <v>997</v>
      </c>
      <c r="AU399" s="5" t="s">
        <v>998</v>
      </c>
      <c r="AV399" s="5" t="s">
        <v>999</v>
      </c>
      <c r="AW399" s="8" t="str">
        <f>IFERROR(VLOOKUP(AA399,'Message Lookup'!D:J,7,FALSE),"")</f>
        <v/>
      </c>
    </row>
    <row r="400" spans="1:49" x14ac:dyDescent="0.25">
      <c r="A400" s="5" t="s">
        <v>4574</v>
      </c>
      <c r="B400" s="5" t="s">
        <v>992</v>
      </c>
      <c r="C400" s="5" t="s">
        <v>4575</v>
      </c>
      <c r="D400" s="5"/>
      <c r="E400" s="5"/>
      <c r="F400" s="5"/>
      <c r="G400" s="5"/>
      <c r="H400" s="5"/>
      <c r="I400" s="5"/>
      <c r="J400" s="5"/>
      <c r="K400" s="5" t="s">
        <v>993</v>
      </c>
      <c r="L400" s="5" t="s">
        <v>994</v>
      </c>
      <c r="M400" s="5" t="s">
        <v>4576</v>
      </c>
      <c r="N400" s="5">
        <v>41</v>
      </c>
      <c r="O400" s="5"/>
      <c r="P400" s="5" t="s">
        <v>995</v>
      </c>
      <c r="Q400" s="5">
        <v>36</v>
      </c>
      <c r="R400" s="5">
        <v>24</v>
      </c>
      <c r="S400" s="5">
        <v>21</v>
      </c>
      <c r="T400" s="5">
        <v>0</v>
      </c>
      <c r="U400" s="5" t="b">
        <v>0</v>
      </c>
      <c r="V400" s="5">
        <v>20</v>
      </c>
      <c r="W400" s="5">
        <v>0.23</v>
      </c>
      <c r="X400" s="5" t="s">
        <v>9</v>
      </c>
      <c r="Y400" s="5">
        <v>9</v>
      </c>
      <c r="Z400" s="5"/>
      <c r="AA400" s="5"/>
      <c r="AB400" s="5"/>
      <c r="AC400" s="5"/>
      <c r="AD400" s="5"/>
      <c r="AE400" s="5" t="s">
        <v>1000</v>
      </c>
      <c r="AF400" s="5" t="b">
        <v>0</v>
      </c>
      <c r="AG400" s="5">
        <v>51</v>
      </c>
      <c r="AH400" s="5"/>
      <c r="AI400" s="5">
        <v>135</v>
      </c>
      <c r="AJ400" s="5"/>
      <c r="AK400" s="5" t="s">
        <v>996</v>
      </c>
      <c r="AL400" s="5">
        <v>2</v>
      </c>
      <c r="AM400" s="5"/>
      <c r="AN400" s="5">
        <v>10</v>
      </c>
      <c r="AO400" s="5"/>
      <c r="AP400" s="5">
        <v>0</v>
      </c>
      <c r="AQ400" s="5"/>
      <c r="AR400" s="5">
        <v>0</v>
      </c>
      <c r="AS400" s="5"/>
      <c r="AT400" s="5" t="s">
        <v>997</v>
      </c>
      <c r="AU400" s="5" t="s">
        <v>998</v>
      </c>
      <c r="AV400" s="5" t="s">
        <v>999</v>
      </c>
      <c r="AW400" s="8" t="str">
        <f>IFERROR(VLOOKUP(AA400,'Message Lookup'!D:J,7,FALSE),"")</f>
        <v/>
      </c>
    </row>
    <row r="401" spans="1:49" x14ac:dyDescent="0.25">
      <c r="A401" s="5" t="s">
        <v>4574</v>
      </c>
      <c r="B401" s="5" t="s">
        <v>992</v>
      </c>
      <c r="C401" s="5" t="s">
        <v>4575</v>
      </c>
      <c r="D401" s="5"/>
      <c r="E401" s="5"/>
      <c r="F401" s="5"/>
      <c r="G401" s="5"/>
      <c r="H401" s="5"/>
      <c r="I401" s="5"/>
      <c r="J401" s="5"/>
      <c r="K401" s="5" t="s">
        <v>993</v>
      </c>
      <c r="L401" s="5" t="s">
        <v>994</v>
      </c>
      <c r="M401" s="5" t="s">
        <v>4576</v>
      </c>
      <c r="N401" s="5">
        <v>41</v>
      </c>
      <c r="O401" s="5"/>
      <c r="P401" s="5" t="s">
        <v>995</v>
      </c>
      <c r="Q401" s="5">
        <v>36</v>
      </c>
      <c r="R401" s="5">
        <v>24</v>
      </c>
      <c r="S401" s="5">
        <v>21</v>
      </c>
      <c r="T401" s="5">
        <v>0</v>
      </c>
      <c r="U401" s="5" t="b">
        <v>0</v>
      </c>
      <c r="V401" s="5">
        <v>20</v>
      </c>
      <c r="W401" s="5">
        <v>0.23</v>
      </c>
      <c r="X401" s="5" t="s">
        <v>9</v>
      </c>
      <c r="Y401" s="5">
        <v>9</v>
      </c>
      <c r="Z401" s="5"/>
      <c r="AA401" s="5"/>
      <c r="AB401" s="5"/>
      <c r="AC401" s="5"/>
      <c r="AD401" s="5" t="s">
        <v>1021</v>
      </c>
      <c r="AE401" s="5" t="s">
        <v>1002</v>
      </c>
      <c r="AF401" s="5" t="b">
        <v>0</v>
      </c>
      <c r="AG401" s="5">
        <v>51</v>
      </c>
      <c r="AH401" s="5"/>
      <c r="AI401" s="5">
        <v>135</v>
      </c>
      <c r="AJ401" s="5"/>
      <c r="AK401" s="5" t="s">
        <v>996</v>
      </c>
      <c r="AL401" s="5">
        <v>2</v>
      </c>
      <c r="AM401" s="5"/>
      <c r="AN401" s="5">
        <v>10</v>
      </c>
      <c r="AO401" s="5"/>
      <c r="AP401" s="5">
        <v>0</v>
      </c>
      <c r="AQ401" s="5"/>
      <c r="AR401" s="5">
        <v>0</v>
      </c>
      <c r="AS401" s="5"/>
      <c r="AT401" s="5" t="s">
        <v>997</v>
      </c>
      <c r="AU401" s="5" t="s">
        <v>998</v>
      </c>
      <c r="AV401" s="5" t="s">
        <v>999</v>
      </c>
      <c r="AW401" s="8" t="str">
        <f>IFERROR(VLOOKUP(AA401,'Message Lookup'!D:J,7,FALSE),"")</f>
        <v/>
      </c>
    </row>
    <row r="402" spans="1:49" x14ac:dyDescent="0.25">
      <c r="A402" s="5" t="s">
        <v>4574</v>
      </c>
      <c r="B402" s="5" t="s">
        <v>992</v>
      </c>
      <c r="C402" s="5" t="s">
        <v>4575</v>
      </c>
      <c r="D402" s="5"/>
      <c r="E402" s="5"/>
      <c r="F402" s="5"/>
      <c r="G402" s="5"/>
      <c r="H402" s="5"/>
      <c r="I402" s="5"/>
      <c r="J402" s="5"/>
      <c r="K402" s="5" t="s">
        <v>993</v>
      </c>
      <c r="L402" s="5" t="s">
        <v>994</v>
      </c>
      <c r="M402" s="5" t="s">
        <v>4576</v>
      </c>
      <c r="N402" s="5">
        <v>41</v>
      </c>
      <c r="O402" s="5"/>
      <c r="P402" s="5" t="s">
        <v>995</v>
      </c>
      <c r="Q402" s="5">
        <v>36</v>
      </c>
      <c r="R402" s="5">
        <v>24</v>
      </c>
      <c r="S402" s="5">
        <v>22</v>
      </c>
      <c r="T402" s="5">
        <v>0</v>
      </c>
      <c r="U402" s="5" t="b">
        <v>0</v>
      </c>
      <c r="V402" s="5">
        <v>20</v>
      </c>
      <c r="W402" s="5">
        <v>0.24</v>
      </c>
      <c r="X402" s="5" t="s">
        <v>9</v>
      </c>
      <c r="Y402" s="5">
        <v>9</v>
      </c>
      <c r="Z402" s="5"/>
      <c r="AA402" s="5"/>
      <c r="AB402" s="5" t="s">
        <v>354</v>
      </c>
      <c r="AC402" s="5" t="b">
        <v>0</v>
      </c>
      <c r="AD402" s="5"/>
      <c r="AE402" s="5"/>
      <c r="AF402" s="5"/>
      <c r="AG402" s="5">
        <v>50</v>
      </c>
      <c r="AH402" s="5">
        <v>50</v>
      </c>
      <c r="AI402" s="5">
        <v>1</v>
      </c>
      <c r="AJ402" s="5">
        <v>1</v>
      </c>
      <c r="AK402" s="5" t="s">
        <v>996</v>
      </c>
      <c r="AL402" s="5">
        <v>2</v>
      </c>
      <c r="AM402" s="5"/>
      <c r="AN402" s="5">
        <v>10</v>
      </c>
      <c r="AO402" s="5"/>
      <c r="AP402" s="5">
        <v>0</v>
      </c>
      <c r="AQ402" s="5"/>
      <c r="AR402" s="5">
        <v>0</v>
      </c>
      <c r="AS402" s="5"/>
      <c r="AT402" s="5" t="s">
        <v>997</v>
      </c>
      <c r="AU402" s="5" t="s">
        <v>998</v>
      </c>
      <c r="AV402" s="5" t="s">
        <v>999</v>
      </c>
      <c r="AW402" s="8" t="str">
        <f>IFERROR(VLOOKUP(AA402,'Message Lookup'!D:J,7,FALSE),"")</f>
        <v/>
      </c>
    </row>
    <row r="403" spans="1:49" x14ac:dyDescent="0.25">
      <c r="A403" s="5" t="s">
        <v>4574</v>
      </c>
      <c r="B403" s="5" t="s">
        <v>992</v>
      </c>
      <c r="C403" s="5" t="s">
        <v>4575</v>
      </c>
      <c r="D403" s="5"/>
      <c r="E403" s="5"/>
      <c r="F403" s="5"/>
      <c r="G403" s="5"/>
      <c r="H403" s="5"/>
      <c r="I403" s="5"/>
      <c r="J403" s="5"/>
      <c r="K403" s="5" t="s">
        <v>993</v>
      </c>
      <c r="L403" s="5" t="s">
        <v>994</v>
      </c>
      <c r="M403" s="5" t="s">
        <v>4576</v>
      </c>
      <c r="N403" s="5">
        <v>41</v>
      </c>
      <c r="O403" s="5"/>
      <c r="P403" s="5" t="s">
        <v>995</v>
      </c>
      <c r="Q403" s="5">
        <v>36</v>
      </c>
      <c r="R403" s="5">
        <v>24</v>
      </c>
      <c r="S403" s="5">
        <v>22</v>
      </c>
      <c r="T403" s="5">
        <v>0</v>
      </c>
      <c r="U403" s="5" t="b">
        <v>0</v>
      </c>
      <c r="V403" s="5">
        <v>20</v>
      </c>
      <c r="W403" s="5">
        <v>0.24</v>
      </c>
      <c r="X403" s="5" t="s">
        <v>9</v>
      </c>
      <c r="Y403" s="5">
        <v>9</v>
      </c>
      <c r="Z403" s="5"/>
      <c r="AA403" s="5" t="s">
        <v>323</v>
      </c>
      <c r="AB403" s="5" t="s">
        <v>355</v>
      </c>
      <c r="AC403" s="5" t="b">
        <v>0</v>
      </c>
      <c r="AD403" s="5"/>
      <c r="AE403" s="5"/>
      <c r="AF403" s="5"/>
      <c r="AG403" s="5">
        <v>50</v>
      </c>
      <c r="AH403" s="5"/>
      <c r="AI403" s="5">
        <v>1</v>
      </c>
      <c r="AJ403" s="5"/>
      <c r="AK403" s="5" t="s">
        <v>996</v>
      </c>
      <c r="AL403" s="5">
        <v>2</v>
      </c>
      <c r="AM403" s="5"/>
      <c r="AN403" s="5">
        <v>10</v>
      </c>
      <c r="AO403" s="5"/>
      <c r="AP403" s="5">
        <v>0</v>
      </c>
      <c r="AQ403" s="5"/>
      <c r="AR403" s="5">
        <v>0</v>
      </c>
      <c r="AS403" s="5"/>
      <c r="AT403" s="5" t="s">
        <v>997</v>
      </c>
      <c r="AU403" s="5" t="s">
        <v>998</v>
      </c>
      <c r="AV403" s="5" t="s">
        <v>999</v>
      </c>
      <c r="AW403" s="8" t="str">
        <f>IFERROR(VLOOKUP(AA403,'Message Lookup'!D:J,7,FALSE),"")</f>
        <v>MSO Discharge Pressure Alarm Lo Condition</v>
      </c>
    </row>
    <row r="404" spans="1:49" x14ac:dyDescent="0.25">
      <c r="A404" s="5" t="s">
        <v>4574</v>
      </c>
      <c r="B404" s="5" t="s">
        <v>992</v>
      </c>
      <c r="C404" s="5" t="s">
        <v>4575</v>
      </c>
      <c r="D404" s="5"/>
      <c r="E404" s="5"/>
      <c r="F404" s="5"/>
      <c r="G404" s="5"/>
      <c r="H404" s="5"/>
      <c r="I404" s="5"/>
      <c r="J404" s="5"/>
      <c r="K404" s="5" t="s">
        <v>993</v>
      </c>
      <c r="L404" s="5" t="s">
        <v>994</v>
      </c>
      <c r="M404" s="5" t="s">
        <v>4576</v>
      </c>
      <c r="N404" s="5">
        <v>41</v>
      </c>
      <c r="O404" s="5"/>
      <c r="P404" s="5" t="s">
        <v>995</v>
      </c>
      <c r="Q404" s="5">
        <v>36</v>
      </c>
      <c r="R404" s="5">
        <v>24</v>
      </c>
      <c r="S404" s="5">
        <v>22</v>
      </c>
      <c r="T404" s="5">
        <v>0</v>
      </c>
      <c r="U404" s="5" t="b">
        <v>0</v>
      </c>
      <c r="V404" s="5">
        <v>20</v>
      </c>
      <c r="W404" s="5">
        <v>0.24</v>
      </c>
      <c r="X404" s="5" t="s">
        <v>9</v>
      </c>
      <c r="Y404" s="5">
        <v>9</v>
      </c>
      <c r="Z404" s="5"/>
      <c r="AA404" s="5" t="s">
        <v>324</v>
      </c>
      <c r="AB404" s="5" t="s">
        <v>356</v>
      </c>
      <c r="AC404" s="5" t="b">
        <v>0</v>
      </c>
      <c r="AD404" s="5"/>
      <c r="AE404" s="5"/>
      <c r="AF404" s="5"/>
      <c r="AG404" s="5">
        <v>50</v>
      </c>
      <c r="AH404" s="5"/>
      <c r="AI404" s="5">
        <v>1</v>
      </c>
      <c r="AJ404" s="5"/>
      <c r="AK404" s="5" t="s">
        <v>996</v>
      </c>
      <c r="AL404" s="5">
        <v>2</v>
      </c>
      <c r="AM404" s="5"/>
      <c r="AN404" s="5">
        <v>10</v>
      </c>
      <c r="AO404" s="5"/>
      <c r="AP404" s="5">
        <v>0</v>
      </c>
      <c r="AQ404" s="5"/>
      <c r="AR404" s="5">
        <v>0</v>
      </c>
      <c r="AS404" s="5"/>
      <c r="AT404" s="5" t="s">
        <v>997</v>
      </c>
      <c r="AU404" s="5" t="s">
        <v>998</v>
      </c>
      <c r="AV404" s="5" t="s">
        <v>999</v>
      </c>
      <c r="AW404" s="8" t="str">
        <f>IFERROR(VLOOKUP(AA404,'Message Lookup'!D:J,7,FALSE),"")</f>
        <v>MSO Discharge Pressure Alarm LoLo Latched</v>
      </c>
    </row>
    <row r="405" spans="1:49" x14ac:dyDescent="0.25">
      <c r="A405" s="5" t="s">
        <v>4574</v>
      </c>
      <c r="B405" s="5" t="s">
        <v>992</v>
      </c>
      <c r="C405" s="5" t="s">
        <v>4575</v>
      </c>
      <c r="D405" s="5"/>
      <c r="E405" s="5"/>
      <c r="F405" s="5"/>
      <c r="G405" s="5"/>
      <c r="H405" s="5"/>
      <c r="I405" s="5"/>
      <c r="J405" s="5"/>
      <c r="K405" s="5" t="s">
        <v>993</v>
      </c>
      <c r="L405" s="5" t="s">
        <v>994</v>
      </c>
      <c r="M405" s="5" t="s">
        <v>4576</v>
      </c>
      <c r="N405" s="5">
        <v>41</v>
      </c>
      <c r="O405" s="5"/>
      <c r="P405" s="5" t="s">
        <v>995</v>
      </c>
      <c r="Q405" s="5">
        <v>36</v>
      </c>
      <c r="R405" s="5">
        <v>24</v>
      </c>
      <c r="S405" s="5">
        <v>22</v>
      </c>
      <c r="T405" s="5">
        <v>0</v>
      </c>
      <c r="U405" s="5" t="b">
        <v>0</v>
      </c>
      <c r="V405" s="5">
        <v>20</v>
      </c>
      <c r="W405" s="5">
        <v>0.24</v>
      </c>
      <c r="X405" s="5" t="s">
        <v>9</v>
      </c>
      <c r="Y405" s="5">
        <v>9</v>
      </c>
      <c r="Z405" s="5"/>
      <c r="AA405" s="5" t="s">
        <v>325</v>
      </c>
      <c r="AB405" s="5" t="s">
        <v>357</v>
      </c>
      <c r="AC405" s="5" t="b">
        <v>0</v>
      </c>
      <c r="AD405" s="5"/>
      <c r="AE405" s="5"/>
      <c r="AF405" s="5"/>
      <c r="AG405" s="5">
        <v>50</v>
      </c>
      <c r="AH405" s="5"/>
      <c r="AI405" s="5">
        <v>1</v>
      </c>
      <c r="AJ405" s="5"/>
      <c r="AK405" s="5" t="s">
        <v>996</v>
      </c>
      <c r="AL405" s="5">
        <v>2</v>
      </c>
      <c r="AM405" s="5"/>
      <c r="AN405" s="5">
        <v>10</v>
      </c>
      <c r="AO405" s="5"/>
      <c r="AP405" s="5">
        <v>0</v>
      </c>
      <c r="AQ405" s="5"/>
      <c r="AR405" s="5">
        <v>0</v>
      </c>
      <c r="AS405" s="5"/>
      <c r="AT405" s="5" t="s">
        <v>997</v>
      </c>
      <c r="AU405" s="5" t="s">
        <v>998</v>
      </c>
      <c r="AV405" s="5" t="s">
        <v>999</v>
      </c>
      <c r="AW405" s="8" t="str">
        <f>IFERROR(VLOOKUP(AA405,'Message Lookup'!D:J,7,FALSE),"")</f>
        <v>MSO Discharge Pressure Alarm Malfunction Latched</v>
      </c>
    </row>
    <row r="406" spans="1:49" x14ac:dyDescent="0.25">
      <c r="A406" s="5" t="s">
        <v>4574</v>
      </c>
      <c r="B406" s="5" t="s">
        <v>992</v>
      </c>
      <c r="C406" s="5" t="s">
        <v>4575</v>
      </c>
      <c r="D406" s="5"/>
      <c r="E406" s="5"/>
      <c r="F406" s="5"/>
      <c r="G406" s="5"/>
      <c r="H406" s="5"/>
      <c r="I406" s="5"/>
      <c r="J406" s="5"/>
      <c r="K406" s="5" t="s">
        <v>993</v>
      </c>
      <c r="L406" s="5" t="s">
        <v>994</v>
      </c>
      <c r="M406" s="5" t="s">
        <v>4576</v>
      </c>
      <c r="N406" s="5">
        <v>41</v>
      </c>
      <c r="O406" s="5"/>
      <c r="P406" s="5" t="s">
        <v>995</v>
      </c>
      <c r="Q406" s="5">
        <v>36</v>
      </c>
      <c r="R406" s="5">
        <v>24</v>
      </c>
      <c r="S406" s="5">
        <v>22</v>
      </c>
      <c r="T406" s="5">
        <v>0</v>
      </c>
      <c r="U406" s="5" t="b">
        <v>0</v>
      </c>
      <c r="V406" s="5">
        <v>20</v>
      </c>
      <c r="W406" s="5">
        <v>0.24</v>
      </c>
      <c r="X406" s="5" t="s">
        <v>9</v>
      </c>
      <c r="Y406" s="5">
        <v>9</v>
      </c>
      <c r="Z406" s="5"/>
      <c r="AA406" s="5" t="s">
        <v>326</v>
      </c>
      <c r="AB406" s="5" t="s">
        <v>358</v>
      </c>
      <c r="AC406" s="5" t="b">
        <v>0</v>
      </c>
      <c r="AD406" s="5"/>
      <c r="AE406" s="5"/>
      <c r="AF406" s="5"/>
      <c r="AG406" s="5">
        <v>50</v>
      </c>
      <c r="AH406" s="5"/>
      <c r="AI406" s="5">
        <v>1</v>
      </c>
      <c r="AJ406" s="5"/>
      <c r="AK406" s="5" t="s">
        <v>996</v>
      </c>
      <c r="AL406" s="5">
        <v>2</v>
      </c>
      <c r="AM406" s="5"/>
      <c r="AN406" s="5">
        <v>10</v>
      </c>
      <c r="AO406" s="5"/>
      <c r="AP406" s="5">
        <v>0</v>
      </c>
      <c r="AQ406" s="5"/>
      <c r="AR406" s="5">
        <v>0</v>
      </c>
      <c r="AS406" s="5"/>
      <c r="AT406" s="5" t="s">
        <v>997</v>
      </c>
      <c r="AU406" s="5" t="s">
        <v>998</v>
      </c>
      <c r="AV406" s="5" t="s">
        <v>999</v>
      </c>
      <c r="AW406" s="8">
        <f>IFERROR(VLOOKUP(AA406,'Message Lookup'!D:J,7,FALSE),"")</f>
        <v>0</v>
      </c>
    </row>
    <row r="407" spans="1:49" x14ac:dyDescent="0.25">
      <c r="A407" s="5" t="s">
        <v>4574</v>
      </c>
      <c r="B407" s="5" t="s">
        <v>992</v>
      </c>
      <c r="C407" s="5" t="s">
        <v>4575</v>
      </c>
      <c r="D407" s="5"/>
      <c r="E407" s="5"/>
      <c r="F407" s="5"/>
      <c r="G407" s="5"/>
      <c r="H407" s="5"/>
      <c r="I407" s="5"/>
      <c r="J407" s="5"/>
      <c r="K407" s="5" t="s">
        <v>993</v>
      </c>
      <c r="L407" s="5" t="s">
        <v>994</v>
      </c>
      <c r="M407" s="5" t="s">
        <v>4576</v>
      </c>
      <c r="N407" s="5">
        <v>41</v>
      </c>
      <c r="O407" s="5"/>
      <c r="P407" s="5" t="s">
        <v>995</v>
      </c>
      <c r="Q407" s="5">
        <v>36</v>
      </c>
      <c r="R407" s="5">
        <v>24</v>
      </c>
      <c r="S407" s="5">
        <v>22</v>
      </c>
      <c r="T407" s="5">
        <v>0</v>
      </c>
      <c r="U407" s="5" t="b">
        <v>0</v>
      </c>
      <c r="V407" s="5">
        <v>20</v>
      </c>
      <c r="W407" s="5">
        <v>0.24</v>
      </c>
      <c r="X407" s="5" t="s">
        <v>9</v>
      </c>
      <c r="Y407" s="5">
        <v>9</v>
      </c>
      <c r="Z407" s="5"/>
      <c r="AA407" s="5" t="s">
        <v>327</v>
      </c>
      <c r="AB407" s="5" t="s">
        <v>359</v>
      </c>
      <c r="AC407" s="5" t="b">
        <v>0</v>
      </c>
      <c r="AD407" s="5"/>
      <c r="AE407" s="5"/>
      <c r="AF407" s="5"/>
      <c r="AG407" s="5">
        <v>50</v>
      </c>
      <c r="AH407" s="5"/>
      <c r="AI407" s="5">
        <v>1</v>
      </c>
      <c r="AJ407" s="5"/>
      <c r="AK407" s="5" t="s">
        <v>996</v>
      </c>
      <c r="AL407" s="5">
        <v>2</v>
      </c>
      <c r="AM407" s="5"/>
      <c r="AN407" s="5">
        <v>10</v>
      </c>
      <c r="AO407" s="5"/>
      <c r="AP407" s="5">
        <v>0</v>
      </c>
      <c r="AQ407" s="5"/>
      <c r="AR407" s="5">
        <v>0</v>
      </c>
      <c r="AS407" s="5"/>
      <c r="AT407" s="5" t="s">
        <v>997</v>
      </c>
      <c r="AU407" s="5" t="s">
        <v>998</v>
      </c>
      <c r="AV407" s="5" t="s">
        <v>999</v>
      </c>
      <c r="AW407" s="8">
        <f>IFERROR(VLOOKUP(AA407,'Message Lookup'!D:J,7,FALSE),"")</f>
        <v>0</v>
      </c>
    </row>
    <row r="408" spans="1:49" x14ac:dyDescent="0.25">
      <c r="A408" s="5" t="s">
        <v>4574</v>
      </c>
      <c r="B408" s="5" t="s">
        <v>992</v>
      </c>
      <c r="C408" s="5" t="s">
        <v>4575</v>
      </c>
      <c r="D408" s="5"/>
      <c r="E408" s="5"/>
      <c r="F408" s="5"/>
      <c r="G408" s="5"/>
      <c r="H408" s="5"/>
      <c r="I408" s="5"/>
      <c r="J408" s="5"/>
      <c r="K408" s="5" t="s">
        <v>993</v>
      </c>
      <c r="L408" s="5" t="s">
        <v>994</v>
      </c>
      <c r="M408" s="5" t="s">
        <v>4576</v>
      </c>
      <c r="N408" s="5">
        <v>41</v>
      </c>
      <c r="O408" s="5"/>
      <c r="P408" s="5" t="s">
        <v>995</v>
      </c>
      <c r="Q408" s="5">
        <v>36</v>
      </c>
      <c r="R408" s="5">
        <v>24</v>
      </c>
      <c r="S408" s="5">
        <v>22</v>
      </c>
      <c r="T408" s="5">
        <v>0</v>
      </c>
      <c r="U408" s="5" t="b">
        <v>0</v>
      </c>
      <c r="V408" s="5">
        <v>20</v>
      </c>
      <c r="W408" s="5">
        <v>0.24</v>
      </c>
      <c r="X408" s="5" t="s">
        <v>9</v>
      </c>
      <c r="Y408" s="5">
        <v>9</v>
      </c>
      <c r="Z408" s="5"/>
      <c r="AA408" s="5" t="s">
        <v>328</v>
      </c>
      <c r="AB408" s="5" t="s">
        <v>360</v>
      </c>
      <c r="AC408" s="5" t="b">
        <v>0</v>
      </c>
      <c r="AD408" s="5"/>
      <c r="AE408" s="5"/>
      <c r="AF408" s="5"/>
      <c r="AG408" s="5">
        <v>50</v>
      </c>
      <c r="AH408" s="5"/>
      <c r="AI408" s="5">
        <v>1</v>
      </c>
      <c r="AJ408" s="5"/>
      <c r="AK408" s="5" t="s">
        <v>996</v>
      </c>
      <c r="AL408" s="5">
        <v>2</v>
      </c>
      <c r="AM408" s="5"/>
      <c r="AN408" s="5">
        <v>10</v>
      </c>
      <c r="AO408" s="5"/>
      <c r="AP408" s="5">
        <v>0</v>
      </c>
      <c r="AQ408" s="5"/>
      <c r="AR408" s="5">
        <v>0</v>
      </c>
      <c r="AS408" s="5"/>
      <c r="AT408" s="5" t="s">
        <v>997</v>
      </c>
      <c r="AU408" s="5" t="s">
        <v>998</v>
      </c>
      <c r="AV408" s="5" t="s">
        <v>999</v>
      </c>
      <c r="AW408" s="8">
        <f>IFERROR(VLOOKUP(AA408,'Message Lookup'!D:J,7,FALSE),"")</f>
        <v>0</v>
      </c>
    </row>
    <row r="409" spans="1:49" x14ac:dyDescent="0.25">
      <c r="A409" s="5" t="s">
        <v>4574</v>
      </c>
      <c r="B409" s="5" t="s">
        <v>992</v>
      </c>
      <c r="C409" s="5" t="s">
        <v>4575</v>
      </c>
      <c r="D409" s="5"/>
      <c r="E409" s="5"/>
      <c r="F409" s="5"/>
      <c r="G409" s="5"/>
      <c r="H409" s="5"/>
      <c r="I409" s="5"/>
      <c r="J409" s="5"/>
      <c r="K409" s="5" t="s">
        <v>993</v>
      </c>
      <c r="L409" s="5" t="s">
        <v>994</v>
      </c>
      <c r="M409" s="5" t="s">
        <v>4576</v>
      </c>
      <c r="N409" s="5">
        <v>41</v>
      </c>
      <c r="O409" s="5"/>
      <c r="P409" s="5" t="s">
        <v>995</v>
      </c>
      <c r="Q409" s="5">
        <v>36</v>
      </c>
      <c r="R409" s="5">
        <v>24</v>
      </c>
      <c r="S409" s="5">
        <v>22</v>
      </c>
      <c r="T409" s="5">
        <v>0</v>
      </c>
      <c r="U409" s="5" t="b">
        <v>0</v>
      </c>
      <c r="V409" s="5">
        <v>20</v>
      </c>
      <c r="W409" s="5">
        <v>0.24</v>
      </c>
      <c r="X409" s="5" t="s">
        <v>9</v>
      </c>
      <c r="Y409" s="5">
        <v>9</v>
      </c>
      <c r="Z409" s="5"/>
      <c r="AA409" s="5" t="s">
        <v>329</v>
      </c>
      <c r="AB409" s="5" t="s">
        <v>361</v>
      </c>
      <c r="AC409" s="5" t="b">
        <v>0</v>
      </c>
      <c r="AD409" s="5"/>
      <c r="AE409" s="5"/>
      <c r="AF409" s="5"/>
      <c r="AG409" s="5">
        <v>50</v>
      </c>
      <c r="AH409" s="5"/>
      <c r="AI409" s="5">
        <v>1</v>
      </c>
      <c r="AJ409" s="5"/>
      <c r="AK409" s="5" t="s">
        <v>996</v>
      </c>
      <c r="AL409" s="5">
        <v>2</v>
      </c>
      <c r="AM409" s="5"/>
      <c r="AN409" s="5">
        <v>10</v>
      </c>
      <c r="AO409" s="5"/>
      <c r="AP409" s="5">
        <v>0</v>
      </c>
      <c r="AQ409" s="5"/>
      <c r="AR409" s="5">
        <v>0</v>
      </c>
      <c r="AS409" s="5"/>
      <c r="AT409" s="5" t="s">
        <v>997</v>
      </c>
      <c r="AU409" s="5" t="s">
        <v>998</v>
      </c>
      <c r="AV409" s="5" t="s">
        <v>999</v>
      </c>
      <c r="AW409" s="8">
        <f>IFERROR(VLOOKUP(AA409,'Message Lookup'!D:J,7,FALSE),"")</f>
        <v>0</v>
      </c>
    </row>
    <row r="410" spans="1:49" x14ac:dyDescent="0.25">
      <c r="A410" s="5" t="s">
        <v>4574</v>
      </c>
      <c r="B410" s="5" t="s">
        <v>992</v>
      </c>
      <c r="C410" s="5" t="s">
        <v>4575</v>
      </c>
      <c r="D410" s="5"/>
      <c r="E410" s="5"/>
      <c r="F410" s="5"/>
      <c r="G410" s="5"/>
      <c r="H410" s="5"/>
      <c r="I410" s="5"/>
      <c r="J410" s="5"/>
      <c r="K410" s="5" t="s">
        <v>993</v>
      </c>
      <c r="L410" s="5" t="s">
        <v>994</v>
      </c>
      <c r="M410" s="5" t="s">
        <v>4576</v>
      </c>
      <c r="N410" s="5">
        <v>41</v>
      </c>
      <c r="O410" s="5"/>
      <c r="P410" s="5" t="s">
        <v>995</v>
      </c>
      <c r="Q410" s="5">
        <v>36</v>
      </c>
      <c r="R410" s="5">
        <v>24</v>
      </c>
      <c r="S410" s="5">
        <v>22</v>
      </c>
      <c r="T410" s="5">
        <v>0</v>
      </c>
      <c r="U410" s="5" t="b">
        <v>0</v>
      </c>
      <c r="V410" s="5">
        <v>20</v>
      </c>
      <c r="W410" s="5">
        <v>0.24</v>
      </c>
      <c r="X410" s="5" t="s">
        <v>9</v>
      </c>
      <c r="Y410" s="5">
        <v>9</v>
      </c>
      <c r="Z410" s="5"/>
      <c r="AA410" s="5" t="s">
        <v>330</v>
      </c>
      <c r="AB410" s="5" t="s">
        <v>362</v>
      </c>
      <c r="AC410" s="5" t="b">
        <v>0</v>
      </c>
      <c r="AD410" s="5"/>
      <c r="AE410" s="5"/>
      <c r="AF410" s="5"/>
      <c r="AG410" s="5">
        <v>50</v>
      </c>
      <c r="AH410" s="5"/>
      <c r="AI410" s="5">
        <v>1</v>
      </c>
      <c r="AJ410" s="5"/>
      <c r="AK410" s="5" t="s">
        <v>996</v>
      </c>
      <c r="AL410" s="5">
        <v>2</v>
      </c>
      <c r="AM410" s="5"/>
      <c r="AN410" s="5">
        <v>10</v>
      </c>
      <c r="AO410" s="5"/>
      <c r="AP410" s="5">
        <v>0</v>
      </c>
      <c r="AQ410" s="5"/>
      <c r="AR410" s="5">
        <v>0</v>
      </c>
      <c r="AS410" s="5"/>
      <c r="AT410" s="5" t="s">
        <v>997</v>
      </c>
      <c r="AU410" s="5" t="s">
        <v>998</v>
      </c>
      <c r="AV410" s="5" t="s">
        <v>999</v>
      </c>
      <c r="AW410" s="8">
        <f>IFERROR(VLOOKUP(AA410,'Message Lookup'!D:J,7,FALSE),"")</f>
        <v>0</v>
      </c>
    </row>
    <row r="411" spans="1:49" x14ac:dyDescent="0.25">
      <c r="A411" s="5" t="s">
        <v>4574</v>
      </c>
      <c r="B411" s="5" t="s">
        <v>992</v>
      </c>
      <c r="C411" s="5" t="s">
        <v>4575</v>
      </c>
      <c r="D411" s="5"/>
      <c r="E411" s="5"/>
      <c r="F411" s="5"/>
      <c r="G411" s="5"/>
      <c r="H411" s="5"/>
      <c r="I411" s="5"/>
      <c r="J411" s="5"/>
      <c r="K411" s="5" t="s">
        <v>993</v>
      </c>
      <c r="L411" s="5" t="s">
        <v>994</v>
      </c>
      <c r="M411" s="5" t="s">
        <v>4576</v>
      </c>
      <c r="N411" s="5">
        <v>41</v>
      </c>
      <c r="O411" s="5"/>
      <c r="P411" s="5" t="s">
        <v>995</v>
      </c>
      <c r="Q411" s="5">
        <v>36</v>
      </c>
      <c r="R411" s="5">
        <v>24</v>
      </c>
      <c r="S411" s="5">
        <v>22</v>
      </c>
      <c r="T411" s="5">
        <v>0</v>
      </c>
      <c r="U411" s="5" t="b">
        <v>0</v>
      </c>
      <c r="V411" s="5">
        <v>20</v>
      </c>
      <c r="W411" s="5">
        <v>0.24</v>
      </c>
      <c r="X411" s="5" t="s">
        <v>9</v>
      </c>
      <c r="Y411" s="5">
        <v>9</v>
      </c>
      <c r="Z411" s="5"/>
      <c r="AA411" s="5" t="s">
        <v>331</v>
      </c>
      <c r="AB411" s="5" t="s">
        <v>363</v>
      </c>
      <c r="AC411" s="5" t="b">
        <v>0</v>
      </c>
      <c r="AD411" s="5"/>
      <c r="AE411" s="5"/>
      <c r="AF411" s="5"/>
      <c r="AG411" s="5">
        <v>50</v>
      </c>
      <c r="AH411" s="5"/>
      <c r="AI411" s="5">
        <v>1</v>
      </c>
      <c r="AJ411" s="5"/>
      <c r="AK411" s="5" t="s">
        <v>996</v>
      </c>
      <c r="AL411" s="5">
        <v>2</v>
      </c>
      <c r="AM411" s="5"/>
      <c r="AN411" s="5">
        <v>10</v>
      </c>
      <c r="AO411" s="5"/>
      <c r="AP411" s="5">
        <v>0</v>
      </c>
      <c r="AQ411" s="5"/>
      <c r="AR411" s="5">
        <v>0</v>
      </c>
      <c r="AS411" s="5"/>
      <c r="AT411" s="5" t="s">
        <v>997</v>
      </c>
      <c r="AU411" s="5" t="s">
        <v>998</v>
      </c>
      <c r="AV411" s="5" t="s">
        <v>999</v>
      </c>
      <c r="AW411" s="8" t="str">
        <f>IFERROR(VLOOKUP(AA411,'Message Lookup'!D:J,7,FALSE),"")</f>
        <v>P-3 Seal Pot Pressure Alarm HiHi Latched</v>
      </c>
    </row>
    <row r="412" spans="1:49" x14ac:dyDescent="0.25">
      <c r="A412" s="5" t="s">
        <v>4574</v>
      </c>
      <c r="B412" s="5" t="s">
        <v>992</v>
      </c>
      <c r="C412" s="5" t="s">
        <v>4575</v>
      </c>
      <c r="D412" s="5"/>
      <c r="E412" s="5"/>
      <c r="F412" s="5"/>
      <c r="G412" s="5"/>
      <c r="H412" s="5"/>
      <c r="I412" s="5"/>
      <c r="J412" s="5"/>
      <c r="K412" s="5" t="s">
        <v>993</v>
      </c>
      <c r="L412" s="5" t="s">
        <v>994</v>
      </c>
      <c r="M412" s="5" t="s">
        <v>4576</v>
      </c>
      <c r="N412" s="5">
        <v>41</v>
      </c>
      <c r="O412" s="5"/>
      <c r="P412" s="5" t="s">
        <v>995</v>
      </c>
      <c r="Q412" s="5">
        <v>36</v>
      </c>
      <c r="R412" s="5">
        <v>24</v>
      </c>
      <c r="S412" s="5">
        <v>22</v>
      </c>
      <c r="T412" s="5">
        <v>0</v>
      </c>
      <c r="U412" s="5" t="b">
        <v>0</v>
      </c>
      <c r="V412" s="5">
        <v>20</v>
      </c>
      <c r="W412" s="5">
        <v>0.24</v>
      </c>
      <c r="X412" s="5" t="s">
        <v>9</v>
      </c>
      <c r="Y412" s="5">
        <v>9</v>
      </c>
      <c r="Z412" s="5"/>
      <c r="AA412" s="5" t="s">
        <v>332</v>
      </c>
      <c r="AB412" s="5" t="s">
        <v>364</v>
      </c>
      <c r="AC412" s="5" t="b">
        <v>0</v>
      </c>
      <c r="AD412" s="5"/>
      <c r="AE412" s="5"/>
      <c r="AF412" s="5"/>
      <c r="AG412" s="5">
        <v>50</v>
      </c>
      <c r="AH412" s="5"/>
      <c r="AI412" s="5">
        <v>1</v>
      </c>
      <c r="AJ412" s="5"/>
      <c r="AK412" s="5" t="s">
        <v>996</v>
      </c>
      <c r="AL412" s="5">
        <v>2</v>
      </c>
      <c r="AM412" s="5"/>
      <c r="AN412" s="5">
        <v>10</v>
      </c>
      <c r="AO412" s="5"/>
      <c r="AP412" s="5">
        <v>0</v>
      </c>
      <c r="AQ412" s="5"/>
      <c r="AR412" s="5">
        <v>0</v>
      </c>
      <c r="AS412" s="5"/>
      <c r="AT412" s="5" t="s">
        <v>997</v>
      </c>
      <c r="AU412" s="5" t="s">
        <v>998</v>
      </c>
      <c r="AV412" s="5" t="s">
        <v>999</v>
      </c>
      <c r="AW412" s="8" t="str">
        <f>IFERROR(VLOOKUP(AA412,'Message Lookup'!D:J,7,FALSE),"")</f>
        <v>P-3 Seal Pot Pressure Alarm Hi Latched</v>
      </c>
    </row>
    <row r="413" spans="1:49" x14ac:dyDescent="0.25">
      <c r="A413" s="5" t="s">
        <v>4574</v>
      </c>
      <c r="B413" s="5" t="s">
        <v>992</v>
      </c>
      <c r="C413" s="5" t="s">
        <v>4575</v>
      </c>
      <c r="D413" s="5"/>
      <c r="E413" s="5"/>
      <c r="F413" s="5"/>
      <c r="G413" s="5"/>
      <c r="H413" s="5"/>
      <c r="I413" s="5"/>
      <c r="J413" s="5"/>
      <c r="K413" s="5" t="s">
        <v>993</v>
      </c>
      <c r="L413" s="5" t="s">
        <v>994</v>
      </c>
      <c r="M413" s="5" t="s">
        <v>4576</v>
      </c>
      <c r="N413" s="5">
        <v>41</v>
      </c>
      <c r="O413" s="5"/>
      <c r="P413" s="5" t="s">
        <v>995</v>
      </c>
      <c r="Q413" s="5">
        <v>36</v>
      </c>
      <c r="R413" s="5">
        <v>24</v>
      </c>
      <c r="S413" s="5">
        <v>22</v>
      </c>
      <c r="T413" s="5">
        <v>0</v>
      </c>
      <c r="U413" s="5" t="b">
        <v>0</v>
      </c>
      <c r="V413" s="5">
        <v>20</v>
      </c>
      <c r="W413" s="5">
        <v>0.24</v>
      </c>
      <c r="X413" s="5" t="s">
        <v>9</v>
      </c>
      <c r="Y413" s="5">
        <v>9</v>
      </c>
      <c r="Z413" s="5"/>
      <c r="AA413" s="5" t="s">
        <v>333</v>
      </c>
      <c r="AB413" s="5" t="s">
        <v>365</v>
      </c>
      <c r="AC413" s="5" t="b">
        <v>0</v>
      </c>
      <c r="AD413" s="5"/>
      <c r="AE413" s="5"/>
      <c r="AF413" s="5"/>
      <c r="AG413" s="5">
        <v>50</v>
      </c>
      <c r="AH413" s="5"/>
      <c r="AI413" s="5">
        <v>1</v>
      </c>
      <c r="AJ413" s="5"/>
      <c r="AK413" s="5" t="s">
        <v>996</v>
      </c>
      <c r="AL413" s="5">
        <v>2</v>
      </c>
      <c r="AM413" s="5"/>
      <c r="AN413" s="5">
        <v>10</v>
      </c>
      <c r="AO413" s="5"/>
      <c r="AP413" s="5">
        <v>0</v>
      </c>
      <c r="AQ413" s="5"/>
      <c r="AR413" s="5">
        <v>0</v>
      </c>
      <c r="AS413" s="5"/>
      <c r="AT413" s="5" t="s">
        <v>997</v>
      </c>
      <c r="AU413" s="5" t="s">
        <v>998</v>
      </c>
      <c r="AV413" s="5" t="s">
        <v>999</v>
      </c>
      <c r="AW413" s="8" t="str">
        <f>IFERROR(VLOOKUP(AA413,'Message Lookup'!D:J,7,FALSE),"")</f>
        <v>P-3 Seal Pot Pressure Alarm Lo Condition</v>
      </c>
    </row>
    <row r="414" spans="1:49" x14ac:dyDescent="0.25">
      <c r="A414" s="5" t="s">
        <v>4574</v>
      </c>
      <c r="B414" s="5" t="s">
        <v>992</v>
      </c>
      <c r="C414" s="5" t="s">
        <v>4575</v>
      </c>
      <c r="D414" s="5"/>
      <c r="E414" s="5"/>
      <c r="F414" s="5"/>
      <c r="G414" s="5"/>
      <c r="H414" s="5"/>
      <c r="I414" s="5"/>
      <c r="J414" s="5"/>
      <c r="K414" s="5" t="s">
        <v>993</v>
      </c>
      <c r="L414" s="5" t="s">
        <v>994</v>
      </c>
      <c r="M414" s="5" t="s">
        <v>4576</v>
      </c>
      <c r="N414" s="5">
        <v>41</v>
      </c>
      <c r="O414" s="5"/>
      <c r="P414" s="5" t="s">
        <v>995</v>
      </c>
      <c r="Q414" s="5">
        <v>36</v>
      </c>
      <c r="R414" s="5">
        <v>24</v>
      </c>
      <c r="S414" s="5">
        <v>22</v>
      </c>
      <c r="T414" s="5">
        <v>0</v>
      </c>
      <c r="U414" s="5" t="b">
        <v>0</v>
      </c>
      <c r="V414" s="5">
        <v>20</v>
      </c>
      <c r="W414" s="5">
        <v>0.24</v>
      </c>
      <c r="X414" s="5" t="s">
        <v>9</v>
      </c>
      <c r="Y414" s="5">
        <v>9</v>
      </c>
      <c r="Z414" s="5"/>
      <c r="AA414" s="5" t="s">
        <v>334</v>
      </c>
      <c r="AB414" s="5" t="s">
        <v>366</v>
      </c>
      <c r="AC414" s="5" t="b">
        <v>0</v>
      </c>
      <c r="AD414" s="5"/>
      <c r="AE414" s="5"/>
      <c r="AF414" s="5"/>
      <c r="AG414" s="5">
        <v>50</v>
      </c>
      <c r="AH414" s="5"/>
      <c r="AI414" s="5">
        <v>1</v>
      </c>
      <c r="AJ414" s="5"/>
      <c r="AK414" s="5" t="s">
        <v>996</v>
      </c>
      <c r="AL414" s="5">
        <v>2</v>
      </c>
      <c r="AM414" s="5"/>
      <c r="AN414" s="5">
        <v>10</v>
      </c>
      <c r="AO414" s="5"/>
      <c r="AP414" s="5">
        <v>0</v>
      </c>
      <c r="AQ414" s="5"/>
      <c r="AR414" s="5">
        <v>0</v>
      </c>
      <c r="AS414" s="5"/>
      <c r="AT414" s="5" t="s">
        <v>997</v>
      </c>
      <c r="AU414" s="5" t="s">
        <v>998</v>
      </c>
      <c r="AV414" s="5" t="s">
        <v>999</v>
      </c>
      <c r="AW414" s="8" t="str">
        <f>IFERROR(VLOOKUP(AA414,'Message Lookup'!D:J,7,FALSE),"")</f>
        <v>P-3 Seal Pot Pressure Alarm LoLo Latched</v>
      </c>
    </row>
    <row r="415" spans="1:49" x14ac:dyDescent="0.25">
      <c r="A415" s="5" t="s">
        <v>4574</v>
      </c>
      <c r="B415" s="5" t="s">
        <v>992</v>
      </c>
      <c r="C415" s="5" t="s">
        <v>4575</v>
      </c>
      <c r="D415" s="5"/>
      <c r="E415" s="5"/>
      <c r="F415" s="5"/>
      <c r="G415" s="5"/>
      <c r="H415" s="5"/>
      <c r="I415" s="5"/>
      <c r="J415" s="5"/>
      <c r="K415" s="5" t="s">
        <v>993</v>
      </c>
      <c r="L415" s="5" t="s">
        <v>994</v>
      </c>
      <c r="M415" s="5" t="s">
        <v>4576</v>
      </c>
      <c r="N415" s="5">
        <v>41</v>
      </c>
      <c r="O415" s="5"/>
      <c r="P415" s="5" t="s">
        <v>995</v>
      </c>
      <c r="Q415" s="5">
        <v>36</v>
      </c>
      <c r="R415" s="5">
        <v>24</v>
      </c>
      <c r="S415" s="5">
        <v>22</v>
      </c>
      <c r="T415" s="5">
        <v>0</v>
      </c>
      <c r="U415" s="5" t="b">
        <v>0</v>
      </c>
      <c r="V415" s="5">
        <v>20</v>
      </c>
      <c r="W415" s="5">
        <v>0.24</v>
      </c>
      <c r="X415" s="5" t="s">
        <v>9</v>
      </c>
      <c r="Y415" s="5">
        <v>9</v>
      </c>
      <c r="Z415" s="5"/>
      <c r="AA415" s="5" t="s">
        <v>335</v>
      </c>
      <c r="AB415" s="5" t="s">
        <v>367</v>
      </c>
      <c r="AC415" s="5" t="b">
        <v>0</v>
      </c>
      <c r="AD415" s="5"/>
      <c r="AE415" s="5"/>
      <c r="AF415" s="5"/>
      <c r="AG415" s="5">
        <v>50</v>
      </c>
      <c r="AH415" s="5"/>
      <c r="AI415" s="5">
        <v>1</v>
      </c>
      <c r="AJ415" s="5"/>
      <c r="AK415" s="5" t="s">
        <v>996</v>
      </c>
      <c r="AL415" s="5">
        <v>2</v>
      </c>
      <c r="AM415" s="5"/>
      <c r="AN415" s="5">
        <v>10</v>
      </c>
      <c r="AO415" s="5"/>
      <c r="AP415" s="5">
        <v>0</v>
      </c>
      <c r="AQ415" s="5"/>
      <c r="AR415" s="5">
        <v>0</v>
      </c>
      <c r="AS415" s="5"/>
      <c r="AT415" s="5" t="s">
        <v>997</v>
      </c>
      <c r="AU415" s="5" t="s">
        <v>998</v>
      </c>
      <c r="AV415" s="5" t="s">
        <v>999</v>
      </c>
      <c r="AW415" s="8" t="str">
        <f>IFERROR(VLOOKUP(AA415,'Message Lookup'!D:J,7,FALSE),"")</f>
        <v>P-3 Seal Pot Pressure Alarm Malfunction Latched</v>
      </c>
    </row>
    <row r="416" spans="1:49" x14ac:dyDescent="0.25">
      <c r="A416" s="5" t="s">
        <v>4574</v>
      </c>
      <c r="B416" s="5" t="s">
        <v>992</v>
      </c>
      <c r="C416" s="5" t="s">
        <v>4575</v>
      </c>
      <c r="D416" s="5"/>
      <c r="E416" s="5"/>
      <c r="F416" s="5"/>
      <c r="G416" s="5"/>
      <c r="H416" s="5"/>
      <c r="I416" s="5"/>
      <c r="J416" s="5"/>
      <c r="K416" s="5" t="s">
        <v>993</v>
      </c>
      <c r="L416" s="5" t="s">
        <v>994</v>
      </c>
      <c r="M416" s="5" t="s">
        <v>4576</v>
      </c>
      <c r="N416" s="5">
        <v>41</v>
      </c>
      <c r="O416" s="5"/>
      <c r="P416" s="5" t="s">
        <v>995</v>
      </c>
      <c r="Q416" s="5">
        <v>36</v>
      </c>
      <c r="R416" s="5">
        <v>24</v>
      </c>
      <c r="S416" s="5">
        <v>22</v>
      </c>
      <c r="T416" s="5">
        <v>0</v>
      </c>
      <c r="U416" s="5" t="b">
        <v>0</v>
      </c>
      <c r="V416" s="5">
        <v>20</v>
      </c>
      <c r="W416" s="5">
        <v>0.24</v>
      </c>
      <c r="X416" s="5" t="s">
        <v>9</v>
      </c>
      <c r="Y416" s="5">
        <v>9</v>
      </c>
      <c r="Z416" s="5"/>
      <c r="AA416" s="5" t="s">
        <v>336</v>
      </c>
      <c r="AB416" s="5" t="s">
        <v>368</v>
      </c>
      <c r="AC416" s="5" t="b">
        <v>0</v>
      </c>
      <c r="AD416" s="5"/>
      <c r="AE416" s="5"/>
      <c r="AF416" s="5"/>
      <c r="AG416" s="5">
        <v>50</v>
      </c>
      <c r="AH416" s="5"/>
      <c r="AI416" s="5">
        <v>1</v>
      </c>
      <c r="AJ416" s="5"/>
      <c r="AK416" s="5" t="s">
        <v>996</v>
      </c>
      <c r="AL416" s="5">
        <v>2</v>
      </c>
      <c r="AM416" s="5"/>
      <c r="AN416" s="5">
        <v>10</v>
      </c>
      <c r="AO416" s="5"/>
      <c r="AP416" s="5">
        <v>0</v>
      </c>
      <c r="AQ416" s="5"/>
      <c r="AR416" s="5">
        <v>0</v>
      </c>
      <c r="AS416" s="5"/>
      <c r="AT416" s="5" t="s">
        <v>997</v>
      </c>
      <c r="AU416" s="5" t="s">
        <v>998</v>
      </c>
      <c r="AV416" s="5" t="s">
        <v>999</v>
      </c>
      <c r="AW416" s="8">
        <f>IFERROR(VLOOKUP(AA416,'Message Lookup'!D:J,7,FALSE),"")</f>
        <v>0</v>
      </c>
    </row>
    <row r="417" spans="1:49" x14ac:dyDescent="0.25">
      <c r="A417" s="5" t="s">
        <v>4574</v>
      </c>
      <c r="B417" s="5" t="s">
        <v>992</v>
      </c>
      <c r="C417" s="5" t="s">
        <v>4575</v>
      </c>
      <c r="D417" s="5"/>
      <c r="E417" s="5"/>
      <c r="F417" s="5"/>
      <c r="G417" s="5"/>
      <c r="H417" s="5"/>
      <c r="I417" s="5"/>
      <c r="J417" s="5"/>
      <c r="K417" s="5" t="s">
        <v>993</v>
      </c>
      <c r="L417" s="5" t="s">
        <v>994</v>
      </c>
      <c r="M417" s="5" t="s">
        <v>4576</v>
      </c>
      <c r="N417" s="5">
        <v>41</v>
      </c>
      <c r="O417" s="5"/>
      <c r="P417" s="5" t="s">
        <v>995</v>
      </c>
      <c r="Q417" s="5">
        <v>36</v>
      </c>
      <c r="R417" s="5">
        <v>24</v>
      </c>
      <c r="S417" s="5">
        <v>22</v>
      </c>
      <c r="T417" s="5">
        <v>0</v>
      </c>
      <c r="U417" s="5" t="b">
        <v>0</v>
      </c>
      <c r="V417" s="5">
        <v>20</v>
      </c>
      <c r="W417" s="5">
        <v>0.24</v>
      </c>
      <c r="X417" s="5" t="s">
        <v>9</v>
      </c>
      <c r="Y417" s="5">
        <v>9</v>
      </c>
      <c r="Z417" s="5"/>
      <c r="AA417" s="5" t="s">
        <v>337</v>
      </c>
      <c r="AB417" s="5" t="s">
        <v>369</v>
      </c>
      <c r="AC417" s="5" t="b">
        <v>0</v>
      </c>
      <c r="AD417" s="5"/>
      <c r="AE417" s="5"/>
      <c r="AF417" s="5"/>
      <c r="AG417" s="5">
        <v>50</v>
      </c>
      <c r="AH417" s="5"/>
      <c r="AI417" s="5">
        <v>1</v>
      </c>
      <c r="AJ417" s="5"/>
      <c r="AK417" s="5" t="s">
        <v>996</v>
      </c>
      <c r="AL417" s="5">
        <v>2</v>
      </c>
      <c r="AM417" s="5"/>
      <c r="AN417" s="5">
        <v>10</v>
      </c>
      <c r="AO417" s="5"/>
      <c r="AP417" s="5">
        <v>0</v>
      </c>
      <c r="AQ417" s="5"/>
      <c r="AR417" s="5">
        <v>0</v>
      </c>
      <c r="AS417" s="5"/>
      <c r="AT417" s="5" t="s">
        <v>997</v>
      </c>
      <c r="AU417" s="5" t="s">
        <v>998</v>
      </c>
      <c r="AV417" s="5" t="s">
        <v>999</v>
      </c>
      <c r="AW417" s="8">
        <f>IFERROR(VLOOKUP(AA417,'Message Lookup'!D:J,7,FALSE),"")</f>
        <v>0</v>
      </c>
    </row>
    <row r="418" spans="1:49" x14ac:dyDescent="0.25">
      <c r="A418" s="5" t="s">
        <v>4574</v>
      </c>
      <c r="B418" s="5" t="s">
        <v>992</v>
      </c>
      <c r="C418" s="5" t="s">
        <v>4575</v>
      </c>
      <c r="D418" s="5"/>
      <c r="E418" s="5"/>
      <c r="F418" s="5"/>
      <c r="G418" s="5"/>
      <c r="H418" s="5"/>
      <c r="I418" s="5"/>
      <c r="J418" s="5"/>
      <c r="K418" s="5" t="s">
        <v>993</v>
      </c>
      <c r="L418" s="5" t="s">
        <v>994</v>
      </c>
      <c r="M418" s="5" t="s">
        <v>4576</v>
      </c>
      <c r="N418" s="5">
        <v>41</v>
      </c>
      <c r="O418" s="5"/>
      <c r="P418" s="5" t="s">
        <v>995</v>
      </c>
      <c r="Q418" s="5">
        <v>36</v>
      </c>
      <c r="R418" s="5">
        <v>24</v>
      </c>
      <c r="S418" s="5">
        <v>22</v>
      </c>
      <c r="T418" s="5">
        <v>0</v>
      </c>
      <c r="U418" s="5" t="b">
        <v>0</v>
      </c>
      <c r="V418" s="5">
        <v>20</v>
      </c>
      <c r="W418" s="5">
        <v>0.24</v>
      </c>
      <c r="X418" s="5" t="s">
        <v>9</v>
      </c>
      <c r="Y418" s="5">
        <v>9</v>
      </c>
      <c r="Z418" s="5"/>
      <c r="AA418" s="5" t="s">
        <v>338</v>
      </c>
      <c r="AB418" s="5" t="s">
        <v>370</v>
      </c>
      <c r="AC418" s="5" t="b">
        <v>0</v>
      </c>
      <c r="AD418" s="5"/>
      <c r="AE418" s="5"/>
      <c r="AF418" s="5"/>
      <c r="AG418" s="5">
        <v>50</v>
      </c>
      <c r="AH418" s="5"/>
      <c r="AI418" s="5">
        <v>1</v>
      </c>
      <c r="AJ418" s="5"/>
      <c r="AK418" s="5" t="s">
        <v>996</v>
      </c>
      <c r="AL418" s="5">
        <v>2</v>
      </c>
      <c r="AM418" s="5"/>
      <c r="AN418" s="5">
        <v>10</v>
      </c>
      <c r="AO418" s="5"/>
      <c r="AP418" s="5">
        <v>0</v>
      </c>
      <c r="AQ418" s="5"/>
      <c r="AR418" s="5">
        <v>0</v>
      </c>
      <c r="AS418" s="5"/>
      <c r="AT418" s="5" t="s">
        <v>997</v>
      </c>
      <c r="AU418" s="5" t="s">
        <v>998</v>
      </c>
      <c r="AV418" s="5" t="s">
        <v>999</v>
      </c>
      <c r="AW418" s="8">
        <f>IFERROR(VLOOKUP(AA418,'Message Lookup'!D:J,7,FALSE),"")</f>
        <v>0</v>
      </c>
    </row>
    <row r="419" spans="1:49" x14ac:dyDescent="0.25">
      <c r="A419" s="5" t="s">
        <v>4574</v>
      </c>
      <c r="B419" s="5" t="s">
        <v>992</v>
      </c>
      <c r="C419" s="5" t="s">
        <v>4575</v>
      </c>
      <c r="D419" s="5"/>
      <c r="E419" s="5"/>
      <c r="F419" s="5"/>
      <c r="G419" s="5"/>
      <c r="H419" s="5"/>
      <c r="I419" s="5"/>
      <c r="J419" s="5"/>
      <c r="K419" s="5" t="s">
        <v>993</v>
      </c>
      <c r="L419" s="5" t="s">
        <v>994</v>
      </c>
      <c r="M419" s="5" t="s">
        <v>4576</v>
      </c>
      <c r="N419" s="5">
        <v>41</v>
      </c>
      <c r="O419" s="5"/>
      <c r="P419" s="5" t="s">
        <v>995</v>
      </c>
      <c r="Q419" s="5">
        <v>36</v>
      </c>
      <c r="R419" s="5">
        <v>24</v>
      </c>
      <c r="S419" s="5">
        <v>22</v>
      </c>
      <c r="T419" s="5">
        <v>0</v>
      </c>
      <c r="U419" s="5" t="b">
        <v>0</v>
      </c>
      <c r="V419" s="5">
        <v>20</v>
      </c>
      <c r="W419" s="5">
        <v>0.24</v>
      </c>
      <c r="X419" s="5" t="s">
        <v>9</v>
      </c>
      <c r="Y419" s="5">
        <v>9</v>
      </c>
      <c r="Z419" s="5"/>
      <c r="AA419" s="5"/>
      <c r="AB419" s="5"/>
      <c r="AC419" s="5"/>
      <c r="AD419" s="5"/>
      <c r="AE419" s="5" t="s">
        <v>1000</v>
      </c>
      <c r="AF419" s="5" t="b">
        <v>0</v>
      </c>
      <c r="AG419" s="5">
        <v>50</v>
      </c>
      <c r="AH419" s="5"/>
      <c r="AI419" s="5">
        <v>1</v>
      </c>
      <c r="AJ419" s="5"/>
      <c r="AK419" s="5" t="s">
        <v>996</v>
      </c>
      <c r="AL419" s="5">
        <v>2</v>
      </c>
      <c r="AM419" s="5"/>
      <c r="AN419" s="5">
        <v>10</v>
      </c>
      <c r="AO419" s="5"/>
      <c r="AP419" s="5">
        <v>0</v>
      </c>
      <c r="AQ419" s="5"/>
      <c r="AR419" s="5">
        <v>0</v>
      </c>
      <c r="AS419" s="5"/>
      <c r="AT419" s="5" t="s">
        <v>997</v>
      </c>
      <c r="AU419" s="5" t="s">
        <v>998</v>
      </c>
      <c r="AV419" s="5" t="s">
        <v>999</v>
      </c>
      <c r="AW419" s="8" t="str">
        <f>IFERROR(VLOOKUP(AA419,'Message Lookup'!D:J,7,FALSE),"")</f>
        <v/>
      </c>
    </row>
    <row r="420" spans="1:49" x14ac:dyDescent="0.25">
      <c r="A420" s="5" t="s">
        <v>4574</v>
      </c>
      <c r="B420" s="5" t="s">
        <v>992</v>
      </c>
      <c r="C420" s="5" t="s">
        <v>4575</v>
      </c>
      <c r="D420" s="5"/>
      <c r="E420" s="5"/>
      <c r="F420" s="5"/>
      <c r="G420" s="5"/>
      <c r="H420" s="5"/>
      <c r="I420" s="5"/>
      <c r="J420" s="5"/>
      <c r="K420" s="5" t="s">
        <v>993</v>
      </c>
      <c r="L420" s="5" t="s">
        <v>994</v>
      </c>
      <c r="M420" s="5" t="s">
        <v>4576</v>
      </c>
      <c r="N420" s="5">
        <v>41</v>
      </c>
      <c r="O420" s="5"/>
      <c r="P420" s="5" t="s">
        <v>995</v>
      </c>
      <c r="Q420" s="5">
        <v>36</v>
      </c>
      <c r="R420" s="5">
        <v>24</v>
      </c>
      <c r="S420" s="5">
        <v>22</v>
      </c>
      <c r="T420" s="5">
        <v>0</v>
      </c>
      <c r="U420" s="5" t="b">
        <v>0</v>
      </c>
      <c r="V420" s="5">
        <v>20</v>
      </c>
      <c r="W420" s="5">
        <v>0.24</v>
      </c>
      <c r="X420" s="5" t="s">
        <v>9</v>
      </c>
      <c r="Y420" s="5">
        <v>9</v>
      </c>
      <c r="Z420" s="5"/>
      <c r="AA420" s="5"/>
      <c r="AB420" s="5"/>
      <c r="AC420" s="5"/>
      <c r="AD420" s="5" t="s">
        <v>1022</v>
      </c>
      <c r="AE420" s="5" t="s">
        <v>1002</v>
      </c>
      <c r="AF420" s="5" t="b">
        <v>0</v>
      </c>
      <c r="AG420" s="5">
        <v>50</v>
      </c>
      <c r="AH420" s="5"/>
      <c r="AI420" s="5">
        <v>1</v>
      </c>
      <c r="AJ420" s="5"/>
      <c r="AK420" s="5" t="s">
        <v>996</v>
      </c>
      <c r="AL420" s="5">
        <v>2</v>
      </c>
      <c r="AM420" s="5"/>
      <c r="AN420" s="5">
        <v>10</v>
      </c>
      <c r="AO420" s="5"/>
      <c r="AP420" s="5">
        <v>0</v>
      </c>
      <c r="AQ420" s="5"/>
      <c r="AR420" s="5">
        <v>0</v>
      </c>
      <c r="AS420" s="5"/>
      <c r="AT420" s="5" t="s">
        <v>997</v>
      </c>
      <c r="AU420" s="5" t="s">
        <v>998</v>
      </c>
      <c r="AV420" s="5" t="s">
        <v>999</v>
      </c>
      <c r="AW420" s="8" t="str">
        <f>IFERROR(VLOOKUP(AA420,'Message Lookup'!D:J,7,FALSE),"")</f>
        <v/>
      </c>
    </row>
    <row r="421" spans="1:49" x14ac:dyDescent="0.25">
      <c r="A421" s="5" t="s">
        <v>4574</v>
      </c>
      <c r="B421" s="5" t="s">
        <v>992</v>
      </c>
      <c r="C421" s="5" t="s">
        <v>4575</v>
      </c>
      <c r="D421" s="5"/>
      <c r="E421" s="5"/>
      <c r="F421" s="5"/>
      <c r="G421" s="5"/>
      <c r="H421" s="5"/>
      <c r="I421" s="5"/>
      <c r="J421" s="5"/>
      <c r="K421" s="5" t="s">
        <v>993</v>
      </c>
      <c r="L421" s="5" t="s">
        <v>994</v>
      </c>
      <c r="M421" s="5" t="s">
        <v>4576</v>
      </c>
      <c r="N421" s="5">
        <v>41</v>
      </c>
      <c r="O421" s="5"/>
      <c r="P421" s="5" t="s">
        <v>995</v>
      </c>
      <c r="Q421" s="5">
        <v>36</v>
      </c>
      <c r="R421" s="5">
        <v>24</v>
      </c>
      <c r="S421" s="5">
        <v>23</v>
      </c>
      <c r="T421" s="5">
        <v>0</v>
      </c>
      <c r="U421" s="5" t="b">
        <v>0</v>
      </c>
      <c r="V421" s="5">
        <v>20</v>
      </c>
      <c r="W421" s="5">
        <v>0.12</v>
      </c>
      <c r="X421" s="5" t="s">
        <v>9</v>
      </c>
      <c r="Y421" s="5">
        <v>9</v>
      </c>
      <c r="Z421" s="5"/>
      <c r="AA421" s="5"/>
      <c r="AB421" s="5" t="s">
        <v>354</v>
      </c>
      <c r="AC421" s="5" t="b">
        <v>0</v>
      </c>
      <c r="AD421" s="5"/>
      <c r="AE421" s="5"/>
      <c r="AF421" s="5"/>
      <c r="AG421" s="5">
        <v>20</v>
      </c>
      <c r="AH421" s="5">
        <v>20</v>
      </c>
      <c r="AI421" s="5">
        <v>1</v>
      </c>
      <c r="AJ421" s="5">
        <v>1</v>
      </c>
      <c r="AK421" s="5" t="s">
        <v>996</v>
      </c>
      <c r="AL421" s="5">
        <v>2</v>
      </c>
      <c r="AM421" s="5"/>
      <c r="AN421" s="5">
        <v>10</v>
      </c>
      <c r="AO421" s="5"/>
      <c r="AP421" s="5">
        <v>0</v>
      </c>
      <c r="AQ421" s="5"/>
      <c r="AR421" s="5">
        <v>0</v>
      </c>
      <c r="AS421" s="5"/>
      <c r="AT421" s="5" t="s">
        <v>997</v>
      </c>
      <c r="AU421" s="5" t="s">
        <v>998</v>
      </c>
      <c r="AV421" s="5" t="s">
        <v>999</v>
      </c>
      <c r="AW421" s="8" t="str">
        <f>IFERROR(VLOOKUP(AA421,'Message Lookup'!D:J,7,FALSE),"")</f>
        <v/>
      </c>
    </row>
    <row r="422" spans="1:49" x14ac:dyDescent="0.25">
      <c r="A422" s="5" t="s">
        <v>4574</v>
      </c>
      <c r="B422" s="5" t="s">
        <v>992</v>
      </c>
      <c r="C422" s="5" t="s">
        <v>4575</v>
      </c>
      <c r="D422" s="5"/>
      <c r="E422" s="5"/>
      <c r="F422" s="5"/>
      <c r="G422" s="5"/>
      <c r="H422" s="5"/>
      <c r="I422" s="5"/>
      <c r="J422" s="5"/>
      <c r="K422" s="5" t="s">
        <v>993</v>
      </c>
      <c r="L422" s="5" t="s">
        <v>994</v>
      </c>
      <c r="M422" s="5" t="s">
        <v>4576</v>
      </c>
      <c r="N422" s="5">
        <v>41</v>
      </c>
      <c r="O422" s="5"/>
      <c r="P422" s="5" t="s">
        <v>995</v>
      </c>
      <c r="Q422" s="5">
        <v>36</v>
      </c>
      <c r="R422" s="5">
        <v>24</v>
      </c>
      <c r="S422" s="5">
        <v>23</v>
      </c>
      <c r="T422" s="5">
        <v>0</v>
      </c>
      <c r="U422" s="5" t="b">
        <v>0</v>
      </c>
      <c r="V422" s="5">
        <v>20</v>
      </c>
      <c r="W422" s="5">
        <v>0.12</v>
      </c>
      <c r="X422" s="5" t="s">
        <v>9</v>
      </c>
      <c r="Y422" s="5">
        <v>9</v>
      </c>
      <c r="Z422" s="5"/>
      <c r="AA422" s="5" t="s">
        <v>339</v>
      </c>
      <c r="AB422" s="5" t="s">
        <v>355</v>
      </c>
      <c r="AC422" s="5" t="b">
        <v>0</v>
      </c>
      <c r="AD422" s="5"/>
      <c r="AE422" s="5"/>
      <c r="AF422" s="5"/>
      <c r="AG422" s="5">
        <v>20</v>
      </c>
      <c r="AH422" s="5"/>
      <c r="AI422" s="5">
        <v>1</v>
      </c>
      <c r="AJ422" s="5"/>
      <c r="AK422" s="5" t="s">
        <v>996</v>
      </c>
      <c r="AL422" s="5">
        <v>2</v>
      </c>
      <c r="AM422" s="5"/>
      <c r="AN422" s="5">
        <v>10</v>
      </c>
      <c r="AO422" s="5"/>
      <c r="AP422" s="5">
        <v>0</v>
      </c>
      <c r="AQ422" s="5"/>
      <c r="AR422" s="5">
        <v>0</v>
      </c>
      <c r="AS422" s="5"/>
      <c r="AT422" s="5" t="s">
        <v>997</v>
      </c>
      <c r="AU422" s="5" t="s">
        <v>998</v>
      </c>
      <c r="AV422" s="5" t="s">
        <v>999</v>
      </c>
      <c r="AW422" s="8">
        <f>IFERROR(VLOOKUP(AA422,'Message Lookup'!D:J,7,FALSE),"")</f>
        <v>0</v>
      </c>
    </row>
    <row r="423" spans="1:49" x14ac:dyDescent="0.25">
      <c r="A423" s="5" t="s">
        <v>4574</v>
      </c>
      <c r="B423" s="5" t="s">
        <v>992</v>
      </c>
      <c r="C423" s="5" t="s">
        <v>4575</v>
      </c>
      <c r="D423" s="5"/>
      <c r="E423" s="5"/>
      <c r="F423" s="5"/>
      <c r="G423" s="5"/>
      <c r="H423" s="5"/>
      <c r="I423" s="5"/>
      <c r="J423" s="5"/>
      <c r="K423" s="5" t="s">
        <v>993</v>
      </c>
      <c r="L423" s="5" t="s">
        <v>994</v>
      </c>
      <c r="M423" s="5" t="s">
        <v>4576</v>
      </c>
      <c r="N423" s="5">
        <v>41</v>
      </c>
      <c r="O423" s="5"/>
      <c r="P423" s="5" t="s">
        <v>995</v>
      </c>
      <c r="Q423" s="5">
        <v>36</v>
      </c>
      <c r="R423" s="5">
        <v>24</v>
      </c>
      <c r="S423" s="5">
        <v>23</v>
      </c>
      <c r="T423" s="5">
        <v>0</v>
      </c>
      <c r="U423" s="5" t="b">
        <v>0</v>
      </c>
      <c r="V423" s="5">
        <v>20</v>
      </c>
      <c r="W423" s="5">
        <v>0.12</v>
      </c>
      <c r="X423" s="5" t="s">
        <v>9</v>
      </c>
      <c r="Y423" s="5">
        <v>9</v>
      </c>
      <c r="Z423" s="5"/>
      <c r="AA423" s="5" t="s">
        <v>340</v>
      </c>
      <c r="AB423" s="5" t="s">
        <v>356</v>
      </c>
      <c r="AC423" s="5" t="b">
        <v>0</v>
      </c>
      <c r="AD423" s="5"/>
      <c r="AE423" s="5"/>
      <c r="AF423" s="5"/>
      <c r="AG423" s="5">
        <v>20</v>
      </c>
      <c r="AH423" s="5"/>
      <c r="AI423" s="5">
        <v>1</v>
      </c>
      <c r="AJ423" s="5"/>
      <c r="AK423" s="5" t="s">
        <v>996</v>
      </c>
      <c r="AL423" s="5">
        <v>2</v>
      </c>
      <c r="AM423" s="5"/>
      <c r="AN423" s="5">
        <v>10</v>
      </c>
      <c r="AO423" s="5"/>
      <c r="AP423" s="5">
        <v>0</v>
      </c>
      <c r="AQ423" s="5"/>
      <c r="AR423" s="5">
        <v>0</v>
      </c>
      <c r="AS423" s="5"/>
      <c r="AT423" s="5" t="s">
        <v>997</v>
      </c>
      <c r="AU423" s="5" t="s">
        <v>998</v>
      </c>
      <c r="AV423" s="5" t="s">
        <v>999</v>
      </c>
      <c r="AW423" s="8">
        <f>IFERROR(VLOOKUP(AA423,'Message Lookup'!D:J,7,FALSE),"")</f>
        <v>0</v>
      </c>
    </row>
    <row r="424" spans="1:49" x14ac:dyDescent="0.25">
      <c r="A424" s="5" t="s">
        <v>4574</v>
      </c>
      <c r="B424" s="5" t="s">
        <v>992</v>
      </c>
      <c r="C424" s="5" t="s">
        <v>4575</v>
      </c>
      <c r="D424" s="5"/>
      <c r="E424" s="5"/>
      <c r="F424" s="5"/>
      <c r="G424" s="5"/>
      <c r="H424" s="5"/>
      <c r="I424" s="5"/>
      <c r="J424" s="5"/>
      <c r="K424" s="5" t="s">
        <v>993</v>
      </c>
      <c r="L424" s="5" t="s">
        <v>994</v>
      </c>
      <c r="M424" s="5" t="s">
        <v>4576</v>
      </c>
      <c r="N424" s="5">
        <v>41</v>
      </c>
      <c r="O424" s="5"/>
      <c r="P424" s="5" t="s">
        <v>995</v>
      </c>
      <c r="Q424" s="5">
        <v>36</v>
      </c>
      <c r="R424" s="5">
        <v>24</v>
      </c>
      <c r="S424" s="5">
        <v>23</v>
      </c>
      <c r="T424" s="5">
        <v>0</v>
      </c>
      <c r="U424" s="5" t="b">
        <v>0</v>
      </c>
      <c r="V424" s="5">
        <v>20</v>
      </c>
      <c r="W424" s="5">
        <v>0.12</v>
      </c>
      <c r="X424" s="5" t="s">
        <v>9</v>
      </c>
      <c r="Y424" s="5">
        <v>9</v>
      </c>
      <c r="Z424" s="5"/>
      <c r="AA424" s="5" t="s">
        <v>341</v>
      </c>
      <c r="AB424" s="5" t="s">
        <v>357</v>
      </c>
      <c r="AC424" s="5" t="b">
        <v>1</v>
      </c>
      <c r="AD424" s="5"/>
      <c r="AE424" s="5"/>
      <c r="AF424" s="5"/>
      <c r="AG424" s="5">
        <v>20</v>
      </c>
      <c r="AH424" s="5"/>
      <c r="AI424" s="5">
        <v>1</v>
      </c>
      <c r="AJ424" s="5"/>
      <c r="AK424" s="5" t="s">
        <v>996</v>
      </c>
      <c r="AL424" s="5">
        <v>2</v>
      </c>
      <c r="AM424" s="5"/>
      <c r="AN424" s="5">
        <v>10</v>
      </c>
      <c r="AO424" s="5"/>
      <c r="AP424" s="5">
        <v>0</v>
      </c>
      <c r="AQ424" s="5"/>
      <c r="AR424" s="5">
        <v>0</v>
      </c>
      <c r="AS424" s="5"/>
      <c r="AT424" s="5" t="s">
        <v>997</v>
      </c>
      <c r="AU424" s="5" t="s">
        <v>998</v>
      </c>
      <c r="AV424" s="5" t="s">
        <v>999</v>
      </c>
      <c r="AW424" s="8" t="str">
        <f>IFERROR(VLOOKUP(AA424,'Message Lookup'!D:J,7,FALSE),"")</f>
        <v>Station Lockout Global Shutdown</v>
      </c>
    </row>
    <row r="425" spans="1:49" x14ac:dyDescent="0.25">
      <c r="A425" s="5" t="s">
        <v>4574</v>
      </c>
      <c r="B425" s="5" t="s">
        <v>992</v>
      </c>
      <c r="C425" s="5" t="s">
        <v>4575</v>
      </c>
      <c r="D425" s="5"/>
      <c r="E425" s="5"/>
      <c r="F425" s="5"/>
      <c r="G425" s="5"/>
      <c r="H425" s="5"/>
      <c r="I425" s="5"/>
      <c r="J425" s="5"/>
      <c r="K425" s="5" t="s">
        <v>993</v>
      </c>
      <c r="L425" s="5" t="s">
        <v>994</v>
      </c>
      <c r="M425" s="5" t="s">
        <v>4576</v>
      </c>
      <c r="N425" s="5">
        <v>41</v>
      </c>
      <c r="O425" s="5"/>
      <c r="P425" s="5" t="s">
        <v>995</v>
      </c>
      <c r="Q425" s="5">
        <v>36</v>
      </c>
      <c r="R425" s="5">
        <v>24</v>
      </c>
      <c r="S425" s="5">
        <v>23</v>
      </c>
      <c r="T425" s="5">
        <v>0</v>
      </c>
      <c r="U425" s="5" t="b">
        <v>0</v>
      </c>
      <c r="V425" s="5">
        <v>20</v>
      </c>
      <c r="W425" s="5">
        <v>0.12</v>
      </c>
      <c r="X425" s="5" t="s">
        <v>9</v>
      </c>
      <c r="Y425" s="5">
        <v>9</v>
      </c>
      <c r="Z425" s="5"/>
      <c r="AA425" s="5" t="s">
        <v>342</v>
      </c>
      <c r="AB425" s="5" t="s">
        <v>358</v>
      </c>
      <c r="AC425" s="5" t="b">
        <v>1</v>
      </c>
      <c r="AD425" s="5"/>
      <c r="AE425" s="5"/>
      <c r="AF425" s="5"/>
      <c r="AG425" s="5">
        <v>20</v>
      </c>
      <c r="AH425" s="5"/>
      <c r="AI425" s="5">
        <v>1</v>
      </c>
      <c r="AJ425" s="5"/>
      <c r="AK425" s="5" t="s">
        <v>996</v>
      </c>
      <c r="AL425" s="5">
        <v>2</v>
      </c>
      <c r="AM425" s="5"/>
      <c r="AN425" s="5">
        <v>10</v>
      </c>
      <c r="AO425" s="5"/>
      <c r="AP425" s="5">
        <v>0</v>
      </c>
      <c r="AQ425" s="5"/>
      <c r="AR425" s="5">
        <v>0</v>
      </c>
      <c r="AS425" s="5"/>
      <c r="AT425" s="5" t="s">
        <v>997</v>
      </c>
      <c r="AU425" s="5" t="s">
        <v>998</v>
      </c>
      <c r="AV425" s="5" t="s">
        <v>999</v>
      </c>
      <c r="AW425" s="8">
        <f>IFERROR(VLOOKUP(AA425,'Message Lookup'!D:J,7,FALSE),"")</f>
        <v>0</v>
      </c>
    </row>
    <row r="426" spans="1:49" x14ac:dyDescent="0.25">
      <c r="A426" s="5" t="s">
        <v>4574</v>
      </c>
      <c r="B426" s="5" t="s">
        <v>992</v>
      </c>
      <c r="C426" s="5" t="s">
        <v>4575</v>
      </c>
      <c r="D426" s="5"/>
      <c r="E426" s="5"/>
      <c r="F426" s="5"/>
      <c r="G426" s="5"/>
      <c r="H426" s="5"/>
      <c r="I426" s="5"/>
      <c r="J426" s="5"/>
      <c r="K426" s="5" t="s">
        <v>993</v>
      </c>
      <c r="L426" s="5" t="s">
        <v>994</v>
      </c>
      <c r="M426" s="5" t="s">
        <v>4576</v>
      </c>
      <c r="N426" s="5">
        <v>41</v>
      </c>
      <c r="O426" s="5"/>
      <c r="P426" s="5" t="s">
        <v>995</v>
      </c>
      <c r="Q426" s="5">
        <v>36</v>
      </c>
      <c r="R426" s="5">
        <v>24</v>
      </c>
      <c r="S426" s="5">
        <v>23</v>
      </c>
      <c r="T426" s="5">
        <v>0</v>
      </c>
      <c r="U426" s="5" t="b">
        <v>0</v>
      </c>
      <c r="V426" s="5">
        <v>20</v>
      </c>
      <c r="W426" s="5">
        <v>0.12</v>
      </c>
      <c r="X426" s="5" t="s">
        <v>9</v>
      </c>
      <c r="Y426" s="5">
        <v>9</v>
      </c>
      <c r="Z426" s="5"/>
      <c r="AA426" s="5" t="s">
        <v>343</v>
      </c>
      <c r="AB426" s="5" t="s">
        <v>359</v>
      </c>
      <c r="AC426" s="5" t="b">
        <v>0</v>
      </c>
      <c r="AD426" s="5"/>
      <c r="AE426" s="5"/>
      <c r="AF426" s="5"/>
      <c r="AG426" s="5">
        <v>20</v>
      </c>
      <c r="AH426" s="5"/>
      <c r="AI426" s="5">
        <v>1</v>
      </c>
      <c r="AJ426" s="5"/>
      <c r="AK426" s="5" t="s">
        <v>996</v>
      </c>
      <c r="AL426" s="5">
        <v>2</v>
      </c>
      <c r="AM426" s="5"/>
      <c r="AN426" s="5">
        <v>10</v>
      </c>
      <c r="AO426" s="5"/>
      <c r="AP426" s="5">
        <v>0</v>
      </c>
      <c r="AQ426" s="5"/>
      <c r="AR426" s="5">
        <v>0</v>
      </c>
      <c r="AS426" s="5"/>
      <c r="AT426" s="5" t="s">
        <v>997</v>
      </c>
      <c r="AU426" s="5" t="s">
        <v>998</v>
      </c>
      <c r="AV426" s="5" t="s">
        <v>999</v>
      </c>
      <c r="AW426" s="8" t="str">
        <f>IFERROR(VLOOKUP(AA426,'Message Lookup'!D:J,7,FALSE),"")</f>
        <v>Station in Local</v>
      </c>
    </row>
    <row r="427" spans="1:49" x14ac:dyDescent="0.25">
      <c r="A427" s="5" t="s">
        <v>4574</v>
      </c>
      <c r="B427" s="5" t="s">
        <v>992</v>
      </c>
      <c r="C427" s="5" t="s">
        <v>4575</v>
      </c>
      <c r="D427" s="5"/>
      <c r="E427" s="5"/>
      <c r="F427" s="5"/>
      <c r="G427" s="5"/>
      <c r="H427" s="5"/>
      <c r="I427" s="5"/>
      <c r="J427" s="5"/>
      <c r="K427" s="5" t="s">
        <v>993</v>
      </c>
      <c r="L427" s="5" t="s">
        <v>994</v>
      </c>
      <c r="M427" s="5" t="s">
        <v>4576</v>
      </c>
      <c r="N427" s="5">
        <v>41</v>
      </c>
      <c r="O427" s="5"/>
      <c r="P427" s="5" t="s">
        <v>995</v>
      </c>
      <c r="Q427" s="5">
        <v>36</v>
      </c>
      <c r="R427" s="5">
        <v>24</v>
      </c>
      <c r="S427" s="5">
        <v>23</v>
      </c>
      <c r="T427" s="5">
        <v>0</v>
      </c>
      <c r="U427" s="5" t="b">
        <v>0</v>
      </c>
      <c r="V427" s="5">
        <v>20</v>
      </c>
      <c r="W427" s="5">
        <v>0.12</v>
      </c>
      <c r="X427" s="5" t="s">
        <v>9</v>
      </c>
      <c r="Y427" s="5">
        <v>9</v>
      </c>
      <c r="Z427" s="5"/>
      <c r="AA427" s="5" t="s">
        <v>344</v>
      </c>
      <c r="AB427" s="5" t="s">
        <v>360</v>
      </c>
      <c r="AC427" s="5" t="b">
        <v>0</v>
      </c>
      <c r="AD427" s="5"/>
      <c r="AE427" s="5"/>
      <c r="AF427" s="5"/>
      <c r="AG427" s="5">
        <v>20</v>
      </c>
      <c r="AH427" s="5"/>
      <c r="AI427" s="5">
        <v>1</v>
      </c>
      <c r="AJ427" s="5"/>
      <c r="AK427" s="5" t="s">
        <v>996</v>
      </c>
      <c r="AL427" s="5">
        <v>2</v>
      </c>
      <c r="AM427" s="5"/>
      <c r="AN427" s="5">
        <v>10</v>
      </c>
      <c r="AO427" s="5"/>
      <c r="AP427" s="5">
        <v>0</v>
      </c>
      <c r="AQ427" s="5"/>
      <c r="AR427" s="5">
        <v>0</v>
      </c>
      <c r="AS427" s="5"/>
      <c r="AT427" s="5" t="s">
        <v>997</v>
      </c>
      <c r="AU427" s="5" t="s">
        <v>998</v>
      </c>
      <c r="AV427" s="5" t="s">
        <v>999</v>
      </c>
      <c r="AW427" s="8" t="str">
        <f>IFERROR(VLOOKUP(AA427,'Message Lookup'!D:J,7,FALSE),"")</f>
        <v>PLC battery low alarm latched</v>
      </c>
    </row>
    <row r="428" spans="1:49" x14ac:dyDescent="0.25">
      <c r="A428" s="5" t="s">
        <v>4574</v>
      </c>
      <c r="B428" s="5" t="s">
        <v>992</v>
      </c>
      <c r="C428" s="5" t="s">
        <v>4575</v>
      </c>
      <c r="D428" s="5"/>
      <c r="E428" s="5"/>
      <c r="F428" s="5"/>
      <c r="G428" s="5"/>
      <c r="H428" s="5"/>
      <c r="I428" s="5"/>
      <c r="J428" s="5"/>
      <c r="K428" s="5" t="s">
        <v>993</v>
      </c>
      <c r="L428" s="5" t="s">
        <v>994</v>
      </c>
      <c r="M428" s="5" t="s">
        <v>4576</v>
      </c>
      <c r="N428" s="5">
        <v>41</v>
      </c>
      <c r="O428" s="5"/>
      <c r="P428" s="5" t="s">
        <v>995</v>
      </c>
      <c r="Q428" s="5">
        <v>36</v>
      </c>
      <c r="R428" s="5">
        <v>24</v>
      </c>
      <c r="S428" s="5">
        <v>23</v>
      </c>
      <c r="T428" s="5">
        <v>0</v>
      </c>
      <c r="U428" s="5" t="b">
        <v>0</v>
      </c>
      <c r="V428" s="5">
        <v>20</v>
      </c>
      <c r="W428" s="5">
        <v>0.12</v>
      </c>
      <c r="X428" s="5" t="s">
        <v>9</v>
      </c>
      <c r="Y428" s="5">
        <v>9</v>
      </c>
      <c r="Z428" s="5"/>
      <c r="AA428" s="5"/>
      <c r="AB428" s="5" t="s">
        <v>361</v>
      </c>
      <c r="AC428" s="5" t="b">
        <v>0</v>
      </c>
      <c r="AD428" s="5"/>
      <c r="AE428" s="5"/>
      <c r="AF428" s="5"/>
      <c r="AG428" s="5">
        <v>20</v>
      </c>
      <c r="AH428" s="5"/>
      <c r="AI428" s="5">
        <v>1</v>
      </c>
      <c r="AJ428" s="5"/>
      <c r="AK428" s="5" t="s">
        <v>996</v>
      </c>
      <c r="AL428" s="5">
        <v>2</v>
      </c>
      <c r="AM428" s="5"/>
      <c r="AN428" s="5">
        <v>10</v>
      </c>
      <c r="AO428" s="5"/>
      <c r="AP428" s="5">
        <v>0</v>
      </c>
      <c r="AQ428" s="5"/>
      <c r="AR428" s="5">
        <v>0</v>
      </c>
      <c r="AS428" s="5"/>
      <c r="AT428" s="5" t="s">
        <v>997</v>
      </c>
      <c r="AU428" s="5" t="s">
        <v>998</v>
      </c>
      <c r="AV428" s="5" t="s">
        <v>999</v>
      </c>
      <c r="AW428" s="8" t="str">
        <f>IFERROR(VLOOKUP(AA428,'Message Lookup'!D:J,7,FALSE),"")</f>
        <v/>
      </c>
    </row>
    <row r="429" spans="1:49" x14ac:dyDescent="0.25">
      <c r="A429" s="5" t="s">
        <v>4574</v>
      </c>
      <c r="B429" s="5" t="s">
        <v>992</v>
      </c>
      <c r="C429" s="5" t="s">
        <v>4575</v>
      </c>
      <c r="D429" s="5"/>
      <c r="E429" s="5"/>
      <c r="F429" s="5"/>
      <c r="G429" s="5"/>
      <c r="H429" s="5"/>
      <c r="I429" s="5"/>
      <c r="J429" s="5"/>
      <c r="K429" s="5" t="s">
        <v>993</v>
      </c>
      <c r="L429" s="5" t="s">
        <v>994</v>
      </c>
      <c r="M429" s="5" t="s">
        <v>4576</v>
      </c>
      <c r="N429" s="5">
        <v>41</v>
      </c>
      <c r="O429" s="5"/>
      <c r="P429" s="5" t="s">
        <v>995</v>
      </c>
      <c r="Q429" s="5">
        <v>36</v>
      </c>
      <c r="R429" s="5">
        <v>24</v>
      </c>
      <c r="S429" s="5">
        <v>23</v>
      </c>
      <c r="T429" s="5">
        <v>0</v>
      </c>
      <c r="U429" s="5" t="b">
        <v>0</v>
      </c>
      <c r="V429" s="5">
        <v>20</v>
      </c>
      <c r="W429" s="5">
        <v>0.12</v>
      </c>
      <c r="X429" s="5" t="s">
        <v>9</v>
      </c>
      <c r="Y429" s="5">
        <v>9</v>
      </c>
      <c r="Z429" s="5"/>
      <c r="AA429" s="5"/>
      <c r="AB429" s="5" t="s">
        <v>362</v>
      </c>
      <c r="AC429" s="5" t="b">
        <v>0</v>
      </c>
      <c r="AD429" s="5"/>
      <c r="AE429" s="5"/>
      <c r="AF429" s="5"/>
      <c r="AG429" s="5">
        <v>20</v>
      </c>
      <c r="AH429" s="5"/>
      <c r="AI429" s="5">
        <v>1</v>
      </c>
      <c r="AJ429" s="5"/>
      <c r="AK429" s="5" t="s">
        <v>996</v>
      </c>
      <c r="AL429" s="5">
        <v>2</v>
      </c>
      <c r="AM429" s="5"/>
      <c r="AN429" s="5">
        <v>10</v>
      </c>
      <c r="AO429" s="5"/>
      <c r="AP429" s="5">
        <v>0</v>
      </c>
      <c r="AQ429" s="5"/>
      <c r="AR429" s="5">
        <v>0</v>
      </c>
      <c r="AS429" s="5"/>
      <c r="AT429" s="5" t="s">
        <v>997</v>
      </c>
      <c r="AU429" s="5" t="s">
        <v>998</v>
      </c>
      <c r="AV429" s="5" t="s">
        <v>999</v>
      </c>
      <c r="AW429" s="8" t="str">
        <f>IFERROR(VLOOKUP(AA429,'Message Lookup'!D:J,7,FALSE),"")</f>
        <v/>
      </c>
    </row>
    <row r="430" spans="1:49" x14ac:dyDescent="0.25">
      <c r="A430" s="5" t="s">
        <v>4574</v>
      </c>
      <c r="B430" s="5" t="s">
        <v>992</v>
      </c>
      <c r="C430" s="5" t="s">
        <v>4575</v>
      </c>
      <c r="D430" s="5"/>
      <c r="E430" s="5"/>
      <c r="F430" s="5"/>
      <c r="G430" s="5"/>
      <c r="H430" s="5"/>
      <c r="I430" s="5"/>
      <c r="J430" s="5"/>
      <c r="K430" s="5" t="s">
        <v>993</v>
      </c>
      <c r="L430" s="5" t="s">
        <v>994</v>
      </c>
      <c r="M430" s="5" t="s">
        <v>4576</v>
      </c>
      <c r="N430" s="5">
        <v>41</v>
      </c>
      <c r="O430" s="5"/>
      <c r="P430" s="5" t="s">
        <v>995</v>
      </c>
      <c r="Q430" s="5">
        <v>36</v>
      </c>
      <c r="R430" s="5">
        <v>24</v>
      </c>
      <c r="S430" s="5">
        <v>23</v>
      </c>
      <c r="T430" s="5">
        <v>0</v>
      </c>
      <c r="U430" s="5" t="b">
        <v>0</v>
      </c>
      <c r="V430" s="5">
        <v>20</v>
      </c>
      <c r="W430" s="5">
        <v>0.12</v>
      </c>
      <c r="X430" s="5" t="s">
        <v>9</v>
      </c>
      <c r="Y430" s="5">
        <v>9</v>
      </c>
      <c r="Z430" s="5"/>
      <c r="AA430" s="5" t="s">
        <v>345</v>
      </c>
      <c r="AB430" s="5" t="s">
        <v>363</v>
      </c>
      <c r="AC430" s="5" t="b">
        <v>0</v>
      </c>
      <c r="AD430" s="5"/>
      <c r="AE430" s="5"/>
      <c r="AF430" s="5"/>
      <c r="AG430" s="5">
        <v>20</v>
      </c>
      <c r="AH430" s="5"/>
      <c r="AI430" s="5">
        <v>1</v>
      </c>
      <c r="AJ430" s="5"/>
      <c r="AK430" s="5" t="s">
        <v>996</v>
      </c>
      <c r="AL430" s="5">
        <v>2</v>
      </c>
      <c r="AM430" s="5"/>
      <c r="AN430" s="5">
        <v>10</v>
      </c>
      <c r="AO430" s="5"/>
      <c r="AP430" s="5">
        <v>0</v>
      </c>
      <c r="AQ430" s="5"/>
      <c r="AR430" s="5">
        <v>0</v>
      </c>
      <c r="AS430" s="5"/>
      <c r="AT430" s="5" t="s">
        <v>997</v>
      </c>
      <c r="AU430" s="5" t="s">
        <v>998</v>
      </c>
      <c r="AV430" s="5" t="s">
        <v>999</v>
      </c>
      <c r="AW430" s="8" t="str">
        <f>IFERROR(VLOOKUP(AA430,'Message Lookup'!D:J,7,FALSE),"")</f>
        <v>PRODUCER COMM FAIL Alarm Latched</v>
      </c>
    </row>
    <row r="431" spans="1:49" x14ac:dyDescent="0.25">
      <c r="A431" s="5" t="s">
        <v>4574</v>
      </c>
      <c r="B431" s="5" t="s">
        <v>992</v>
      </c>
      <c r="C431" s="5" t="s">
        <v>4575</v>
      </c>
      <c r="D431" s="5"/>
      <c r="E431" s="5"/>
      <c r="F431" s="5"/>
      <c r="G431" s="5"/>
      <c r="H431" s="5"/>
      <c r="I431" s="5"/>
      <c r="J431" s="5"/>
      <c r="K431" s="5" t="s">
        <v>993</v>
      </c>
      <c r="L431" s="5" t="s">
        <v>994</v>
      </c>
      <c r="M431" s="5" t="s">
        <v>4576</v>
      </c>
      <c r="N431" s="5">
        <v>41</v>
      </c>
      <c r="O431" s="5"/>
      <c r="P431" s="5" t="s">
        <v>995</v>
      </c>
      <c r="Q431" s="5">
        <v>36</v>
      </c>
      <c r="R431" s="5">
        <v>24</v>
      </c>
      <c r="S431" s="5">
        <v>23</v>
      </c>
      <c r="T431" s="5">
        <v>0</v>
      </c>
      <c r="U431" s="5" t="b">
        <v>0</v>
      </c>
      <c r="V431" s="5">
        <v>20</v>
      </c>
      <c r="W431" s="5">
        <v>0.12</v>
      </c>
      <c r="X431" s="5" t="s">
        <v>9</v>
      </c>
      <c r="Y431" s="5">
        <v>9</v>
      </c>
      <c r="Z431" s="5"/>
      <c r="AA431" s="5" t="s">
        <v>346</v>
      </c>
      <c r="AB431" s="5" t="s">
        <v>364</v>
      </c>
      <c r="AC431" s="5" t="b">
        <v>0</v>
      </c>
      <c r="AD431" s="5"/>
      <c r="AE431" s="5"/>
      <c r="AF431" s="5"/>
      <c r="AG431" s="5">
        <v>20</v>
      </c>
      <c r="AH431" s="5"/>
      <c r="AI431" s="5">
        <v>1</v>
      </c>
      <c r="AJ431" s="5"/>
      <c r="AK431" s="5" t="s">
        <v>996</v>
      </c>
      <c r="AL431" s="5">
        <v>2</v>
      </c>
      <c r="AM431" s="5"/>
      <c r="AN431" s="5">
        <v>10</v>
      </c>
      <c r="AO431" s="5"/>
      <c r="AP431" s="5">
        <v>0</v>
      </c>
      <c r="AQ431" s="5"/>
      <c r="AR431" s="5">
        <v>0</v>
      </c>
      <c r="AS431" s="5"/>
      <c r="AT431" s="5" t="s">
        <v>997</v>
      </c>
      <c r="AU431" s="5" t="s">
        <v>998</v>
      </c>
      <c r="AV431" s="5" t="s">
        <v>999</v>
      </c>
      <c r="AW431" s="8">
        <f>IFERROR(VLOOKUP(AA431,'Message Lookup'!D:J,7,FALSE),"")</f>
        <v>0</v>
      </c>
    </row>
    <row r="432" spans="1:49" x14ac:dyDescent="0.25">
      <c r="A432" s="5" t="s">
        <v>4574</v>
      </c>
      <c r="B432" s="5" t="s">
        <v>992</v>
      </c>
      <c r="C432" s="5" t="s">
        <v>4575</v>
      </c>
      <c r="D432" s="5"/>
      <c r="E432" s="5"/>
      <c r="F432" s="5"/>
      <c r="G432" s="5"/>
      <c r="H432" s="5"/>
      <c r="I432" s="5"/>
      <c r="J432" s="5"/>
      <c r="K432" s="5" t="s">
        <v>993</v>
      </c>
      <c r="L432" s="5" t="s">
        <v>994</v>
      </c>
      <c r="M432" s="5" t="s">
        <v>4576</v>
      </c>
      <c r="N432" s="5">
        <v>41</v>
      </c>
      <c r="O432" s="5"/>
      <c r="P432" s="5" t="s">
        <v>995</v>
      </c>
      <c r="Q432" s="5">
        <v>36</v>
      </c>
      <c r="R432" s="5">
        <v>24</v>
      </c>
      <c r="S432" s="5">
        <v>23</v>
      </c>
      <c r="T432" s="5">
        <v>0</v>
      </c>
      <c r="U432" s="5" t="b">
        <v>0</v>
      </c>
      <c r="V432" s="5">
        <v>20</v>
      </c>
      <c r="W432" s="5">
        <v>0.12</v>
      </c>
      <c r="X432" s="5" t="s">
        <v>9</v>
      </c>
      <c r="Y432" s="5">
        <v>9</v>
      </c>
      <c r="Z432" s="5"/>
      <c r="AA432" s="5" t="s">
        <v>347</v>
      </c>
      <c r="AB432" s="5" t="s">
        <v>365</v>
      </c>
      <c r="AC432" s="5" t="b">
        <v>0</v>
      </c>
      <c r="AD432" s="5"/>
      <c r="AE432" s="5"/>
      <c r="AF432" s="5"/>
      <c r="AG432" s="5">
        <v>20</v>
      </c>
      <c r="AH432" s="5"/>
      <c r="AI432" s="5">
        <v>1</v>
      </c>
      <c r="AJ432" s="5"/>
      <c r="AK432" s="5" t="s">
        <v>996</v>
      </c>
      <c r="AL432" s="5">
        <v>2</v>
      </c>
      <c r="AM432" s="5"/>
      <c r="AN432" s="5">
        <v>10</v>
      </c>
      <c r="AO432" s="5"/>
      <c r="AP432" s="5">
        <v>0</v>
      </c>
      <c r="AQ432" s="5"/>
      <c r="AR432" s="5">
        <v>0</v>
      </c>
      <c r="AS432" s="5"/>
      <c r="AT432" s="5" t="s">
        <v>997</v>
      </c>
      <c r="AU432" s="5" t="s">
        <v>998</v>
      </c>
      <c r="AV432" s="5" t="s">
        <v>999</v>
      </c>
      <c r="AW432" s="8" t="str">
        <f>IFERROR(VLOOKUP(AA432,'Message Lookup'!D:J,7,FALSE),"")</f>
        <v>FQI-100 Comm Fail Alarm Latched</v>
      </c>
    </row>
    <row r="433" spans="1:49" x14ac:dyDescent="0.25">
      <c r="A433" s="5" t="s">
        <v>4574</v>
      </c>
      <c r="B433" s="5" t="s">
        <v>992</v>
      </c>
      <c r="C433" s="5" t="s">
        <v>4575</v>
      </c>
      <c r="D433" s="5"/>
      <c r="E433" s="5"/>
      <c r="F433" s="5"/>
      <c r="G433" s="5"/>
      <c r="H433" s="5"/>
      <c r="I433" s="5"/>
      <c r="J433" s="5"/>
      <c r="K433" s="5" t="s">
        <v>993</v>
      </c>
      <c r="L433" s="5" t="s">
        <v>994</v>
      </c>
      <c r="M433" s="5" t="s">
        <v>4576</v>
      </c>
      <c r="N433" s="5">
        <v>41</v>
      </c>
      <c r="O433" s="5"/>
      <c r="P433" s="5" t="s">
        <v>995</v>
      </c>
      <c r="Q433" s="5">
        <v>36</v>
      </c>
      <c r="R433" s="5">
        <v>24</v>
      </c>
      <c r="S433" s="5">
        <v>23</v>
      </c>
      <c r="T433" s="5">
        <v>0</v>
      </c>
      <c r="U433" s="5" t="b">
        <v>0</v>
      </c>
      <c r="V433" s="5">
        <v>20</v>
      </c>
      <c r="W433" s="5">
        <v>0.12</v>
      </c>
      <c r="X433" s="5" t="s">
        <v>9</v>
      </c>
      <c r="Y433" s="5">
        <v>9</v>
      </c>
      <c r="Z433" s="5"/>
      <c r="AA433" s="5" t="s">
        <v>348</v>
      </c>
      <c r="AB433" s="5" t="s">
        <v>366</v>
      </c>
      <c r="AC433" s="5" t="b">
        <v>0</v>
      </c>
      <c r="AD433" s="5"/>
      <c r="AE433" s="5"/>
      <c r="AF433" s="5"/>
      <c r="AG433" s="5">
        <v>20</v>
      </c>
      <c r="AH433" s="5"/>
      <c r="AI433" s="5">
        <v>1</v>
      </c>
      <c r="AJ433" s="5"/>
      <c r="AK433" s="5" t="s">
        <v>996</v>
      </c>
      <c r="AL433" s="5">
        <v>2</v>
      </c>
      <c r="AM433" s="5"/>
      <c r="AN433" s="5">
        <v>10</v>
      </c>
      <c r="AO433" s="5"/>
      <c r="AP433" s="5">
        <v>0</v>
      </c>
      <c r="AQ433" s="5"/>
      <c r="AR433" s="5">
        <v>0</v>
      </c>
      <c r="AS433" s="5"/>
      <c r="AT433" s="5" t="s">
        <v>997</v>
      </c>
      <c r="AU433" s="5" t="s">
        <v>998</v>
      </c>
      <c r="AV433" s="5" t="s">
        <v>999</v>
      </c>
      <c r="AW433" s="8" t="str">
        <f>IFERROR(VLOOKUP(AA433,'Message Lookup'!D:J,7,FALSE),"")</f>
        <v>FQI-200 Comm Fail Alarm Latched</v>
      </c>
    </row>
    <row r="434" spans="1:49" x14ac:dyDescent="0.25">
      <c r="A434" s="5" t="s">
        <v>4574</v>
      </c>
      <c r="B434" s="5" t="s">
        <v>992</v>
      </c>
      <c r="C434" s="5" t="s">
        <v>4575</v>
      </c>
      <c r="D434" s="5"/>
      <c r="E434" s="5"/>
      <c r="F434" s="5"/>
      <c r="G434" s="5"/>
      <c r="H434" s="5"/>
      <c r="I434" s="5"/>
      <c r="J434" s="5"/>
      <c r="K434" s="5" t="s">
        <v>993</v>
      </c>
      <c r="L434" s="5" t="s">
        <v>994</v>
      </c>
      <c r="M434" s="5" t="s">
        <v>4576</v>
      </c>
      <c r="N434" s="5">
        <v>41</v>
      </c>
      <c r="O434" s="5"/>
      <c r="P434" s="5" t="s">
        <v>995</v>
      </c>
      <c r="Q434" s="5">
        <v>36</v>
      </c>
      <c r="R434" s="5">
        <v>24</v>
      </c>
      <c r="S434" s="5">
        <v>23</v>
      </c>
      <c r="T434" s="5">
        <v>0</v>
      </c>
      <c r="U434" s="5" t="b">
        <v>0</v>
      </c>
      <c r="V434" s="5">
        <v>20</v>
      </c>
      <c r="W434" s="5">
        <v>0.12</v>
      </c>
      <c r="X434" s="5" t="s">
        <v>9</v>
      </c>
      <c r="Y434" s="5">
        <v>9</v>
      </c>
      <c r="Z434" s="5"/>
      <c r="AA434" s="5" t="s">
        <v>349</v>
      </c>
      <c r="AB434" s="5" t="s">
        <v>367</v>
      </c>
      <c r="AC434" s="5" t="b">
        <v>0</v>
      </c>
      <c r="AD434" s="5"/>
      <c r="AE434" s="5"/>
      <c r="AF434" s="5"/>
      <c r="AG434" s="5">
        <v>20</v>
      </c>
      <c r="AH434" s="5"/>
      <c r="AI434" s="5">
        <v>1</v>
      </c>
      <c r="AJ434" s="5"/>
      <c r="AK434" s="5" t="s">
        <v>996</v>
      </c>
      <c r="AL434" s="5">
        <v>2</v>
      </c>
      <c r="AM434" s="5"/>
      <c r="AN434" s="5">
        <v>10</v>
      </c>
      <c r="AO434" s="5"/>
      <c r="AP434" s="5">
        <v>0</v>
      </c>
      <c r="AQ434" s="5"/>
      <c r="AR434" s="5">
        <v>0</v>
      </c>
      <c r="AS434" s="5"/>
      <c r="AT434" s="5" t="s">
        <v>997</v>
      </c>
      <c r="AU434" s="5" t="s">
        <v>998</v>
      </c>
      <c r="AV434" s="5" t="s">
        <v>999</v>
      </c>
      <c r="AW434" s="8" t="str">
        <f>IFERROR(VLOOKUP(AA434,'Message Lookup'!D:J,7,FALSE),"")</f>
        <v>FQI-303 C3+ COMMS Alarm Latched</v>
      </c>
    </row>
    <row r="435" spans="1:49" x14ac:dyDescent="0.25">
      <c r="A435" s="5" t="s">
        <v>4574</v>
      </c>
      <c r="B435" s="5" t="s">
        <v>992</v>
      </c>
      <c r="C435" s="5" t="s">
        <v>4575</v>
      </c>
      <c r="D435" s="5"/>
      <c r="E435" s="5"/>
      <c r="F435" s="5"/>
      <c r="G435" s="5"/>
      <c r="H435" s="5"/>
      <c r="I435" s="5"/>
      <c r="J435" s="5"/>
      <c r="K435" s="5" t="s">
        <v>993</v>
      </c>
      <c r="L435" s="5" t="s">
        <v>994</v>
      </c>
      <c r="M435" s="5" t="s">
        <v>4576</v>
      </c>
      <c r="N435" s="5">
        <v>41</v>
      </c>
      <c r="O435" s="5"/>
      <c r="P435" s="5" t="s">
        <v>995</v>
      </c>
      <c r="Q435" s="5">
        <v>36</v>
      </c>
      <c r="R435" s="5">
        <v>24</v>
      </c>
      <c r="S435" s="5">
        <v>23</v>
      </c>
      <c r="T435" s="5">
        <v>0</v>
      </c>
      <c r="U435" s="5" t="b">
        <v>0</v>
      </c>
      <c r="V435" s="5">
        <v>20</v>
      </c>
      <c r="W435" s="5">
        <v>0.12</v>
      </c>
      <c r="X435" s="5" t="s">
        <v>9</v>
      </c>
      <c r="Y435" s="5">
        <v>9</v>
      </c>
      <c r="Z435" s="5"/>
      <c r="AA435" s="5" t="s">
        <v>350</v>
      </c>
      <c r="AB435" s="5" t="s">
        <v>368</v>
      </c>
      <c r="AC435" s="5" t="b">
        <v>0</v>
      </c>
      <c r="AD435" s="5"/>
      <c r="AE435" s="5"/>
      <c r="AF435" s="5"/>
      <c r="AG435" s="5">
        <v>20</v>
      </c>
      <c r="AH435" s="5"/>
      <c r="AI435" s="5">
        <v>1</v>
      </c>
      <c r="AJ435" s="5"/>
      <c r="AK435" s="5" t="s">
        <v>996</v>
      </c>
      <c r="AL435" s="5">
        <v>2</v>
      </c>
      <c r="AM435" s="5"/>
      <c r="AN435" s="5">
        <v>10</v>
      </c>
      <c r="AO435" s="5"/>
      <c r="AP435" s="5">
        <v>0</v>
      </c>
      <c r="AQ435" s="5"/>
      <c r="AR435" s="5">
        <v>0</v>
      </c>
      <c r="AS435" s="5"/>
      <c r="AT435" s="5" t="s">
        <v>997</v>
      </c>
      <c r="AU435" s="5" t="s">
        <v>998</v>
      </c>
      <c r="AV435" s="5" t="s">
        <v>999</v>
      </c>
      <c r="AW435" s="8" t="str">
        <f>IFERROR(VLOOKUP(AA435,'Message Lookup'!D:J,7,FALSE),"")</f>
        <v>FQI-303 Comms Fault Alarm Latch</v>
      </c>
    </row>
    <row r="436" spans="1:49" x14ac:dyDescent="0.25">
      <c r="A436" s="5" t="s">
        <v>4574</v>
      </c>
      <c r="B436" s="5" t="s">
        <v>992</v>
      </c>
      <c r="C436" s="5" t="s">
        <v>4575</v>
      </c>
      <c r="D436" s="5"/>
      <c r="E436" s="5"/>
      <c r="F436" s="5"/>
      <c r="G436" s="5"/>
      <c r="H436" s="5"/>
      <c r="I436" s="5"/>
      <c r="J436" s="5"/>
      <c r="K436" s="5" t="s">
        <v>993</v>
      </c>
      <c r="L436" s="5" t="s">
        <v>994</v>
      </c>
      <c r="M436" s="5" t="s">
        <v>4576</v>
      </c>
      <c r="N436" s="5">
        <v>41</v>
      </c>
      <c r="O436" s="5"/>
      <c r="P436" s="5" t="s">
        <v>995</v>
      </c>
      <c r="Q436" s="5">
        <v>36</v>
      </c>
      <c r="R436" s="5">
        <v>24</v>
      </c>
      <c r="S436" s="5">
        <v>23</v>
      </c>
      <c r="T436" s="5">
        <v>0</v>
      </c>
      <c r="U436" s="5" t="b">
        <v>0</v>
      </c>
      <c r="V436" s="5">
        <v>20</v>
      </c>
      <c r="W436" s="5">
        <v>0.12</v>
      </c>
      <c r="X436" s="5" t="s">
        <v>9</v>
      </c>
      <c r="Y436" s="5">
        <v>9</v>
      </c>
      <c r="Z436" s="5"/>
      <c r="AA436" s="5" t="s">
        <v>351</v>
      </c>
      <c r="AB436" s="5" t="s">
        <v>369</v>
      </c>
      <c r="AC436" s="5" t="b">
        <v>0</v>
      </c>
      <c r="AD436" s="5"/>
      <c r="AE436" s="5"/>
      <c r="AF436" s="5"/>
      <c r="AG436" s="5">
        <v>20</v>
      </c>
      <c r="AH436" s="5"/>
      <c r="AI436" s="5">
        <v>1</v>
      </c>
      <c r="AJ436" s="5"/>
      <c r="AK436" s="5" t="s">
        <v>996</v>
      </c>
      <c r="AL436" s="5">
        <v>2</v>
      </c>
      <c r="AM436" s="5"/>
      <c r="AN436" s="5">
        <v>10</v>
      </c>
      <c r="AO436" s="5"/>
      <c r="AP436" s="5">
        <v>0</v>
      </c>
      <c r="AQ436" s="5"/>
      <c r="AR436" s="5">
        <v>0</v>
      </c>
      <c r="AS436" s="5"/>
      <c r="AT436" s="5" t="s">
        <v>997</v>
      </c>
      <c r="AU436" s="5" t="s">
        <v>998</v>
      </c>
      <c r="AV436" s="5" t="s">
        <v>999</v>
      </c>
      <c r="AW436" s="8" t="str">
        <f>IFERROR(VLOOKUP(AA436,'Message Lookup'!D:J,7,FALSE),"")</f>
        <v>BSW-200 Comms Fail Alarm Latched</v>
      </c>
    </row>
    <row r="437" spans="1:49" x14ac:dyDescent="0.25">
      <c r="A437" s="5" t="s">
        <v>4574</v>
      </c>
      <c r="B437" s="5" t="s">
        <v>992</v>
      </c>
      <c r="C437" s="5" t="s">
        <v>4575</v>
      </c>
      <c r="D437" s="5"/>
      <c r="E437" s="5"/>
      <c r="F437" s="5"/>
      <c r="G437" s="5"/>
      <c r="H437" s="5"/>
      <c r="I437" s="5"/>
      <c r="J437" s="5"/>
      <c r="K437" s="5" t="s">
        <v>993</v>
      </c>
      <c r="L437" s="5" t="s">
        <v>994</v>
      </c>
      <c r="M437" s="5" t="s">
        <v>4576</v>
      </c>
      <c r="N437" s="5">
        <v>41</v>
      </c>
      <c r="O437" s="5"/>
      <c r="P437" s="5" t="s">
        <v>995</v>
      </c>
      <c r="Q437" s="5">
        <v>36</v>
      </c>
      <c r="R437" s="5">
        <v>24</v>
      </c>
      <c r="S437" s="5">
        <v>23</v>
      </c>
      <c r="T437" s="5">
        <v>0</v>
      </c>
      <c r="U437" s="5" t="b">
        <v>0</v>
      </c>
      <c r="V437" s="5">
        <v>20</v>
      </c>
      <c r="W437" s="5">
        <v>0.12</v>
      </c>
      <c r="X437" s="5" t="s">
        <v>9</v>
      </c>
      <c r="Y437" s="5">
        <v>9</v>
      </c>
      <c r="Z437" s="5"/>
      <c r="AA437" s="5" t="s">
        <v>352</v>
      </c>
      <c r="AB437" s="5" t="s">
        <v>370</v>
      </c>
      <c r="AC437" s="5" t="b">
        <v>0</v>
      </c>
      <c r="AD437" s="5"/>
      <c r="AE437" s="5"/>
      <c r="AF437" s="5"/>
      <c r="AG437" s="5">
        <v>20</v>
      </c>
      <c r="AH437" s="5"/>
      <c r="AI437" s="5">
        <v>1</v>
      </c>
      <c r="AJ437" s="5"/>
      <c r="AK437" s="5" t="s">
        <v>996</v>
      </c>
      <c r="AL437" s="5">
        <v>2</v>
      </c>
      <c r="AM437" s="5"/>
      <c r="AN437" s="5">
        <v>10</v>
      </c>
      <c r="AO437" s="5"/>
      <c r="AP437" s="5">
        <v>0</v>
      </c>
      <c r="AQ437" s="5"/>
      <c r="AR437" s="5">
        <v>0</v>
      </c>
      <c r="AS437" s="5"/>
      <c r="AT437" s="5" t="s">
        <v>997</v>
      </c>
      <c r="AU437" s="5" t="s">
        <v>998</v>
      </c>
      <c r="AV437" s="5" t="s">
        <v>999</v>
      </c>
      <c r="AW437" s="8" t="str">
        <f>IFERROR(VLOOKUP(AA437,'Message Lookup'!D:J,7,FALSE),"")</f>
        <v>BSW-300 Comms Fail Alarm Latched</v>
      </c>
    </row>
    <row r="438" spans="1:49" x14ac:dyDescent="0.25">
      <c r="A438" s="5" t="s">
        <v>4574</v>
      </c>
      <c r="B438" s="5" t="s">
        <v>992</v>
      </c>
      <c r="C438" s="5" t="s">
        <v>4575</v>
      </c>
      <c r="D438" s="5"/>
      <c r="E438" s="5"/>
      <c r="F438" s="5"/>
      <c r="G438" s="5"/>
      <c r="H438" s="5"/>
      <c r="I438" s="5"/>
      <c r="J438" s="5"/>
      <c r="K438" s="5" t="s">
        <v>993</v>
      </c>
      <c r="L438" s="5" t="s">
        <v>994</v>
      </c>
      <c r="M438" s="5" t="s">
        <v>4576</v>
      </c>
      <c r="N438" s="5">
        <v>41</v>
      </c>
      <c r="O438" s="5"/>
      <c r="P438" s="5" t="s">
        <v>995</v>
      </c>
      <c r="Q438" s="5">
        <v>36</v>
      </c>
      <c r="R438" s="5">
        <v>24</v>
      </c>
      <c r="S438" s="5">
        <v>23</v>
      </c>
      <c r="T438" s="5">
        <v>0</v>
      </c>
      <c r="U438" s="5" t="b">
        <v>0</v>
      </c>
      <c r="V438" s="5">
        <v>20</v>
      </c>
      <c r="W438" s="5">
        <v>0.12</v>
      </c>
      <c r="X438" s="5" t="s">
        <v>9</v>
      </c>
      <c r="Y438" s="5">
        <v>9</v>
      </c>
      <c r="Z438" s="5"/>
      <c r="AA438" s="5"/>
      <c r="AB438" s="5"/>
      <c r="AC438" s="5"/>
      <c r="AD438" s="5"/>
      <c r="AE438" s="5" t="s">
        <v>1000</v>
      </c>
      <c r="AF438" s="5" t="b">
        <v>0</v>
      </c>
      <c r="AG438" s="5">
        <v>20</v>
      </c>
      <c r="AH438" s="5"/>
      <c r="AI438" s="5">
        <v>1</v>
      </c>
      <c r="AJ438" s="5"/>
      <c r="AK438" s="5" t="s">
        <v>996</v>
      </c>
      <c r="AL438" s="5">
        <v>2</v>
      </c>
      <c r="AM438" s="5"/>
      <c r="AN438" s="5">
        <v>10</v>
      </c>
      <c r="AO438" s="5"/>
      <c r="AP438" s="5">
        <v>0</v>
      </c>
      <c r="AQ438" s="5"/>
      <c r="AR438" s="5">
        <v>0</v>
      </c>
      <c r="AS438" s="5"/>
      <c r="AT438" s="5" t="s">
        <v>997</v>
      </c>
      <c r="AU438" s="5" t="s">
        <v>998</v>
      </c>
      <c r="AV438" s="5" t="s">
        <v>999</v>
      </c>
      <c r="AW438" s="8" t="str">
        <f>IFERROR(VLOOKUP(AA438,'Message Lookup'!D:J,7,FALSE),"")</f>
        <v/>
      </c>
    </row>
    <row r="439" spans="1:49" x14ac:dyDescent="0.25">
      <c r="A439" s="5" t="s">
        <v>4574</v>
      </c>
      <c r="B439" s="5" t="s">
        <v>992</v>
      </c>
      <c r="C439" s="5" t="s">
        <v>4575</v>
      </c>
      <c r="D439" s="5"/>
      <c r="E439" s="5"/>
      <c r="F439" s="5"/>
      <c r="G439" s="5"/>
      <c r="H439" s="5"/>
      <c r="I439" s="5"/>
      <c r="J439" s="5"/>
      <c r="K439" s="5" t="s">
        <v>993</v>
      </c>
      <c r="L439" s="5" t="s">
        <v>994</v>
      </c>
      <c r="M439" s="5" t="s">
        <v>4576</v>
      </c>
      <c r="N439" s="5">
        <v>41</v>
      </c>
      <c r="O439" s="5"/>
      <c r="P439" s="5" t="s">
        <v>995</v>
      </c>
      <c r="Q439" s="5">
        <v>36</v>
      </c>
      <c r="R439" s="5">
        <v>24</v>
      </c>
      <c r="S439" s="5">
        <v>23</v>
      </c>
      <c r="T439" s="5">
        <v>0</v>
      </c>
      <c r="U439" s="5" t="b">
        <v>0</v>
      </c>
      <c r="V439" s="5">
        <v>20</v>
      </c>
      <c r="W439" s="5">
        <v>0.12</v>
      </c>
      <c r="X439" s="5" t="s">
        <v>9</v>
      </c>
      <c r="Y439" s="5">
        <v>9</v>
      </c>
      <c r="Z439" s="5"/>
      <c r="AA439" s="5"/>
      <c r="AB439" s="5"/>
      <c r="AC439" s="5"/>
      <c r="AD439" s="5" t="s">
        <v>1023</v>
      </c>
      <c r="AE439" s="5" t="s">
        <v>1002</v>
      </c>
      <c r="AF439" s="5" t="b">
        <v>0</v>
      </c>
      <c r="AG439" s="5">
        <v>20</v>
      </c>
      <c r="AH439" s="5"/>
      <c r="AI439" s="5">
        <v>1</v>
      </c>
      <c r="AJ439" s="5"/>
      <c r="AK439" s="5" t="s">
        <v>996</v>
      </c>
      <c r="AL439" s="5">
        <v>2</v>
      </c>
      <c r="AM439" s="5"/>
      <c r="AN439" s="5">
        <v>10</v>
      </c>
      <c r="AO439" s="5"/>
      <c r="AP439" s="5">
        <v>0</v>
      </c>
      <c r="AQ439" s="5"/>
      <c r="AR439" s="5">
        <v>0</v>
      </c>
      <c r="AS439" s="5"/>
      <c r="AT439" s="5" t="s">
        <v>997</v>
      </c>
      <c r="AU439" s="5" t="s">
        <v>998</v>
      </c>
      <c r="AV439" s="5" t="s">
        <v>999</v>
      </c>
      <c r="AW439" s="8" t="str">
        <f>IFERROR(VLOOKUP(AA439,'Message Lookup'!D:J,7,FALSE),"")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802"/>
  <sheetViews>
    <sheetView workbookViewId="0">
      <selection activeCell="Q14" sqref="Q14"/>
    </sheetView>
  </sheetViews>
  <sheetFormatPr defaultRowHeight="15" x14ac:dyDescent="0.25"/>
  <sheetData>
    <row r="1" spans="1:48" x14ac:dyDescent="0.25">
      <c r="A1" s="9" t="s">
        <v>960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x14ac:dyDescent="0.25">
      <c r="A2" s="10" t="s">
        <v>961</v>
      </c>
      <c r="B2" s="10" t="s">
        <v>962</v>
      </c>
      <c r="C2" s="10" t="s">
        <v>963</v>
      </c>
      <c r="D2" s="10" t="s">
        <v>405</v>
      </c>
      <c r="E2" s="10" t="s">
        <v>406</v>
      </c>
      <c r="F2" s="10" t="s">
        <v>407</v>
      </c>
      <c r="G2" s="10" t="s">
        <v>408</v>
      </c>
      <c r="H2" s="10" t="s">
        <v>409</v>
      </c>
      <c r="I2" s="10" t="s">
        <v>410</v>
      </c>
      <c r="J2" s="10" t="s">
        <v>411</v>
      </c>
      <c r="K2" s="10" t="s">
        <v>964</v>
      </c>
      <c r="L2" s="10" t="s">
        <v>965</v>
      </c>
      <c r="M2" s="10" t="s">
        <v>966</v>
      </c>
      <c r="N2" s="10" t="s">
        <v>967</v>
      </c>
      <c r="O2" s="10" t="s">
        <v>968</v>
      </c>
      <c r="P2" s="10" t="s">
        <v>969</v>
      </c>
      <c r="Q2" s="10" t="s">
        <v>970</v>
      </c>
      <c r="R2" s="10" t="s">
        <v>971</v>
      </c>
      <c r="S2" s="10" t="s">
        <v>0</v>
      </c>
      <c r="T2" s="10" t="s">
        <v>1</v>
      </c>
      <c r="U2" s="10" t="s">
        <v>2</v>
      </c>
      <c r="V2" s="10" t="s">
        <v>3</v>
      </c>
      <c r="W2" s="10" t="s">
        <v>4</v>
      </c>
      <c r="X2" s="10" t="s">
        <v>5</v>
      </c>
      <c r="Y2" s="10" t="s">
        <v>6</v>
      </c>
      <c r="Z2" s="10" t="s">
        <v>7</v>
      </c>
      <c r="AA2" s="10" t="s">
        <v>8</v>
      </c>
      <c r="AB2" s="10" t="s">
        <v>353</v>
      </c>
      <c r="AC2" s="10" t="s">
        <v>972</v>
      </c>
      <c r="AD2" s="10" t="s">
        <v>973</v>
      </c>
      <c r="AE2" s="10" t="s">
        <v>974</v>
      </c>
      <c r="AF2" s="10" t="s">
        <v>975</v>
      </c>
      <c r="AG2" s="10" t="s">
        <v>976</v>
      </c>
      <c r="AH2" s="10" t="s">
        <v>977</v>
      </c>
      <c r="AI2" s="10" t="s">
        <v>978</v>
      </c>
      <c r="AJ2" s="10" t="s">
        <v>979</v>
      </c>
      <c r="AK2" s="10" t="s">
        <v>980</v>
      </c>
      <c r="AL2" s="10" t="s">
        <v>981</v>
      </c>
      <c r="AM2" s="10" t="s">
        <v>982</v>
      </c>
      <c r="AN2" s="10" t="s">
        <v>983</v>
      </c>
      <c r="AO2" s="10" t="s">
        <v>984</v>
      </c>
      <c r="AP2" s="10" t="s">
        <v>985</v>
      </c>
      <c r="AQ2" s="10" t="s">
        <v>986</v>
      </c>
      <c r="AR2" s="10" t="s">
        <v>987</v>
      </c>
      <c r="AS2" s="10" t="s">
        <v>988</v>
      </c>
      <c r="AT2" s="10" t="s">
        <v>989</v>
      </c>
      <c r="AU2" s="10" t="s">
        <v>990</v>
      </c>
      <c r="AV2" s="10" t="s">
        <v>991</v>
      </c>
    </row>
    <row r="3" spans="1:48" x14ac:dyDescent="0.25">
      <c r="A3" s="8" t="s">
        <v>4574</v>
      </c>
      <c r="B3" s="8" t="s">
        <v>992</v>
      </c>
      <c r="C3" s="8" t="s">
        <v>4575</v>
      </c>
      <c r="D3" s="8" t="s">
        <v>200</v>
      </c>
      <c r="E3" s="8"/>
      <c r="F3" s="8" t="s">
        <v>412</v>
      </c>
      <c r="G3" s="8"/>
      <c r="H3" s="8"/>
      <c r="I3" s="8"/>
      <c r="J3" s="8" t="s">
        <v>413</v>
      </c>
      <c r="K3" s="8" t="s">
        <v>993</v>
      </c>
      <c r="L3" s="8" t="s">
        <v>994</v>
      </c>
      <c r="M3" s="8" t="s">
        <v>4576</v>
      </c>
      <c r="N3" s="8">
        <v>41</v>
      </c>
      <c r="O3" s="8">
        <v>41</v>
      </c>
      <c r="P3" s="8" t="s">
        <v>995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x14ac:dyDescent="0.25">
      <c r="A4" s="8" t="s">
        <v>4574</v>
      </c>
      <c r="B4" s="8" t="s">
        <v>992</v>
      </c>
      <c r="C4" s="8" t="s">
        <v>4575</v>
      </c>
      <c r="D4" s="8" t="s">
        <v>194</v>
      </c>
      <c r="E4" s="8"/>
      <c r="F4" s="8" t="s">
        <v>412</v>
      </c>
      <c r="G4" s="8"/>
      <c r="H4" s="8"/>
      <c r="I4" s="8"/>
      <c r="J4" s="8" t="s">
        <v>415</v>
      </c>
      <c r="K4" s="8" t="s">
        <v>993</v>
      </c>
      <c r="L4" s="8" t="s">
        <v>994</v>
      </c>
      <c r="M4" s="8" t="s">
        <v>4576</v>
      </c>
      <c r="N4" s="8">
        <v>41</v>
      </c>
      <c r="O4" s="8"/>
      <c r="P4" s="8" t="s">
        <v>995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</row>
    <row r="5" spans="1:48" x14ac:dyDescent="0.25">
      <c r="A5" s="8" t="s">
        <v>4574</v>
      </c>
      <c r="B5" s="8" t="s">
        <v>992</v>
      </c>
      <c r="C5" s="8" t="s">
        <v>4575</v>
      </c>
      <c r="D5" s="8" t="s">
        <v>97</v>
      </c>
      <c r="E5" s="8"/>
      <c r="F5" s="8" t="s">
        <v>412</v>
      </c>
      <c r="G5" s="8"/>
      <c r="H5" s="8"/>
      <c r="I5" s="8"/>
      <c r="J5" s="8" t="s">
        <v>418</v>
      </c>
      <c r="K5" s="8" t="s">
        <v>993</v>
      </c>
      <c r="L5" s="8" t="s">
        <v>994</v>
      </c>
      <c r="M5" s="8" t="s">
        <v>4576</v>
      </c>
      <c r="N5" s="8">
        <v>41</v>
      </c>
      <c r="O5" s="8"/>
      <c r="P5" s="8" t="s">
        <v>995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</row>
    <row r="6" spans="1:48" x14ac:dyDescent="0.25">
      <c r="A6" s="8" t="s">
        <v>4574</v>
      </c>
      <c r="B6" s="8" t="s">
        <v>992</v>
      </c>
      <c r="C6" s="8" t="s">
        <v>4575</v>
      </c>
      <c r="D6" s="8" t="s">
        <v>249</v>
      </c>
      <c r="E6" s="8"/>
      <c r="F6" s="8" t="s">
        <v>412</v>
      </c>
      <c r="G6" s="8"/>
      <c r="H6" s="8"/>
      <c r="I6" s="8"/>
      <c r="J6" s="8" t="s">
        <v>416</v>
      </c>
      <c r="K6" s="8" t="s">
        <v>993</v>
      </c>
      <c r="L6" s="8" t="s">
        <v>994</v>
      </c>
      <c r="M6" s="8" t="s">
        <v>4576</v>
      </c>
      <c r="N6" s="8">
        <v>41</v>
      </c>
      <c r="O6" s="8"/>
      <c r="P6" s="8" t="s">
        <v>995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1:48" x14ac:dyDescent="0.25">
      <c r="A7" s="8" t="s">
        <v>4574</v>
      </c>
      <c r="B7" s="8" t="s">
        <v>992</v>
      </c>
      <c r="C7" s="8" t="s">
        <v>4575</v>
      </c>
      <c r="D7" s="8" t="s">
        <v>58</v>
      </c>
      <c r="E7" s="8"/>
      <c r="F7" s="8" t="s">
        <v>412</v>
      </c>
      <c r="G7" s="8"/>
      <c r="H7" s="8"/>
      <c r="I7" s="8"/>
      <c r="J7" s="8" t="s">
        <v>414</v>
      </c>
      <c r="K7" s="8" t="s">
        <v>993</v>
      </c>
      <c r="L7" s="8" t="s">
        <v>994</v>
      </c>
      <c r="M7" s="8" t="s">
        <v>4576</v>
      </c>
      <c r="N7" s="8">
        <v>41</v>
      </c>
      <c r="O7" s="8"/>
      <c r="P7" s="8" t="s">
        <v>995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1:48" x14ac:dyDescent="0.25">
      <c r="A8" s="8" t="s">
        <v>4574</v>
      </c>
      <c r="B8" s="8" t="s">
        <v>992</v>
      </c>
      <c r="C8" s="8" t="s">
        <v>4575</v>
      </c>
      <c r="D8" s="8" t="s">
        <v>245</v>
      </c>
      <c r="E8" s="8"/>
      <c r="F8" s="8" t="s">
        <v>412</v>
      </c>
      <c r="G8" s="8"/>
      <c r="H8" s="8"/>
      <c r="I8" s="8"/>
      <c r="J8" s="8" t="s">
        <v>417</v>
      </c>
      <c r="K8" s="8" t="s">
        <v>993</v>
      </c>
      <c r="L8" s="8" t="s">
        <v>994</v>
      </c>
      <c r="M8" s="8" t="s">
        <v>4576</v>
      </c>
      <c r="N8" s="8">
        <v>41</v>
      </c>
      <c r="O8" s="8"/>
      <c r="P8" s="8" t="s">
        <v>995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1:48" x14ac:dyDescent="0.25">
      <c r="A9" s="8" t="s">
        <v>4574</v>
      </c>
      <c r="B9" s="8" t="s">
        <v>992</v>
      </c>
      <c r="C9" s="8" t="s">
        <v>4575</v>
      </c>
      <c r="D9" s="8" t="s">
        <v>38</v>
      </c>
      <c r="E9" s="8"/>
      <c r="F9" s="8" t="s">
        <v>412</v>
      </c>
      <c r="G9" s="8"/>
      <c r="H9" s="8"/>
      <c r="I9" s="8"/>
      <c r="J9" s="8" t="s">
        <v>419</v>
      </c>
      <c r="K9" s="8" t="s">
        <v>993</v>
      </c>
      <c r="L9" s="8" t="s">
        <v>994</v>
      </c>
      <c r="M9" s="8" t="s">
        <v>4576</v>
      </c>
      <c r="N9" s="8">
        <v>41</v>
      </c>
      <c r="O9" s="8"/>
      <c r="P9" s="8" t="s">
        <v>995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x14ac:dyDescent="0.25">
      <c r="A10" s="8" t="s">
        <v>4574</v>
      </c>
      <c r="B10" s="8" t="s">
        <v>992</v>
      </c>
      <c r="C10" s="8" t="s">
        <v>4575</v>
      </c>
      <c r="D10" s="8" t="s">
        <v>316</v>
      </c>
      <c r="E10" s="8"/>
      <c r="F10" s="8" t="s">
        <v>412</v>
      </c>
      <c r="G10" s="8"/>
      <c r="H10" s="8"/>
      <c r="I10" s="8"/>
      <c r="J10" s="8" t="s">
        <v>420</v>
      </c>
      <c r="K10" s="8" t="s">
        <v>993</v>
      </c>
      <c r="L10" s="8" t="s">
        <v>994</v>
      </c>
      <c r="M10" s="8" t="s">
        <v>4576</v>
      </c>
      <c r="N10" s="8">
        <v>41</v>
      </c>
      <c r="O10" s="8"/>
      <c r="P10" s="8" t="s">
        <v>995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</row>
    <row r="11" spans="1:48" x14ac:dyDescent="0.25">
      <c r="A11" s="8" t="s">
        <v>4574</v>
      </c>
      <c r="B11" s="8" t="s">
        <v>992</v>
      </c>
      <c r="C11" s="8" t="s">
        <v>4575</v>
      </c>
      <c r="D11" s="8" t="s">
        <v>161</v>
      </c>
      <c r="E11" s="8"/>
      <c r="F11" s="8" t="s">
        <v>412</v>
      </c>
      <c r="G11" s="8"/>
      <c r="H11" s="8"/>
      <c r="I11" s="8"/>
      <c r="J11" s="8" t="s">
        <v>421</v>
      </c>
      <c r="K11" s="8" t="s">
        <v>993</v>
      </c>
      <c r="L11" s="8" t="s">
        <v>994</v>
      </c>
      <c r="M11" s="8" t="s">
        <v>4576</v>
      </c>
      <c r="N11" s="8">
        <v>41</v>
      </c>
      <c r="O11" s="8"/>
      <c r="P11" s="8" t="s">
        <v>995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</row>
    <row r="12" spans="1:48" x14ac:dyDescent="0.25">
      <c r="A12" s="8" t="s">
        <v>4574</v>
      </c>
      <c r="B12" s="8" t="s">
        <v>992</v>
      </c>
      <c r="C12" s="8" t="s">
        <v>4575</v>
      </c>
      <c r="D12" s="8" t="s">
        <v>52</v>
      </c>
      <c r="E12" s="8"/>
      <c r="F12" s="8" t="s">
        <v>412</v>
      </c>
      <c r="G12" s="8"/>
      <c r="H12" s="8"/>
      <c r="I12" s="8"/>
      <c r="J12" s="8" t="s">
        <v>422</v>
      </c>
      <c r="K12" s="8" t="s">
        <v>993</v>
      </c>
      <c r="L12" s="8" t="s">
        <v>994</v>
      </c>
      <c r="M12" s="8" t="s">
        <v>4576</v>
      </c>
      <c r="N12" s="8">
        <v>41</v>
      </c>
      <c r="O12" s="8"/>
      <c r="P12" s="8" t="s">
        <v>995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</row>
    <row r="13" spans="1:48" x14ac:dyDescent="0.25">
      <c r="A13" s="8" t="s">
        <v>4574</v>
      </c>
      <c r="B13" s="8" t="s">
        <v>992</v>
      </c>
      <c r="C13" s="8" t="s">
        <v>4575</v>
      </c>
      <c r="D13" s="8" t="s">
        <v>45</v>
      </c>
      <c r="E13" s="8"/>
      <c r="F13" s="8" t="s">
        <v>412</v>
      </c>
      <c r="G13" s="8"/>
      <c r="H13" s="8"/>
      <c r="I13" s="8"/>
      <c r="J13" s="8" t="s">
        <v>424</v>
      </c>
      <c r="K13" s="8" t="s">
        <v>993</v>
      </c>
      <c r="L13" s="8" t="s">
        <v>994</v>
      </c>
      <c r="M13" s="8" t="s">
        <v>4576</v>
      </c>
      <c r="N13" s="8">
        <v>41</v>
      </c>
      <c r="O13" s="8"/>
      <c r="P13" s="8" t="s">
        <v>995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</row>
    <row r="14" spans="1:48" x14ac:dyDescent="0.25">
      <c r="A14" s="8" t="s">
        <v>4574</v>
      </c>
      <c r="B14" s="8" t="s">
        <v>992</v>
      </c>
      <c r="C14" s="8" t="s">
        <v>4575</v>
      </c>
      <c r="D14" s="8" t="s">
        <v>230</v>
      </c>
      <c r="E14" s="8"/>
      <c r="F14" s="8" t="s">
        <v>412</v>
      </c>
      <c r="G14" s="8"/>
      <c r="H14" s="8"/>
      <c r="I14" s="8"/>
      <c r="J14" s="8" t="s">
        <v>423</v>
      </c>
      <c r="K14" s="8" t="s">
        <v>993</v>
      </c>
      <c r="L14" s="8" t="s">
        <v>994</v>
      </c>
      <c r="M14" s="8" t="s">
        <v>4576</v>
      </c>
      <c r="N14" s="8">
        <v>41</v>
      </c>
      <c r="O14" s="8"/>
      <c r="P14" s="8" t="s">
        <v>995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</row>
    <row r="15" spans="1:48" x14ac:dyDescent="0.25">
      <c r="A15" s="8" t="s">
        <v>4574</v>
      </c>
      <c r="B15" s="8" t="s">
        <v>992</v>
      </c>
      <c r="C15" s="8" t="s">
        <v>4575</v>
      </c>
      <c r="D15" s="8" t="s">
        <v>289</v>
      </c>
      <c r="E15" s="8"/>
      <c r="F15" s="8" t="s">
        <v>412</v>
      </c>
      <c r="G15" s="8"/>
      <c r="H15" s="8"/>
      <c r="I15" s="8"/>
      <c r="J15" s="8" t="s">
        <v>425</v>
      </c>
      <c r="K15" s="8" t="s">
        <v>993</v>
      </c>
      <c r="L15" s="8" t="s">
        <v>994</v>
      </c>
      <c r="M15" s="8" t="s">
        <v>4576</v>
      </c>
      <c r="N15" s="8">
        <v>41</v>
      </c>
      <c r="O15" s="8"/>
      <c r="P15" s="8" t="s">
        <v>995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</row>
    <row r="16" spans="1:48" x14ac:dyDescent="0.25">
      <c r="A16" s="8" t="s">
        <v>4574</v>
      </c>
      <c r="B16" s="8" t="s">
        <v>992</v>
      </c>
      <c r="C16" s="8" t="s">
        <v>4575</v>
      </c>
      <c r="D16" s="8" t="s">
        <v>147</v>
      </c>
      <c r="E16" s="8"/>
      <c r="F16" s="8" t="s">
        <v>412</v>
      </c>
      <c r="G16" s="8"/>
      <c r="H16" s="8"/>
      <c r="I16" s="8"/>
      <c r="J16" s="8"/>
      <c r="K16" s="8" t="s">
        <v>993</v>
      </c>
      <c r="L16" s="8" t="s">
        <v>994</v>
      </c>
      <c r="M16" s="8" t="s">
        <v>4576</v>
      </c>
      <c r="N16" s="8">
        <v>41</v>
      </c>
      <c r="O16" s="8"/>
      <c r="P16" s="8" t="s">
        <v>995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</row>
    <row r="17" spans="1:48" x14ac:dyDescent="0.25">
      <c r="A17" s="8" t="s">
        <v>4574</v>
      </c>
      <c r="B17" s="8" t="s">
        <v>992</v>
      </c>
      <c r="C17" s="8" t="s">
        <v>4575</v>
      </c>
      <c r="D17" s="8" t="s">
        <v>305</v>
      </c>
      <c r="E17" s="8"/>
      <c r="F17" s="8" t="s">
        <v>412</v>
      </c>
      <c r="G17" s="8"/>
      <c r="H17" s="8"/>
      <c r="I17" s="8"/>
      <c r="J17" s="8" t="s">
        <v>427</v>
      </c>
      <c r="K17" s="8" t="s">
        <v>993</v>
      </c>
      <c r="L17" s="8" t="s">
        <v>994</v>
      </c>
      <c r="M17" s="8" t="s">
        <v>4576</v>
      </c>
      <c r="N17" s="8">
        <v>41</v>
      </c>
      <c r="O17" s="8"/>
      <c r="P17" s="8" t="s">
        <v>995</v>
      </c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</row>
    <row r="18" spans="1:48" x14ac:dyDescent="0.25">
      <c r="A18" s="8" t="s">
        <v>4574</v>
      </c>
      <c r="B18" s="8" t="s">
        <v>992</v>
      </c>
      <c r="C18" s="8" t="s">
        <v>4575</v>
      </c>
      <c r="D18" s="8" t="s">
        <v>242</v>
      </c>
      <c r="E18" s="8"/>
      <c r="F18" s="8" t="s">
        <v>412</v>
      </c>
      <c r="G18" s="8"/>
      <c r="H18" s="8"/>
      <c r="I18" s="8"/>
      <c r="J18" s="8" t="s">
        <v>428</v>
      </c>
      <c r="K18" s="8" t="s">
        <v>993</v>
      </c>
      <c r="L18" s="8" t="s">
        <v>994</v>
      </c>
      <c r="M18" s="8" t="s">
        <v>4576</v>
      </c>
      <c r="N18" s="8">
        <v>41</v>
      </c>
      <c r="O18" s="8"/>
      <c r="P18" s="8" t="s">
        <v>995</v>
      </c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</row>
    <row r="19" spans="1:48" x14ac:dyDescent="0.25">
      <c r="A19" s="8" t="s">
        <v>4574</v>
      </c>
      <c r="B19" s="8" t="s">
        <v>992</v>
      </c>
      <c r="C19" s="8" t="s">
        <v>4575</v>
      </c>
      <c r="D19" s="8" t="s">
        <v>94</v>
      </c>
      <c r="E19" s="8"/>
      <c r="F19" s="8" t="s">
        <v>412</v>
      </c>
      <c r="G19" s="8"/>
      <c r="H19" s="8"/>
      <c r="I19" s="8"/>
      <c r="J19" s="8" t="s">
        <v>426</v>
      </c>
      <c r="K19" s="8" t="s">
        <v>993</v>
      </c>
      <c r="L19" s="8" t="s">
        <v>994</v>
      </c>
      <c r="M19" s="8" t="s">
        <v>4576</v>
      </c>
      <c r="N19" s="8">
        <v>41</v>
      </c>
      <c r="O19" s="8"/>
      <c r="P19" s="8" t="s">
        <v>995</v>
      </c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</row>
    <row r="20" spans="1:48" x14ac:dyDescent="0.25">
      <c r="A20" s="8" t="s">
        <v>4574</v>
      </c>
      <c r="B20" s="8" t="s">
        <v>992</v>
      </c>
      <c r="C20" s="8" t="s">
        <v>4575</v>
      </c>
      <c r="D20" s="8" t="s">
        <v>228</v>
      </c>
      <c r="E20" s="8"/>
      <c r="F20" s="8" t="s">
        <v>412</v>
      </c>
      <c r="G20" s="8"/>
      <c r="H20" s="8"/>
      <c r="I20" s="8"/>
      <c r="J20" s="8" t="s">
        <v>430</v>
      </c>
      <c r="K20" s="8" t="s">
        <v>993</v>
      </c>
      <c r="L20" s="8" t="s">
        <v>994</v>
      </c>
      <c r="M20" s="8" t="s">
        <v>4576</v>
      </c>
      <c r="N20" s="8">
        <v>41</v>
      </c>
      <c r="O20" s="8"/>
      <c r="P20" s="8" t="s">
        <v>995</v>
      </c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</row>
    <row r="21" spans="1:48" x14ac:dyDescent="0.25">
      <c r="A21" s="8" t="s">
        <v>4574</v>
      </c>
      <c r="B21" s="8" t="s">
        <v>992</v>
      </c>
      <c r="C21" s="8" t="s">
        <v>4575</v>
      </c>
      <c r="D21" s="8" t="s">
        <v>24</v>
      </c>
      <c r="E21" s="8"/>
      <c r="F21" s="8" t="s">
        <v>412</v>
      </c>
      <c r="G21" s="8"/>
      <c r="H21" s="8"/>
      <c r="I21" s="8"/>
      <c r="J21" s="8" t="s">
        <v>431</v>
      </c>
      <c r="K21" s="8" t="s">
        <v>993</v>
      </c>
      <c r="L21" s="8" t="s">
        <v>994</v>
      </c>
      <c r="M21" s="8" t="s">
        <v>4576</v>
      </c>
      <c r="N21" s="8">
        <v>41</v>
      </c>
      <c r="O21" s="8"/>
      <c r="P21" s="8" t="s">
        <v>995</v>
      </c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</row>
    <row r="22" spans="1:48" x14ac:dyDescent="0.25">
      <c r="A22" s="8" t="s">
        <v>4574</v>
      </c>
      <c r="B22" s="8" t="s">
        <v>992</v>
      </c>
      <c r="C22" s="8" t="s">
        <v>4575</v>
      </c>
      <c r="D22" s="8" t="s">
        <v>115</v>
      </c>
      <c r="E22" s="8"/>
      <c r="F22" s="8" t="s">
        <v>412</v>
      </c>
      <c r="G22" s="8"/>
      <c r="H22" s="8"/>
      <c r="I22" s="8"/>
      <c r="J22" s="8" t="s">
        <v>429</v>
      </c>
      <c r="K22" s="8" t="s">
        <v>993</v>
      </c>
      <c r="L22" s="8" t="s">
        <v>994</v>
      </c>
      <c r="M22" s="8" t="s">
        <v>4576</v>
      </c>
      <c r="N22" s="8">
        <v>41</v>
      </c>
      <c r="O22" s="8"/>
      <c r="P22" s="8" t="s">
        <v>995</v>
      </c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</row>
    <row r="23" spans="1:48" x14ac:dyDescent="0.25">
      <c r="A23" s="8" t="s">
        <v>4574</v>
      </c>
      <c r="B23" s="8" t="s">
        <v>992</v>
      </c>
      <c r="C23" s="8" t="s">
        <v>4575</v>
      </c>
      <c r="D23" s="8" t="s">
        <v>122</v>
      </c>
      <c r="E23" s="8"/>
      <c r="F23" s="8" t="s">
        <v>412</v>
      </c>
      <c r="G23" s="8"/>
      <c r="H23" s="8"/>
      <c r="I23" s="8"/>
      <c r="J23" s="8" t="s">
        <v>432</v>
      </c>
      <c r="K23" s="8" t="s">
        <v>993</v>
      </c>
      <c r="L23" s="8" t="s">
        <v>994</v>
      </c>
      <c r="M23" s="8" t="s">
        <v>4576</v>
      </c>
      <c r="N23" s="8">
        <v>41</v>
      </c>
      <c r="O23" s="8"/>
      <c r="P23" s="8" t="s">
        <v>995</v>
      </c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</row>
    <row r="24" spans="1:48" x14ac:dyDescent="0.25">
      <c r="A24" s="8" t="s">
        <v>4574</v>
      </c>
      <c r="B24" s="8" t="s">
        <v>992</v>
      </c>
      <c r="C24" s="8" t="s">
        <v>4575</v>
      </c>
      <c r="D24" s="8" t="s">
        <v>282</v>
      </c>
      <c r="E24" s="8"/>
      <c r="F24" s="8" t="s">
        <v>412</v>
      </c>
      <c r="G24" s="8"/>
      <c r="H24" s="8"/>
      <c r="I24" s="8"/>
      <c r="J24" s="8" t="s">
        <v>433</v>
      </c>
      <c r="K24" s="8" t="s">
        <v>993</v>
      </c>
      <c r="L24" s="8" t="s">
        <v>994</v>
      </c>
      <c r="M24" s="8" t="s">
        <v>4576</v>
      </c>
      <c r="N24" s="8">
        <v>41</v>
      </c>
      <c r="O24" s="8"/>
      <c r="P24" s="8" t="s">
        <v>995</v>
      </c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</row>
    <row r="25" spans="1:48" x14ac:dyDescent="0.25">
      <c r="A25" s="8" t="s">
        <v>4574</v>
      </c>
      <c r="B25" s="8" t="s">
        <v>992</v>
      </c>
      <c r="C25" s="8" t="s">
        <v>4575</v>
      </c>
      <c r="D25" s="8" t="s">
        <v>224</v>
      </c>
      <c r="E25" s="8"/>
      <c r="F25" s="8" t="s">
        <v>412</v>
      </c>
      <c r="G25" s="8"/>
      <c r="H25" s="8"/>
      <c r="I25" s="8"/>
      <c r="J25" s="8" t="s">
        <v>434</v>
      </c>
      <c r="K25" s="8" t="s">
        <v>993</v>
      </c>
      <c r="L25" s="8" t="s">
        <v>994</v>
      </c>
      <c r="M25" s="8" t="s">
        <v>4576</v>
      </c>
      <c r="N25" s="8">
        <v>41</v>
      </c>
      <c r="O25" s="8"/>
      <c r="P25" s="8" t="s">
        <v>995</v>
      </c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</row>
    <row r="26" spans="1:48" x14ac:dyDescent="0.25">
      <c r="A26" s="8" t="s">
        <v>4574</v>
      </c>
      <c r="B26" s="8" t="s">
        <v>992</v>
      </c>
      <c r="C26" s="8" t="s">
        <v>4575</v>
      </c>
      <c r="D26" s="8" t="s">
        <v>168</v>
      </c>
      <c r="E26" s="8"/>
      <c r="F26" s="8" t="s">
        <v>412</v>
      </c>
      <c r="G26" s="8"/>
      <c r="H26" s="8"/>
      <c r="I26" s="8"/>
      <c r="J26" s="8"/>
      <c r="K26" s="8" t="s">
        <v>993</v>
      </c>
      <c r="L26" s="8" t="s">
        <v>994</v>
      </c>
      <c r="M26" s="8" t="s">
        <v>4576</v>
      </c>
      <c r="N26" s="8">
        <v>41</v>
      </c>
      <c r="O26" s="8"/>
      <c r="P26" s="8" t="s">
        <v>995</v>
      </c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</row>
    <row r="27" spans="1:48" x14ac:dyDescent="0.25">
      <c r="A27" s="8" t="s">
        <v>4574</v>
      </c>
      <c r="B27" s="8" t="s">
        <v>992</v>
      </c>
      <c r="C27" s="8" t="s">
        <v>4575</v>
      </c>
      <c r="D27" s="8" t="s">
        <v>37</v>
      </c>
      <c r="E27" s="8"/>
      <c r="F27" s="8" t="s">
        <v>412</v>
      </c>
      <c r="G27" s="8"/>
      <c r="H27" s="8"/>
      <c r="I27" s="8"/>
      <c r="J27" s="8" t="s">
        <v>436</v>
      </c>
      <c r="K27" s="8" t="s">
        <v>993</v>
      </c>
      <c r="L27" s="8" t="s">
        <v>994</v>
      </c>
      <c r="M27" s="8" t="s">
        <v>4576</v>
      </c>
      <c r="N27" s="8">
        <v>41</v>
      </c>
      <c r="O27" s="8"/>
      <c r="P27" s="8" t="s">
        <v>995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</row>
    <row r="28" spans="1:48" x14ac:dyDescent="0.25">
      <c r="A28" s="8" t="s">
        <v>4574</v>
      </c>
      <c r="B28" s="8" t="s">
        <v>992</v>
      </c>
      <c r="C28" s="8" t="s">
        <v>4575</v>
      </c>
      <c r="D28" s="8" t="s">
        <v>167</v>
      </c>
      <c r="E28" s="8"/>
      <c r="F28" s="8" t="s">
        <v>412</v>
      </c>
      <c r="G28" s="8"/>
      <c r="H28" s="8"/>
      <c r="I28" s="8"/>
      <c r="J28" s="8"/>
      <c r="K28" s="8" t="s">
        <v>993</v>
      </c>
      <c r="L28" s="8" t="s">
        <v>994</v>
      </c>
      <c r="M28" s="8" t="s">
        <v>4576</v>
      </c>
      <c r="N28" s="8">
        <v>41</v>
      </c>
      <c r="O28" s="8"/>
      <c r="P28" s="8" t="s">
        <v>995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</row>
    <row r="29" spans="1:48" x14ac:dyDescent="0.25">
      <c r="A29" s="8" t="s">
        <v>4574</v>
      </c>
      <c r="B29" s="8" t="s">
        <v>992</v>
      </c>
      <c r="C29" s="8" t="s">
        <v>4575</v>
      </c>
      <c r="D29" s="8" t="s">
        <v>166</v>
      </c>
      <c r="E29" s="8"/>
      <c r="F29" s="8" t="s">
        <v>412</v>
      </c>
      <c r="G29" s="8"/>
      <c r="H29" s="8"/>
      <c r="I29" s="8"/>
      <c r="J29" s="8"/>
      <c r="K29" s="8" t="s">
        <v>993</v>
      </c>
      <c r="L29" s="8" t="s">
        <v>994</v>
      </c>
      <c r="M29" s="8" t="s">
        <v>4576</v>
      </c>
      <c r="N29" s="8">
        <v>41</v>
      </c>
      <c r="O29" s="8"/>
      <c r="P29" s="8" t="s">
        <v>995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</row>
    <row r="30" spans="1:48" x14ac:dyDescent="0.25">
      <c r="A30" s="8" t="s">
        <v>4574</v>
      </c>
      <c r="B30" s="8" t="s">
        <v>992</v>
      </c>
      <c r="C30" s="8" t="s">
        <v>4575</v>
      </c>
      <c r="D30" s="8" t="s">
        <v>272</v>
      </c>
      <c r="E30" s="8"/>
      <c r="F30" s="8" t="s">
        <v>437</v>
      </c>
      <c r="G30" s="8"/>
      <c r="H30" s="8"/>
      <c r="I30" s="8"/>
      <c r="J30" s="8" t="s">
        <v>438</v>
      </c>
      <c r="K30" s="8" t="s">
        <v>993</v>
      </c>
      <c r="L30" s="8" t="s">
        <v>994</v>
      </c>
      <c r="M30" s="8" t="s">
        <v>4576</v>
      </c>
      <c r="N30" s="8">
        <v>41</v>
      </c>
      <c r="O30" s="8"/>
      <c r="P30" s="8" t="s">
        <v>995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</row>
    <row r="31" spans="1:48" x14ac:dyDescent="0.25">
      <c r="A31" s="8" t="s">
        <v>4574</v>
      </c>
      <c r="B31" s="8" t="s">
        <v>992</v>
      </c>
      <c r="C31" s="8" t="s">
        <v>4575</v>
      </c>
      <c r="D31" s="8" t="s">
        <v>131</v>
      </c>
      <c r="E31" s="8"/>
      <c r="F31" s="8" t="s">
        <v>412</v>
      </c>
      <c r="G31" s="8"/>
      <c r="H31" s="8"/>
      <c r="I31" s="8"/>
      <c r="J31" s="8" t="s">
        <v>439</v>
      </c>
      <c r="K31" s="8" t="s">
        <v>993</v>
      </c>
      <c r="L31" s="8" t="s">
        <v>994</v>
      </c>
      <c r="M31" s="8" t="s">
        <v>4576</v>
      </c>
      <c r="N31" s="8">
        <v>41</v>
      </c>
      <c r="O31" s="8"/>
      <c r="P31" s="8" t="s">
        <v>995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</row>
    <row r="32" spans="1:48" x14ac:dyDescent="0.25">
      <c r="A32" s="8" t="s">
        <v>4574</v>
      </c>
      <c r="B32" s="8" t="s">
        <v>992</v>
      </c>
      <c r="C32" s="8" t="s">
        <v>4575</v>
      </c>
      <c r="D32" s="8" t="s">
        <v>309</v>
      </c>
      <c r="E32" s="8"/>
      <c r="F32" s="8" t="s">
        <v>412</v>
      </c>
      <c r="G32" s="8"/>
      <c r="H32" s="8"/>
      <c r="I32" s="8"/>
      <c r="J32" s="8" t="s">
        <v>435</v>
      </c>
      <c r="K32" s="8" t="s">
        <v>993</v>
      </c>
      <c r="L32" s="8" t="s">
        <v>994</v>
      </c>
      <c r="M32" s="8" t="s">
        <v>4576</v>
      </c>
      <c r="N32" s="8">
        <v>41</v>
      </c>
      <c r="O32" s="8"/>
      <c r="P32" s="8" t="s">
        <v>995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</row>
    <row r="33" spans="1:48" x14ac:dyDescent="0.25">
      <c r="A33" s="8" t="s">
        <v>4574</v>
      </c>
      <c r="B33" s="8" t="s">
        <v>992</v>
      </c>
      <c r="C33" s="8" t="s">
        <v>4575</v>
      </c>
      <c r="D33" s="8" t="s">
        <v>189</v>
      </c>
      <c r="E33" s="8"/>
      <c r="F33" s="8" t="s">
        <v>412</v>
      </c>
      <c r="G33" s="8"/>
      <c r="H33" s="8"/>
      <c r="I33" s="8"/>
      <c r="J33" s="8" t="s">
        <v>440</v>
      </c>
      <c r="K33" s="8" t="s">
        <v>993</v>
      </c>
      <c r="L33" s="8" t="s">
        <v>994</v>
      </c>
      <c r="M33" s="8" t="s">
        <v>4576</v>
      </c>
      <c r="N33" s="8">
        <v>41</v>
      </c>
      <c r="O33" s="8"/>
      <c r="P33" s="8" t="s">
        <v>995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</row>
    <row r="34" spans="1:48" x14ac:dyDescent="0.25">
      <c r="A34" s="8" t="s">
        <v>4574</v>
      </c>
      <c r="B34" s="8" t="s">
        <v>992</v>
      </c>
      <c r="C34" s="8" t="s">
        <v>4575</v>
      </c>
      <c r="D34" s="8" t="s">
        <v>347</v>
      </c>
      <c r="E34" s="8"/>
      <c r="F34" s="8" t="s">
        <v>412</v>
      </c>
      <c r="G34" s="8"/>
      <c r="H34" s="8"/>
      <c r="I34" s="8"/>
      <c r="J34" s="8" t="s">
        <v>441</v>
      </c>
      <c r="K34" s="8" t="s">
        <v>993</v>
      </c>
      <c r="L34" s="8" t="s">
        <v>994</v>
      </c>
      <c r="M34" s="8" t="s">
        <v>4576</v>
      </c>
      <c r="N34" s="8">
        <v>41</v>
      </c>
      <c r="O34" s="8"/>
      <c r="P34" s="8" t="s">
        <v>995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</row>
    <row r="35" spans="1:48" x14ac:dyDescent="0.25">
      <c r="A35" s="8" t="s">
        <v>4574</v>
      </c>
      <c r="B35" s="8" t="s">
        <v>992</v>
      </c>
      <c r="C35" s="8" t="s">
        <v>4575</v>
      </c>
      <c r="D35" s="8" t="s">
        <v>318</v>
      </c>
      <c r="E35" s="8"/>
      <c r="F35" s="8" t="s">
        <v>412</v>
      </c>
      <c r="G35" s="8"/>
      <c r="H35" s="8"/>
      <c r="I35" s="8"/>
      <c r="J35" s="8" t="s">
        <v>443</v>
      </c>
      <c r="K35" s="8" t="s">
        <v>993</v>
      </c>
      <c r="L35" s="8" t="s">
        <v>994</v>
      </c>
      <c r="M35" s="8" t="s">
        <v>4576</v>
      </c>
      <c r="N35" s="8">
        <v>41</v>
      </c>
      <c r="O35" s="8"/>
      <c r="P35" s="8" t="s">
        <v>995</v>
      </c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</row>
    <row r="36" spans="1:48" x14ac:dyDescent="0.25">
      <c r="A36" s="8" t="s">
        <v>4574</v>
      </c>
      <c r="B36" s="8" t="s">
        <v>992</v>
      </c>
      <c r="C36" s="8" t="s">
        <v>4575</v>
      </c>
      <c r="D36" s="8" t="s">
        <v>313</v>
      </c>
      <c r="E36" s="8"/>
      <c r="F36" s="8" t="s">
        <v>412</v>
      </c>
      <c r="G36" s="8"/>
      <c r="H36" s="8"/>
      <c r="I36" s="8"/>
      <c r="J36" s="8"/>
      <c r="K36" s="8" t="s">
        <v>993</v>
      </c>
      <c r="L36" s="8" t="s">
        <v>994</v>
      </c>
      <c r="M36" s="8" t="s">
        <v>4576</v>
      </c>
      <c r="N36" s="8">
        <v>41</v>
      </c>
      <c r="O36" s="8"/>
      <c r="P36" s="8" t="s">
        <v>995</v>
      </c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</row>
    <row r="37" spans="1:48" x14ac:dyDescent="0.25">
      <c r="A37" s="8" t="s">
        <v>4574</v>
      </c>
      <c r="B37" s="8" t="s">
        <v>992</v>
      </c>
      <c r="C37" s="8" t="s">
        <v>4575</v>
      </c>
      <c r="D37" s="8" t="s">
        <v>258</v>
      </c>
      <c r="E37" s="8"/>
      <c r="F37" s="8" t="s">
        <v>412</v>
      </c>
      <c r="G37" s="8"/>
      <c r="H37" s="8"/>
      <c r="I37" s="8"/>
      <c r="J37" s="8" t="s">
        <v>442</v>
      </c>
      <c r="K37" s="8" t="s">
        <v>993</v>
      </c>
      <c r="L37" s="8" t="s">
        <v>994</v>
      </c>
      <c r="M37" s="8" t="s">
        <v>4576</v>
      </c>
      <c r="N37" s="8">
        <v>41</v>
      </c>
      <c r="O37" s="8"/>
      <c r="P37" s="8" t="s">
        <v>995</v>
      </c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</row>
    <row r="38" spans="1:48" x14ac:dyDescent="0.25">
      <c r="A38" s="8" t="s">
        <v>4574</v>
      </c>
      <c r="B38" s="8" t="s">
        <v>992</v>
      </c>
      <c r="C38" s="8" t="s">
        <v>4575</v>
      </c>
      <c r="D38" s="8" t="s">
        <v>304</v>
      </c>
      <c r="E38" s="8"/>
      <c r="F38" s="8" t="s">
        <v>412</v>
      </c>
      <c r="G38" s="8"/>
      <c r="H38" s="8"/>
      <c r="I38" s="8"/>
      <c r="J38" s="8" t="s">
        <v>444</v>
      </c>
      <c r="K38" s="8" t="s">
        <v>993</v>
      </c>
      <c r="L38" s="8" t="s">
        <v>994</v>
      </c>
      <c r="M38" s="8" t="s">
        <v>4576</v>
      </c>
      <c r="N38" s="8">
        <v>41</v>
      </c>
      <c r="O38" s="8"/>
      <c r="P38" s="8" t="s">
        <v>995</v>
      </c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</row>
    <row r="39" spans="1:48" x14ac:dyDescent="0.25">
      <c r="A39" s="8" t="s">
        <v>4574</v>
      </c>
      <c r="B39" s="8" t="s">
        <v>992</v>
      </c>
      <c r="C39" s="8" t="s">
        <v>4575</v>
      </c>
      <c r="D39" s="8" t="s">
        <v>191</v>
      </c>
      <c r="E39" s="8"/>
      <c r="F39" s="8" t="s">
        <v>412</v>
      </c>
      <c r="G39" s="8"/>
      <c r="H39" s="8"/>
      <c r="I39" s="8"/>
      <c r="J39" s="8" t="s">
        <v>445</v>
      </c>
      <c r="K39" s="8" t="s">
        <v>993</v>
      </c>
      <c r="L39" s="8" t="s">
        <v>994</v>
      </c>
      <c r="M39" s="8" t="s">
        <v>4576</v>
      </c>
      <c r="N39" s="8">
        <v>41</v>
      </c>
      <c r="O39" s="8"/>
      <c r="P39" s="8" t="s">
        <v>995</v>
      </c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</row>
    <row r="40" spans="1:48" x14ac:dyDescent="0.25">
      <c r="A40" s="8" t="s">
        <v>4574</v>
      </c>
      <c r="B40" s="8" t="s">
        <v>992</v>
      </c>
      <c r="C40" s="8" t="s">
        <v>4575</v>
      </c>
      <c r="D40" s="8" t="s">
        <v>184</v>
      </c>
      <c r="E40" s="8"/>
      <c r="F40" s="8" t="s">
        <v>412</v>
      </c>
      <c r="G40" s="8"/>
      <c r="H40" s="8"/>
      <c r="I40" s="8"/>
      <c r="J40" s="8" t="s">
        <v>446</v>
      </c>
      <c r="K40" s="8" t="s">
        <v>993</v>
      </c>
      <c r="L40" s="8" t="s">
        <v>994</v>
      </c>
      <c r="M40" s="8" t="s">
        <v>4576</v>
      </c>
      <c r="N40" s="8">
        <v>41</v>
      </c>
      <c r="O40" s="8"/>
      <c r="P40" s="8" t="s">
        <v>995</v>
      </c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</row>
    <row r="41" spans="1:48" x14ac:dyDescent="0.25">
      <c r="A41" s="8" t="s">
        <v>4574</v>
      </c>
      <c r="B41" s="8" t="s">
        <v>992</v>
      </c>
      <c r="C41" s="8" t="s">
        <v>4575</v>
      </c>
      <c r="D41" s="8" t="s">
        <v>16</v>
      </c>
      <c r="E41" s="8"/>
      <c r="F41" s="8" t="s">
        <v>412</v>
      </c>
      <c r="G41" s="8"/>
      <c r="H41" s="8"/>
      <c r="I41" s="8"/>
      <c r="J41" s="8" t="s">
        <v>447</v>
      </c>
      <c r="K41" s="8" t="s">
        <v>993</v>
      </c>
      <c r="L41" s="8" t="s">
        <v>994</v>
      </c>
      <c r="M41" s="8" t="s">
        <v>4576</v>
      </c>
      <c r="N41" s="8">
        <v>41</v>
      </c>
      <c r="O41" s="8"/>
      <c r="P41" s="8" t="s">
        <v>995</v>
      </c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</row>
    <row r="42" spans="1:48" x14ac:dyDescent="0.25">
      <c r="A42" s="8" t="s">
        <v>4574</v>
      </c>
      <c r="B42" s="8" t="s">
        <v>992</v>
      </c>
      <c r="C42" s="8" t="s">
        <v>4575</v>
      </c>
      <c r="D42" s="8" t="s">
        <v>40</v>
      </c>
      <c r="E42" s="8"/>
      <c r="F42" s="8" t="s">
        <v>412</v>
      </c>
      <c r="G42" s="8"/>
      <c r="H42" s="8"/>
      <c r="I42" s="8"/>
      <c r="J42" s="8" t="s">
        <v>448</v>
      </c>
      <c r="K42" s="8" t="s">
        <v>993</v>
      </c>
      <c r="L42" s="8" t="s">
        <v>994</v>
      </c>
      <c r="M42" s="8" t="s">
        <v>4576</v>
      </c>
      <c r="N42" s="8">
        <v>41</v>
      </c>
      <c r="O42" s="8"/>
      <c r="P42" s="8" t="s">
        <v>995</v>
      </c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</row>
    <row r="43" spans="1:48" x14ac:dyDescent="0.25">
      <c r="A43" s="8" t="s">
        <v>4574</v>
      </c>
      <c r="B43" s="8" t="s">
        <v>992</v>
      </c>
      <c r="C43" s="8" t="s">
        <v>4575</v>
      </c>
      <c r="D43" s="8" t="s">
        <v>170</v>
      </c>
      <c r="E43" s="8"/>
      <c r="F43" s="8" t="s">
        <v>412</v>
      </c>
      <c r="G43" s="8"/>
      <c r="H43" s="8"/>
      <c r="I43" s="8"/>
      <c r="J43" s="8"/>
      <c r="K43" s="8" t="s">
        <v>993</v>
      </c>
      <c r="L43" s="8" t="s">
        <v>994</v>
      </c>
      <c r="M43" s="8" t="s">
        <v>4576</v>
      </c>
      <c r="N43" s="8">
        <v>41</v>
      </c>
      <c r="O43" s="8"/>
      <c r="P43" s="8" t="s">
        <v>995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</row>
    <row r="44" spans="1:48" x14ac:dyDescent="0.25">
      <c r="A44" s="8" t="s">
        <v>4574</v>
      </c>
      <c r="B44" s="8" t="s">
        <v>992</v>
      </c>
      <c r="C44" s="8" t="s">
        <v>4575</v>
      </c>
      <c r="D44" s="8" t="s">
        <v>121</v>
      </c>
      <c r="E44" s="8"/>
      <c r="F44" s="8" t="s">
        <v>412</v>
      </c>
      <c r="G44" s="8"/>
      <c r="H44" s="8"/>
      <c r="I44" s="8"/>
      <c r="J44" s="8" t="s">
        <v>449</v>
      </c>
      <c r="K44" s="8" t="s">
        <v>993</v>
      </c>
      <c r="L44" s="8" t="s">
        <v>994</v>
      </c>
      <c r="M44" s="8" t="s">
        <v>4576</v>
      </c>
      <c r="N44" s="8">
        <v>41</v>
      </c>
      <c r="O44" s="8"/>
      <c r="P44" s="8" t="s">
        <v>995</v>
      </c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</row>
    <row r="45" spans="1:48" x14ac:dyDescent="0.25">
      <c r="A45" s="8" t="s">
        <v>4574</v>
      </c>
      <c r="B45" s="8" t="s">
        <v>992</v>
      </c>
      <c r="C45" s="8" t="s">
        <v>4575</v>
      </c>
      <c r="D45" s="8" t="s">
        <v>240</v>
      </c>
      <c r="E45" s="8"/>
      <c r="F45" s="8" t="s">
        <v>412</v>
      </c>
      <c r="G45" s="8"/>
      <c r="H45" s="8"/>
      <c r="I45" s="8"/>
      <c r="J45" s="8"/>
      <c r="K45" s="8" t="s">
        <v>993</v>
      </c>
      <c r="L45" s="8" t="s">
        <v>994</v>
      </c>
      <c r="M45" s="8" t="s">
        <v>4576</v>
      </c>
      <c r="N45" s="8">
        <v>41</v>
      </c>
      <c r="O45" s="8"/>
      <c r="P45" s="8" t="s">
        <v>995</v>
      </c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</row>
    <row r="46" spans="1:48" x14ac:dyDescent="0.25">
      <c r="A46" s="8" t="s">
        <v>4574</v>
      </c>
      <c r="B46" s="8" t="s">
        <v>992</v>
      </c>
      <c r="C46" s="8" t="s">
        <v>4575</v>
      </c>
      <c r="D46" s="8" t="s">
        <v>125</v>
      </c>
      <c r="E46" s="8"/>
      <c r="F46" s="8" t="s">
        <v>412</v>
      </c>
      <c r="G46" s="8"/>
      <c r="H46" s="8"/>
      <c r="I46" s="8"/>
      <c r="J46" s="8" t="s">
        <v>451</v>
      </c>
      <c r="K46" s="8" t="s">
        <v>993</v>
      </c>
      <c r="L46" s="8" t="s">
        <v>994</v>
      </c>
      <c r="M46" s="8" t="s">
        <v>4576</v>
      </c>
      <c r="N46" s="8">
        <v>41</v>
      </c>
      <c r="O46" s="8"/>
      <c r="P46" s="8" t="s">
        <v>995</v>
      </c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</row>
    <row r="47" spans="1:48" x14ac:dyDescent="0.25">
      <c r="A47" s="8" t="s">
        <v>4574</v>
      </c>
      <c r="B47" s="8" t="s">
        <v>992</v>
      </c>
      <c r="C47" s="8" t="s">
        <v>4575</v>
      </c>
      <c r="D47" s="8" t="s">
        <v>322</v>
      </c>
      <c r="E47" s="8"/>
      <c r="F47" s="8" t="s">
        <v>412</v>
      </c>
      <c r="G47" s="8"/>
      <c r="H47" s="8"/>
      <c r="I47" s="8"/>
      <c r="J47" s="8"/>
      <c r="K47" s="8" t="s">
        <v>993</v>
      </c>
      <c r="L47" s="8" t="s">
        <v>994</v>
      </c>
      <c r="M47" s="8" t="s">
        <v>4576</v>
      </c>
      <c r="N47" s="8">
        <v>41</v>
      </c>
      <c r="O47" s="8"/>
      <c r="P47" s="8" t="s">
        <v>995</v>
      </c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</row>
    <row r="48" spans="1:48" x14ac:dyDescent="0.25">
      <c r="A48" s="8" t="s">
        <v>4574</v>
      </c>
      <c r="B48" s="8" t="s">
        <v>992</v>
      </c>
      <c r="C48" s="8" t="s">
        <v>4575</v>
      </c>
      <c r="D48" s="8" t="s">
        <v>308</v>
      </c>
      <c r="E48" s="8"/>
      <c r="F48" s="8" t="s">
        <v>412</v>
      </c>
      <c r="G48" s="8"/>
      <c r="H48" s="8"/>
      <c r="I48" s="8"/>
      <c r="J48" s="8" t="s">
        <v>450</v>
      </c>
      <c r="K48" s="8" t="s">
        <v>993</v>
      </c>
      <c r="L48" s="8" t="s">
        <v>994</v>
      </c>
      <c r="M48" s="8" t="s">
        <v>4576</v>
      </c>
      <c r="N48" s="8">
        <v>41</v>
      </c>
      <c r="O48" s="8"/>
      <c r="P48" s="8" t="s">
        <v>995</v>
      </c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</row>
    <row r="49" spans="1:48" x14ac:dyDescent="0.25">
      <c r="A49" s="8" t="s">
        <v>4574</v>
      </c>
      <c r="B49" s="8" t="s">
        <v>992</v>
      </c>
      <c r="C49" s="8" t="s">
        <v>4575</v>
      </c>
      <c r="D49" s="8" t="s">
        <v>69</v>
      </c>
      <c r="E49" s="8"/>
      <c r="F49" s="8" t="s">
        <v>412</v>
      </c>
      <c r="G49" s="8"/>
      <c r="H49" s="8"/>
      <c r="I49" s="8"/>
      <c r="J49" s="8" t="s">
        <v>456</v>
      </c>
      <c r="K49" s="8" t="s">
        <v>993</v>
      </c>
      <c r="L49" s="8" t="s">
        <v>994</v>
      </c>
      <c r="M49" s="8" t="s">
        <v>4576</v>
      </c>
      <c r="N49" s="8">
        <v>41</v>
      </c>
      <c r="O49" s="8"/>
      <c r="P49" s="8" t="s">
        <v>995</v>
      </c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</row>
    <row r="50" spans="1:48" x14ac:dyDescent="0.25">
      <c r="A50" s="8" t="s">
        <v>4574</v>
      </c>
      <c r="B50" s="8" t="s">
        <v>992</v>
      </c>
      <c r="C50" s="8" t="s">
        <v>4575</v>
      </c>
      <c r="D50" s="8" t="s">
        <v>11</v>
      </c>
      <c r="E50" s="8"/>
      <c r="F50" s="8" t="s">
        <v>412</v>
      </c>
      <c r="G50" s="8"/>
      <c r="H50" s="8"/>
      <c r="I50" s="8"/>
      <c r="J50" s="8" t="s">
        <v>454</v>
      </c>
      <c r="K50" s="8" t="s">
        <v>993</v>
      </c>
      <c r="L50" s="8" t="s">
        <v>994</v>
      </c>
      <c r="M50" s="8" t="s">
        <v>4576</v>
      </c>
      <c r="N50" s="8">
        <v>41</v>
      </c>
      <c r="O50" s="8"/>
      <c r="P50" s="8" t="s">
        <v>995</v>
      </c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</row>
    <row r="51" spans="1:48" x14ac:dyDescent="0.25">
      <c r="A51" s="8" t="s">
        <v>4574</v>
      </c>
      <c r="B51" s="8" t="s">
        <v>992</v>
      </c>
      <c r="C51" s="8" t="s">
        <v>4575</v>
      </c>
      <c r="D51" s="8" t="s">
        <v>67</v>
      </c>
      <c r="E51" s="8"/>
      <c r="F51" s="8" t="s">
        <v>412</v>
      </c>
      <c r="G51" s="8"/>
      <c r="H51" s="8"/>
      <c r="I51" s="8"/>
      <c r="J51" s="8" t="s">
        <v>453</v>
      </c>
      <c r="K51" s="8" t="s">
        <v>993</v>
      </c>
      <c r="L51" s="8" t="s">
        <v>994</v>
      </c>
      <c r="M51" s="8" t="s">
        <v>4576</v>
      </c>
      <c r="N51" s="8">
        <v>41</v>
      </c>
      <c r="O51" s="8"/>
      <c r="P51" s="8" t="s">
        <v>995</v>
      </c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</row>
    <row r="52" spans="1:48" x14ac:dyDescent="0.25">
      <c r="A52" s="8" t="s">
        <v>4574</v>
      </c>
      <c r="B52" s="8" t="s">
        <v>992</v>
      </c>
      <c r="C52" s="8" t="s">
        <v>4575</v>
      </c>
      <c r="D52" s="8" t="s">
        <v>96</v>
      </c>
      <c r="E52" s="8"/>
      <c r="F52" s="8" t="s">
        <v>412</v>
      </c>
      <c r="G52" s="8"/>
      <c r="H52" s="8"/>
      <c r="I52" s="8"/>
      <c r="J52" s="8" t="s">
        <v>455</v>
      </c>
      <c r="K52" s="8" t="s">
        <v>993</v>
      </c>
      <c r="L52" s="8" t="s">
        <v>994</v>
      </c>
      <c r="M52" s="8" t="s">
        <v>4576</v>
      </c>
      <c r="N52" s="8">
        <v>41</v>
      </c>
      <c r="O52" s="8"/>
      <c r="P52" s="8" t="s">
        <v>995</v>
      </c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</row>
    <row r="53" spans="1:48" x14ac:dyDescent="0.25">
      <c r="A53" s="8" t="s">
        <v>4574</v>
      </c>
      <c r="B53" s="8" t="s">
        <v>992</v>
      </c>
      <c r="C53" s="8" t="s">
        <v>4575</v>
      </c>
      <c r="D53" s="8" t="s">
        <v>333</v>
      </c>
      <c r="E53" s="8"/>
      <c r="F53" s="8" t="s">
        <v>412</v>
      </c>
      <c r="G53" s="8"/>
      <c r="H53" s="8"/>
      <c r="I53" s="8"/>
      <c r="J53" s="8" t="s">
        <v>452</v>
      </c>
      <c r="K53" s="8" t="s">
        <v>993</v>
      </c>
      <c r="L53" s="8" t="s">
        <v>994</v>
      </c>
      <c r="M53" s="8" t="s">
        <v>4576</v>
      </c>
      <c r="N53" s="8">
        <v>41</v>
      </c>
      <c r="O53" s="8"/>
      <c r="P53" s="8" t="s">
        <v>995</v>
      </c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</row>
    <row r="54" spans="1:48" x14ac:dyDescent="0.25">
      <c r="A54" s="8" t="s">
        <v>4574</v>
      </c>
      <c r="B54" s="8" t="s">
        <v>992</v>
      </c>
      <c r="C54" s="8" t="s">
        <v>4575</v>
      </c>
      <c r="D54" s="8" t="s">
        <v>128</v>
      </c>
      <c r="E54" s="8"/>
      <c r="F54" s="8" t="s">
        <v>412</v>
      </c>
      <c r="G54" s="8"/>
      <c r="H54" s="8"/>
      <c r="I54" s="8"/>
      <c r="J54" s="8" t="s">
        <v>457</v>
      </c>
      <c r="K54" s="8" t="s">
        <v>993</v>
      </c>
      <c r="L54" s="8" t="s">
        <v>994</v>
      </c>
      <c r="M54" s="8" t="s">
        <v>4576</v>
      </c>
      <c r="N54" s="8">
        <v>41</v>
      </c>
      <c r="O54" s="8"/>
      <c r="P54" s="8" t="s">
        <v>995</v>
      </c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</row>
    <row r="55" spans="1:48" x14ac:dyDescent="0.25">
      <c r="A55" s="8" t="s">
        <v>4574</v>
      </c>
      <c r="B55" s="8" t="s">
        <v>992</v>
      </c>
      <c r="C55" s="8" t="s">
        <v>4575</v>
      </c>
      <c r="D55" s="8" t="s">
        <v>151</v>
      </c>
      <c r="E55" s="8"/>
      <c r="F55" s="8" t="s">
        <v>412</v>
      </c>
      <c r="G55" s="8"/>
      <c r="H55" s="8"/>
      <c r="I55" s="8"/>
      <c r="J55" s="8"/>
      <c r="K55" s="8" t="s">
        <v>993</v>
      </c>
      <c r="L55" s="8" t="s">
        <v>994</v>
      </c>
      <c r="M55" s="8" t="s">
        <v>4576</v>
      </c>
      <c r="N55" s="8">
        <v>41</v>
      </c>
      <c r="O55" s="8"/>
      <c r="P55" s="8" t="s">
        <v>995</v>
      </c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</row>
    <row r="56" spans="1:48" x14ac:dyDescent="0.25">
      <c r="A56" s="8" t="s">
        <v>4574</v>
      </c>
      <c r="B56" s="8" t="s">
        <v>992</v>
      </c>
      <c r="C56" s="8" t="s">
        <v>4575</v>
      </c>
      <c r="D56" s="8" t="s">
        <v>106</v>
      </c>
      <c r="E56" s="8"/>
      <c r="F56" s="8" t="s">
        <v>412</v>
      </c>
      <c r="G56" s="8"/>
      <c r="H56" s="8"/>
      <c r="I56" s="8"/>
      <c r="J56" s="8" t="s">
        <v>458</v>
      </c>
      <c r="K56" s="8" t="s">
        <v>993</v>
      </c>
      <c r="L56" s="8" t="s">
        <v>994</v>
      </c>
      <c r="M56" s="8" t="s">
        <v>4576</v>
      </c>
      <c r="N56" s="8">
        <v>41</v>
      </c>
      <c r="O56" s="8"/>
      <c r="P56" s="8" t="s">
        <v>995</v>
      </c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</row>
    <row r="57" spans="1:48" x14ac:dyDescent="0.25">
      <c r="A57" s="8" t="s">
        <v>4574</v>
      </c>
      <c r="B57" s="8" t="s">
        <v>992</v>
      </c>
      <c r="C57" s="8" t="s">
        <v>4575</v>
      </c>
      <c r="D57" s="8" t="s">
        <v>343</v>
      </c>
      <c r="E57" s="8"/>
      <c r="F57" s="8" t="s">
        <v>412</v>
      </c>
      <c r="G57" s="8"/>
      <c r="H57" s="8"/>
      <c r="I57" s="8"/>
      <c r="J57" s="8" t="s">
        <v>460</v>
      </c>
      <c r="K57" s="8" t="s">
        <v>993</v>
      </c>
      <c r="L57" s="8" t="s">
        <v>994</v>
      </c>
      <c r="M57" s="8" t="s">
        <v>4576</v>
      </c>
      <c r="N57" s="8">
        <v>41</v>
      </c>
      <c r="O57" s="8"/>
      <c r="P57" s="8" t="s">
        <v>995</v>
      </c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</row>
    <row r="58" spans="1:48" x14ac:dyDescent="0.25">
      <c r="A58" s="8" t="s">
        <v>4574</v>
      </c>
      <c r="B58" s="8" t="s">
        <v>992</v>
      </c>
      <c r="C58" s="8" t="s">
        <v>4575</v>
      </c>
      <c r="D58" s="8" t="s">
        <v>246</v>
      </c>
      <c r="E58" s="8"/>
      <c r="F58" s="8" t="s">
        <v>412</v>
      </c>
      <c r="G58" s="8"/>
      <c r="H58" s="8"/>
      <c r="I58" s="8"/>
      <c r="J58" s="8" t="s">
        <v>461</v>
      </c>
      <c r="K58" s="8" t="s">
        <v>993</v>
      </c>
      <c r="L58" s="8" t="s">
        <v>994</v>
      </c>
      <c r="M58" s="8" t="s">
        <v>4576</v>
      </c>
      <c r="N58" s="8">
        <v>41</v>
      </c>
      <c r="O58" s="8"/>
      <c r="P58" s="8" t="s">
        <v>995</v>
      </c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</row>
    <row r="59" spans="1:48" x14ac:dyDescent="0.25">
      <c r="A59" s="8" t="s">
        <v>4574</v>
      </c>
      <c r="B59" s="8" t="s">
        <v>992</v>
      </c>
      <c r="C59" s="8" t="s">
        <v>4575</v>
      </c>
      <c r="D59" s="8" t="s">
        <v>18</v>
      </c>
      <c r="E59" s="8"/>
      <c r="F59" s="8" t="s">
        <v>412</v>
      </c>
      <c r="G59" s="8"/>
      <c r="H59" s="8"/>
      <c r="I59" s="8"/>
      <c r="J59" s="8" t="s">
        <v>459</v>
      </c>
      <c r="K59" s="8" t="s">
        <v>993</v>
      </c>
      <c r="L59" s="8" t="s">
        <v>994</v>
      </c>
      <c r="M59" s="8" t="s">
        <v>4576</v>
      </c>
      <c r="N59" s="8">
        <v>41</v>
      </c>
      <c r="O59" s="8"/>
      <c r="P59" s="8" t="s">
        <v>995</v>
      </c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</row>
    <row r="60" spans="1:48" x14ac:dyDescent="0.25">
      <c r="A60" s="8" t="s">
        <v>4574</v>
      </c>
      <c r="B60" s="8" t="s">
        <v>992</v>
      </c>
      <c r="C60" s="8" t="s">
        <v>4575</v>
      </c>
      <c r="D60" s="8" t="s">
        <v>193</v>
      </c>
      <c r="E60" s="8"/>
      <c r="F60" s="8" t="s">
        <v>412</v>
      </c>
      <c r="G60" s="8"/>
      <c r="H60" s="8"/>
      <c r="I60" s="8"/>
      <c r="J60" s="8" t="s">
        <v>462</v>
      </c>
      <c r="K60" s="8" t="s">
        <v>993</v>
      </c>
      <c r="L60" s="8" t="s">
        <v>994</v>
      </c>
      <c r="M60" s="8" t="s">
        <v>4576</v>
      </c>
      <c r="N60" s="8">
        <v>41</v>
      </c>
      <c r="O60" s="8"/>
      <c r="P60" s="8" t="s">
        <v>995</v>
      </c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</row>
    <row r="61" spans="1:48" x14ac:dyDescent="0.25">
      <c r="A61" s="8" t="s">
        <v>4574</v>
      </c>
      <c r="B61" s="8" t="s">
        <v>992</v>
      </c>
      <c r="C61" s="8" t="s">
        <v>4575</v>
      </c>
      <c r="D61" s="8" t="s">
        <v>104</v>
      </c>
      <c r="E61" s="8"/>
      <c r="F61" s="8" t="s">
        <v>412</v>
      </c>
      <c r="G61" s="8"/>
      <c r="H61" s="8"/>
      <c r="I61" s="8"/>
      <c r="J61" s="8" t="s">
        <v>463</v>
      </c>
      <c r="K61" s="8" t="s">
        <v>993</v>
      </c>
      <c r="L61" s="8" t="s">
        <v>994</v>
      </c>
      <c r="M61" s="8" t="s">
        <v>4576</v>
      </c>
      <c r="N61" s="8">
        <v>41</v>
      </c>
      <c r="O61" s="8"/>
      <c r="P61" s="8" t="s">
        <v>995</v>
      </c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</row>
    <row r="62" spans="1:48" x14ac:dyDescent="0.25">
      <c r="A62" s="8" t="s">
        <v>4574</v>
      </c>
      <c r="B62" s="8" t="s">
        <v>992</v>
      </c>
      <c r="C62" s="8" t="s">
        <v>4575</v>
      </c>
      <c r="D62" s="8" t="s">
        <v>188</v>
      </c>
      <c r="E62" s="8"/>
      <c r="F62" s="8" t="s">
        <v>412</v>
      </c>
      <c r="G62" s="8"/>
      <c r="H62" s="8"/>
      <c r="I62" s="8"/>
      <c r="J62" s="8" t="s">
        <v>464</v>
      </c>
      <c r="K62" s="8" t="s">
        <v>993</v>
      </c>
      <c r="L62" s="8" t="s">
        <v>994</v>
      </c>
      <c r="M62" s="8" t="s">
        <v>4576</v>
      </c>
      <c r="N62" s="8">
        <v>41</v>
      </c>
      <c r="O62" s="8"/>
      <c r="P62" s="8" t="s">
        <v>995</v>
      </c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</row>
    <row r="63" spans="1:48" x14ac:dyDescent="0.25">
      <c r="A63" s="8" t="s">
        <v>4574</v>
      </c>
      <c r="B63" s="8" t="s">
        <v>992</v>
      </c>
      <c r="C63" s="8" t="s">
        <v>4575</v>
      </c>
      <c r="D63" s="8" t="s">
        <v>85</v>
      </c>
      <c r="E63" s="8"/>
      <c r="F63" s="8" t="s">
        <v>412</v>
      </c>
      <c r="G63" s="8"/>
      <c r="H63" s="8"/>
      <c r="I63" s="8"/>
      <c r="J63" s="8" t="s">
        <v>465</v>
      </c>
      <c r="K63" s="8" t="s">
        <v>993</v>
      </c>
      <c r="L63" s="8" t="s">
        <v>994</v>
      </c>
      <c r="M63" s="8" t="s">
        <v>4576</v>
      </c>
      <c r="N63" s="8">
        <v>41</v>
      </c>
      <c r="O63" s="8"/>
      <c r="P63" s="8" t="s">
        <v>995</v>
      </c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</row>
    <row r="64" spans="1:48" x14ac:dyDescent="0.25">
      <c r="A64" s="8" t="s">
        <v>4574</v>
      </c>
      <c r="B64" s="8" t="s">
        <v>992</v>
      </c>
      <c r="C64" s="8" t="s">
        <v>4575</v>
      </c>
      <c r="D64" s="8" t="s">
        <v>235</v>
      </c>
      <c r="E64" s="8"/>
      <c r="F64" s="8" t="s">
        <v>412</v>
      </c>
      <c r="G64" s="8"/>
      <c r="H64" s="8"/>
      <c r="I64" s="8"/>
      <c r="J64" s="8"/>
      <c r="K64" s="8" t="s">
        <v>993</v>
      </c>
      <c r="L64" s="8" t="s">
        <v>994</v>
      </c>
      <c r="M64" s="8" t="s">
        <v>4576</v>
      </c>
      <c r="N64" s="8">
        <v>41</v>
      </c>
      <c r="O64" s="8"/>
      <c r="P64" s="8" t="s">
        <v>995</v>
      </c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</row>
    <row r="65" spans="1:48" x14ac:dyDescent="0.25">
      <c r="A65" s="8" t="s">
        <v>4574</v>
      </c>
      <c r="B65" s="8" t="s">
        <v>992</v>
      </c>
      <c r="C65" s="8" t="s">
        <v>4575</v>
      </c>
      <c r="D65" s="8" t="s">
        <v>283</v>
      </c>
      <c r="E65" s="8"/>
      <c r="F65" s="8" t="s">
        <v>412</v>
      </c>
      <c r="G65" s="8"/>
      <c r="H65" s="8"/>
      <c r="I65" s="8"/>
      <c r="J65" s="8" t="s">
        <v>470</v>
      </c>
      <c r="K65" s="8" t="s">
        <v>993</v>
      </c>
      <c r="L65" s="8" t="s">
        <v>994</v>
      </c>
      <c r="M65" s="8" t="s">
        <v>4576</v>
      </c>
      <c r="N65" s="8">
        <v>41</v>
      </c>
      <c r="O65" s="8"/>
      <c r="P65" s="8" t="s">
        <v>995</v>
      </c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</row>
    <row r="66" spans="1:48" x14ac:dyDescent="0.25">
      <c r="A66" s="8" t="s">
        <v>4574</v>
      </c>
      <c r="B66" s="8" t="s">
        <v>992</v>
      </c>
      <c r="C66" s="8" t="s">
        <v>4575</v>
      </c>
      <c r="D66" s="8" t="s">
        <v>208</v>
      </c>
      <c r="E66" s="8"/>
      <c r="F66" s="8" t="s">
        <v>412</v>
      </c>
      <c r="G66" s="8"/>
      <c r="H66" s="8"/>
      <c r="I66" s="8"/>
      <c r="J66" s="8"/>
      <c r="K66" s="8" t="s">
        <v>993</v>
      </c>
      <c r="L66" s="8" t="s">
        <v>994</v>
      </c>
      <c r="M66" s="8" t="s">
        <v>4576</v>
      </c>
      <c r="N66" s="8">
        <v>41</v>
      </c>
      <c r="O66" s="8"/>
      <c r="P66" s="8" t="s">
        <v>995</v>
      </c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</row>
    <row r="67" spans="1:48" x14ac:dyDescent="0.25">
      <c r="A67" s="8" t="s">
        <v>4574</v>
      </c>
      <c r="B67" s="8" t="s">
        <v>992</v>
      </c>
      <c r="C67" s="8" t="s">
        <v>4575</v>
      </c>
      <c r="D67" s="8" t="s">
        <v>321</v>
      </c>
      <c r="E67" s="8"/>
      <c r="F67" s="8" t="s">
        <v>412</v>
      </c>
      <c r="G67" s="8"/>
      <c r="H67" s="8"/>
      <c r="I67" s="8"/>
      <c r="J67" s="8"/>
      <c r="K67" s="8" t="s">
        <v>993</v>
      </c>
      <c r="L67" s="8" t="s">
        <v>994</v>
      </c>
      <c r="M67" s="8" t="s">
        <v>4576</v>
      </c>
      <c r="N67" s="8">
        <v>41</v>
      </c>
      <c r="O67" s="8"/>
      <c r="P67" s="8" t="s">
        <v>995</v>
      </c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</row>
    <row r="68" spans="1:48" x14ac:dyDescent="0.25">
      <c r="A68" s="8" t="s">
        <v>4574</v>
      </c>
      <c r="B68" s="8" t="s">
        <v>992</v>
      </c>
      <c r="C68" s="8" t="s">
        <v>4575</v>
      </c>
      <c r="D68" s="8" t="s">
        <v>73</v>
      </c>
      <c r="E68" s="8"/>
      <c r="F68" s="8" t="s">
        <v>412</v>
      </c>
      <c r="G68" s="8"/>
      <c r="H68" s="8"/>
      <c r="I68" s="8"/>
      <c r="J68" s="8" t="s">
        <v>466</v>
      </c>
      <c r="K68" s="8" t="s">
        <v>993</v>
      </c>
      <c r="L68" s="8" t="s">
        <v>994</v>
      </c>
      <c r="M68" s="8" t="s">
        <v>4576</v>
      </c>
      <c r="N68" s="8">
        <v>41</v>
      </c>
      <c r="O68" s="8"/>
      <c r="P68" s="8" t="s">
        <v>995</v>
      </c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</row>
    <row r="69" spans="1:48" x14ac:dyDescent="0.25">
      <c r="A69" s="8" t="s">
        <v>4574</v>
      </c>
      <c r="B69" s="8" t="s">
        <v>992</v>
      </c>
      <c r="C69" s="8" t="s">
        <v>4575</v>
      </c>
      <c r="D69" s="8" t="s">
        <v>36</v>
      </c>
      <c r="E69" s="8"/>
      <c r="F69" s="8" t="s">
        <v>412</v>
      </c>
      <c r="G69" s="8"/>
      <c r="H69" s="8"/>
      <c r="I69" s="8"/>
      <c r="J69" s="8" t="s">
        <v>467</v>
      </c>
      <c r="K69" s="8" t="s">
        <v>993</v>
      </c>
      <c r="L69" s="8" t="s">
        <v>994</v>
      </c>
      <c r="M69" s="8" t="s">
        <v>4576</v>
      </c>
      <c r="N69" s="8">
        <v>41</v>
      </c>
      <c r="O69" s="8"/>
      <c r="P69" s="8" t="s">
        <v>995</v>
      </c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</row>
    <row r="70" spans="1:48" x14ac:dyDescent="0.25">
      <c r="A70" s="8" t="s">
        <v>4574</v>
      </c>
      <c r="B70" s="8" t="s">
        <v>992</v>
      </c>
      <c r="C70" s="8" t="s">
        <v>4575</v>
      </c>
      <c r="D70" s="8" t="s">
        <v>351</v>
      </c>
      <c r="E70" s="8"/>
      <c r="F70" s="8" t="s">
        <v>437</v>
      </c>
      <c r="G70" s="8"/>
      <c r="H70" s="8"/>
      <c r="I70" s="8"/>
      <c r="J70" s="8" t="s">
        <v>468</v>
      </c>
      <c r="K70" s="8" t="s">
        <v>993</v>
      </c>
      <c r="L70" s="8" t="s">
        <v>994</v>
      </c>
      <c r="M70" s="8" t="s">
        <v>4576</v>
      </c>
      <c r="N70" s="8">
        <v>41</v>
      </c>
      <c r="O70" s="8"/>
      <c r="P70" s="8" t="s">
        <v>995</v>
      </c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</row>
    <row r="71" spans="1:48" x14ac:dyDescent="0.25">
      <c r="A71" s="8" t="s">
        <v>4574</v>
      </c>
      <c r="B71" s="8" t="s">
        <v>992</v>
      </c>
      <c r="C71" s="8" t="s">
        <v>4575</v>
      </c>
      <c r="D71" s="8" t="s">
        <v>250</v>
      </c>
      <c r="E71" s="8"/>
      <c r="F71" s="8" t="s">
        <v>412</v>
      </c>
      <c r="G71" s="8"/>
      <c r="H71" s="8"/>
      <c r="I71" s="8"/>
      <c r="J71" s="8" t="s">
        <v>469</v>
      </c>
      <c r="K71" s="8" t="s">
        <v>993</v>
      </c>
      <c r="L71" s="8" t="s">
        <v>994</v>
      </c>
      <c r="M71" s="8" t="s">
        <v>4576</v>
      </c>
      <c r="N71" s="8">
        <v>41</v>
      </c>
      <c r="O71" s="8"/>
      <c r="P71" s="8" t="s">
        <v>995</v>
      </c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</row>
    <row r="72" spans="1:48" x14ac:dyDescent="0.25">
      <c r="A72" s="8" t="s">
        <v>4574</v>
      </c>
      <c r="B72" s="8" t="s">
        <v>992</v>
      </c>
      <c r="C72" s="8" t="s">
        <v>4575</v>
      </c>
      <c r="D72" s="8" t="s">
        <v>339</v>
      </c>
      <c r="E72" s="8"/>
      <c r="F72" s="8" t="s">
        <v>412</v>
      </c>
      <c r="G72" s="8"/>
      <c r="H72" s="8"/>
      <c r="I72" s="8"/>
      <c r="J72" s="8"/>
      <c r="K72" s="8" t="s">
        <v>993</v>
      </c>
      <c r="L72" s="8" t="s">
        <v>994</v>
      </c>
      <c r="M72" s="8" t="s">
        <v>4576</v>
      </c>
      <c r="N72" s="8">
        <v>41</v>
      </c>
      <c r="O72" s="8"/>
      <c r="P72" s="8" t="s">
        <v>995</v>
      </c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</row>
    <row r="73" spans="1:48" x14ac:dyDescent="0.25">
      <c r="A73" s="8" t="s">
        <v>4574</v>
      </c>
      <c r="B73" s="8" t="s">
        <v>992</v>
      </c>
      <c r="C73" s="8" t="s">
        <v>4575</v>
      </c>
      <c r="D73" s="8" t="s">
        <v>214</v>
      </c>
      <c r="E73" s="8"/>
      <c r="F73" s="8" t="s">
        <v>412</v>
      </c>
      <c r="G73" s="8"/>
      <c r="H73" s="8"/>
      <c r="I73" s="8"/>
      <c r="J73" s="8" t="s">
        <v>471</v>
      </c>
      <c r="K73" s="8" t="s">
        <v>993</v>
      </c>
      <c r="L73" s="8" t="s">
        <v>994</v>
      </c>
      <c r="M73" s="8" t="s">
        <v>4576</v>
      </c>
      <c r="N73" s="8">
        <v>41</v>
      </c>
      <c r="O73" s="8"/>
      <c r="P73" s="8" t="s">
        <v>995</v>
      </c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</row>
    <row r="74" spans="1:48" x14ac:dyDescent="0.25">
      <c r="A74" s="8" t="s">
        <v>4574</v>
      </c>
      <c r="B74" s="8" t="s">
        <v>992</v>
      </c>
      <c r="C74" s="8" t="s">
        <v>4575</v>
      </c>
      <c r="D74" s="8" t="s">
        <v>255</v>
      </c>
      <c r="E74" s="8"/>
      <c r="F74" s="8" t="s">
        <v>412</v>
      </c>
      <c r="G74" s="8"/>
      <c r="H74" s="8"/>
      <c r="I74" s="8"/>
      <c r="J74" s="8" t="s">
        <v>472</v>
      </c>
      <c r="K74" s="8" t="s">
        <v>993</v>
      </c>
      <c r="L74" s="8" t="s">
        <v>994</v>
      </c>
      <c r="M74" s="8" t="s">
        <v>4576</v>
      </c>
      <c r="N74" s="8">
        <v>41</v>
      </c>
      <c r="O74" s="8"/>
      <c r="P74" s="8" t="s">
        <v>995</v>
      </c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</row>
    <row r="75" spans="1:48" x14ac:dyDescent="0.25">
      <c r="A75" s="8" t="s">
        <v>4574</v>
      </c>
      <c r="B75" s="8" t="s">
        <v>992</v>
      </c>
      <c r="C75" s="8" t="s">
        <v>4575</v>
      </c>
      <c r="D75" s="8" t="s">
        <v>164</v>
      </c>
      <c r="E75" s="8"/>
      <c r="F75" s="8" t="s">
        <v>412</v>
      </c>
      <c r="G75" s="8"/>
      <c r="H75" s="8"/>
      <c r="I75" s="8"/>
      <c r="J75" s="8" t="s">
        <v>474</v>
      </c>
      <c r="K75" s="8" t="s">
        <v>993</v>
      </c>
      <c r="L75" s="8" t="s">
        <v>994</v>
      </c>
      <c r="M75" s="8" t="s">
        <v>4576</v>
      </c>
      <c r="N75" s="8">
        <v>41</v>
      </c>
      <c r="O75" s="8"/>
      <c r="P75" s="8" t="s">
        <v>995</v>
      </c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</row>
    <row r="76" spans="1:48" x14ac:dyDescent="0.25">
      <c r="A76" s="8" t="s">
        <v>4574</v>
      </c>
      <c r="B76" s="8" t="s">
        <v>992</v>
      </c>
      <c r="C76" s="8" t="s">
        <v>4575</v>
      </c>
      <c r="D76" s="8" t="s">
        <v>202</v>
      </c>
      <c r="E76" s="8"/>
      <c r="F76" s="8" t="s">
        <v>412</v>
      </c>
      <c r="G76" s="8"/>
      <c r="H76" s="8"/>
      <c r="I76" s="8"/>
      <c r="J76" s="8" t="s">
        <v>475</v>
      </c>
      <c r="K76" s="8" t="s">
        <v>993</v>
      </c>
      <c r="L76" s="8" t="s">
        <v>994</v>
      </c>
      <c r="M76" s="8" t="s">
        <v>4576</v>
      </c>
      <c r="N76" s="8">
        <v>41</v>
      </c>
      <c r="O76" s="8"/>
      <c r="P76" s="8" t="s">
        <v>995</v>
      </c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</row>
    <row r="77" spans="1:48" x14ac:dyDescent="0.25">
      <c r="A77" s="8" t="s">
        <v>4574</v>
      </c>
      <c r="B77" s="8" t="s">
        <v>992</v>
      </c>
      <c r="C77" s="8" t="s">
        <v>4575</v>
      </c>
      <c r="D77" s="8" t="s">
        <v>21</v>
      </c>
      <c r="E77" s="8"/>
      <c r="F77" s="8" t="s">
        <v>412</v>
      </c>
      <c r="G77" s="8"/>
      <c r="H77" s="8"/>
      <c r="I77" s="8"/>
      <c r="J77" s="8" t="s">
        <v>478</v>
      </c>
      <c r="K77" s="8" t="s">
        <v>993</v>
      </c>
      <c r="L77" s="8" t="s">
        <v>994</v>
      </c>
      <c r="M77" s="8" t="s">
        <v>4576</v>
      </c>
      <c r="N77" s="8">
        <v>41</v>
      </c>
      <c r="O77" s="8"/>
      <c r="P77" s="8" t="s">
        <v>995</v>
      </c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</row>
    <row r="78" spans="1:48" x14ac:dyDescent="0.25">
      <c r="A78" s="8" t="s">
        <v>4574</v>
      </c>
      <c r="B78" s="8" t="s">
        <v>992</v>
      </c>
      <c r="C78" s="8" t="s">
        <v>4575</v>
      </c>
      <c r="D78" s="8" t="s">
        <v>91</v>
      </c>
      <c r="E78" s="8"/>
      <c r="F78" s="8" t="s">
        <v>412</v>
      </c>
      <c r="G78" s="8"/>
      <c r="H78" s="8"/>
      <c r="I78" s="8"/>
      <c r="J78" s="8" t="s">
        <v>476</v>
      </c>
      <c r="K78" s="8" t="s">
        <v>993</v>
      </c>
      <c r="L78" s="8" t="s">
        <v>994</v>
      </c>
      <c r="M78" s="8" t="s">
        <v>4576</v>
      </c>
      <c r="N78" s="8">
        <v>41</v>
      </c>
      <c r="O78" s="8"/>
      <c r="P78" s="8" t="s">
        <v>995</v>
      </c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</row>
    <row r="79" spans="1:48" x14ac:dyDescent="0.25">
      <c r="A79" s="8" t="s">
        <v>4574</v>
      </c>
      <c r="B79" s="8" t="s">
        <v>992</v>
      </c>
      <c r="C79" s="8" t="s">
        <v>4575</v>
      </c>
      <c r="D79" s="8" t="s">
        <v>251</v>
      </c>
      <c r="E79" s="8"/>
      <c r="F79" s="8" t="s">
        <v>412</v>
      </c>
      <c r="G79" s="8"/>
      <c r="H79" s="8"/>
      <c r="I79" s="8"/>
      <c r="J79" s="8" t="s">
        <v>473</v>
      </c>
      <c r="K79" s="8" t="s">
        <v>993</v>
      </c>
      <c r="L79" s="8" t="s">
        <v>994</v>
      </c>
      <c r="M79" s="8" t="s">
        <v>4576</v>
      </c>
      <c r="N79" s="8">
        <v>41</v>
      </c>
      <c r="O79" s="8"/>
      <c r="P79" s="8" t="s">
        <v>995</v>
      </c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</row>
    <row r="80" spans="1:48" x14ac:dyDescent="0.25">
      <c r="A80" s="8" t="s">
        <v>4574</v>
      </c>
      <c r="B80" s="8" t="s">
        <v>992</v>
      </c>
      <c r="C80" s="8" t="s">
        <v>4575</v>
      </c>
      <c r="D80" s="8" t="s">
        <v>46</v>
      </c>
      <c r="E80" s="8"/>
      <c r="F80" s="8" t="s">
        <v>412</v>
      </c>
      <c r="G80" s="8"/>
      <c r="H80" s="8"/>
      <c r="I80" s="8"/>
      <c r="J80" s="8" t="s">
        <v>477</v>
      </c>
      <c r="K80" s="8" t="s">
        <v>993</v>
      </c>
      <c r="L80" s="8" t="s">
        <v>994</v>
      </c>
      <c r="M80" s="8" t="s">
        <v>4576</v>
      </c>
      <c r="N80" s="8">
        <v>41</v>
      </c>
      <c r="O80" s="8"/>
      <c r="P80" s="8" t="s">
        <v>995</v>
      </c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</row>
    <row r="81" spans="1:48" x14ac:dyDescent="0.25">
      <c r="A81" s="8" t="s">
        <v>4574</v>
      </c>
      <c r="B81" s="8" t="s">
        <v>992</v>
      </c>
      <c r="C81" s="8" t="s">
        <v>4575</v>
      </c>
      <c r="D81" s="8" t="s">
        <v>319</v>
      </c>
      <c r="E81" s="8"/>
      <c r="F81" s="8" t="s">
        <v>412</v>
      </c>
      <c r="G81" s="8"/>
      <c r="H81" s="8"/>
      <c r="I81" s="8"/>
      <c r="J81" s="8" t="s">
        <v>479</v>
      </c>
      <c r="K81" s="8" t="s">
        <v>993</v>
      </c>
      <c r="L81" s="8" t="s">
        <v>994</v>
      </c>
      <c r="M81" s="8" t="s">
        <v>4576</v>
      </c>
      <c r="N81" s="8">
        <v>41</v>
      </c>
      <c r="O81" s="8"/>
      <c r="P81" s="8" t="s">
        <v>995</v>
      </c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</row>
    <row r="82" spans="1:48" x14ac:dyDescent="0.25">
      <c r="A82" s="8" t="s">
        <v>4574</v>
      </c>
      <c r="B82" s="8" t="s">
        <v>992</v>
      </c>
      <c r="C82" s="8" t="s">
        <v>4575</v>
      </c>
      <c r="D82" s="8" t="s">
        <v>22</v>
      </c>
      <c r="E82" s="8"/>
      <c r="F82" s="8" t="s">
        <v>412</v>
      </c>
      <c r="G82" s="8"/>
      <c r="H82" s="8"/>
      <c r="I82" s="8"/>
      <c r="J82" s="8" t="s">
        <v>480</v>
      </c>
      <c r="K82" s="8" t="s">
        <v>993</v>
      </c>
      <c r="L82" s="8" t="s">
        <v>994</v>
      </c>
      <c r="M82" s="8" t="s">
        <v>4576</v>
      </c>
      <c r="N82" s="8">
        <v>41</v>
      </c>
      <c r="O82" s="8"/>
      <c r="P82" s="8" t="s">
        <v>995</v>
      </c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</row>
    <row r="83" spans="1:48" x14ac:dyDescent="0.25">
      <c r="A83" s="8" t="s">
        <v>4574</v>
      </c>
      <c r="B83" s="8" t="s">
        <v>992</v>
      </c>
      <c r="C83" s="8" t="s">
        <v>4575</v>
      </c>
      <c r="D83" s="8" t="s">
        <v>273</v>
      </c>
      <c r="E83" s="8"/>
      <c r="F83" s="8" t="s">
        <v>412</v>
      </c>
      <c r="G83" s="8"/>
      <c r="H83" s="8"/>
      <c r="I83" s="8"/>
      <c r="J83" s="8" t="s">
        <v>481</v>
      </c>
      <c r="K83" s="8" t="s">
        <v>993</v>
      </c>
      <c r="L83" s="8" t="s">
        <v>994</v>
      </c>
      <c r="M83" s="8" t="s">
        <v>4576</v>
      </c>
      <c r="N83" s="8">
        <v>41</v>
      </c>
      <c r="O83" s="8"/>
      <c r="P83" s="8" t="s">
        <v>995</v>
      </c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</row>
    <row r="84" spans="1:48" x14ac:dyDescent="0.25">
      <c r="A84" s="8" t="s">
        <v>4574</v>
      </c>
      <c r="B84" s="8" t="s">
        <v>992</v>
      </c>
      <c r="C84" s="8" t="s">
        <v>4575</v>
      </c>
      <c r="D84" s="8" t="s">
        <v>177</v>
      </c>
      <c r="E84" s="8"/>
      <c r="F84" s="8" t="s">
        <v>412</v>
      </c>
      <c r="G84" s="8"/>
      <c r="H84" s="8"/>
      <c r="I84" s="8"/>
      <c r="J84" s="8"/>
      <c r="K84" s="8" t="s">
        <v>993</v>
      </c>
      <c r="L84" s="8" t="s">
        <v>994</v>
      </c>
      <c r="M84" s="8" t="s">
        <v>4576</v>
      </c>
      <c r="N84" s="8">
        <v>41</v>
      </c>
      <c r="O84" s="8"/>
      <c r="P84" s="8" t="s">
        <v>995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</row>
    <row r="85" spans="1:48" x14ac:dyDescent="0.25">
      <c r="A85" s="8" t="s">
        <v>4574</v>
      </c>
      <c r="B85" s="8" t="s">
        <v>992</v>
      </c>
      <c r="C85" s="8" t="s">
        <v>4575</v>
      </c>
      <c r="D85" s="8" t="s">
        <v>213</v>
      </c>
      <c r="E85" s="8"/>
      <c r="F85" s="8" t="s">
        <v>412</v>
      </c>
      <c r="G85" s="8"/>
      <c r="H85" s="8"/>
      <c r="I85" s="8"/>
      <c r="J85" s="8" t="s">
        <v>482</v>
      </c>
      <c r="K85" s="8" t="s">
        <v>993</v>
      </c>
      <c r="L85" s="8" t="s">
        <v>994</v>
      </c>
      <c r="M85" s="8" t="s">
        <v>4576</v>
      </c>
      <c r="N85" s="8">
        <v>41</v>
      </c>
      <c r="O85" s="8"/>
      <c r="P85" s="8" t="s">
        <v>995</v>
      </c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</row>
    <row r="86" spans="1:48" x14ac:dyDescent="0.25">
      <c r="A86" s="8" t="s">
        <v>4574</v>
      </c>
      <c r="B86" s="8" t="s">
        <v>992</v>
      </c>
      <c r="C86" s="8" t="s">
        <v>4575</v>
      </c>
      <c r="D86" s="8" t="s">
        <v>291</v>
      </c>
      <c r="E86" s="8"/>
      <c r="F86" s="8" t="s">
        <v>412</v>
      </c>
      <c r="G86" s="8"/>
      <c r="H86" s="8"/>
      <c r="I86" s="8"/>
      <c r="J86" s="8" t="s">
        <v>483</v>
      </c>
      <c r="K86" s="8" t="s">
        <v>993</v>
      </c>
      <c r="L86" s="8" t="s">
        <v>994</v>
      </c>
      <c r="M86" s="8" t="s">
        <v>4576</v>
      </c>
      <c r="N86" s="8">
        <v>41</v>
      </c>
      <c r="O86" s="8"/>
      <c r="P86" s="8" t="s">
        <v>995</v>
      </c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</row>
    <row r="87" spans="1:48" x14ac:dyDescent="0.25">
      <c r="A87" s="8" t="s">
        <v>4574</v>
      </c>
      <c r="B87" s="8" t="s">
        <v>992</v>
      </c>
      <c r="C87" s="8" t="s">
        <v>4575</v>
      </c>
      <c r="D87" s="8" t="s">
        <v>205</v>
      </c>
      <c r="E87" s="8"/>
      <c r="F87" s="8" t="s">
        <v>412</v>
      </c>
      <c r="G87" s="8"/>
      <c r="H87" s="8"/>
      <c r="I87" s="8"/>
      <c r="J87" s="8"/>
      <c r="K87" s="8" t="s">
        <v>993</v>
      </c>
      <c r="L87" s="8" t="s">
        <v>994</v>
      </c>
      <c r="M87" s="8" t="s">
        <v>4576</v>
      </c>
      <c r="N87" s="8">
        <v>41</v>
      </c>
      <c r="O87" s="8"/>
      <c r="P87" s="8" t="s">
        <v>995</v>
      </c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</row>
    <row r="88" spans="1:48" x14ac:dyDescent="0.25">
      <c r="A88" s="8" t="s">
        <v>4574</v>
      </c>
      <c r="B88" s="8" t="s">
        <v>992</v>
      </c>
      <c r="C88" s="8" t="s">
        <v>4575</v>
      </c>
      <c r="D88" s="8" t="s">
        <v>270</v>
      </c>
      <c r="E88" s="8"/>
      <c r="F88" s="8" t="s">
        <v>437</v>
      </c>
      <c r="G88" s="8"/>
      <c r="H88" s="8"/>
      <c r="I88" s="8"/>
      <c r="J88" s="8" t="s">
        <v>484</v>
      </c>
      <c r="K88" s="8" t="s">
        <v>993</v>
      </c>
      <c r="L88" s="8" t="s">
        <v>994</v>
      </c>
      <c r="M88" s="8" t="s">
        <v>4576</v>
      </c>
      <c r="N88" s="8">
        <v>41</v>
      </c>
      <c r="O88" s="8"/>
      <c r="P88" s="8" t="s">
        <v>995</v>
      </c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</row>
    <row r="89" spans="1:48" x14ac:dyDescent="0.25">
      <c r="A89" s="8" t="s">
        <v>4574</v>
      </c>
      <c r="B89" s="8" t="s">
        <v>992</v>
      </c>
      <c r="C89" s="8" t="s">
        <v>4575</v>
      </c>
      <c r="D89" s="8" t="s">
        <v>223</v>
      </c>
      <c r="E89" s="8"/>
      <c r="F89" s="8" t="s">
        <v>412</v>
      </c>
      <c r="G89" s="8"/>
      <c r="H89" s="8"/>
      <c r="I89" s="8"/>
      <c r="J89" s="8" t="s">
        <v>485</v>
      </c>
      <c r="K89" s="8" t="s">
        <v>993</v>
      </c>
      <c r="L89" s="8" t="s">
        <v>994</v>
      </c>
      <c r="M89" s="8" t="s">
        <v>4576</v>
      </c>
      <c r="N89" s="8">
        <v>41</v>
      </c>
      <c r="O89" s="8"/>
      <c r="P89" s="8" t="s">
        <v>995</v>
      </c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</row>
    <row r="90" spans="1:48" x14ac:dyDescent="0.25">
      <c r="A90" s="8" t="s">
        <v>4574</v>
      </c>
      <c r="B90" s="8" t="s">
        <v>992</v>
      </c>
      <c r="C90" s="8" t="s">
        <v>4575</v>
      </c>
      <c r="D90" s="8" t="s">
        <v>320</v>
      </c>
      <c r="E90" s="8"/>
      <c r="F90" s="8" t="s">
        <v>412</v>
      </c>
      <c r="G90" s="8"/>
      <c r="H90" s="8"/>
      <c r="I90" s="8"/>
      <c r="J90" s="8" t="s">
        <v>486</v>
      </c>
      <c r="K90" s="8" t="s">
        <v>993</v>
      </c>
      <c r="L90" s="8" t="s">
        <v>994</v>
      </c>
      <c r="M90" s="8" t="s">
        <v>4576</v>
      </c>
      <c r="N90" s="8">
        <v>41</v>
      </c>
      <c r="O90" s="8"/>
      <c r="P90" s="8" t="s">
        <v>995</v>
      </c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</row>
    <row r="91" spans="1:48" x14ac:dyDescent="0.25">
      <c r="A91" s="8" t="s">
        <v>4574</v>
      </c>
      <c r="B91" s="8" t="s">
        <v>992</v>
      </c>
      <c r="C91" s="8" t="s">
        <v>4575</v>
      </c>
      <c r="D91" s="8" t="s">
        <v>323</v>
      </c>
      <c r="E91" s="8"/>
      <c r="F91" s="8" t="s">
        <v>412</v>
      </c>
      <c r="G91" s="8"/>
      <c r="H91" s="8"/>
      <c r="I91" s="8"/>
      <c r="J91" s="8" t="s">
        <v>487</v>
      </c>
      <c r="K91" s="8" t="s">
        <v>993</v>
      </c>
      <c r="L91" s="8" t="s">
        <v>994</v>
      </c>
      <c r="M91" s="8" t="s">
        <v>4576</v>
      </c>
      <c r="N91" s="8">
        <v>41</v>
      </c>
      <c r="O91" s="8"/>
      <c r="P91" s="8" t="s">
        <v>995</v>
      </c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</row>
    <row r="92" spans="1:48" x14ac:dyDescent="0.25">
      <c r="A92" s="8" t="s">
        <v>4574</v>
      </c>
      <c r="B92" s="8" t="s">
        <v>992</v>
      </c>
      <c r="C92" s="8" t="s">
        <v>4575</v>
      </c>
      <c r="D92" s="8" t="s">
        <v>93</v>
      </c>
      <c r="E92" s="8"/>
      <c r="F92" s="8" t="s">
        <v>412</v>
      </c>
      <c r="G92" s="8"/>
      <c r="H92" s="8"/>
      <c r="I92" s="8"/>
      <c r="J92" s="8" t="s">
        <v>488</v>
      </c>
      <c r="K92" s="8" t="s">
        <v>993</v>
      </c>
      <c r="L92" s="8" t="s">
        <v>994</v>
      </c>
      <c r="M92" s="8" t="s">
        <v>4576</v>
      </c>
      <c r="N92" s="8">
        <v>41</v>
      </c>
      <c r="O92" s="8"/>
      <c r="P92" s="8" t="s">
        <v>995</v>
      </c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</row>
    <row r="93" spans="1:48" x14ac:dyDescent="0.25">
      <c r="A93" s="8" t="s">
        <v>4574</v>
      </c>
      <c r="B93" s="8" t="s">
        <v>992</v>
      </c>
      <c r="C93" s="8" t="s">
        <v>4575</v>
      </c>
      <c r="D93" s="8" t="s">
        <v>181</v>
      </c>
      <c r="E93" s="8"/>
      <c r="F93" s="8" t="s">
        <v>412</v>
      </c>
      <c r="G93" s="8"/>
      <c r="H93" s="8"/>
      <c r="I93" s="8"/>
      <c r="J93" s="8" t="s">
        <v>489</v>
      </c>
      <c r="K93" s="8" t="s">
        <v>993</v>
      </c>
      <c r="L93" s="8" t="s">
        <v>994</v>
      </c>
      <c r="M93" s="8" t="s">
        <v>4576</v>
      </c>
      <c r="N93" s="8">
        <v>41</v>
      </c>
      <c r="O93" s="8"/>
      <c r="P93" s="8" t="s">
        <v>995</v>
      </c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</row>
    <row r="94" spans="1:48" x14ac:dyDescent="0.25">
      <c r="A94" s="8" t="s">
        <v>4574</v>
      </c>
      <c r="B94" s="8" t="s">
        <v>992</v>
      </c>
      <c r="C94" s="8" t="s">
        <v>4575</v>
      </c>
      <c r="D94" s="8" t="s">
        <v>28</v>
      </c>
      <c r="E94" s="8"/>
      <c r="F94" s="8" t="s">
        <v>412</v>
      </c>
      <c r="G94" s="8"/>
      <c r="H94" s="8"/>
      <c r="I94" s="8"/>
      <c r="J94" s="8" t="s">
        <v>491</v>
      </c>
      <c r="K94" s="8" t="s">
        <v>993</v>
      </c>
      <c r="L94" s="8" t="s">
        <v>994</v>
      </c>
      <c r="M94" s="8" t="s">
        <v>4576</v>
      </c>
      <c r="N94" s="8">
        <v>41</v>
      </c>
      <c r="O94" s="8"/>
      <c r="P94" s="8" t="s">
        <v>995</v>
      </c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</row>
    <row r="95" spans="1:48" x14ac:dyDescent="0.25">
      <c r="A95" s="8" t="s">
        <v>4574</v>
      </c>
      <c r="B95" s="8" t="s">
        <v>992</v>
      </c>
      <c r="C95" s="8" t="s">
        <v>4575</v>
      </c>
      <c r="D95" s="8" t="s">
        <v>141</v>
      </c>
      <c r="E95" s="8"/>
      <c r="F95" s="8" t="s">
        <v>412</v>
      </c>
      <c r="G95" s="8"/>
      <c r="H95" s="8"/>
      <c r="I95" s="8"/>
      <c r="J95" s="8" t="s">
        <v>492</v>
      </c>
      <c r="K95" s="8" t="s">
        <v>993</v>
      </c>
      <c r="L95" s="8" t="s">
        <v>994</v>
      </c>
      <c r="M95" s="8" t="s">
        <v>4576</v>
      </c>
      <c r="N95" s="8">
        <v>41</v>
      </c>
      <c r="O95" s="8"/>
      <c r="P95" s="8" t="s">
        <v>995</v>
      </c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</row>
    <row r="96" spans="1:48" x14ac:dyDescent="0.25">
      <c r="A96" s="8" t="s">
        <v>4574</v>
      </c>
      <c r="B96" s="8" t="s">
        <v>992</v>
      </c>
      <c r="C96" s="8" t="s">
        <v>4575</v>
      </c>
      <c r="D96" s="8" t="s">
        <v>180</v>
      </c>
      <c r="E96" s="8"/>
      <c r="F96" s="8" t="s">
        <v>412</v>
      </c>
      <c r="G96" s="8"/>
      <c r="H96" s="8"/>
      <c r="I96" s="8"/>
      <c r="J96" s="8" t="s">
        <v>490</v>
      </c>
      <c r="K96" s="8" t="s">
        <v>993</v>
      </c>
      <c r="L96" s="8" t="s">
        <v>994</v>
      </c>
      <c r="M96" s="8" t="s">
        <v>4576</v>
      </c>
      <c r="N96" s="8">
        <v>41</v>
      </c>
      <c r="O96" s="8"/>
      <c r="P96" s="8" t="s">
        <v>995</v>
      </c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</row>
    <row r="97" spans="1:48" x14ac:dyDescent="0.25">
      <c r="A97" s="8" t="s">
        <v>4574</v>
      </c>
      <c r="B97" s="8" t="s">
        <v>992</v>
      </c>
      <c r="C97" s="8" t="s">
        <v>4575</v>
      </c>
      <c r="D97" s="8" t="s">
        <v>285</v>
      </c>
      <c r="E97" s="8"/>
      <c r="F97" s="8" t="s">
        <v>412</v>
      </c>
      <c r="G97" s="8"/>
      <c r="H97" s="8"/>
      <c r="I97" s="8"/>
      <c r="J97" s="8" t="s">
        <v>493</v>
      </c>
      <c r="K97" s="8" t="s">
        <v>993</v>
      </c>
      <c r="L97" s="8" t="s">
        <v>994</v>
      </c>
      <c r="M97" s="8" t="s">
        <v>4576</v>
      </c>
      <c r="N97" s="8">
        <v>41</v>
      </c>
      <c r="O97" s="8"/>
      <c r="P97" s="8" t="s">
        <v>995</v>
      </c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</row>
    <row r="98" spans="1:48" x14ac:dyDescent="0.25">
      <c r="A98" s="8" t="s">
        <v>4574</v>
      </c>
      <c r="B98" s="8" t="s">
        <v>992</v>
      </c>
      <c r="C98" s="8" t="s">
        <v>4575</v>
      </c>
      <c r="D98" s="8" t="s">
        <v>160</v>
      </c>
      <c r="E98" s="8"/>
      <c r="F98" s="8" t="s">
        <v>412</v>
      </c>
      <c r="G98" s="8"/>
      <c r="H98" s="8"/>
      <c r="I98" s="8"/>
      <c r="J98" s="8" t="s">
        <v>494</v>
      </c>
      <c r="K98" s="8" t="s">
        <v>993</v>
      </c>
      <c r="L98" s="8" t="s">
        <v>994</v>
      </c>
      <c r="M98" s="8" t="s">
        <v>4576</v>
      </c>
      <c r="N98" s="8">
        <v>41</v>
      </c>
      <c r="O98" s="8"/>
      <c r="P98" s="8" t="s">
        <v>995</v>
      </c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</row>
    <row r="99" spans="1:48" x14ac:dyDescent="0.25">
      <c r="A99" s="8" t="s">
        <v>4574</v>
      </c>
      <c r="B99" s="8" t="s">
        <v>992</v>
      </c>
      <c r="C99" s="8" t="s">
        <v>4575</v>
      </c>
      <c r="D99" s="8" t="s">
        <v>335</v>
      </c>
      <c r="E99" s="8"/>
      <c r="F99" s="8" t="s">
        <v>412</v>
      </c>
      <c r="G99" s="8"/>
      <c r="H99" s="8"/>
      <c r="I99" s="8"/>
      <c r="J99" s="8" t="s">
        <v>495</v>
      </c>
      <c r="K99" s="8" t="s">
        <v>993</v>
      </c>
      <c r="L99" s="8" t="s">
        <v>994</v>
      </c>
      <c r="M99" s="8" t="s">
        <v>4576</v>
      </c>
      <c r="N99" s="8">
        <v>41</v>
      </c>
      <c r="O99" s="8"/>
      <c r="P99" s="8" t="s">
        <v>995</v>
      </c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</row>
    <row r="100" spans="1:48" x14ac:dyDescent="0.25">
      <c r="A100" s="8" t="s">
        <v>4574</v>
      </c>
      <c r="B100" s="8" t="s">
        <v>992</v>
      </c>
      <c r="C100" s="8" t="s">
        <v>4575</v>
      </c>
      <c r="D100" s="8" t="s">
        <v>63</v>
      </c>
      <c r="E100" s="8"/>
      <c r="F100" s="8" t="s">
        <v>412</v>
      </c>
      <c r="G100" s="8"/>
      <c r="H100" s="8"/>
      <c r="I100" s="8"/>
      <c r="J100" s="8" t="s">
        <v>497</v>
      </c>
      <c r="K100" s="8" t="s">
        <v>993</v>
      </c>
      <c r="L100" s="8" t="s">
        <v>994</v>
      </c>
      <c r="M100" s="8" t="s">
        <v>4576</v>
      </c>
      <c r="N100" s="8">
        <v>41</v>
      </c>
      <c r="O100" s="8"/>
      <c r="P100" s="8" t="s">
        <v>995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</row>
    <row r="101" spans="1:48" x14ac:dyDescent="0.25">
      <c r="A101" s="8" t="s">
        <v>4574</v>
      </c>
      <c r="B101" s="8" t="s">
        <v>992</v>
      </c>
      <c r="C101" s="8" t="s">
        <v>4575</v>
      </c>
      <c r="D101" s="8" t="s">
        <v>118</v>
      </c>
      <c r="E101" s="8"/>
      <c r="F101" s="8" t="s">
        <v>412</v>
      </c>
      <c r="G101" s="8"/>
      <c r="H101" s="8"/>
      <c r="I101" s="8"/>
      <c r="J101" s="8" t="s">
        <v>507</v>
      </c>
      <c r="K101" s="8" t="s">
        <v>993</v>
      </c>
      <c r="L101" s="8" t="s">
        <v>994</v>
      </c>
      <c r="M101" s="8" t="s">
        <v>4576</v>
      </c>
      <c r="N101" s="8">
        <v>41</v>
      </c>
      <c r="O101" s="8"/>
      <c r="P101" s="8" t="s">
        <v>995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</row>
    <row r="102" spans="1:48" x14ac:dyDescent="0.25">
      <c r="A102" s="8" t="s">
        <v>4574</v>
      </c>
      <c r="B102" s="8" t="s">
        <v>992</v>
      </c>
      <c r="C102" s="8" t="s">
        <v>4575</v>
      </c>
      <c r="D102" s="8" t="s">
        <v>286</v>
      </c>
      <c r="E102" s="8"/>
      <c r="F102" s="8" t="s">
        <v>412</v>
      </c>
      <c r="G102" s="8"/>
      <c r="H102" s="8"/>
      <c r="I102" s="8"/>
      <c r="J102" s="8" t="s">
        <v>502</v>
      </c>
      <c r="K102" s="8" t="s">
        <v>993</v>
      </c>
      <c r="L102" s="8" t="s">
        <v>994</v>
      </c>
      <c r="M102" s="8" t="s">
        <v>4576</v>
      </c>
      <c r="N102" s="8">
        <v>41</v>
      </c>
      <c r="O102" s="8"/>
      <c r="P102" s="8" t="s">
        <v>995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</row>
    <row r="103" spans="1:48" x14ac:dyDescent="0.25">
      <c r="A103" s="8" t="s">
        <v>4574</v>
      </c>
      <c r="B103" s="8" t="s">
        <v>992</v>
      </c>
      <c r="C103" s="8" t="s">
        <v>4575</v>
      </c>
      <c r="D103" s="8" t="s">
        <v>182</v>
      </c>
      <c r="E103" s="8"/>
      <c r="F103" s="8" t="s">
        <v>412</v>
      </c>
      <c r="G103" s="8"/>
      <c r="H103" s="8"/>
      <c r="I103" s="8"/>
      <c r="J103" s="8" t="s">
        <v>504</v>
      </c>
      <c r="K103" s="8" t="s">
        <v>993</v>
      </c>
      <c r="L103" s="8" t="s">
        <v>994</v>
      </c>
      <c r="M103" s="8" t="s">
        <v>4576</v>
      </c>
      <c r="N103" s="8">
        <v>41</v>
      </c>
      <c r="O103" s="8"/>
      <c r="P103" s="8" t="s">
        <v>995</v>
      </c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</row>
    <row r="104" spans="1:48" x14ac:dyDescent="0.25">
      <c r="A104" s="8" t="s">
        <v>4574</v>
      </c>
      <c r="B104" s="8" t="s">
        <v>992</v>
      </c>
      <c r="C104" s="8" t="s">
        <v>4575</v>
      </c>
      <c r="D104" s="8" t="s">
        <v>231</v>
      </c>
      <c r="E104" s="8"/>
      <c r="F104" s="8" t="s">
        <v>412</v>
      </c>
      <c r="G104" s="8"/>
      <c r="H104" s="8"/>
      <c r="I104" s="8"/>
      <c r="J104" s="8" t="s">
        <v>501</v>
      </c>
      <c r="K104" s="8" t="s">
        <v>993</v>
      </c>
      <c r="L104" s="8" t="s">
        <v>994</v>
      </c>
      <c r="M104" s="8" t="s">
        <v>4576</v>
      </c>
      <c r="N104" s="8">
        <v>41</v>
      </c>
      <c r="O104" s="8"/>
      <c r="P104" s="8" t="s">
        <v>995</v>
      </c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</row>
    <row r="105" spans="1:48" x14ac:dyDescent="0.25">
      <c r="A105" s="8" t="s">
        <v>4574</v>
      </c>
      <c r="B105" s="8" t="s">
        <v>992</v>
      </c>
      <c r="C105" s="8" t="s">
        <v>4575</v>
      </c>
      <c r="D105" s="8" t="s">
        <v>225</v>
      </c>
      <c r="E105" s="8"/>
      <c r="F105" s="8" t="s">
        <v>412</v>
      </c>
      <c r="G105" s="8"/>
      <c r="H105" s="8"/>
      <c r="I105" s="8"/>
      <c r="J105" s="8" t="s">
        <v>500</v>
      </c>
      <c r="K105" s="8" t="s">
        <v>993</v>
      </c>
      <c r="L105" s="8" t="s">
        <v>994</v>
      </c>
      <c r="M105" s="8" t="s">
        <v>4576</v>
      </c>
      <c r="N105" s="8">
        <v>41</v>
      </c>
      <c r="O105" s="8"/>
      <c r="P105" s="8" t="s">
        <v>995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</row>
    <row r="106" spans="1:48" x14ac:dyDescent="0.25">
      <c r="A106" s="8" t="s">
        <v>4574</v>
      </c>
      <c r="B106" s="8" t="s">
        <v>992</v>
      </c>
      <c r="C106" s="8" t="s">
        <v>4575</v>
      </c>
      <c r="D106" s="8" t="s">
        <v>102</v>
      </c>
      <c r="E106" s="8"/>
      <c r="F106" s="8" t="s">
        <v>412</v>
      </c>
      <c r="G106" s="8"/>
      <c r="H106" s="8"/>
      <c r="I106" s="8"/>
      <c r="J106" s="8" t="s">
        <v>496</v>
      </c>
      <c r="K106" s="8" t="s">
        <v>993</v>
      </c>
      <c r="L106" s="8" t="s">
        <v>994</v>
      </c>
      <c r="M106" s="8" t="s">
        <v>4576</v>
      </c>
      <c r="N106" s="8">
        <v>41</v>
      </c>
      <c r="O106" s="8"/>
      <c r="P106" s="8" t="s">
        <v>995</v>
      </c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</row>
    <row r="107" spans="1:48" x14ac:dyDescent="0.25">
      <c r="A107" s="8" t="s">
        <v>4574</v>
      </c>
      <c r="B107" s="8" t="s">
        <v>992</v>
      </c>
      <c r="C107" s="8" t="s">
        <v>4575</v>
      </c>
      <c r="D107" s="8" t="s">
        <v>192</v>
      </c>
      <c r="E107" s="8"/>
      <c r="F107" s="8" t="s">
        <v>412</v>
      </c>
      <c r="G107" s="8"/>
      <c r="H107" s="8"/>
      <c r="I107" s="8"/>
      <c r="J107" s="8" t="s">
        <v>499</v>
      </c>
      <c r="K107" s="8" t="s">
        <v>993</v>
      </c>
      <c r="L107" s="8" t="s">
        <v>994</v>
      </c>
      <c r="M107" s="8" t="s">
        <v>4576</v>
      </c>
      <c r="N107" s="8">
        <v>41</v>
      </c>
      <c r="O107" s="8"/>
      <c r="P107" s="8" t="s">
        <v>995</v>
      </c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</row>
    <row r="108" spans="1:48" x14ac:dyDescent="0.25">
      <c r="A108" s="8" t="s">
        <v>4574</v>
      </c>
      <c r="B108" s="8" t="s">
        <v>992</v>
      </c>
      <c r="C108" s="8" t="s">
        <v>4575</v>
      </c>
      <c r="D108" s="8" t="s">
        <v>56</v>
      </c>
      <c r="E108" s="8"/>
      <c r="F108" s="8" t="s">
        <v>412</v>
      </c>
      <c r="G108" s="8"/>
      <c r="H108" s="8"/>
      <c r="I108" s="8"/>
      <c r="J108" s="8" t="s">
        <v>503</v>
      </c>
      <c r="K108" s="8" t="s">
        <v>993</v>
      </c>
      <c r="L108" s="8" t="s">
        <v>994</v>
      </c>
      <c r="M108" s="8" t="s">
        <v>4576</v>
      </c>
      <c r="N108" s="8">
        <v>41</v>
      </c>
      <c r="O108" s="8"/>
      <c r="P108" s="8" t="s">
        <v>995</v>
      </c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</row>
    <row r="109" spans="1:48" x14ac:dyDescent="0.25">
      <c r="A109" s="8" t="s">
        <v>4574</v>
      </c>
      <c r="B109" s="8" t="s">
        <v>992</v>
      </c>
      <c r="C109" s="8" t="s">
        <v>4575</v>
      </c>
      <c r="D109" s="8" t="s">
        <v>183</v>
      </c>
      <c r="E109" s="8"/>
      <c r="F109" s="8" t="s">
        <v>412</v>
      </c>
      <c r="G109" s="8"/>
      <c r="H109" s="8"/>
      <c r="I109" s="8"/>
      <c r="J109" s="8" t="s">
        <v>498</v>
      </c>
      <c r="K109" s="8" t="s">
        <v>993</v>
      </c>
      <c r="L109" s="8" t="s">
        <v>994</v>
      </c>
      <c r="M109" s="8" t="s">
        <v>4576</v>
      </c>
      <c r="N109" s="8">
        <v>41</v>
      </c>
      <c r="O109" s="8"/>
      <c r="P109" s="8" t="s">
        <v>995</v>
      </c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</row>
    <row r="110" spans="1:48" x14ac:dyDescent="0.25">
      <c r="A110" s="8" t="s">
        <v>4574</v>
      </c>
      <c r="B110" s="8" t="s">
        <v>992</v>
      </c>
      <c r="C110" s="8" t="s">
        <v>4575</v>
      </c>
      <c r="D110" s="8" t="s">
        <v>133</v>
      </c>
      <c r="E110" s="8"/>
      <c r="F110" s="8" t="s">
        <v>412</v>
      </c>
      <c r="G110" s="8"/>
      <c r="H110" s="8"/>
      <c r="I110" s="8"/>
      <c r="J110" s="8" t="s">
        <v>505</v>
      </c>
      <c r="K110" s="8" t="s">
        <v>993</v>
      </c>
      <c r="L110" s="8" t="s">
        <v>994</v>
      </c>
      <c r="M110" s="8" t="s">
        <v>4576</v>
      </c>
      <c r="N110" s="8">
        <v>41</v>
      </c>
      <c r="O110" s="8"/>
      <c r="P110" s="8" t="s">
        <v>995</v>
      </c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</row>
    <row r="111" spans="1:48" x14ac:dyDescent="0.25">
      <c r="A111" s="8" t="s">
        <v>4574</v>
      </c>
      <c r="B111" s="8" t="s">
        <v>992</v>
      </c>
      <c r="C111" s="8" t="s">
        <v>4575</v>
      </c>
      <c r="D111" s="8" t="s">
        <v>334</v>
      </c>
      <c r="E111" s="8"/>
      <c r="F111" s="8" t="s">
        <v>412</v>
      </c>
      <c r="G111" s="8"/>
      <c r="H111" s="8"/>
      <c r="I111" s="8"/>
      <c r="J111" s="8" t="s">
        <v>506</v>
      </c>
      <c r="K111" s="8" t="s">
        <v>993</v>
      </c>
      <c r="L111" s="8" t="s">
        <v>994</v>
      </c>
      <c r="M111" s="8" t="s">
        <v>4576</v>
      </c>
      <c r="N111" s="8">
        <v>41</v>
      </c>
      <c r="O111" s="8"/>
      <c r="P111" s="8" t="s">
        <v>995</v>
      </c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</row>
    <row r="112" spans="1:48" x14ac:dyDescent="0.25">
      <c r="A112" s="8" t="s">
        <v>4574</v>
      </c>
      <c r="B112" s="8" t="s">
        <v>992</v>
      </c>
      <c r="C112" s="8" t="s">
        <v>4575</v>
      </c>
      <c r="D112" s="8" t="s">
        <v>244</v>
      </c>
      <c r="E112" s="8"/>
      <c r="F112" s="8" t="s">
        <v>412</v>
      </c>
      <c r="G112" s="8"/>
      <c r="H112" s="8"/>
      <c r="I112" s="8"/>
      <c r="J112" s="8" t="s">
        <v>508</v>
      </c>
      <c r="K112" s="8" t="s">
        <v>993</v>
      </c>
      <c r="L112" s="8" t="s">
        <v>994</v>
      </c>
      <c r="M112" s="8" t="s">
        <v>4576</v>
      </c>
      <c r="N112" s="8">
        <v>41</v>
      </c>
      <c r="O112" s="8"/>
      <c r="P112" s="8" t="s">
        <v>995</v>
      </c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</row>
    <row r="113" spans="1:48" x14ac:dyDescent="0.25">
      <c r="A113" s="8" t="s">
        <v>4574</v>
      </c>
      <c r="B113" s="8" t="s">
        <v>992</v>
      </c>
      <c r="C113" s="8" t="s">
        <v>4575</v>
      </c>
      <c r="D113" s="8" t="s">
        <v>50</v>
      </c>
      <c r="E113" s="8"/>
      <c r="F113" s="8" t="s">
        <v>412</v>
      </c>
      <c r="G113" s="8"/>
      <c r="H113" s="8"/>
      <c r="I113" s="8"/>
      <c r="J113" s="8" t="s">
        <v>509</v>
      </c>
      <c r="K113" s="8" t="s">
        <v>993</v>
      </c>
      <c r="L113" s="8" t="s">
        <v>994</v>
      </c>
      <c r="M113" s="8" t="s">
        <v>4576</v>
      </c>
      <c r="N113" s="8">
        <v>41</v>
      </c>
      <c r="O113" s="8"/>
      <c r="P113" s="8" t="s">
        <v>995</v>
      </c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</row>
    <row r="114" spans="1:48" x14ac:dyDescent="0.25">
      <c r="A114" s="8" t="s">
        <v>4574</v>
      </c>
      <c r="B114" s="8" t="s">
        <v>992</v>
      </c>
      <c r="C114" s="8" t="s">
        <v>4575</v>
      </c>
      <c r="D114" s="8" t="s">
        <v>218</v>
      </c>
      <c r="E114" s="8"/>
      <c r="F114" s="8" t="s">
        <v>412</v>
      </c>
      <c r="G114" s="8"/>
      <c r="H114" s="8"/>
      <c r="I114" s="8"/>
      <c r="J114" s="8" t="s">
        <v>510</v>
      </c>
      <c r="K114" s="8" t="s">
        <v>993</v>
      </c>
      <c r="L114" s="8" t="s">
        <v>994</v>
      </c>
      <c r="M114" s="8" t="s">
        <v>4576</v>
      </c>
      <c r="N114" s="8">
        <v>41</v>
      </c>
      <c r="O114" s="8"/>
      <c r="P114" s="8" t="s">
        <v>995</v>
      </c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</row>
    <row r="115" spans="1:48" x14ac:dyDescent="0.25">
      <c r="A115" s="8" t="s">
        <v>4574</v>
      </c>
      <c r="B115" s="8" t="s">
        <v>992</v>
      </c>
      <c r="C115" s="8" t="s">
        <v>4575</v>
      </c>
      <c r="D115" s="8" t="s">
        <v>238</v>
      </c>
      <c r="E115" s="8"/>
      <c r="F115" s="8" t="s">
        <v>412</v>
      </c>
      <c r="G115" s="8"/>
      <c r="H115" s="8"/>
      <c r="I115" s="8"/>
      <c r="J115" s="8"/>
      <c r="K115" s="8" t="s">
        <v>993</v>
      </c>
      <c r="L115" s="8" t="s">
        <v>994</v>
      </c>
      <c r="M115" s="8" t="s">
        <v>4576</v>
      </c>
      <c r="N115" s="8">
        <v>41</v>
      </c>
      <c r="O115" s="8"/>
      <c r="P115" s="8" t="s">
        <v>995</v>
      </c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</row>
    <row r="116" spans="1:48" x14ac:dyDescent="0.25">
      <c r="A116" s="8" t="s">
        <v>4574</v>
      </c>
      <c r="B116" s="8" t="s">
        <v>992</v>
      </c>
      <c r="C116" s="8" t="s">
        <v>4575</v>
      </c>
      <c r="D116" s="8" t="s">
        <v>53</v>
      </c>
      <c r="E116" s="8"/>
      <c r="F116" s="8" t="s">
        <v>412</v>
      </c>
      <c r="G116" s="8"/>
      <c r="H116" s="8"/>
      <c r="I116" s="8"/>
      <c r="J116" s="8" t="s">
        <v>511</v>
      </c>
      <c r="K116" s="8" t="s">
        <v>993</v>
      </c>
      <c r="L116" s="8" t="s">
        <v>994</v>
      </c>
      <c r="M116" s="8" t="s">
        <v>4576</v>
      </c>
      <c r="N116" s="8">
        <v>41</v>
      </c>
      <c r="O116" s="8"/>
      <c r="P116" s="8" t="s">
        <v>995</v>
      </c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</row>
    <row r="117" spans="1:48" x14ac:dyDescent="0.25">
      <c r="A117" s="8" t="s">
        <v>4574</v>
      </c>
      <c r="B117" s="8" t="s">
        <v>992</v>
      </c>
      <c r="C117" s="8" t="s">
        <v>4575</v>
      </c>
      <c r="D117" s="8" t="s">
        <v>295</v>
      </c>
      <c r="E117" s="8"/>
      <c r="F117" s="8" t="s">
        <v>412</v>
      </c>
      <c r="G117" s="8"/>
      <c r="H117" s="8"/>
      <c r="I117" s="8"/>
      <c r="J117" s="8" t="s">
        <v>513</v>
      </c>
      <c r="K117" s="8" t="s">
        <v>993</v>
      </c>
      <c r="L117" s="8" t="s">
        <v>994</v>
      </c>
      <c r="M117" s="8" t="s">
        <v>4576</v>
      </c>
      <c r="N117" s="8">
        <v>41</v>
      </c>
      <c r="O117" s="8"/>
      <c r="P117" s="8" t="s">
        <v>995</v>
      </c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</row>
    <row r="118" spans="1:48" x14ac:dyDescent="0.25">
      <c r="A118" s="8" t="s">
        <v>4574</v>
      </c>
      <c r="B118" s="8" t="s">
        <v>992</v>
      </c>
      <c r="C118" s="8" t="s">
        <v>4575</v>
      </c>
      <c r="D118" s="8" t="s">
        <v>203</v>
      </c>
      <c r="E118" s="8"/>
      <c r="F118" s="8" t="s">
        <v>412</v>
      </c>
      <c r="G118" s="8"/>
      <c r="H118" s="8"/>
      <c r="I118" s="8"/>
      <c r="J118" s="8"/>
      <c r="K118" s="8" t="s">
        <v>993</v>
      </c>
      <c r="L118" s="8" t="s">
        <v>994</v>
      </c>
      <c r="M118" s="8" t="s">
        <v>4576</v>
      </c>
      <c r="N118" s="8">
        <v>41</v>
      </c>
      <c r="O118" s="8"/>
      <c r="P118" s="8" t="s">
        <v>995</v>
      </c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</row>
    <row r="119" spans="1:48" x14ac:dyDescent="0.25">
      <c r="A119" s="8" t="s">
        <v>4574</v>
      </c>
      <c r="B119" s="8" t="s">
        <v>992</v>
      </c>
      <c r="C119" s="8" t="s">
        <v>4575</v>
      </c>
      <c r="D119" s="8" t="s">
        <v>114</v>
      </c>
      <c r="E119" s="8"/>
      <c r="F119" s="8" t="s">
        <v>412</v>
      </c>
      <c r="G119" s="8"/>
      <c r="H119" s="8"/>
      <c r="I119" s="8"/>
      <c r="J119" s="8" t="s">
        <v>512</v>
      </c>
      <c r="K119" s="8" t="s">
        <v>993</v>
      </c>
      <c r="L119" s="8" t="s">
        <v>994</v>
      </c>
      <c r="M119" s="8" t="s">
        <v>4576</v>
      </c>
      <c r="N119" s="8">
        <v>41</v>
      </c>
      <c r="O119" s="8"/>
      <c r="P119" s="8" t="s">
        <v>995</v>
      </c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</row>
    <row r="120" spans="1:48" x14ac:dyDescent="0.25">
      <c r="A120" s="8" t="s">
        <v>4574</v>
      </c>
      <c r="B120" s="8" t="s">
        <v>992</v>
      </c>
      <c r="C120" s="8" t="s">
        <v>4575</v>
      </c>
      <c r="D120" s="8" t="s">
        <v>33</v>
      </c>
      <c r="E120" s="8"/>
      <c r="F120" s="8" t="s">
        <v>412</v>
      </c>
      <c r="G120" s="8"/>
      <c r="H120" s="8"/>
      <c r="I120" s="8"/>
      <c r="J120" s="8" t="s">
        <v>514</v>
      </c>
      <c r="K120" s="8" t="s">
        <v>993</v>
      </c>
      <c r="L120" s="8" t="s">
        <v>994</v>
      </c>
      <c r="M120" s="8" t="s">
        <v>4576</v>
      </c>
      <c r="N120" s="8">
        <v>41</v>
      </c>
      <c r="O120" s="8"/>
      <c r="P120" s="8" t="s">
        <v>995</v>
      </c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</row>
    <row r="121" spans="1:48" x14ac:dyDescent="0.25">
      <c r="A121" s="8" t="s">
        <v>4574</v>
      </c>
      <c r="B121" s="8" t="s">
        <v>992</v>
      </c>
      <c r="C121" s="8" t="s">
        <v>4575</v>
      </c>
      <c r="D121" s="8" t="s">
        <v>199</v>
      </c>
      <c r="E121" s="8"/>
      <c r="F121" s="8" t="s">
        <v>412</v>
      </c>
      <c r="G121" s="8"/>
      <c r="H121" s="8"/>
      <c r="I121" s="8"/>
      <c r="J121" s="8" t="s">
        <v>515</v>
      </c>
      <c r="K121" s="8" t="s">
        <v>993</v>
      </c>
      <c r="L121" s="8" t="s">
        <v>994</v>
      </c>
      <c r="M121" s="8" t="s">
        <v>4576</v>
      </c>
      <c r="N121" s="8">
        <v>41</v>
      </c>
      <c r="O121" s="8"/>
      <c r="P121" s="8" t="s">
        <v>995</v>
      </c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</row>
    <row r="122" spans="1:48" x14ac:dyDescent="0.25">
      <c r="A122" s="8" t="s">
        <v>4574</v>
      </c>
      <c r="B122" s="8" t="s">
        <v>992</v>
      </c>
      <c r="C122" s="8" t="s">
        <v>4575</v>
      </c>
      <c r="D122" s="8" t="s">
        <v>248</v>
      </c>
      <c r="E122" s="8"/>
      <c r="F122" s="8" t="s">
        <v>412</v>
      </c>
      <c r="G122" s="8"/>
      <c r="H122" s="8"/>
      <c r="I122" s="8"/>
      <c r="J122" s="8" t="s">
        <v>516</v>
      </c>
      <c r="K122" s="8" t="s">
        <v>993</v>
      </c>
      <c r="L122" s="8" t="s">
        <v>994</v>
      </c>
      <c r="M122" s="8" t="s">
        <v>4576</v>
      </c>
      <c r="N122" s="8">
        <v>41</v>
      </c>
      <c r="O122" s="8"/>
      <c r="P122" s="8" t="s">
        <v>995</v>
      </c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</row>
    <row r="123" spans="1:48" x14ac:dyDescent="0.25">
      <c r="A123" s="8" t="s">
        <v>4574</v>
      </c>
      <c r="B123" s="8" t="s">
        <v>992</v>
      </c>
      <c r="C123" s="8" t="s">
        <v>4575</v>
      </c>
      <c r="D123" s="8" t="s">
        <v>44</v>
      </c>
      <c r="E123" s="8"/>
      <c r="F123" s="8" t="s">
        <v>412</v>
      </c>
      <c r="G123" s="8"/>
      <c r="H123" s="8"/>
      <c r="I123" s="8"/>
      <c r="J123" s="8" t="s">
        <v>518</v>
      </c>
      <c r="K123" s="8" t="s">
        <v>993</v>
      </c>
      <c r="L123" s="8" t="s">
        <v>994</v>
      </c>
      <c r="M123" s="8" t="s">
        <v>4576</v>
      </c>
      <c r="N123" s="8">
        <v>41</v>
      </c>
      <c r="O123" s="8"/>
      <c r="P123" s="8" t="s">
        <v>995</v>
      </c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</row>
    <row r="124" spans="1:48" x14ac:dyDescent="0.25">
      <c r="A124" s="8" t="s">
        <v>4574</v>
      </c>
      <c r="B124" s="8" t="s">
        <v>992</v>
      </c>
      <c r="C124" s="8" t="s">
        <v>4575</v>
      </c>
      <c r="D124" s="8" t="s">
        <v>129</v>
      </c>
      <c r="E124" s="8"/>
      <c r="F124" s="8" t="s">
        <v>412</v>
      </c>
      <c r="G124" s="8"/>
      <c r="H124" s="8"/>
      <c r="I124" s="8"/>
      <c r="J124" s="8" t="s">
        <v>519</v>
      </c>
      <c r="K124" s="8" t="s">
        <v>993</v>
      </c>
      <c r="L124" s="8" t="s">
        <v>994</v>
      </c>
      <c r="M124" s="8" t="s">
        <v>4576</v>
      </c>
      <c r="N124" s="8">
        <v>41</v>
      </c>
      <c r="O124" s="8"/>
      <c r="P124" s="8" t="s">
        <v>995</v>
      </c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</row>
    <row r="125" spans="1:48" x14ac:dyDescent="0.25">
      <c r="A125" s="8" t="s">
        <v>4574</v>
      </c>
      <c r="B125" s="8" t="s">
        <v>992</v>
      </c>
      <c r="C125" s="8" t="s">
        <v>4575</v>
      </c>
      <c r="D125" s="8" t="s">
        <v>220</v>
      </c>
      <c r="E125" s="8"/>
      <c r="F125" s="8" t="s">
        <v>412</v>
      </c>
      <c r="G125" s="8"/>
      <c r="H125" s="8"/>
      <c r="I125" s="8"/>
      <c r="J125" s="8" t="s">
        <v>517</v>
      </c>
      <c r="K125" s="8" t="s">
        <v>993</v>
      </c>
      <c r="L125" s="8" t="s">
        <v>994</v>
      </c>
      <c r="M125" s="8" t="s">
        <v>4576</v>
      </c>
      <c r="N125" s="8">
        <v>41</v>
      </c>
      <c r="O125" s="8"/>
      <c r="P125" s="8" t="s">
        <v>995</v>
      </c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</row>
    <row r="126" spans="1:48" x14ac:dyDescent="0.25">
      <c r="A126" s="8" t="s">
        <v>4574</v>
      </c>
      <c r="B126" s="8" t="s">
        <v>992</v>
      </c>
      <c r="C126" s="8" t="s">
        <v>4575</v>
      </c>
      <c r="D126" s="8" t="s">
        <v>237</v>
      </c>
      <c r="E126" s="8"/>
      <c r="F126" s="8" t="s">
        <v>412</v>
      </c>
      <c r="G126" s="8"/>
      <c r="H126" s="8"/>
      <c r="I126" s="8"/>
      <c r="J126" s="8"/>
      <c r="K126" s="8" t="s">
        <v>993</v>
      </c>
      <c r="L126" s="8" t="s">
        <v>994</v>
      </c>
      <c r="M126" s="8" t="s">
        <v>4576</v>
      </c>
      <c r="N126" s="8">
        <v>41</v>
      </c>
      <c r="O126" s="8"/>
      <c r="P126" s="8" t="s">
        <v>995</v>
      </c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</row>
    <row r="127" spans="1:48" x14ac:dyDescent="0.25">
      <c r="A127" s="8" t="s">
        <v>4574</v>
      </c>
      <c r="B127" s="8" t="s">
        <v>992</v>
      </c>
      <c r="C127" s="8" t="s">
        <v>4575</v>
      </c>
      <c r="D127" s="8" t="s">
        <v>124</v>
      </c>
      <c r="E127" s="8"/>
      <c r="F127" s="8" t="s">
        <v>412</v>
      </c>
      <c r="G127" s="8"/>
      <c r="H127" s="8"/>
      <c r="I127" s="8"/>
      <c r="J127" s="8" t="s">
        <v>520</v>
      </c>
      <c r="K127" s="8" t="s">
        <v>993</v>
      </c>
      <c r="L127" s="8" t="s">
        <v>994</v>
      </c>
      <c r="M127" s="8" t="s">
        <v>4576</v>
      </c>
      <c r="N127" s="8">
        <v>41</v>
      </c>
      <c r="O127" s="8"/>
      <c r="P127" s="8" t="s">
        <v>995</v>
      </c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</row>
    <row r="128" spans="1:48" x14ac:dyDescent="0.25">
      <c r="A128" s="8" t="s">
        <v>4574</v>
      </c>
      <c r="B128" s="8" t="s">
        <v>992</v>
      </c>
      <c r="C128" s="8" t="s">
        <v>4575</v>
      </c>
      <c r="D128" s="8" t="s">
        <v>217</v>
      </c>
      <c r="E128" s="8"/>
      <c r="F128" s="8" t="s">
        <v>412</v>
      </c>
      <c r="G128" s="8"/>
      <c r="H128" s="8"/>
      <c r="I128" s="8"/>
      <c r="J128" s="8" t="s">
        <v>522</v>
      </c>
      <c r="K128" s="8" t="s">
        <v>993</v>
      </c>
      <c r="L128" s="8" t="s">
        <v>994</v>
      </c>
      <c r="M128" s="8" t="s">
        <v>4576</v>
      </c>
      <c r="N128" s="8">
        <v>41</v>
      </c>
      <c r="O128" s="8"/>
      <c r="P128" s="8" t="s">
        <v>995</v>
      </c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</row>
    <row r="129" spans="1:48" x14ac:dyDescent="0.25">
      <c r="A129" s="8" t="s">
        <v>4574</v>
      </c>
      <c r="B129" s="8" t="s">
        <v>992</v>
      </c>
      <c r="C129" s="8" t="s">
        <v>4575</v>
      </c>
      <c r="D129" s="8" t="s">
        <v>233</v>
      </c>
      <c r="E129" s="8"/>
      <c r="F129" s="8" t="s">
        <v>412</v>
      </c>
      <c r="G129" s="8"/>
      <c r="H129" s="8"/>
      <c r="I129" s="8"/>
      <c r="J129" s="8"/>
      <c r="K129" s="8" t="s">
        <v>993</v>
      </c>
      <c r="L129" s="8" t="s">
        <v>994</v>
      </c>
      <c r="M129" s="8" t="s">
        <v>4576</v>
      </c>
      <c r="N129" s="8">
        <v>41</v>
      </c>
      <c r="O129" s="8"/>
      <c r="P129" s="8" t="s">
        <v>995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</row>
    <row r="130" spans="1:48" x14ac:dyDescent="0.25">
      <c r="A130" s="8" t="s">
        <v>4574</v>
      </c>
      <c r="B130" s="8" t="s">
        <v>992</v>
      </c>
      <c r="C130" s="8" t="s">
        <v>4575</v>
      </c>
      <c r="D130" s="8" t="s">
        <v>265</v>
      </c>
      <c r="E130" s="8"/>
      <c r="F130" s="8" t="s">
        <v>412</v>
      </c>
      <c r="G130" s="8"/>
      <c r="H130" s="8"/>
      <c r="I130" s="8"/>
      <c r="J130" s="8" t="s">
        <v>524</v>
      </c>
      <c r="K130" s="8" t="s">
        <v>993</v>
      </c>
      <c r="L130" s="8" t="s">
        <v>994</v>
      </c>
      <c r="M130" s="8" t="s">
        <v>4576</v>
      </c>
      <c r="N130" s="8">
        <v>41</v>
      </c>
      <c r="O130" s="8"/>
      <c r="P130" s="8" t="s">
        <v>995</v>
      </c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</row>
    <row r="131" spans="1:48" x14ac:dyDescent="0.25">
      <c r="A131" s="8" t="s">
        <v>4574</v>
      </c>
      <c r="B131" s="8" t="s">
        <v>992</v>
      </c>
      <c r="C131" s="8" t="s">
        <v>4575</v>
      </c>
      <c r="D131" s="8" t="s">
        <v>307</v>
      </c>
      <c r="E131" s="8"/>
      <c r="F131" s="8" t="s">
        <v>412</v>
      </c>
      <c r="G131" s="8"/>
      <c r="H131" s="8"/>
      <c r="I131" s="8"/>
      <c r="J131" s="8"/>
      <c r="K131" s="8" t="s">
        <v>993</v>
      </c>
      <c r="L131" s="8" t="s">
        <v>994</v>
      </c>
      <c r="M131" s="8" t="s">
        <v>4576</v>
      </c>
      <c r="N131" s="8">
        <v>41</v>
      </c>
      <c r="O131" s="8"/>
      <c r="P131" s="8" t="s">
        <v>995</v>
      </c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</row>
    <row r="132" spans="1:48" x14ac:dyDescent="0.25">
      <c r="A132" s="8" t="s">
        <v>4574</v>
      </c>
      <c r="B132" s="8" t="s">
        <v>992</v>
      </c>
      <c r="C132" s="8" t="s">
        <v>4575</v>
      </c>
      <c r="D132" s="8" t="s">
        <v>279</v>
      </c>
      <c r="E132" s="8"/>
      <c r="F132" s="8" t="s">
        <v>437</v>
      </c>
      <c r="G132" s="8"/>
      <c r="H132" s="8"/>
      <c r="I132" s="8"/>
      <c r="J132" s="8" t="s">
        <v>525</v>
      </c>
      <c r="K132" s="8" t="s">
        <v>993</v>
      </c>
      <c r="L132" s="8" t="s">
        <v>994</v>
      </c>
      <c r="M132" s="8" t="s">
        <v>4576</v>
      </c>
      <c r="N132" s="8">
        <v>41</v>
      </c>
      <c r="O132" s="8"/>
      <c r="P132" s="8" t="s">
        <v>995</v>
      </c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</row>
    <row r="133" spans="1:48" x14ac:dyDescent="0.25">
      <c r="A133" s="8" t="s">
        <v>4574</v>
      </c>
      <c r="B133" s="8" t="s">
        <v>992</v>
      </c>
      <c r="C133" s="8" t="s">
        <v>4575</v>
      </c>
      <c r="D133" s="8" t="s">
        <v>156</v>
      </c>
      <c r="E133" s="8"/>
      <c r="F133" s="8" t="s">
        <v>412</v>
      </c>
      <c r="G133" s="8"/>
      <c r="H133" s="8"/>
      <c r="I133" s="8"/>
      <c r="J133" s="8" t="s">
        <v>527</v>
      </c>
      <c r="K133" s="8" t="s">
        <v>993</v>
      </c>
      <c r="L133" s="8" t="s">
        <v>994</v>
      </c>
      <c r="M133" s="8" t="s">
        <v>4576</v>
      </c>
      <c r="N133" s="8">
        <v>41</v>
      </c>
      <c r="O133" s="8"/>
      <c r="P133" s="8" t="s">
        <v>995</v>
      </c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</row>
    <row r="134" spans="1:48" x14ac:dyDescent="0.25">
      <c r="A134" s="8" t="s">
        <v>4574</v>
      </c>
      <c r="B134" s="8" t="s">
        <v>992</v>
      </c>
      <c r="C134" s="8" t="s">
        <v>4575</v>
      </c>
      <c r="D134" s="8" t="s">
        <v>113</v>
      </c>
      <c r="E134" s="8"/>
      <c r="F134" s="8" t="s">
        <v>412</v>
      </c>
      <c r="G134" s="8"/>
      <c r="H134" s="8"/>
      <c r="I134" s="8"/>
      <c r="J134" s="8" t="s">
        <v>523</v>
      </c>
      <c r="K134" s="8" t="s">
        <v>993</v>
      </c>
      <c r="L134" s="8" t="s">
        <v>994</v>
      </c>
      <c r="M134" s="8" t="s">
        <v>4576</v>
      </c>
      <c r="N134" s="8">
        <v>41</v>
      </c>
      <c r="O134" s="8"/>
      <c r="P134" s="8" t="s">
        <v>995</v>
      </c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</row>
    <row r="135" spans="1:48" x14ac:dyDescent="0.25">
      <c r="A135" s="8" t="s">
        <v>4574</v>
      </c>
      <c r="B135" s="8" t="s">
        <v>992</v>
      </c>
      <c r="C135" s="8" t="s">
        <v>4575</v>
      </c>
      <c r="D135" s="8" t="s">
        <v>348</v>
      </c>
      <c r="E135" s="8"/>
      <c r="F135" s="8" t="s">
        <v>412</v>
      </c>
      <c r="G135" s="8"/>
      <c r="H135" s="8"/>
      <c r="I135" s="8"/>
      <c r="J135" s="8" t="s">
        <v>526</v>
      </c>
      <c r="K135" s="8" t="s">
        <v>993</v>
      </c>
      <c r="L135" s="8" t="s">
        <v>994</v>
      </c>
      <c r="M135" s="8" t="s">
        <v>4576</v>
      </c>
      <c r="N135" s="8">
        <v>41</v>
      </c>
      <c r="O135" s="8"/>
      <c r="P135" s="8" t="s">
        <v>995</v>
      </c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</row>
    <row r="136" spans="1:48" x14ac:dyDescent="0.25">
      <c r="A136" s="8" t="s">
        <v>4574</v>
      </c>
      <c r="B136" s="8" t="s">
        <v>992</v>
      </c>
      <c r="C136" s="8" t="s">
        <v>4575</v>
      </c>
      <c r="D136" s="8" t="s">
        <v>116</v>
      </c>
      <c r="E136" s="8"/>
      <c r="F136" s="8" t="s">
        <v>412</v>
      </c>
      <c r="G136" s="8"/>
      <c r="H136" s="8"/>
      <c r="I136" s="8"/>
      <c r="J136" s="8" t="s">
        <v>521</v>
      </c>
      <c r="K136" s="8" t="s">
        <v>993</v>
      </c>
      <c r="L136" s="8" t="s">
        <v>994</v>
      </c>
      <c r="M136" s="8" t="s">
        <v>4576</v>
      </c>
      <c r="N136" s="8">
        <v>41</v>
      </c>
      <c r="O136" s="8"/>
      <c r="P136" s="8" t="s">
        <v>995</v>
      </c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</row>
    <row r="137" spans="1:48" x14ac:dyDescent="0.25">
      <c r="A137" s="8" t="s">
        <v>4574</v>
      </c>
      <c r="B137" s="8" t="s">
        <v>992</v>
      </c>
      <c r="C137" s="8" t="s">
        <v>4575</v>
      </c>
      <c r="D137" s="8" t="s">
        <v>247</v>
      </c>
      <c r="E137" s="8"/>
      <c r="F137" s="8" t="s">
        <v>412</v>
      </c>
      <c r="G137" s="8"/>
      <c r="H137" s="8"/>
      <c r="I137" s="8"/>
      <c r="J137" s="8" t="s">
        <v>528</v>
      </c>
      <c r="K137" s="8" t="s">
        <v>993</v>
      </c>
      <c r="L137" s="8" t="s">
        <v>994</v>
      </c>
      <c r="M137" s="8" t="s">
        <v>4576</v>
      </c>
      <c r="N137" s="8">
        <v>41</v>
      </c>
      <c r="O137" s="8"/>
      <c r="P137" s="8" t="s">
        <v>995</v>
      </c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</row>
    <row r="138" spans="1:48" x14ac:dyDescent="0.25">
      <c r="A138" s="8" t="s">
        <v>4574</v>
      </c>
      <c r="B138" s="8" t="s">
        <v>992</v>
      </c>
      <c r="C138" s="8" t="s">
        <v>4575</v>
      </c>
      <c r="D138" s="8" t="s">
        <v>80</v>
      </c>
      <c r="E138" s="8"/>
      <c r="F138" s="8" t="s">
        <v>412</v>
      </c>
      <c r="G138" s="8"/>
      <c r="H138" s="8"/>
      <c r="I138" s="8"/>
      <c r="J138" s="8" t="s">
        <v>529</v>
      </c>
      <c r="K138" s="8" t="s">
        <v>993</v>
      </c>
      <c r="L138" s="8" t="s">
        <v>994</v>
      </c>
      <c r="M138" s="8" t="s">
        <v>4576</v>
      </c>
      <c r="N138" s="8">
        <v>41</v>
      </c>
      <c r="O138" s="8"/>
      <c r="P138" s="8" t="s">
        <v>995</v>
      </c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</row>
    <row r="139" spans="1:48" x14ac:dyDescent="0.25">
      <c r="A139" s="8" t="s">
        <v>4574</v>
      </c>
      <c r="B139" s="8" t="s">
        <v>992</v>
      </c>
      <c r="C139" s="8" t="s">
        <v>4575</v>
      </c>
      <c r="D139" s="8" t="s">
        <v>35</v>
      </c>
      <c r="E139" s="8"/>
      <c r="F139" s="8" t="s">
        <v>412</v>
      </c>
      <c r="G139" s="8"/>
      <c r="H139" s="8"/>
      <c r="I139" s="8"/>
      <c r="J139" s="8" t="s">
        <v>530</v>
      </c>
      <c r="K139" s="8" t="s">
        <v>993</v>
      </c>
      <c r="L139" s="8" t="s">
        <v>994</v>
      </c>
      <c r="M139" s="8" t="s">
        <v>4576</v>
      </c>
      <c r="N139" s="8">
        <v>41</v>
      </c>
      <c r="O139" s="8"/>
      <c r="P139" s="8" t="s">
        <v>995</v>
      </c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</row>
    <row r="140" spans="1:48" x14ac:dyDescent="0.25">
      <c r="A140" s="8" t="s">
        <v>4574</v>
      </c>
      <c r="B140" s="8" t="s">
        <v>992</v>
      </c>
      <c r="C140" s="8" t="s">
        <v>4575</v>
      </c>
      <c r="D140" s="8" t="s">
        <v>15</v>
      </c>
      <c r="E140" s="8"/>
      <c r="F140" s="8" t="s">
        <v>412</v>
      </c>
      <c r="G140" s="8"/>
      <c r="H140" s="8"/>
      <c r="I140" s="8"/>
      <c r="J140" s="8" t="s">
        <v>532</v>
      </c>
      <c r="K140" s="8" t="s">
        <v>993</v>
      </c>
      <c r="L140" s="8" t="s">
        <v>994</v>
      </c>
      <c r="M140" s="8" t="s">
        <v>4576</v>
      </c>
      <c r="N140" s="8">
        <v>41</v>
      </c>
      <c r="O140" s="8"/>
      <c r="P140" s="8" t="s">
        <v>995</v>
      </c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</row>
    <row r="141" spans="1:48" x14ac:dyDescent="0.25">
      <c r="A141" s="8" t="s">
        <v>4574</v>
      </c>
      <c r="B141" s="8" t="s">
        <v>992</v>
      </c>
      <c r="C141" s="8" t="s">
        <v>4575</v>
      </c>
      <c r="D141" s="8" t="s">
        <v>254</v>
      </c>
      <c r="E141" s="8"/>
      <c r="F141" s="8" t="s">
        <v>412</v>
      </c>
      <c r="G141" s="8"/>
      <c r="H141" s="8"/>
      <c r="I141" s="8"/>
      <c r="J141" s="8" t="s">
        <v>533</v>
      </c>
      <c r="K141" s="8" t="s">
        <v>993</v>
      </c>
      <c r="L141" s="8" t="s">
        <v>994</v>
      </c>
      <c r="M141" s="8" t="s">
        <v>4576</v>
      </c>
      <c r="N141" s="8">
        <v>41</v>
      </c>
      <c r="O141" s="8"/>
      <c r="P141" s="8" t="s">
        <v>995</v>
      </c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</row>
    <row r="142" spans="1:48" x14ac:dyDescent="0.25">
      <c r="A142" s="8" t="s">
        <v>4574</v>
      </c>
      <c r="B142" s="8" t="s">
        <v>992</v>
      </c>
      <c r="C142" s="8" t="s">
        <v>4575</v>
      </c>
      <c r="D142" s="8" t="s">
        <v>150</v>
      </c>
      <c r="E142" s="8"/>
      <c r="F142" s="8" t="s">
        <v>412</v>
      </c>
      <c r="G142" s="8"/>
      <c r="H142" s="8"/>
      <c r="I142" s="8"/>
      <c r="J142" s="8"/>
      <c r="K142" s="8" t="s">
        <v>993</v>
      </c>
      <c r="L142" s="8" t="s">
        <v>994</v>
      </c>
      <c r="M142" s="8" t="s">
        <v>4576</v>
      </c>
      <c r="N142" s="8">
        <v>41</v>
      </c>
      <c r="O142" s="8"/>
      <c r="P142" s="8" t="s">
        <v>995</v>
      </c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</row>
    <row r="143" spans="1:48" x14ac:dyDescent="0.25">
      <c r="A143" s="8" t="s">
        <v>4574</v>
      </c>
      <c r="B143" s="8" t="s">
        <v>992</v>
      </c>
      <c r="C143" s="8" t="s">
        <v>4575</v>
      </c>
      <c r="D143" s="8" t="s">
        <v>57</v>
      </c>
      <c r="E143" s="8"/>
      <c r="F143" s="8" t="s">
        <v>412</v>
      </c>
      <c r="G143" s="8"/>
      <c r="H143" s="8"/>
      <c r="I143" s="8"/>
      <c r="J143" s="8" t="s">
        <v>534</v>
      </c>
      <c r="K143" s="8" t="s">
        <v>993</v>
      </c>
      <c r="L143" s="8" t="s">
        <v>994</v>
      </c>
      <c r="M143" s="8" t="s">
        <v>4576</v>
      </c>
      <c r="N143" s="8">
        <v>41</v>
      </c>
      <c r="O143" s="8"/>
      <c r="P143" s="8" t="s">
        <v>995</v>
      </c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</row>
    <row r="144" spans="1:48" x14ac:dyDescent="0.25">
      <c r="A144" s="8" t="s">
        <v>4574</v>
      </c>
      <c r="B144" s="8" t="s">
        <v>992</v>
      </c>
      <c r="C144" s="8" t="s">
        <v>4575</v>
      </c>
      <c r="D144" s="8" t="s">
        <v>130</v>
      </c>
      <c r="E144" s="8"/>
      <c r="F144" s="8" t="s">
        <v>412</v>
      </c>
      <c r="G144" s="8"/>
      <c r="H144" s="8"/>
      <c r="I144" s="8"/>
      <c r="J144" s="8" t="s">
        <v>531</v>
      </c>
      <c r="K144" s="8" t="s">
        <v>993</v>
      </c>
      <c r="L144" s="8" t="s">
        <v>994</v>
      </c>
      <c r="M144" s="8" t="s">
        <v>4576</v>
      </c>
      <c r="N144" s="8">
        <v>41</v>
      </c>
      <c r="O144" s="8"/>
      <c r="P144" s="8" t="s">
        <v>995</v>
      </c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</row>
    <row r="145" spans="1:48" x14ac:dyDescent="0.25">
      <c r="A145" s="8" t="s">
        <v>4574</v>
      </c>
      <c r="B145" s="8" t="s">
        <v>992</v>
      </c>
      <c r="C145" s="8" t="s">
        <v>4575</v>
      </c>
      <c r="D145" s="8" t="s">
        <v>169</v>
      </c>
      <c r="E145" s="8"/>
      <c r="F145" s="8" t="s">
        <v>412</v>
      </c>
      <c r="G145" s="8"/>
      <c r="H145" s="8"/>
      <c r="I145" s="8"/>
      <c r="J145" s="8"/>
      <c r="K145" s="8" t="s">
        <v>993</v>
      </c>
      <c r="L145" s="8" t="s">
        <v>994</v>
      </c>
      <c r="M145" s="8" t="s">
        <v>4576</v>
      </c>
      <c r="N145" s="8">
        <v>41</v>
      </c>
      <c r="O145" s="8"/>
      <c r="P145" s="8" t="s">
        <v>995</v>
      </c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</row>
    <row r="146" spans="1:48" x14ac:dyDescent="0.25">
      <c r="A146" s="8" t="s">
        <v>4574</v>
      </c>
      <c r="B146" s="8" t="s">
        <v>992</v>
      </c>
      <c r="C146" s="8" t="s">
        <v>4575</v>
      </c>
      <c r="D146" s="8" t="s">
        <v>87</v>
      </c>
      <c r="E146" s="8"/>
      <c r="F146" s="8" t="s">
        <v>412</v>
      </c>
      <c r="G146" s="8"/>
      <c r="H146" s="8"/>
      <c r="I146" s="8"/>
      <c r="J146" s="8" t="s">
        <v>535</v>
      </c>
      <c r="K146" s="8" t="s">
        <v>993</v>
      </c>
      <c r="L146" s="8" t="s">
        <v>994</v>
      </c>
      <c r="M146" s="8" t="s">
        <v>4576</v>
      </c>
      <c r="N146" s="8">
        <v>41</v>
      </c>
      <c r="O146" s="8"/>
      <c r="P146" s="8" t="s">
        <v>995</v>
      </c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</row>
    <row r="147" spans="1:48" x14ac:dyDescent="0.25">
      <c r="A147" s="8" t="s">
        <v>4574</v>
      </c>
      <c r="B147" s="8" t="s">
        <v>992</v>
      </c>
      <c r="C147" s="8" t="s">
        <v>4575</v>
      </c>
      <c r="D147" s="8" t="s">
        <v>117</v>
      </c>
      <c r="E147" s="8"/>
      <c r="F147" s="8" t="s">
        <v>412</v>
      </c>
      <c r="G147" s="8"/>
      <c r="H147" s="8"/>
      <c r="I147" s="8"/>
      <c r="J147" s="8" t="s">
        <v>536</v>
      </c>
      <c r="K147" s="8" t="s">
        <v>993</v>
      </c>
      <c r="L147" s="8" t="s">
        <v>994</v>
      </c>
      <c r="M147" s="8" t="s">
        <v>4576</v>
      </c>
      <c r="N147" s="8">
        <v>41</v>
      </c>
      <c r="O147" s="8"/>
      <c r="P147" s="8" t="s">
        <v>995</v>
      </c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</row>
    <row r="148" spans="1:48" x14ac:dyDescent="0.25">
      <c r="A148" s="8" t="s">
        <v>4574</v>
      </c>
      <c r="B148" s="8" t="s">
        <v>992</v>
      </c>
      <c r="C148" s="8" t="s">
        <v>4575</v>
      </c>
      <c r="D148" s="8" t="s">
        <v>332</v>
      </c>
      <c r="E148" s="8"/>
      <c r="F148" s="8" t="s">
        <v>412</v>
      </c>
      <c r="G148" s="8"/>
      <c r="H148" s="8"/>
      <c r="I148" s="8"/>
      <c r="J148" s="8" t="s">
        <v>537</v>
      </c>
      <c r="K148" s="8" t="s">
        <v>993</v>
      </c>
      <c r="L148" s="8" t="s">
        <v>994</v>
      </c>
      <c r="M148" s="8" t="s">
        <v>4576</v>
      </c>
      <c r="N148" s="8">
        <v>41</v>
      </c>
      <c r="O148" s="8"/>
      <c r="P148" s="8" t="s">
        <v>995</v>
      </c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</row>
    <row r="149" spans="1:48" x14ac:dyDescent="0.25">
      <c r="A149" s="8" t="s">
        <v>4574</v>
      </c>
      <c r="B149" s="8" t="s">
        <v>992</v>
      </c>
      <c r="C149" s="8" t="s">
        <v>4575</v>
      </c>
      <c r="D149" s="8" t="s">
        <v>216</v>
      </c>
      <c r="E149" s="8"/>
      <c r="F149" s="8" t="s">
        <v>412</v>
      </c>
      <c r="G149" s="8"/>
      <c r="H149" s="8"/>
      <c r="I149" s="8"/>
      <c r="J149" s="8" t="s">
        <v>539</v>
      </c>
      <c r="K149" s="8" t="s">
        <v>993</v>
      </c>
      <c r="L149" s="8" t="s">
        <v>994</v>
      </c>
      <c r="M149" s="8" t="s">
        <v>4576</v>
      </c>
      <c r="N149" s="8">
        <v>41</v>
      </c>
      <c r="O149" s="8"/>
      <c r="P149" s="8" t="s">
        <v>995</v>
      </c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</row>
    <row r="150" spans="1:48" x14ac:dyDescent="0.25">
      <c r="A150" s="8" t="s">
        <v>4574</v>
      </c>
      <c r="B150" s="8" t="s">
        <v>992</v>
      </c>
      <c r="C150" s="8" t="s">
        <v>4575</v>
      </c>
      <c r="D150" s="8" t="s">
        <v>159</v>
      </c>
      <c r="E150" s="8"/>
      <c r="F150" s="8" t="s">
        <v>412</v>
      </c>
      <c r="G150" s="8"/>
      <c r="H150" s="8"/>
      <c r="I150" s="8"/>
      <c r="J150" s="8" t="s">
        <v>538</v>
      </c>
      <c r="K150" s="8" t="s">
        <v>993</v>
      </c>
      <c r="L150" s="8" t="s">
        <v>994</v>
      </c>
      <c r="M150" s="8" t="s">
        <v>4576</v>
      </c>
      <c r="N150" s="8">
        <v>41</v>
      </c>
      <c r="O150" s="8"/>
      <c r="P150" s="8" t="s">
        <v>995</v>
      </c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</row>
    <row r="151" spans="1:48" x14ac:dyDescent="0.25">
      <c r="A151" s="8" t="s">
        <v>4574</v>
      </c>
      <c r="B151" s="8" t="s">
        <v>992</v>
      </c>
      <c r="C151" s="8" t="s">
        <v>4575</v>
      </c>
      <c r="D151" s="8" t="s">
        <v>110</v>
      </c>
      <c r="E151" s="8"/>
      <c r="F151" s="8" t="s">
        <v>412</v>
      </c>
      <c r="G151" s="8"/>
      <c r="H151" s="8"/>
      <c r="I151" s="8"/>
      <c r="J151" s="8" t="s">
        <v>541</v>
      </c>
      <c r="K151" s="8" t="s">
        <v>993</v>
      </c>
      <c r="L151" s="8" t="s">
        <v>994</v>
      </c>
      <c r="M151" s="8" t="s">
        <v>4576</v>
      </c>
      <c r="N151" s="8">
        <v>41</v>
      </c>
      <c r="O151" s="8"/>
      <c r="P151" s="8" t="s">
        <v>995</v>
      </c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</row>
    <row r="152" spans="1:48" x14ac:dyDescent="0.25">
      <c r="A152" s="8" t="s">
        <v>4574</v>
      </c>
      <c r="B152" s="8" t="s">
        <v>992</v>
      </c>
      <c r="C152" s="8" t="s">
        <v>4575</v>
      </c>
      <c r="D152" s="8" t="s">
        <v>243</v>
      </c>
      <c r="E152" s="8"/>
      <c r="F152" s="8" t="s">
        <v>412</v>
      </c>
      <c r="G152" s="8"/>
      <c r="H152" s="8"/>
      <c r="I152" s="8"/>
      <c r="J152" s="8" t="s">
        <v>545</v>
      </c>
      <c r="K152" s="8" t="s">
        <v>993</v>
      </c>
      <c r="L152" s="8" t="s">
        <v>994</v>
      </c>
      <c r="M152" s="8" t="s">
        <v>4576</v>
      </c>
      <c r="N152" s="8">
        <v>41</v>
      </c>
      <c r="O152" s="8"/>
      <c r="P152" s="8" t="s">
        <v>995</v>
      </c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</row>
    <row r="153" spans="1:48" x14ac:dyDescent="0.25">
      <c r="A153" s="8" t="s">
        <v>4574</v>
      </c>
      <c r="B153" s="8" t="s">
        <v>992</v>
      </c>
      <c r="C153" s="8" t="s">
        <v>4575</v>
      </c>
      <c r="D153" s="8" t="s">
        <v>201</v>
      </c>
      <c r="E153" s="8"/>
      <c r="F153" s="8" t="s">
        <v>412</v>
      </c>
      <c r="G153" s="8"/>
      <c r="H153" s="8"/>
      <c r="I153" s="8"/>
      <c r="J153" s="8" t="s">
        <v>547</v>
      </c>
      <c r="K153" s="8" t="s">
        <v>993</v>
      </c>
      <c r="L153" s="8" t="s">
        <v>994</v>
      </c>
      <c r="M153" s="8" t="s">
        <v>4576</v>
      </c>
      <c r="N153" s="8">
        <v>41</v>
      </c>
      <c r="O153" s="8"/>
      <c r="P153" s="8" t="s">
        <v>995</v>
      </c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</row>
    <row r="154" spans="1:48" x14ac:dyDescent="0.25">
      <c r="A154" s="8" t="s">
        <v>4574</v>
      </c>
      <c r="B154" s="8" t="s">
        <v>992</v>
      </c>
      <c r="C154" s="8" t="s">
        <v>4575</v>
      </c>
      <c r="D154" s="8" t="s">
        <v>42</v>
      </c>
      <c r="E154" s="8"/>
      <c r="F154" s="8" t="s">
        <v>412</v>
      </c>
      <c r="G154" s="8"/>
      <c r="H154" s="8"/>
      <c r="I154" s="8"/>
      <c r="J154" s="8" t="s">
        <v>543</v>
      </c>
      <c r="K154" s="8" t="s">
        <v>993</v>
      </c>
      <c r="L154" s="8" t="s">
        <v>994</v>
      </c>
      <c r="M154" s="8" t="s">
        <v>4576</v>
      </c>
      <c r="N154" s="8">
        <v>41</v>
      </c>
      <c r="O154" s="8"/>
      <c r="P154" s="8" t="s">
        <v>995</v>
      </c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</row>
    <row r="155" spans="1:48" x14ac:dyDescent="0.25">
      <c r="A155" s="8" t="s">
        <v>4574</v>
      </c>
      <c r="B155" s="8" t="s">
        <v>992</v>
      </c>
      <c r="C155" s="8" t="s">
        <v>4575</v>
      </c>
      <c r="D155" s="8" t="s">
        <v>342</v>
      </c>
      <c r="E155" s="8"/>
      <c r="F155" s="8" t="s">
        <v>412</v>
      </c>
      <c r="G155" s="8"/>
      <c r="H155" s="8"/>
      <c r="I155" s="8"/>
      <c r="J155" s="8"/>
      <c r="K155" s="8" t="s">
        <v>993</v>
      </c>
      <c r="L155" s="8" t="s">
        <v>994</v>
      </c>
      <c r="M155" s="8" t="s">
        <v>4576</v>
      </c>
      <c r="N155" s="8">
        <v>41</v>
      </c>
      <c r="O155" s="8"/>
      <c r="P155" s="8" t="s">
        <v>995</v>
      </c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</row>
    <row r="156" spans="1:48" x14ac:dyDescent="0.25">
      <c r="A156" s="8" t="s">
        <v>4574</v>
      </c>
      <c r="B156" s="8" t="s">
        <v>992</v>
      </c>
      <c r="C156" s="8" t="s">
        <v>4575</v>
      </c>
      <c r="D156" s="8" t="s">
        <v>284</v>
      </c>
      <c r="E156" s="8"/>
      <c r="F156" s="8" t="s">
        <v>412</v>
      </c>
      <c r="G156" s="8"/>
      <c r="H156" s="8"/>
      <c r="I156" s="8"/>
      <c r="J156" s="8" t="s">
        <v>548</v>
      </c>
      <c r="K156" s="8" t="s">
        <v>993</v>
      </c>
      <c r="L156" s="8" t="s">
        <v>994</v>
      </c>
      <c r="M156" s="8" t="s">
        <v>4576</v>
      </c>
      <c r="N156" s="8">
        <v>41</v>
      </c>
      <c r="O156" s="8"/>
      <c r="P156" s="8" t="s">
        <v>995</v>
      </c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</row>
    <row r="157" spans="1:48" x14ac:dyDescent="0.25">
      <c r="A157" s="8" t="s">
        <v>4574</v>
      </c>
      <c r="B157" s="8" t="s">
        <v>992</v>
      </c>
      <c r="C157" s="8" t="s">
        <v>4575</v>
      </c>
      <c r="D157" s="8" t="s">
        <v>84</v>
      </c>
      <c r="E157" s="8"/>
      <c r="F157" s="8" t="s">
        <v>412</v>
      </c>
      <c r="G157" s="8"/>
      <c r="H157" s="8"/>
      <c r="I157" s="8"/>
      <c r="J157" s="8" t="s">
        <v>546</v>
      </c>
      <c r="K157" s="8" t="s">
        <v>993</v>
      </c>
      <c r="L157" s="8" t="s">
        <v>994</v>
      </c>
      <c r="M157" s="8" t="s">
        <v>4576</v>
      </c>
      <c r="N157" s="8">
        <v>41</v>
      </c>
      <c r="O157" s="8"/>
      <c r="P157" s="8" t="s">
        <v>995</v>
      </c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</row>
    <row r="158" spans="1:48" x14ac:dyDescent="0.25">
      <c r="A158" s="8" t="s">
        <v>4574</v>
      </c>
      <c r="B158" s="8" t="s">
        <v>992</v>
      </c>
      <c r="C158" s="8" t="s">
        <v>4575</v>
      </c>
      <c r="D158" s="8" t="s">
        <v>86</v>
      </c>
      <c r="E158" s="8"/>
      <c r="F158" s="8" t="s">
        <v>412</v>
      </c>
      <c r="G158" s="8"/>
      <c r="H158" s="8"/>
      <c r="I158" s="8"/>
      <c r="J158" s="8" t="s">
        <v>542</v>
      </c>
      <c r="K158" s="8" t="s">
        <v>993</v>
      </c>
      <c r="L158" s="8" t="s">
        <v>994</v>
      </c>
      <c r="M158" s="8" t="s">
        <v>4576</v>
      </c>
      <c r="N158" s="8">
        <v>41</v>
      </c>
      <c r="O158" s="8"/>
      <c r="P158" s="8" t="s">
        <v>995</v>
      </c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</row>
    <row r="159" spans="1:48" x14ac:dyDescent="0.25">
      <c r="A159" s="8" t="s">
        <v>4574</v>
      </c>
      <c r="B159" s="8" t="s">
        <v>992</v>
      </c>
      <c r="C159" s="8" t="s">
        <v>4575</v>
      </c>
      <c r="D159" s="8" t="s">
        <v>162</v>
      </c>
      <c r="E159" s="8"/>
      <c r="F159" s="8" t="s">
        <v>412</v>
      </c>
      <c r="G159" s="8"/>
      <c r="H159" s="8"/>
      <c r="I159" s="8"/>
      <c r="J159" s="8" t="s">
        <v>549</v>
      </c>
      <c r="K159" s="8" t="s">
        <v>993</v>
      </c>
      <c r="L159" s="8" t="s">
        <v>994</v>
      </c>
      <c r="M159" s="8" t="s">
        <v>4576</v>
      </c>
      <c r="N159" s="8">
        <v>41</v>
      </c>
      <c r="O159" s="8"/>
      <c r="P159" s="8" t="s">
        <v>995</v>
      </c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</row>
    <row r="160" spans="1:48" x14ac:dyDescent="0.25">
      <c r="A160" s="8" t="s">
        <v>4574</v>
      </c>
      <c r="B160" s="8" t="s">
        <v>992</v>
      </c>
      <c r="C160" s="8" t="s">
        <v>4575</v>
      </c>
      <c r="D160" s="8" t="s">
        <v>352</v>
      </c>
      <c r="E160" s="8"/>
      <c r="F160" s="8" t="s">
        <v>412</v>
      </c>
      <c r="G160" s="8"/>
      <c r="H160" s="8"/>
      <c r="I160" s="8"/>
      <c r="J160" s="8" t="s">
        <v>540</v>
      </c>
      <c r="K160" s="8" t="s">
        <v>993</v>
      </c>
      <c r="L160" s="8" t="s">
        <v>994</v>
      </c>
      <c r="M160" s="8" t="s">
        <v>4576</v>
      </c>
      <c r="N160" s="8">
        <v>41</v>
      </c>
      <c r="O160" s="8"/>
      <c r="P160" s="8" t="s">
        <v>995</v>
      </c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</row>
    <row r="161" spans="1:48" x14ac:dyDescent="0.25">
      <c r="A161" s="8" t="s">
        <v>4574</v>
      </c>
      <c r="B161" s="8" t="s">
        <v>992</v>
      </c>
      <c r="C161" s="8" t="s">
        <v>4575</v>
      </c>
      <c r="D161" s="8" t="s">
        <v>68</v>
      </c>
      <c r="E161" s="8"/>
      <c r="F161" s="8" t="s">
        <v>412</v>
      </c>
      <c r="G161" s="8"/>
      <c r="H161" s="8"/>
      <c r="I161" s="8"/>
      <c r="J161" s="8" t="s">
        <v>544</v>
      </c>
      <c r="K161" s="8" t="s">
        <v>993</v>
      </c>
      <c r="L161" s="8" t="s">
        <v>994</v>
      </c>
      <c r="M161" s="8" t="s">
        <v>4576</v>
      </c>
      <c r="N161" s="8">
        <v>41</v>
      </c>
      <c r="O161" s="8"/>
      <c r="P161" s="8" t="s">
        <v>995</v>
      </c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</row>
    <row r="162" spans="1:48" x14ac:dyDescent="0.25">
      <c r="A162" s="8" t="s">
        <v>4574</v>
      </c>
      <c r="B162" s="8" t="s">
        <v>992</v>
      </c>
      <c r="C162" s="8" t="s">
        <v>4575</v>
      </c>
      <c r="D162" s="8" t="s">
        <v>153</v>
      </c>
      <c r="E162" s="8"/>
      <c r="F162" s="8" t="s">
        <v>412</v>
      </c>
      <c r="G162" s="8"/>
      <c r="H162" s="8"/>
      <c r="I162" s="8"/>
      <c r="J162" s="8"/>
      <c r="K162" s="8" t="s">
        <v>993</v>
      </c>
      <c r="L162" s="8" t="s">
        <v>994</v>
      </c>
      <c r="M162" s="8" t="s">
        <v>4576</v>
      </c>
      <c r="N162" s="8">
        <v>41</v>
      </c>
      <c r="O162" s="8"/>
      <c r="P162" s="8" t="s">
        <v>995</v>
      </c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</row>
    <row r="163" spans="1:48" x14ac:dyDescent="0.25">
      <c r="A163" s="8" t="s">
        <v>4574</v>
      </c>
      <c r="B163" s="8" t="s">
        <v>992</v>
      </c>
      <c r="C163" s="8" t="s">
        <v>4575</v>
      </c>
      <c r="D163" s="8" t="s">
        <v>137</v>
      </c>
      <c r="E163" s="8"/>
      <c r="F163" s="8" t="s">
        <v>412</v>
      </c>
      <c r="G163" s="8"/>
      <c r="H163" s="8"/>
      <c r="I163" s="8"/>
      <c r="J163" s="8" t="s">
        <v>551</v>
      </c>
      <c r="K163" s="8" t="s">
        <v>993</v>
      </c>
      <c r="L163" s="8" t="s">
        <v>994</v>
      </c>
      <c r="M163" s="8" t="s">
        <v>4576</v>
      </c>
      <c r="N163" s="8">
        <v>41</v>
      </c>
      <c r="O163" s="8"/>
      <c r="P163" s="8" t="s">
        <v>995</v>
      </c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</row>
    <row r="164" spans="1:48" x14ac:dyDescent="0.25">
      <c r="A164" s="8" t="s">
        <v>4574</v>
      </c>
      <c r="B164" s="8" t="s">
        <v>992</v>
      </c>
      <c r="C164" s="8" t="s">
        <v>4575</v>
      </c>
      <c r="D164" s="8" t="s">
        <v>17</v>
      </c>
      <c r="E164" s="8"/>
      <c r="F164" s="8" t="s">
        <v>412</v>
      </c>
      <c r="G164" s="8"/>
      <c r="H164" s="8"/>
      <c r="I164" s="8"/>
      <c r="J164" s="8" t="s">
        <v>550</v>
      </c>
      <c r="K164" s="8" t="s">
        <v>993</v>
      </c>
      <c r="L164" s="8" t="s">
        <v>994</v>
      </c>
      <c r="M164" s="8" t="s">
        <v>4576</v>
      </c>
      <c r="N164" s="8">
        <v>41</v>
      </c>
      <c r="O164" s="8"/>
      <c r="P164" s="8" t="s">
        <v>995</v>
      </c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</row>
    <row r="165" spans="1:48" x14ac:dyDescent="0.25">
      <c r="A165" s="8" t="s">
        <v>4574</v>
      </c>
      <c r="B165" s="8" t="s">
        <v>992</v>
      </c>
      <c r="C165" s="8" t="s">
        <v>4575</v>
      </c>
      <c r="D165" s="8" t="s">
        <v>19</v>
      </c>
      <c r="E165" s="8"/>
      <c r="F165" s="8" t="s">
        <v>412</v>
      </c>
      <c r="G165" s="8"/>
      <c r="H165" s="8"/>
      <c r="I165" s="8"/>
      <c r="J165" s="8" t="s">
        <v>552</v>
      </c>
      <c r="K165" s="8" t="s">
        <v>993</v>
      </c>
      <c r="L165" s="8" t="s">
        <v>994</v>
      </c>
      <c r="M165" s="8" t="s">
        <v>4576</v>
      </c>
      <c r="N165" s="8">
        <v>41</v>
      </c>
      <c r="O165" s="8"/>
      <c r="P165" s="8" t="s">
        <v>995</v>
      </c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</row>
    <row r="166" spans="1:48" x14ac:dyDescent="0.25">
      <c r="A166" s="8" t="s">
        <v>4574</v>
      </c>
      <c r="B166" s="8" t="s">
        <v>992</v>
      </c>
      <c r="C166" s="8" t="s">
        <v>4575</v>
      </c>
      <c r="D166" s="8" t="s">
        <v>186</v>
      </c>
      <c r="E166" s="8"/>
      <c r="F166" s="8" t="s">
        <v>412</v>
      </c>
      <c r="G166" s="8"/>
      <c r="H166" s="8"/>
      <c r="I166" s="8"/>
      <c r="J166" s="8" t="s">
        <v>555</v>
      </c>
      <c r="K166" s="8" t="s">
        <v>993</v>
      </c>
      <c r="L166" s="8" t="s">
        <v>994</v>
      </c>
      <c r="M166" s="8" t="s">
        <v>4576</v>
      </c>
      <c r="N166" s="8">
        <v>41</v>
      </c>
      <c r="O166" s="8"/>
      <c r="P166" s="8" t="s">
        <v>995</v>
      </c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</row>
    <row r="167" spans="1:48" x14ac:dyDescent="0.25">
      <c r="A167" s="8" t="s">
        <v>4574</v>
      </c>
      <c r="B167" s="8" t="s">
        <v>992</v>
      </c>
      <c r="C167" s="8" t="s">
        <v>4575</v>
      </c>
      <c r="D167" s="8" t="s">
        <v>98</v>
      </c>
      <c r="E167" s="8"/>
      <c r="F167" s="8" t="s">
        <v>412</v>
      </c>
      <c r="G167" s="8"/>
      <c r="H167" s="8"/>
      <c r="I167" s="8"/>
      <c r="J167" s="8" t="s">
        <v>553</v>
      </c>
      <c r="K167" s="8" t="s">
        <v>993</v>
      </c>
      <c r="L167" s="8" t="s">
        <v>994</v>
      </c>
      <c r="M167" s="8" t="s">
        <v>4576</v>
      </c>
      <c r="N167" s="8">
        <v>41</v>
      </c>
      <c r="O167" s="8"/>
      <c r="P167" s="8" t="s">
        <v>995</v>
      </c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</row>
    <row r="168" spans="1:48" x14ac:dyDescent="0.25">
      <c r="A168" s="8" t="s">
        <v>4574</v>
      </c>
      <c r="B168" s="8" t="s">
        <v>992</v>
      </c>
      <c r="C168" s="8" t="s">
        <v>4575</v>
      </c>
      <c r="D168" s="8" t="s">
        <v>346</v>
      </c>
      <c r="E168" s="8"/>
      <c r="F168" s="8" t="s">
        <v>412</v>
      </c>
      <c r="G168" s="8"/>
      <c r="H168" s="8"/>
      <c r="I168" s="8"/>
      <c r="J168" s="8"/>
      <c r="K168" s="8" t="s">
        <v>993</v>
      </c>
      <c r="L168" s="8" t="s">
        <v>994</v>
      </c>
      <c r="M168" s="8" t="s">
        <v>4576</v>
      </c>
      <c r="N168" s="8">
        <v>41</v>
      </c>
      <c r="O168" s="8"/>
      <c r="P168" s="8" t="s">
        <v>995</v>
      </c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</row>
    <row r="169" spans="1:48" x14ac:dyDescent="0.25">
      <c r="A169" s="8" t="s">
        <v>4574</v>
      </c>
      <c r="B169" s="8" t="s">
        <v>992</v>
      </c>
      <c r="C169" s="8" t="s">
        <v>4575</v>
      </c>
      <c r="D169" s="8" t="s">
        <v>198</v>
      </c>
      <c r="E169" s="8"/>
      <c r="F169" s="8" t="s">
        <v>412</v>
      </c>
      <c r="G169" s="8"/>
      <c r="H169" s="8"/>
      <c r="I169" s="8"/>
      <c r="J169" s="8" t="s">
        <v>554</v>
      </c>
      <c r="K169" s="8" t="s">
        <v>993</v>
      </c>
      <c r="L169" s="8" t="s">
        <v>994</v>
      </c>
      <c r="M169" s="8" t="s">
        <v>4576</v>
      </c>
      <c r="N169" s="8">
        <v>41</v>
      </c>
      <c r="O169" s="8"/>
      <c r="P169" s="8" t="s">
        <v>995</v>
      </c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</row>
    <row r="170" spans="1:48" x14ac:dyDescent="0.25">
      <c r="A170" s="8" t="s">
        <v>4574</v>
      </c>
      <c r="B170" s="8" t="s">
        <v>992</v>
      </c>
      <c r="C170" s="8" t="s">
        <v>4575</v>
      </c>
      <c r="D170" s="8" t="s">
        <v>261</v>
      </c>
      <c r="E170" s="8"/>
      <c r="F170" s="8" t="s">
        <v>412</v>
      </c>
      <c r="G170" s="8"/>
      <c r="H170" s="8"/>
      <c r="I170" s="8"/>
      <c r="J170" s="8" t="s">
        <v>556</v>
      </c>
      <c r="K170" s="8" t="s">
        <v>993</v>
      </c>
      <c r="L170" s="8" t="s">
        <v>994</v>
      </c>
      <c r="M170" s="8" t="s">
        <v>4576</v>
      </c>
      <c r="N170" s="8">
        <v>41</v>
      </c>
      <c r="O170" s="8"/>
      <c r="P170" s="8" t="s">
        <v>995</v>
      </c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</row>
    <row r="171" spans="1:48" x14ac:dyDescent="0.25">
      <c r="A171" s="8" t="s">
        <v>4574</v>
      </c>
      <c r="B171" s="8" t="s">
        <v>992</v>
      </c>
      <c r="C171" s="8" t="s">
        <v>4575</v>
      </c>
      <c r="D171" s="8" t="s">
        <v>62</v>
      </c>
      <c r="E171" s="8"/>
      <c r="F171" s="8" t="s">
        <v>412</v>
      </c>
      <c r="G171" s="8"/>
      <c r="H171" s="8"/>
      <c r="I171" s="8"/>
      <c r="J171" s="8" t="s">
        <v>557</v>
      </c>
      <c r="K171" s="8" t="s">
        <v>993</v>
      </c>
      <c r="L171" s="8" t="s">
        <v>994</v>
      </c>
      <c r="M171" s="8" t="s">
        <v>4576</v>
      </c>
      <c r="N171" s="8">
        <v>41</v>
      </c>
      <c r="O171" s="8"/>
      <c r="P171" s="8" t="s">
        <v>995</v>
      </c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</row>
    <row r="172" spans="1:48" x14ac:dyDescent="0.25">
      <c r="A172" s="8" t="s">
        <v>4574</v>
      </c>
      <c r="B172" s="8" t="s">
        <v>992</v>
      </c>
      <c r="C172" s="8" t="s">
        <v>4575</v>
      </c>
      <c r="D172" s="8" t="s">
        <v>176</v>
      </c>
      <c r="E172" s="8"/>
      <c r="F172" s="8" t="s">
        <v>412</v>
      </c>
      <c r="G172" s="8"/>
      <c r="H172" s="8"/>
      <c r="I172" s="8"/>
      <c r="J172" s="8"/>
      <c r="K172" s="8" t="s">
        <v>993</v>
      </c>
      <c r="L172" s="8" t="s">
        <v>994</v>
      </c>
      <c r="M172" s="8" t="s">
        <v>4576</v>
      </c>
      <c r="N172" s="8">
        <v>41</v>
      </c>
      <c r="O172" s="8"/>
      <c r="P172" s="8" t="s">
        <v>995</v>
      </c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</row>
    <row r="173" spans="1:48" x14ac:dyDescent="0.25">
      <c r="A173" s="8" t="s">
        <v>4574</v>
      </c>
      <c r="B173" s="8" t="s">
        <v>992</v>
      </c>
      <c r="C173" s="8" t="s">
        <v>4575</v>
      </c>
      <c r="D173" s="8" t="s">
        <v>134</v>
      </c>
      <c r="E173" s="8"/>
      <c r="F173" s="8" t="s">
        <v>412</v>
      </c>
      <c r="G173" s="8"/>
      <c r="H173" s="8"/>
      <c r="I173" s="8"/>
      <c r="J173" s="8" t="s">
        <v>558</v>
      </c>
      <c r="K173" s="8" t="s">
        <v>993</v>
      </c>
      <c r="L173" s="8" t="s">
        <v>994</v>
      </c>
      <c r="M173" s="8" t="s">
        <v>4576</v>
      </c>
      <c r="N173" s="8">
        <v>41</v>
      </c>
      <c r="O173" s="8"/>
      <c r="P173" s="8" t="s">
        <v>995</v>
      </c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</row>
    <row r="174" spans="1:48" x14ac:dyDescent="0.25">
      <c r="A174" s="8" t="s">
        <v>4574</v>
      </c>
      <c r="B174" s="8" t="s">
        <v>992</v>
      </c>
      <c r="C174" s="8" t="s">
        <v>4575</v>
      </c>
      <c r="D174" s="8" t="s">
        <v>132</v>
      </c>
      <c r="E174" s="8"/>
      <c r="F174" s="8" t="s">
        <v>412</v>
      </c>
      <c r="G174" s="8"/>
      <c r="H174" s="8"/>
      <c r="I174" s="8"/>
      <c r="J174" s="8" t="s">
        <v>559</v>
      </c>
      <c r="K174" s="8" t="s">
        <v>993</v>
      </c>
      <c r="L174" s="8" t="s">
        <v>994</v>
      </c>
      <c r="M174" s="8" t="s">
        <v>4576</v>
      </c>
      <c r="N174" s="8">
        <v>41</v>
      </c>
      <c r="O174" s="8"/>
      <c r="P174" s="8" t="s">
        <v>995</v>
      </c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</row>
    <row r="175" spans="1:48" x14ac:dyDescent="0.25">
      <c r="A175" s="8" t="s">
        <v>4574</v>
      </c>
      <c r="B175" s="8" t="s">
        <v>992</v>
      </c>
      <c r="C175" s="8" t="s">
        <v>4575</v>
      </c>
      <c r="D175" s="8" t="s">
        <v>336</v>
      </c>
      <c r="E175" s="8"/>
      <c r="F175" s="8" t="s">
        <v>412</v>
      </c>
      <c r="G175" s="8"/>
      <c r="H175" s="8"/>
      <c r="I175" s="8"/>
      <c r="J175" s="8"/>
      <c r="K175" s="8" t="s">
        <v>993</v>
      </c>
      <c r="L175" s="8" t="s">
        <v>994</v>
      </c>
      <c r="M175" s="8" t="s">
        <v>4576</v>
      </c>
      <c r="N175" s="8">
        <v>41</v>
      </c>
      <c r="O175" s="8"/>
      <c r="P175" s="8" t="s">
        <v>995</v>
      </c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</row>
    <row r="176" spans="1:48" x14ac:dyDescent="0.25">
      <c r="A176" s="8" t="s">
        <v>4574</v>
      </c>
      <c r="B176" s="8" t="s">
        <v>992</v>
      </c>
      <c r="C176" s="8" t="s">
        <v>4575</v>
      </c>
      <c r="D176" s="8" t="s">
        <v>158</v>
      </c>
      <c r="E176" s="8"/>
      <c r="F176" s="8" t="s">
        <v>412</v>
      </c>
      <c r="G176" s="8"/>
      <c r="H176" s="8"/>
      <c r="I176" s="8"/>
      <c r="J176" s="8" t="s">
        <v>561</v>
      </c>
      <c r="K176" s="8" t="s">
        <v>993</v>
      </c>
      <c r="L176" s="8" t="s">
        <v>994</v>
      </c>
      <c r="M176" s="8" t="s">
        <v>4576</v>
      </c>
      <c r="N176" s="8">
        <v>41</v>
      </c>
      <c r="O176" s="8"/>
      <c r="P176" s="8" t="s">
        <v>995</v>
      </c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</row>
    <row r="177" spans="1:48" x14ac:dyDescent="0.25">
      <c r="A177" s="8" t="s">
        <v>4574</v>
      </c>
      <c r="B177" s="8" t="s">
        <v>992</v>
      </c>
      <c r="C177" s="8" t="s">
        <v>4575</v>
      </c>
      <c r="D177" s="8" t="s">
        <v>222</v>
      </c>
      <c r="E177" s="8"/>
      <c r="F177" s="8" t="s">
        <v>412</v>
      </c>
      <c r="G177" s="8"/>
      <c r="H177" s="8"/>
      <c r="I177" s="8"/>
      <c r="J177" s="8" t="s">
        <v>560</v>
      </c>
      <c r="K177" s="8" t="s">
        <v>993</v>
      </c>
      <c r="L177" s="8" t="s">
        <v>994</v>
      </c>
      <c r="M177" s="8" t="s">
        <v>4576</v>
      </c>
      <c r="N177" s="8">
        <v>41</v>
      </c>
      <c r="O177" s="8"/>
      <c r="P177" s="8" t="s">
        <v>995</v>
      </c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</row>
    <row r="178" spans="1:48" x14ac:dyDescent="0.25">
      <c r="A178" s="8" t="s">
        <v>4574</v>
      </c>
      <c r="B178" s="8" t="s">
        <v>992</v>
      </c>
      <c r="C178" s="8" t="s">
        <v>4575</v>
      </c>
      <c r="D178" s="8" t="s">
        <v>266</v>
      </c>
      <c r="E178" s="8"/>
      <c r="F178" s="8" t="s">
        <v>437</v>
      </c>
      <c r="G178" s="8"/>
      <c r="H178" s="8"/>
      <c r="I178" s="8"/>
      <c r="J178" s="8" t="s">
        <v>562</v>
      </c>
      <c r="K178" s="8" t="s">
        <v>993</v>
      </c>
      <c r="L178" s="8" t="s">
        <v>994</v>
      </c>
      <c r="M178" s="8" t="s">
        <v>4576</v>
      </c>
      <c r="N178" s="8">
        <v>41</v>
      </c>
      <c r="O178" s="8"/>
      <c r="P178" s="8" t="s">
        <v>995</v>
      </c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</row>
    <row r="179" spans="1:48" x14ac:dyDescent="0.25">
      <c r="A179" s="8" t="s">
        <v>4574</v>
      </c>
      <c r="B179" s="8" t="s">
        <v>992</v>
      </c>
      <c r="C179" s="8" t="s">
        <v>4575</v>
      </c>
      <c r="D179" s="8" t="s">
        <v>10</v>
      </c>
      <c r="E179" s="8"/>
      <c r="F179" s="8" t="s">
        <v>412</v>
      </c>
      <c r="G179" s="8"/>
      <c r="H179" s="8"/>
      <c r="I179" s="8"/>
      <c r="J179" s="8" t="s">
        <v>563</v>
      </c>
      <c r="K179" s="8" t="s">
        <v>993</v>
      </c>
      <c r="L179" s="8" t="s">
        <v>994</v>
      </c>
      <c r="M179" s="8" t="s">
        <v>4576</v>
      </c>
      <c r="N179" s="8">
        <v>41</v>
      </c>
      <c r="O179" s="8"/>
      <c r="P179" s="8" t="s">
        <v>995</v>
      </c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</row>
    <row r="180" spans="1:48" x14ac:dyDescent="0.25">
      <c r="A180" s="8" t="s">
        <v>4574</v>
      </c>
      <c r="B180" s="8" t="s">
        <v>992</v>
      </c>
      <c r="C180" s="8" t="s">
        <v>4575</v>
      </c>
      <c r="D180" s="8" t="s">
        <v>149</v>
      </c>
      <c r="E180" s="8"/>
      <c r="F180" s="8" t="s">
        <v>412</v>
      </c>
      <c r="G180" s="8"/>
      <c r="H180" s="8"/>
      <c r="I180" s="8"/>
      <c r="J180" s="8"/>
      <c r="K180" s="8" t="s">
        <v>993</v>
      </c>
      <c r="L180" s="8" t="s">
        <v>994</v>
      </c>
      <c r="M180" s="8" t="s">
        <v>4576</v>
      </c>
      <c r="N180" s="8">
        <v>41</v>
      </c>
      <c r="O180" s="8"/>
      <c r="P180" s="8" t="s">
        <v>995</v>
      </c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</row>
    <row r="181" spans="1:48" x14ac:dyDescent="0.25">
      <c r="A181" s="8" t="s">
        <v>4574</v>
      </c>
      <c r="B181" s="8" t="s">
        <v>992</v>
      </c>
      <c r="C181" s="8" t="s">
        <v>4575</v>
      </c>
      <c r="D181" s="8" t="s">
        <v>20</v>
      </c>
      <c r="E181" s="8"/>
      <c r="F181" s="8" t="s">
        <v>412</v>
      </c>
      <c r="G181" s="8"/>
      <c r="H181" s="8"/>
      <c r="I181" s="8"/>
      <c r="J181" s="8" t="s">
        <v>564</v>
      </c>
      <c r="K181" s="8" t="s">
        <v>993</v>
      </c>
      <c r="L181" s="8" t="s">
        <v>994</v>
      </c>
      <c r="M181" s="8" t="s">
        <v>4576</v>
      </c>
      <c r="N181" s="8">
        <v>41</v>
      </c>
      <c r="O181" s="8"/>
      <c r="P181" s="8" t="s">
        <v>995</v>
      </c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</row>
    <row r="182" spans="1:48" x14ac:dyDescent="0.25">
      <c r="A182" s="8" t="s">
        <v>4574</v>
      </c>
      <c r="B182" s="8" t="s">
        <v>992</v>
      </c>
      <c r="C182" s="8" t="s">
        <v>4575</v>
      </c>
      <c r="D182" s="8" t="s">
        <v>165</v>
      </c>
      <c r="E182" s="8"/>
      <c r="F182" s="8" t="s">
        <v>412</v>
      </c>
      <c r="G182" s="8"/>
      <c r="H182" s="8"/>
      <c r="I182" s="8"/>
      <c r="J182" s="8" t="s">
        <v>568</v>
      </c>
      <c r="K182" s="8" t="s">
        <v>993</v>
      </c>
      <c r="L182" s="8" t="s">
        <v>994</v>
      </c>
      <c r="M182" s="8" t="s">
        <v>4576</v>
      </c>
      <c r="N182" s="8">
        <v>41</v>
      </c>
      <c r="O182" s="8"/>
      <c r="P182" s="8" t="s">
        <v>995</v>
      </c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</row>
    <row r="183" spans="1:48" x14ac:dyDescent="0.25">
      <c r="A183" s="8" t="s">
        <v>4574</v>
      </c>
      <c r="B183" s="8" t="s">
        <v>992</v>
      </c>
      <c r="C183" s="8" t="s">
        <v>4575</v>
      </c>
      <c r="D183" s="8" t="s">
        <v>253</v>
      </c>
      <c r="E183" s="8"/>
      <c r="F183" s="8" t="s">
        <v>412</v>
      </c>
      <c r="G183" s="8"/>
      <c r="H183" s="8"/>
      <c r="I183" s="8"/>
      <c r="J183" s="8" t="s">
        <v>567</v>
      </c>
      <c r="K183" s="8" t="s">
        <v>993</v>
      </c>
      <c r="L183" s="8" t="s">
        <v>994</v>
      </c>
      <c r="M183" s="8" t="s">
        <v>4576</v>
      </c>
      <c r="N183" s="8">
        <v>41</v>
      </c>
      <c r="O183" s="8"/>
      <c r="P183" s="8" t="s">
        <v>995</v>
      </c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</row>
    <row r="184" spans="1:48" x14ac:dyDescent="0.25">
      <c r="A184" s="8" t="s">
        <v>4574</v>
      </c>
      <c r="B184" s="8" t="s">
        <v>992</v>
      </c>
      <c r="C184" s="8" t="s">
        <v>4575</v>
      </c>
      <c r="D184" s="8" t="s">
        <v>281</v>
      </c>
      <c r="E184" s="8"/>
      <c r="F184" s="8" t="s">
        <v>412</v>
      </c>
      <c r="G184" s="8"/>
      <c r="H184" s="8"/>
      <c r="I184" s="8"/>
      <c r="J184" s="8" t="s">
        <v>565</v>
      </c>
      <c r="K184" s="8" t="s">
        <v>993</v>
      </c>
      <c r="L184" s="8" t="s">
        <v>994</v>
      </c>
      <c r="M184" s="8" t="s">
        <v>4576</v>
      </c>
      <c r="N184" s="8">
        <v>41</v>
      </c>
      <c r="O184" s="8"/>
      <c r="P184" s="8" t="s">
        <v>995</v>
      </c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</row>
    <row r="185" spans="1:48" x14ac:dyDescent="0.25">
      <c r="A185" s="8" t="s">
        <v>4574</v>
      </c>
      <c r="B185" s="8" t="s">
        <v>992</v>
      </c>
      <c r="C185" s="8" t="s">
        <v>4575</v>
      </c>
      <c r="D185" s="8" t="s">
        <v>75</v>
      </c>
      <c r="E185" s="8"/>
      <c r="F185" s="8" t="s">
        <v>412</v>
      </c>
      <c r="G185" s="8"/>
      <c r="H185" s="8"/>
      <c r="I185" s="8"/>
      <c r="J185" s="8" t="s">
        <v>566</v>
      </c>
      <c r="K185" s="8" t="s">
        <v>993</v>
      </c>
      <c r="L185" s="8" t="s">
        <v>994</v>
      </c>
      <c r="M185" s="8" t="s">
        <v>4576</v>
      </c>
      <c r="N185" s="8">
        <v>41</v>
      </c>
      <c r="O185" s="8"/>
      <c r="P185" s="8" t="s">
        <v>995</v>
      </c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</row>
    <row r="186" spans="1:48" x14ac:dyDescent="0.25">
      <c r="A186" s="8" t="s">
        <v>4574</v>
      </c>
      <c r="B186" s="8" t="s">
        <v>992</v>
      </c>
      <c r="C186" s="8" t="s">
        <v>4575</v>
      </c>
      <c r="D186" s="8" t="s">
        <v>311</v>
      </c>
      <c r="E186" s="8"/>
      <c r="F186" s="8" t="s">
        <v>412</v>
      </c>
      <c r="G186" s="8"/>
      <c r="H186" s="8"/>
      <c r="I186" s="8"/>
      <c r="J186" s="8"/>
      <c r="K186" s="8" t="s">
        <v>993</v>
      </c>
      <c r="L186" s="8" t="s">
        <v>994</v>
      </c>
      <c r="M186" s="8" t="s">
        <v>4576</v>
      </c>
      <c r="N186" s="8">
        <v>41</v>
      </c>
      <c r="O186" s="8"/>
      <c r="P186" s="8" t="s">
        <v>995</v>
      </c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</row>
    <row r="187" spans="1:48" x14ac:dyDescent="0.25">
      <c r="A187" s="8" t="s">
        <v>4574</v>
      </c>
      <c r="B187" s="8" t="s">
        <v>992</v>
      </c>
      <c r="C187" s="8" t="s">
        <v>4575</v>
      </c>
      <c r="D187" s="8" t="s">
        <v>325</v>
      </c>
      <c r="E187" s="8"/>
      <c r="F187" s="8" t="s">
        <v>412</v>
      </c>
      <c r="G187" s="8"/>
      <c r="H187" s="8"/>
      <c r="I187" s="8"/>
      <c r="J187" s="8" t="s">
        <v>569</v>
      </c>
      <c r="K187" s="8" t="s">
        <v>993</v>
      </c>
      <c r="L187" s="8" t="s">
        <v>994</v>
      </c>
      <c r="M187" s="8" t="s">
        <v>4576</v>
      </c>
      <c r="N187" s="8">
        <v>41</v>
      </c>
      <c r="O187" s="8"/>
      <c r="P187" s="8" t="s">
        <v>995</v>
      </c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</row>
    <row r="188" spans="1:48" x14ac:dyDescent="0.25">
      <c r="A188" s="8" t="s">
        <v>4574</v>
      </c>
      <c r="B188" s="8" t="s">
        <v>992</v>
      </c>
      <c r="C188" s="8" t="s">
        <v>4575</v>
      </c>
      <c r="D188" s="8" t="s">
        <v>301</v>
      </c>
      <c r="E188" s="8"/>
      <c r="F188" s="8" t="s">
        <v>412</v>
      </c>
      <c r="G188" s="8"/>
      <c r="H188" s="8"/>
      <c r="I188" s="8"/>
      <c r="J188" s="8" t="s">
        <v>570</v>
      </c>
      <c r="K188" s="8" t="s">
        <v>993</v>
      </c>
      <c r="L188" s="8" t="s">
        <v>994</v>
      </c>
      <c r="M188" s="8" t="s">
        <v>4576</v>
      </c>
      <c r="N188" s="8">
        <v>41</v>
      </c>
      <c r="O188" s="8"/>
      <c r="P188" s="8" t="s">
        <v>995</v>
      </c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</row>
    <row r="189" spans="1:48" x14ac:dyDescent="0.25">
      <c r="A189" s="8" t="s">
        <v>4574</v>
      </c>
      <c r="B189" s="8" t="s">
        <v>992</v>
      </c>
      <c r="C189" s="8" t="s">
        <v>4575</v>
      </c>
      <c r="D189" s="8" t="s">
        <v>175</v>
      </c>
      <c r="E189" s="8"/>
      <c r="F189" s="8" t="s">
        <v>412</v>
      </c>
      <c r="G189" s="8"/>
      <c r="H189" s="8"/>
      <c r="I189" s="8"/>
      <c r="J189" s="8"/>
      <c r="K189" s="8" t="s">
        <v>993</v>
      </c>
      <c r="L189" s="8" t="s">
        <v>994</v>
      </c>
      <c r="M189" s="8" t="s">
        <v>4576</v>
      </c>
      <c r="N189" s="8">
        <v>41</v>
      </c>
      <c r="O189" s="8"/>
      <c r="P189" s="8" t="s">
        <v>995</v>
      </c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</row>
    <row r="190" spans="1:48" x14ac:dyDescent="0.25">
      <c r="A190" s="8" t="s">
        <v>4574</v>
      </c>
      <c r="B190" s="8" t="s">
        <v>992</v>
      </c>
      <c r="C190" s="8" t="s">
        <v>4575</v>
      </c>
      <c r="D190" s="8" t="s">
        <v>157</v>
      </c>
      <c r="E190" s="8"/>
      <c r="F190" s="8" t="s">
        <v>412</v>
      </c>
      <c r="G190" s="8"/>
      <c r="H190" s="8"/>
      <c r="I190" s="8"/>
      <c r="J190" s="8" t="s">
        <v>571</v>
      </c>
      <c r="K190" s="8" t="s">
        <v>993</v>
      </c>
      <c r="L190" s="8" t="s">
        <v>994</v>
      </c>
      <c r="M190" s="8" t="s">
        <v>4576</v>
      </c>
      <c r="N190" s="8">
        <v>41</v>
      </c>
      <c r="O190" s="8"/>
      <c r="P190" s="8" t="s">
        <v>995</v>
      </c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</row>
    <row r="191" spans="1:48" x14ac:dyDescent="0.25">
      <c r="A191" s="8" t="s">
        <v>4574</v>
      </c>
      <c r="B191" s="8" t="s">
        <v>992</v>
      </c>
      <c r="C191" s="8" t="s">
        <v>4575</v>
      </c>
      <c r="D191" s="8" t="s">
        <v>152</v>
      </c>
      <c r="E191" s="8"/>
      <c r="F191" s="8" t="s">
        <v>412</v>
      </c>
      <c r="G191" s="8"/>
      <c r="H191" s="8"/>
      <c r="I191" s="8"/>
      <c r="J191" s="8"/>
      <c r="K191" s="8" t="s">
        <v>993</v>
      </c>
      <c r="L191" s="8" t="s">
        <v>994</v>
      </c>
      <c r="M191" s="8" t="s">
        <v>4576</v>
      </c>
      <c r="N191" s="8">
        <v>41</v>
      </c>
      <c r="O191" s="8"/>
      <c r="P191" s="8" t="s">
        <v>995</v>
      </c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</row>
    <row r="192" spans="1:48" x14ac:dyDescent="0.25">
      <c r="A192" s="8" t="s">
        <v>4574</v>
      </c>
      <c r="B192" s="8" t="s">
        <v>992</v>
      </c>
      <c r="C192" s="8" t="s">
        <v>4575</v>
      </c>
      <c r="D192" s="8" t="s">
        <v>280</v>
      </c>
      <c r="E192" s="8"/>
      <c r="F192" s="8" t="s">
        <v>412</v>
      </c>
      <c r="G192" s="8"/>
      <c r="H192" s="8"/>
      <c r="I192" s="8"/>
      <c r="J192" s="8" t="s">
        <v>572</v>
      </c>
      <c r="K192" s="8" t="s">
        <v>993</v>
      </c>
      <c r="L192" s="8" t="s">
        <v>994</v>
      </c>
      <c r="M192" s="8" t="s">
        <v>4576</v>
      </c>
      <c r="N192" s="8">
        <v>41</v>
      </c>
      <c r="O192" s="8"/>
      <c r="P192" s="8" t="s">
        <v>995</v>
      </c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</row>
    <row r="193" spans="1:48" x14ac:dyDescent="0.25">
      <c r="A193" s="8" t="s">
        <v>4574</v>
      </c>
      <c r="B193" s="8" t="s">
        <v>992</v>
      </c>
      <c r="C193" s="8" t="s">
        <v>4575</v>
      </c>
      <c r="D193" s="8" t="s">
        <v>204</v>
      </c>
      <c r="E193" s="8"/>
      <c r="F193" s="8" t="s">
        <v>412</v>
      </c>
      <c r="G193" s="8"/>
      <c r="H193" s="8"/>
      <c r="I193" s="8"/>
      <c r="J193" s="8"/>
      <c r="K193" s="8" t="s">
        <v>993</v>
      </c>
      <c r="L193" s="8" t="s">
        <v>994</v>
      </c>
      <c r="M193" s="8" t="s">
        <v>4576</v>
      </c>
      <c r="N193" s="8">
        <v>41</v>
      </c>
      <c r="O193" s="8"/>
      <c r="P193" s="8" t="s">
        <v>995</v>
      </c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</row>
    <row r="194" spans="1:48" x14ac:dyDescent="0.25">
      <c r="A194" s="8" t="s">
        <v>4574</v>
      </c>
      <c r="B194" s="8" t="s">
        <v>992</v>
      </c>
      <c r="C194" s="8" t="s">
        <v>4575</v>
      </c>
      <c r="D194" s="8" t="s">
        <v>257</v>
      </c>
      <c r="E194" s="8"/>
      <c r="F194" s="8" t="s">
        <v>412</v>
      </c>
      <c r="G194" s="8"/>
      <c r="H194" s="8"/>
      <c r="I194" s="8"/>
      <c r="J194" s="8" t="s">
        <v>573</v>
      </c>
      <c r="K194" s="8" t="s">
        <v>993</v>
      </c>
      <c r="L194" s="8" t="s">
        <v>994</v>
      </c>
      <c r="M194" s="8" t="s">
        <v>4576</v>
      </c>
      <c r="N194" s="8">
        <v>41</v>
      </c>
      <c r="O194" s="8"/>
      <c r="P194" s="8" t="s">
        <v>995</v>
      </c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</row>
    <row r="195" spans="1:48" x14ac:dyDescent="0.25">
      <c r="A195" s="8" t="s">
        <v>4574</v>
      </c>
      <c r="B195" s="8" t="s">
        <v>992</v>
      </c>
      <c r="C195" s="8" t="s">
        <v>4575</v>
      </c>
      <c r="D195" s="8" t="s">
        <v>226</v>
      </c>
      <c r="E195" s="8"/>
      <c r="F195" s="8" t="s">
        <v>412</v>
      </c>
      <c r="G195" s="8"/>
      <c r="H195" s="8"/>
      <c r="I195" s="8"/>
      <c r="J195" s="8" t="s">
        <v>500</v>
      </c>
      <c r="K195" s="8" t="s">
        <v>993</v>
      </c>
      <c r="L195" s="8" t="s">
        <v>994</v>
      </c>
      <c r="M195" s="8" t="s">
        <v>4576</v>
      </c>
      <c r="N195" s="8">
        <v>41</v>
      </c>
      <c r="O195" s="8"/>
      <c r="P195" s="8" t="s">
        <v>995</v>
      </c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</row>
    <row r="196" spans="1:48" x14ac:dyDescent="0.25">
      <c r="A196" s="8" t="s">
        <v>4574</v>
      </c>
      <c r="B196" s="8" t="s">
        <v>992</v>
      </c>
      <c r="C196" s="8" t="s">
        <v>4575</v>
      </c>
      <c r="D196" s="8" t="s">
        <v>328</v>
      </c>
      <c r="E196" s="8"/>
      <c r="F196" s="8" t="s">
        <v>412</v>
      </c>
      <c r="G196" s="8"/>
      <c r="H196" s="8"/>
      <c r="I196" s="8"/>
      <c r="J196" s="8"/>
      <c r="K196" s="8" t="s">
        <v>993</v>
      </c>
      <c r="L196" s="8" t="s">
        <v>994</v>
      </c>
      <c r="M196" s="8" t="s">
        <v>4576</v>
      </c>
      <c r="N196" s="8">
        <v>41</v>
      </c>
      <c r="O196" s="8"/>
      <c r="P196" s="8" t="s">
        <v>995</v>
      </c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</row>
    <row r="197" spans="1:48" x14ac:dyDescent="0.25">
      <c r="A197" s="8" t="s">
        <v>4574</v>
      </c>
      <c r="B197" s="8" t="s">
        <v>992</v>
      </c>
      <c r="C197" s="8" t="s">
        <v>4575</v>
      </c>
      <c r="D197" s="8" t="s">
        <v>103</v>
      </c>
      <c r="E197" s="8"/>
      <c r="F197" s="8" t="s">
        <v>412</v>
      </c>
      <c r="G197" s="8"/>
      <c r="H197" s="8"/>
      <c r="I197" s="8"/>
      <c r="J197" s="8" t="s">
        <v>574</v>
      </c>
      <c r="K197" s="8" t="s">
        <v>993</v>
      </c>
      <c r="L197" s="8" t="s">
        <v>994</v>
      </c>
      <c r="M197" s="8" t="s">
        <v>4576</v>
      </c>
      <c r="N197" s="8">
        <v>41</v>
      </c>
      <c r="O197" s="8"/>
      <c r="P197" s="8" t="s">
        <v>995</v>
      </c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</row>
    <row r="198" spans="1:48" x14ac:dyDescent="0.25">
      <c r="A198" s="8" t="s">
        <v>4574</v>
      </c>
      <c r="B198" s="8" t="s">
        <v>992</v>
      </c>
      <c r="C198" s="8" t="s">
        <v>4575</v>
      </c>
      <c r="D198" s="8" t="s">
        <v>263</v>
      </c>
      <c r="E198" s="8"/>
      <c r="F198" s="8" t="s">
        <v>412</v>
      </c>
      <c r="G198" s="8"/>
      <c r="H198" s="8"/>
      <c r="I198" s="8"/>
      <c r="J198" s="8" t="s">
        <v>575</v>
      </c>
      <c r="K198" s="8" t="s">
        <v>993</v>
      </c>
      <c r="L198" s="8" t="s">
        <v>994</v>
      </c>
      <c r="M198" s="8" t="s">
        <v>4576</v>
      </c>
      <c r="N198" s="8">
        <v>41</v>
      </c>
      <c r="O198" s="8"/>
      <c r="P198" s="8" t="s">
        <v>995</v>
      </c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</row>
    <row r="199" spans="1:48" x14ac:dyDescent="0.25">
      <c r="A199" s="8" t="s">
        <v>4574</v>
      </c>
      <c r="B199" s="8" t="s">
        <v>992</v>
      </c>
      <c r="C199" s="8" t="s">
        <v>4575</v>
      </c>
      <c r="D199" s="8" t="s">
        <v>276</v>
      </c>
      <c r="E199" s="8"/>
      <c r="F199" s="8" t="s">
        <v>437</v>
      </c>
      <c r="G199" s="8"/>
      <c r="H199" s="8"/>
      <c r="I199" s="8"/>
      <c r="J199" s="8" t="s">
        <v>576</v>
      </c>
      <c r="K199" s="8" t="s">
        <v>993</v>
      </c>
      <c r="L199" s="8" t="s">
        <v>994</v>
      </c>
      <c r="M199" s="8" t="s">
        <v>4576</v>
      </c>
      <c r="N199" s="8">
        <v>41</v>
      </c>
      <c r="O199" s="8"/>
      <c r="P199" s="8" t="s">
        <v>995</v>
      </c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</row>
    <row r="200" spans="1:48" x14ac:dyDescent="0.25">
      <c r="A200" s="8" t="s">
        <v>4574</v>
      </c>
      <c r="B200" s="8" t="s">
        <v>992</v>
      </c>
      <c r="C200" s="8" t="s">
        <v>4575</v>
      </c>
      <c r="D200" s="8" t="s">
        <v>288</v>
      </c>
      <c r="E200" s="8"/>
      <c r="F200" s="8" t="s">
        <v>412</v>
      </c>
      <c r="G200" s="8"/>
      <c r="H200" s="8"/>
      <c r="I200" s="8"/>
      <c r="J200" s="8" t="s">
        <v>579</v>
      </c>
      <c r="K200" s="8" t="s">
        <v>993</v>
      </c>
      <c r="L200" s="8" t="s">
        <v>994</v>
      </c>
      <c r="M200" s="8" t="s">
        <v>4576</v>
      </c>
      <c r="N200" s="8">
        <v>41</v>
      </c>
      <c r="O200" s="8"/>
      <c r="P200" s="8" t="s">
        <v>995</v>
      </c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</row>
    <row r="201" spans="1:48" x14ac:dyDescent="0.25">
      <c r="A201" s="8" t="s">
        <v>4574</v>
      </c>
      <c r="B201" s="8" t="s">
        <v>992</v>
      </c>
      <c r="C201" s="8" t="s">
        <v>4575</v>
      </c>
      <c r="D201" s="8" t="s">
        <v>119</v>
      </c>
      <c r="E201" s="8"/>
      <c r="F201" s="8" t="s">
        <v>412</v>
      </c>
      <c r="G201" s="8"/>
      <c r="H201" s="8"/>
      <c r="I201" s="8"/>
      <c r="J201" s="8" t="s">
        <v>577</v>
      </c>
      <c r="K201" s="8" t="s">
        <v>993</v>
      </c>
      <c r="L201" s="8" t="s">
        <v>994</v>
      </c>
      <c r="M201" s="8" t="s">
        <v>4576</v>
      </c>
      <c r="N201" s="8">
        <v>41</v>
      </c>
      <c r="O201" s="8"/>
      <c r="P201" s="8" t="s">
        <v>995</v>
      </c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</row>
    <row r="202" spans="1:48" x14ac:dyDescent="0.25">
      <c r="A202" s="8" t="s">
        <v>4574</v>
      </c>
      <c r="B202" s="8" t="s">
        <v>992</v>
      </c>
      <c r="C202" s="8" t="s">
        <v>4575</v>
      </c>
      <c r="D202" s="8" t="s">
        <v>179</v>
      </c>
      <c r="E202" s="8"/>
      <c r="F202" s="8" t="s">
        <v>412</v>
      </c>
      <c r="G202" s="8"/>
      <c r="H202" s="8"/>
      <c r="I202" s="8"/>
      <c r="J202" s="8" t="s">
        <v>578</v>
      </c>
      <c r="K202" s="8" t="s">
        <v>993</v>
      </c>
      <c r="L202" s="8" t="s">
        <v>994</v>
      </c>
      <c r="M202" s="8" t="s">
        <v>4576</v>
      </c>
      <c r="N202" s="8">
        <v>41</v>
      </c>
      <c r="O202" s="8"/>
      <c r="P202" s="8" t="s">
        <v>995</v>
      </c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</row>
    <row r="203" spans="1:48" x14ac:dyDescent="0.25">
      <c r="A203" s="8" t="s">
        <v>4574</v>
      </c>
      <c r="B203" s="8" t="s">
        <v>992</v>
      </c>
      <c r="C203" s="8" t="s">
        <v>4575</v>
      </c>
      <c r="D203" s="8" t="s">
        <v>140</v>
      </c>
      <c r="E203" s="8"/>
      <c r="F203" s="8" t="s">
        <v>412</v>
      </c>
      <c r="G203" s="8"/>
      <c r="H203" s="8"/>
      <c r="I203" s="8"/>
      <c r="J203" s="8" t="s">
        <v>581</v>
      </c>
      <c r="K203" s="8" t="s">
        <v>993</v>
      </c>
      <c r="L203" s="8" t="s">
        <v>994</v>
      </c>
      <c r="M203" s="8" t="s">
        <v>4576</v>
      </c>
      <c r="N203" s="8">
        <v>41</v>
      </c>
      <c r="O203" s="8"/>
      <c r="P203" s="8" t="s">
        <v>995</v>
      </c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</row>
    <row r="204" spans="1:48" x14ac:dyDescent="0.25">
      <c r="A204" s="8" t="s">
        <v>4574</v>
      </c>
      <c r="B204" s="8" t="s">
        <v>992</v>
      </c>
      <c r="C204" s="8" t="s">
        <v>4575</v>
      </c>
      <c r="D204" s="8" t="s">
        <v>306</v>
      </c>
      <c r="E204" s="8"/>
      <c r="F204" s="8" t="s">
        <v>412</v>
      </c>
      <c r="G204" s="8"/>
      <c r="H204" s="8"/>
      <c r="I204" s="8"/>
      <c r="J204" s="8"/>
      <c r="K204" s="8" t="s">
        <v>993</v>
      </c>
      <c r="L204" s="8" t="s">
        <v>994</v>
      </c>
      <c r="M204" s="8" t="s">
        <v>4576</v>
      </c>
      <c r="N204" s="8">
        <v>41</v>
      </c>
      <c r="O204" s="8"/>
      <c r="P204" s="8" t="s">
        <v>995</v>
      </c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</row>
    <row r="205" spans="1:48" x14ac:dyDescent="0.25">
      <c r="A205" s="8" t="s">
        <v>4574</v>
      </c>
      <c r="B205" s="8" t="s">
        <v>992</v>
      </c>
      <c r="C205" s="8" t="s">
        <v>4575</v>
      </c>
      <c r="D205" s="8" t="s">
        <v>144</v>
      </c>
      <c r="E205" s="8"/>
      <c r="F205" s="8" t="s">
        <v>412</v>
      </c>
      <c r="G205" s="8"/>
      <c r="H205" s="8"/>
      <c r="I205" s="8"/>
      <c r="J205" s="8"/>
      <c r="K205" s="8" t="s">
        <v>993</v>
      </c>
      <c r="L205" s="8" t="s">
        <v>994</v>
      </c>
      <c r="M205" s="8" t="s">
        <v>4576</v>
      </c>
      <c r="N205" s="8">
        <v>41</v>
      </c>
      <c r="O205" s="8"/>
      <c r="P205" s="8" t="s">
        <v>995</v>
      </c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</row>
    <row r="206" spans="1:48" x14ac:dyDescent="0.25">
      <c r="A206" s="8" t="s">
        <v>4574</v>
      </c>
      <c r="B206" s="8" t="s">
        <v>992</v>
      </c>
      <c r="C206" s="8" t="s">
        <v>4575</v>
      </c>
      <c r="D206" s="8" t="s">
        <v>29</v>
      </c>
      <c r="E206" s="8"/>
      <c r="F206" s="8" t="s">
        <v>412</v>
      </c>
      <c r="G206" s="8"/>
      <c r="H206" s="8"/>
      <c r="I206" s="8"/>
      <c r="J206" s="8" t="s">
        <v>582</v>
      </c>
      <c r="K206" s="8" t="s">
        <v>993</v>
      </c>
      <c r="L206" s="8" t="s">
        <v>994</v>
      </c>
      <c r="M206" s="8" t="s">
        <v>4576</v>
      </c>
      <c r="N206" s="8">
        <v>41</v>
      </c>
      <c r="O206" s="8"/>
      <c r="P206" s="8" t="s">
        <v>995</v>
      </c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</row>
    <row r="207" spans="1:48" x14ac:dyDescent="0.25">
      <c r="A207" s="8" t="s">
        <v>4574</v>
      </c>
      <c r="B207" s="8" t="s">
        <v>992</v>
      </c>
      <c r="C207" s="8" t="s">
        <v>4575</v>
      </c>
      <c r="D207" s="8" t="s">
        <v>312</v>
      </c>
      <c r="E207" s="8"/>
      <c r="F207" s="8" t="s">
        <v>412</v>
      </c>
      <c r="G207" s="8"/>
      <c r="H207" s="8"/>
      <c r="I207" s="8"/>
      <c r="J207" s="8" t="s">
        <v>580</v>
      </c>
      <c r="K207" s="8" t="s">
        <v>993</v>
      </c>
      <c r="L207" s="8" t="s">
        <v>994</v>
      </c>
      <c r="M207" s="8" t="s">
        <v>4576</v>
      </c>
      <c r="N207" s="8">
        <v>41</v>
      </c>
      <c r="O207" s="8"/>
      <c r="P207" s="8" t="s">
        <v>995</v>
      </c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</row>
    <row r="208" spans="1:48" x14ac:dyDescent="0.25">
      <c r="A208" s="8" t="s">
        <v>4574</v>
      </c>
      <c r="B208" s="8" t="s">
        <v>992</v>
      </c>
      <c r="C208" s="8" t="s">
        <v>4575</v>
      </c>
      <c r="D208" s="8" t="s">
        <v>74</v>
      </c>
      <c r="E208" s="8"/>
      <c r="F208" s="8" t="s">
        <v>412</v>
      </c>
      <c r="G208" s="8"/>
      <c r="H208" s="8"/>
      <c r="I208" s="8"/>
      <c r="J208" s="8" t="s">
        <v>583</v>
      </c>
      <c r="K208" s="8" t="s">
        <v>993</v>
      </c>
      <c r="L208" s="8" t="s">
        <v>994</v>
      </c>
      <c r="M208" s="8" t="s">
        <v>4576</v>
      </c>
      <c r="N208" s="8">
        <v>41</v>
      </c>
      <c r="O208" s="8"/>
      <c r="P208" s="8" t="s">
        <v>995</v>
      </c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</row>
    <row r="209" spans="1:48" x14ac:dyDescent="0.25">
      <c r="A209" s="8" t="s">
        <v>4574</v>
      </c>
      <c r="B209" s="8" t="s">
        <v>992</v>
      </c>
      <c r="C209" s="8" t="s">
        <v>4575</v>
      </c>
      <c r="D209" s="8" t="s">
        <v>145</v>
      </c>
      <c r="E209" s="8"/>
      <c r="F209" s="8" t="s">
        <v>412</v>
      </c>
      <c r="G209" s="8"/>
      <c r="H209" s="8"/>
      <c r="I209" s="8"/>
      <c r="J209" s="8"/>
      <c r="K209" s="8" t="s">
        <v>993</v>
      </c>
      <c r="L209" s="8" t="s">
        <v>994</v>
      </c>
      <c r="M209" s="8" t="s">
        <v>4576</v>
      </c>
      <c r="N209" s="8">
        <v>41</v>
      </c>
      <c r="O209" s="8"/>
      <c r="P209" s="8" t="s">
        <v>995</v>
      </c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</row>
    <row r="210" spans="1:48" x14ac:dyDescent="0.25">
      <c r="A210" s="8" t="s">
        <v>4574</v>
      </c>
      <c r="B210" s="8" t="s">
        <v>992</v>
      </c>
      <c r="C210" s="8" t="s">
        <v>4575</v>
      </c>
      <c r="D210" s="8" t="s">
        <v>239</v>
      </c>
      <c r="E210" s="8"/>
      <c r="F210" s="8" t="s">
        <v>412</v>
      </c>
      <c r="G210" s="8"/>
      <c r="H210" s="8"/>
      <c r="I210" s="8"/>
      <c r="J210" s="8"/>
      <c r="K210" s="8" t="s">
        <v>993</v>
      </c>
      <c r="L210" s="8" t="s">
        <v>994</v>
      </c>
      <c r="M210" s="8" t="s">
        <v>4576</v>
      </c>
      <c r="N210" s="8">
        <v>41</v>
      </c>
      <c r="O210" s="8"/>
      <c r="P210" s="8" t="s">
        <v>995</v>
      </c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</row>
    <row r="211" spans="1:48" x14ac:dyDescent="0.25">
      <c r="A211" s="8" t="s">
        <v>4574</v>
      </c>
      <c r="B211" s="8" t="s">
        <v>992</v>
      </c>
      <c r="C211" s="8" t="s">
        <v>4575</v>
      </c>
      <c r="D211" s="8" t="s">
        <v>66</v>
      </c>
      <c r="E211" s="8"/>
      <c r="F211" s="8" t="s">
        <v>412</v>
      </c>
      <c r="G211" s="8"/>
      <c r="H211" s="8"/>
      <c r="I211" s="8"/>
      <c r="J211" s="8" t="s">
        <v>584</v>
      </c>
      <c r="K211" s="8" t="s">
        <v>993</v>
      </c>
      <c r="L211" s="8" t="s">
        <v>994</v>
      </c>
      <c r="M211" s="8" t="s">
        <v>4576</v>
      </c>
      <c r="N211" s="8">
        <v>41</v>
      </c>
      <c r="O211" s="8"/>
      <c r="P211" s="8" t="s">
        <v>995</v>
      </c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</row>
    <row r="212" spans="1:48" x14ac:dyDescent="0.25">
      <c r="A212" s="8" t="s">
        <v>4574</v>
      </c>
      <c r="B212" s="8" t="s">
        <v>992</v>
      </c>
      <c r="C212" s="8" t="s">
        <v>4575</v>
      </c>
      <c r="D212" s="8" t="s">
        <v>65</v>
      </c>
      <c r="E212" s="8"/>
      <c r="F212" s="8" t="s">
        <v>412</v>
      </c>
      <c r="G212" s="8"/>
      <c r="H212" s="8"/>
      <c r="I212" s="8"/>
      <c r="J212" s="8" t="s">
        <v>585</v>
      </c>
      <c r="K212" s="8" t="s">
        <v>993</v>
      </c>
      <c r="L212" s="8" t="s">
        <v>994</v>
      </c>
      <c r="M212" s="8" t="s">
        <v>4576</v>
      </c>
      <c r="N212" s="8">
        <v>41</v>
      </c>
      <c r="O212" s="8"/>
      <c r="P212" s="8" t="s">
        <v>995</v>
      </c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</row>
    <row r="213" spans="1:48" x14ac:dyDescent="0.25">
      <c r="A213" s="8" t="s">
        <v>4574</v>
      </c>
      <c r="B213" s="8" t="s">
        <v>992</v>
      </c>
      <c r="C213" s="8" t="s">
        <v>4575</v>
      </c>
      <c r="D213" s="8" t="s">
        <v>338</v>
      </c>
      <c r="E213" s="8"/>
      <c r="F213" s="8" t="s">
        <v>412</v>
      </c>
      <c r="G213" s="8"/>
      <c r="H213" s="8"/>
      <c r="I213" s="8"/>
      <c r="J213" s="8"/>
      <c r="K213" s="8" t="s">
        <v>993</v>
      </c>
      <c r="L213" s="8" t="s">
        <v>994</v>
      </c>
      <c r="M213" s="8" t="s">
        <v>4576</v>
      </c>
      <c r="N213" s="8">
        <v>41</v>
      </c>
      <c r="O213" s="8"/>
      <c r="P213" s="8" t="s">
        <v>995</v>
      </c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</row>
    <row r="214" spans="1:48" x14ac:dyDescent="0.25">
      <c r="A214" s="8" t="s">
        <v>4574</v>
      </c>
      <c r="B214" s="8" t="s">
        <v>992</v>
      </c>
      <c r="C214" s="8" t="s">
        <v>4575</v>
      </c>
      <c r="D214" s="8" t="s">
        <v>107</v>
      </c>
      <c r="E214" s="8"/>
      <c r="F214" s="8" t="s">
        <v>412</v>
      </c>
      <c r="G214" s="8"/>
      <c r="H214" s="8"/>
      <c r="I214" s="8"/>
      <c r="J214" s="8" t="s">
        <v>586</v>
      </c>
      <c r="K214" s="8" t="s">
        <v>993</v>
      </c>
      <c r="L214" s="8" t="s">
        <v>994</v>
      </c>
      <c r="M214" s="8" t="s">
        <v>4576</v>
      </c>
      <c r="N214" s="8">
        <v>41</v>
      </c>
      <c r="O214" s="8"/>
      <c r="P214" s="8" t="s">
        <v>995</v>
      </c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</row>
    <row r="215" spans="1:48" x14ac:dyDescent="0.25">
      <c r="A215" s="8" t="s">
        <v>4574</v>
      </c>
      <c r="B215" s="8" t="s">
        <v>992</v>
      </c>
      <c r="C215" s="8" t="s">
        <v>4575</v>
      </c>
      <c r="D215" s="8" t="s">
        <v>25</v>
      </c>
      <c r="E215" s="8"/>
      <c r="F215" s="8" t="s">
        <v>412</v>
      </c>
      <c r="G215" s="8"/>
      <c r="H215" s="8"/>
      <c r="I215" s="8"/>
      <c r="J215" s="8" t="s">
        <v>587</v>
      </c>
      <c r="K215" s="8" t="s">
        <v>993</v>
      </c>
      <c r="L215" s="8" t="s">
        <v>994</v>
      </c>
      <c r="M215" s="8" t="s">
        <v>4576</v>
      </c>
      <c r="N215" s="8">
        <v>41</v>
      </c>
      <c r="O215" s="8"/>
      <c r="P215" s="8" t="s">
        <v>995</v>
      </c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</row>
    <row r="216" spans="1:48" x14ac:dyDescent="0.25">
      <c r="A216" s="8" t="s">
        <v>4574</v>
      </c>
      <c r="B216" s="8" t="s">
        <v>992</v>
      </c>
      <c r="C216" s="8" t="s">
        <v>4575</v>
      </c>
      <c r="D216" s="8" t="s">
        <v>70</v>
      </c>
      <c r="E216" s="8"/>
      <c r="F216" s="8" t="s">
        <v>412</v>
      </c>
      <c r="G216" s="8"/>
      <c r="H216" s="8"/>
      <c r="I216" s="8"/>
      <c r="J216" s="8" t="s">
        <v>588</v>
      </c>
      <c r="K216" s="8" t="s">
        <v>993</v>
      </c>
      <c r="L216" s="8" t="s">
        <v>994</v>
      </c>
      <c r="M216" s="8" t="s">
        <v>4576</v>
      </c>
      <c r="N216" s="8">
        <v>41</v>
      </c>
      <c r="O216" s="8"/>
      <c r="P216" s="8" t="s">
        <v>995</v>
      </c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</row>
    <row r="217" spans="1:48" x14ac:dyDescent="0.25">
      <c r="A217" s="8" t="s">
        <v>4574</v>
      </c>
      <c r="B217" s="8" t="s">
        <v>992</v>
      </c>
      <c r="C217" s="8" t="s">
        <v>4575</v>
      </c>
      <c r="D217" s="8" t="s">
        <v>136</v>
      </c>
      <c r="E217" s="8"/>
      <c r="F217" s="8" t="s">
        <v>412</v>
      </c>
      <c r="G217" s="8"/>
      <c r="H217" s="8"/>
      <c r="I217" s="8"/>
      <c r="J217" s="8" t="s">
        <v>591</v>
      </c>
      <c r="K217" s="8" t="s">
        <v>993</v>
      </c>
      <c r="L217" s="8" t="s">
        <v>994</v>
      </c>
      <c r="M217" s="8" t="s">
        <v>4576</v>
      </c>
      <c r="N217" s="8">
        <v>41</v>
      </c>
      <c r="O217" s="8"/>
      <c r="P217" s="8" t="s">
        <v>995</v>
      </c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</row>
    <row r="218" spans="1:48" x14ac:dyDescent="0.25">
      <c r="A218" s="8" t="s">
        <v>4574</v>
      </c>
      <c r="B218" s="8" t="s">
        <v>992</v>
      </c>
      <c r="C218" s="8" t="s">
        <v>4575</v>
      </c>
      <c r="D218" s="8" t="s">
        <v>212</v>
      </c>
      <c r="E218" s="8"/>
      <c r="F218" s="8" t="s">
        <v>412</v>
      </c>
      <c r="G218" s="8"/>
      <c r="H218" s="8"/>
      <c r="I218" s="8"/>
      <c r="J218" s="8"/>
      <c r="K218" s="8" t="s">
        <v>993</v>
      </c>
      <c r="L218" s="8" t="s">
        <v>994</v>
      </c>
      <c r="M218" s="8" t="s">
        <v>4576</v>
      </c>
      <c r="N218" s="8">
        <v>41</v>
      </c>
      <c r="O218" s="8"/>
      <c r="P218" s="8" t="s">
        <v>995</v>
      </c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</row>
    <row r="219" spans="1:48" x14ac:dyDescent="0.25">
      <c r="A219" s="8" t="s">
        <v>4574</v>
      </c>
      <c r="B219" s="8" t="s">
        <v>992</v>
      </c>
      <c r="C219" s="8" t="s">
        <v>4575</v>
      </c>
      <c r="D219" s="8" t="s">
        <v>49</v>
      </c>
      <c r="E219" s="8"/>
      <c r="F219" s="8" t="s">
        <v>412</v>
      </c>
      <c r="G219" s="8"/>
      <c r="H219" s="8"/>
      <c r="I219" s="8"/>
      <c r="J219" s="8" t="s">
        <v>592</v>
      </c>
      <c r="K219" s="8" t="s">
        <v>993</v>
      </c>
      <c r="L219" s="8" t="s">
        <v>994</v>
      </c>
      <c r="M219" s="8" t="s">
        <v>4576</v>
      </c>
      <c r="N219" s="8">
        <v>41</v>
      </c>
      <c r="O219" s="8"/>
      <c r="P219" s="8" t="s">
        <v>995</v>
      </c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</row>
    <row r="220" spans="1:48" x14ac:dyDescent="0.25">
      <c r="A220" s="8" t="s">
        <v>4574</v>
      </c>
      <c r="B220" s="8" t="s">
        <v>992</v>
      </c>
      <c r="C220" s="8" t="s">
        <v>4575</v>
      </c>
      <c r="D220" s="8" t="s">
        <v>290</v>
      </c>
      <c r="E220" s="8"/>
      <c r="F220" s="8" t="s">
        <v>412</v>
      </c>
      <c r="G220" s="8"/>
      <c r="H220" s="8"/>
      <c r="I220" s="8"/>
      <c r="J220" s="8" t="s">
        <v>593</v>
      </c>
      <c r="K220" s="8" t="s">
        <v>993</v>
      </c>
      <c r="L220" s="8" t="s">
        <v>994</v>
      </c>
      <c r="M220" s="8" t="s">
        <v>4576</v>
      </c>
      <c r="N220" s="8">
        <v>41</v>
      </c>
      <c r="O220" s="8"/>
      <c r="P220" s="8" t="s">
        <v>995</v>
      </c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</row>
    <row r="221" spans="1:48" x14ac:dyDescent="0.25">
      <c r="A221" s="8" t="s">
        <v>4574</v>
      </c>
      <c r="B221" s="8" t="s">
        <v>992</v>
      </c>
      <c r="C221" s="8" t="s">
        <v>4575</v>
      </c>
      <c r="D221" s="8" t="s">
        <v>297</v>
      </c>
      <c r="E221" s="8"/>
      <c r="F221" s="8" t="s">
        <v>412</v>
      </c>
      <c r="G221" s="8"/>
      <c r="H221" s="8"/>
      <c r="I221" s="8"/>
      <c r="J221" s="8" t="s">
        <v>594</v>
      </c>
      <c r="K221" s="8" t="s">
        <v>993</v>
      </c>
      <c r="L221" s="8" t="s">
        <v>994</v>
      </c>
      <c r="M221" s="8" t="s">
        <v>4576</v>
      </c>
      <c r="N221" s="8">
        <v>41</v>
      </c>
      <c r="O221" s="8"/>
      <c r="P221" s="8" t="s">
        <v>995</v>
      </c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</row>
    <row r="222" spans="1:48" x14ac:dyDescent="0.25">
      <c r="A222" s="8" t="s">
        <v>4574</v>
      </c>
      <c r="B222" s="8" t="s">
        <v>992</v>
      </c>
      <c r="C222" s="8" t="s">
        <v>4575</v>
      </c>
      <c r="D222" s="8" t="s">
        <v>34</v>
      </c>
      <c r="E222" s="8"/>
      <c r="F222" s="8" t="s">
        <v>412</v>
      </c>
      <c r="G222" s="8"/>
      <c r="H222" s="8"/>
      <c r="I222" s="8"/>
      <c r="J222" s="8" t="s">
        <v>589</v>
      </c>
      <c r="K222" s="8" t="s">
        <v>993</v>
      </c>
      <c r="L222" s="8" t="s">
        <v>994</v>
      </c>
      <c r="M222" s="8" t="s">
        <v>4576</v>
      </c>
      <c r="N222" s="8">
        <v>41</v>
      </c>
      <c r="O222" s="8"/>
      <c r="P222" s="8" t="s">
        <v>995</v>
      </c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</row>
    <row r="223" spans="1:48" x14ac:dyDescent="0.25">
      <c r="A223" s="8" t="s">
        <v>4574</v>
      </c>
      <c r="B223" s="8" t="s">
        <v>992</v>
      </c>
      <c r="C223" s="8" t="s">
        <v>4575</v>
      </c>
      <c r="D223" s="8" t="s">
        <v>303</v>
      </c>
      <c r="E223" s="8"/>
      <c r="F223" s="8" t="s">
        <v>412</v>
      </c>
      <c r="G223" s="8"/>
      <c r="H223" s="8"/>
      <c r="I223" s="8"/>
      <c r="J223" s="8" t="s">
        <v>595</v>
      </c>
      <c r="K223" s="8" t="s">
        <v>993</v>
      </c>
      <c r="L223" s="8" t="s">
        <v>994</v>
      </c>
      <c r="M223" s="8" t="s">
        <v>4576</v>
      </c>
      <c r="N223" s="8">
        <v>41</v>
      </c>
      <c r="O223" s="8"/>
      <c r="P223" s="8" t="s">
        <v>995</v>
      </c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</row>
    <row r="224" spans="1:48" x14ac:dyDescent="0.25">
      <c r="A224" s="8" t="s">
        <v>4574</v>
      </c>
      <c r="B224" s="8" t="s">
        <v>992</v>
      </c>
      <c r="C224" s="8" t="s">
        <v>4575</v>
      </c>
      <c r="D224" s="8" t="s">
        <v>112</v>
      </c>
      <c r="E224" s="8"/>
      <c r="F224" s="8" t="s">
        <v>412</v>
      </c>
      <c r="G224" s="8"/>
      <c r="H224" s="8"/>
      <c r="I224" s="8"/>
      <c r="J224" s="8" t="s">
        <v>590</v>
      </c>
      <c r="K224" s="8" t="s">
        <v>993</v>
      </c>
      <c r="L224" s="8" t="s">
        <v>994</v>
      </c>
      <c r="M224" s="8" t="s">
        <v>4576</v>
      </c>
      <c r="N224" s="8">
        <v>41</v>
      </c>
      <c r="O224" s="8"/>
      <c r="P224" s="8" t="s">
        <v>995</v>
      </c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</row>
    <row r="225" spans="1:48" x14ac:dyDescent="0.25">
      <c r="A225" s="8" t="s">
        <v>4574</v>
      </c>
      <c r="B225" s="8" t="s">
        <v>992</v>
      </c>
      <c r="C225" s="8" t="s">
        <v>4575</v>
      </c>
      <c r="D225" s="8" t="s">
        <v>196</v>
      </c>
      <c r="E225" s="8"/>
      <c r="F225" s="8" t="s">
        <v>412</v>
      </c>
      <c r="G225" s="8"/>
      <c r="H225" s="8"/>
      <c r="I225" s="8"/>
      <c r="J225" s="8" t="s">
        <v>596</v>
      </c>
      <c r="K225" s="8" t="s">
        <v>993</v>
      </c>
      <c r="L225" s="8" t="s">
        <v>994</v>
      </c>
      <c r="M225" s="8" t="s">
        <v>4576</v>
      </c>
      <c r="N225" s="8">
        <v>41</v>
      </c>
      <c r="O225" s="8"/>
      <c r="P225" s="8" t="s">
        <v>995</v>
      </c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</row>
    <row r="226" spans="1:48" x14ac:dyDescent="0.25">
      <c r="A226" s="8" t="s">
        <v>4574</v>
      </c>
      <c r="B226" s="8" t="s">
        <v>992</v>
      </c>
      <c r="C226" s="8" t="s">
        <v>4575</v>
      </c>
      <c r="D226" s="8" t="s">
        <v>32</v>
      </c>
      <c r="E226" s="8"/>
      <c r="F226" s="8" t="s">
        <v>412</v>
      </c>
      <c r="G226" s="8"/>
      <c r="H226" s="8"/>
      <c r="I226" s="8"/>
      <c r="J226" s="8" t="s">
        <v>597</v>
      </c>
      <c r="K226" s="8" t="s">
        <v>993</v>
      </c>
      <c r="L226" s="8" t="s">
        <v>994</v>
      </c>
      <c r="M226" s="8" t="s">
        <v>4576</v>
      </c>
      <c r="N226" s="8">
        <v>41</v>
      </c>
      <c r="O226" s="8"/>
      <c r="P226" s="8" t="s">
        <v>995</v>
      </c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</row>
    <row r="227" spans="1:48" x14ac:dyDescent="0.25">
      <c r="A227" s="8" t="s">
        <v>4574</v>
      </c>
      <c r="B227" s="8" t="s">
        <v>992</v>
      </c>
      <c r="C227" s="8" t="s">
        <v>4575</v>
      </c>
      <c r="D227" s="8" t="s">
        <v>155</v>
      </c>
      <c r="E227" s="8"/>
      <c r="F227" s="8" t="s">
        <v>412</v>
      </c>
      <c r="G227" s="8"/>
      <c r="H227" s="8"/>
      <c r="I227" s="8"/>
      <c r="J227" s="8" t="s">
        <v>598</v>
      </c>
      <c r="K227" s="8" t="s">
        <v>993</v>
      </c>
      <c r="L227" s="8" t="s">
        <v>994</v>
      </c>
      <c r="M227" s="8" t="s">
        <v>4576</v>
      </c>
      <c r="N227" s="8">
        <v>41</v>
      </c>
      <c r="O227" s="8"/>
      <c r="P227" s="8" t="s">
        <v>995</v>
      </c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</row>
    <row r="228" spans="1:48" x14ac:dyDescent="0.25">
      <c r="A228" s="8" t="s">
        <v>4574</v>
      </c>
      <c r="B228" s="8" t="s">
        <v>992</v>
      </c>
      <c r="C228" s="8" t="s">
        <v>4575</v>
      </c>
      <c r="D228" s="8" t="s">
        <v>331</v>
      </c>
      <c r="E228" s="8"/>
      <c r="F228" s="8" t="s">
        <v>412</v>
      </c>
      <c r="G228" s="8"/>
      <c r="H228" s="8"/>
      <c r="I228" s="8"/>
      <c r="J228" s="8" t="s">
        <v>599</v>
      </c>
      <c r="K228" s="8" t="s">
        <v>993</v>
      </c>
      <c r="L228" s="8" t="s">
        <v>994</v>
      </c>
      <c r="M228" s="8" t="s">
        <v>4576</v>
      </c>
      <c r="N228" s="8">
        <v>41</v>
      </c>
      <c r="O228" s="8"/>
      <c r="P228" s="8" t="s">
        <v>995</v>
      </c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</row>
    <row r="229" spans="1:48" x14ac:dyDescent="0.25">
      <c r="A229" s="8" t="s">
        <v>4574</v>
      </c>
      <c r="B229" s="8" t="s">
        <v>992</v>
      </c>
      <c r="C229" s="8" t="s">
        <v>4575</v>
      </c>
      <c r="D229" s="8" t="s">
        <v>345</v>
      </c>
      <c r="E229" s="8"/>
      <c r="F229" s="8" t="s">
        <v>412</v>
      </c>
      <c r="G229" s="8"/>
      <c r="H229" s="8"/>
      <c r="I229" s="8"/>
      <c r="J229" s="8" t="s">
        <v>600</v>
      </c>
      <c r="K229" s="8" t="s">
        <v>993</v>
      </c>
      <c r="L229" s="8" t="s">
        <v>994</v>
      </c>
      <c r="M229" s="8" t="s">
        <v>4576</v>
      </c>
      <c r="N229" s="8">
        <v>41</v>
      </c>
      <c r="O229" s="8"/>
      <c r="P229" s="8" t="s">
        <v>995</v>
      </c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</row>
    <row r="230" spans="1:48" x14ac:dyDescent="0.25">
      <c r="A230" s="8" t="s">
        <v>4574</v>
      </c>
      <c r="B230" s="8" t="s">
        <v>992</v>
      </c>
      <c r="C230" s="8" t="s">
        <v>4575</v>
      </c>
      <c r="D230" s="8" t="s">
        <v>109</v>
      </c>
      <c r="E230" s="8"/>
      <c r="F230" s="8" t="s">
        <v>412</v>
      </c>
      <c r="G230" s="8"/>
      <c r="H230" s="8"/>
      <c r="I230" s="8"/>
      <c r="J230" s="8" t="s">
        <v>605</v>
      </c>
      <c r="K230" s="8" t="s">
        <v>993</v>
      </c>
      <c r="L230" s="8" t="s">
        <v>994</v>
      </c>
      <c r="M230" s="8" t="s">
        <v>4576</v>
      </c>
      <c r="N230" s="8">
        <v>41</v>
      </c>
      <c r="O230" s="8"/>
      <c r="P230" s="8" t="s">
        <v>995</v>
      </c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</row>
    <row r="231" spans="1:48" x14ac:dyDescent="0.25">
      <c r="A231" s="8" t="s">
        <v>4574</v>
      </c>
      <c r="B231" s="8" t="s">
        <v>992</v>
      </c>
      <c r="C231" s="8" t="s">
        <v>4575</v>
      </c>
      <c r="D231" s="8" t="s">
        <v>143</v>
      </c>
      <c r="E231" s="8"/>
      <c r="F231" s="8" t="s">
        <v>412</v>
      </c>
      <c r="G231" s="8"/>
      <c r="H231" s="8"/>
      <c r="I231" s="8"/>
      <c r="J231" s="8" t="s">
        <v>601</v>
      </c>
      <c r="K231" s="8" t="s">
        <v>993</v>
      </c>
      <c r="L231" s="8" t="s">
        <v>994</v>
      </c>
      <c r="M231" s="8" t="s">
        <v>4576</v>
      </c>
      <c r="N231" s="8">
        <v>41</v>
      </c>
      <c r="O231" s="8"/>
      <c r="P231" s="8" t="s">
        <v>995</v>
      </c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</row>
    <row r="232" spans="1:48" x14ac:dyDescent="0.25">
      <c r="A232" s="8" t="s">
        <v>4574</v>
      </c>
      <c r="B232" s="8" t="s">
        <v>992</v>
      </c>
      <c r="C232" s="8" t="s">
        <v>4575</v>
      </c>
      <c r="D232" s="8" t="s">
        <v>43</v>
      </c>
      <c r="E232" s="8"/>
      <c r="F232" s="8" t="s">
        <v>412</v>
      </c>
      <c r="G232" s="8"/>
      <c r="H232" s="8"/>
      <c r="I232" s="8"/>
      <c r="J232" s="8" t="s">
        <v>602</v>
      </c>
      <c r="K232" s="8" t="s">
        <v>993</v>
      </c>
      <c r="L232" s="8" t="s">
        <v>994</v>
      </c>
      <c r="M232" s="8" t="s">
        <v>4576</v>
      </c>
      <c r="N232" s="8">
        <v>41</v>
      </c>
      <c r="O232" s="8"/>
      <c r="P232" s="8" t="s">
        <v>995</v>
      </c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</row>
    <row r="233" spans="1:48" x14ac:dyDescent="0.25">
      <c r="A233" s="8" t="s">
        <v>4574</v>
      </c>
      <c r="B233" s="8" t="s">
        <v>992</v>
      </c>
      <c r="C233" s="8" t="s">
        <v>4575</v>
      </c>
      <c r="D233" s="8" t="s">
        <v>241</v>
      </c>
      <c r="E233" s="8"/>
      <c r="F233" s="8" t="s">
        <v>412</v>
      </c>
      <c r="G233" s="8"/>
      <c r="H233" s="8"/>
      <c r="I233" s="8"/>
      <c r="J233" s="8" t="s">
        <v>603</v>
      </c>
      <c r="K233" s="8" t="s">
        <v>993</v>
      </c>
      <c r="L233" s="8" t="s">
        <v>994</v>
      </c>
      <c r="M233" s="8" t="s">
        <v>4576</v>
      </c>
      <c r="N233" s="8">
        <v>41</v>
      </c>
      <c r="O233" s="8"/>
      <c r="P233" s="8" t="s">
        <v>995</v>
      </c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</row>
    <row r="234" spans="1:48" x14ac:dyDescent="0.25">
      <c r="A234" s="8" t="s">
        <v>4574</v>
      </c>
      <c r="B234" s="8" t="s">
        <v>992</v>
      </c>
      <c r="C234" s="8" t="s">
        <v>4575</v>
      </c>
      <c r="D234" s="8" t="s">
        <v>138</v>
      </c>
      <c r="E234" s="8"/>
      <c r="F234" s="8" t="s">
        <v>412</v>
      </c>
      <c r="G234" s="8"/>
      <c r="H234" s="8"/>
      <c r="I234" s="8"/>
      <c r="J234" s="8" t="s">
        <v>604</v>
      </c>
      <c r="K234" s="8" t="s">
        <v>993</v>
      </c>
      <c r="L234" s="8" t="s">
        <v>994</v>
      </c>
      <c r="M234" s="8" t="s">
        <v>4576</v>
      </c>
      <c r="N234" s="8">
        <v>41</v>
      </c>
      <c r="O234" s="8"/>
      <c r="P234" s="8" t="s">
        <v>995</v>
      </c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</row>
    <row r="235" spans="1:48" x14ac:dyDescent="0.25">
      <c r="A235" s="8" t="s">
        <v>4574</v>
      </c>
      <c r="B235" s="8" t="s">
        <v>992</v>
      </c>
      <c r="C235" s="8" t="s">
        <v>4575</v>
      </c>
      <c r="D235" s="8" t="s">
        <v>108</v>
      </c>
      <c r="E235" s="8"/>
      <c r="F235" s="8" t="s">
        <v>412</v>
      </c>
      <c r="G235" s="8"/>
      <c r="H235" s="8"/>
      <c r="I235" s="8"/>
      <c r="J235" s="8" t="s">
        <v>606</v>
      </c>
      <c r="K235" s="8" t="s">
        <v>993</v>
      </c>
      <c r="L235" s="8" t="s">
        <v>994</v>
      </c>
      <c r="M235" s="8" t="s">
        <v>4576</v>
      </c>
      <c r="N235" s="8">
        <v>41</v>
      </c>
      <c r="O235" s="8"/>
      <c r="P235" s="8" t="s">
        <v>995</v>
      </c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</row>
    <row r="236" spans="1:48" x14ac:dyDescent="0.25">
      <c r="A236" s="8" t="s">
        <v>4574</v>
      </c>
      <c r="B236" s="8" t="s">
        <v>992</v>
      </c>
      <c r="C236" s="8" t="s">
        <v>4575</v>
      </c>
      <c r="D236" s="8" t="s">
        <v>100</v>
      </c>
      <c r="E236" s="8"/>
      <c r="F236" s="8" t="s">
        <v>412</v>
      </c>
      <c r="G236" s="8"/>
      <c r="H236" s="8"/>
      <c r="I236" s="8"/>
      <c r="J236" s="8" t="s">
        <v>607</v>
      </c>
      <c r="K236" s="8" t="s">
        <v>993</v>
      </c>
      <c r="L236" s="8" t="s">
        <v>994</v>
      </c>
      <c r="M236" s="8" t="s">
        <v>4576</v>
      </c>
      <c r="N236" s="8">
        <v>41</v>
      </c>
      <c r="O236" s="8"/>
      <c r="P236" s="8" t="s">
        <v>995</v>
      </c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</row>
    <row r="237" spans="1:48" x14ac:dyDescent="0.25">
      <c r="A237" s="8" t="s">
        <v>4574</v>
      </c>
      <c r="B237" s="8" t="s">
        <v>992</v>
      </c>
      <c r="C237" s="8" t="s">
        <v>4575</v>
      </c>
      <c r="D237" s="8" t="s">
        <v>59</v>
      </c>
      <c r="E237" s="8"/>
      <c r="F237" s="8" t="s">
        <v>412</v>
      </c>
      <c r="G237" s="8"/>
      <c r="H237" s="8"/>
      <c r="I237" s="8"/>
      <c r="J237" s="8" t="s">
        <v>608</v>
      </c>
      <c r="K237" s="8" t="s">
        <v>993</v>
      </c>
      <c r="L237" s="8" t="s">
        <v>994</v>
      </c>
      <c r="M237" s="8" t="s">
        <v>4576</v>
      </c>
      <c r="N237" s="8">
        <v>41</v>
      </c>
      <c r="O237" s="8"/>
      <c r="P237" s="8" t="s">
        <v>995</v>
      </c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</row>
    <row r="238" spans="1:48" x14ac:dyDescent="0.25">
      <c r="A238" s="8" t="s">
        <v>4574</v>
      </c>
      <c r="B238" s="8" t="s">
        <v>992</v>
      </c>
      <c r="C238" s="8" t="s">
        <v>4575</v>
      </c>
      <c r="D238" s="8" t="s">
        <v>111</v>
      </c>
      <c r="E238" s="8"/>
      <c r="F238" s="8" t="s">
        <v>412</v>
      </c>
      <c r="G238" s="8"/>
      <c r="H238" s="8"/>
      <c r="I238" s="8"/>
      <c r="J238" s="8" t="s">
        <v>610</v>
      </c>
      <c r="K238" s="8" t="s">
        <v>993</v>
      </c>
      <c r="L238" s="8" t="s">
        <v>994</v>
      </c>
      <c r="M238" s="8" t="s">
        <v>4576</v>
      </c>
      <c r="N238" s="8">
        <v>41</v>
      </c>
      <c r="O238" s="8"/>
      <c r="P238" s="8" t="s">
        <v>995</v>
      </c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</row>
    <row r="239" spans="1:48" x14ac:dyDescent="0.25">
      <c r="A239" s="8" t="s">
        <v>4574</v>
      </c>
      <c r="B239" s="8" t="s">
        <v>992</v>
      </c>
      <c r="C239" s="8" t="s">
        <v>4575</v>
      </c>
      <c r="D239" s="8" t="s">
        <v>210</v>
      </c>
      <c r="E239" s="8"/>
      <c r="F239" s="8" t="s">
        <v>412</v>
      </c>
      <c r="G239" s="8"/>
      <c r="H239" s="8"/>
      <c r="I239" s="8"/>
      <c r="J239" s="8"/>
      <c r="K239" s="8" t="s">
        <v>993</v>
      </c>
      <c r="L239" s="8" t="s">
        <v>994</v>
      </c>
      <c r="M239" s="8" t="s">
        <v>4576</v>
      </c>
      <c r="N239" s="8">
        <v>41</v>
      </c>
      <c r="O239" s="8"/>
      <c r="P239" s="8" t="s">
        <v>995</v>
      </c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</row>
    <row r="240" spans="1:48" x14ac:dyDescent="0.25">
      <c r="A240" s="8" t="s">
        <v>4574</v>
      </c>
      <c r="B240" s="8" t="s">
        <v>992</v>
      </c>
      <c r="C240" s="8" t="s">
        <v>4575</v>
      </c>
      <c r="D240" s="8" t="s">
        <v>268</v>
      </c>
      <c r="E240" s="8"/>
      <c r="F240" s="8" t="s">
        <v>437</v>
      </c>
      <c r="G240" s="8"/>
      <c r="H240" s="8"/>
      <c r="I240" s="8"/>
      <c r="J240" s="8" t="s">
        <v>611</v>
      </c>
      <c r="K240" s="8" t="s">
        <v>993</v>
      </c>
      <c r="L240" s="8" t="s">
        <v>994</v>
      </c>
      <c r="M240" s="8" t="s">
        <v>4576</v>
      </c>
      <c r="N240" s="8">
        <v>41</v>
      </c>
      <c r="O240" s="8"/>
      <c r="P240" s="8" t="s">
        <v>995</v>
      </c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</row>
    <row r="241" spans="1:48" x14ac:dyDescent="0.25">
      <c r="A241" s="8" t="s">
        <v>4574</v>
      </c>
      <c r="B241" s="8" t="s">
        <v>992</v>
      </c>
      <c r="C241" s="8" t="s">
        <v>4575</v>
      </c>
      <c r="D241" s="8" t="s">
        <v>315</v>
      </c>
      <c r="E241" s="8"/>
      <c r="F241" s="8" t="s">
        <v>412</v>
      </c>
      <c r="G241" s="8"/>
      <c r="H241" s="8"/>
      <c r="I241" s="8"/>
      <c r="J241" s="8"/>
      <c r="K241" s="8" t="s">
        <v>993</v>
      </c>
      <c r="L241" s="8" t="s">
        <v>994</v>
      </c>
      <c r="M241" s="8" t="s">
        <v>4576</v>
      </c>
      <c r="N241" s="8">
        <v>41</v>
      </c>
      <c r="O241" s="8"/>
      <c r="P241" s="8" t="s">
        <v>995</v>
      </c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</row>
    <row r="242" spans="1:48" x14ac:dyDescent="0.25">
      <c r="A242" s="8" t="s">
        <v>4574</v>
      </c>
      <c r="B242" s="8" t="s">
        <v>992</v>
      </c>
      <c r="C242" s="8" t="s">
        <v>4575</v>
      </c>
      <c r="D242" s="8" t="s">
        <v>89</v>
      </c>
      <c r="E242" s="8"/>
      <c r="F242" s="8" t="s">
        <v>412</v>
      </c>
      <c r="G242" s="8"/>
      <c r="H242" s="8"/>
      <c r="I242" s="8"/>
      <c r="J242" s="8" t="s">
        <v>612</v>
      </c>
      <c r="K242" s="8" t="s">
        <v>993</v>
      </c>
      <c r="L242" s="8" t="s">
        <v>994</v>
      </c>
      <c r="M242" s="8" t="s">
        <v>4576</v>
      </c>
      <c r="N242" s="8">
        <v>41</v>
      </c>
      <c r="O242" s="8"/>
      <c r="P242" s="8" t="s">
        <v>995</v>
      </c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</row>
    <row r="243" spans="1:48" x14ac:dyDescent="0.25">
      <c r="A243" s="8" t="s">
        <v>4574</v>
      </c>
      <c r="B243" s="8" t="s">
        <v>992</v>
      </c>
      <c r="C243" s="8" t="s">
        <v>4575</v>
      </c>
      <c r="D243" s="8" t="s">
        <v>123</v>
      </c>
      <c r="E243" s="8"/>
      <c r="F243" s="8" t="s">
        <v>412</v>
      </c>
      <c r="G243" s="8"/>
      <c r="H243" s="8"/>
      <c r="I243" s="8"/>
      <c r="J243" s="8" t="s">
        <v>609</v>
      </c>
      <c r="K243" s="8" t="s">
        <v>993</v>
      </c>
      <c r="L243" s="8" t="s">
        <v>994</v>
      </c>
      <c r="M243" s="8" t="s">
        <v>4576</v>
      </c>
      <c r="N243" s="8">
        <v>41</v>
      </c>
      <c r="O243" s="8"/>
      <c r="P243" s="8" t="s">
        <v>995</v>
      </c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</row>
    <row r="244" spans="1:48" x14ac:dyDescent="0.25">
      <c r="A244" s="8" t="s">
        <v>4574</v>
      </c>
      <c r="B244" s="8" t="s">
        <v>992</v>
      </c>
      <c r="C244" s="8" t="s">
        <v>4575</v>
      </c>
      <c r="D244" s="8" t="s">
        <v>340</v>
      </c>
      <c r="E244" s="8"/>
      <c r="F244" s="8" t="s">
        <v>412</v>
      </c>
      <c r="G244" s="8"/>
      <c r="H244" s="8"/>
      <c r="I244" s="8"/>
      <c r="J244" s="8"/>
      <c r="K244" s="8" t="s">
        <v>993</v>
      </c>
      <c r="L244" s="8" t="s">
        <v>994</v>
      </c>
      <c r="M244" s="8" t="s">
        <v>4576</v>
      </c>
      <c r="N244" s="8">
        <v>41</v>
      </c>
      <c r="O244" s="8"/>
      <c r="P244" s="8" t="s">
        <v>995</v>
      </c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</row>
    <row r="245" spans="1:48" x14ac:dyDescent="0.25">
      <c r="A245" s="8" t="s">
        <v>4574</v>
      </c>
      <c r="B245" s="8" t="s">
        <v>992</v>
      </c>
      <c r="C245" s="8" t="s">
        <v>4575</v>
      </c>
      <c r="D245" s="8" t="s">
        <v>13</v>
      </c>
      <c r="E245" s="8"/>
      <c r="F245" s="8" t="s">
        <v>412</v>
      </c>
      <c r="G245" s="8"/>
      <c r="H245" s="8"/>
      <c r="I245" s="8"/>
      <c r="J245" s="8" t="s">
        <v>614</v>
      </c>
      <c r="K245" s="8" t="s">
        <v>993</v>
      </c>
      <c r="L245" s="8" t="s">
        <v>994</v>
      </c>
      <c r="M245" s="8" t="s">
        <v>4576</v>
      </c>
      <c r="N245" s="8">
        <v>41</v>
      </c>
      <c r="O245" s="8"/>
      <c r="P245" s="8" t="s">
        <v>995</v>
      </c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</row>
    <row r="246" spans="1:48" x14ac:dyDescent="0.25">
      <c r="A246" s="8" t="s">
        <v>4574</v>
      </c>
      <c r="B246" s="8" t="s">
        <v>992</v>
      </c>
      <c r="C246" s="8" t="s">
        <v>4575</v>
      </c>
      <c r="D246" s="8" t="s">
        <v>88</v>
      </c>
      <c r="E246" s="8"/>
      <c r="F246" s="8" t="s">
        <v>412</v>
      </c>
      <c r="G246" s="8"/>
      <c r="H246" s="8"/>
      <c r="I246" s="8"/>
      <c r="J246" s="8" t="s">
        <v>615</v>
      </c>
      <c r="K246" s="8" t="s">
        <v>993</v>
      </c>
      <c r="L246" s="8" t="s">
        <v>994</v>
      </c>
      <c r="M246" s="8" t="s">
        <v>4576</v>
      </c>
      <c r="N246" s="8">
        <v>41</v>
      </c>
      <c r="O246" s="8"/>
      <c r="P246" s="8" t="s">
        <v>995</v>
      </c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</row>
    <row r="247" spans="1:48" x14ac:dyDescent="0.25">
      <c r="A247" s="8" t="s">
        <v>4574</v>
      </c>
      <c r="B247" s="8" t="s">
        <v>992</v>
      </c>
      <c r="C247" s="8" t="s">
        <v>4575</v>
      </c>
      <c r="D247" s="8" t="s">
        <v>81</v>
      </c>
      <c r="E247" s="8"/>
      <c r="F247" s="8" t="s">
        <v>412</v>
      </c>
      <c r="G247" s="8"/>
      <c r="H247" s="8"/>
      <c r="I247" s="8"/>
      <c r="J247" s="8" t="s">
        <v>616</v>
      </c>
      <c r="K247" s="8" t="s">
        <v>993</v>
      </c>
      <c r="L247" s="8" t="s">
        <v>994</v>
      </c>
      <c r="M247" s="8" t="s">
        <v>4576</v>
      </c>
      <c r="N247" s="8">
        <v>41</v>
      </c>
      <c r="O247" s="8"/>
      <c r="P247" s="8" t="s">
        <v>995</v>
      </c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</row>
    <row r="248" spans="1:48" x14ac:dyDescent="0.25">
      <c r="A248" s="8" t="s">
        <v>4574</v>
      </c>
      <c r="B248" s="8" t="s">
        <v>992</v>
      </c>
      <c r="C248" s="8" t="s">
        <v>4575</v>
      </c>
      <c r="D248" s="8" t="s">
        <v>296</v>
      </c>
      <c r="E248" s="8"/>
      <c r="F248" s="8" t="s">
        <v>412</v>
      </c>
      <c r="G248" s="8"/>
      <c r="H248" s="8"/>
      <c r="I248" s="8"/>
      <c r="J248" s="8" t="s">
        <v>617</v>
      </c>
      <c r="K248" s="8" t="s">
        <v>993</v>
      </c>
      <c r="L248" s="8" t="s">
        <v>994</v>
      </c>
      <c r="M248" s="8" t="s">
        <v>4576</v>
      </c>
      <c r="N248" s="8">
        <v>41</v>
      </c>
      <c r="O248" s="8"/>
      <c r="P248" s="8" t="s">
        <v>995</v>
      </c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</row>
    <row r="249" spans="1:48" x14ac:dyDescent="0.25">
      <c r="A249" s="8" t="s">
        <v>4574</v>
      </c>
      <c r="B249" s="8" t="s">
        <v>992</v>
      </c>
      <c r="C249" s="8" t="s">
        <v>4575</v>
      </c>
      <c r="D249" s="8" t="s">
        <v>195</v>
      </c>
      <c r="E249" s="8"/>
      <c r="F249" s="8" t="s">
        <v>412</v>
      </c>
      <c r="G249" s="8"/>
      <c r="H249" s="8"/>
      <c r="I249" s="8"/>
      <c r="J249" s="8" t="s">
        <v>618</v>
      </c>
      <c r="K249" s="8" t="s">
        <v>993</v>
      </c>
      <c r="L249" s="8" t="s">
        <v>994</v>
      </c>
      <c r="M249" s="8" t="s">
        <v>4576</v>
      </c>
      <c r="N249" s="8">
        <v>41</v>
      </c>
      <c r="O249" s="8"/>
      <c r="P249" s="8" t="s">
        <v>995</v>
      </c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</row>
    <row r="250" spans="1:48" x14ac:dyDescent="0.25">
      <c r="A250" s="8" t="s">
        <v>4574</v>
      </c>
      <c r="B250" s="8" t="s">
        <v>992</v>
      </c>
      <c r="C250" s="8" t="s">
        <v>4575</v>
      </c>
      <c r="D250" s="8" t="s">
        <v>142</v>
      </c>
      <c r="E250" s="8"/>
      <c r="F250" s="8" t="s">
        <v>412</v>
      </c>
      <c r="G250" s="8"/>
      <c r="H250" s="8"/>
      <c r="I250" s="8"/>
      <c r="J250" s="8" t="s">
        <v>613</v>
      </c>
      <c r="K250" s="8" t="s">
        <v>993</v>
      </c>
      <c r="L250" s="8" t="s">
        <v>994</v>
      </c>
      <c r="M250" s="8" t="s">
        <v>4576</v>
      </c>
      <c r="N250" s="8">
        <v>41</v>
      </c>
      <c r="O250" s="8"/>
      <c r="P250" s="8" t="s">
        <v>995</v>
      </c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</row>
    <row r="251" spans="1:48" x14ac:dyDescent="0.25">
      <c r="A251" s="8" t="s">
        <v>4574</v>
      </c>
      <c r="B251" s="8" t="s">
        <v>992</v>
      </c>
      <c r="C251" s="8" t="s">
        <v>4575</v>
      </c>
      <c r="D251" s="8" t="s">
        <v>275</v>
      </c>
      <c r="E251" s="8"/>
      <c r="F251" s="8" t="s">
        <v>412</v>
      </c>
      <c r="G251" s="8"/>
      <c r="H251" s="8"/>
      <c r="I251" s="8"/>
      <c r="J251" s="8" t="s">
        <v>619</v>
      </c>
      <c r="K251" s="8" t="s">
        <v>993</v>
      </c>
      <c r="L251" s="8" t="s">
        <v>994</v>
      </c>
      <c r="M251" s="8" t="s">
        <v>4576</v>
      </c>
      <c r="N251" s="8">
        <v>41</v>
      </c>
      <c r="O251" s="8"/>
      <c r="P251" s="8" t="s">
        <v>995</v>
      </c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</row>
    <row r="252" spans="1:48" x14ac:dyDescent="0.25">
      <c r="A252" s="8" t="s">
        <v>4574</v>
      </c>
      <c r="B252" s="8" t="s">
        <v>992</v>
      </c>
      <c r="C252" s="8" t="s">
        <v>4575</v>
      </c>
      <c r="D252" s="8" t="s">
        <v>314</v>
      </c>
      <c r="E252" s="8"/>
      <c r="F252" s="8" t="s">
        <v>412</v>
      </c>
      <c r="G252" s="8"/>
      <c r="H252" s="8"/>
      <c r="I252" s="8"/>
      <c r="J252" s="8"/>
      <c r="K252" s="8" t="s">
        <v>993</v>
      </c>
      <c r="L252" s="8" t="s">
        <v>994</v>
      </c>
      <c r="M252" s="8" t="s">
        <v>4576</v>
      </c>
      <c r="N252" s="8">
        <v>41</v>
      </c>
      <c r="O252" s="8"/>
      <c r="P252" s="8" t="s">
        <v>995</v>
      </c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</row>
    <row r="253" spans="1:48" x14ac:dyDescent="0.25">
      <c r="A253" s="8" t="s">
        <v>4574</v>
      </c>
      <c r="B253" s="8" t="s">
        <v>992</v>
      </c>
      <c r="C253" s="8" t="s">
        <v>4575</v>
      </c>
      <c r="D253" s="8" t="s">
        <v>278</v>
      </c>
      <c r="E253" s="8"/>
      <c r="F253" s="8" t="s">
        <v>437</v>
      </c>
      <c r="G253" s="8"/>
      <c r="H253" s="8"/>
      <c r="I253" s="8"/>
      <c r="J253" s="8" t="s">
        <v>620</v>
      </c>
      <c r="K253" s="8" t="s">
        <v>993</v>
      </c>
      <c r="L253" s="8" t="s">
        <v>994</v>
      </c>
      <c r="M253" s="8" t="s">
        <v>4576</v>
      </c>
      <c r="N253" s="8">
        <v>41</v>
      </c>
      <c r="O253" s="8"/>
      <c r="P253" s="8" t="s">
        <v>995</v>
      </c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</row>
    <row r="254" spans="1:48" x14ac:dyDescent="0.25">
      <c r="A254" s="8" t="s">
        <v>4574</v>
      </c>
      <c r="B254" s="8" t="s">
        <v>992</v>
      </c>
      <c r="C254" s="8" t="s">
        <v>4575</v>
      </c>
      <c r="D254" s="8" t="s">
        <v>300</v>
      </c>
      <c r="E254" s="8"/>
      <c r="F254" s="8" t="s">
        <v>412</v>
      </c>
      <c r="G254" s="8"/>
      <c r="H254" s="8"/>
      <c r="I254" s="8"/>
      <c r="J254" s="8" t="s">
        <v>621</v>
      </c>
      <c r="K254" s="8" t="s">
        <v>993</v>
      </c>
      <c r="L254" s="8" t="s">
        <v>994</v>
      </c>
      <c r="M254" s="8" t="s">
        <v>4576</v>
      </c>
      <c r="N254" s="8">
        <v>41</v>
      </c>
      <c r="O254" s="8"/>
      <c r="P254" s="8" t="s">
        <v>995</v>
      </c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</row>
    <row r="255" spans="1:48" x14ac:dyDescent="0.25">
      <c r="A255" s="8" t="s">
        <v>4574</v>
      </c>
      <c r="B255" s="8" t="s">
        <v>992</v>
      </c>
      <c r="C255" s="8" t="s">
        <v>4575</v>
      </c>
      <c r="D255" s="8" t="s">
        <v>72</v>
      </c>
      <c r="E255" s="8"/>
      <c r="F255" s="8" t="s">
        <v>412</v>
      </c>
      <c r="G255" s="8"/>
      <c r="H255" s="8"/>
      <c r="I255" s="8"/>
      <c r="J255" s="8" t="s">
        <v>622</v>
      </c>
      <c r="K255" s="8" t="s">
        <v>993</v>
      </c>
      <c r="L255" s="8" t="s">
        <v>994</v>
      </c>
      <c r="M255" s="8" t="s">
        <v>4576</v>
      </c>
      <c r="N255" s="8">
        <v>41</v>
      </c>
      <c r="O255" s="8"/>
      <c r="P255" s="8" t="s">
        <v>995</v>
      </c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</row>
    <row r="256" spans="1:48" x14ac:dyDescent="0.25">
      <c r="A256" s="8" t="s">
        <v>4574</v>
      </c>
      <c r="B256" s="8" t="s">
        <v>992</v>
      </c>
      <c r="C256" s="8" t="s">
        <v>4575</v>
      </c>
      <c r="D256" s="8" t="s">
        <v>221</v>
      </c>
      <c r="E256" s="8"/>
      <c r="F256" s="8" t="s">
        <v>412</v>
      </c>
      <c r="G256" s="8"/>
      <c r="H256" s="8"/>
      <c r="I256" s="8"/>
      <c r="J256" s="8" t="s">
        <v>625</v>
      </c>
      <c r="K256" s="8" t="s">
        <v>993</v>
      </c>
      <c r="L256" s="8" t="s">
        <v>994</v>
      </c>
      <c r="M256" s="8" t="s">
        <v>4576</v>
      </c>
      <c r="N256" s="8">
        <v>41</v>
      </c>
      <c r="O256" s="8"/>
      <c r="P256" s="8" t="s">
        <v>995</v>
      </c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</row>
    <row r="257" spans="1:48" x14ac:dyDescent="0.25">
      <c r="A257" s="8" t="s">
        <v>4574</v>
      </c>
      <c r="B257" s="8" t="s">
        <v>992</v>
      </c>
      <c r="C257" s="8" t="s">
        <v>4575</v>
      </c>
      <c r="D257" s="8" t="s">
        <v>51</v>
      </c>
      <c r="E257" s="8"/>
      <c r="F257" s="8" t="s">
        <v>412</v>
      </c>
      <c r="G257" s="8"/>
      <c r="H257" s="8"/>
      <c r="I257" s="8"/>
      <c r="J257" s="8" t="s">
        <v>624</v>
      </c>
      <c r="K257" s="8" t="s">
        <v>993</v>
      </c>
      <c r="L257" s="8" t="s">
        <v>994</v>
      </c>
      <c r="M257" s="8" t="s">
        <v>4576</v>
      </c>
      <c r="N257" s="8">
        <v>41</v>
      </c>
      <c r="O257" s="8"/>
      <c r="P257" s="8" t="s">
        <v>995</v>
      </c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</row>
    <row r="258" spans="1:48" x14ac:dyDescent="0.25">
      <c r="A258" s="8" t="s">
        <v>4574</v>
      </c>
      <c r="B258" s="8" t="s">
        <v>992</v>
      </c>
      <c r="C258" s="8" t="s">
        <v>4575</v>
      </c>
      <c r="D258" s="8" t="s">
        <v>260</v>
      </c>
      <c r="E258" s="8"/>
      <c r="F258" s="8" t="s">
        <v>437</v>
      </c>
      <c r="G258" s="8"/>
      <c r="H258" s="8"/>
      <c r="I258" s="8"/>
      <c r="J258" s="8" t="s">
        <v>628</v>
      </c>
      <c r="K258" s="8" t="s">
        <v>993</v>
      </c>
      <c r="L258" s="8" t="s">
        <v>994</v>
      </c>
      <c r="M258" s="8" t="s">
        <v>4576</v>
      </c>
      <c r="N258" s="8">
        <v>41</v>
      </c>
      <c r="O258" s="8"/>
      <c r="P258" s="8" t="s">
        <v>995</v>
      </c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</row>
    <row r="259" spans="1:48" x14ac:dyDescent="0.25">
      <c r="A259" s="8" t="s">
        <v>4574</v>
      </c>
      <c r="B259" s="8" t="s">
        <v>992</v>
      </c>
      <c r="C259" s="8" t="s">
        <v>4575</v>
      </c>
      <c r="D259" s="8" t="s">
        <v>139</v>
      </c>
      <c r="E259" s="8"/>
      <c r="F259" s="8" t="s">
        <v>412</v>
      </c>
      <c r="G259" s="8"/>
      <c r="H259" s="8"/>
      <c r="I259" s="8"/>
      <c r="J259" s="8" t="s">
        <v>626</v>
      </c>
      <c r="K259" s="8" t="s">
        <v>993</v>
      </c>
      <c r="L259" s="8" t="s">
        <v>994</v>
      </c>
      <c r="M259" s="8" t="s">
        <v>4576</v>
      </c>
      <c r="N259" s="8">
        <v>41</v>
      </c>
      <c r="O259" s="8"/>
      <c r="P259" s="8" t="s">
        <v>995</v>
      </c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</row>
    <row r="260" spans="1:48" x14ac:dyDescent="0.25">
      <c r="A260" s="8" t="s">
        <v>4574</v>
      </c>
      <c r="B260" s="8" t="s">
        <v>992</v>
      </c>
      <c r="C260" s="8" t="s">
        <v>4575</v>
      </c>
      <c r="D260" s="8" t="s">
        <v>187</v>
      </c>
      <c r="E260" s="8"/>
      <c r="F260" s="8" t="s">
        <v>412</v>
      </c>
      <c r="G260" s="8"/>
      <c r="H260" s="8"/>
      <c r="I260" s="8"/>
      <c r="J260" s="8" t="s">
        <v>627</v>
      </c>
      <c r="K260" s="8" t="s">
        <v>993</v>
      </c>
      <c r="L260" s="8" t="s">
        <v>994</v>
      </c>
      <c r="M260" s="8" t="s">
        <v>4576</v>
      </c>
      <c r="N260" s="8">
        <v>41</v>
      </c>
      <c r="O260" s="8"/>
      <c r="P260" s="8" t="s">
        <v>995</v>
      </c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</row>
    <row r="261" spans="1:48" x14ac:dyDescent="0.25">
      <c r="A261" s="8" t="s">
        <v>4574</v>
      </c>
      <c r="B261" s="8" t="s">
        <v>992</v>
      </c>
      <c r="C261" s="8" t="s">
        <v>4575</v>
      </c>
      <c r="D261" s="8" t="s">
        <v>71</v>
      </c>
      <c r="E261" s="8"/>
      <c r="F261" s="8" t="s">
        <v>412</v>
      </c>
      <c r="G261" s="8"/>
      <c r="H261" s="8"/>
      <c r="I261" s="8"/>
      <c r="J261" s="8" t="s">
        <v>630</v>
      </c>
      <c r="K261" s="8" t="s">
        <v>993</v>
      </c>
      <c r="L261" s="8" t="s">
        <v>994</v>
      </c>
      <c r="M261" s="8" t="s">
        <v>4576</v>
      </c>
      <c r="N261" s="8">
        <v>41</v>
      </c>
      <c r="O261" s="8"/>
      <c r="P261" s="8" t="s">
        <v>995</v>
      </c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</row>
    <row r="262" spans="1:48" x14ac:dyDescent="0.25">
      <c r="A262" s="8" t="s">
        <v>4574</v>
      </c>
      <c r="B262" s="8" t="s">
        <v>992</v>
      </c>
      <c r="C262" s="8" t="s">
        <v>4575</v>
      </c>
      <c r="D262" s="8" t="s">
        <v>171</v>
      </c>
      <c r="E262" s="8"/>
      <c r="F262" s="8" t="s">
        <v>412</v>
      </c>
      <c r="G262" s="8"/>
      <c r="H262" s="8"/>
      <c r="I262" s="8"/>
      <c r="J262" s="8"/>
      <c r="K262" s="8" t="s">
        <v>993</v>
      </c>
      <c r="L262" s="8" t="s">
        <v>994</v>
      </c>
      <c r="M262" s="8" t="s">
        <v>4576</v>
      </c>
      <c r="N262" s="8">
        <v>41</v>
      </c>
      <c r="O262" s="8"/>
      <c r="P262" s="8" t="s">
        <v>995</v>
      </c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</row>
    <row r="263" spans="1:48" x14ac:dyDescent="0.25">
      <c r="A263" s="8" t="s">
        <v>4574</v>
      </c>
      <c r="B263" s="8" t="s">
        <v>992</v>
      </c>
      <c r="C263" s="8" t="s">
        <v>4575</v>
      </c>
      <c r="D263" s="8" t="s">
        <v>92</v>
      </c>
      <c r="E263" s="8"/>
      <c r="F263" s="8" t="s">
        <v>412</v>
      </c>
      <c r="G263" s="8"/>
      <c r="H263" s="8"/>
      <c r="I263" s="8"/>
      <c r="J263" s="8" t="s">
        <v>629</v>
      </c>
      <c r="K263" s="8" t="s">
        <v>993</v>
      </c>
      <c r="L263" s="8" t="s">
        <v>994</v>
      </c>
      <c r="M263" s="8" t="s">
        <v>4576</v>
      </c>
      <c r="N263" s="8">
        <v>41</v>
      </c>
      <c r="O263" s="8"/>
      <c r="P263" s="8" t="s">
        <v>995</v>
      </c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</row>
    <row r="264" spans="1:48" x14ac:dyDescent="0.25">
      <c r="A264" s="8" t="s">
        <v>4574</v>
      </c>
      <c r="B264" s="8" t="s">
        <v>992</v>
      </c>
      <c r="C264" s="8" t="s">
        <v>4575</v>
      </c>
      <c r="D264" s="8" t="s">
        <v>23</v>
      </c>
      <c r="E264" s="8"/>
      <c r="F264" s="8" t="s">
        <v>412</v>
      </c>
      <c r="G264" s="8"/>
      <c r="H264" s="8"/>
      <c r="I264" s="8"/>
      <c r="J264" s="8" t="s">
        <v>623</v>
      </c>
      <c r="K264" s="8" t="s">
        <v>993</v>
      </c>
      <c r="L264" s="8" t="s">
        <v>994</v>
      </c>
      <c r="M264" s="8" t="s">
        <v>4576</v>
      </c>
      <c r="N264" s="8">
        <v>41</v>
      </c>
      <c r="O264" s="8"/>
      <c r="P264" s="8" t="s">
        <v>995</v>
      </c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</row>
    <row r="265" spans="1:48" x14ac:dyDescent="0.25">
      <c r="A265" s="8" t="s">
        <v>4574</v>
      </c>
      <c r="B265" s="8" t="s">
        <v>992</v>
      </c>
      <c r="C265" s="8" t="s">
        <v>4575</v>
      </c>
      <c r="D265" s="8" t="s">
        <v>190</v>
      </c>
      <c r="E265" s="8"/>
      <c r="F265" s="8" t="s">
        <v>412</v>
      </c>
      <c r="G265" s="8"/>
      <c r="H265" s="8"/>
      <c r="I265" s="8"/>
      <c r="J265" s="8" t="s">
        <v>631</v>
      </c>
      <c r="K265" s="8" t="s">
        <v>993</v>
      </c>
      <c r="L265" s="8" t="s">
        <v>994</v>
      </c>
      <c r="M265" s="8" t="s">
        <v>4576</v>
      </c>
      <c r="N265" s="8">
        <v>41</v>
      </c>
      <c r="O265" s="8"/>
      <c r="P265" s="8" t="s">
        <v>995</v>
      </c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</row>
    <row r="266" spans="1:48" x14ac:dyDescent="0.25">
      <c r="A266" s="8" t="s">
        <v>4574</v>
      </c>
      <c r="B266" s="8" t="s">
        <v>992</v>
      </c>
      <c r="C266" s="8" t="s">
        <v>4575</v>
      </c>
      <c r="D266" s="8" t="s">
        <v>178</v>
      </c>
      <c r="E266" s="8"/>
      <c r="F266" s="8" t="s">
        <v>412</v>
      </c>
      <c r="G266" s="8"/>
      <c r="H266" s="8"/>
      <c r="I266" s="8"/>
      <c r="J266" s="8" t="s">
        <v>632</v>
      </c>
      <c r="K266" s="8" t="s">
        <v>993</v>
      </c>
      <c r="L266" s="8" t="s">
        <v>994</v>
      </c>
      <c r="M266" s="8" t="s">
        <v>4576</v>
      </c>
      <c r="N266" s="8">
        <v>41</v>
      </c>
      <c r="O266" s="8"/>
      <c r="P266" s="8" t="s">
        <v>995</v>
      </c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</row>
    <row r="267" spans="1:48" x14ac:dyDescent="0.25">
      <c r="A267" s="8" t="s">
        <v>4574</v>
      </c>
      <c r="B267" s="8" t="s">
        <v>992</v>
      </c>
      <c r="C267" s="8" t="s">
        <v>4575</v>
      </c>
      <c r="D267" s="8" t="s">
        <v>27</v>
      </c>
      <c r="E267" s="8"/>
      <c r="F267" s="8" t="s">
        <v>412</v>
      </c>
      <c r="G267" s="8"/>
      <c r="H267" s="8"/>
      <c r="I267" s="8"/>
      <c r="J267" s="8" t="s">
        <v>633</v>
      </c>
      <c r="K267" s="8" t="s">
        <v>993</v>
      </c>
      <c r="L267" s="8" t="s">
        <v>994</v>
      </c>
      <c r="M267" s="8" t="s">
        <v>4576</v>
      </c>
      <c r="N267" s="8">
        <v>41</v>
      </c>
      <c r="O267" s="8"/>
      <c r="P267" s="8" t="s">
        <v>995</v>
      </c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</row>
    <row r="268" spans="1:48" x14ac:dyDescent="0.25">
      <c r="A268" s="8" t="s">
        <v>4574</v>
      </c>
      <c r="B268" s="8" t="s">
        <v>992</v>
      </c>
      <c r="C268" s="8" t="s">
        <v>4575</v>
      </c>
      <c r="D268" s="8" t="s">
        <v>298</v>
      </c>
      <c r="E268" s="8"/>
      <c r="F268" s="8" t="s">
        <v>412</v>
      </c>
      <c r="G268" s="8"/>
      <c r="H268" s="8"/>
      <c r="I268" s="8"/>
      <c r="J268" s="8" t="s">
        <v>634</v>
      </c>
      <c r="K268" s="8" t="s">
        <v>993</v>
      </c>
      <c r="L268" s="8" t="s">
        <v>994</v>
      </c>
      <c r="M268" s="8" t="s">
        <v>4576</v>
      </c>
      <c r="N268" s="8">
        <v>41</v>
      </c>
      <c r="O268" s="8"/>
      <c r="P268" s="8" t="s">
        <v>995</v>
      </c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</row>
    <row r="269" spans="1:48" x14ac:dyDescent="0.25">
      <c r="A269" s="8" t="s">
        <v>4574</v>
      </c>
      <c r="B269" s="8" t="s">
        <v>992</v>
      </c>
      <c r="C269" s="8" t="s">
        <v>4575</v>
      </c>
      <c r="D269" s="8" t="s">
        <v>185</v>
      </c>
      <c r="E269" s="8"/>
      <c r="F269" s="8" t="s">
        <v>412</v>
      </c>
      <c r="G269" s="8"/>
      <c r="H269" s="8"/>
      <c r="I269" s="8"/>
      <c r="J269" s="8" t="s">
        <v>635</v>
      </c>
      <c r="K269" s="8" t="s">
        <v>993</v>
      </c>
      <c r="L269" s="8" t="s">
        <v>994</v>
      </c>
      <c r="M269" s="8" t="s">
        <v>4576</v>
      </c>
      <c r="N269" s="8">
        <v>41</v>
      </c>
      <c r="O269" s="8"/>
      <c r="P269" s="8" t="s">
        <v>995</v>
      </c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</row>
    <row r="270" spans="1:48" x14ac:dyDescent="0.25">
      <c r="A270" s="8" t="s">
        <v>4574</v>
      </c>
      <c r="B270" s="8" t="s">
        <v>992</v>
      </c>
      <c r="C270" s="8" t="s">
        <v>4575</v>
      </c>
      <c r="D270" s="8" t="s">
        <v>120</v>
      </c>
      <c r="E270" s="8"/>
      <c r="F270" s="8" t="s">
        <v>412</v>
      </c>
      <c r="G270" s="8"/>
      <c r="H270" s="8"/>
      <c r="I270" s="8"/>
      <c r="J270" s="8" t="s">
        <v>636</v>
      </c>
      <c r="K270" s="8" t="s">
        <v>993</v>
      </c>
      <c r="L270" s="8" t="s">
        <v>994</v>
      </c>
      <c r="M270" s="8" t="s">
        <v>4576</v>
      </c>
      <c r="N270" s="8">
        <v>41</v>
      </c>
      <c r="O270" s="8"/>
      <c r="P270" s="8" t="s">
        <v>995</v>
      </c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</row>
    <row r="271" spans="1:48" x14ac:dyDescent="0.25">
      <c r="A271" s="8" t="s">
        <v>4574</v>
      </c>
      <c r="B271" s="8" t="s">
        <v>992</v>
      </c>
      <c r="C271" s="8" t="s">
        <v>4575</v>
      </c>
      <c r="D271" s="8" t="s">
        <v>330</v>
      </c>
      <c r="E271" s="8"/>
      <c r="F271" s="8" t="s">
        <v>412</v>
      </c>
      <c r="G271" s="8"/>
      <c r="H271" s="8"/>
      <c r="I271" s="8"/>
      <c r="J271" s="8"/>
      <c r="K271" s="8" t="s">
        <v>993</v>
      </c>
      <c r="L271" s="8" t="s">
        <v>994</v>
      </c>
      <c r="M271" s="8" t="s">
        <v>4576</v>
      </c>
      <c r="N271" s="8">
        <v>41</v>
      </c>
      <c r="O271" s="8"/>
      <c r="P271" s="8" t="s">
        <v>995</v>
      </c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</row>
    <row r="272" spans="1:48" x14ac:dyDescent="0.25">
      <c r="A272" s="8" t="s">
        <v>4574</v>
      </c>
      <c r="B272" s="8" t="s">
        <v>992</v>
      </c>
      <c r="C272" s="8" t="s">
        <v>4575</v>
      </c>
      <c r="D272" s="8" t="s">
        <v>271</v>
      </c>
      <c r="E272" s="8"/>
      <c r="F272" s="8" t="s">
        <v>412</v>
      </c>
      <c r="G272" s="8"/>
      <c r="H272" s="8"/>
      <c r="I272" s="8"/>
      <c r="J272" s="8" t="s">
        <v>637</v>
      </c>
      <c r="K272" s="8" t="s">
        <v>993</v>
      </c>
      <c r="L272" s="8" t="s">
        <v>994</v>
      </c>
      <c r="M272" s="8" t="s">
        <v>4576</v>
      </c>
      <c r="N272" s="8">
        <v>41</v>
      </c>
      <c r="O272" s="8"/>
      <c r="P272" s="8" t="s">
        <v>995</v>
      </c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</row>
    <row r="273" spans="1:48" x14ac:dyDescent="0.25">
      <c r="A273" s="8" t="s">
        <v>4574</v>
      </c>
      <c r="B273" s="8" t="s">
        <v>992</v>
      </c>
      <c r="C273" s="8" t="s">
        <v>4575</v>
      </c>
      <c r="D273" s="8" t="s">
        <v>76</v>
      </c>
      <c r="E273" s="8"/>
      <c r="F273" s="8" t="s">
        <v>412</v>
      </c>
      <c r="G273" s="8"/>
      <c r="H273" s="8"/>
      <c r="I273" s="8"/>
      <c r="J273" s="8" t="s">
        <v>638</v>
      </c>
      <c r="K273" s="8" t="s">
        <v>993</v>
      </c>
      <c r="L273" s="8" t="s">
        <v>994</v>
      </c>
      <c r="M273" s="8" t="s">
        <v>4576</v>
      </c>
      <c r="N273" s="8">
        <v>41</v>
      </c>
      <c r="O273" s="8"/>
      <c r="P273" s="8" t="s">
        <v>995</v>
      </c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</row>
    <row r="274" spans="1:48" x14ac:dyDescent="0.25">
      <c r="A274" s="8" t="s">
        <v>4574</v>
      </c>
      <c r="B274" s="8" t="s">
        <v>992</v>
      </c>
      <c r="C274" s="8" t="s">
        <v>4575</v>
      </c>
      <c r="D274" s="8" t="s">
        <v>39</v>
      </c>
      <c r="E274" s="8"/>
      <c r="F274" s="8" t="s">
        <v>412</v>
      </c>
      <c r="G274" s="8"/>
      <c r="H274" s="8"/>
      <c r="I274" s="8"/>
      <c r="J274" s="8" t="s">
        <v>639</v>
      </c>
      <c r="K274" s="8" t="s">
        <v>993</v>
      </c>
      <c r="L274" s="8" t="s">
        <v>994</v>
      </c>
      <c r="M274" s="8" t="s">
        <v>4576</v>
      </c>
      <c r="N274" s="8">
        <v>41</v>
      </c>
      <c r="O274" s="8"/>
      <c r="P274" s="8" t="s">
        <v>995</v>
      </c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</row>
    <row r="275" spans="1:48" x14ac:dyDescent="0.25">
      <c r="A275" s="8" t="s">
        <v>4574</v>
      </c>
      <c r="B275" s="8" t="s">
        <v>992</v>
      </c>
      <c r="C275" s="8" t="s">
        <v>4575</v>
      </c>
      <c r="D275" s="8" t="s">
        <v>197</v>
      </c>
      <c r="E275" s="8"/>
      <c r="F275" s="8" t="s">
        <v>412</v>
      </c>
      <c r="G275" s="8"/>
      <c r="H275" s="8"/>
      <c r="I275" s="8"/>
      <c r="J275" s="8" t="s">
        <v>640</v>
      </c>
      <c r="K275" s="8" t="s">
        <v>993</v>
      </c>
      <c r="L275" s="8" t="s">
        <v>994</v>
      </c>
      <c r="M275" s="8" t="s">
        <v>4576</v>
      </c>
      <c r="N275" s="8">
        <v>41</v>
      </c>
      <c r="O275" s="8"/>
      <c r="P275" s="8" t="s">
        <v>995</v>
      </c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</row>
    <row r="276" spans="1:48" x14ac:dyDescent="0.25">
      <c r="A276" s="8" t="s">
        <v>4574</v>
      </c>
      <c r="B276" s="8" t="s">
        <v>992</v>
      </c>
      <c r="C276" s="8" t="s">
        <v>4575</v>
      </c>
      <c r="D276" s="8" t="s">
        <v>299</v>
      </c>
      <c r="E276" s="8"/>
      <c r="F276" s="8" t="s">
        <v>412</v>
      </c>
      <c r="G276" s="8"/>
      <c r="H276" s="8"/>
      <c r="I276" s="8"/>
      <c r="J276" s="8" t="s">
        <v>642</v>
      </c>
      <c r="K276" s="8" t="s">
        <v>993</v>
      </c>
      <c r="L276" s="8" t="s">
        <v>994</v>
      </c>
      <c r="M276" s="8" t="s">
        <v>4576</v>
      </c>
      <c r="N276" s="8">
        <v>41</v>
      </c>
      <c r="O276" s="8"/>
      <c r="P276" s="8" t="s">
        <v>995</v>
      </c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</row>
    <row r="277" spans="1:48" x14ac:dyDescent="0.25">
      <c r="A277" s="8" t="s">
        <v>4574</v>
      </c>
      <c r="B277" s="8" t="s">
        <v>992</v>
      </c>
      <c r="C277" s="8" t="s">
        <v>4575</v>
      </c>
      <c r="D277" s="8" t="s">
        <v>344</v>
      </c>
      <c r="E277" s="8"/>
      <c r="F277" s="8" t="s">
        <v>412</v>
      </c>
      <c r="G277" s="8"/>
      <c r="H277" s="8"/>
      <c r="I277" s="8"/>
      <c r="J277" s="8" t="s">
        <v>641</v>
      </c>
      <c r="K277" s="8" t="s">
        <v>993</v>
      </c>
      <c r="L277" s="8" t="s">
        <v>994</v>
      </c>
      <c r="M277" s="8" t="s">
        <v>4576</v>
      </c>
      <c r="N277" s="8">
        <v>41</v>
      </c>
      <c r="O277" s="8"/>
      <c r="P277" s="8" t="s">
        <v>995</v>
      </c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</row>
    <row r="278" spans="1:48" x14ac:dyDescent="0.25">
      <c r="A278" s="8" t="s">
        <v>4574</v>
      </c>
      <c r="B278" s="8" t="s">
        <v>992</v>
      </c>
      <c r="C278" s="8" t="s">
        <v>4575</v>
      </c>
      <c r="D278" s="8" t="s">
        <v>236</v>
      </c>
      <c r="E278" s="8"/>
      <c r="F278" s="8" t="s">
        <v>412</v>
      </c>
      <c r="G278" s="8"/>
      <c r="H278" s="8"/>
      <c r="I278" s="8"/>
      <c r="J278" s="8"/>
      <c r="K278" s="8" t="s">
        <v>993</v>
      </c>
      <c r="L278" s="8" t="s">
        <v>994</v>
      </c>
      <c r="M278" s="8" t="s">
        <v>4576</v>
      </c>
      <c r="N278" s="8">
        <v>41</v>
      </c>
      <c r="O278" s="8"/>
      <c r="P278" s="8" t="s">
        <v>995</v>
      </c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</row>
    <row r="279" spans="1:48" x14ac:dyDescent="0.25">
      <c r="A279" s="8" t="s">
        <v>4574</v>
      </c>
      <c r="B279" s="8" t="s">
        <v>992</v>
      </c>
      <c r="C279" s="8" t="s">
        <v>4575</v>
      </c>
      <c r="D279" s="8" t="s">
        <v>211</v>
      </c>
      <c r="E279" s="8"/>
      <c r="F279" s="8" t="s">
        <v>412</v>
      </c>
      <c r="G279" s="8"/>
      <c r="H279" s="8"/>
      <c r="I279" s="8"/>
      <c r="J279" s="8"/>
      <c r="K279" s="8" t="s">
        <v>993</v>
      </c>
      <c r="L279" s="8" t="s">
        <v>994</v>
      </c>
      <c r="M279" s="8" t="s">
        <v>4576</v>
      </c>
      <c r="N279" s="8">
        <v>41</v>
      </c>
      <c r="O279" s="8"/>
      <c r="P279" s="8" t="s">
        <v>995</v>
      </c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</row>
    <row r="280" spans="1:48" x14ac:dyDescent="0.25">
      <c r="A280" s="8" t="s">
        <v>4574</v>
      </c>
      <c r="B280" s="8" t="s">
        <v>992</v>
      </c>
      <c r="C280" s="8" t="s">
        <v>4575</v>
      </c>
      <c r="D280" s="8" t="s">
        <v>277</v>
      </c>
      <c r="E280" s="8"/>
      <c r="F280" s="8" t="s">
        <v>412</v>
      </c>
      <c r="G280" s="8"/>
      <c r="H280" s="8"/>
      <c r="I280" s="8"/>
      <c r="J280" s="8" t="s">
        <v>643</v>
      </c>
      <c r="K280" s="8" t="s">
        <v>993</v>
      </c>
      <c r="L280" s="8" t="s">
        <v>994</v>
      </c>
      <c r="M280" s="8" t="s">
        <v>4576</v>
      </c>
      <c r="N280" s="8">
        <v>41</v>
      </c>
      <c r="O280" s="8"/>
      <c r="P280" s="8" t="s">
        <v>995</v>
      </c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</row>
    <row r="281" spans="1:48" x14ac:dyDescent="0.25">
      <c r="A281" s="8" t="s">
        <v>4574</v>
      </c>
      <c r="B281" s="8" t="s">
        <v>992</v>
      </c>
      <c r="C281" s="8" t="s">
        <v>4575</v>
      </c>
      <c r="D281" s="8" t="s">
        <v>78</v>
      </c>
      <c r="E281" s="8"/>
      <c r="F281" s="8" t="s">
        <v>412</v>
      </c>
      <c r="G281" s="8"/>
      <c r="H281" s="8"/>
      <c r="I281" s="8"/>
      <c r="J281" s="8" t="s">
        <v>644</v>
      </c>
      <c r="K281" s="8" t="s">
        <v>993</v>
      </c>
      <c r="L281" s="8" t="s">
        <v>994</v>
      </c>
      <c r="M281" s="8" t="s">
        <v>4576</v>
      </c>
      <c r="N281" s="8">
        <v>41</v>
      </c>
      <c r="O281" s="8"/>
      <c r="P281" s="8" t="s">
        <v>995</v>
      </c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</row>
    <row r="282" spans="1:48" x14ac:dyDescent="0.25">
      <c r="A282" s="8" t="s">
        <v>4574</v>
      </c>
      <c r="B282" s="8" t="s">
        <v>992</v>
      </c>
      <c r="C282" s="8" t="s">
        <v>4575</v>
      </c>
      <c r="D282" s="8" t="s">
        <v>47</v>
      </c>
      <c r="E282" s="8"/>
      <c r="F282" s="8" t="s">
        <v>412</v>
      </c>
      <c r="G282" s="8"/>
      <c r="H282" s="8"/>
      <c r="I282" s="8"/>
      <c r="J282" s="8" t="s">
        <v>645</v>
      </c>
      <c r="K282" s="8" t="s">
        <v>993</v>
      </c>
      <c r="L282" s="8" t="s">
        <v>994</v>
      </c>
      <c r="M282" s="8" t="s">
        <v>4576</v>
      </c>
      <c r="N282" s="8">
        <v>41</v>
      </c>
      <c r="O282" s="8"/>
      <c r="P282" s="8" t="s">
        <v>995</v>
      </c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</row>
    <row r="283" spans="1:48" x14ac:dyDescent="0.25">
      <c r="A283" s="8" t="s">
        <v>4574</v>
      </c>
      <c r="B283" s="8" t="s">
        <v>992</v>
      </c>
      <c r="C283" s="8" t="s">
        <v>4575</v>
      </c>
      <c r="D283" s="8" t="s">
        <v>227</v>
      </c>
      <c r="E283" s="8"/>
      <c r="F283" s="8" t="s">
        <v>412</v>
      </c>
      <c r="G283" s="8"/>
      <c r="H283" s="8"/>
      <c r="I283" s="8"/>
      <c r="J283" s="8" t="s">
        <v>646</v>
      </c>
      <c r="K283" s="8" t="s">
        <v>993</v>
      </c>
      <c r="L283" s="8" t="s">
        <v>994</v>
      </c>
      <c r="M283" s="8" t="s">
        <v>4576</v>
      </c>
      <c r="N283" s="8">
        <v>41</v>
      </c>
      <c r="O283" s="8"/>
      <c r="P283" s="8" t="s">
        <v>995</v>
      </c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</row>
    <row r="284" spans="1:48" x14ac:dyDescent="0.25">
      <c r="A284" s="8" t="s">
        <v>4574</v>
      </c>
      <c r="B284" s="8" t="s">
        <v>992</v>
      </c>
      <c r="C284" s="8" t="s">
        <v>4575</v>
      </c>
      <c r="D284" s="8" t="s">
        <v>30</v>
      </c>
      <c r="E284" s="8"/>
      <c r="F284" s="8" t="s">
        <v>412</v>
      </c>
      <c r="G284" s="8"/>
      <c r="H284" s="8"/>
      <c r="I284" s="8"/>
      <c r="J284" s="8" t="s">
        <v>647</v>
      </c>
      <c r="K284" s="8" t="s">
        <v>993</v>
      </c>
      <c r="L284" s="8" t="s">
        <v>994</v>
      </c>
      <c r="M284" s="8" t="s">
        <v>4576</v>
      </c>
      <c r="N284" s="8">
        <v>41</v>
      </c>
      <c r="O284" s="8"/>
      <c r="P284" s="8" t="s">
        <v>995</v>
      </c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</row>
    <row r="285" spans="1:48" x14ac:dyDescent="0.25">
      <c r="A285" s="8" t="s">
        <v>4574</v>
      </c>
      <c r="B285" s="8" t="s">
        <v>992</v>
      </c>
      <c r="C285" s="8" t="s">
        <v>4575</v>
      </c>
      <c r="D285" s="8" t="s">
        <v>126</v>
      </c>
      <c r="E285" s="8"/>
      <c r="F285" s="8" t="s">
        <v>412</v>
      </c>
      <c r="G285" s="8"/>
      <c r="H285" s="8"/>
      <c r="I285" s="8"/>
      <c r="J285" s="8" t="s">
        <v>648</v>
      </c>
      <c r="K285" s="8" t="s">
        <v>993</v>
      </c>
      <c r="L285" s="8" t="s">
        <v>994</v>
      </c>
      <c r="M285" s="8" t="s">
        <v>4576</v>
      </c>
      <c r="N285" s="8">
        <v>41</v>
      </c>
      <c r="O285" s="8"/>
      <c r="P285" s="8" t="s">
        <v>995</v>
      </c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</row>
    <row r="286" spans="1:48" x14ac:dyDescent="0.25">
      <c r="A286" s="8" t="s">
        <v>4574</v>
      </c>
      <c r="B286" s="8" t="s">
        <v>992</v>
      </c>
      <c r="C286" s="8" t="s">
        <v>4575</v>
      </c>
      <c r="D286" s="8" t="s">
        <v>41</v>
      </c>
      <c r="E286" s="8"/>
      <c r="F286" s="8" t="s">
        <v>412</v>
      </c>
      <c r="G286" s="8"/>
      <c r="H286" s="8"/>
      <c r="I286" s="8"/>
      <c r="J286" s="8" t="s">
        <v>649</v>
      </c>
      <c r="K286" s="8" t="s">
        <v>993</v>
      </c>
      <c r="L286" s="8" t="s">
        <v>994</v>
      </c>
      <c r="M286" s="8" t="s">
        <v>4576</v>
      </c>
      <c r="N286" s="8">
        <v>41</v>
      </c>
      <c r="O286" s="8"/>
      <c r="P286" s="8" t="s">
        <v>995</v>
      </c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</row>
    <row r="287" spans="1:48" x14ac:dyDescent="0.25">
      <c r="A287" s="8" t="s">
        <v>4574</v>
      </c>
      <c r="B287" s="8" t="s">
        <v>992</v>
      </c>
      <c r="C287" s="8" t="s">
        <v>4575</v>
      </c>
      <c r="D287" s="8" t="s">
        <v>99</v>
      </c>
      <c r="E287" s="8"/>
      <c r="F287" s="8" t="s">
        <v>412</v>
      </c>
      <c r="G287" s="8"/>
      <c r="H287" s="8"/>
      <c r="I287" s="8"/>
      <c r="J287" s="8" t="s">
        <v>650</v>
      </c>
      <c r="K287" s="8" t="s">
        <v>993</v>
      </c>
      <c r="L287" s="8" t="s">
        <v>994</v>
      </c>
      <c r="M287" s="8" t="s">
        <v>4576</v>
      </c>
      <c r="N287" s="8">
        <v>41</v>
      </c>
      <c r="O287" s="8"/>
      <c r="P287" s="8" t="s">
        <v>995</v>
      </c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</row>
    <row r="288" spans="1:48" x14ac:dyDescent="0.25">
      <c r="A288" s="8" t="s">
        <v>4574</v>
      </c>
      <c r="B288" s="8" t="s">
        <v>992</v>
      </c>
      <c r="C288" s="8" t="s">
        <v>4575</v>
      </c>
      <c r="D288" s="8" t="s">
        <v>174</v>
      </c>
      <c r="E288" s="8"/>
      <c r="F288" s="8" t="s">
        <v>412</v>
      </c>
      <c r="G288" s="8"/>
      <c r="H288" s="8"/>
      <c r="I288" s="8"/>
      <c r="J288" s="8"/>
      <c r="K288" s="8" t="s">
        <v>993</v>
      </c>
      <c r="L288" s="8" t="s">
        <v>994</v>
      </c>
      <c r="M288" s="8" t="s">
        <v>4576</v>
      </c>
      <c r="N288" s="8">
        <v>41</v>
      </c>
      <c r="O288" s="8"/>
      <c r="P288" s="8" t="s">
        <v>995</v>
      </c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</row>
    <row r="289" spans="1:48" x14ac:dyDescent="0.25">
      <c r="A289" s="8" t="s">
        <v>4574</v>
      </c>
      <c r="B289" s="8" t="s">
        <v>992</v>
      </c>
      <c r="C289" s="8" t="s">
        <v>4575</v>
      </c>
      <c r="D289" s="8" t="s">
        <v>105</v>
      </c>
      <c r="E289" s="8"/>
      <c r="F289" s="8" t="s">
        <v>412</v>
      </c>
      <c r="G289" s="8"/>
      <c r="H289" s="8"/>
      <c r="I289" s="8"/>
      <c r="J289" s="8" t="s">
        <v>652</v>
      </c>
      <c r="K289" s="8" t="s">
        <v>993</v>
      </c>
      <c r="L289" s="8" t="s">
        <v>994</v>
      </c>
      <c r="M289" s="8" t="s">
        <v>4576</v>
      </c>
      <c r="N289" s="8">
        <v>41</v>
      </c>
      <c r="O289" s="8"/>
      <c r="P289" s="8" t="s">
        <v>995</v>
      </c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</row>
    <row r="290" spans="1:48" x14ac:dyDescent="0.25">
      <c r="A290" s="8" t="s">
        <v>4574</v>
      </c>
      <c r="B290" s="8" t="s">
        <v>992</v>
      </c>
      <c r="C290" s="8" t="s">
        <v>4575</v>
      </c>
      <c r="D290" s="8" t="s">
        <v>61</v>
      </c>
      <c r="E290" s="8"/>
      <c r="F290" s="8" t="s">
        <v>412</v>
      </c>
      <c r="G290" s="8"/>
      <c r="H290" s="8"/>
      <c r="I290" s="8"/>
      <c r="J290" s="8" t="s">
        <v>651</v>
      </c>
      <c r="K290" s="8" t="s">
        <v>993</v>
      </c>
      <c r="L290" s="8" t="s">
        <v>994</v>
      </c>
      <c r="M290" s="8" t="s">
        <v>4576</v>
      </c>
      <c r="N290" s="8">
        <v>41</v>
      </c>
      <c r="O290" s="8"/>
      <c r="P290" s="8" t="s">
        <v>995</v>
      </c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</row>
    <row r="291" spans="1:48" x14ac:dyDescent="0.25">
      <c r="A291" s="8" t="s">
        <v>4574</v>
      </c>
      <c r="B291" s="8" t="s">
        <v>992</v>
      </c>
      <c r="C291" s="8" t="s">
        <v>4575</v>
      </c>
      <c r="D291" s="8" t="s">
        <v>293</v>
      </c>
      <c r="E291" s="8"/>
      <c r="F291" s="8" t="s">
        <v>412</v>
      </c>
      <c r="G291" s="8"/>
      <c r="H291" s="8"/>
      <c r="I291" s="8"/>
      <c r="J291" s="8" t="s">
        <v>653</v>
      </c>
      <c r="K291" s="8" t="s">
        <v>993</v>
      </c>
      <c r="L291" s="8" t="s">
        <v>994</v>
      </c>
      <c r="M291" s="8" t="s">
        <v>4576</v>
      </c>
      <c r="N291" s="8">
        <v>41</v>
      </c>
      <c r="O291" s="8"/>
      <c r="P291" s="8" t="s">
        <v>995</v>
      </c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</row>
    <row r="292" spans="1:48" x14ac:dyDescent="0.25">
      <c r="A292" s="8" t="s">
        <v>4574</v>
      </c>
      <c r="B292" s="8" t="s">
        <v>992</v>
      </c>
      <c r="C292" s="8" t="s">
        <v>4575</v>
      </c>
      <c r="D292" s="8" t="s">
        <v>234</v>
      </c>
      <c r="E292" s="8"/>
      <c r="F292" s="8" t="s">
        <v>412</v>
      </c>
      <c r="G292" s="8"/>
      <c r="H292" s="8"/>
      <c r="I292" s="8"/>
      <c r="J292" s="8"/>
      <c r="K292" s="8" t="s">
        <v>993</v>
      </c>
      <c r="L292" s="8" t="s">
        <v>994</v>
      </c>
      <c r="M292" s="8" t="s">
        <v>4576</v>
      </c>
      <c r="N292" s="8">
        <v>41</v>
      </c>
      <c r="O292" s="8"/>
      <c r="P292" s="8" t="s">
        <v>995</v>
      </c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</row>
    <row r="293" spans="1:48" x14ac:dyDescent="0.25">
      <c r="A293" s="8" t="s">
        <v>4574</v>
      </c>
      <c r="B293" s="8" t="s">
        <v>992</v>
      </c>
      <c r="C293" s="8" t="s">
        <v>4575</v>
      </c>
      <c r="D293" s="8" t="s">
        <v>206</v>
      </c>
      <c r="E293" s="8"/>
      <c r="F293" s="8" t="s">
        <v>412</v>
      </c>
      <c r="G293" s="8"/>
      <c r="H293" s="8"/>
      <c r="I293" s="8"/>
      <c r="J293" s="8"/>
      <c r="K293" s="8" t="s">
        <v>993</v>
      </c>
      <c r="L293" s="8" t="s">
        <v>994</v>
      </c>
      <c r="M293" s="8" t="s">
        <v>4576</v>
      </c>
      <c r="N293" s="8">
        <v>41</v>
      </c>
      <c r="O293" s="8"/>
      <c r="P293" s="8" t="s">
        <v>995</v>
      </c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</row>
    <row r="294" spans="1:48" x14ac:dyDescent="0.25">
      <c r="A294" s="8" t="s">
        <v>4574</v>
      </c>
      <c r="B294" s="8" t="s">
        <v>992</v>
      </c>
      <c r="C294" s="8" t="s">
        <v>4575</v>
      </c>
      <c r="D294" s="8" t="s">
        <v>292</v>
      </c>
      <c r="E294" s="8"/>
      <c r="F294" s="8" t="s">
        <v>412</v>
      </c>
      <c r="G294" s="8"/>
      <c r="H294" s="8"/>
      <c r="I294" s="8"/>
      <c r="J294" s="8" t="s">
        <v>654</v>
      </c>
      <c r="K294" s="8" t="s">
        <v>993</v>
      </c>
      <c r="L294" s="8" t="s">
        <v>994</v>
      </c>
      <c r="M294" s="8" t="s">
        <v>4576</v>
      </c>
      <c r="N294" s="8">
        <v>41</v>
      </c>
      <c r="O294" s="8"/>
      <c r="P294" s="8" t="s">
        <v>995</v>
      </c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</row>
    <row r="295" spans="1:48" x14ac:dyDescent="0.25">
      <c r="A295" s="8" t="s">
        <v>4574</v>
      </c>
      <c r="B295" s="8" t="s">
        <v>992</v>
      </c>
      <c r="C295" s="8" t="s">
        <v>4575</v>
      </c>
      <c r="D295" s="8" t="s">
        <v>83</v>
      </c>
      <c r="E295" s="8"/>
      <c r="F295" s="8" t="s">
        <v>412</v>
      </c>
      <c r="G295" s="8"/>
      <c r="H295" s="8"/>
      <c r="I295" s="8"/>
      <c r="J295" s="8" t="s">
        <v>655</v>
      </c>
      <c r="K295" s="8" t="s">
        <v>993</v>
      </c>
      <c r="L295" s="8" t="s">
        <v>994</v>
      </c>
      <c r="M295" s="8" t="s">
        <v>4576</v>
      </c>
      <c r="N295" s="8">
        <v>41</v>
      </c>
      <c r="O295" s="8"/>
      <c r="P295" s="8" t="s">
        <v>995</v>
      </c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</row>
    <row r="296" spans="1:48" x14ac:dyDescent="0.25">
      <c r="A296" s="8" t="s">
        <v>4574</v>
      </c>
      <c r="B296" s="8" t="s">
        <v>992</v>
      </c>
      <c r="C296" s="8" t="s">
        <v>4575</v>
      </c>
      <c r="D296" s="8" t="s">
        <v>264</v>
      </c>
      <c r="E296" s="8"/>
      <c r="F296" s="8" t="s">
        <v>437</v>
      </c>
      <c r="G296" s="8"/>
      <c r="H296" s="8"/>
      <c r="I296" s="8"/>
      <c r="J296" s="8" t="s">
        <v>656</v>
      </c>
      <c r="K296" s="8" t="s">
        <v>993</v>
      </c>
      <c r="L296" s="8" t="s">
        <v>994</v>
      </c>
      <c r="M296" s="8" t="s">
        <v>4576</v>
      </c>
      <c r="N296" s="8">
        <v>41</v>
      </c>
      <c r="O296" s="8"/>
      <c r="P296" s="8" t="s">
        <v>995</v>
      </c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</row>
    <row r="297" spans="1:48" x14ac:dyDescent="0.25">
      <c r="A297" s="8" t="s">
        <v>4574</v>
      </c>
      <c r="B297" s="8" t="s">
        <v>992</v>
      </c>
      <c r="C297" s="8" t="s">
        <v>4575</v>
      </c>
      <c r="D297" s="8" t="s">
        <v>95</v>
      </c>
      <c r="E297" s="8"/>
      <c r="F297" s="8" t="s">
        <v>412</v>
      </c>
      <c r="G297" s="8"/>
      <c r="H297" s="8"/>
      <c r="I297" s="8"/>
      <c r="J297" s="8" t="s">
        <v>657</v>
      </c>
      <c r="K297" s="8" t="s">
        <v>993</v>
      </c>
      <c r="L297" s="8" t="s">
        <v>994</v>
      </c>
      <c r="M297" s="8" t="s">
        <v>4576</v>
      </c>
      <c r="N297" s="8">
        <v>41</v>
      </c>
      <c r="O297" s="8"/>
      <c r="P297" s="8" t="s">
        <v>995</v>
      </c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</row>
    <row r="298" spans="1:48" x14ac:dyDescent="0.25">
      <c r="A298" s="8" t="s">
        <v>4574</v>
      </c>
      <c r="B298" s="8" t="s">
        <v>992</v>
      </c>
      <c r="C298" s="8" t="s">
        <v>4575</v>
      </c>
      <c r="D298" s="8" t="s">
        <v>337</v>
      </c>
      <c r="E298" s="8"/>
      <c r="F298" s="8" t="s">
        <v>412</v>
      </c>
      <c r="G298" s="8"/>
      <c r="H298" s="8"/>
      <c r="I298" s="8"/>
      <c r="J298" s="8"/>
      <c r="K298" s="8" t="s">
        <v>993</v>
      </c>
      <c r="L298" s="8" t="s">
        <v>994</v>
      </c>
      <c r="M298" s="8" t="s">
        <v>4576</v>
      </c>
      <c r="N298" s="8">
        <v>41</v>
      </c>
      <c r="O298" s="8"/>
      <c r="P298" s="8" t="s">
        <v>995</v>
      </c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</row>
    <row r="299" spans="1:48" x14ac:dyDescent="0.25">
      <c r="A299" s="8" t="s">
        <v>4574</v>
      </c>
      <c r="B299" s="8" t="s">
        <v>992</v>
      </c>
      <c r="C299" s="8" t="s">
        <v>4575</v>
      </c>
      <c r="D299" s="8" t="s">
        <v>349</v>
      </c>
      <c r="E299" s="8"/>
      <c r="F299" s="8" t="s">
        <v>412</v>
      </c>
      <c r="G299" s="8"/>
      <c r="H299" s="8"/>
      <c r="I299" s="8"/>
      <c r="J299" s="8" t="s">
        <v>659</v>
      </c>
      <c r="K299" s="8" t="s">
        <v>993</v>
      </c>
      <c r="L299" s="8" t="s">
        <v>994</v>
      </c>
      <c r="M299" s="8" t="s">
        <v>4576</v>
      </c>
      <c r="N299" s="8">
        <v>41</v>
      </c>
      <c r="O299" s="8"/>
      <c r="P299" s="8" t="s">
        <v>995</v>
      </c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</row>
    <row r="300" spans="1:48" x14ac:dyDescent="0.25">
      <c r="A300" s="8" t="s">
        <v>4574</v>
      </c>
      <c r="B300" s="8" t="s">
        <v>992</v>
      </c>
      <c r="C300" s="8" t="s">
        <v>4575</v>
      </c>
      <c r="D300" s="8" t="s">
        <v>324</v>
      </c>
      <c r="E300" s="8"/>
      <c r="F300" s="8" t="s">
        <v>412</v>
      </c>
      <c r="G300" s="8"/>
      <c r="H300" s="8"/>
      <c r="I300" s="8"/>
      <c r="J300" s="8" t="s">
        <v>660</v>
      </c>
      <c r="K300" s="8" t="s">
        <v>993</v>
      </c>
      <c r="L300" s="8" t="s">
        <v>994</v>
      </c>
      <c r="M300" s="8" t="s">
        <v>4576</v>
      </c>
      <c r="N300" s="8">
        <v>41</v>
      </c>
      <c r="O300" s="8"/>
      <c r="P300" s="8" t="s">
        <v>995</v>
      </c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</row>
    <row r="301" spans="1:48" x14ac:dyDescent="0.25">
      <c r="A301" s="8" t="s">
        <v>4574</v>
      </c>
      <c r="B301" s="8" t="s">
        <v>992</v>
      </c>
      <c r="C301" s="8" t="s">
        <v>4575</v>
      </c>
      <c r="D301" s="8" t="s">
        <v>302</v>
      </c>
      <c r="E301" s="8"/>
      <c r="F301" s="8" t="s">
        <v>412</v>
      </c>
      <c r="G301" s="8"/>
      <c r="H301" s="8"/>
      <c r="I301" s="8"/>
      <c r="J301" s="8" t="s">
        <v>658</v>
      </c>
      <c r="K301" s="8" t="s">
        <v>993</v>
      </c>
      <c r="L301" s="8" t="s">
        <v>994</v>
      </c>
      <c r="M301" s="8" t="s">
        <v>4576</v>
      </c>
      <c r="N301" s="8">
        <v>41</v>
      </c>
      <c r="O301" s="8"/>
      <c r="P301" s="8" t="s">
        <v>995</v>
      </c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</row>
    <row r="302" spans="1:48" x14ac:dyDescent="0.25">
      <c r="A302" s="8" t="s">
        <v>4574</v>
      </c>
      <c r="B302" s="8" t="s">
        <v>992</v>
      </c>
      <c r="C302" s="8" t="s">
        <v>4575</v>
      </c>
      <c r="D302" s="8" t="s">
        <v>269</v>
      </c>
      <c r="E302" s="8"/>
      <c r="F302" s="8" t="s">
        <v>412</v>
      </c>
      <c r="G302" s="8"/>
      <c r="H302" s="8"/>
      <c r="I302" s="8"/>
      <c r="J302" s="8" t="s">
        <v>661</v>
      </c>
      <c r="K302" s="8" t="s">
        <v>993</v>
      </c>
      <c r="L302" s="8" t="s">
        <v>994</v>
      </c>
      <c r="M302" s="8" t="s">
        <v>4576</v>
      </c>
      <c r="N302" s="8">
        <v>41</v>
      </c>
      <c r="O302" s="8"/>
      <c r="P302" s="8" t="s">
        <v>995</v>
      </c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</row>
    <row r="303" spans="1:48" x14ac:dyDescent="0.25">
      <c r="A303" s="8" t="s">
        <v>4574</v>
      </c>
      <c r="B303" s="8" t="s">
        <v>992</v>
      </c>
      <c r="C303" s="8" t="s">
        <v>4575</v>
      </c>
      <c r="D303" s="8" t="s">
        <v>163</v>
      </c>
      <c r="E303" s="8"/>
      <c r="F303" s="8" t="s">
        <v>412</v>
      </c>
      <c r="G303" s="8"/>
      <c r="H303" s="8"/>
      <c r="I303" s="8"/>
      <c r="J303" s="8" t="s">
        <v>662</v>
      </c>
      <c r="K303" s="8" t="s">
        <v>993</v>
      </c>
      <c r="L303" s="8" t="s">
        <v>994</v>
      </c>
      <c r="M303" s="8" t="s">
        <v>4576</v>
      </c>
      <c r="N303" s="8">
        <v>41</v>
      </c>
      <c r="O303" s="8"/>
      <c r="P303" s="8" t="s">
        <v>995</v>
      </c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</row>
    <row r="304" spans="1:48" x14ac:dyDescent="0.25">
      <c r="A304" s="8" t="s">
        <v>4574</v>
      </c>
      <c r="B304" s="8" t="s">
        <v>992</v>
      </c>
      <c r="C304" s="8" t="s">
        <v>4575</v>
      </c>
      <c r="D304" s="8" t="s">
        <v>26</v>
      </c>
      <c r="E304" s="8"/>
      <c r="F304" s="8" t="s">
        <v>412</v>
      </c>
      <c r="G304" s="8"/>
      <c r="H304" s="8"/>
      <c r="I304" s="8"/>
      <c r="J304" s="8" t="s">
        <v>663</v>
      </c>
      <c r="K304" s="8" t="s">
        <v>993</v>
      </c>
      <c r="L304" s="8" t="s">
        <v>994</v>
      </c>
      <c r="M304" s="8" t="s">
        <v>4576</v>
      </c>
      <c r="N304" s="8">
        <v>41</v>
      </c>
      <c r="O304" s="8"/>
      <c r="P304" s="8" t="s">
        <v>995</v>
      </c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</row>
    <row r="305" spans="1:48" x14ac:dyDescent="0.25">
      <c r="A305" s="8" t="s">
        <v>4574</v>
      </c>
      <c r="B305" s="8" t="s">
        <v>992</v>
      </c>
      <c r="C305" s="8" t="s">
        <v>4575</v>
      </c>
      <c r="D305" s="8" t="s">
        <v>287</v>
      </c>
      <c r="E305" s="8"/>
      <c r="F305" s="8" t="s">
        <v>412</v>
      </c>
      <c r="G305" s="8"/>
      <c r="H305" s="8"/>
      <c r="I305" s="8"/>
      <c r="J305" s="8" t="s">
        <v>664</v>
      </c>
      <c r="K305" s="8" t="s">
        <v>993</v>
      </c>
      <c r="L305" s="8" t="s">
        <v>994</v>
      </c>
      <c r="M305" s="8" t="s">
        <v>4576</v>
      </c>
      <c r="N305" s="8">
        <v>41</v>
      </c>
      <c r="O305" s="8"/>
      <c r="P305" s="8" t="s">
        <v>995</v>
      </c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</row>
    <row r="306" spans="1:48" x14ac:dyDescent="0.25">
      <c r="A306" s="8" t="s">
        <v>4574</v>
      </c>
      <c r="B306" s="8" t="s">
        <v>992</v>
      </c>
      <c r="C306" s="8" t="s">
        <v>4575</v>
      </c>
      <c r="D306" s="8" t="s">
        <v>327</v>
      </c>
      <c r="E306" s="8"/>
      <c r="F306" s="8" t="s">
        <v>412</v>
      </c>
      <c r="G306" s="8"/>
      <c r="H306" s="8"/>
      <c r="I306" s="8"/>
      <c r="J306" s="8"/>
      <c r="K306" s="8" t="s">
        <v>993</v>
      </c>
      <c r="L306" s="8" t="s">
        <v>994</v>
      </c>
      <c r="M306" s="8" t="s">
        <v>4576</v>
      </c>
      <c r="N306" s="8">
        <v>41</v>
      </c>
      <c r="O306" s="8"/>
      <c r="P306" s="8" t="s">
        <v>995</v>
      </c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</row>
    <row r="307" spans="1:48" x14ac:dyDescent="0.25">
      <c r="A307" s="8" t="s">
        <v>4574</v>
      </c>
      <c r="B307" s="8" t="s">
        <v>992</v>
      </c>
      <c r="C307" s="8" t="s">
        <v>4575</v>
      </c>
      <c r="D307" s="8" t="s">
        <v>267</v>
      </c>
      <c r="E307" s="8"/>
      <c r="F307" s="8" t="s">
        <v>412</v>
      </c>
      <c r="G307" s="8"/>
      <c r="H307" s="8"/>
      <c r="I307" s="8"/>
      <c r="J307" s="8" t="s">
        <v>666</v>
      </c>
      <c r="K307" s="8" t="s">
        <v>993</v>
      </c>
      <c r="L307" s="8" t="s">
        <v>994</v>
      </c>
      <c r="M307" s="8" t="s">
        <v>4576</v>
      </c>
      <c r="N307" s="8">
        <v>41</v>
      </c>
      <c r="O307" s="8"/>
      <c r="P307" s="8" t="s">
        <v>995</v>
      </c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</row>
    <row r="308" spans="1:48" x14ac:dyDescent="0.25">
      <c r="A308" s="8" t="s">
        <v>4574</v>
      </c>
      <c r="B308" s="8" t="s">
        <v>992</v>
      </c>
      <c r="C308" s="8" t="s">
        <v>4575</v>
      </c>
      <c r="D308" s="8" t="s">
        <v>259</v>
      </c>
      <c r="E308" s="8"/>
      <c r="F308" s="8" t="s">
        <v>412</v>
      </c>
      <c r="G308" s="8"/>
      <c r="H308" s="8"/>
      <c r="I308" s="8"/>
      <c r="J308" s="8" t="s">
        <v>667</v>
      </c>
      <c r="K308" s="8" t="s">
        <v>993</v>
      </c>
      <c r="L308" s="8" t="s">
        <v>994</v>
      </c>
      <c r="M308" s="8" t="s">
        <v>4576</v>
      </c>
      <c r="N308" s="8">
        <v>41</v>
      </c>
      <c r="O308" s="8"/>
      <c r="P308" s="8" t="s">
        <v>995</v>
      </c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</row>
    <row r="309" spans="1:48" x14ac:dyDescent="0.25">
      <c r="A309" s="8" t="s">
        <v>4574</v>
      </c>
      <c r="B309" s="8" t="s">
        <v>992</v>
      </c>
      <c r="C309" s="8" t="s">
        <v>4575</v>
      </c>
      <c r="D309" s="8" t="s">
        <v>274</v>
      </c>
      <c r="E309" s="8"/>
      <c r="F309" s="8" t="s">
        <v>437</v>
      </c>
      <c r="G309" s="8"/>
      <c r="H309" s="8"/>
      <c r="I309" s="8"/>
      <c r="J309" s="8" t="s">
        <v>668</v>
      </c>
      <c r="K309" s="8" t="s">
        <v>993</v>
      </c>
      <c r="L309" s="8" t="s">
        <v>994</v>
      </c>
      <c r="M309" s="8" t="s">
        <v>4576</v>
      </c>
      <c r="N309" s="8">
        <v>41</v>
      </c>
      <c r="O309" s="8"/>
      <c r="P309" s="8" t="s">
        <v>995</v>
      </c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</row>
    <row r="310" spans="1:48" x14ac:dyDescent="0.25">
      <c r="A310" s="8" t="s">
        <v>4574</v>
      </c>
      <c r="B310" s="8" t="s">
        <v>992</v>
      </c>
      <c r="C310" s="8" t="s">
        <v>4575</v>
      </c>
      <c r="D310" s="8" t="s">
        <v>350</v>
      </c>
      <c r="E310" s="8"/>
      <c r="F310" s="8" t="s">
        <v>412</v>
      </c>
      <c r="G310" s="8"/>
      <c r="H310" s="8"/>
      <c r="I310" s="8"/>
      <c r="J310" s="8" t="s">
        <v>670</v>
      </c>
      <c r="K310" s="8" t="s">
        <v>993</v>
      </c>
      <c r="L310" s="8" t="s">
        <v>994</v>
      </c>
      <c r="M310" s="8" t="s">
        <v>4576</v>
      </c>
      <c r="N310" s="8">
        <v>41</v>
      </c>
      <c r="O310" s="8"/>
      <c r="P310" s="8" t="s">
        <v>995</v>
      </c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</row>
    <row r="311" spans="1:48" x14ac:dyDescent="0.25">
      <c r="A311" s="8" t="s">
        <v>4574</v>
      </c>
      <c r="B311" s="8" t="s">
        <v>992</v>
      </c>
      <c r="C311" s="8" t="s">
        <v>4575</v>
      </c>
      <c r="D311" s="8" t="s">
        <v>90</v>
      </c>
      <c r="E311" s="8"/>
      <c r="F311" s="8" t="s">
        <v>412</v>
      </c>
      <c r="G311" s="8"/>
      <c r="H311" s="8"/>
      <c r="I311" s="8"/>
      <c r="J311" s="8" t="s">
        <v>671</v>
      </c>
      <c r="K311" s="8" t="s">
        <v>993</v>
      </c>
      <c r="L311" s="8" t="s">
        <v>994</v>
      </c>
      <c r="M311" s="8" t="s">
        <v>4576</v>
      </c>
      <c r="N311" s="8">
        <v>41</v>
      </c>
      <c r="O311" s="8"/>
      <c r="P311" s="8" t="s">
        <v>995</v>
      </c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</row>
    <row r="312" spans="1:48" x14ac:dyDescent="0.25">
      <c r="A312" s="8" t="s">
        <v>4574</v>
      </c>
      <c r="B312" s="8" t="s">
        <v>992</v>
      </c>
      <c r="C312" s="8" t="s">
        <v>4575</v>
      </c>
      <c r="D312" s="8" t="s">
        <v>14</v>
      </c>
      <c r="E312" s="8"/>
      <c r="F312" s="8" t="s">
        <v>412</v>
      </c>
      <c r="G312" s="8"/>
      <c r="H312" s="8"/>
      <c r="I312" s="8"/>
      <c r="J312" s="8" t="s">
        <v>672</v>
      </c>
      <c r="K312" s="8" t="s">
        <v>993</v>
      </c>
      <c r="L312" s="8" t="s">
        <v>994</v>
      </c>
      <c r="M312" s="8" t="s">
        <v>4576</v>
      </c>
      <c r="N312" s="8">
        <v>41</v>
      </c>
      <c r="O312" s="8"/>
      <c r="P312" s="8" t="s">
        <v>995</v>
      </c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</row>
    <row r="313" spans="1:48" x14ac:dyDescent="0.25">
      <c r="A313" s="8" t="s">
        <v>4574</v>
      </c>
      <c r="B313" s="8" t="s">
        <v>992</v>
      </c>
      <c r="C313" s="8" t="s">
        <v>4575</v>
      </c>
      <c r="D313" s="8" t="s">
        <v>232</v>
      </c>
      <c r="E313" s="8"/>
      <c r="F313" s="8" t="s">
        <v>412</v>
      </c>
      <c r="G313" s="8"/>
      <c r="H313" s="8"/>
      <c r="I313" s="8"/>
      <c r="J313" s="8" t="s">
        <v>673</v>
      </c>
      <c r="K313" s="8" t="s">
        <v>993</v>
      </c>
      <c r="L313" s="8" t="s">
        <v>994</v>
      </c>
      <c r="M313" s="8" t="s">
        <v>4576</v>
      </c>
      <c r="N313" s="8">
        <v>41</v>
      </c>
      <c r="O313" s="8"/>
      <c r="P313" s="8" t="s">
        <v>995</v>
      </c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</row>
    <row r="314" spans="1:48" x14ac:dyDescent="0.25">
      <c r="A314" s="8" t="s">
        <v>4574</v>
      </c>
      <c r="B314" s="8" t="s">
        <v>992</v>
      </c>
      <c r="C314" s="8" t="s">
        <v>4575</v>
      </c>
      <c r="D314" s="8" t="s">
        <v>154</v>
      </c>
      <c r="E314" s="8"/>
      <c r="F314" s="8" t="s">
        <v>412</v>
      </c>
      <c r="G314" s="8"/>
      <c r="H314" s="8"/>
      <c r="I314" s="8"/>
      <c r="J314" s="8" t="s">
        <v>665</v>
      </c>
      <c r="K314" s="8" t="s">
        <v>993</v>
      </c>
      <c r="L314" s="8" t="s">
        <v>994</v>
      </c>
      <c r="M314" s="8" t="s">
        <v>4576</v>
      </c>
      <c r="N314" s="8">
        <v>41</v>
      </c>
      <c r="O314" s="8"/>
      <c r="P314" s="8" t="s">
        <v>995</v>
      </c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</row>
    <row r="315" spans="1:48" x14ac:dyDescent="0.25">
      <c r="A315" s="8" t="s">
        <v>4574</v>
      </c>
      <c r="B315" s="8" t="s">
        <v>992</v>
      </c>
      <c r="C315" s="8" t="s">
        <v>4575</v>
      </c>
      <c r="D315" s="8" t="s">
        <v>146</v>
      </c>
      <c r="E315" s="8"/>
      <c r="F315" s="8" t="s">
        <v>412</v>
      </c>
      <c r="G315" s="8"/>
      <c r="H315" s="8"/>
      <c r="I315" s="8"/>
      <c r="J315" s="8"/>
      <c r="K315" s="8" t="s">
        <v>993</v>
      </c>
      <c r="L315" s="8" t="s">
        <v>994</v>
      </c>
      <c r="M315" s="8" t="s">
        <v>4576</v>
      </c>
      <c r="N315" s="8">
        <v>41</v>
      </c>
      <c r="O315" s="8"/>
      <c r="P315" s="8" t="s">
        <v>995</v>
      </c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</row>
    <row r="316" spans="1:48" x14ac:dyDescent="0.25">
      <c r="A316" s="8" t="s">
        <v>4574</v>
      </c>
      <c r="B316" s="8" t="s">
        <v>992</v>
      </c>
      <c r="C316" s="8" t="s">
        <v>4575</v>
      </c>
      <c r="D316" s="8" t="s">
        <v>79</v>
      </c>
      <c r="E316" s="8"/>
      <c r="F316" s="8" t="s">
        <v>412</v>
      </c>
      <c r="G316" s="8"/>
      <c r="H316" s="8"/>
      <c r="I316" s="8"/>
      <c r="J316" s="8" t="s">
        <v>674</v>
      </c>
      <c r="K316" s="8" t="s">
        <v>993</v>
      </c>
      <c r="L316" s="8" t="s">
        <v>994</v>
      </c>
      <c r="M316" s="8" t="s">
        <v>4576</v>
      </c>
      <c r="N316" s="8">
        <v>41</v>
      </c>
      <c r="O316" s="8"/>
      <c r="P316" s="8" t="s">
        <v>995</v>
      </c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</row>
    <row r="317" spans="1:48" x14ac:dyDescent="0.25">
      <c r="A317" s="8" t="s">
        <v>4574</v>
      </c>
      <c r="B317" s="8" t="s">
        <v>992</v>
      </c>
      <c r="C317" s="8" t="s">
        <v>4575</v>
      </c>
      <c r="D317" s="8" t="s">
        <v>12</v>
      </c>
      <c r="E317" s="8"/>
      <c r="F317" s="8" t="s">
        <v>412</v>
      </c>
      <c r="G317" s="8"/>
      <c r="H317" s="8"/>
      <c r="I317" s="8"/>
      <c r="J317" s="8" t="s">
        <v>669</v>
      </c>
      <c r="K317" s="8" t="s">
        <v>993</v>
      </c>
      <c r="L317" s="8" t="s">
        <v>994</v>
      </c>
      <c r="M317" s="8" t="s">
        <v>4576</v>
      </c>
      <c r="N317" s="8">
        <v>41</v>
      </c>
      <c r="O317" s="8"/>
      <c r="P317" s="8" t="s">
        <v>995</v>
      </c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</row>
    <row r="318" spans="1:48" x14ac:dyDescent="0.25">
      <c r="A318" s="8" t="s">
        <v>4574</v>
      </c>
      <c r="B318" s="8" t="s">
        <v>992</v>
      </c>
      <c r="C318" s="8" t="s">
        <v>4575</v>
      </c>
      <c r="D318" s="8" t="s">
        <v>148</v>
      </c>
      <c r="E318" s="8"/>
      <c r="F318" s="8" t="s">
        <v>412</v>
      </c>
      <c r="G318" s="8"/>
      <c r="H318" s="8"/>
      <c r="I318" s="8"/>
      <c r="J318" s="8"/>
      <c r="K318" s="8" t="s">
        <v>993</v>
      </c>
      <c r="L318" s="8" t="s">
        <v>994</v>
      </c>
      <c r="M318" s="8" t="s">
        <v>4576</v>
      </c>
      <c r="N318" s="8">
        <v>41</v>
      </c>
      <c r="O318" s="8"/>
      <c r="P318" s="8" t="s">
        <v>995</v>
      </c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</row>
    <row r="319" spans="1:48" x14ac:dyDescent="0.25">
      <c r="A319" s="8" t="s">
        <v>4574</v>
      </c>
      <c r="B319" s="8" t="s">
        <v>992</v>
      </c>
      <c r="C319" s="8" t="s">
        <v>4575</v>
      </c>
      <c r="D319" s="8" t="s">
        <v>60</v>
      </c>
      <c r="E319" s="8"/>
      <c r="F319" s="8" t="s">
        <v>412</v>
      </c>
      <c r="G319" s="8"/>
      <c r="H319" s="8"/>
      <c r="I319" s="8"/>
      <c r="J319" s="8" t="s">
        <v>675</v>
      </c>
      <c r="K319" s="8" t="s">
        <v>993</v>
      </c>
      <c r="L319" s="8" t="s">
        <v>994</v>
      </c>
      <c r="M319" s="8" t="s">
        <v>4576</v>
      </c>
      <c r="N319" s="8">
        <v>41</v>
      </c>
      <c r="O319" s="8"/>
      <c r="P319" s="8" t="s">
        <v>995</v>
      </c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</row>
    <row r="320" spans="1:48" x14ac:dyDescent="0.25">
      <c r="A320" s="8" t="s">
        <v>4574</v>
      </c>
      <c r="B320" s="8" t="s">
        <v>992</v>
      </c>
      <c r="C320" s="8" t="s">
        <v>4575</v>
      </c>
      <c r="D320" s="8" t="s">
        <v>209</v>
      </c>
      <c r="E320" s="8"/>
      <c r="F320" s="8" t="s">
        <v>412</v>
      </c>
      <c r="G320" s="8"/>
      <c r="H320" s="8"/>
      <c r="I320" s="8"/>
      <c r="J320" s="8"/>
      <c r="K320" s="8" t="s">
        <v>993</v>
      </c>
      <c r="L320" s="8" t="s">
        <v>994</v>
      </c>
      <c r="M320" s="8" t="s">
        <v>4576</v>
      </c>
      <c r="N320" s="8">
        <v>41</v>
      </c>
      <c r="O320" s="8"/>
      <c r="P320" s="8" t="s">
        <v>995</v>
      </c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</row>
    <row r="321" spans="1:48" x14ac:dyDescent="0.25">
      <c r="A321" s="8" t="s">
        <v>4574</v>
      </c>
      <c r="B321" s="8" t="s">
        <v>992</v>
      </c>
      <c r="C321" s="8" t="s">
        <v>4575</v>
      </c>
      <c r="D321" s="8" t="s">
        <v>256</v>
      </c>
      <c r="E321" s="8"/>
      <c r="F321" s="8" t="s">
        <v>412</v>
      </c>
      <c r="G321" s="8"/>
      <c r="H321" s="8"/>
      <c r="I321" s="8"/>
      <c r="J321" s="8" t="s">
        <v>676</v>
      </c>
      <c r="K321" s="8" t="s">
        <v>993</v>
      </c>
      <c r="L321" s="8" t="s">
        <v>994</v>
      </c>
      <c r="M321" s="8" t="s">
        <v>4576</v>
      </c>
      <c r="N321" s="8">
        <v>41</v>
      </c>
      <c r="O321" s="8"/>
      <c r="P321" s="8" t="s">
        <v>995</v>
      </c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</row>
    <row r="322" spans="1:48" x14ac:dyDescent="0.25">
      <c r="A322" s="8" t="s">
        <v>4574</v>
      </c>
      <c r="B322" s="8" t="s">
        <v>992</v>
      </c>
      <c r="C322" s="8" t="s">
        <v>4575</v>
      </c>
      <c r="D322" s="8" t="s">
        <v>172</v>
      </c>
      <c r="E322" s="8"/>
      <c r="F322" s="8" t="s">
        <v>412</v>
      </c>
      <c r="G322" s="8"/>
      <c r="H322" s="8"/>
      <c r="I322" s="8"/>
      <c r="J322" s="8"/>
      <c r="K322" s="8" t="s">
        <v>993</v>
      </c>
      <c r="L322" s="8" t="s">
        <v>994</v>
      </c>
      <c r="M322" s="8" t="s">
        <v>4576</v>
      </c>
      <c r="N322" s="8">
        <v>41</v>
      </c>
      <c r="O322" s="8"/>
      <c r="P322" s="8" t="s">
        <v>995</v>
      </c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</row>
    <row r="323" spans="1:48" x14ac:dyDescent="0.25">
      <c r="A323" s="8" t="s">
        <v>4574</v>
      </c>
      <c r="B323" s="8" t="s">
        <v>992</v>
      </c>
      <c r="C323" s="8" t="s">
        <v>4575</v>
      </c>
      <c r="D323" s="8" t="s">
        <v>48</v>
      </c>
      <c r="E323" s="8"/>
      <c r="F323" s="8" t="s">
        <v>412</v>
      </c>
      <c r="G323" s="8"/>
      <c r="H323" s="8"/>
      <c r="I323" s="8"/>
      <c r="J323" s="8" t="s">
        <v>683</v>
      </c>
      <c r="K323" s="8" t="s">
        <v>993</v>
      </c>
      <c r="L323" s="8" t="s">
        <v>994</v>
      </c>
      <c r="M323" s="8" t="s">
        <v>4576</v>
      </c>
      <c r="N323" s="8">
        <v>41</v>
      </c>
      <c r="O323" s="8"/>
      <c r="P323" s="8" t="s">
        <v>995</v>
      </c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</row>
    <row r="324" spans="1:48" x14ac:dyDescent="0.25">
      <c r="A324" s="8" t="s">
        <v>4574</v>
      </c>
      <c r="B324" s="8" t="s">
        <v>992</v>
      </c>
      <c r="C324" s="8" t="s">
        <v>4575</v>
      </c>
      <c r="D324" s="8" t="s">
        <v>173</v>
      </c>
      <c r="E324" s="8"/>
      <c r="F324" s="8" t="s">
        <v>412</v>
      </c>
      <c r="G324" s="8"/>
      <c r="H324" s="8"/>
      <c r="I324" s="8"/>
      <c r="J324" s="8"/>
      <c r="K324" s="8" t="s">
        <v>993</v>
      </c>
      <c r="L324" s="8" t="s">
        <v>994</v>
      </c>
      <c r="M324" s="8" t="s">
        <v>4576</v>
      </c>
      <c r="N324" s="8">
        <v>41</v>
      </c>
      <c r="O324" s="8"/>
      <c r="P324" s="8" t="s">
        <v>995</v>
      </c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</row>
    <row r="325" spans="1:48" x14ac:dyDescent="0.25">
      <c r="A325" s="8" t="s">
        <v>4574</v>
      </c>
      <c r="B325" s="8" t="s">
        <v>992</v>
      </c>
      <c r="C325" s="8" t="s">
        <v>4575</v>
      </c>
      <c r="D325" s="8" t="s">
        <v>135</v>
      </c>
      <c r="E325" s="8"/>
      <c r="F325" s="8" t="s">
        <v>412</v>
      </c>
      <c r="G325" s="8"/>
      <c r="H325" s="8"/>
      <c r="I325" s="8"/>
      <c r="J325" s="8" t="s">
        <v>678</v>
      </c>
      <c r="K325" s="8" t="s">
        <v>993</v>
      </c>
      <c r="L325" s="8" t="s">
        <v>994</v>
      </c>
      <c r="M325" s="8" t="s">
        <v>4576</v>
      </c>
      <c r="N325" s="8">
        <v>41</v>
      </c>
      <c r="O325" s="8"/>
      <c r="P325" s="8" t="s">
        <v>995</v>
      </c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</row>
    <row r="326" spans="1:48" x14ac:dyDescent="0.25">
      <c r="A326" s="8" t="s">
        <v>4574</v>
      </c>
      <c r="B326" s="8" t="s">
        <v>992</v>
      </c>
      <c r="C326" s="8" t="s">
        <v>4575</v>
      </c>
      <c r="D326" s="8" t="s">
        <v>679</v>
      </c>
      <c r="E326" s="8" t="s">
        <v>680</v>
      </c>
      <c r="F326" s="8" t="s">
        <v>681</v>
      </c>
      <c r="G326" s="8" t="s">
        <v>682</v>
      </c>
      <c r="H326" s="8">
        <v>0</v>
      </c>
      <c r="I326" s="8">
        <v>0</v>
      </c>
      <c r="J326" s="8" t="s">
        <v>4577</v>
      </c>
      <c r="K326" s="8" t="s">
        <v>993</v>
      </c>
      <c r="L326" s="8" t="s">
        <v>994</v>
      </c>
      <c r="M326" s="8" t="s">
        <v>4576</v>
      </c>
      <c r="N326" s="8">
        <v>41</v>
      </c>
      <c r="O326" s="8"/>
      <c r="P326" s="8" t="s">
        <v>995</v>
      </c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</row>
    <row r="327" spans="1:48" x14ac:dyDescent="0.25">
      <c r="A327" s="8" t="s">
        <v>4574</v>
      </c>
      <c r="B327" s="8" t="s">
        <v>992</v>
      </c>
      <c r="C327" s="8" t="s">
        <v>4575</v>
      </c>
      <c r="D327" s="8" t="s">
        <v>31</v>
      </c>
      <c r="E327" s="8"/>
      <c r="F327" s="8" t="s">
        <v>412</v>
      </c>
      <c r="G327" s="8"/>
      <c r="H327" s="8"/>
      <c r="I327" s="8"/>
      <c r="J327" s="8" t="s">
        <v>677</v>
      </c>
      <c r="K327" s="8" t="s">
        <v>993</v>
      </c>
      <c r="L327" s="8" t="s">
        <v>994</v>
      </c>
      <c r="M327" s="8" t="s">
        <v>4576</v>
      </c>
      <c r="N327" s="8">
        <v>41</v>
      </c>
      <c r="O327" s="8"/>
      <c r="P327" s="8" t="s">
        <v>995</v>
      </c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</row>
    <row r="328" spans="1:48" x14ac:dyDescent="0.25">
      <c r="A328" s="8" t="s">
        <v>4574</v>
      </c>
      <c r="B328" s="8" t="s">
        <v>992</v>
      </c>
      <c r="C328" s="8" t="s">
        <v>4575</v>
      </c>
      <c r="D328" s="8" t="s">
        <v>329</v>
      </c>
      <c r="E328" s="8"/>
      <c r="F328" s="8" t="s">
        <v>412</v>
      </c>
      <c r="G328" s="8"/>
      <c r="H328" s="8"/>
      <c r="I328" s="8"/>
      <c r="J328" s="8"/>
      <c r="K328" s="8" t="s">
        <v>993</v>
      </c>
      <c r="L328" s="8" t="s">
        <v>994</v>
      </c>
      <c r="M328" s="8" t="s">
        <v>4576</v>
      </c>
      <c r="N328" s="8">
        <v>41</v>
      </c>
      <c r="O328" s="8"/>
      <c r="P328" s="8" t="s">
        <v>995</v>
      </c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</row>
    <row r="329" spans="1:48" x14ac:dyDescent="0.25">
      <c r="A329" s="8" t="s">
        <v>4574</v>
      </c>
      <c r="B329" s="8" t="s">
        <v>992</v>
      </c>
      <c r="C329" s="8" t="s">
        <v>4575</v>
      </c>
      <c r="D329" s="8" t="s">
        <v>207</v>
      </c>
      <c r="E329" s="8"/>
      <c r="F329" s="8" t="s">
        <v>412</v>
      </c>
      <c r="G329" s="8"/>
      <c r="H329" s="8"/>
      <c r="I329" s="8"/>
      <c r="J329" s="8"/>
      <c r="K329" s="8" t="s">
        <v>993</v>
      </c>
      <c r="L329" s="8" t="s">
        <v>994</v>
      </c>
      <c r="M329" s="8" t="s">
        <v>4576</v>
      </c>
      <c r="N329" s="8">
        <v>41</v>
      </c>
      <c r="O329" s="8"/>
      <c r="P329" s="8" t="s">
        <v>995</v>
      </c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</row>
    <row r="330" spans="1:48" x14ac:dyDescent="0.25">
      <c r="A330" s="8" t="s">
        <v>4574</v>
      </c>
      <c r="B330" s="8" t="s">
        <v>992</v>
      </c>
      <c r="C330" s="8" t="s">
        <v>4575</v>
      </c>
      <c r="D330" s="8" t="s">
        <v>252</v>
      </c>
      <c r="E330" s="8"/>
      <c r="F330" s="8" t="s">
        <v>412</v>
      </c>
      <c r="G330" s="8"/>
      <c r="H330" s="8"/>
      <c r="I330" s="8"/>
      <c r="J330" s="8" t="s">
        <v>684</v>
      </c>
      <c r="K330" s="8" t="s">
        <v>993</v>
      </c>
      <c r="L330" s="8" t="s">
        <v>994</v>
      </c>
      <c r="M330" s="8" t="s">
        <v>4576</v>
      </c>
      <c r="N330" s="8">
        <v>41</v>
      </c>
      <c r="O330" s="8"/>
      <c r="P330" s="8" t="s">
        <v>995</v>
      </c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</row>
    <row r="331" spans="1:48" x14ac:dyDescent="0.25">
      <c r="A331" s="8" t="s">
        <v>4574</v>
      </c>
      <c r="B331" s="8" t="s">
        <v>992</v>
      </c>
      <c r="C331" s="8" t="s">
        <v>4575</v>
      </c>
      <c r="D331" s="8" t="s">
        <v>294</v>
      </c>
      <c r="E331" s="8"/>
      <c r="F331" s="8" t="s">
        <v>412</v>
      </c>
      <c r="G331" s="8"/>
      <c r="H331" s="8"/>
      <c r="I331" s="8"/>
      <c r="J331" s="8" t="s">
        <v>686</v>
      </c>
      <c r="K331" s="8" t="s">
        <v>993</v>
      </c>
      <c r="L331" s="8" t="s">
        <v>994</v>
      </c>
      <c r="M331" s="8" t="s">
        <v>4576</v>
      </c>
      <c r="N331" s="8">
        <v>41</v>
      </c>
      <c r="O331" s="8"/>
      <c r="P331" s="8" t="s">
        <v>995</v>
      </c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</row>
    <row r="332" spans="1:48" x14ac:dyDescent="0.25">
      <c r="A332" s="8" t="s">
        <v>4574</v>
      </c>
      <c r="B332" s="8" t="s">
        <v>992</v>
      </c>
      <c r="C332" s="8" t="s">
        <v>4575</v>
      </c>
      <c r="D332" s="8" t="s">
        <v>229</v>
      </c>
      <c r="E332" s="8"/>
      <c r="F332" s="8" t="s">
        <v>412</v>
      </c>
      <c r="G332" s="8"/>
      <c r="H332" s="8"/>
      <c r="I332" s="8"/>
      <c r="J332" s="8" t="s">
        <v>423</v>
      </c>
      <c r="K332" s="8" t="s">
        <v>993</v>
      </c>
      <c r="L332" s="8" t="s">
        <v>994</v>
      </c>
      <c r="M332" s="8" t="s">
        <v>4576</v>
      </c>
      <c r="N332" s="8">
        <v>41</v>
      </c>
      <c r="O332" s="8"/>
      <c r="P332" s="8" t="s">
        <v>995</v>
      </c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</row>
    <row r="333" spans="1:48" x14ac:dyDescent="0.25">
      <c r="A333" s="8" t="s">
        <v>4574</v>
      </c>
      <c r="B333" s="8" t="s">
        <v>992</v>
      </c>
      <c r="C333" s="8" t="s">
        <v>4575</v>
      </c>
      <c r="D333" s="8" t="s">
        <v>64</v>
      </c>
      <c r="E333" s="8"/>
      <c r="F333" s="8" t="s">
        <v>412</v>
      </c>
      <c r="G333" s="8"/>
      <c r="H333" s="8"/>
      <c r="I333" s="8"/>
      <c r="J333" s="8" t="s">
        <v>687</v>
      </c>
      <c r="K333" s="8" t="s">
        <v>993</v>
      </c>
      <c r="L333" s="8" t="s">
        <v>994</v>
      </c>
      <c r="M333" s="8" t="s">
        <v>4576</v>
      </c>
      <c r="N333" s="8">
        <v>41</v>
      </c>
      <c r="O333" s="8"/>
      <c r="P333" s="8" t="s">
        <v>995</v>
      </c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</row>
    <row r="334" spans="1:48" x14ac:dyDescent="0.25">
      <c r="A334" s="8" t="s">
        <v>4574</v>
      </c>
      <c r="B334" s="8" t="s">
        <v>992</v>
      </c>
      <c r="C334" s="8" t="s">
        <v>4575</v>
      </c>
      <c r="D334" s="8" t="s">
        <v>262</v>
      </c>
      <c r="E334" s="8"/>
      <c r="F334" s="8" t="s">
        <v>437</v>
      </c>
      <c r="G334" s="8"/>
      <c r="H334" s="8"/>
      <c r="I334" s="8"/>
      <c r="J334" s="8" t="s">
        <v>688</v>
      </c>
      <c r="K334" s="8" t="s">
        <v>993</v>
      </c>
      <c r="L334" s="8" t="s">
        <v>994</v>
      </c>
      <c r="M334" s="8" t="s">
        <v>4576</v>
      </c>
      <c r="N334" s="8">
        <v>41</v>
      </c>
      <c r="O334" s="8"/>
      <c r="P334" s="8" t="s">
        <v>995</v>
      </c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</row>
    <row r="335" spans="1:48" x14ac:dyDescent="0.25">
      <c r="A335" s="8" t="s">
        <v>4574</v>
      </c>
      <c r="B335" s="8" t="s">
        <v>992</v>
      </c>
      <c r="C335" s="8" t="s">
        <v>4575</v>
      </c>
      <c r="D335" s="8" t="s">
        <v>55</v>
      </c>
      <c r="E335" s="8"/>
      <c r="F335" s="8" t="s">
        <v>412</v>
      </c>
      <c r="G335" s="8"/>
      <c r="H335" s="8"/>
      <c r="I335" s="8"/>
      <c r="J335" s="8" t="s">
        <v>690</v>
      </c>
      <c r="K335" s="8" t="s">
        <v>993</v>
      </c>
      <c r="L335" s="8" t="s">
        <v>994</v>
      </c>
      <c r="M335" s="8" t="s">
        <v>4576</v>
      </c>
      <c r="N335" s="8">
        <v>41</v>
      </c>
      <c r="O335" s="8"/>
      <c r="P335" s="8" t="s">
        <v>995</v>
      </c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</row>
    <row r="336" spans="1:48" x14ac:dyDescent="0.25">
      <c r="A336" s="8" t="s">
        <v>4574</v>
      </c>
      <c r="B336" s="8" t="s">
        <v>992</v>
      </c>
      <c r="C336" s="8" t="s">
        <v>4575</v>
      </c>
      <c r="D336" s="8" t="s">
        <v>82</v>
      </c>
      <c r="E336" s="8"/>
      <c r="F336" s="8" t="s">
        <v>412</v>
      </c>
      <c r="G336" s="8"/>
      <c r="H336" s="8"/>
      <c r="I336" s="8"/>
      <c r="J336" s="8" t="s">
        <v>691</v>
      </c>
      <c r="K336" s="8" t="s">
        <v>993</v>
      </c>
      <c r="L336" s="8" t="s">
        <v>994</v>
      </c>
      <c r="M336" s="8" t="s">
        <v>4576</v>
      </c>
      <c r="N336" s="8">
        <v>41</v>
      </c>
      <c r="O336" s="8"/>
      <c r="P336" s="8" t="s">
        <v>995</v>
      </c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</row>
    <row r="337" spans="1:48" x14ac:dyDescent="0.25">
      <c r="A337" s="8" t="s">
        <v>4574</v>
      </c>
      <c r="B337" s="8" t="s">
        <v>992</v>
      </c>
      <c r="C337" s="8" t="s">
        <v>4575</v>
      </c>
      <c r="D337" s="8" t="s">
        <v>215</v>
      </c>
      <c r="E337" s="8"/>
      <c r="F337" s="8" t="s">
        <v>412</v>
      </c>
      <c r="G337" s="8"/>
      <c r="H337" s="8"/>
      <c r="I337" s="8"/>
      <c r="J337" s="8" t="s">
        <v>689</v>
      </c>
      <c r="K337" s="8" t="s">
        <v>993</v>
      </c>
      <c r="L337" s="8" t="s">
        <v>994</v>
      </c>
      <c r="M337" s="8" t="s">
        <v>4576</v>
      </c>
      <c r="N337" s="8">
        <v>41</v>
      </c>
      <c r="O337" s="8"/>
      <c r="P337" s="8" t="s">
        <v>995</v>
      </c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</row>
    <row r="338" spans="1:48" x14ac:dyDescent="0.25">
      <c r="A338" s="8" t="s">
        <v>4574</v>
      </c>
      <c r="B338" s="8" t="s">
        <v>992</v>
      </c>
      <c r="C338" s="8" t="s">
        <v>4575</v>
      </c>
      <c r="D338" s="8" t="s">
        <v>326</v>
      </c>
      <c r="E338" s="8"/>
      <c r="F338" s="8" t="s">
        <v>412</v>
      </c>
      <c r="G338" s="8"/>
      <c r="H338" s="8"/>
      <c r="I338" s="8"/>
      <c r="J338" s="8"/>
      <c r="K338" s="8" t="s">
        <v>993</v>
      </c>
      <c r="L338" s="8" t="s">
        <v>994</v>
      </c>
      <c r="M338" s="8" t="s">
        <v>4576</v>
      </c>
      <c r="N338" s="8">
        <v>41</v>
      </c>
      <c r="O338" s="8"/>
      <c r="P338" s="8" t="s">
        <v>995</v>
      </c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</row>
    <row r="339" spans="1:48" x14ac:dyDescent="0.25">
      <c r="A339" s="8" t="s">
        <v>4574</v>
      </c>
      <c r="B339" s="8" t="s">
        <v>992</v>
      </c>
      <c r="C339" s="8" t="s">
        <v>4575</v>
      </c>
      <c r="D339" s="8" t="s">
        <v>341</v>
      </c>
      <c r="E339" s="8"/>
      <c r="F339" s="8" t="s">
        <v>412</v>
      </c>
      <c r="G339" s="8"/>
      <c r="H339" s="8"/>
      <c r="I339" s="8"/>
      <c r="J339" s="8" t="s">
        <v>685</v>
      </c>
      <c r="K339" s="8" t="s">
        <v>993</v>
      </c>
      <c r="L339" s="8" t="s">
        <v>994</v>
      </c>
      <c r="M339" s="8" t="s">
        <v>4576</v>
      </c>
      <c r="N339" s="8">
        <v>41</v>
      </c>
      <c r="O339" s="8"/>
      <c r="P339" s="8" t="s">
        <v>995</v>
      </c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</row>
    <row r="340" spans="1:48" x14ac:dyDescent="0.25">
      <c r="A340" s="8" t="s">
        <v>4574</v>
      </c>
      <c r="B340" s="8" t="s">
        <v>992</v>
      </c>
      <c r="C340" s="8" t="s">
        <v>4575</v>
      </c>
      <c r="D340" s="8" t="s">
        <v>317</v>
      </c>
      <c r="E340" s="8"/>
      <c r="F340" s="8" t="s">
        <v>412</v>
      </c>
      <c r="G340" s="8"/>
      <c r="H340" s="8"/>
      <c r="I340" s="8"/>
      <c r="J340" s="8" t="s">
        <v>692</v>
      </c>
      <c r="K340" s="8" t="s">
        <v>993</v>
      </c>
      <c r="L340" s="8" t="s">
        <v>994</v>
      </c>
      <c r="M340" s="8" t="s">
        <v>4576</v>
      </c>
      <c r="N340" s="8">
        <v>41</v>
      </c>
      <c r="O340" s="8"/>
      <c r="P340" s="8" t="s">
        <v>995</v>
      </c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</row>
    <row r="341" spans="1:48" x14ac:dyDescent="0.25">
      <c r="A341" s="8" t="s">
        <v>4574</v>
      </c>
      <c r="B341" s="8" t="s">
        <v>992</v>
      </c>
      <c r="C341" s="8" t="s">
        <v>4575</v>
      </c>
      <c r="D341" s="8" t="s">
        <v>101</v>
      </c>
      <c r="E341" s="8"/>
      <c r="F341" s="8" t="s">
        <v>412</v>
      </c>
      <c r="G341" s="8"/>
      <c r="H341" s="8"/>
      <c r="I341" s="8"/>
      <c r="J341" s="8" t="s">
        <v>693</v>
      </c>
      <c r="K341" s="8" t="s">
        <v>993</v>
      </c>
      <c r="L341" s="8" t="s">
        <v>994</v>
      </c>
      <c r="M341" s="8" t="s">
        <v>4576</v>
      </c>
      <c r="N341" s="8">
        <v>41</v>
      </c>
      <c r="O341" s="8"/>
      <c r="P341" s="8" t="s">
        <v>995</v>
      </c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</row>
    <row r="342" spans="1:48" x14ac:dyDescent="0.25">
      <c r="A342" s="8" t="s">
        <v>4574</v>
      </c>
      <c r="B342" s="8" t="s">
        <v>992</v>
      </c>
      <c r="C342" s="8" t="s">
        <v>4575</v>
      </c>
      <c r="D342" s="8" t="s">
        <v>77</v>
      </c>
      <c r="E342" s="8"/>
      <c r="F342" s="8" t="s">
        <v>412</v>
      </c>
      <c r="G342" s="8"/>
      <c r="H342" s="8"/>
      <c r="I342" s="8"/>
      <c r="J342" s="8" t="s">
        <v>695</v>
      </c>
      <c r="K342" s="8" t="s">
        <v>993</v>
      </c>
      <c r="L342" s="8" t="s">
        <v>994</v>
      </c>
      <c r="M342" s="8" t="s">
        <v>4576</v>
      </c>
      <c r="N342" s="8">
        <v>41</v>
      </c>
      <c r="O342" s="8"/>
      <c r="P342" s="8" t="s">
        <v>995</v>
      </c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</row>
    <row r="343" spans="1:48" x14ac:dyDescent="0.25">
      <c r="A343" s="8" t="s">
        <v>4574</v>
      </c>
      <c r="B343" s="8" t="s">
        <v>992</v>
      </c>
      <c r="C343" s="8" t="s">
        <v>4575</v>
      </c>
      <c r="D343" s="8" t="s">
        <v>127</v>
      </c>
      <c r="E343" s="8"/>
      <c r="F343" s="8" t="s">
        <v>412</v>
      </c>
      <c r="G343" s="8"/>
      <c r="H343" s="8"/>
      <c r="I343" s="8"/>
      <c r="J343" s="8" t="s">
        <v>696</v>
      </c>
      <c r="K343" s="8" t="s">
        <v>993</v>
      </c>
      <c r="L343" s="8" t="s">
        <v>994</v>
      </c>
      <c r="M343" s="8" t="s">
        <v>4576</v>
      </c>
      <c r="N343" s="8">
        <v>41</v>
      </c>
      <c r="O343" s="8"/>
      <c r="P343" s="8" t="s">
        <v>995</v>
      </c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</row>
    <row r="344" spans="1:48" x14ac:dyDescent="0.25">
      <c r="A344" s="8" t="s">
        <v>4574</v>
      </c>
      <c r="B344" s="8" t="s">
        <v>992</v>
      </c>
      <c r="C344" s="8" t="s">
        <v>4575</v>
      </c>
      <c r="D344" s="8" t="s">
        <v>54</v>
      </c>
      <c r="E344" s="8"/>
      <c r="F344" s="8" t="s">
        <v>412</v>
      </c>
      <c r="G344" s="8"/>
      <c r="H344" s="8"/>
      <c r="I344" s="8"/>
      <c r="J344" s="8" t="s">
        <v>697</v>
      </c>
      <c r="K344" s="8" t="s">
        <v>993</v>
      </c>
      <c r="L344" s="8" t="s">
        <v>994</v>
      </c>
      <c r="M344" s="8" t="s">
        <v>4576</v>
      </c>
      <c r="N344" s="8">
        <v>41</v>
      </c>
      <c r="O344" s="8"/>
      <c r="P344" s="8" t="s">
        <v>995</v>
      </c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</row>
    <row r="345" spans="1:48" x14ac:dyDescent="0.25">
      <c r="A345" s="8" t="s">
        <v>4574</v>
      </c>
      <c r="B345" s="8" t="s">
        <v>992</v>
      </c>
      <c r="C345" s="8" t="s">
        <v>4575</v>
      </c>
      <c r="D345" s="8" t="s">
        <v>219</v>
      </c>
      <c r="E345" s="8"/>
      <c r="F345" s="8" t="s">
        <v>412</v>
      </c>
      <c r="G345" s="8"/>
      <c r="H345" s="8"/>
      <c r="I345" s="8"/>
      <c r="J345" s="8" t="s">
        <v>694</v>
      </c>
      <c r="K345" s="8" t="s">
        <v>993</v>
      </c>
      <c r="L345" s="8" t="s">
        <v>994</v>
      </c>
      <c r="M345" s="8" t="s">
        <v>4576</v>
      </c>
      <c r="N345" s="8">
        <v>41</v>
      </c>
      <c r="O345" s="8"/>
      <c r="P345" s="8" t="s">
        <v>995</v>
      </c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</row>
    <row r="346" spans="1:48" x14ac:dyDescent="0.25">
      <c r="A346" s="8" t="s">
        <v>4574</v>
      </c>
      <c r="B346" s="8" t="s">
        <v>992</v>
      </c>
      <c r="C346" s="8" t="s">
        <v>4575</v>
      </c>
      <c r="D346" s="8" t="s">
        <v>310</v>
      </c>
      <c r="E346" s="8"/>
      <c r="F346" s="8" t="s">
        <v>412</v>
      </c>
      <c r="G346" s="8"/>
      <c r="H346" s="8"/>
      <c r="I346" s="8"/>
      <c r="J346" s="8" t="s">
        <v>698</v>
      </c>
      <c r="K346" s="8" t="s">
        <v>993</v>
      </c>
      <c r="L346" s="8" t="s">
        <v>994</v>
      </c>
      <c r="M346" s="8" t="s">
        <v>4576</v>
      </c>
      <c r="N346" s="8">
        <v>41</v>
      </c>
      <c r="O346" s="8"/>
      <c r="P346" s="8" t="s">
        <v>995</v>
      </c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</row>
    <row r="347" spans="1:48" x14ac:dyDescent="0.25">
      <c r="A347" s="3"/>
      <c r="B347" s="3"/>
      <c r="C347" s="3"/>
      <c r="D347" s="3"/>
      <c r="E347" s="3"/>
      <c r="F347" s="3"/>
      <c r="G347" s="3"/>
    </row>
    <row r="348" spans="1:48" x14ac:dyDescent="0.25">
      <c r="A348" s="3"/>
      <c r="B348" s="3"/>
      <c r="C348" s="3"/>
      <c r="D348" s="3"/>
      <c r="E348" s="3"/>
      <c r="F348" s="3"/>
      <c r="G348" s="3"/>
    </row>
    <row r="349" spans="1:48" x14ac:dyDescent="0.25">
      <c r="A349" s="3"/>
      <c r="B349" s="3"/>
      <c r="C349" s="3"/>
      <c r="D349" s="3"/>
      <c r="E349" s="3"/>
      <c r="F349" s="3"/>
      <c r="G349" s="3"/>
    </row>
    <row r="350" spans="1:48" x14ac:dyDescent="0.25">
      <c r="A350" s="3"/>
      <c r="B350" s="3"/>
      <c r="C350" s="3"/>
      <c r="D350" s="3"/>
      <c r="E350" s="3"/>
      <c r="F350" s="3"/>
      <c r="G350" s="3"/>
    </row>
    <row r="351" spans="1:48" x14ac:dyDescent="0.25">
      <c r="A351" s="3"/>
      <c r="B351" s="3"/>
      <c r="C351" s="3"/>
      <c r="D351" s="3"/>
      <c r="E351" s="3"/>
      <c r="F351" s="3"/>
      <c r="G351" s="3"/>
    </row>
    <row r="352" spans="1:48" x14ac:dyDescent="0.25">
      <c r="A352" s="3"/>
      <c r="B352" s="3"/>
      <c r="C352" s="3"/>
      <c r="D352" s="3"/>
      <c r="E352" s="3"/>
      <c r="F352" s="3"/>
      <c r="G352" s="3"/>
    </row>
    <row r="353" spans="1:7" x14ac:dyDescent="0.25">
      <c r="A353" s="3"/>
      <c r="B353" s="3"/>
      <c r="C353" s="3"/>
      <c r="D353" s="3"/>
      <c r="E353" s="3"/>
      <c r="F353" s="3"/>
      <c r="G353" s="3"/>
    </row>
    <row r="354" spans="1:7" x14ac:dyDescent="0.25">
      <c r="A354" s="3"/>
      <c r="B354" s="3"/>
      <c r="C354" s="3"/>
      <c r="D354" s="3"/>
      <c r="E354" s="3"/>
      <c r="F354" s="3"/>
      <c r="G354" s="3"/>
    </row>
    <row r="355" spans="1:7" x14ac:dyDescent="0.25">
      <c r="A355" s="3"/>
      <c r="B355" s="3"/>
      <c r="C355" s="3"/>
      <c r="D355" s="3"/>
      <c r="E355" s="3"/>
      <c r="F355" s="3"/>
      <c r="G355" s="3"/>
    </row>
    <row r="356" spans="1:7" x14ac:dyDescent="0.25">
      <c r="A356" s="3"/>
      <c r="B356" s="3"/>
      <c r="C356" s="3"/>
      <c r="D356" s="3"/>
      <c r="E356" s="3"/>
      <c r="F356" s="3"/>
      <c r="G356" s="3"/>
    </row>
    <row r="357" spans="1:7" x14ac:dyDescent="0.25">
      <c r="A357" s="3"/>
      <c r="B357" s="3"/>
      <c r="C357" s="3"/>
      <c r="D357" s="3"/>
      <c r="E357" s="3"/>
      <c r="F357" s="3"/>
      <c r="G357" s="3"/>
    </row>
    <row r="358" spans="1:7" x14ac:dyDescent="0.25">
      <c r="A358" s="3"/>
      <c r="B358" s="3"/>
      <c r="C358" s="3"/>
      <c r="D358" s="3"/>
      <c r="E358" s="3"/>
      <c r="F358" s="3"/>
      <c r="G358" s="3"/>
    </row>
    <row r="359" spans="1:7" x14ac:dyDescent="0.25">
      <c r="A359" s="3"/>
      <c r="B359" s="3"/>
      <c r="C359" s="3"/>
      <c r="D359" s="3"/>
      <c r="E359" s="3"/>
      <c r="F359" s="3"/>
      <c r="G359" s="3"/>
    </row>
    <row r="360" spans="1:7" x14ac:dyDescent="0.25">
      <c r="A360" s="3"/>
      <c r="B360" s="3"/>
      <c r="C360" s="3"/>
      <c r="D360" s="3"/>
      <c r="E360" s="3"/>
      <c r="F360" s="3"/>
      <c r="G360" s="3"/>
    </row>
    <row r="361" spans="1:7" x14ac:dyDescent="0.25">
      <c r="A361" s="3"/>
      <c r="B361" s="3"/>
      <c r="C361" s="3"/>
      <c r="D361" s="3"/>
      <c r="E361" s="3"/>
      <c r="F361" s="3"/>
      <c r="G361" s="3"/>
    </row>
    <row r="362" spans="1:7" x14ac:dyDescent="0.25">
      <c r="A362" s="3"/>
      <c r="B362" s="3"/>
      <c r="C362" s="3"/>
      <c r="D362" s="3"/>
      <c r="E362" s="3"/>
      <c r="F362" s="3"/>
      <c r="G362" s="3"/>
    </row>
    <row r="363" spans="1:7" x14ac:dyDescent="0.25">
      <c r="A363" s="3"/>
      <c r="B363" s="3"/>
      <c r="C363" s="3"/>
      <c r="D363" s="3"/>
      <c r="E363" s="3"/>
      <c r="F363" s="3"/>
      <c r="G363" s="3"/>
    </row>
    <row r="364" spans="1:7" x14ac:dyDescent="0.25">
      <c r="A364" s="3"/>
      <c r="B364" s="3"/>
      <c r="C364" s="3"/>
      <c r="D364" s="3"/>
      <c r="E364" s="3"/>
      <c r="F364" s="3"/>
      <c r="G364" s="3"/>
    </row>
    <row r="365" spans="1:7" x14ac:dyDescent="0.25">
      <c r="A365" s="3"/>
      <c r="B365" s="3"/>
      <c r="C365" s="3"/>
      <c r="D365" s="3"/>
      <c r="E365" s="3"/>
      <c r="F365" s="3"/>
      <c r="G365" s="3"/>
    </row>
    <row r="366" spans="1:7" x14ac:dyDescent="0.25">
      <c r="A366" s="3"/>
      <c r="B366" s="3"/>
      <c r="C366" s="3"/>
      <c r="D366" s="3"/>
      <c r="E366" s="3"/>
      <c r="F366" s="3"/>
      <c r="G366" s="3"/>
    </row>
    <row r="367" spans="1:7" x14ac:dyDescent="0.25">
      <c r="A367" s="3"/>
      <c r="B367" s="3"/>
      <c r="C367" s="3"/>
      <c r="D367" s="3"/>
      <c r="E367" s="3"/>
      <c r="F367" s="3"/>
      <c r="G367" s="3"/>
    </row>
    <row r="368" spans="1:7" x14ac:dyDescent="0.25">
      <c r="A368" s="3"/>
      <c r="B368" s="3"/>
      <c r="C368" s="3"/>
      <c r="D368" s="3"/>
      <c r="E368" s="3"/>
      <c r="F368" s="3"/>
      <c r="G368" s="3"/>
    </row>
    <row r="369" spans="1:7" x14ac:dyDescent="0.25">
      <c r="A369" s="3"/>
      <c r="B369" s="3"/>
      <c r="C369" s="3"/>
      <c r="D369" s="3"/>
      <c r="E369" s="3"/>
      <c r="F369" s="3"/>
      <c r="G369" s="3"/>
    </row>
    <row r="370" spans="1:7" x14ac:dyDescent="0.25">
      <c r="A370" s="3"/>
      <c r="B370" s="3"/>
      <c r="C370" s="3"/>
      <c r="D370" s="3"/>
      <c r="E370" s="3"/>
      <c r="F370" s="3"/>
      <c r="G370" s="3"/>
    </row>
    <row r="371" spans="1:7" x14ac:dyDescent="0.25">
      <c r="A371" s="3"/>
      <c r="B371" s="3"/>
      <c r="C371" s="3"/>
      <c r="D371" s="3"/>
      <c r="E371" s="3"/>
      <c r="F371" s="3"/>
      <c r="G371" s="3"/>
    </row>
    <row r="372" spans="1:7" x14ac:dyDescent="0.25">
      <c r="A372" s="3"/>
      <c r="B372" s="3"/>
      <c r="C372" s="3"/>
      <c r="D372" s="3"/>
      <c r="E372" s="3"/>
      <c r="F372" s="3"/>
      <c r="G372" s="3"/>
    </row>
    <row r="373" spans="1:7" x14ac:dyDescent="0.25">
      <c r="A373" s="3"/>
      <c r="B373" s="3"/>
      <c r="C373" s="3"/>
      <c r="D373" s="3"/>
      <c r="E373" s="3"/>
      <c r="F373" s="3"/>
      <c r="G373" s="3"/>
    </row>
    <row r="374" spans="1:7" x14ac:dyDescent="0.25">
      <c r="A374" s="3"/>
      <c r="B374" s="3"/>
      <c r="C374" s="3"/>
      <c r="D374" s="3"/>
      <c r="E374" s="3"/>
      <c r="F374" s="3"/>
      <c r="G374" s="3"/>
    </row>
    <row r="375" spans="1:7" x14ac:dyDescent="0.25">
      <c r="A375" s="3"/>
      <c r="B375" s="3"/>
      <c r="C375" s="3"/>
      <c r="D375" s="3"/>
      <c r="E375" s="3"/>
      <c r="F375" s="3"/>
      <c r="G375" s="3"/>
    </row>
    <row r="376" spans="1:7" x14ac:dyDescent="0.25">
      <c r="A376" s="3"/>
      <c r="B376" s="3"/>
      <c r="C376" s="3"/>
      <c r="D376" s="3"/>
      <c r="E376" s="3"/>
      <c r="F376" s="3"/>
      <c r="G376" s="3"/>
    </row>
    <row r="377" spans="1:7" x14ac:dyDescent="0.25">
      <c r="A377" s="3"/>
      <c r="B377" s="3"/>
      <c r="C377" s="3"/>
      <c r="D377" s="3"/>
      <c r="E377" s="3"/>
      <c r="F377" s="3"/>
      <c r="G377" s="3"/>
    </row>
    <row r="378" spans="1:7" x14ac:dyDescent="0.25">
      <c r="A378" s="3"/>
      <c r="B378" s="3"/>
      <c r="C378" s="3"/>
      <c r="D378" s="3"/>
      <c r="E378" s="3"/>
      <c r="F378" s="3"/>
      <c r="G378" s="3"/>
    </row>
    <row r="379" spans="1:7" x14ac:dyDescent="0.25">
      <c r="A379" s="3"/>
      <c r="B379" s="3"/>
      <c r="C379" s="3"/>
      <c r="D379" s="3"/>
      <c r="E379" s="3"/>
      <c r="F379" s="3"/>
      <c r="G379" s="3"/>
    </row>
    <row r="380" spans="1:7" x14ac:dyDescent="0.25">
      <c r="A380" s="3"/>
      <c r="B380" s="3"/>
      <c r="C380" s="3"/>
      <c r="D380" s="3"/>
      <c r="E380" s="3"/>
      <c r="F380" s="3"/>
      <c r="G380" s="3"/>
    </row>
    <row r="381" spans="1:7" x14ac:dyDescent="0.25">
      <c r="A381" s="3"/>
      <c r="B381" s="3"/>
      <c r="C381" s="3"/>
      <c r="D381" s="3"/>
      <c r="E381" s="3"/>
      <c r="F381" s="3"/>
      <c r="G381" s="3"/>
    </row>
    <row r="382" spans="1:7" x14ac:dyDescent="0.25">
      <c r="A382" s="3"/>
      <c r="B382" s="3"/>
      <c r="C382" s="3"/>
      <c r="D382" s="3"/>
      <c r="E382" s="3"/>
      <c r="F382" s="3"/>
      <c r="G382" s="3"/>
    </row>
    <row r="383" spans="1:7" x14ac:dyDescent="0.25">
      <c r="A383" s="3"/>
      <c r="B383" s="3"/>
      <c r="C383" s="3"/>
      <c r="D383" s="3"/>
      <c r="E383" s="3"/>
      <c r="F383" s="3"/>
      <c r="G383" s="3"/>
    </row>
    <row r="384" spans="1:7" x14ac:dyDescent="0.25">
      <c r="A384" s="3"/>
      <c r="B384" s="3"/>
      <c r="C384" s="3"/>
      <c r="D384" s="3"/>
      <c r="E384" s="3"/>
      <c r="F384" s="3"/>
      <c r="G384" s="3"/>
    </row>
    <row r="385" spans="1:7" x14ac:dyDescent="0.25">
      <c r="A385" s="3"/>
      <c r="B385" s="3"/>
      <c r="C385" s="3"/>
      <c r="D385" s="3"/>
      <c r="E385" s="3"/>
      <c r="F385" s="3"/>
      <c r="G385" s="3"/>
    </row>
    <row r="386" spans="1:7" x14ac:dyDescent="0.25">
      <c r="A386" s="3"/>
      <c r="B386" s="3"/>
      <c r="C386" s="3"/>
      <c r="D386" s="3"/>
      <c r="E386" s="3"/>
      <c r="F386" s="3"/>
      <c r="G386" s="3"/>
    </row>
    <row r="387" spans="1:7" x14ac:dyDescent="0.25">
      <c r="A387" s="3"/>
      <c r="B387" s="3"/>
      <c r="C387" s="3"/>
      <c r="D387" s="3"/>
      <c r="E387" s="3"/>
      <c r="F387" s="3"/>
      <c r="G387" s="3"/>
    </row>
    <row r="388" spans="1:7" x14ac:dyDescent="0.25">
      <c r="A388" s="3"/>
      <c r="B388" s="3"/>
      <c r="C388" s="3"/>
      <c r="D388" s="3"/>
      <c r="E388" s="3"/>
      <c r="F388" s="3"/>
      <c r="G388" s="3"/>
    </row>
    <row r="389" spans="1:7" x14ac:dyDescent="0.25">
      <c r="A389" s="3"/>
      <c r="B389" s="3"/>
      <c r="C389" s="3"/>
      <c r="D389" s="3"/>
      <c r="E389" s="3"/>
      <c r="F389" s="3"/>
      <c r="G389" s="3"/>
    </row>
    <row r="390" spans="1:7" x14ac:dyDescent="0.25">
      <c r="A390" s="3"/>
      <c r="B390" s="3"/>
      <c r="C390" s="3"/>
      <c r="D390" s="3"/>
      <c r="E390" s="3"/>
      <c r="F390" s="3"/>
      <c r="G390" s="3"/>
    </row>
    <row r="391" spans="1:7" x14ac:dyDescent="0.25">
      <c r="A391" s="3"/>
      <c r="B391" s="3"/>
      <c r="C391" s="3"/>
      <c r="D391" s="3"/>
      <c r="E391" s="3"/>
      <c r="F391" s="3"/>
      <c r="G391" s="3"/>
    </row>
    <row r="392" spans="1:7" x14ac:dyDescent="0.25">
      <c r="A392" s="3"/>
      <c r="B392" s="3"/>
      <c r="C392" s="3"/>
      <c r="D392" s="3"/>
      <c r="E392" s="3"/>
      <c r="F392" s="3"/>
      <c r="G392" s="3"/>
    </row>
    <row r="393" spans="1:7" x14ac:dyDescent="0.25">
      <c r="A393" s="3"/>
      <c r="B393" s="3"/>
      <c r="C393" s="3"/>
      <c r="D393" s="3"/>
      <c r="E393" s="3"/>
      <c r="F393" s="3"/>
      <c r="G393" s="3"/>
    </row>
    <row r="394" spans="1:7" x14ac:dyDescent="0.25">
      <c r="A394" s="3"/>
      <c r="B394" s="3"/>
      <c r="C394" s="3"/>
      <c r="D394" s="3"/>
      <c r="E394" s="3"/>
      <c r="F394" s="3"/>
      <c r="G394" s="3"/>
    </row>
    <row r="395" spans="1:7" x14ac:dyDescent="0.25">
      <c r="A395" s="3"/>
      <c r="B395" s="3"/>
      <c r="C395" s="3"/>
      <c r="D395" s="3"/>
      <c r="E395" s="3"/>
      <c r="F395" s="3"/>
      <c r="G395" s="3"/>
    </row>
    <row r="396" spans="1:7" x14ac:dyDescent="0.25">
      <c r="A396" s="3"/>
      <c r="B396" s="3"/>
      <c r="C396" s="3"/>
      <c r="D396" s="3"/>
      <c r="E396" s="3"/>
      <c r="F396" s="3"/>
      <c r="G396" s="3"/>
    </row>
    <row r="397" spans="1:7" x14ac:dyDescent="0.25">
      <c r="A397" s="3"/>
      <c r="B397" s="3"/>
      <c r="C397" s="3"/>
      <c r="D397" s="3"/>
      <c r="E397" s="3"/>
      <c r="F397" s="3"/>
      <c r="G397" s="3"/>
    </row>
    <row r="398" spans="1:7" x14ac:dyDescent="0.25">
      <c r="A398" s="3"/>
      <c r="B398" s="3"/>
      <c r="C398" s="3"/>
      <c r="D398" s="3"/>
      <c r="E398" s="3"/>
      <c r="F398" s="3"/>
      <c r="G398" s="3"/>
    </row>
    <row r="399" spans="1:7" x14ac:dyDescent="0.25">
      <c r="A399" s="3"/>
      <c r="B399" s="3"/>
      <c r="C399" s="3"/>
      <c r="D399" s="3"/>
      <c r="E399" s="3"/>
      <c r="F399" s="3"/>
      <c r="G399" s="3"/>
    </row>
    <row r="400" spans="1:7" x14ac:dyDescent="0.25">
      <c r="A400" s="3"/>
      <c r="B400" s="3"/>
      <c r="C400" s="3"/>
      <c r="D400" s="3"/>
      <c r="E400" s="3"/>
      <c r="F400" s="3"/>
      <c r="G400" s="3"/>
    </row>
    <row r="401" spans="1:7" x14ac:dyDescent="0.25">
      <c r="A401" s="3"/>
      <c r="B401" s="3"/>
      <c r="C401" s="3"/>
      <c r="D401" s="3"/>
      <c r="E401" s="3"/>
      <c r="F401" s="3"/>
      <c r="G401" s="3"/>
    </row>
    <row r="402" spans="1:7" x14ac:dyDescent="0.25">
      <c r="A402" s="3"/>
      <c r="B402" s="3"/>
      <c r="C402" s="3"/>
      <c r="D402" s="3"/>
      <c r="E402" s="3"/>
      <c r="F402" s="3"/>
      <c r="G402" s="3"/>
    </row>
    <row r="403" spans="1:7" x14ac:dyDescent="0.25">
      <c r="A403" s="3"/>
      <c r="B403" s="3"/>
      <c r="C403" s="3"/>
      <c r="D403" s="3"/>
      <c r="E403" s="3"/>
      <c r="F403" s="3"/>
      <c r="G403" s="3"/>
    </row>
    <row r="404" spans="1:7" x14ac:dyDescent="0.25">
      <c r="A404" s="3"/>
      <c r="B404" s="3"/>
      <c r="C404" s="3"/>
      <c r="D404" s="3"/>
      <c r="E404" s="3"/>
      <c r="F404" s="3"/>
      <c r="G404" s="3"/>
    </row>
    <row r="405" spans="1:7" x14ac:dyDescent="0.25">
      <c r="A405" s="3"/>
      <c r="B405" s="3"/>
      <c r="C405" s="3"/>
      <c r="D405" s="3"/>
      <c r="E405" s="3"/>
      <c r="F405" s="3"/>
      <c r="G405" s="3"/>
    </row>
    <row r="406" spans="1:7" x14ac:dyDescent="0.25">
      <c r="A406" s="3"/>
      <c r="B406" s="3"/>
      <c r="C406" s="3"/>
      <c r="D406" s="3"/>
      <c r="E406" s="3"/>
      <c r="F406" s="3"/>
      <c r="G406" s="3"/>
    </row>
    <row r="407" spans="1:7" x14ac:dyDescent="0.25">
      <c r="A407" s="3"/>
      <c r="B407" s="3"/>
      <c r="C407" s="3"/>
      <c r="D407" s="3"/>
      <c r="E407" s="3"/>
      <c r="F407" s="3"/>
      <c r="G407" s="3"/>
    </row>
    <row r="408" spans="1:7" x14ac:dyDescent="0.25">
      <c r="A408" s="3"/>
      <c r="B408" s="3"/>
      <c r="C408" s="3"/>
      <c r="D408" s="3"/>
      <c r="E408" s="3"/>
      <c r="F408" s="3"/>
      <c r="G408" s="3"/>
    </row>
    <row r="409" spans="1:7" x14ac:dyDescent="0.25">
      <c r="A409" s="3"/>
      <c r="B409" s="3"/>
      <c r="C409" s="3"/>
      <c r="D409" s="3"/>
      <c r="E409" s="3"/>
      <c r="F409" s="3"/>
      <c r="G409" s="3"/>
    </row>
    <row r="410" spans="1:7" x14ac:dyDescent="0.25">
      <c r="A410" s="3"/>
      <c r="B410" s="3"/>
      <c r="C410" s="3"/>
      <c r="D410" s="3"/>
      <c r="E410" s="3"/>
      <c r="F410" s="3"/>
      <c r="G410" s="3"/>
    </row>
    <row r="411" spans="1:7" x14ac:dyDescent="0.25">
      <c r="A411" s="3"/>
      <c r="B411" s="3"/>
      <c r="C411" s="3"/>
      <c r="D411" s="3"/>
      <c r="E411" s="3"/>
      <c r="F411" s="3"/>
      <c r="G411" s="3"/>
    </row>
    <row r="412" spans="1:7" x14ac:dyDescent="0.25">
      <c r="A412" s="3"/>
      <c r="B412" s="3"/>
      <c r="C412" s="3"/>
      <c r="D412" s="3"/>
      <c r="E412" s="3"/>
      <c r="F412" s="3"/>
      <c r="G412" s="3"/>
    </row>
    <row r="413" spans="1:7" x14ac:dyDescent="0.25">
      <c r="A413" s="3"/>
      <c r="B413" s="3"/>
      <c r="C413" s="3"/>
      <c r="D413" s="3"/>
      <c r="E413" s="3"/>
      <c r="F413" s="3"/>
      <c r="G413" s="3"/>
    </row>
    <row r="414" spans="1:7" x14ac:dyDescent="0.25">
      <c r="A414" s="3"/>
      <c r="B414" s="3"/>
      <c r="C414" s="3"/>
      <c r="D414" s="3"/>
      <c r="E414" s="3"/>
      <c r="F414" s="3"/>
      <c r="G414" s="3"/>
    </row>
    <row r="415" spans="1:7" x14ac:dyDescent="0.25">
      <c r="A415" s="3"/>
      <c r="B415" s="3"/>
      <c r="C415" s="3"/>
      <c r="D415" s="3"/>
      <c r="E415" s="3"/>
      <c r="F415" s="3"/>
      <c r="G415" s="3"/>
    </row>
    <row r="416" spans="1:7" x14ac:dyDescent="0.25">
      <c r="A416" s="3"/>
      <c r="B416" s="3"/>
      <c r="C416" s="3"/>
      <c r="D416" s="3"/>
      <c r="E416" s="3"/>
      <c r="F416" s="3"/>
      <c r="G416" s="3"/>
    </row>
    <row r="417" spans="1:7" x14ac:dyDescent="0.25">
      <c r="A417" s="3"/>
      <c r="B417" s="3"/>
      <c r="C417" s="3"/>
      <c r="D417" s="3"/>
      <c r="E417" s="3"/>
      <c r="F417" s="3"/>
      <c r="G417" s="3"/>
    </row>
    <row r="418" spans="1:7" x14ac:dyDescent="0.25">
      <c r="A418" s="3"/>
      <c r="B418" s="3"/>
      <c r="C418" s="3"/>
      <c r="D418" s="3"/>
      <c r="E418" s="3"/>
      <c r="F418" s="3"/>
      <c r="G418" s="3"/>
    </row>
    <row r="419" spans="1:7" x14ac:dyDescent="0.25">
      <c r="A419" s="3"/>
      <c r="B419" s="3"/>
      <c r="C419" s="3"/>
      <c r="D419" s="3"/>
      <c r="E419" s="3"/>
      <c r="F419" s="3"/>
      <c r="G419" s="3"/>
    </row>
    <row r="420" spans="1:7" x14ac:dyDescent="0.25">
      <c r="A420" s="3"/>
      <c r="B420" s="3"/>
      <c r="C420" s="3"/>
      <c r="D420" s="3"/>
      <c r="E420" s="3"/>
      <c r="F420" s="3"/>
      <c r="G420" s="3"/>
    </row>
    <row r="421" spans="1:7" x14ac:dyDescent="0.25">
      <c r="A421" s="3"/>
      <c r="B421" s="3"/>
      <c r="C421" s="3"/>
      <c r="D421" s="3"/>
      <c r="E421" s="3"/>
      <c r="F421" s="3"/>
      <c r="G421" s="3"/>
    </row>
    <row r="422" spans="1:7" x14ac:dyDescent="0.25">
      <c r="A422" s="3"/>
      <c r="B422" s="3"/>
      <c r="C422" s="3"/>
      <c r="D422" s="3"/>
      <c r="E422" s="3"/>
      <c r="F422" s="3"/>
      <c r="G422" s="3"/>
    </row>
    <row r="423" spans="1:7" x14ac:dyDescent="0.25">
      <c r="A423" s="3"/>
      <c r="B423" s="3"/>
      <c r="C423" s="3"/>
      <c r="D423" s="3"/>
      <c r="E423" s="3"/>
      <c r="F423" s="3"/>
      <c r="G423" s="3"/>
    </row>
    <row r="424" spans="1:7" x14ac:dyDescent="0.25">
      <c r="A424" s="3"/>
      <c r="B424" s="3"/>
      <c r="C424" s="3"/>
      <c r="D424" s="3"/>
      <c r="E424" s="3"/>
      <c r="F424" s="3"/>
      <c r="G424" s="3"/>
    </row>
    <row r="425" spans="1:7" x14ac:dyDescent="0.25">
      <c r="A425" s="3"/>
      <c r="B425" s="3"/>
      <c r="C425" s="3"/>
      <c r="D425" s="3"/>
      <c r="E425" s="3"/>
      <c r="F425" s="3"/>
      <c r="G425" s="3"/>
    </row>
    <row r="426" spans="1:7" x14ac:dyDescent="0.25">
      <c r="A426" s="3"/>
      <c r="B426" s="3"/>
      <c r="C426" s="3"/>
      <c r="D426" s="3"/>
      <c r="E426" s="3"/>
      <c r="F426" s="3"/>
      <c r="G426" s="3"/>
    </row>
    <row r="427" spans="1:7" x14ac:dyDescent="0.25">
      <c r="A427" s="3"/>
      <c r="B427" s="3"/>
      <c r="C427" s="3"/>
      <c r="D427" s="3"/>
      <c r="E427" s="3"/>
      <c r="F427" s="3"/>
      <c r="G427" s="3"/>
    </row>
    <row r="428" spans="1:7" x14ac:dyDescent="0.25">
      <c r="A428" s="3"/>
      <c r="B428" s="3"/>
      <c r="C428" s="3"/>
      <c r="D428" s="3"/>
      <c r="E428" s="3"/>
      <c r="F428" s="3"/>
      <c r="G428" s="3"/>
    </row>
    <row r="429" spans="1:7" x14ac:dyDescent="0.25">
      <c r="A429" s="3"/>
      <c r="B429" s="3"/>
      <c r="C429" s="3"/>
      <c r="D429" s="3"/>
      <c r="E429" s="3"/>
      <c r="F429" s="3"/>
      <c r="G429" s="3"/>
    </row>
    <row r="430" spans="1:7" x14ac:dyDescent="0.25">
      <c r="A430" s="3"/>
      <c r="B430" s="3"/>
      <c r="C430" s="3"/>
      <c r="D430" s="3"/>
      <c r="E430" s="3"/>
      <c r="F430" s="3"/>
      <c r="G430" s="3"/>
    </row>
    <row r="431" spans="1:7" x14ac:dyDescent="0.25">
      <c r="A431" s="3"/>
      <c r="B431" s="3"/>
      <c r="C431" s="3"/>
      <c r="D431" s="3"/>
      <c r="E431" s="3"/>
      <c r="F431" s="3"/>
      <c r="G431" s="3"/>
    </row>
    <row r="432" spans="1:7" x14ac:dyDescent="0.25">
      <c r="A432" s="3"/>
      <c r="B432" s="3"/>
      <c r="C432" s="3"/>
      <c r="D432" s="3"/>
      <c r="E432" s="3"/>
      <c r="F432" s="3"/>
      <c r="G432" s="3"/>
    </row>
    <row r="433" spans="1:7" x14ac:dyDescent="0.25">
      <c r="A433" s="3"/>
      <c r="B433" s="3"/>
      <c r="C433" s="3"/>
      <c r="D433" s="3"/>
      <c r="E433" s="3"/>
      <c r="F433" s="3"/>
      <c r="G433" s="3"/>
    </row>
    <row r="434" spans="1:7" x14ac:dyDescent="0.25">
      <c r="A434" s="3"/>
      <c r="B434" s="3"/>
      <c r="C434" s="3"/>
      <c r="D434" s="3"/>
      <c r="E434" s="3"/>
      <c r="F434" s="3"/>
      <c r="G434" s="3"/>
    </row>
    <row r="435" spans="1:7" x14ac:dyDescent="0.25">
      <c r="A435" s="3"/>
      <c r="B435" s="3"/>
      <c r="C435" s="3"/>
      <c r="D435" s="3"/>
      <c r="E435" s="3"/>
      <c r="F435" s="3"/>
      <c r="G435" s="3"/>
    </row>
    <row r="436" spans="1:7" x14ac:dyDescent="0.25">
      <c r="A436" s="3"/>
      <c r="B436" s="3"/>
      <c r="C436" s="3"/>
      <c r="D436" s="3"/>
      <c r="E436" s="3"/>
      <c r="F436" s="3"/>
      <c r="G436" s="3"/>
    </row>
    <row r="437" spans="1:7" x14ac:dyDescent="0.25">
      <c r="A437" s="3"/>
      <c r="B437" s="3"/>
      <c r="C437" s="3"/>
      <c r="D437" s="3"/>
      <c r="E437" s="3"/>
      <c r="F437" s="3"/>
      <c r="G437" s="3"/>
    </row>
    <row r="438" spans="1:7" x14ac:dyDescent="0.25">
      <c r="A438" s="3"/>
      <c r="B438" s="3"/>
      <c r="C438" s="3"/>
      <c r="D438" s="3"/>
      <c r="E438" s="3"/>
      <c r="F438" s="3"/>
      <c r="G438" s="3"/>
    </row>
    <row r="439" spans="1:7" x14ac:dyDescent="0.25">
      <c r="A439" s="3"/>
      <c r="B439" s="3"/>
      <c r="C439" s="3"/>
      <c r="D439" s="3"/>
      <c r="E439" s="3"/>
      <c r="F439" s="3"/>
      <c r="G439" s="3"/>
    </row>
    <row r="440" spans="1:7" x14ac:dyDescent="0.25">
      <c r="A440" s="3"/>
      <c r="B440" s="3"/>
      <c r="C440" s="3"/>
      <c r="D440" s="3"/>
      <c r="E440" s="3"/>
      <c r="F440" s="3"/>
      <c r="G440" s="3"/>
    </row>
    <row r="441" spans="1:7" x14ac:dyDescent="0.25">
      <c r="A441" s="3"/>
      <c r="B441" s="3"/>
      <c r="C441" s="3"/>
      <c r="D441" s="3"/>
      <c r="E441" s="3"/>
      <c r="F441" s="3"/>
      <c r="G441" s="3"/>
    </row>
    <row r="442" spans="1:7" x14ac:dyDescent="0.25">
      <c r="A442" s="3"/>
      <c r="B442" s="3"/>
      <c r="C442" s="3"/>
      <c r="D442" s="3"/>
      <c r="E442" s="3"/>
      <c r="F442" s="3"/>
      <c r="G442" s="3"/>
    </row>
    <row r="443" spans="1:7" x14ac:dyDescent="0.25">
      <c r="A443" s="3"/>
      <c r="B443" s="3"/>
      <c r="C443" s="3"/>
      <c r="D443" s="3"/>
      <c r="E443" s="3"/>
      <c r="F443" s="3"/>
      <c r="G443" s="3"/>
    </row>
    <row r="444" spans="1:7" x14ac:dyDescent="0.25">
      <c r="A444" s="3"/>
      <c r="B444" s="3"/>
      <c r="C444" s="3"/>
      <c r="D444" s="3"/>
      <c r="E444" s="3"/>
      <c r="F444" s="3"/>
      <c r="G444" s="3"/>
    </row>
    <row r="445" spans="1:7" x14ac:dyDescent="0.25">
      <c r="A445" s="3"/>
      <c r="B445" s="3"/>
      <c r="C445" s="3"/>
      <c r="D445" s="3"/>
      <c r="E445" s="3"/>
      <c r="F445" s="3"/>
      <c r="G445" s="3"/>
    </row>
    <row r="446" spans="1:7" x14ac:dyDescent="0.25">
      <c r="A446" s="3"/>
      <c r="B446" s="3"/>
      <c r="C446" s="3"/>
      <c r="D446" s="3"/>
      <c r="E446" s="3"/>
      <c r="F446" s="3"/>
      <c r="G446" s="3"/>
    </row>
    <row r="447" spans="1:7" x14ac:dyDescent="0.25">
      <c r="A447" s="3"/>
      <c r="B447" s="3"/>
      <c r="C447" s="3"/>
      <c r="D447" s="3"/>
      <c r="E447" s="3"/>
      <c r="F447" s="3"/>
      <c r="G447" s="3"/>
    </row>
    <row r="448" spans="1:7" x14ac:dyDescent="0.25">
      <c r="A448" s="3"/>
      <c r="B448" s="3"/>
      <c r="C448" s="3"/>
      <c r="D448" s="3"/>
      <c r="E448" s="3"/>
      <c r="F448" s="3"/>
      <c r="G448" s="3"/>
    </row>
    <row r="449" spans="1:7" x14ac:dyDescent="0.25">
      <c r="A449" s="3"/>
      <c r="B449" s="3"/>
      <c r="C449" s="3"/>
      <c r="D449" s="3"/>
      <c r="E449" s="3"/>
      <c r="F449" s="3"/>
      <c r="G449" s="3"/>
    </row>
    <row r="450" spans="1:7" x14ac:dyDescent="0.25">
      <c r="A450" s="3"/>
      <c r="B450" s="3"/>
      <c r="C450" s="3"/>
      <c r="D450" s="3"/>
      <c r="E450" s="3"/>
      <c r="F450" s="3"/>
      <c r="G450" s="3"/>
    </row>
    <row r="451" spans="1:7" x14ac:dyDescent="0.25">
      <c r="A451" s="3"/>
      <c r="B451" s="3"/>
      <c r="C451" s="3"/>
      <c r="D451" s="3"/>
      <c r="E451" s="3"/>
      <c r="F451" s="3"/>
      <c r="G451" s="3"/>
    </row>
    <row r="452" spans="1:7" x14ac:dyDescent="0.25">
      <c r="A452" s="3"/>
      <c r="B452" s="3"/>
      <c r="C452" s="3"/>
      <c r="D452" s="3"/>
      <c r="E452" s="3"/>
      <c r="F452" s="3"/>
      <c r="G452" s="3"/>
    </row>
    <row r="453" spans="1:7" x14ac:dyDescent="0.25">
      <c r="A453" s="3"/>
      <c r="B453" s="3"/>
      <c r="C453" s="3"/>
      <c r="D453" s="3"/>
      <c r="E453" s="3"/>
      <c r="F453" s="3"/>
      <c r="G453" s="3"/>
    </row>
    <row r="454" spans="1:7" x14ac:dyDescent="0.25">
      <c r="A454" s="3"/>
      <c r="B454" s="3"/>
      <c r="C454" s="3"/>
      <c r="D454" s="3"/>
      <c r="E454" s="3"/>
      <c r="F454" s="3"/>
      <c r="G454" s="3"/>
    </row>
    <row r="455" spans="1:7" x14ac:dyDescent="0.25">
      <c r="A455" s="3"/>
      <c r="B455" s="3"/>
      <c r="C455" s="3"/>
      <c r="D455" s="3"/>
      <c r="E455" s="3"/>
      <c r="F455" s="3"/>
      <c r="G455" s="3"/>
    </row>
    <row r="456" spans="1:7" x14ac:dyDescent="0.25">
      <c r="A456" s="3"/>
      <c r="B456" s="3"/>
      <c r="C456" s="3"/>
      <c r="D456" s="3"/>
      <c r="E456" s="3"/>
      <c r="F456" s="3"/>
      <c r="G456" s="3"/>
    </row>
    <row r="457" spans="1:7" x14ac:dyDescent="0.25">
      <c r="A457" s="3"/>
      <c r="B457" s="3"/>
      <c r="C457" s="3"/>
      <c r="D457" s="3"/>
      <c r="E457" s="3"/>
      <c r="F457" s="3"/>
      <c r="G457" s="3"/>
    </row>
    <row r="458" spans="1:7" x14ac:dyDescent="0.25">
      <c r="A458" s="3"/>
      <c r="B458" s="3"/>
      <c r="C458" s="3"/>
      <c r="D458" s="3"/>
      <c r="E458" s="3"/>
      <c r="F458" s="3"/>
      <c r="G458" s="3"/>
    </row>
    <row r="459" spans="1:7" x14ac:dyDescent="0.25">
      <c r="A459" s="3"/>
      <c r="B459" s="3"/>
      <c r="C459" s="3"/>
      <c r="D459" s="3"/>
      <c r="E459" s="3"/>
      <c r="F459" s="3"/>
      <c r="G459" s="3"/>
    </row>
    <row r="460" spans="1:7" x14ac:dyDescent="0.25">
      <c r="A460" s="3"/>
      <c r="B460" s="3"/>
      <c r="C460" s="3"/>
      <c r="D460" s="3"/>
      <c r="E460" s="3"/>
      <c r="F460" s="3"/>
      <c r="G460" s="3"/>
    </row>
    <row r="461" spans="1:7" x14ac:dyDescent="0.25">
      <c r="A461" s="3"/>
      <c r="B461" s="3"/>
      <c r="C461" s="3"/>
      <c r="D461" s="3"/>
      <c r="E461" s="3"/>
      <c r="F461" s="3"/>
      <c r="G461" s="3"/>
    </row>
    <row r="462" spans="1:7" x14ac:dyDescent="0.25">
      <c r="A462" s="3"/>
      <c r="B462" s="3"/>
      <c r="C462" s="3"/>
      <c r="D462" s="3"/>
      <c r="E462" s="3"/>
      <c r="F462" s="3"/>
      <c r="G462" s="3"/>
    </row>
    <row r="463" spans="1:7" x14ac:dyDescent="0.25">
      <c r="A463" s="3"/>
      <c r="B463" s="3"/>
      <c r="C463" s="3"/>
      <c r="D463" s="3"/>
      <c r="E463" s="3"/>
      <c r="F463" s="3"/>
      <c r="G463" s="3"/>
    </row>
    <row r="464" spans="1:7" x14ac:dyDescent="0.25">
      <c r="A464" s="3"/>
      <c r="B464" s="3"/>
      <c r="C464" s="3"/>
      <c r="D464" s="3"/>
      <c r="E464" s="3"/>
      <c r="F464" s="3"/>
      <c r="G464" s="3"/>
    </row>
    <row r="465" spans="1:7" x14ac:dyDescent="0.25">
      <c r="A465" s="3"/>
      <c r="B465" s="3"/>
      <c r="C465" s="3"/>
      <c r="D465" s="3"/>
      <c r="E465" s="3"/>
      <c r="F465" s="3"/>
      <c r="G465" s="3"/>
    </row>
    <row r="466" spans="1:7" x14ac:dyDescent="0.25">
      <c r="A466" s="3"/>
      <c r="B466" s="3"/>
      <c r="C466" s="3"/>
      <c r="D466" s="3"/>
      <c r="E466" s="3"/>
      <c r="F466" s="3"/>
      <c r="G466" s="3"/>
    </row>
    <row r="467" spans="1:7" x14ac:dyDescent="0.25">
      <c r="A467" s="3"/>
      <c r="B467" s="3"/>
      <c r="C467" s="3"/>
      <c r="D467" s="3"/>
      <c r="E467" s="3"/>
      <c r="F467" s="3"/>
      <c r="G467" s="3"/>
    </row>
    <row r="468" spans="1:7" x14ac:dyDescent="0.25">
      <c r="A468" s="3"/>
      <c r="B468" s="3"/>
      <c r="C468" s="3"/>
      <c r="D468" s="3"/>
      <c r="E468" s="3"/>
      <c r="F468" s="3"/>
      <c r="G468" s="3"/>
    </row>
    <row r="469" spans="1:7" x14ac:dyDescent="0.25">
      <c r="A469" s="3"/>
      <c r="B469" s="3"/>
      <c r="C469" s="3"/>
      <c r="D469" s="3"/>
      <c r="E469" s="3"/>
      <c r="F469" s="3"/>
      <c r="G469" s="3"/>
    </row>
    <row r="470" spans="1:7" x14ac:dyDescent="0.25">
      <c r="A470" s="3"/>
      <c r="B470" s="3"/>
      <c r="C470" s="3"/>
      <c r="D470" s="3"/>
      <c r="E470" s="3"/>
      <c r="F470" s="3"/>
      <c r="G470" s="3"/>
    </row>
    <row r="471" spans="1:7" x14ac:dyDescent="0.25">
      <c r="A471" s="3"/>
      <c r="B471" s="3"/>
      <c r="C471" s="3"/>
      <c r="D471" s="3"/>
      <c r="E471" s="3"/>
      <c r="F471" s="3"/>
      <c r="G471" s="3"/>
    </row>
    <row r="472" spans="1:7" x14ac:dyDescent="0.25">
      <c r="A472" s="3"/>
      <c r="B472" s="3"/>
      <c r="C472" s="3"/>
      <c r="D472" s="3"/>
      <c r="E472" s="3"/>
      <c r="F472" s="3"/>
      <c r="G472" s="3"/>
    </row>
    <row r="473" spans="1:7" x14ac:dyDescent="0.25">
      <c r="A473" s="3"/>
      <c r="B473" s="3"/>
      <c r="C473" s="3"/>
      <c r="D473" s="3"/>
      <c r="E473" s="3"/>
      <c r="F473" s="3"/>
      <c r="G473" s="3"/>
    </row>
    <row r="474" spans="1:7" x14ac:dyDescent="0.25">
      <c r="A474" s="3"/>
      <c r="B474" s="3"/>
      <c r="C474" s="3"/>
      <c r="D474" s="3"/>
      <c r="E474" s="3"/>
      <c r="F474" s="3"/>
      <c r="G474" s="3"/>
    </row>
    <row r="475" spans="1:7" x14ac:dyDescent="0.25">
      <c r="A475" s="3"/>
      <c r="B475" s="3"/>
      <c r="C475" s="3"/>
      <c r="D475" s="3"/>
      <c r="E475" s="3"/>
      <c r="F475" s="3"/>
      <c r="G475" s="3"/>
    </row>
    <row r="476" spans="1:7" x14ac:dyDescent="0.25">
      <c r="A476" s="3"/>
      <c r="B476" s="3"/>
      <c r="C476" s="3"/>
      <c r="D476" s="3"/>
      <c r="E476" s="3"/>
      <c r="F476" s="3"/>
      <c r="G476" s="3"/>
    </row>
    <row r="477" spans="1:7" x14ac:dyDescent="0.25">
      <c r="A477" s="3"/>
      <c r="B477" s="3"/>
      <c r="C477" s="3"/>
      <c r="D477" s="3"/>
      <c r="E477" s="3"/>
      <c r="F477" s="3"/>
      <c r="G477" s="3"/>
    </row>
    <row r="478" spans="1:7" x14ac:dyDescent="0.25">
      <c r="A478" s="3"/>
      <c r="B478" s="3"/>
      <c r="C478" s="3"/>
      <c r="D478" s="3"/>
      <c r="E478" s="3"/>
      <c r="F478" s="3"/>
      <c r="G478" s="3"/>
    </row>
    <row r="479" spans="1:7" x14ac:dyDescent="0.25">
      <c r="A479" s="3"/>
      <c r="B479" s="3"/>
      <c r="C479" s="3"/>
      <c r="D479" s="3"/>
      <c r="E479" s="3"/>
      <c r="F479" s="3"/>
      <c r="G479" s="3"/>
    </row>
    <row r="480" spans="1:7" x14ac:dyDescent="0.25">
      <c r="A480" s="3"/>
      <c r="B480" s="3"/>
      <c r="C480" s="3"/>
      <c r="D480" s="3"/>
      <c r="E480" s="3"/>
      <c r="F480" s="3"/>
      <c r="G480" s="3"/>
    </row>
    <row r="481" spans="1:7" x14ac:dyDescent="0.25">
      <c r="A481" s="3"/>
      <c r="B481" s="3"/>
      <c r="C481" s="3"/>
      <c r="D481" s="3"/>
      <c r="E481" s="3"/>
      <c r="F481" s="3"/>
      <c r="G481" s="3"/>
    </row>
    <row r="482" spans="1:7" x14ac:dyDescent="0.25">
      <c r="A482" s="3"/>
      <c r="B482" s="3"/>
      <c r="C482" s="3"/>
      <c r="D482" s="3"/>
      <c r="E482" s="3"/>
      <c r="F482" s="3"/>
      <c r="G482" s="3"/>
    </row>
    <row r="483" spans="1:7" x14ac:dyDescent="0.25">
      <c r="A483" s="3"/>
      <c r="B483" s="3"/>
      <c r="C483" s="3"/>
      <c r="D483" s="3"/>
      <c r="E483" s="3"/>
      <c r="F483" s="3"/>
      <c r="G483" s="3"/>
    </row>
    <row r="484" spans="1:7" x14ac:dyDescent="0.25">
      <c r="A484" s="3"/>
      <c r="B484" s="3"/>
      <c r="C484" s="3"/>
      <c r="D484" s="3"/>
      <c r="E484" s="3"/>
      <c r="F484" s="3"/>
      <c r="G484" s="3"/>
    </row>
    <row r="485" spans="1:7" x14ac:dyDescent="0.25">
      <c r="A485" s="3"/>
      <c r="B485" s="3"/>
      <c r="C485" s="3"/>
      <c r="D485" s="3"/>
      <c r="E485" s="3"/>
      <c r="F485" s="3"/>
      <c r="G485" s="3"/>
    </row>
    <row r="486" spans="1:7" x14ac:dyDescent="0.25">
      <c r="A486" s="3"/>
      <c r="B486" s="3"/>
      <c r="C486" s="3"/>
      <c r="D486" s="3"/>
      <c r="E486" s="3"/>
      <c r="F486" s="3"/>
      <c r="G486" s="3"/>
    </row>
    <row r="487" spans="1:7" x14ac:dyDescent="0.25">
      <c r="A487" s="3"/>
      <c r="B487" s="3"/>
      <c r="C487" s="3"/>
      <c r="D487" s="3"/>
      <c r="E487" s="3"/>
      <c r="F487" s="3"/>
      <c r="G487" s="3"/>
    </row>
    <row r="488" spans="1:7" x14ac:dyDescent="0.25">
      <c r="A488" s="3"/>
      <c r="B488" s="3"/>
      <c r="C488" s="3"/>
      <c r="D488" s="3"/>
      <c r="E488" s="3"/>
      <c r="F488" s="3"/>
      <c r="G488" s="3"/>
    </row>
    <row r="489" spans="1:7" x14ac:dyDescent="0.25">
      <c r="A489" s="3"/>
      <c r="B489" s="3"/>
      <c r="C489" s="3"/>
      <c r="D489" s="3"/>
      <c r="E489" s="3"/>
      <c r="F489" s="3"/>
      <c r="G489" s="3"/>
    </row>
    <row r="490" spans="1:7" x14ac:dyDescent="0.25">
      <c r="A490" s="3"/>
      <c r="B490" s="3"/>
      <c r="C490" s="3"/>
      <c r="D490" s="3"/>
      <c r="E490" s="3"/>
      <c r="F490" s="3"/>
      <c r="G490" s="3"/>
    </row>
    <row r="491" spans="1:7" x14ac:dyDescent="0.25">
      <c r="A491" s="3"/>
      <c r="B491" s="3"/>
      <c r="C491" s="3"/>
      <c r="D491" s="3"/>
      <c r="E491" s="3"/>
      <c r="F491" s="3"/>
      <c r="G491" s="3"/>
    </row>
    <row r="492" spans="1:7" x14ac:dyDescent="0.25">
      <c r="A492" s="3"/>
      <c r="B492" s="3"/>
      <c r="C492" s="3"/>
      <c r="D492" s="3"/>
      <c r="E492" s="3"/>
      <c r="F492" s="3"/>
      <c r="G492" s="3"/>
    </row>
    <row r="493" spans="1:7" x14ac:dyDescent="0.25">
      <c r="A493" s="3"/>
      <c r="B493" s="3"/>
      <c r="C493" s="3"/>
      <c r="D493" s="3"/>
      <c r="E493" s="3"/>
      <c r="F493" s="3"/>
      <c r="G493" s="3"/>
    </row>
    <row r="494" spans="1:7" x14ac:dyDescent="0.25">
      <c r="A494" s="3"/>
      <c r="B494" s="3"/>
      <c r="C494" s="3"/>
      <c r="D494" s="3"/>
      <c r="E494" s="3"/>
      <c r="F494" s="3"/>
      <c r="G494" s="3"/>
    </row>
    <row r="495" spans="1:7" x14ac:dyDescent="0.25">
      <c r="A495" s="3"/>
      <c r="B495" s="3"/>
      <c r="C495" s="3"/>
      <c r="D495" s="3"/>
      <c r="E495" s="3"/>
      <c r="F495" s="3"/>
      <c r="G495" s="3"/>
    </row>
    <row r="496" spans="1:7" x14ac:dyDescent="0.25">
      <c r="A496" s="3"/>
      <c r="B496" s="3"/>
      <c r="C496" s="3"/>
      <c r="D496" s="3"/>
      <c r="E496" s="3"/>
      <c r="F496" s="3"/>
      <c r="G496" s="3"/>
    </row>
    <row r="497" spans="1:7" x14ac:dyDescent="0.25">
      <c r="A497" s="3"/>
      <c r="B497" s="3"/>
      <c r="C497" s="3"/>
      <c r="D497" s="3"/>
      <c r="E497" s="3"/>
      <c r="F497" s="3"/>
      <c r="G497" s="3"/>
    </row>
    <row r="498" spans="1:7" x14ac:dyDescent="0.25">
      <c r="A498" s="3"/>
      <c r="B498" s="3"/>
      <c r="C498" s="3"/>
      <c r="D498" s="3"/>
      <c r="E498" s="3"/>
      <c r="F498" s="3"/>
      <c r="G498" s="3"/>
    </row>
    <row r="499" spans="1:7" x14ac:dyDescent="0.25">
      <c r="A499" s="3"/>
      <c r="B499" s="3"/>
      <c r="C499" s="3"/>
      <c r="D499" s="3"/>
      <c r="E499" s="3"/>
      <c r="F499" s="3"/>
      <c r="G499" s="3"/>
    </row>
    <row r="500" spans="1:7" x14ac:dyDescent="0.25">
      <c r="A500" s="3"/>
      <c r="B500" s="3"/>
      <c r="C500" s="3"/>
      <c r="D500" s="3"/>
      <c r="E500" s="3"/>
      <c r="F500" s="3"/>
      <c r="G500" s="3"/>
    </row>
    <row r="501" spans="1:7" x14ac:dyDescent="0.25">
      <c r="A501" s="3"/>
      <c r="B501" s="3"/>
      <c r="C501" s="3"/>
      <c r="D501" s="3"/>
      <c r="E501" s="3"/>
      <c r="F501" s="3"/>
      <c r="G501" s="3"/>
    </row>
    <row r="502" spans="1:7" x14ac:dyDescent="0.25">
      <c r="A502" s="3"/>
      <c r="B502" s="3"/>
      <c r="C502" s="3"/>
      <c r="D502" s="3"/>
      <c r="E502" s="3"/>
      <c r="F502" s="3"/>
      <c r="G502" s="3"/>
    </row>
    <row r="503" spans="1:7" x14ac:dyDescent="0.25">
      <c r="A503" s="3"/>
      <c r="B503" s="3"/>
      <c r="C503" s="3"/>
      <c r="D503" s="3"/>
      <c r="E503" s="3"/>
      <c r="F503" s="3"/>
      <c r="G503" s="3"/>
    </row>
    <row r="504" spans="1:7" x14ac:dyDescent="0.25">
      <c r="A504" s="3"/>
      <c r="B504" s="3"/>
      <c r="C504" s="3"/>
      <c r="D504" s="3"/>
      <c r="E504" s="3"/>
      <c r="F504" s="3"/>
      <c r="G504" s="3"/>
    </row>
    <row r="505" spans="1:7" x14ac:dyDescent="0.25">
      <c r="A505" s="3"/>
      <c r="B505" s="3"/>
      <c r="C505" s="3"/>
      <c r="D505" s="3"/>
      <c r="E505" s="3"/>
      <c r="F505" s="3"/>
      <c r="G505" s="3"/>
    </row>
    <row r="506" spans="1:7" x14ac:dyDescent="0.25">
      <c r="A506" s="3"/>
      <c r="B506" s="3"/>
      <c r="C506" s="3"/>
      <c r="D506" s="3"/>
      <c r="E506" s="3"/>
      <c r="F506" s="3"/>
      <c r="G506" s="3"/>
    </row>
    <row r="507" spans="1:7" x14ac:dyDescent="0.25">
      <c r="A507" s="3"/>
      <c r="B507" s="3"/>
      <c r="C507" s="3"/>
      <c r="D507" s="3"/>
      <c r="E507" s="3"/>
      <c r="F507" s="3"/>
      <c r="G507" s="3"/>
    </row>
    <row r="508" spans="1:7" x14ac:dyDescent="0.25">
      <c r="A508" s="3"/>
      <c r="B508" s="3"/>
      <c r="C508" s="3"/>
      <c r="D508" s="3"/>
      <c r="E508" s="3"/>
      <c r="F508" s="3"/>
      <c r="G508" s="3"/>
    </row>
    <row r="509" spans="1:7" x14ac:dyDescent="0.25">
      <c r="A509" s="3"/>
      <c r="B509" s="3"/>
      <c r="C509" s="3"/>
      <c r="D509" s="3"/>
      <c r="E509" s="3"/>
      <c r="F509" s="3"/>
      <c r="G509" s="3"/>
    </row>
    <row r="510" spans="1:7" x14ac:dyDescent="0.25">
      <c r="A510" s="3"/>
      <c r="B510" s="3"/>
      <c r="C510" s="3"/>
      <c r="D510" s="3"/>
      <c r="E510" s="3"/>
      <c r="F510" s="3"/>
      <c r="G510" s="3"/>
    </row>
    <row r="511" spans="1:7" x14ac:dyDescent="0.25">
      <c r="A511" s="3"/>
      <c r="B511" s="3"/>
      <c r="C511" s="3"/>
      <c r="D511" s="3"/>
      <c r="E511" s="3"/>
      <c r="F511" s="3"/>
      <c r="G511" s="3"/>
    </row>
    <row r="512" spans="1:7" x14ac:dyDescent="0.25">
      <c r="A512" s="3"/>
      <c r="B512" s="3"/>
      <c r="C512" s="3"/>
      <c r="D512" s="3"/>
      <c r="E512" s="3"/>
      <c r="F512" s="3"/>
      <c r="G512" s="3"/>
    </row>
    <row r="513" spans="1:7" x14ac:dyDescent="0.25">
      <c r="A513" s="3"/>
      <c r="B513" s="3"/>
      <c r="C513" s="3"/>
      <c r="D513" s="3"/>
      <c r="E513" s="3"/>
      <c r="F513" s="3"/>
      <c r="G513" s="3"/>
    </row>
    <row r="514" spans="1:7" x14ac:dyDescent="0.25">
      <c r="A514" s="3"/>
      <c r="B514" s="3"/>
      <c r="C514" s="3"/>
      <c r="D514" s="3"/>
      <c r="E514" s="3"/>
      <c r="F514" s="3"/>
      <c r="G514" s="3"/>
    </row>
    <row r="515" spans="1:7" x14ac:dyDescent="0.25">
      <c r="A515" s="3"/>
      <c r="B515" s="3"/>
      <c r="C515" s="3"/>
      <c r="D515" s="3"/>
      <c r="E515" s="3"/>
      <c r="F515" s="3"/>
      <c r="G515" s="3"/>
    </row>
    <row r="516" spans="1:7" x14ac:dyDescent="0.25">
      <c r="A516" s="3"/>
      <c r="B516" s="3"/>
      <c r="C516" s="3"/>
      <c r="D516" s="3"/>
      <c r="E516" s="3"/>
      <c r="F516" s="3"/>
      <c r="G516" s="3"/>
    </row>
    <row r="517" spans="1:7" x14ac:dyDescent="0.25">
      <c r="A517" s="3"/>
      <c r="B517" s="3"/>
      <c r="C517" s="3"/>
      <c r="D517" s="3"/>
      <c r="E517" s="3"/>
      <c r="F517" s="3"/>
      <c r="G517" s="3"/>
    </row>
    <row r="518" spans="1:7" x14ac:dyDescent="0.25">
      <c r="A518" s="3"/>
      <c r="B518" s="3"/>
      <c r="C518" s="3"/>
      <c r="D518" s="3"/>
      <c r="E518" s="3"/>
      <c r="F518" s="3"/>
      <c r="G518" s="3"/>
    </row>
    <row r="519" spans="1:7" x14ac:dyDescent="0.25">
      <c r="A519" s="3"/>
      <c r="B519" s="3"/>
      <c r="C519" s="3"/>
      <c r="D519" s="3"/>
      <c r="E519" s="3"/>
      <c r="F519" s="3"/>
      <c r="G519" s="3"/>
    </row>
    <row r="520" spans="1:7" x14ac:dyDescent="0.25">
      <c r="A520" s="3"/>
      <c r="B520" s="3"/>
      <c r="C520" s="3"/>
      <c r="D520" s="3"/>
      <c r="E520" s="3"/>
      <c r="F520" s="3"/>
      <c r="G520" s="3"/>
    </row>
    <row r="521" spans="1:7" x14ac:dyDescent="0.25">
      <c r="A521" s="3"/>
      <c r="B521" s="3"/>
      <c r="C521" s="3"/>
      <c r="D521" s="3"/>
      <c r="E521" s="3"/>
      <c r="F521" s="3"/>
      <c r="G521" s="3"/>
    </row>
    <row r="522" spans="1:7" x14ac:dyDescent="0.25">
      <c r="A522" s="3"/>
      <c r="B522" s="3"/>
      <c r="C522" s="3"/>
      <c r="D522" s="3"/>
      <c r="E522" s="3"/>
      <c r="F522" s="3"/>
      <c r="G522" s="3"/>
    </row>
    <row r="523" spans="1:7" x14ac:dyDescent="0.25">
      <c r="A523" s="3"/>
      <c r="B523" s="3"/>
      <c r="C523" s="3"/>
      <c r="D523" s="3"/>
      <c r="E523" s="3"/>
      <c r="F523" s="3"/>
      <c r="G523" s="3"/>
    </row>
    <row r="524" spans="1:7" x14ac:dyDescent="0.25">
      <c r="A524" s="3"/>
      <c r="B524" s="3"/>
      <c r="C524" s="3"/>
      <c r="D524" s="3"/>
      <c r="E524" s="3"/>
      <c r="F524" s="3"/>
      <c r="G524" s="3"/>
    </row>
    <row r="525" spans="1:7" x14ac:dyDescent="0.25">
      <c r="A525" s="3"/>
      <c r="B525" s="3"/>
      <c r="C525" s="3"/>
      <c r="D525" s="3"/>
      <c r="E525" s="3"/>
      <c r="F525" s="3"/>
      <c r="G525" s="3"/>
    </row>
    <row r="526" spans="1:7" x14ac:dyDescent="0.25">
      <c r="A526" s="3"/>
      <c r="B526" s="3"/>
      <c r="C526" s="3"/>
      <c r="D526" s="3"/>
      <c r="E526" s="3"/>
      <c r="F526" s="3"/>
      <c r="G526" s="3"/>
    </row>
    <row r="527" spans="1:7" x14ac:dyDescent="0.25">
      <c r="A527" s="3"/>
      <c r="B527" s="3"/>
      <c r="C527" s="3"/>
      <c r="D527" s="3"/>
      <c r="E527" s="3"/>
      <c r="F527" s="3"/>
      <c r="G527" s="3"/>
    </row>
    <row r="528" spans="1:7" x14ac:dyDescent="0.25">
      <c r="A528" s="3"/>
      <c r="B528" s="3"/>
      <c r="C528" s="3"/>
      <c r="D528" s="3"/>
      <c r="E528" s="3"/>
      <c r="F528" s="3"/>
      <c r="G528" s="3"/>
    </row>
    <row r="529" spans="1:7" x14ac:dyDescent="0.25">
      <c r="A529" s="3"/>
      <c r="B529" s="3"/>
      <c r="C529" s="3"/>
      <c r="D529" s="3"/>
      <c r="E529" s="3"/>
      <c r="F529" s="3"/>
      <c r="G529" s="3"/>
    </row>
    <row r="530" spans="1:7" x14ac:dyDescent="0.25">
      <c r="A530" s="3"/>
      <c r="B530" s="3"/>
      <c r="C530" s="3"/>
      <c r="D530" s="3"/>
      <c r="E530" s="3"/>
      <c r="F530" s="3"/>
      <c r="G530" s="3"/>
    </row>
    <row r="531" spans="1:7" x14ac:dyDescent="0.25">
      <c r="A531" s="3"/>
      <c r="B531" s="3"/>
      <c r="C531" s="3"/>
      <c r="D531" s="3"/>
      <c r="E531" s="3"/>
      <c r="F531" s="3"/>
      <c r="G531" s="3"/>
    </row>
    <row r="532" spans="1:7" x14ac:dyDescent="0.25">
      <c r="A532" s="3"/>
      <c r="B532" s="3"/>
      <c r="C532" s="3"/>
      <c r="D532" s="3"/>
      <c r="E532" s="3"/>
      <c r="F532" s="3"/>
      <c r="G532" s="3"/>
    </row>
    <row r="533" spans="1:7" x14ac:dyDescent="0.25">
      <c r="A533" s="3"/>
      <c r="B533" s="3"/>
      <c r="C533" s="3"/>
      <c r="D533" s="3"/>
      <c r="E533" s="3"/>
      <c r="F533" s="3"/>
      <c r="G533" s="3"/>
    </row>
    <row r="534" spans="1:7" x14ac:dyDescent="0.25">
      <c r="A534" s="3"/>
      <c r="B534" s="3"/>
      <c r="C534" s="3"/>
      <c r="D534" s="3"/>
      <c r="E534" s="3"/>
      <c r="F534" s="3"/>
      <c r="G534" s="3"/>
    </row>
    <row r="535" spans="1:7" x14ac:dyDescent="0.25">
      <c r="A535" s="3"/>
      <c r="B535" s="3"/>
      <c r="C535" s="3"/>
      <c r="D535" s="3"/>
      <c r="E535" s="3"/>
      <c r="F535" s="3"/>
      <c r="G535" s="3"/>
    </row>
    <row r="536" spans="1:7" x14ac:dyDescent="0.25">
      <c r="A536" s="3"/>
      <c r="B536" s="3"/>
      <c r="C536" s="3"/>
      <c r="D536" s="3"/>
      <c r="E536" s="3"/>
      <c r="F536" s="3"/>
      <c r="G536" s="3"/>
    </row>
    <row r="537" spans="1:7" x14ac:dyDescent="0.25">
      <c r="A537" s="3"/>
      <c r="B537" s="3"/>
      <c r="C537" s="3"/>
      <c r="D537" s="3"/>
      <c r="E537" s="3"/>
      <c r="F537" s="3"/>
      <c r="G537" s="3"/>
    </row>
    <row r="538" spans="1:7" x14ac:dyDescent="0.25">
      <c r="A538" s="3"/>
      <c r="B538" s="3"/>
      <c r="C538" s="3"/>
      <c r="D538" s="3"/>
      <c r="E538" s="3"/>
      <c r="F538" s="3"/>
      <c r="G538" s="3"/>
    </row>
    <row r="539" spans="1:7" x14ac:dyDescent="0.25">
      <c r="A539" s="3"/>
      <c r="B539" s="3"/>
      <c r="C539" s="3"/>
      <c r="D539" s="3"/>
      <c r="E539" s="3"/>
      <c r="F539" s="3"/>
      <c r="G539" s="3"/>
    </row>
    <row r="540" spans="1:7" x14ac:dyDescent="0.25">
      <c r="A540" s="3"/>
      <c r="B540" s="3"/>
      <c r="C540" s="3"/>
      <c r="D540" s="3"/>
      <c r="E540" s="3"/>
      <c r="F540" s="3"/>
      <c r="G540" s="3"/>
    </row>
    <row r="541" spans="1:7" x14ac:dyDescent="0.25">
      <c r="A541" s="3"/>
      <c r="B541" s="3"/>
      <c r="C541" s="3"/>
      <c r="D541" s="3"/>
      <c r="E541" s="3"/>
      <c r="F541" s="3"/>
      <c r="G541" s="3"/>
    </row>
    <row r="542" spans="1:7" x14ac:dyDescent="0.25">
      <c r="A542" s="3"/>
      <c r="B542" s="3"/>
      <c r="C542" s="3"/>
      <c r="D542" s="3"/>
      <c r="E542" s="3"/>
      <c r="F542" s="3"/>
      <c r="G542" s="3"/>
    </row>
    <row r="543" spans="1:7" x14ac:dyDescent="0.25">
      <c r="A543" s="3"/>
      <c r="B543" s="3"/>
      <c r="C543" s="3"/>
      <c r="D543" s="3"/>
      <c r="E543" s="3"/>
      <c r="F543" s="3"/>
      <c r="G543" s="3"/>
    </row>
    <row r="544" spans="1:7" x14ac:dyDescent="0.25">
      <c r="A544" s="3"/>
      <c r="B544" s="3"/>
      <c r="C544" s="3"/>
      <c r="D544" s="3"/>
      <c r="E544" s="3"/>
      <c r="F544" s="3"/>
      <c r="G544" s="3"/>
    </row>
    <row r="545" spans="1:7" x14ac:dyDescent="0.25">
      <c r="A545" s="3"/>
      <c r="B545" s="3"/>
      <c r="C545" s="3"/>
      <c r="D545" s="3"/>
      <c r="E545" s="3"/>
      <c r="F545" s="3"/>
      <c r="G545" s="3"/>
    </row>
    <row r="546" spans="1:7" x14ac:dyDescent="0.25">
      <c r="A546" s="3"/>
      <c r="B546" s="3"/>
      <c r="C546" s="3"/>
      <c r="D546" s="3"/>
      <c r="E546" s="3"/>
      <c r="F546" s="3"/>
      <c r="G546" s="3"/>
    </row>
    <row r="547" spans="1:7" x14ac:dyDescent="0.25">
      <c r="A547" s="3"/>
      <c r="B547" s="3"/>
      <c r="C547" s="3"/>
      <c r="D547" s="3"/>
      <c r="E547" s="3"/>
      <c r="F547" s="3"/>
      <c r="G547" s="3"/>
    </row>
    <row r="548" spans="1:7" x14ac:dyDescent="0.25">
      <c r="A548" s="3"/>
      <c r="B548" s="3"/>
      <c r="C548" s="3"/>
      <c r="D548" s="3"/>
      <c r="E548" s="3"/>
      <c r="F548" s="3"/>
      <c r="G548" s="3"/>
    </row>
    <row r="549" spans="1:7" x14ac:dyDescent="0.25">
      <c r="A549" s="3"/>
      <c r="B549" s="3"/>
      <c r="C549" s="3"/>
      <c r="D549" s="3"/>
      <c r="E549" s="3"/>
      <c r="F549" s="3"/>
      <c r="G549" s="3"/>
    </row>
    <row r="550" spans="1:7" x14ac:dyDescent="0.25">
      <c r="A550" s="3"/>
      <c r="B550" s="3"/>
      <c r="C550" s="3"/>
      <c r="D550" s="3"/>
      <c r="E550" s="3"/>
      <c r="F550" s="3"/>
      <c r="G550" s="3"/>
    </row>
    <row r="551" spans="1:7" x14ac:dyDescent="0.25">
      <c r="A551" s="3"/>
      <c r="B551" s="3"/>
      <c r="C551" s="3"/>
      <c r="D551" s="3"/>
      <c r="E551" s="3"/>
      <c r="F551" s="3"/>
      <c r="G551" s="3"/>
    </row>
    <row r="552" spans="1:7" x14ac:dyDescent="0.25">
      <c r="A552" s="3"/>
      <c r="B552" s="3"/>
      <c r="C552" s="3"/>
      <c r="D552" s="3"/>
      <c r="E552" s="3"/>
      <c r="F552" s="3"/>
      <c r="G552" s="3"/>
    </row>
    <row r="553" spans="1:7" x14ac:dyDescent="0.25">
      <c r="A553" s="3"/>
      <c r="B553" s="3"/>
      <c r="C553" s="3"/>
      <c r="D553" s="3"/>
      <c r="E553" s="3"/>
      <c r="F553" s="3"/>
      <c r="G553" s="3"/>
    </row>
    <row r="554" spans="1:7" x14ac:dyDescent="0.25">
      <c r="A554" s="3"/>
      <c r="B554" s="3"/>
      <c r="C554" s="3"/>
      <c r="D554" s="3"/>
      <c r="E554" s="3"/>
      <c r="F554" s="3"/>
      <c r="G554" s="3"/>
    </row>
    <row r="555" spans="1:7" x14ac:dyDescent="0.25">
      <c r="A555" s="3"/>
      <c r="B555" s="3"/>
      <c r="C555" s="3"/>
      <c r="D555" s="3"/>
      <c r="E555" s="3"/>
      <c r="F555" s="3"/>
      <c r="G555" s="3"/>
    </row>
    <row r="556" spans="1:7" x14ac:dyDescent="0.25">
      <c r="A556" s="3"/>
      <c r="B556" s="3"/>
      <c r="C556" s="3"/>
      <c r="D556" s="3"/>
      <c r="E556" s="3"/>
      <c r="F556" s="3"/>
      <c r="G556" s="3"/>
    </row>
    <row r="557" spans="1:7" x14ac:dyDescent="0.25">
      <c r="A557" s="3"/>
      <c r="B557" s="3"/>
      <c r="C557" s="3"/>
      <c r="D557" s="3"/>
      <c r="E557" s="3"/>
      <c r="F557" s="3"/>
      <c r="G557" s="3"/>
    </row>
    <row r="558" spans="1:7" x14ac:dyDescent="0.25">
      <c r="A558" s="3"/>
      <c r="B558" s="3"/>
      <c r="C558" s="3"/>
      <c r="D558" s="3"/>
      <c r="E558" s="3"/>
      <c r="F558" s="3"/>
      <c r="G558" s="3"/>
    </row>
    <row r="559" spans="1:7" x14ac:dyDescent="0.25">
      <c r="A559" s="3"/>
      <c r="B559" s="3"/>
      <c r="C559" s="3"/>
      <c r="D559" s="3"/>
      <c r="E559" s="3"/>
      <c r="F559" s="3"/>
      <c r="G559" s="3"/>
    </row>
    <row r="560" spans="1:7" x14ac:dyDescent="0.25">
      <c r="A560" s="3"/>
      <c r="B560" s="3"/>
      <c r="C560" s="3"/>
      <c r="D560" s="3"/>
      <c r="E560" s="3"/>
      <c r="F560" s="3"/>
      <c r="G560" s="3"/>
    </row>
    <row r="561" spans="1:7" x14ac:dyDescent="0.25">
      <c r="A561" s="3"/>
      <c r="B561" s="3"/>
      <c r="C561" s="3"/>
      <c r="D561" s="3"/>
      <c r="E561" s="3"/>
      <c r="F561" s="3"/>
      <c r="G561" s="3"/>
    </row>
    <row r="562" spans="1:7" x14ac:dyDescent="0.25">
      <c r="A562" s="3"/>
      <c r="B562" s="3"/>
      <c r="C562" s="3"/>
      <c r="D562" s="3"/>
      <c r="E562" s="3"/>
      <c r="F562" s="3"/>
      <c r="G562" s="3"/>
    </row>
    <row r="563" spans="1:7" x14ac:dyDescent="0.25">
      <c r="A563" s="3"/>
      <c r="B563" s="3"/>
      <c r="C563" s="3"/>
      <c r="D563" s="3"/>
      <c r="E563" s="3"/>
      <c r="F563" s="3"/>
      <c r="G563" s="3"/>
    </row>
    <row r="564" spans="1:7" x14ac:dyDescent="0.25">
      <c r="A564" s="3"/>
      <c r="B564" s="3"/>
      <c r="C564" s="3"/>
      <c r="D564" s="3"/>
      <c r="E564" s="3"/>
      <c r="F564" s="3"/>
      <c r="G564" s="3"/>
    </row>
    <row r="565" spans="1:7" x14ac:dyDescent="0.25">
      <c r="A565" s="3"/>
      <c r="B565" s="3"/>
      <c r="C565" s="3"/>
      <c r="D565" s="3"/>
      <c r="E565" s="3"/>
      <c r="F565" s="3"/>
      <c r="G565" s="3"/>
    </row>
    <row r="566" spans="1:7" x14ac:dyDescent="0.25">
      <c r="A566" s="3"/>
      <c r="B566" s="3"/>
      <c r="C566" s="3"/>
      <c r="D566" s="3"/>
      <c r="E566" s="3"/>
      <c r="F566" s="3"/>
      <c r="G566" s="3"/>
    </row>
    <row r="567" spans="1:7" x14ac:dyDescent="0.25">
      <c r="A567" s="3"/>
      <c r="B567" s="3"/>
      <c r="C567" s="3"/>
      <c r="D567" s="3"/>
      <c r="E567" s="3"/>
      <c r="F567" s="3"/>
      <c r="G567" s="3"/>
    </row>
    <row r="568" spans="1:7" x14ac:dyDescent="0.25">
      <c r="A568" s="3"/>
      <c r="B568" s="3"/>
      <c r="C568" s="3"/>
      <c r="D568" s="3"/>
      <c r="E568" s="3"/>
      <c r="F568" s="3"/>
      <c r="G568" s="3"/>
    </row>
    <row r="569" spans="1:7" x14ac:dyDescent="0.25">
      <c r="A569" s="3"/>
      <c r="B569" s="3"/>
      <c r="C569" s="3"/>
      <c r="D569" s="3"/>
      <c r="E569" s="3"/>
      <c r="F569" s="3"/>
      <c r="G569" s="3"/>
    </row>
    <row r="570" spans="1:7" x14ac:dyDescent="0.25">
      <c r="A570" s="3"/>
      <c r="B570" s="3"/>
      <c r="C570" s="3"/>
      <c r="D570" s="3"/>
      <c r="E570" s="3"/>
      <c r="F570" s="3"/>
      <c r="G570" s="3"/>
    </row>
    <row r="571" spans="1:7" x14ac:dyDescent="0.25">
      <c r="A571" s="3"/>
      <c r="B571" s="3"/>
      <c r="C571" s="3"/>
      <c r="D571" s="3"/>
      <c r="E571" s="3"/>
      <c r="F571" s="3"/>
      <c r="G571" s="3"/>
    </row>
    <row r="572" spans="1:7" x14ac:dyDescent="0.25">
      <c r="A572" s="3"/>
      <c r="B572" s="3"/>
      <c r="C572" s="3"/>
      <c r="D572" s="3"/>
      <c r="E572" s="3"/>
      <c r="F572" s="3"/>
      <c r="G572" s="3"/>
    </row>
    <row r="573" spans="1:7" x14ac:dyDescent="0.25">
      <c r="A573" s="3"/>
      <c r="B573" s="3"/>
      <c r="C573" s="3"/>
      <c r="D573" s="3"/>
      <c r="E573" s="3"/>
      <c r="F573" s="3"/>
      <c r="G573" s="3"/>
    </row>
    <row r="574" spans="1:7" x14ac:dyDescent="0.25">
      <c r="A574" s="3"/>
      <c r="B574" s="3"/>
      <c r="C574" s="3"/>
      <c r="D574" s="3"/>
      <c r="E574" s="3"/>
      <c r="F574" s="3"/>
      <c r="G574" s="3"/>
    </row>
    <row r="575" spans="1:7" x14ac:dyDescent="0.25">
      <c r="A575" s="3"/>
      <c r="B575" s="3"/>
      <c r="C575" s="3"/>
      <c r="D575" s="3"/>
      <c r="E575" s="3"/>
      <c r="F575" s="3"/>
      <c r="G575" s="3"/>
    </row>
    <row r="576" spans="1:7" x14ac:dyDescent="0.25">
      <c r="A576" s="3"/>
      <c r="B576" s="3"/>
      <c r="C576" s="3"/>
      <c r="D576" s="3"/>
      <c r="E576" s="3"/>
      <c r="F576" s="3"/>
      <c r="G576" s="3"/>
    </row>
    <row r="577" spans="1:7" x14ac:dyDescent="0.25">
      <c r="A577" s="3"/>
      <c r="B577" s="3"/>
      <c r="C577" s="3"/>
      <c r="D577" s="3"/>
      <c r="E577" s="3"/>
      <c r="F577" s="3"/>
      <c r="G577" s="3"/>
    </row>
    <row r="578" spans="1:7" x14ac:dyDescent="0.25">
      <c r="A578" s="3"/>
      <c r="B578" s="3"/>
      <c r="C578" s="3"/>
      <c r="D578" s="3"/>
      <c r="E578" s="3"/>
      <c r="F578" s="3"/>
      <c r="G578" s="3"/>
    </row>
    <row r="579" spans="1:7" x14ac:dyDescent="0.25">
      <c r="A579" s="3"/>
      <c r="B579" s="3"/>
      <c r="C579" s="3"/>
      <c r="D579" s="3"/>
      <c r="E579" s="3"/>
      <c r="F579" s="3"/>
      <c r="G579" s="3"/>
    </row>
    <row r="580" spans="1:7" x14ac:dyDescent="0.25">
      <c r="A580" s="3"/>
      <c r="B580" s="3"/>
      <c r="C580" s="3"/>
      <c r="D580" s="3"/>
      <c r="E580" s="3"/>
      <c r="F580" s="3"/>
      <c r="G580" s="3"/>
    </row>
    <row r="581" spans="1:7" x14ac:dyDescent="0.25">
      <c r="A581" s="3"/>
      <c r="B581" s="3"/>
      <c r="C581" s="3"/>
      <c r="D581" s="3"/>
      <c r="E581" s="3"/>
      <c r="F581" s="3"/>
      <c r="G581" s="3"/>
    </row>
    <row r="582" spans="1:7" x14ac:dyDescent="0.25">
      <c r="A582" s="3"/>
      <c r="B582" s="3"/>
      <c r="C582" s="3"/>
      <c r="D582" s="3"/>
      <c r="E582" s="3"/>
      <c r="F582" s="3"/>
      <c r="G582" s="3"/>
    </row>
    <row r="583" spans="1:7" x14ac:dyDescent="0.25">
      <c r="A583" s="3"/>
      <c r="B583" s="3"/>
      <c r="C583" s="3"/>
      <c r="D583" s="3"/>
      <c r="E583" s="3"/>
      <c r="F583" s="3"/>
      <c r="G583" s="3"/>
    </row>
    <row r="584" spans="1:7" x14ac:dyDescent="0.25">
      <c r="A584" s="3"/>
      <c r="B584" s="3"/>
      <c r="C584" s="3"/>
      <c r="D584" s="3"/>
      <c r="E584" s="3"/>
      <c r="F584" s="3"/>
      <c r="G584" s="3"/>
    </row>
    <row r="585" spans="1:7" x14ac:dyDescent="0.25">
      <c r="A585" s="3"/>
      <c r="B585" s="3"/>
      <c r="C585" s="3"/>
      <c r="D585" s="3"/>
      <c r="E585" s="3"/>
      <c r="F585" s="3"/>
      <c r="G585" s="3"/>
    </row>
    <row r="586" spans="1:7" x14ac:dyDescent="0.25">
      <c r="A586" s="3"/>
      <c r="B586" s="3"/>
      <c r="C586" s="3"/>
      <c r="D586" s="3"/>
      <c r="E586" s="3"/>
      <c r="F586" s="3"/>
      <c r="G586" s="3"/>
    </row>
    <row r="587" spans="1:7" x14ac:dyDescent="0.25">
      <c r="A587" s="3"/>
      <c r="B587" s="3"/>
      <c r="C587" s="3"/>
      <c r="D587" s="3"/>
      <c r="E587" s="3"/>
      <c r="F587" s="3"/>
      <c r="G587" s="3"/>
    </row>
    <row r="588" spans="1:7" x14ac:dyDescent="0.25">
      <c r="A588" s="3"/>
      <c r="B588" s="3"/>
      <c r="C588" s="3"/>
      <c r="D588" s="3"/>
      <c r="E588" s="3"/>
      <c r="F588" s="3"/>
      <c r="G588" s="3"/>
    </row>
    <row r="589" spans="1:7" x14ac:dyDescent="0.25">
      <c r="A589" s="3"/>
      <c r="B589" s="3"/>
      <c r="C589" s="3"/>
      <c r="D589" s="3"/>
      <c r="E589" s="3"/>
      <c r="F589" s="3"/>
      <c r="G589" s="3"/>
    </row>
    <row r="590" spans="1:7" x14ac:dyDescent="0.25">
      <c r="A590" s="3"/>
      <c r="B590" s="3"/>
      <c r="C590" s="3"/>
      <c r="D590" s="3"/>
      <c r="E590" s="3"/>
      <c r="F590" s="3"/>
      <c r="G590" s="3"/>
    </row>
    <row r="591" spans="1:7" x14ac:dyDescent="0.25">
      <c r="A591" s="3"/>
      <c r="B591" s="3"/>
      <c r="C591" s="3"/>
      <c r="D591" s="3"/>
      <c r="E591" s="3"/>
      <c r="F591" s="3"/>
      <c r="G591" s="3"/>
    </row>
    <row r="592" spans="1:7" x14ac:dyDescent="0.25">
      <c r="A592" s="3"/>
      <c r="B592" s="3"/>
      <c r="C592" s="3"/>
      <c r="D592" s="3"/>
      <c r="E592" s="3"/>
      <c r="F592" s="3"/>
      <c r="G592" s="3"/>
    </row>
    <row r="593" spans="1:7" x14ac:dyDescent="0.25">
      <c r="A593" s="3"/>
      <c r="B593" s="3"/>
      <c r="C593" s="3"/>
      <c r="D593" s="3"/>
      <c r="E593" s="3"/>
      <c r="F593" s="3"/>
      <c r="G593" s="3"/>
    </row>
    <row r="594" spans="1:7" x14ac:dyDescent="0.25">
      <c r="A594" s="3"/>
      <c r="B594" s="3"/>
      <c r="C594" s="3"/>
      <c r="D594" s="3"/>
      <c r="E594" s="3"/>
      <c r="F594" s="3"/>
      <c r="G594" s="3"/>
    </row>
    <row r="595" spans="1:7" x14ac:dyDescent="0.25">
      <c r="A595" s="3"/>
      <c r="B595" s="3"/>
      <c r="C595" s="3"/>
      <c r="D595" s="3"/>
      <c r="E595" s="3"/>
      <c r="F595" s="3"/>
      <c r="G595" s="3"/>
    </row>
    <row r="596" spans="1:7" x14ac:dyDescent="0.25">
      <c r="A596" s="3"/>
      <c r="B596" s="3"/>
      <c r="C596" s="3"/>
      <c r="D596" s="3"/>
      <c r="E596" s="3"/>
      <c r="F596" s="3"/>
      <c r="G596" s="3"/>
    </row>
    <row r="597" spans="1:7" x14ac:dyDescent="0.25">
      <c r="A597" s="3"/>
      <c r="B597" s="3"/>
      <c r="C597" s="3"/>
      <c r="D597" s="3"/>
      <c r="E597" s="3"/>
      <c r="F597" s="3"/>
      <c r="G597" s="3"/>
    </row>
    <row r="598" spans="1:7" x14ac:dyDescent="0.25">
      <c r="A598" s="3"/>
      <c r="B598" s="3"/>
      <c r="C598" s="3"/>
      <c r="D598" s="3"/>
      <c r="E598" s="3"/>
      <c r="F598" s="3"/>
      <c r="G598" s="3"/>
    </row>
    <row r="599" spans="1:7" x14ac:dyDescent="0.25">
      <c r="A599" s="3"/>
      <c r="B599" s="3"/>
      <c r="C599" s="3"/>
      <c r="D599" s="3"/>
      <c r="E599" s="3"/>
      <c r="F599" s="3"/>
      <c r="G599" s="3"/>
    </row>
    <row r="600" spans="1:7" x14ac:dyDescent="0.25">
      <c r="A600" s="3"/>
      <c r="B600" s="3"/>
      <c r="C600" s="3"/>
      <c r="D600" s="3"/>
      <c r="E600" s="3"/>
      <c r="F600" s="3"/>
      <c r="G600" s="3"/>
    </row>
    <row r="601" spans="1:7" x14ac:dyDescent="0.25">
      <c r="A601" s="3"/>
      <c r="B601" s="3"/>
      <c r="C601" s="3"/>
      <c r="D601" s="3"/>
      <c r="E601" s="3"/>
      <c r="F601" s="3"/>
      <c r="G601" s="3"/>
    </row>
    <row r="602" spans="1:7" x14ac:dyDescent="0.25">
      <c r="A602" s="3"/>
      <c r="B602" s="3"/>
      <c r="C602" s="3"/>
      <c r="D602" s="3"/>
      <c r="E602" s="3"/>
      <c r="F602" s="3"/>
      <c r="G602" s="3"/>
    </row>
    <row r="603" spans="1:7" x14ac:dyDescent="0.25">
      <c r="A603" s="3"/>
      <c r="B603" s="3"/>
      <c r="C603" s="3"/>
      <c r="D603" s="3"/>
      <c r="E603" s="3"/>
      <c r="F603" s="3"/>
      <c r="G603" s="3"/>
    </row>
    <row r="604" spans="1:7" x14ac:dyDescent="0.25">
      <c r="A604" s="3"/>
      <c r="B604" s="3"/>
      <c r="C604" s="3"/>
      <c r="D604" s="3"/>
      <c r="E604" s="3"/>
      <c r="F604" s="3"/>
      <c r="G604" s="3"/>
    </row>
    <row r="605" spans="1:7" x14ac:dyDescent="0.25">
      <c r="A605" s="3"/>
      <c r="B605" s="3"/>
      <c r="C605" s="3"/>
      <c r="D605" s="3"/>
      <c r="E605" s="3"/>
      <c r="F605" s="3"/>
      <c r="G605" s="3"/>
    </row>
    <row r="606" spans="1:7" x14ac:dyDescent="0.25">
      <c r="A606" s="3"/>
      <c r="B606" s="3"/>
      <c r="C606" s="3"/>
      <c r="D606" s="3"/>
      <c r="E606" s="3"/>
      <c r="F606" s="3"/>
      <c r="G606" s="3"/>
    </row>
    <row r="607" spans="1:7" x14ac:dyDescent="0.25">
      <c r="A607" s="3"/>
      <c r="B607" s="3"/>
      <c r="C607" s="3"/>
      <c r="D607" s="3"/>
      <c r="E607" s="3"/>
      <c r="F607" s="3"/>
      <c r="G607" s="3"/>
    </row>
    <row r="608" spans="1:7" x14ac:dyDescent="0.25">
      <c r="A608" s="3"/>
      <c r="B608" s="3"/>
      <c r="C608" s="3"/>
      <c r="D608" s="3"/>
      <c r="E608" s="3"/>
      <c r="F608" s="3"/>
      <c r="G608" s="3"/>
    </row>
    <row r="609" spans="1:7" x14ac:dyDescent="0.25">
      <c r="A609" s="3"/>
      <c r="B609" s="3"/>
      <c r="C609" s="3"/>
      <c r="D609" s="3"/>
      <c r="E609" s="3"/>
      <c r="F609" s="3"/>
      <c r="G609" s="3"/>
    </row>
    <row r="610" spans="1:7" x14ac:dyDescent="0.25">
      <c r="A610" s="3"/>
      <c r="B610" s="3"/>
      <c r="C610" s="3"/>
      <c r="D610" s="3"/>
      <c r="E610" s="3"/>
      <c r="F610" s="3"/>
      <c r="G610" s="3"/>
    </row>
    <row r="611" spans="1:7" x14ac:dyDescent="0.25">
      <c r="A611" s="3"/>
      <c r="B611" s="3"/>
      <c r="C611" s="3"/>
      <c r="D611" s="3"/>
      <c r="E611" s="3"/>
      <c r="F611" s="3"/>
      <c r="G611" s="3"/>
    </row>
    <row r="612" spans="1:7" x14ac:dyDescent="0.25">
      <c r="A612" s="3"/>
      <c r="B612" s="3"/>
      <c r="C612" s="3"/>
      <c r="D612" s="3"/>
      <c r="E612" s="3"/>
      <c r="F612" s="3"/>
      <c r="G612" s="3"/>
    </row>
    <row r="613" spans="1:7" x14ac:dyDescent="0.25">
      <c r="A613" s="3"/>
      <c r="B613" s="3"/>
      <c r="C613" s="3"/>
      <c r="D613" s="3"/>
      <c r="E613" s="3"/>
      <c r="F613" s="3"/>
      <c r="G613" s="3"/>
    </row>
    <row r="614" spans="1:7" x14ac:dyDescent="0.25">
      <c r="A614" s="3"/>
      <c r="B614" s="3"/>
      <c r="C614" s="3"/>
      <c r="D614" s="3"/>
      <c r="E614" s="3"/>
      <c r="F614" s="3"/>
      <c r="G614" s="3"/>
    </row>
    <row r="615" spans="1:7" x14ac:dyDescent="0.25">
      <c r="A615" s="3"/>
      <c r="B615" s="3"/>
      <c r="C615" s="3"/>
      <c r="D615" s="3"/>
      <c r="E615" s="3"/>
      <c r="F615" s="3"/>
      <c r="G615" s="3"/>
    </row>
    <row r="616" spans="1:7" x14ac:dyDescent="0.25">
      <c r="A616" s="3"/>
      <c r="B616" s="3"/>
      <c r="C616" s="3"/>
      <c r="D616" s="3"/>
      <c r="E616" s="3"/>
      <c r="F616" s="3"/>
      <c r="G616" s="3"/>
    </row>
    <row r="617" spans="1:7" x14ac:dyDescent="0.25">
      <c r="A617" s="3"/>
      <c r="B617" s="3"/>
      <c r="C617" s="3"/>
      <c r="D617" s="3"/>
      <c r="E617" s="3"/>
      <c r="F617" s="3"/>
      <c r="G617" s="3"/>
    </row>
    <row r="618" spans="1:7" x14ac:dyDescent="0.25">
      <c r="A618" s="3"/>
      <c r="B618" s="3"/>
      <c r="C618" s="3"/>
      <c r="D618" s="3"/>
      <c r="E618" s="3"/>
      <c r="F618" s="3"/>
      <c r="G618" s="3"/>
    </row>
    <row r="619" spans="1:7" x14ac:dyDescent="0.25">
      <c r="A619" s="3"/>
      <c r="B619" s="3"/>
      <c r="C619" s="3"/>
      <c r="D619" s="3"/>
      <c r="E619" s="3"/>
      <c r="F619" s="3"/>
      <c r="G619" s="3"/>
    </row>
    <row r="620" spans="1:7" x14ac:dyDescent="0.25">
      <c r="A620" s="3"/>
      <c r="B620" s="3"/>
      <c r="C620" s="3"/>
      <c r="D620" s="3"/>
      <c r="E620" s="3"/>
      <c r="F620" s="3"/>
      <c r="G620" s="3"/>
    </row>
    <row r="621" spans="1:7" x14ac:dyDescent="0.25">
      <c r="A621" s="3"/>
      <c r="B621" s="3"/>
      <c r="C621" s="3"/>
      <c r="D621" s="3"/>
      <c r="E621" s="3"/>
      <c r="F621" s="3"/>
      <c r="G621" s="3"/>
    </row>
    <row r="622" spans="1:7" x14ac:dyDescent="0.25">
      <c r="A622" s="3"/>
      <c r="B622" s="3"/>
      <c r="C622" s="3"/>
      <c r="D622" s="3"/>
      <c r="E622" s="3"/>
      <c r="F622" s="3"/>
      <c r="G622" s="3"/>
    </row>
    <row r="623" spans="1:7" x14ac:dyDescent="0.25">
      <c r="A623" s="3"/>
      <c r="B623" s="3"/>
      <c r="C623" s="3"/>
      <c r="D623" s="3"/>
      <c r="E623" s="3"/>
      <c r="F623" s="3"/>
      <c r="G623" s="3"/>
    </row>
    <row r="624" spans="1:7" x14ac:dyDescent="0.25">
      <c r="A624" s="3"/>
      <c r="B624" s="3"/>
      <c r="C624" s="3"/>
      <c r="D624" s="3"/>
      <c r="E624" s="3"/>
      <c r="F624" s="3"/>
      <c r="G624" s="3"/>
    </row>
    <row r="625" spans="1:7" x14ac:dyDescent="0.25">
      <c r="A625" s="3"/>
      <c r="B625" s="3"/>
      <c r="C625" s="3"/>
      <c r="D625" s="3"/>
      <c r="E625" s="3"/>
      <c r="F625" s="3"/>
      <c r="G625" s="3"/>
    </row>
    <row r="626" spans="1:7" x14ac:dyDescent="0.25">
      <c r="A626" s="3"/>
      <c r="B626" s="3"/>
      <c r="C626" s="3"/>
      <c r="D626" s="3"/>
      <c r="E626" s="3"/>
      <c r="F626" s="3"/>
      <c r="G626" s="3"/>
    </row>
    <row r="627" spans="1:7" x14ac:dyDescent="0.25">
      <c r="A627" s="3"/>
      <c r="B627" s="3"/>
      <c r="C627" s="3"/>
      <c r="D627" s="3"/>
      <c r="E627" s="3"/>
      <c r="F627" s="3"/>
      <c r="G627" s="3"/>
    </row>
    <row r="628" spans="1:7" x14ac:dyDescent="0.25">
      <c r="A628" s="3"/>
      <c r="B628" s="3"/>
      <c r="C628" s="3"/>
      <c r="D628" s="3"/>
      <c r="E628" s="3"/>
      <c r="F628" s="3"/>
      <c r="G628" s="3"/>
    </row>
    <row r="629" spans="1:7" x14ac:dyDescent="0.25">
      <c r="A629" s="3"/>
      <c r="B629" s="3"/>
      <c r="C629" s="3"/>
      <c r="D629" s="3"/>
      <c r="E629" s="3"/>
      <c r="F629" s="3"/>
      <c r="G629" s="3"/>
    </row>
    <row r="630" spans="1:7" x14ac:dyDescent="0.25">
      <c r="A630" s="3"/>
      <c r="B630" s="3"/>
      <c r="C630" s="3"/>
      <c r="D630" s="3"/>
      <c r="E630" s="3"/>
      <c r="F630" s="3"/>
      <c r="G630" s="3"/>
    </row>
    <row r="631" spans="1:7" x14ac:dyDescent="0.25">
      <c r="A631" s="3"/>
      <c r="B631" s="3"/>
      <c r="C631" s="3"/>
      <c r="D631" s="3"/>
      <c r="E631" s="3"/>
      <c r="F631" s="3"/>
      <c r="G631" s="3"/>
    </row>
    <row r="632" spans="1:7" x14ac:dyDescent="0.25">
      <c r="A632" s="3"/>
      <c r="B632" s="3"/>
      <c r="C632" s="3"/>
      <c r="D632" s="3"/>
      <c r="E632" s="3"/>
      <c r="F632" s="3"/>
      <c r="G632" s="3"/>
    </row>
    <row r="633" spans="1:7" x14ac:dyDescent="0.25">
      <c r="A633" s="3"/>
      <c r="B633" s="3"/>
      <c r="C633" s="3"/>
      <c r="D633" s="3"/>
      <c r="E633" s="3"/>
      <c r="F633" s="3"/>
      <c r="G633" s="3"/>
    </row>
    <row r="634" spans="1:7" x14ac:dyDescent="0.25">
      <c r="A634" s="3"/>
      <c r="B634" s="3"/>
      <c r="C634" s="3"/>
      <c r="D634" s="3"/>
      <c r="E634" s="3"/>
      <c r="F634" s="3"/>
      <c r="G634" s="3"/>
    </row>
    <row r="635" spans="1:7" x14ac:dyDescent="0.25">
      <c r="A635" s="3"/>
      <c r="B635" s="3"/>
      <c r="C635" s="3"/>
      <c r="D635" s="3"/>
      <c r="E635" s="3"/>
      <c r="F635" s="3"/>
      <c r="G635" s="3"/>
    </row>
    <row r="636" spans="1:7" x14ac:dyDescent="0.25">
      <c r="A636" s="3"/>
      <c r="B636" s="3"/>
      <c r="C636" s="3"/>
      <c r="D636" s="3"/>
      <c r="E636" s="3"/>
      <c r="F636" s="3"/>
      <c r="G636" s="3"/>
    </row>
    <row r="637" spans="1:7" x14ac:dyDescent="0.25">
      <c r="A637" s="3"/>
      <c r="B637" s="3"/>
      <c r="C637" s="3"/>
      <c r="D637" s="3"/>
      <c r="E637" s="3"/>
      <c r="F637" s="3"/>
      <c r="G637" s="3"/>
    </row>
    <row r="638" spans="1:7" x14ac:dyDescent="0.25">
      <c r="A638" s="3"/>
      <c r="B638" s="3"/>
      <c r="C638" s="3"/>
      <c r="D638" s="3"/>
      <c r="E638" s="3"/>
      <c r="F638" s="3"/>
      <c r="G638" s="3"/>
    </row>
    <row r="639" spans="1:7" x14ac:dyDescent="0.25">
      <c r="A639" s="3"/>
      <c r="B639" s="3"/>
      <c r="C639" s="3"/>
      <c r="D639" s="3"/>
      <c r="E639" s="3"/>
      <c r="F639" s="3"/>
      <c r="G639" s="3"/>
    </row>
    <row r="640" spans="1:7" x14ac:dyDescent="0.25">
      <c r="A640" s="3"/>
      <c r="B640" s="3"/>
      <c r="C640" s="3"/>
      <c r="D640" s="3"/>
      <c r="E640" s="3"/>
      <c r="F640" s="3"/>
      <c r="G640" s="3"/>
    </row>
    <row r="641" spans="1:7" x14ac:dyDescent="0.25">
      <c r="A641" s="3"/>
      <c r="B641" s="3"/>
      <c r="C641" s="3"/>
      <c r="D641" s="3"/>
      <c r="E641" s="3"/>
      <c r="F641" s="3"/>
      <c r="G641" s="3"/>
    </row>
    <row r="642" spans="1:7" x14ac:dyDescent="0.25">
      <c r="A642" s="3"/>
      <c r="B642" s="3"/>
      <c r="C642" s="3"/>
      <c r="D642" s="3"/>
      <c r="E642" s="3"/>
      <c r="F642" s="3"/>
      <c r="G642" s="3"/>
    </row>
    <row r="643" spans="1:7" x14ac:dyDescent="0.25">
      <c r="A643" s="3"/>
      <c r="B643" s="3"/>
      <c r="C643" s="3"/>
      <c r="D643" s="3"/>
      <c r="E643" s="3"/>
      <c r="F643" s="3"/>
      <c r="G643" s="3"/>
    </row>
    <row r="644" spans="1:7" x14ac:dyDescent="0.25">
      <c r="A644" s="3"/>
      <c r="B644" s="3"/>
      <c r="C644" s="3"/>
      <c r="D644" s="3"/>
      <c r="E644" s="3"/>
      <c r="F644" s="3"/>
      <c r="G644" s="3"/>
    </row>
    <row r="645" spans="1:7" x14ac:dyDescent="0.25">
      <c r="A645" s="3"/>
      <c r="B645" s="3"/>
      <c r="C645" s="3"/>
      <c r="D645" s="3"/>
      <c r="E645" s="3"/>
      <c r="F645" s="3"/>
      <c r="G645" s="3"/>
    </row>
    <row r="646" spans="1:7" x14ac:dyDescent="0.25">
      <c r="A646" s="3"/>
      <c r="B646" s="3"/>
      <c r="C646" s="3"/>
      <c r="D646" s="3"/>
      <c r="E646" s="3"/>
      <c r="F646" s="3"/>
      <c r="G646" s="3"/>
    </row>
    <row r="647" spans="1:7" x14ac:dyDescent="0.25">
      <c r="A647" s="3"/>
      <c r="B647" s="3"/>
      <c r="C647" s="3"/>
      <c r="D647" s="3"/>
      <c r="E647" s="3"/>
      <c r="F647" s="3"/>
      <c r="G647" s="3"/>
    </row>
    <row r="648" spans="1:7" x14ac:dyDescent="0.25">
      <c r="A648" s="3"/>
      <c r="B648" s="3"/>
      <c r="C648" s="3"/>
      <c r="D648" s="3"/>
      <c r="E648" s="3"/>
      <c r="F648" s="3"/>
      <c r="G648" s="3"/>
    </row>
    <row r="649" spans="1:7" x14ac:dyDescent="0.25">
      <c r="A649" s="3"/>
      <c r="B649" s="3"/>
      <c r="C649" s="3"/>
      <c r="D649" s="3"/>
      <c r="E649" s="3"/>
      <c r="F649" s="3"/>
      <c r="G649" s="3"/>
    </row>
    <row r="650" spans="1:7" x14ac:dyDescent="0.25">
      <c r="A650" s="3"/>
      <c r="B650" s="3"/>
      <c r="C650" s="3"/>
      <c r="D650" s="3"/>
      <c r="E650" s="3"/>
      <c r="F650" s="3"/>
      <c r="G650" s="3"/>
    </row>
    <row r="651" spans="1:7" x14ac:dyDescent="0.25">
      <c r="A651" s="3"/>
      <c r="B651" s="3"/>
      <c r="C651" s="3"/>
      <c r="D651" s="3"/>
      <c r="E651" s="3"/>
      <c r="F651" s="3"/>
      <c r="G651" s="3"/>
    </row>
    <row r="652" spans="1:7" x14ac:dyDescent="0.25">
      <c r="A652" s="3"/>
      <c r="B652" s="3"/>
      <c r="C652" s="3"/>
      <c r="D652" s="3"/>
      <c r="E652" s="3"/>
      <c r="F652" s="3"/>
      <c r="G652" s="3"/>
    </row>
    <row r="653" spans="1:7" x14ac:dyDescent="0.25">
      <c r="A653" s="3"/>
      <c r="B653" s="3"/>
      <c r="C653" s="3"/>
      <c r="D653" s="3"/>
      <c r="E653" s="3"/>
      <c r="F653" s="3"/>
      <c r="G653" s="3"/>
    </row>
    <row r="654" spans="1:7" x14ac:dyDescent="0.25">
      <c r="A654" s="3"/>
      <c r="B654" s="3"/>
      <c r="C654" s="3"/>
      <c r="D654" s="3"/>
      <c r="E654" s="3"/>
      <c r="F654" s="3"/>
      <c r="G654" s="3"/>
    </row>
    <row r="655" spans="1:7" x14ac:dyDescent="0.25">
      <c r="A655" s="3"/>
      <c r="B655" s="3"/>
      <c r="C655" s="3"/>
      <c r="D655" s="3"/>
      <c r="E655" s="3"/>
      <c r="F655" s="3"/>
      <c r="G655" s="3"/>
    </row>
    <row r="656" spans="1:7" x14ac:dyDescent="0.25">
      <c r="A656" s="3"/>
      <c r="B656" s="3"/>
      <c r="C656" s="3"/>
      <c r="D656" s="3"/>
      <c r="E656" s="3"/>
      <c r="F656" s="3"/>
      <c r="G656" s="3"/>
    </row>
    <row r="657" spans="1:7" x14ac:dyDescent="0.25">
      <c r="A657" s="3"/>
      <c r="B657" s="3"/>
      <c r="C657" s="3"/>
      <c r="D657" s="3"/>
      <c r="E657" s="3"/>
      <c r="F657" s="3"/>
      <c r="G657" s="3"/>
    </row>
    <row r="658" spans="1:7" x14ac:dyDescent="0.25">
      <c r="A658" s="3"/>
      <c r="B658" s="3"/>
      <c r="C658" s="3"/>
      <c r="D658" s="3"/>
      <c r="E658" s="3"/>
      <c r="F658" s="3"/>
      <c r="G658" s="3"/>
    </row>
    <row r="659" spans="1:7" x14ac:dyDescent="0.25">
      <c r="A659" s="3"/>
      <c r="B659" s="3"/>
      <c r="C659" s="3"/>
      <c r="D659" s="3"/>
      <c r="E659" s="3"/>
      <c r="F659" s="3"/>
      <c r="G659" s="3"/>
    </row>
    <row r="660" spans="1:7" x14ac:dyDescent="0.25">
      <c r="A660" s="3"/>
      <c r="B660" s="3"/>
      <c r="C660" s="3"/>
      <c r="D660" s="3"/>
      <c r="E660" s="3"/>
      <c r="F660" s="3"/>
      <c r="G660" s="3"/>
    </row>
    <row r="661" spans="1:7" x14ac:dyDescent="0.25">
      <c r="A661" s="3"/>
      <c r="B661" s="3"/>
      <c r="C661" s="3"/>
      <c r="D661" s="3"/>
      <c r="E661" s="3"/>
      <c r="F661" s="3"/>
      <c r="G661" s="3"/>
    </row>
    <row r="662" spans="1:7" x14ac:dyDescent="0.25">
      <c r="A662" s="3"/>
      <c r="B662" s="3"/>
      <c r="C662" s="3"/>
      <c r="D662" s="3"/>
      <c r="E662" s="3"/>
      <c r="F662" s="3"/>
      <c r="G662" s="3"/>
    </row>
    <row r="663" spans="1:7" x14ac:dyDescent="0.25">
      <c r="A663" s="3"/>
      <c r="B663" s="3"/>
      <c r="C663" s="3"/>
      <c r="D663" s="3"/>
      <c r="E663" s="3"/>
      <c r="F663" s="3"/>
      <c r="G663" s="3"/>
    </row>
    <row r="664" spans="1:7" x14ac:dyDescent="0.25">
      <c r="A664" s="3"/>
      <c r="B664" s="3"/>
      <c r="C664" s="3"/>
      <c r="D664" s="3"/>
      <c r="E664" s="3"/>
      <c r="F664" s="3"/>
      <c r="G664" s="3"/>
    </row>
    <row r="665" spans="1:7" x14ac:dyDescent="0.25">
      <c r="A665" s="3"/>
      <c r="B665" s="3"/>
      <c r="C665" s="3"/>
      <c r="D665" s="3"/>
      <c r="E665" s="3"/>
      <c r="F665" s="3"/>
      <c r="G665" s="3"/>
    </row>
    <row r="666" spans="1:7" x14ac:dyDescent="0.25">
      <c r="A666" s="3"/>
      <c r="B666" s="3"/>
      <c r="C666" s="3"/>
      <c r="D666" s="3"/>
      <c r="E666" s="3"/>
      <c r="F666" s="3"/>
      <c r="G666" s="3"/>
    </row>
    <row r="667" spans="1:7" x14ac:dyDescent="0.25">
      <c r="A667" s="3"/>
      <c r="B667" s="3"/>
      <c r="C667" s="3"/>
      <c r="D667" s="3"/>
      <c r="E667" s="3"/>
      <c r="F667" s="3"/>
      <c r="G667" s="3"/>
    </row>
    <row r="668" spans="1:7" x14ac:dyDescent="0.25">
      <c r="A668" s="3"/>
      <c r="B668" s="3"/>
      <c r="C668" s="3"/>
      <c r="D668" s="3"/>
      <c r="E668" s="3"/>
      <c r="F668" s="3"/>
      <c r="G668" s="3"/>
    </row>
    <row r="669" spans="1:7" x14ac:dyDescent="0.25">
      <c r="A669" s="3"/>
      <c r="B669" s="3"/>
      <c r="C669" s="3"/>
      <c r="D669" s="3"/>
      <c r="E669" s="3"/>
      <c r="F669" s="3"/>
      <c r="G669" s="3"/>
    </row>
    <row r="670" spans="1:7" x14ac:dyDescent="0.25">
      <c r="A670" s="3"/>
      <c r="B670" s="3"/>
      <c r="C670" s="3"/>
      <c r="D670" s="3"/>
      <c r="E670" s="3"/>
      <c r="F670" s="3"/>
      <c r="G670" s="3"/>
    </row>
    <row r="671" spans="1:7" x14ac:dyDescent="0.25">
      <c r="A671" s="3"/>
      <c r="B671" s="3"/>
      <c r="C671" s="3"/>
      <c r="D671" s="3"/>
      <c r="E671" s="3"/>
      <c r="F671" s="3"/>
      <c r="G671" s="3"/>
    </row>
    <row r="672" spans="1:7" x14ac:dyDescent="0.25">
      <c r="A672" s="3"/>
      <c r="B672" s="3"/>
      <c r="C672" s="3"/>
      <c r="D672" s="3"/>
      <c r="E672" s="3"/>
      <c r="F672" s="3"/>
      <c r="G672" s="3"/>
    </row>
    <row r="673" spans="1:7" x14ac:dyDescent="0.25">
      <c r="A673" s="3"/>
      <c r="B673" s="3"/>
      <c r="C673" s="3"/>
      <c r="D673" s="3"/>
      <c r="E673" s="3"/>
      <c r="F673" s="3"/>
      <c r="G673" s="3"/>
    </row>
    <row r="674" spans="1:7" x14ac:dyDescent="0.25">
      <c r="A674" s="3"/>
      <c r="B674" s="3"/>
      <c r="C674" s="3"/>
      <c r="D674" s="3"/>
      <c r="E674" s="3"/>
      <c r="F674" s="3"/>
      <c r="G674" s="3"/>
    </row>
    <row r="675" spans="1:7" x14ac:dyDescent="0.25">
      <c r="A675" s="3"/>
      <c r="B675" s="3"/>
      <c r="C675" s="3"/>
      <c r="D675" s="3"/>
      <c r="E675" s="3"/>
      <c r="F675" s="3"/>
      <c r="G675" s="3"/>
    </row>
    <row r="676" spans="1:7" x14ac:dyDescent="0.25">
      <c r="A676" s="3"/>
      <c r="B676" s="3"/>
      <c r="C676" s="3"/>
      <c r="D676" s="3"/>
      <c r="E676" s="3"/>
      <c r="F676" s="3"/>
      <c r="G676" s="3"/>
    </row>
    <row r="677" spans="1:7" x14ac:dyDescent="0.25">
      <c r="A677" s="3"/>
      <c r="B677" s="3"/>
      <c r="C677" s="3"/>
      <c r="D677" s="3"/>
      <c r="E677" s="3"/>
      <c r="F677" s="3"/>
      <c r="G677" s="3"/>
    </row>
    <row r="678" spans="1:7" x14ac:dyDescent="0.25">
      <c r="A678" s="3"/>
      <c r="B678" s="3"/>
      <c r="C678" s="3"/>
      <c r="D678" s="3"/>
      <c r="E678" s="3"/>
      <c r="F678" s="3"/>
      <c r="G678" s="3"/>
    </row>
    <row r="679" spans="1:7" x14ac:dyDescent="0.25">
      <c r="A679" s="3"/>
      <c r="B679" s="3"/>
      <c r="C679" s="3"/>
      <c r="D679" s="3"/>
      <c r="E679" s="3"/>
      <c r="F679" s="3"/>
      <c r="G679" s="3"/>
    </row>
    <row r="680" spans="1:7" x14ac:dyDescent="0.25">
      <c r="A680" s="3"/>
      <c r="B680" s="3"/>
      <c r="C680" s="3"/>
      <c r="D680" s="3"/>
      <c r="E680" s="3"/>
      <c r="F680" s="3"/>
      <c r="G680" s="3"/>
    </row>
    <row r="681" spans="1:7" x14ac:dyDescent="0.25">
      <c r="A681" s="3"/>
      <c r="B681" s="3"/>
      <c r="C681" s="3"/>
      <c r="D681" s="3"/>
      <c r="E681" s="3"/>
      <c r="F681" s="3"/>
      <c r="G681" s="3"/>
    </row>
    <row r="682" spans="1:7" x14ac:dyDescent="0.25">
      <c r="A682" s="3"/>
      <c r="B682" s="3"/>
      <c r="C682" s="3"/>
      <c r="D682" s="3"/>
      <c r="E682" s="3"/>
      <c r="F682" s="3"/>
      <c r="G682" s="3"/>
    </row>
    <row r="683" spans="1:7" x14ac:dyDescent="0.25">
      <c r="A683" s="3"/>
      <c r="B683" s="3"/>
      <c r="C683" s="3"/>
      <c r="D683" s="3"/>
      <c r="E683" s="3"/>
      <c r="F683" s="3"/>
      <c r="G683" s="3"/>
    </row>
    <row r="684" spans="1:7" x14ac:dyDescent="0.25">
      <c r="A684" s="3"/>
      <c r="B684" s="3"/>
      <c r="C684" s="3"/>
      <c r="D684" s="3"/>
      <c r="E684" s="3"/>
      <c r="F684" s="3"/>
      <c r="G684" s="3"/>
    </row>
    <row r="685" spans="1:7" x14ac:dyDescent="0.25">
      <c r="A685" s="3"/>
      <c r="B685" s="3"/>
      <c r="C685" s="3"/>
      <c r="D685" s="3"/>
      <c r="E685" s="3"/>
      <c r="F685" s="3"/>
      <c r="G685" s="3"/>
    </row>
    <row r="686" spans="1:7" x14ac:dyDescent="0.25">
      <c r="A686" s="3"/>
      <c r="B686" s="3"/>
      <c r="C686" s="3"/>
      <c r="D686" s="3"/>
      <c r="E686" s="3"/>
      <c r="F686" s="3"/>
      <c r="G686" s="3"/>
    </row>
    <row r="687" spans="1:7" x14ac:dyDescent="0.25">
      <c r="A687" s="3"/>
      <c r="B687" s="3"/>
      <c r="C687" s="3"/>
      <c r="D687" s="3"/>
      <c r="E687" s="3"/>
      <c r="F687" s="3"/>
      <c r="G687" s="3"/>
    </row>
    <row r="688" spans="1:7" x14ac:dyDescent="0.25">
      <c r="A688" s="3"/>
      <c r="B688" s="3"/>
      <c r="C688" s="3"/>
      <c r="D688" s="3"/>
      <c r="E688" s="3"/>
      <c r="F688" s="3"/>
      <c r="G688" s="3"/>
    </row>
    <row r="689" spans="1:7" x14ac:dyDescent="0.25">
      <c r="A689" s="3"/>
      <c r="B689" s="3"/>
      <c r="C689" s="3"/>
      <c r="D689" s="3"/>
      <c r="E689" s="3"/>
      <c r="F689" s="3"/>
      <c r="G689" s="3"/>
    </row>
    <row r="690" spans="1:7" x14ac:dyDescent="0.25">
      <c r="A690" s="3"/>
      <c r="B690" s="3"/>
      <c r="C690" s="3"/>
      <c r="D690" s="3"/>
      <c r="E690" s="3"/>
      <c r="F690" s="3"/>
      <c r="G690" s="3"/>
    </row>
    <row r="691" spans="1:7" x14ac:dyDescent="0.25">
      <c r="A691" s="3"/>
      <c r="B691" s="3"/>
      <c r="C691" s="3"/>
      <c r="D691" s="3"/>
      <c r="E691" s="3"/>
      <c r="F691" s="3"/>
      <c r="G691" s="3"/>
    </row>
    <row r="692" spans="1:7" x14ac:dyDescent="0.25">
      <c r="A692" s="3"/>
      <c r="B692" s="3"/>
      <c r="C692" s="3"/>
      <c r="D692" s="3"/>
      <c r="E692" s="3"/>
      <c r="F692" s="3"/>
      <c r="G692" s="3"/>
    </row>
    <row r="693" spans="1:7" x14ac:dyDescent="0.25">
      <c r="A693" s="3"/>
      <c r="B693" s="3"/>
      <c r="C693" s="3"/>
      <c r="D693" s="3"/>
      <c r="E693" s="3"/>
      <c r="F693" s="3"/>
      <c r="G693" s="3"/>
    </row>
    <row r="694" spans="1:7" x14ac:dyDescent="0.25">
      <c r="A694" s="3"/>
      <c r="B694" s="3"/>
      <c r="C694" s="3"/>
      <c r="D694" s="3"/>
      <c r="E694" s="3"/>
      <c r="F694" s="3"/>
      <c r="G694" s="3"/>
    </row>
    <row r="695" spans="1:7" x14ac:dyDescent="0.25">
      <c r="A695" s="3"/>
      <c r="B695" s="3"/>
      <c r="C695" s="3"/>
      <c r="D695" s="3"/>
      <c r="E695" s="3"/>
      <c r="F695" s="3"/>
      <c r="G695" s="3"/>
    </row>
    <row r="696" spans="1:7" x14ac:dyDescent="0.25">
      <c r="A696" s="3"/>
      <c r="B696" s="3"/>
      <c r="C696" s="3"/>
      <c r="D696" s="3"/>
      <c r="E696" s="3"/>
      <c r="F696" s="3"/>
      <c r="G696" s="3"/>
    </row>
    <row r="697" spans="1:7" x14ac:dyDescent="0.25">
      <c r="A697" s="3"/>
      <c r="B697" s="3"/>
      <c r="C697" s="3"/>
      <c r="D697" s="3"/>
      <c r="E697" s="3"/>
      <c r="F697" s="3"/>
      <c r="G697" s="3"/>
    </row>
    <row r="698" spans="1:7" x14ac:dyDescent="0.25">
      <c r="A698" s="3"/>
      <c r="B698" s="3"/>
      <c r="C698" s="3"/>
      <c r="D698" s="3"/>
      <c r="E698" s="3"/>
      <c r="F698" s="3"/>
      <c r="G698" s="3"/>
    </row>
    <row r="699" spans="1:7" x14ac:dyDescent="0.25">
      <c r="A699" s="3"/>
      <c r="B699" s="3"/>
      <c r="C699" s="3"/>
      <c r="D699" s="3"/>
      <c r="E699" s="3"/>
      <c r="F699" s="3"/>
      <c r="G699" s="3"/>
    </row>
    <row r="700" spans="1:7" x14ac:dyDescent="0.25">
      <c r="A700" s="3"/>
      <c r="B700" s="3"/>
      <c r="C700" s="3"/>
      <c r="D700" s="3"/>
      <c r="E700" s="3"/>
      <c r="F700" s="3"/>
      <c r="G700" s="3"/>
    </row>
    <row r="701" spans="1:7" x14ac:dyDescent="0.25">
      <c r="A701" s="3"/>
      <c r="B701" s="3"/>
      <c r="C701" s="3"/>
      <c r="D701" s="3"/>
      <c r="E701" s="3"/>
      <c r="F701" s="3"/>
      <c r="G701" s="3"/>
    </row>
    <row r="702" spans="1:7" x14ac:dyDescent="0.25">
      <c r="A702" s="3"/>
      <c r="B702" s="3"/>
      <c r="C702" s="3"/>
      <c r="D702" s="3"/>
      <c r="E702" s="3"/>
      <c r="F702" s="3"/>
      <c r="G702" s="3"/>
    </row>
    <row r="703" spans="1:7" x14ac:dyDescent="0.25">
      <c r="A703" s="3"/>
      <c r="B703" s="3"/>
      <c r="C703" s="3"/>
      <c r="D703" s="3"/>
      <c r="E703" s="3"/>
      <c r="F703" s="3"/>
      <c r="G703" s="3"/>
    </row>
    <row r="704" spans="1:7" x14ac:dyDescent="0.25">
      <c r="A704" s="3"/>
      <c r="B704" s="3"/>
      <c r="C704" s="3"/>
      <c r="D704" s="3"/>
      <c r="E704" s="3"/>
      <c r="F704" s="3"/>
      <c r="G704" s="3"/>
    </row>
    <row r="705" spans="1:7" x14ac:dyDescent="0.25">
      <c r="A705" s="3"/>
      <c r="B705" s="3"/>
      <c r="C705" s="3"/>
      <c r="D705" s="3"/>
      <c r="E705" s="3"/>
      <c r="F705" s="3"/>
      <c r="G705" s="3"/>
    </row>
    <row r="706" spans="1:7" x14ac:dyDescent="0.25">
      <c r="A706" s="3"/>
      <c r="B706" s="3"/>
      <c r="C706" s="3"/>
      <c r="D706" s="3"/>
      <c r="E706" s="3"/>
      <c r="F706" s="3"/>
      <c r="G706" s="3"/>
    </row>
    <row r="707" spans="1:7" x14ac:dyDescent="0.25">
      <c r="A707" s="3"/>
      <c r="B707" s="3"/>
      <c r="C707" s="3"/>
      <c r="D707" s="3"/>
      <c r="E707" s="3"/>
      <c r="F707" s="3"/>
      <c r="G707" s="3"/>
    </row>
    <row r="708" spans="1:7" x14ac:dyDescent="0.25">
      <c r="A708" s="3"/>
      <c r="B708" s="3"/>
      <c r="C708" s="3"/>
      <c r="D708" s="3"/>
      <c r="E708" s="3"/>
      <c r="F708" s="3"/>
      <c r="G708" s="3"/>
    </row>
    <row r="709" spans="1:7" x14ac:dyDescent="0.25">
      <c r="A709" s="3"/>
      <c r="B709" s="3"/>
      <c r="C709" s="3"/>
      <c r="D709" s="3"/>
      <c r="E709" s="3"/>
      <c r="F709" s="3"/>
      <c r="G709" s="3"/>
    </row>
    <row r="710" spans="1:7" x14ac:dyDescent="0.25">
      <c r="A710" s="3"/>
      <c r="B710" s="3"/>
      <c r="C710" s="3"/>
      <c r="D710" s="3"/>
      <c r="E710" s="3"/>
      <c r="F710" s="3"/>
      <c r="G710" s="3"/>
    </row>
    <row r="711" spans="1:7" x14ac:dyDescent="0.25">
      <c r="A711" s="3"/>
      <c r="B711" s="3"/>
      <c r="C711" s="3"/>
      <c r="D711" s="3"/>
      <c r="E711" s="3"/>
      <c r="F711" s="3"/>
      <c r="G711" s="3"/>
    </row>
    <row r="712" spans="1:7" x14ac:dyDescent="0.25">
      <c r="A712" s="3"/>
      <c r="B712" s="3"/>
      <c r="C712" s="3"/>
      <c r="D712" s="3"/>
      <c r="E712" s="3"/>
      <c r="F712" s="3"/>
      <c r="G712" s="3"/>
    </row>
    <row r="713" spans="1:7" x14ac:dyDescent="0.25">
      <c r="A713" s="3"/>
      <c r="B713" s="3"/>
      <c r="C713" s="3"/>
      <c r="D713" s="3"/>
      <c r="E713" s="3"/>
      <c r="F713" s="3"/>
      <c r="G713" s="3"/>
    </row>
    <row r="714" spans="1:7" x14ac:dyDescent="0.25">
      <c r="A714" s="3"/>
      <c r="B714" s="3"/>
      <c r="C714" s="3"/>
      <c r="D714" s="3"/>
      <c r="E714" s="3"/>
      <c r="F714" s="3"/>
      <c r="G714" s="3"/>
    </row>
    <row r="715" spans="1:7" x14ac:dyDescent="0.25">
      <c r="A715" s="3"/>
      <c r="B715" s="3"/>
      <c r="C715" s="3"/>
      <c r="D715" s="3"/>
      <c r="E715" s="3"/>
      <c r="F715" s="3"/>
      <c r="G715" s="3"/>
    </row>
    <row r="716" spans="1:7" x14ac:dyDescent="0.25">
      <c r="A716" s="3"/>
      <c r="B716" s="3"/>
      <c r="C716" s="3"/>
      <c r="D716" s="3"/>
      <c r="E716" s="3"/>
      <c r="F716" s="3"/>
      <c r="G716" s="3"/>
    </row>
    <row r="717" spans="1:7" x14ac:dyDescent="0.25">
      <c r="A717" s="3"/>
      <c r="B717" s="3"/>
      <c r="C717" s="3"/>
      <c r="D717" s="3"/>
      <c r="E717" s="3"/>
      <c r="F717" s="3"/>
      <c r="G717" s="3"/>
    </row>
    <row r="718" spans="1:7" x14ac:dyDescent="0.25">
      <c r="A718" s="3"/>
      <c r="B718" s="3"/>
      <c r="C718" s="3"/>
      <c r="D718" s="3"/>
      <c r="E718" s="3"/>
      <c r="F718" s="3"/>
      <c r="G718" s="3"/>
    </row>
    <row r="719" spans="1:7" x14ac:dyDescent="0.25">
      <c r="A719" s="3"/>
      <c r="B719" s="3"/>
      <c r="C719" s="3"/>
      <c r="D719" s="3"/>
      <c r="E719" s="3"/>
      <c r="F719" s="3"/>
      <c r="G719" s="3"/>
    </row>
    <row r="720" spans="1:7" x14ac:dyDescent="0.25">
      <c r="A720" s="3"/>
      <c r="B720" s="3"/>
      <c r="C720" s="3"/>
      <c r="D720" s="3"/>
      <c r="E720" s="3"/>
      <c r="F720" s="3"/>
      <c r="G720" s="3"/>
    </row>
    <row r="721" spans="1:7" x14ac:dyDescent="0.25">
      <c r="A721" s="3"/>
      <c r="B721" s="3"/>
      <c r="C721" s="3"/>
      <c r="D721" s="3"/>
      <c r="E721" s="3"/>
      <c r="F721" s="3"/>
      <c r="G721" s="3"/>
    </row>
    <row r="722" spans="1:7" x14ac:dyDescent="0.25">
      <c r="A722" s="3"/>
      <c r="B722" s="3"/>
      <c r="C722" s="3"/>
      <c r="D722" s="3"/>
      <c r="E722" s="3"/>
      <c r="F722" s="3"/>
      <c r="G722" s="3"/>
    </row>
    <row r="723" spans="1:7" x14ac:dyDescent="0.25">
      <c r="A723" s="3"/>
      <c r="B723" s="3"/>
      <c r="C723" s="3"/>
      <c r="D723" s="3"/>
      <c r="E723" s="3"/>
      <c r="F723" s="3"/>
      <c r="G723" s="3"/>
    </row>
    <row r="724" spans="1:7" x14ac:dyDescent="0.25">
      <c r="A724" s="3"/>
      <c r="B724" s="3"/>
      <c r="C724" s="3"/>
      <c r="D724" s="3"/>
      <c r="E724" s="3"/>
      <c r="F724" s="3"/>
      <c r="G724" s="3"/>
    </row>
    <row r="725" spans="1:7" x14ac:dyDescent="0.25">
      <c r="A725" s="3"/>
      <c r="B725" s="3"/>
      <c r="C725" s="3"/>
      <c r="D725" s="3"/>
      <c r="E725" s="3"/>
      <c r="F725" s="3"/>
      <c r="G725" s="3"/>
    </row>
    <row r="726" spans="1:7" x14ac:dyDescent="0.25">
      <c r="A726" s="3"/>
      <c r="B726" s="3"/>
      <c r="C726" s="3"/>
      <c r="D726" s="3"/>
      <c r="E726" s="3"/>
      <c r="F726" s="3"/>
      <c r="G726" s="3"/>
    </row>
    <row r="727" spans="1:7" x14ac:dyDescent="0.25">
      <c r="A727" s="3"/>
      <c r="B727" s="3"/>
      <c r="C727" s="3"/>
      <c r="D727" s="3"/>
      <c r="E727" s="3"/>
      <c r="F727" s="3"/>
      <c r="G727" s="3"/>
    </row>
    <row r="728" spans="1:7" x14ac:dyDescent="0.25">
      <c r="A728" s="3"/>
      <c r="B728" s="3"/>
      <c r="C728" s="3"/>
      <c r="D728" s="3"/>
      <c r="E728" s="3"/>
      <c r="F728" s="3"/>
      <c r="G728" s="3"/>
    </row>
    <row r="729" spans="1:7" x14ac:dyDescent="0.25">
      <c r="A729" s="3"/>
      <c r="B729" s="3"/>
      <c r="C729" s="3"/>
      <c r="D729" s="3"/>
      <c r="E729" s="3"/>
      <c r="F729" s="3"/>
      <c r="G729" s="3"/>
    </row>
    <row r="730" spans="1:7" x14ac:dyDescent="0.25">
      <c r="A730" s="3"/>
      <c r="B730" s="3"/>
      <c r="C730" s="3"/>
      <c r="D730" s="3"/>
      <c r="E730" s="3"/>
      <c r="F730" s="3"/>
      <c r="G730" s="3"/>
    </row>
    <row r="731" spans="1:7" x14ac:dyDescent="0.25">
      <c r="A731" s="3"/>
      <c r="B731" s="3"/>
      <c r="C731" s="3"/>
      <c r="D731" s="3"/>
      <c r="E731" s="3"/>
      <c r="F731" s="3"/>
      <c r="G731" s="3"/>
    </row>
    <row r="732" spans="1:7" x14ac:dyDescent="0.25">
      <c r="A732" s="3"/>
      <c r="B732" s="3"/>
      <c r="C732" s="3"/>
      <c r="D732" s="3"/>
      <c r="E732" s="3"/>
      <c r="F732" s="3"/>
      <c r="G732" s="3"/>
    </row>
    <row r="733" spans="1:7" x14ac:dyDescent="0.25">
      <c r="A733" s="3"/>
      <c r="B733" s="3"/>
      <c r="C733" s="3"/>
      <c r="D733" s="3"/>
      <c r="E733" s="3"/>
      <c r="F733" s="3"/>
      <c r="G733" s="3"/>
    </row>
    <row r="734" spans="1:7" x14ac:dyDescent="0.25">
      <c r="A734" s="3"/>
      <c r="B734" s="3"/>
      <c r="C734" s="3"/>
      <c r="D734" s="3"/>
      <c r="E734" s="3"/>
      <c r="F734" s="3"/>
      <c r="G734" s="3"/>
    </row>
    <row r="735" spans="1:7" x14ac:dyDescent="0.25">
      <c r="A735" s="3"/>
      <c r="B735" s="3"/>
      <c r="C735" s="3"/>
      <c r="D735" s="3"/>
      <c r="E735" s="3"/>
      <c r="F735" s="3"/>
      <c r="G735" s="3"/>
    </row>
    <row r="736" spans="1:7" x14ac:dyDescent="0.25">
      <c r="A736" s="3"/>
      <c r="B736" s="3"/>
      <c r="C736" s="3"/>
      <c r="D736" s="3"/>
      <c r="E736" s="3"/>
      <c r="F736" s="3"/>
      <c r="G736" s="3"/>
    </row>
    <row r="737" spans="1:7" x14ac:dyDescent="0.25">
      <c r="A737" s="3"/>
      <c r="B737" s="3"/>
      <c r="C737" s="3"/>
      <c r="D737" s="3"/>
      <c r="E737" s="3"/>
      <c r="F737" s="3"/>
      <c r="G737" s="3"/>
    </row>
    <row r="738" spans="1:7" x14ac:dyDescent="0.25">
      <c r="A738" s="3"/>
      <c r="B738" s="3"/>
      <c r="C738" s="3"/>
      <c r="D738" s="3"/>
      <c r="E738" s="3"/>
      <c r="F738" s="3"/>
      <c r="G738" s="3"/>
    </row>
    <row r="739" spans="1:7" x14ac:dyDescent="0.25">
      <c r="A739" s="3"/>
      <c r="B739" s="3"/>
      <c r="C739" s="3"/>
      <c r="D739" s="3"/>
      <c r="E739" s="3"/>
      <c r="F739" s="3"/>
      <c r="G739" s="3"/>
    </row>
    <row r="740" spans="1:7" x14ac:dyDescent="0.25">
      <c r="A740" s="3"/>
      <c r="B740" s="3"/>
      <c r="C740" s="3"/>
      <c r="D740" s="3"/>
      <c r="E740" s="3"/>
      <c r="F740" s="3"/>
      <c r="G740" s="3"/>
    </row>
    <row r="741" spans="1:7" x14ac:dyDescent="0.25">
      <c r="A741" s="3"/>
      <c r="B741" s="3"/>
      <c r="C741" s="3"/>
      <c r="D741" s="3"/>
      <c r="E741" s="3"/>
      <c r="F741" s="3"/>
      <c r="G741" s="3"/>
    </row>
    <row r="742" spans="1:7" x14ac:dyDescent="0.25">
      <c r="A742" s="3"/>
      <c r="B742" s="3"/>
      <c r="C742" s="3"/>
      <c r="D742" s="3"/>
      <c r="E742" s="3"/>
      <c r="F742" s="3"/>
      <c r="G742" s="3"/>
    </row>
    <row r="743" spans="1:7" x14ac:dyDescent="0.25">
      <c r="A743" s="3"/>
      <c r="B743" s="3"/>
      <c r="C743" s="3"/>
      <c r="D743" s="3"/>
      <c r="E743" s="3"/>
      <c r="F743" s="3"/>
      <c r="G743" s="3"/>
    </row>
    <row r="744" spans="1:7" x14ac:dyDescent="0.25">
      <c r="A744" s="3"/>
      <c r="B744" s="3"/>
      <c r="C744" s="3"/>
      <c r="D744" s="3"/>
      <c r="E744" s="3"/>
      <c r="F744" s="3"/>
      <c r="G744" s="3"/>
    </row>
    <row r="745" spans="1:7" x14ac:dyDescent="0.25">
      <c r="A745" s="3"/>
      <c r="B745" s="3"/>
      <c r="C745" s="3"/>
      <c r="D745" s="3"/>
      <c r="E745" s="3"/>
      <c r="F745" s="3"/>
      <c r="G745" s="3"/>
    </row>
    <row r="746" spans="1:7" x14ac:dyDescent="0.25">
      <c r="A746" s="3"/>
      <c r="B746" s="3"/>
      <c r="C746" s="3"/>
      <c r="D746" s="3"/>
      <c r="E746" s="3"/>
      <c r="F746" s="3"/>
      <c r="G746" s="3"/>
    </row>
    <row r="747" spans="1:7" x14ac:dyDescent="0.25">
      <c r="A747" s="3"/>
      <c r="B747" s="3"/>
      <c r="C747" s="3"/>
      <c r="D747" s="3"/>
      <c r="E747" s="3"/>
      <c r="F747" s="3"/>
      <c r="G747" s="3"/>
    </row>
    <row r="748" spans="1:7" x14ac:dyDescent="0.25">
      <c r="A748" s="3"/>
      <c r="B748" s="3"/>
      <c r="C748" s="3"/>
      <c r="D748" s="3"/>
      <c r="E748" s="3"/>
      <c r="F748" s="3"/>
      <c r="G748" s="3"/>
    </row>
    <row r="749" spans="1:7" x14ac:dyDescent="0.25">
      <c r="A749" s="3"/>
      <c r="B749" s="3"/>
      <c r="C749" s="3"/>
      <c r="D749" s="3"/>
      <c r="E749" s="3"/>
      <c r="F749" s="3"/>
      <c r="G749" s="3"/>
    </row>
    <row r="750" spans="1:7" x14ac:dyDescent="0.25">
      <c r="A750" s="3"/>
      <c r="B750" s="3"/>
      <c r="C750" s="3"/>
      <c r="D750" s="3"/>
      <c r="E750" s="3"/>
      <c r="F750" s="3"/>
      <c r="G750" s="3"/>
    </row>
    <row r="751" spans="1:7" x14ac:dyDescent="0.25">
      <c r="A751" s="3"/>
      <c r="B751" s="3"/>
      <c r="C751" s="3"/>
      <c r="D751" s="3"/>
      <c r="E751" s="3"/>
      <c r="F751" s="3"/>
      <c r="G751" s="3"/>
    </row>
    <row r="752" spans="1:7" x14ac:dyDescent="0.25">
      <c r="A752" s="3"/>
      <c r="B752" s="3"/>
      <c r="C752" s="3"/>
      <c r="D752" s="3"/>
      <c r="E752" s="3"/>
      <c r="F752" s="3"/>
      <c r="G752" s="3"/>
    </row>
    <row r="753" spans="1:7" x14ac:dyDescent="0.25">
      <c r="A753" s="3"/>
      <c r="B753" s="3"/>
      <c r="C753" s="3"/>
      <c r="D753" s="3"/>
      <c r="E753" s="3"/>
      <c r="F753" s="3"/>
      <c r="G753" s="3"/>
    </row>
    <row r="754" spans="1:7" x14ac:dyDescent="0.25">
      <c r="A754" s="3"/>
      <c r="B754" s="3"/>
      <c r="C754" s="3"/>
      <c r="D754" s="3"/>
      <c r="E754" s="3"/>
      <c r="F754" s="3"/>
      <c r="G754" s="3"/>
    </row>
    <row r="755" spans="1:7" x14ac:dyDescent="0.25">
      <c r="A755" s="3"/>
      <c r="B755" s="3"/>
      <c r="C755" s="3"/>
      <c r="D755" s="3"/>
      <c r="E755" s="3"/>
      <c r="F755" s="3"/>
      <c r="G755" s="3"/>
    </row>
    <row r="756" spans="1:7" x14ac:dyDescent="0.25">
      <c r="A756" s="3"/>
      <c r="B756" s="3"/>
      <c r="C756" s="3"/>
      <c r="D756" s="3"/>
      <c r="E756" s="3"/>
      <c r="F756" s="3"/>
      <c r="G756" s="3"/>
    </row>
    <row r="757" spans="1:7" x14ac:dyDescent="0.25">
      <c r="A757" s="3"/>
      <c r="B757" s="3"/>
      <c r="C757" s="3"/>
      <c r="D757" s="3"/>
      <c r="E757" s="3"/>
      <c r="F757" s="3"/>
      <c r="G757" s="3"/>
    </row>
    <row r="758" spans="1:7" x14ac:dyDescent="0.25">
      <c r="A758" s="3"/>
      <c r="B758" s="3"/>
      <c r="C758" s="3"/>
      <c r="D758" s="3"/>
      <c r="E758" s="3"/>
      <c r="F758" s="3"/>
      <c r="G758" s="3"/>
    </row>
    <row r="759" spans="1:7" x14ac:dyDescent="0.25">
      <c r="A759" s="3"/>
      <c r="B759" s="3"/>
      <c r="C759" s="3"/>
      <c r="D759" s="3"/>
      <c r="E759" s="3"/>
      <c r="F759" s="3"/>
      <c r="G759" s="3"/>
    </row>
    <row r="760" spans="1:7" x14ac:dyDescent="0.25">
      <c r="A760" s="3"/>
      <c r="B760" s="3"/>
      <c r="C760" s="3"/>
      <c r="D760" s="3"/>
      <c r="E760" s="3"/>
      <c r="F760" s="3"/>
      <c r="G760" s="3"/>
    </row>
    <row r="761" spans="1:7" x14ac:dyDescent="0.25">
      <c r="A761" s="3"/>
      <c r="B761" s="3"/>
      <c r="C761" s="3"/>
      <c r="D761" s="3"/>
      <c r="E761" s="3"/>
      <c r="F761" s="3"/>
      <c r="G761" s="3"/>
    </row>
    <row r="762" spans="1:7" x14ac:dyDescent="0.25">
      <c r="A762" s="3"/>
      <c r="B762" s="3"/>
      <c r="C762" s="3"/>
      <c r="D762" s="3"/>
      <c r="E762" s="3"/>
      <c r="F762" s="3"/>
      <c r="G762" s="3"/>
    </row>
    <row r="763" spans="1:7" x14ac:dyDescent="0.25">
      <c r="A763" s="3"/>
      <c r="B763" s="3"/>
      <c r="C763" s="3"/>
      <c r="D763" s="3"/>
      <c r="E763" s="3"/>
      <c r="F763" s="3"/>
      <c r="G763" s="3"/>
    </row>
    <row r="764" spans="1:7" x14ac:dyDescent="0.25">
      <c r="A764" s="3"/>
      <c r="B764" s="3"/>
      <c r="C764" s="3"/>
      <c r="D764" s="3"/>
      <c r="E764" s="3"/>
      <c r="F764" s="3"/>
      <c r="G764" s="3"/>
    </row>
    <row r="765" spans="1:7" x14ac:dyDescent="0.25">
      <c r="A765" s="3"/>
      <c r="B765" s="3"/>
      <c r="C765" s="3"/>
      <c r="D765" s="3"/>
      <c r="E765" s="3"/>
      <c r="F765" s="3"/>
      <c r="G765" s="3"/>
    </row>
    <row r="766" spans="1:7" x14ac:dyDescent="0.25">
      <c r="A766" s="3"/>
      <c r="B766" s="3"/>
      <c r="C766" s="3"/>
      <c r="D766" s="3"/>
      <c r="E766" s="3"/>
      <c r="F766" s="3"/>
      <c r="G766" s="3"/>
    </row>
    <row r="767" spans="1:7" x14ac:dyDescent="0.25">
      <c r="A767" s="3"/>
      <c r="B767" s="3"/>
      <c r="C767" s="3"/>
      <c r="D767" s="3"/>
      <c r="E767" s="3"/>
      <c r="F767" s="3"/>
      <c r="G767" s="3"/>
    </row>
    <row r="768" spans="1:7" x14ac:dyDescent="0.25">
      <c r="A768" s="3"/>
      <c r="B768" s="3"/>
      <c r="C768" s="3"/>
      <c r="D768" s="3"/>
      <c r="E768" s="3"/>
      <c r="F768" s="3"/>
      <c r="G768" s="3"/>
    </row>
    <row r="769" spans="1:7" x14ac:dyDescent="0.25">
      <c r="A769" s="3"/>
      <c r="B769" s="3"/>
      <c r="C769" s="3"/>
      <c r="D769" s="3"/>
      <c r="E769" s="3"/>
      <c r="F769" s="3"/>
      <c r="G769" s="3"/>
    </row>
    <row r="770" spans="1:7" x14ac:dyDescent="0.25">
      <c r="A770" s="3"/>
      <c r="B770" s="3"/>
      <c r="C770" s="3"/>
      <c r="D770" s="3"/>
      <c r="E770" s="3"/>
      <c r="F770" s="3"/>
      <c r="G770" s="3"/>
    </row>
    <row r="771" spans="1:7" x14ac:dyDescent="0.25">
      <c r="A771" s="3"/>
      <c r="B771" s="3"/>
      <c r="C771" s="3"/>
      <c r="D771" s="3"/>
      <c r="E771" s="3"/>
      <c r="F771" s="3"/>
      <c r="G771" s="3"/>
    </row>
    <row r="772" spans="1:7" x14ac:dyDescent="0.25">
      <c r="A772" s="3"/>
      <c r="B772" s="3"/>
      <c r="C772" s="3"/>
      <c r="D772" s="3"/>
      <c r="E772" s="3"/>
      <c r="F772" s="3"/>
      <c r="G772" s="3"/>
    </row>
    <row r="773" spans="1:7" x14ac:dyDescent="0.25">
      <c r="A773" s="3"/>
      <c r="B773" s="3"/>
      <c r="C773" s="3"/>
      <c r="D773" s="3"/>
      <c r="E773" s="3"/>
      <c r="F773" s="3"/>
      <c r="G773" s="3"/>
    </row>
    <row r="774" spans="1:7" x14ac:dyDescent="0.25">
      <c r="A774" s="3"/>
      <c r="B774" s="3"/>
      <c r="C774" s="3"/>
      <c r="D774" s="3"/>
      <c r="E774" s="3"/>
      <c r="F774" s="3"/>
      <c r="G774" s="3"/>
    </row>
    <row r="775" spans="1:7" x14ac:dyDescent="0.25">
      <c r="A775" s="3"/>
      <c r="B775" s="3"/>
      <c r="C775" s="3"/>
      <c r="D775" s="3"/>
      <c r="E775" s="3"/>
      <c r="F775" s="3"/>
      <c r="G775" s="3"/>
    </row>
    <row r="776" spans="1:7" x14ac:dyDescent="0.25">
      <c r="A776" s="3"/>
      <c r="B776" s="3"/>
      <c r="C776" s="3"/>
      <c r="D776" s="3"/>
      <c r="E776" s="3"/>
      <c r="F776" s="3"/>
      <c r="G776" s="3"/>
    </row>
    <row r="777" spans="1:7" x14ac:dyDescent="0.25">
      <c r="A777" s="3"/>
      <c r="B777" s="3"/>
      <c r="C777" s="3"/>
      <c r="D777" s="3"/>
      <c r="E777" s="3"/>
      <c r="F777" s="3"/>
      <c r="G777" s="3"/>
    </row>
    <row r="778" spans="1:7" x14ac:dyDescent="0.25">
      <c r="A778" s="3"/>
      <c r="B778" s="3"/>
      <c r="C778" s="3"/>
      <c r="D778" s="3"/>
      <c r="E778" s="3"/>
      <c r="F778" s="3"/>
      <c r="G778" s="3"/>
    </row>
    <row r="779" spans="1:7" x14ac:dyDescent="0.25">
      <c r="A779" s="3"/>
      <c r="B779" s="3"/>
      <c r="C779" s="3"/>
      <c r="D779" s="3"/>
      <c r="E779" s="3"/>
      <c r="F779" s="3"/>
      <c r="G779" s="3"/>
    </row>
    <row r="780" spans="1:7" x14ac:dyDescent="0.25">
      <c r="A780" s="3"/>
      <c r="B780" s="3"/>
      <c r="C780" s="3"/>
      <c r="D780" s="3"/>
      <c r="E780" s="3"/>
      <c r="F780" s="3"/>
      <c r="G780" s="3"/>
    </row>
    <row r="781" spans="1:7" x14ac:dyDescent="0.25">
      <c r="A781" s="3"/>
      <c r="B781" s="3"/>
      <c r="C781" s="3"/>
      <c r="D781" s="3"/>
      <c r="E781" s="3"/>
      <c r="F781" s="3"/>
      <c r="G781" s="3"/>
    </row>
    <row r="782" spans="1:7" x14ac:dyDescent="0.25">
      <c r="A782" s="3"/>
      <c r="B782" s="3"/>
      <c r="C782" s="3"/>
      <c r="D782" s="3"/>
      <c r="E782" s="3"/>
      <c r="F782" s="3"/>
      <c r="G782" s="3"/>
    </row>
    <row r="783" spans="1:7" x14ac:dyDescent="0.25">
      <c r="A783" s="3"/>
      <c r="B783" s="3"/>
      <c r="C783" s="3"/>
      <c r="D783" s="3"/>
      <c r="E783" s="3"/>
      <c r="F783" s="3"/>
      <c r="G783" s="3"/>
    </row>
    <row r="784" spans="1:7" x14ac:dyDescent="0.25">
      <c r="A784" s="3"/>
      <c r="B784" s="3"/>
      <c r="C784" s="3"/>
      <c r="D784" s="3"/>
      <c r="E784" s="3"/>
      <c r="F784" s="3"/>
      <c r="G784" s="3"/>
    </row>
    <row r="785" spans="1:7" x14ac:dyDescent="0.25">
      <c r="A785" s="3"/>
      <c r="B785" s="3"/>
      <c r="C785" s="3"/>
      <c r="D785" s="3"/>
      <c r="E785" s="3"/>
      <c r="F785" s="3"/>
      <c r="G785" s="3"/>
    </row>
    <row r="786" spans="1:7" x14ac:dyDescent="0.25">
      <c r="A786" s="3"/>
      <c r="B786" s="3"/>
      <c r="C786" s="3"/>
      <c r="D786" s="3"/>
      <c r="E786" s="3"/>
      <c r="F786" s="3"/>
      <c r="G786" s="3"/>
    </row>
    <row r="787" spans="1:7" x14ac:dyDescent="0.25">
      <c r="A787" s="3"/>
      <c r="B787" s="3"/>
      <c r="C787" s="3"/>
      <c r="D787" s="3"/>
      <c r="E787" s="3"/>
      <c r="F787" s="3"/>
      <c r="G787" s="3"/>
    </row>
    <row r="788" spans="1:7" x14ac:dyDescent="0.25">
      <c r="A788" s="3"/>
      <c r="B788" s="3"/>
      <c r="C788" s="3"/>
      <c r="D788" s="3"/>
      <c r="E788" s="3"/>
      <c r="F788" s="3"/>
      <c r="G788" s="3"/>
    </row>
    <row r="789" spans="1:7" x14ac:dyDescent="0.25">
      <c r="A789" s="3"/>
      <c r="B789" s="3"/>
      <c r="C789" s="3"/>
      <c r="D789" s="3"/>
      <c r="E789" s="3"/>
      <c r="F789" s="3"/>
      <c r="G789" s="3"/>
    </row>
    <row r="790" spans="1:7" x14ac:dyDescent="0.25">
      <c r="A790" s="3"/>
      <c r="B790" s="3"/>
      <c r="C790" s="3"/>
      <c r="D790" s="3"/>
      <c r="E790" s="3"/>
      <c r="F790" s="3"/>
      <c r="G790" s="3"/>
    </row>
    <row r="791" spans="1:7" x14ac:dyDescent="0.25">
      <c r="A791" s="3"/>
      <c r="B791" s="3"/>
      <c r="C791" s="3"/>
      <c r="D791" s="3"/>
      <c r="E791" s="3"/>
      <c r="F791" s="3"/>
      <c r="G791" s="3"/>
    </row>
    <row r="792" spans="1:7" x14ac:dyDescent="0.25">
      <c r="A792" s="3"/>
      <c r="B792" s="3"/>
      <c r="C792" s="3"/>
      <c r="D792" s="3"/>
      <c r="E792" s="3"/>
      <c r="F792" s="3"/>
      <c r="G792" s="3"/>
    </row>
    <row r="793" spans="1:7" x14ac:dyDescent="0.25">
      <c r="A793" s="3"/>
      <c r="B793" s="3"/>
      <c r="C793" s="3"/>
      <c r="D793" s="3"/>
      <c r="E793" s="3"/>
      <c r="F793" s="3"/>
      <c r="G793" s="3"/>
    </row>
    <row r="794" spans="1:7" x14ac:dyDescent="0.25">
      <c r="A794" s="3"/>
      <c r="B794" s="3"/>
      <c r="C794" s="3"/>
      <c r="D794" s="3"/>
      <c r="E794" s="3"/>
      <c r="F794" s="3"/>
      <c r="G794" s="3"/>
    </row>
    <row r="795" spans="1:7" x14ac:dyDescent="0.25">
      <c r="A795" s="3"/>
      <c r="B795" s="3"/>
      <c r="C795" s="3"/>
      <c r="D795" s="3"/>
      <c r="E795" s="3"/>
      <c r="F795" s="3"/>
      <c r="G795" s="3"/>
    </row>
    <row r="796" spans="1:7" x14ac:dyDescent="0.25">
      <c r="A796" s="3"/>
      <c r="B796" s="3"/>
      <c r="C796" s="3"/>
      <c r="D796" s="3"/>
      <c r="E796" s="3"/>
      <c r="F796" s="3"/>
      <c r="G796" s="3"/>
    </row>
    <row r="797" spans="1:7" x14ac:dyDescent="0.25">
      <c r="A797" s="3"/>
      <c r="B797" s="3"/>
      <c r="C797" s="3"/>
      <c r="D797" s="3"/>
      <c r="E797" s="3"/>
      <c r="F797" s="3"/>
      <c r="G797" s="3"/>
    </row>
    <row r="798" spans="1:7" x14ac:dyDescent="0.25">
      <c r="A798" s="3"/>
      <c r="B798" s="3"/>
      <c r="C798" s="3"/>
      <c r="D798" s="3"/>
      <c r="E798" s="3"/>
      <c r="F798" s="3"/>
      <c r="G798" s="3"/>
    </row>
    <row r="799" spans="1:7" x14ac:dyDescent="0.25">
      <c r="A799" s="3"/>
      <c r="B799" s="3"/>
      <c r="C799" s="3"/>
      <c r="D799" s="3"/>
      <c r="E799" s="3"/>
      <c r="F799" s="3"/>
      <c r="G799" s="3"/>
    </row>
    <row r="800" spans="1:7" x14ac:dyDescent="0.25">
      <c r="A800" s="3"/>
      <c r="B800" s="3"/>
      <c r="C800" s="3"/>
      <c r="D800" s="3"/>
      <c r="E800" s="3"/>
      <c r="F800" s="3"/>
      <c r="G800" s="3"/>
    </row>
    <row r="801" spans="1:7" x14ac:dyDescent="0.25">
      <c r="A801" s="3"/>
      <c r="B801" s="3"/>
      <c r="C801" s="3"/>
      <c r="D801" s="3"/>
      <c r="E801" s="3"/>
      <c r="F801" s="3"/>
      <c r="G801" s="3"/>
    </row>
    <row r="802" spans="1:7" x14ac:dyDescent="0.25">
      <c r="A802" s="3"/>
      <c r="B802" s="3"/>
      <c r="C802" s="3"/>
      <c r="D802" s="3"/>
      <c r="E802" s="3"/>
      <c r="F802" s="3"/>
      <c r="G802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8"/>
  <sheetViews>
    <sheetView workbookViewId="0">
      <selection sqref="A1:A18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384</v>
      </c>
    </row>
    <row r="2" spans="1:1" x14ac:dyDescent="0.25">
      <c r="A2" t="s">
        <v>401</v>
      </c>
    </row>
    <row r="3" spans="1:1" x14ac:dyDescent="0.25">
      <c r="A3" t="s">
        <v>385</v>
      </c>
    </row>
    <row r="4" spans="1:1" x14ac:dyDescent="0.25">
      <c r="A4" t="s">
        <v>386</v>
      </c>
    </row>
    <row r="5" spans="1:1" x14ac:dyDescent="0.25">
      <c r="A5" t="s">
        <v>387</v>
      </c>
    </row>
    <row r="6" spans="1:1" x14ac:dyDescent="0.25">
      <c r="A6" t="s">
        <v>388</v>
      </c>
    </row>
    <row r="7" spans="1:1" x14ac:dyDescent="0.25">
      <c r="A7" t="s">
        <v>389</v>
      </c>
    </row>
    <row r="8" spans="1:1" x14ac:dyDescent="0.25">
      <c r="A8" t="s">
        <v>390</v>
      </c>
    </row>
    <row r="9" spans="1:1" x14ac:dyDescent="0.25">
      <c r="A9" t="s">
        <v>391</v>
      </c>
    </row>
    <row r="10" spans="1:1" x14ac:dyDescent="0.25">
      <c r="A10" t="s">
        <v>392</v>
      </c>
    </row>
    <row r="11" spans="1:1" x14ac:dyDescent="0.25">
      <c r="A11" t="s">
        <v>393</v>
      </c>
    </row>
    <row r="12" spans="1:1" x14ac:dyDescent="0.25">
      <c r="A12" t="s">
        <v>394</v>
      </c>
    </row>
    <row r="13" spans="1:1" x14ac:dyDescent="0.25">
      <c r="A13" t="s">
        <v>395</v>
      </c>
    </row>
    <row r="14" spans="1:1" x14ac:dyDescent="0.25">
      <c r="A14" t="s">
        <v>396</v>
      </c>
    </row>
    <row r="15" spans="1:1" x14ac:dyDescent="0.25">
      <c r="A15" t="s">
        <v>397</v>
      </c>
    </row>
    <row r="16" spans="1:1" x14ac:dyDescent="0.25">
      <c r="A16" t="s">
        <v>398</v>
      </c>
    </row>
    <row r="17" spans="1:1" x14ac:dyDescent="0.25">
      <c r="A17" t="s">
        <v>399</v>
      </c>
    </row>
    <row r="18" spans="1:1" x14ac:dyDescent="0.25">
      <c r="A18" t="s">
        <v>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"/>
  <sheetViews>
    <sheetView workbookViewId="0">
      <selection activeCell="G10" sqref="G10"/>
    </sheetView>
  </sheetViews>
  <sheetFormatPr defaultRowHeight="15" x14ac:dyDescent="0.25"/>
  <cols>
    <col min="1" max="2" width="9.140625" style="1"/>
    <col min="3" max="3" width="33.140625" bestFit="1" customWidth="1"/>
    <col min="6" max="6" width="14.5703125" bestFit="1" customWidth="1"/>
    <col min="7" max="7" width="22.85546875" bestFit="1" customWidth="1"/>
  </cols>
  <sheetData>
    <row r="1" spans="1:17" x14ac:dyDescent="0.25">
      <c r="A1" s="1" t="s">
        <v>404</v>
      </c>
      <c r="C1" s="1" t="s">
        <v>402</v>
      </c>
      <c r="E1" s="1" t="s">
        <v>402</v>
      </c>
      <c r="F1" t="s">
        <v>402</v>
      </c>
      <c r="G1" t="str">
        <f>"AlarmEnable"&amp;IF(E1&gt;=100,"0","00")&amp;E1&amp;"=1"</f>
        <v>AlarmEnable0Alarm Message=1</v>
      </c>
      <c r="Q1" t="str">
        <f>"S"&amp;CHAR(32)&amp;"e"</f>
        <v>S e</v>
      </c>
    </row>
    <row r="2" spans="1:17" x14ac:dyDescent="0.25">
      <c r="C2" t="s">
        <v>403</v>
      </c>
      <c r="E2" s="1" t="s">
        <v>403</v>
      </c>
      <c r="G2" t="str">
        <f>"wMessageLen"&amp;IF(E1&gt;=100,"0","00")&amp;E1&amp;"-000="&amp;LEN(F1)</f>
        <v>wMessageLen0Alarm Message-000=13</v>
      </c>
    </row>
    <row r="8" spans="1:17" x14ac:dyDescent="0.25">
      <c r="G8" t="s">
        <v>371</v>
      </c>
    </row>
    <row r="9" spans="1:17" x14ac:dyDescent="0.25">
      <c r="G9" t="s">
        <v>372</v>
      </c>
    </row>
    <row r="10" spans="1:17" x14ac:dyDescent="0.25">
      <c r="G10" t="s">
        <v>373</v>
      </c>
      <c r="I10">
        <f>LEN(G10)</f>
        <v>46</v>
      </c>
    </row>
    <row r="11" spans="1:17" x14ac:dyDescent="0.25">
      <c r="G11" t="s">
        <v>374</v>
      </c>
    </row>
    <row r="12" spans="1:17" x14ac:dyDescent="0.25">
      <c r="G12" t="s">
        <v>375</v>
      </c>
    </row>
    <row r="13" spans="1:17" x14ac:dyDescent="0.25">
      <c r="G13" t="s">
        <v>376</v>
      </c>
    </row>
    <row r="14" spans="1:17" x14ac:dyDescent="0.25">
      <c r="G14" t="s">
        <v>377</v>
      </c>
    </row>
    <row r="15" spans="1:17" x14ac:dyDescent="0.25">
      <c r="G15" t="s">
        <v>378</v>
      </c>
    </row>
    <row r="16" spans="1:17" x14ac:dyDescent="0.25">
      <c r="C16" t="s">
        <v>380</v>
      </c>
      <c r="G16" t="s">
        <v>379</v>
      </c>
    </row>
    <row r="17" spans="6:7" x14ac:dyDescent="0.25">
      <c r="G17" t="s">
        <v>380</v>
      </c>
    </row>
    <row r="18" spans="6:7" x14ac:dyDescent="0.25">
      <c r="G18" t="s">
        <v>381</v>
      </c>
    </row>
    <row r="19" spans="6:7" x14ac:dyDescent="0.25">
      <c r="G19" t="s">
        <v>380</v>
      </c>
    </row>
    <row r="20" spans="6:7" x14ac:dyDescent="0.25">
      <c r="G20" t="s">
        <v>382</v>
      </c>
    </row>
    <row r="21" spans="6:7" x14ac:dyDescent="0.25">
      <c r="G21" t="s">
        <v>380</v>
      </c>
    </row>
    <row r="22" spans="6:7" x14ac:dyDescent="0.25">
      <c r="G22" t="s">
        <v>383</v>
      </c>
    </row>
    <row r="25" spans="6:7" x14ac:dyDescent="0.25">
      <c r="F25" t="s">
        <v>373</v>
      </c>
    </row>
    <row r="26" spans="6:7" x14ac:dyDescent="0.25">
      <c r="F26" t="str">
        <f>CHAR(32)&amp;"T"</f>
        <v xml:space="preserve"> T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376"/>
  <sheetViews>
    <sheetView tabSelected="1" workbookViewId="0">
      <selection activeCell="G14" sqref="G14"/>
    </sheetView>
  </sheetViews>
  <sheetFormatPr defaultRowHeight="15" x14ac:dyDescent="0.25"/>
  <sheetData>
    <row r="1" spans="1:1" x14ac:dyDescent="0.25">
      <c r="A1" t="s">
        <v>1302</v>
      </c>
    </row>
    <row r="2" spans="1:1" x14ac:dyDescent="0.25">
      <c r="A2" t="s">
        <v>1303</v>
      </c>
    </row>
    <row r="3" spans="1:1" x14ac:dyDescent="0.25">
      <c r="A3" t="s">
        <v>4291</v>
      </c>
    </row>
    <row r="4" spans="1:1" x14ac:dyDescent="0.25">
      <c r="A4" t="s">
        <v>1304</v>
      </c>
    </row>
    <row r="5" spans="1:1" x14ac:dyDescent="0.25">
      <c r="A5" t="s">
        <v>1305</v>
      </c>
    </row>
    <row r="6" spans="1:1" x14ac:dyDescent="0.25">
      <c r="A6" t="s">
        <v>1306</v>
      </c>
    </row>
    <row r="7" spans="1:1" x14ac:dyDescent="0.25">
      <c r="A7" t="s">
        <v>1307</v>
      </c>
    </row>
    <row r="8" spans="1:1" x14ac:dyDescent="0.25">
      <c r="A8" t="s">
        <v>3139</v>
      </c>
    </row>
    <row r="9" spans="1:1" x14ac:dyDescent="0.25">
      <c r="A9" t="s">
        <v>3238</v>
      </c>
    </row>
    <row r="10" spans="1:1" x14ac:dyDescent="0.25">
      <c r="A10" t="s">
        <v>4291</v>
      </c>
    </row>
    <row r="11" spans="1:1" x14ac:dyDescent="0.25">
      <c r="A11" t="s">
        <v>3239</v>
      </c>
    </row>
    <row r="12" spans="1:1" x14ac:dyDescent="0.25">
      <c r="A12" t="s">
        <v>4291</v>
      </c>
    </row>
    <row r="13" spans="1:1" x14ac:dyDescent="0.25">
      <c r="A13" t="s">
        <v>3240</v>
      </c>
    </row>
    <row r="14" spans="1:1" x14ac:dyDescent="0.25">
      <c r="A14" t="s">
        <v>4291</v>
      </c>
    </row>
    <row r="15" spans="1:1" x14ac:dyDescent="0.25">
      <c r="A15" t="s">
        <v>1308</v>
      </c>
    </row>
    <row r="16" spans="1:1" x14ac:dyDescent="0.25">
      <c r="A16" t="s">
        <v>1309</v>
      </c>
    </row>
    <row r="17" spans="1:1" x14ac:dyDescent="0.25">
      <c r="A17" t="s">
        <v>4292</v>
      </c>
    </row>
    <row r="18" spans="1:1" x14ac:dyDescent="0.25">
      <c r="A18" t="s">
        <v>1310</v>
      </c>
    </row>
    <row r="19" spans="1:1" x14ac:dyDescent="0.25">
      <c r="A19" t="s">
        <v>1311</v>
      </c>
    </row>
    <row r="20" spans="1:1" x14ac:dyDescent="0.25">
      <c r="A20" t="s">
        <v>1312</v>
      </c>
    </row>
    <row r="21" spans="1:1" x14ac:dyDescent="0.25">
      <c r="A21" t="s">
        <v>1313</v>
      </c>
    </row>
    <row r="22" spans="1:1" x14ac:dyDescent="0.25">
      <c r="A22" t="s">
        <v>3140</v>
      </c>
    </row>
    <row r="23" spans="1:1" x14ac:dyDescent="0.25">
      <c r="A23" t="s">
        <v>3241</v>
      </c>
    </row>
    <row r="24" spans="1:1" x14ac:dyDescent="0.25">
      <c r="A24" t="s">
        <v>4291</v>
      </c>
    </row>
    <row r="25" spans="1:1" x14ac:dyDescent="0.25">
      <c r="A25" t="s">
        <v>3242</v>
      </c>
    </row>
    <row r="26" spans="1:1" x14ac:dyDescent="0.25">
      <c r="A26" t="s">
        <v>4291</v>
      </c>
    </row>
    <row r="27" spans="1:1" x14ac:dyDescent="0.25">
      <c r="A27" t="s">
        <v>3243</v>
      </c>
    </row>
    <row r="28" spans="1:1" x14ac:dyDescent="0.25">
      <c r="A28" t="s">
        <v>4291</v>
      </c>
    </row>
    <row r="29" spans="1:1" x14ac:dyDescent="0.25">
      <c r="A29" t="s">
        <v>1314</v>
      </c>
    </row>
    <row r="30" spans="1:1" x14ac:dyDescent="0.25">
      <c r="A30" t="s">
        <v>1315</v>
      </c>
    </row>
    <row r="31" spans="1:1" x14ac:dyDescent="0.25">
      <c r="A31" t="s">
        <v>4293</v>
      </c>
    </row>
    <row r="32" spans="1:1" x14ac:dyDescent="0.25">
      <c r="A32" t="s">
        <v>1316</v>
      </c>
    </row>
    <row r="33" spans="1:1" x14ac:dyDescent="0.25">
      <c r="A33" t="s">
        <v>1317</v>
      </c>
    </row>
    <row r="34" spans="1:1" x14ac:dyDescent="0.25">
      <c r="A34" t="s">
        <v>1318</v>
      </c>
    </row>
    <row r="35" spans="1:1" x14ac:dyDescent="0.25">
      <c r="A35" t="s">
        <v>1319</v>
      </c>
    </row>
    <row r="36" spans="1:1" x14ac:dyDescent="0.25">
      <c r="A36" t="s">
        <v>3141</v>
      </c>
    </row>
    <row r="37" spans="1:1" x14ac:dyDescent="0.25">
      <c r="A37" t="s">
        <v>3244</v>
      </c>
    </row>
    <row r="38" spans="1:1" x14ac:dyDescent="0.25">
      <c r="A38" t="s">
        <v>4291</v>
      </c>
    </row>
    <row r="39" spans="1:1" x14ac:dyDescent="0.25">
      <c r="A39" t="s">
        <v>3245</v>
      </c>
    </row>
    <row r="40" spans="1:1" x14ac:dyDescent="0.25">
      <c r="A40" t="s">
        <v>4291</v>
      </c>
    </row>
    <row r="41" spans="1:1" x14ac:dyDescent="0.25">
      <c r="A41" t="s">
        <v>3246</v>
      </c>
    </row>
    <row r="42" spans="1:1" x14ac:dyDescent="0.25">
      <c r="A42" t="s">
        <v>4291</v>
      </c>
    </row>
    <row r="43" spans="1:1" x14ac:dyDescent="0.25">
      <c r="A43" t="s">
        <v>1320</v>
      </c>
    </row>
    <row r="44" spans="1:1" x14ac:dyDescent="0.25">
      <c r="A44" t="s">
        <v>1321</v>
      </c>
    </row>
    <row r="45" spans="1:1" x14ac:dyDescent="0.25">
      <c r="A45" t="s">
        <v>4294</v>
      </c>
    </row>
    <row r="46" spans="1:1" x14ac:dyDescent="0.25">
      <c r="A46" t="s">
        <v>1322</v>
      </c>
    </row>
    <row r="47" spans="1:1" x14ac:dyDescent="0.25">
      <c r="A47" t="s">
        <v>1323</v>
      </c>
    </row>
    <row r="48" spans="1:1" x14ac:dyDescent="0.25">
      <c r="A48" t="s">
        <v>1324</v>
      </c>
    </row>
    <row r="49" spans="1:1" x14ac:dyDescent="0.25">
      <c r="A49" t="s">
        <v>1325</v>
      </c>
    </row>
    <row r="50" spans="1:1" x14ac:dyDescent="0.25">
      <c r="A50" t="s">
        <v>3142</v>
      </c>
    </row>
    <row r="51" spans="1:1" x14ac:dyDescent="0.25">
      <c r="A51" t="s">
        <v>3247</v>
      </c>
    </row>
    <row r="52" spans="1:1" x14ac:dyDescent="0.25">
      <c r="A52" t="s">
        <v>4291</v>
      </c>
    </row>
    <row r="53" spans="1:1" x14ac:dyDescent="0.25">
      <c r="A53" t="s">
        <v>3248</v>
      </c>
    </row>
    <row r="54" spans="1:1" x14ac:dyDescent="0.25">
      <c r="A54" t="s">
        <v>4291</v>
      </c>
    </row>
    <row r="55" spans="1:1" x14ac:dyDescent="0.25">
      <c r="A55" t="s">
        <v>3249</v>
      </c>
    </row>
    <row r="56" spans="1:1" x14ac:dyDescent="0.25">
      <c r="A56" t="s">
        <v>4291</v>
      </c>
    </row>
    <row r="57" spans="1:1" x14ac:dyDescent="0.25">
      <c r="A57" t="s">
        <v>1326</v>
      </c>
    </row>
    <row r="58" spans="1:1" x14ac:dyDescent="0.25">
      <c r="A58" t="s">
        <v>1327</v>
      </c>
    </row>
    <row r="59" spans="1:1" x14ac:dyDescent="0.25">
      <c r="A59" t="s">
        <v>4295</v>
      </c>
    </row>
    <row r="60" spans="1:1" x14ac:dyDescent="0.25">
      <c r="A60" t="s">
        <v>1328</v>
      </c>
    </row>
    <row r="61" spans="1:1" x14ac:dyDescent="0.25">
      <c r="A61" t="s">
        <v>1329</v>
      </c>
    </row>
    <row r="62" spans="1:1" x14ac:dyDescent="0.25">
      <c r="A62" t="s">
        <v>1330</v>
      </c>
    </row>
    <row r="63" spans="1:1" x14ac:dyDescent="0.25">
      <c r="A63" t="s">
        <v>1331</v>
      </c>
    </row>
    <row r="64" spans="1:1" x14ac:dyDescent="0.25">
      <c r="A64" t="s">
        <v>3143</v>
      </c>
    </row>
    <row r="65" spans="1:1" x14ac:dyDescent="0.25">
      <c r="A65" t="s">
        <v>3250</v>
      </c>
    </row>
    <row r="66" spans="1:1" x14ac:dyDescent="0.25">
      <c r="A66" t="s">
        <v>4291</v>
      </c>
    </row>
    <row r="67" spans="1:1" x14ac:dyDescent="0.25">
      <c r="A67" t="s">
        <v>3251</v>
      </c>
    </row>
    <row r="68" spans="1:1" x14ac:dyDescent="0.25">
      <c r="A68" t="s">
        <v>4291</v>
      </c>
    </row>
    <row r="69" spans="1:1" x14ac:dyDescent="0.25">
      <c r="A69" t="s">
        <v>3252</v>
      </c>
    </row>
    <row r="70" spans="1:1" x14ac:dyDescent="0.25">
      <c r="A70" t="s">
        <v>4291</v>
      </c>
    </row>
    <row r="71" spans="1:1" x14ac:dyDescent="0.25">
      <c r="A71" t="s">
        <v>1332</v>
      </c>
    </row>
    <row r="72" spans="1:1" x14ac:dyDescent="0.25">
      <c r="A72" t="s">
        <v>1333</v>
      </c>
    </row>
    <row r="73" spans="1:1" x14ac:dyDescent="0.25">
      <c r="A73" t="s">
        <v>4296</v>
      </c>
    </row>
    <row r="74" spans="1:1" x14ac:dyDescent="0.25">
      <c r="A74" t="s">
        <v>1334</v>
      </c>
    </row>
    <row r="75" spans="1:1" x14ac:dyDescent="0.25">
      <c r="A75" t="s">
        <v>1335</v>
      </c>
    </row>
    <row r="76" spans="1:1" x14ac:dyDescent="0.25">
      <c r="A76" t="s">
        <v>1336</v>
      </c>
    </row>
    <row r="77" spans="1:1" x14ac:dyDescent="0.25">
      <c r="A77" t="s">
        <v>1337</v>
      </c>
    </row>
    <row r="78" spans="1:1" x14ac:dyDescent="0.25">
      <c r="A78" t="s">
        <v>3144</v>
      </c>
    </row>
    <row r="79" spans="1:1" x14ac:dyDescent="0.25">
      <c r="A79" t="s">
        <v>3253</v>
      </c>
    </row>
    <row r="80" spans="1:1" x14ac:dyDescent="0.25">
      <c r="A80" t="s">
        <v>4291</v>
      </c>
    </row>
    <row r="81" spans="1:1" x14ac:dyDescent="0.25">
      <c r="A81" t="s">
        <v>3254</v>
      </c>
    </row>
    <row r="82" spans="1:1" x14ac:dyDescent="0.25">
      <c r="A82" t="s">
        <v>4291</v>
      </c>
    </row>
    <row r="83" spans="1:1" x14ac:dyDescent="0.25">
      <c r="A83" t="s">
        <v>3255</v>
      </c>
    </row>
    <row r="84" spans="1:1" x14ac:dyDescent="0.25">
      <c r="A84" t="s">
        <v>4291</v>
      </c>
    </row>
    <row r="85" spans="1:1" x14ac:dyDescent="0.25">
      <c r="A85" t="s">
        <v>1338</v>
      </c>
    </row>
    <row r="86" spans="1:1" x14ac:dyDescent="0.25">
      <c r="A86" t="s">
        <v>1339</v>
      </c>
    </row>
    <row r="87" spans="1:1" x14ac:dyDescent="0.25">
      <c r="A87" t="s">
        <v>4297</v>
      </c>
    </row>
    <row r="88" spans="1:1" x14ac:dyDescent="0.25">
      <c r="A88" t="s">
        <v>1340</v>
      </c>
    </row>
    <row r="89" spans="1:1" x14ac:dyDescent="0.25">
      <c r="A89" t="s">
        <v>1341</v>
      </c>
    </row>
    <row r="90" spans="1:1" x14ac:dyDescent="0.25">
      <c r="A90" t="s">
        <v>1342</v>
      </c>
    </row>
    <row r="91" spans="1:1" x14ac:dyDescent="0.25">
      <c r="A91" t="s">
        <v>1343</v>
      </c>
    </row>
    <row r="92" spans="1:1" x14ac:dyDescent="0.25">
      <c r="A92" t="s">
        <v>3145</v>
      </c>
    </row>
    <row r="93" spans="1:1" x14ac:dyDescent="0.25">
      <c r="A93" t="s">
        <v>3256</v>
      </c>
    </row>
    <row r="94" spans="1:1" x14ac:dyDescent="0.25">
      <c r="A94" t="s">
        <v>4291</v>
      </c>
    </row>
    <row r="95" spans="1:1" x14ac:dyDescent="0.25">
      <c r="A95" t="s">
        <v>3257</v>
      </c>
    </row>
    <row r="96" spans="1:1" x14ac:dyDescent="0.25">
      <c r="A96" t="s">
        <v>4291</v>
      </c>
    </row>
    <row r="97" spans="1:1" x14ac:dyDescent="0.25">
      <c r="A97" t="s">
        <v>3258</v>
      </c>
    </row>
    <row r="98" spans="1:1" x14ac:dyDescent="0.25">
      <c r="A98" t="s">
        <v>4291</v>
      </c>
    </row>
    <row r="99" spans="1:1" x14ac:dyDescent="0.25">
      <c r="A99" t="s">
        <v>1344</v>
      </c>
    </row>
    <row r="100" spans="1:1" x14ac:dyDescent="0.25">
      <c r="A100" t="s">
        <v>1345</v>
      </c>
    </row>
    <row r="101" spans="1:1" x14ac:dyDescent="0.25">
      <c r="A101" t="s">
        <v>4298</v>
      </c>
    </row>
    <row r="102" spans="1:1" x14ac:dyDescent="0.25">
      <c r="A102" t="s">
        <v>1346</v>
      </c>
    </row>
    <row r="103" spans="1:1" x14ac:dyDescent="0.25">
      <c r="A103" t="s">
        <v>1347</v>
      </c>
    </row>
    <row r="104" spans="1:1" x14ac:dyDescent="0.25">
      <c r="A104" t="s">
        <v>1348</v>
      </c>
    </row>
    <row r="105" spans="1:1" x14ac:dyDescent="0.25">
      <c r="A105" t="s">
        <v>1349</v>
      </c>
    </row>
    <row r="106" spans="1:1" x14ac:dyDescent="0.25">
      <c r="A106" t="s">
        <v>3146</v>
      </c>
    </row>
    <row r="107" spans="1:1" x14ac:dyDescent="0.25">
      <c r="A107" t="s">
        <v>3259</v>
      </c>
    </row>
    <row r="108" spans="1:1" x14ac:dyDescent="0.25">
      <c r="A108" t="s">
        <v>4291</v>
      </c>
    </row>
    <row r="109" spans="1:1" x14ac:dyDescent="0.25">
      <c r="A109" t="s">
        <v>3260</v>
      </c>
    </row>
    <row r="110" spans="1:1" x14ac:dyDescent="0.25">
      <c r="A110" t="s">
        <v>4291</v>
      </c>
    </row>
    <row r="111" spans="1:1" x14ac:dyDescent="0.25">
      <c r="A111" t="s">
        <v>3261</v>
      </c>
    </row>
    <row r="112" spans="1:1" x14ac:dyDescent="0.25">
      <c r="A112" t="s">
        <v>4291</v>
      </c>
    </row>
    <row r="113" spans="1:1" x14ac:dyDescent="0.25">
      <c r="A113" t="s">
        <v>1350</v>
      </c>
    </row>
    <row r="114" spans="1:1" x14ac:dyDescent="0.25">
      <c r="A114" t="s">
        <v>1351</v>
      </c>
    </row>
    <row r="115" spans="1:1" x14ac:dyDescent="0.25">
      <c r="A115" t="s">
        <v>4299</v>
      </c>
    </row>
    <row r="116" spans="1:1" x14ac:dyDescent="0.25">
      <c r="A116" t="s">
        <v>1352</v>
      </c>
    </row>
    <row r="117" spans="1:1" x14ac:dyDescent="0.25">
      <c r="A117" t="s">
        <v>1353</v>
      </c>
    </row>
    <row r="118" spans="1:1" x14ac:dyDescent="0.25">
      <c r="A118" t="s">
        <v>1354</v>
      </c>
    </row>
    <row r="119" spans="1:1" x14ac:dyDescent="0.25">
      <c r="A119" t="s">
        <v>1355</v>
      </c>
    </row>
    <row r="120" spans="1:1" x14ac:dyDescent="0.25">
      <c r="A120" t="s">
        <v>3147</v>
      </c>
    </row>
    <row r="121" spans="1:1" x14ac:dyDescent="0.25">
      <c r="A121" t="s">
        <v>3262</v>
      </c>
    </row>
    <row r="122" spans="1:1" x14ac:dyDescent="0.25">
      <c r="A122" t="s">
        <v>4291</v>
      </c>
    </row>
    <row r="123" spans="1:1" x14ac:dyDescent="0.25">
      <c r="A123" t="s">
        <v>3263</v>
      </c>
    </row>
    <row r="124" spans="1:1" x14ac:dyDescent="0.25">
      <c r="A124" t="s">
        <v>4291</v>
      </c>
    </row>
    <row r="125" spans="1:1" x14ac:dyDescent="0.25">
      <c r="A125" t="s">
        <v>3264</v>
      </c>
    </row>
    <row r="126" spans="1:1" x14ac:dyDescent="0.25">
      <c r="A126" t="s">
        <v>4291</v>
      </c>
    </row>
    <row r="127" spans="1:1" x14ac:dyDescent="0.25">
      <c r="A127" t="s">
        <v>1356</v>
      </c>
    </row>
    <row r="128" spans="1:1" x14ac:dyDescent="0.25">
      <c r="A128" t="s">
        <v>1357</v>
      </c>
    </row>
    <row r="129" spans="1:1" x14ac:dyDescent="0.25">
      <c r="A129" t="s">
        <v>4300</v>
      </c>
    </row>
    <row r="130" spans="1:1" x14ac:dyDescent="0.25">
      <c r="A130" t="s">
        <v>1358</v>
      </c>
    </row>
    <row r="131" spans="1:1" x14ac:dyDescent="0.25">
      <c r="A131" t="s">
        <v>1359</v>
      </c>
    </row>
    <row r="132" spans="1:1" x14ac:dyDescent="0.25">
      <c r="A132" t="s">
        <v>1360</v>
      </c>
    </row>
    <row r="133" spans="1:1" x14ac:dyDescent="0.25">
      <c r="A133" t="s">
        <v>1361</v>
      </c>
    </row>
    <row r="134" spans="1:1" x14ac:dyDescent="0.25">
      <c r="A134" t="s">
        <v>3148</v>
      </c>
    </row>
    <row r="135" spans="1:1" x14ac:dyDescent="0.25">
      <c r="A135" t="s">
        <v>3265</v>
      </c>
    </row>
    <row r="136" spans="1:1" x14ac:dyDescent="0.25">
      <c r="A136" t="s">
        <v>4291</v>
      </c>
    </row>
    <row r="137" spans="1:1" x14ac:dyDescent="0.25">
      <c r="A137" t="s">
        <v>3266</v>
      </c>
    </row>
    <row r="138" spans="1:1" x14ac:dyDescent="0.25">
      <c r="A138" t="s">
        <v>4291</v>
      </c>
    </row>
    <row r="139" spans="1:1" x14ac:dyDescent="0.25">
      <c r="A139" t="s">
        <v>3267</v>
      </c>
    </row>
    <row r="140" spans="1:1" x14ac:dyDescent="0.25">
      <c r="A140" t="s">
        <v>4291</v>
      </c>
    </row>
    <row r="141" spans="1:1" x14ac:dyDescent="0.25">
      <c r="A141" t="s">
        <v>1362</v>
      </c>
    </row>
    <row r="142" spans="1:1" x14ac:dyDescent="0.25">
      <c r="A142" t="s">
        <v>1363</v>
      </c>
    </row>
    <row r="143" spans="1:1" x14ac:dyDescent="0.25">
      <c r="A143" t="s">
        <v>4301</v>
      </c>
    </row>
    <row r="144" spans="1:1" x14ac:dyDescent="0.25">
      <c r="A144" t="s">
        <v>1364</v>
      </c>
    </row>
    <row r="145" spans="1:1" x14ac:dyDescent="0.25">
      <c r="A145" t="s">
        <v>1365</v>
      </c>
    </row>
    <row r="146" spans="1:1" x14ac:dyDescent="0.25">
      <c r="A146" t="s">
        <v>1366</v>
      </c>
    </row>
    <row r="147" spans="1:1" x14ac:dyDescent="0.25">
      <c r="A147" t="s">
        <v>1367</v>
      </c>
    </row>
    <row r="148" spans="1:1" x14ac:dyDescent="0.25">
      <c r="A148" t="s">
        <v>3149</v>
      </c>
    </row>
    <row r="149" spans="1:1" x14ac:dyDescent="0.25">
      <c r="A149" t="s">
        <v>3268</v>
      </c>
    </row>
    <row r="150" spans="1:1" x14ac:dyDescent="0.25">
      <c r="A150" t="s">
        <v>4291</v>
      </c>
    </row>
    <row r="151" spans="1:1" x14ac:dyDescent="0.25">
      <c r="A151" t="s">
        <v>3269</v>
      </c>
    </row>
    <row r="152" spans="1:1" x14ac:dyDescent="0.25">
      <c r="A152" t="s">
        <v>4291</v>
      </c>
    </row>
    <row r="153" spans="1:1" x14ac:dyDescent="0.25">
      <c r="A153" t="s">
        <v>3270</v>
      </c>
    </row>
    <row r="154" spans="1:1" x14ac:dyDescent="0.25">
      <c r="A154" t="s">
        <v>4291</v>
      </c>
    </row>
    <row r="155" spans="1:1" x14ac:dyDescent="0.25">
      <c r="A155" t="s">
        <v>1368</v>
      </c>
    </row>
    <row r="156" spans="1:1" x14ac:dyDescent="0.25">
      <c r="A156" t="s">
        <v>1369</v>
      </c>
    </row>
    <row r="157" spans="1:1" x14ac:dyDescent="0.25">
      <c r="A157" t="s">
        <v>4302</v>
      </c>
    </row>
    <row r="158" spans="1:1" x14ac:dyDescent="0.25">
      <c r="A158" t="s">
        <v>1370</v>
      </c>
    </row>
    <row r="159" spans="1:1" x14ac:dyDescent="0.25">
      <c r="A159" t="s">
        <v>1371</v>
      </c>
    </row>
    <row r="160" spans="1:1" x14ac:dyDescent="0.25">
      <c r="A160" t="s">
        <v>1372</v>
      </c>
    </row>
    <row r="161" spans="1:1" x14ac:dyDescent="0.25">
      <c r="A161" t="s">
        <v>1373</v>
      </c>
    </row>
    <row r="162" spans="1:1" x14ac:dyDescent="0.25">
      <c r="A162" t="s">
        <v>3150</v>
      </c>
    </row>
    <row r="163" spans="1:1" x14ac:dyDescent="0.25">
      <c r="A163" t="s">
        <v>3271</v>
      </c>
    </row>
    <row r="164" spans="1:1" x14ac:dyDescent="0.25">
      <c r="A164" t="s">
        <v>4291</v>
      </c>
    </row>
    <row r="165" spans="1:1" x14ac:dyDescent="0.25">
      <c r="A165" t="s">
        <v>3272</v>
      </c>
    </row>
    <row r="166" spans="1:1" x14ac:dyDescent="0.25">
      <c r="A166" t="s">
        <v>4291</v>
      </c>
    </row>
    <row r="167" spans="1:1" x14ac:dyDescent="0.25">
      <c r="A167" t="s">
        <v>3273</v>
      </c>
    </row>
    <row r="168" spans="1:1" x14ac:dyDescent="0.25">
      <c r="A168" t="s">
        <v>4291</v>
      </c>
    </row>
    <row r="169" spans="1:1" x14ac:dyDescent="0.25">
      <c r="A169" t="s">
        <v>1374</v>
      </c>
    </row>
    <row r="170" spans="1:1" x14ac:dyDescent="0.25">
      <c r="A170" t="s">
        <v>1375</v>
      </c>
    </row>
    <row r="171" spans="1:1" x14ac:dyDescent="0.25">
      <c r="A171" t="s">
        <v>4303</v>
      </c>
    </row>
    <row r="172" spans="1:1" x14ac:dyDescent="0.25">
      <c r="A172" t="s">
        <v>1376</v>
      </c>
    </row>
    <row r="173" spans="1:1" x14ac:dyDescent="0.25">
      <c r="A173" t="s">
        <v>1377</v>
      </c>
    </row>
    <row r="174" spans="1:1" x14ac:dyDescent="0.25">
      <c r="A174" t="s">
        <v>1378</v>
      </c>
    </row>
    <row r="175" spans="1:1" x14ac:dyDescent="0.25">
      <c r="A175" t="s">
        <v>1379</v>
      </c>
    </row>
    <row r="176" spans="1:1" x14ac:dyDescent="0.25">
      <c r="A176" t="s">
        <v>3151</v>
      </c>
    </row>
    <row r="177" spans="1:1" x14ac:dyDescent="0.25">
      <c r="A177" t="s">
        <v>3274</v>
      </c>
    </row>
    <row r="178" spans="1:1" x14ac:dyDescent="0.25">
      <c r="A178" t="s">
        <v>4291</v>
      </c>
    </row>
    <row r="179" spans="1:1" x14ac:dyDescent="0.25">
      <c r="A179" t="s">
        <v>3275</v>
      </c>
    </row>
    <row r="180" spans="1:1" x14ac:dyDescent="0.25">
      <c r="A180" t="s">
        <v>4291</v>
      </c>
    </row>
    <row r="181" spans="1:1" x14ac:dyDescent="0.25">
      <c r="A181" t="s">
        <v>3276</v>
      </c>
    </row>
    <row r="182" spans="1:1" x14ac:dyDescent="0.25">
      <c r="A182" t="s">
        <v>4291</v>
      </c>
    </row>
    <row r="183" spans="1:1" x14ac:dyDescent="0.25">
      <c r="A183" t="s">
        <v>1380</v>
      </c>
    </row>
    <row r="184" spans="1:1" x14ac:dyDescent="0.25">
      <c r="A184" t="s">
        <v>1381</v>
      </c>
    </row>
    <row r="185" spans="1:1" x14ac:dyDescent="0.25">
      <c r="A185" t="s">
        <v>4304</v>
      </c>
    </row>
    <row r="186" spans="1:1" x14ac:dyDescent="0.25">
      <c r="A186" t="s">
        <v>1382</v>
      </c>
    </row>
    <row r="187" spans="1:1" x14ac:dyDescent="0.25">
      <c r="A187" t="s">
        <v>1383</v>
      </c>
    </row>
    <row r="188" spans="1:1" x14ac:dyDescent="0.25">
      <c r="A188" t="s">
        <v>1384</v>
      </c>
    </row>
    <row r="189" spans="1:1" x14ac:dyDescent="0.25">
      <c r="A189" t="s">
        <v>1385</v>
      </c>
    </row>
    <row r="190" spans="1:1" x14ac:dyDescent="0.25">
      <c r="A190" t="s">
        <v>3152</v>
      </c>
    </row>
    <row r="191" spans="1:1" x14ac:dyDescent="0.25">
      <c r="A191" t="s">
        <v>3277</v>
      </c>
    </row>
    <row r="192" spans="1:1" x14ac:dyDescent="0.25">
      <c r="A192" t="s">
        <v>4291</v>
      </c>
    </row>
    <row r="193" spans="1:1" x14ac:dyDescent="0.25">
      <c r="A193" t="s">
        <v>3278</v>
      </c>
    </row>
    <row r="194" spans="1:1" x14ac:dyDescent="0.25">
      <c r="A194" t="s">
        <v>4291</v>
      </c>
    </row>
    <row r="195" spans="1:1" x14ac:dyDescent="0.25">
      <c r="A195" t="s">
        <v>3279</v>
      </c>
    </row>
    <row r="196" spans="1:1" x14ac:dyDescent="0.25">
      <c r="A196" t="s">
        <v>4291</v>
      </c>
    </row>
    <row r="197" spans="1:1" x14ac:dyDescent="0.25">
      <c r="A197" t="s">
        <v>1386</v>
      </c>
    </row>
    <row r="198" spans="1:1" x14ac:dyDescent="0.25">
      <c r="A198" t="s">
        <v>1387</v>
      </c>
    </row>
    <row r="199" spans="1:1" x14ac:dyDescent="0.25">
      <c r="A199" t="s">
        <v>4305</v>
      </c>
    </row>
    <row r="200" spans="1:1" x14ac:dyDescent="0.25">
      <c r="A200" t="s">
        <v>1388</v>
      </c>
    </row>
    <row r="201" spans="1:1" x14ac:dyDescent="0.25">
      <c r="A201" t="s">
        <v>1389</v>
      </c>
    </row>
    <row r="202" spans="1:1" x14ac:dyDescent="0.25">
      <c r="A202" t="s">
        <v>1390</v>
      </c>
    </row>
    <row r="203" spans="1:1" x14ac:dyDescent="0.25">
      <c r="A203" t="s">
        <v>1391</v>
      </c>
    </row>
    <row r="204" spans="1:1" x14ac:dyDescent="0.25">
      <c r="A204" t="s">
        <v>3153</v>
      </c>
    </row>
    <row r="205" spans="1:1" x14ac:dyDescent="0.25">
      <c r="A205" t="s">
        <v>3280</v>
      </c>
    </row>
    <row r="206" spans="1:1" x14ac:dyDescent="0.25">
      <c r="A206" t="s">
        <v>4291</v>
      </c>
    </row>
    <row r="207" spans="1:1" x14ac:dyDescent="0.25">
      <c r="A207" t="s">
        <v>3281</v>
      </c>
    </row>
    <row r="208" spans="1:1" x14ac:dyDescent="0.25">
      <c r="A208" t="s">
        <v>4291</v>
      </c>
    </row>
    <row r="209" spans="1:1" x14ac:dyDescent="0.25">
      <c r="A209" t="s">
        <v>3282</v>
      </c>
    </row>
    <row r="210" spans="1:1" x14ac:dyDescent="0.25">
      <c r="A210" t="s">
        <v>4291</v>
      </c>
    </row>
    <row r="211" spans="1:1" x14ac:dyDescent="0.25">
      <c r="A211" t="s">
        <v>1392</v>
      </c>
    </row>
    <row r="212" spans="1:1" x14ac:dyDescent="0.25">
      <c r="A212" t="s">
        <v>1393</v>
      </c>
    </row>
    <row r="213" spans="1:1" x14ac:dyDescent="0.25">
      <c r="A213" t="s">
        <v>4306</v>
      </c>
    </row>
    <row r="214" spans="1:1" x14ac:dyDescent="0.25">
      <c r="A214" t="s">
        <v>1394</v>
      </c>
    </row>
    <row r="215" spans="1:1" x14ac:dyDescent="0.25">
      <c r="A215" t="s">
        <v>1395</v>
      </c>
    </row>
    <row r="216" spans="1:1" x14ac:dyDescent="0.25">
      <c r="A216" t="s">
        <v>1396</v>
      </c>
    </row>
    <row r="217" spans="1:1" x14ac:dyDescent="0.25">
      <c r="A217" t="s">
        <v>1397</v>
      </c>
    </row>
    <row r="218" spans="1:1" x14ac:dyDescent="0.25">
      <c r="A218" t="s">
        <v>3154</v>
      </c>
    </row>
    <row r="219" spans="1:1" x14ac:dyDescent="0.25">
      <c r="A219" t="s">
        <v>3283</v>
      </c>
    </row>
    <row r="220" spans="1:1" x14ac:dyDescent="0.25">
      <c r="A220" t="s">
        <v>4291</v>
      </c>
    </row>
    <row r="221" spans="1:1" x14ac:dyDescent="0.25">
      <c r="A221" t="s">
        <v>3284</v>
      </c>
    </row>
    <row r="222" spans="1:1" x14ac:dyDescent="0.25">
      <c r="A222" t="s">
        <v>4291</v>
      </c>
    </row>
    <row r="223" spans="1:1" x14ac:dyDescent="0.25">
      <c r="A223" t="s">
        <v>3285</v>
      </c>
    </row>
    <row r="224" spans="1:1" x14ac:dyDescent="0.25">
      <c r="A224" t="s">
        <v>4291</v>
      </c>
    </row>
    <row r="225" spans="1:1" x14ac:dyDescent="0.25">
      <c r="A225" t="s">
        <v>1398</v>
      </c>
    </row>
    <row r="226" spans="1:1" x14ac:dyDescent="0.25">
      <c r="A226" t="s">
        <v>1399</v>
      </c>
    </row>
    <row r="227" spans="1:1" x14ac:dyDescent="0.25">
      <c r="A227" t="s">
        <v>4307</v>
      </c>
    </row>
    <row r="228" spans="1:1" x14ac:dyDescent="0.25">
      <c r="A228" t="s">
        <v>1400</v>
      </c>
    </row>
    <row r="229" spans="1:1" x14ac:dyDescent="0.25">
      <c r="A229" t="s">
        <v>1401</v>
      </c>
    </row>
    <row r="230" spans="1:1" x14ac:dyDescent="0.25">
      <c r="A230" t="s">
        <v>1402</v>
      </c>
    </row>
    <row r="231" spans="1:1" x14ac:dyDescent="0.25">
      <c r="A231" t="s">
        <v>1403</v>
      </c>
    </row>
    <row r="232" spans="1:1" x14ac:dyDescent="0.25">
      <c r="A232" t="s">
        <v>3155</v>
      </c>
    </row>
    <row r="233" spans="1:1" x14ac:dyDescent="0.25">
      <c r="A233" t="s">
        <v>3286</v>
      </c>
    </row>
    <row r="234" spans="1:1" x14ac:dyDescent="0.25">
      <c r="A234" t="s">
        <v>4291</v>
      </c>
    </row>
    <row r="235" spans="1:1" x14ac:dyDescent="0.25">
      <c r="A235" t="s">
        <v>3287</v>
      </c>
    </row>
    <row r="236" spans="1:1" x14ac:dyDescent="0.25">
      <c r="A236" t="s">
        <v>4291</v>
      </c>
    </row>
    <row r="237" spans="1:1" x14ac:dyDescent="0.25">
      <c r="A237" t="s">
        <v>3288</v>
      </c>
    </row>
    <row r="238" spans="1:1" x14ac:dyDescent="0.25">
      <c r="A238" t="s">
        <v>4291</v>
      </c>
    </row>
    <row r="239" spans="1:1" x14ac:dyDescent="0.25">
      <c r="A239" t="s">
        <v>1404</v>
      </c>
    </row>
    <row r="240" spans="1:1" x14ac:dyDescent="0.25">
      <c r="A240" t="s">
        <v>1405</v>
      </c>
    </row>
    <row r="241" spans="1:1" x14ac:dyDescent="0.25">
      <c r="A241" t="s">
        <v>4308</v>
      </c>
    </row>
    <row r="242" spans="1:1" x14ac:dyDescent="0.25">
      <c r="A242" t="s">
        <v>1406</v>
      </c>
    </row>
    <row r="243" spans="1:1" x14ac:dyDescent="0.25">
      <c r="A243" t="s">
        <v>1407</v>
      </c>
    </row>
    <row r="244" spans="1:1" x14ac:dyDescent="0.25">
      <c r="A244" t="s">
        <v>1408</v>
      </c>
    </row>
    <row r="245" spans="1:1" x14ac:dyDescent="0.25">
      <c r="A245" t="s">
        <v>1409</v>
      </c>
    </row>
    <row r="246" spans="1:1" x14ac:dyDescent="0.25">
      <c r="A246" t="s">
        <v>3156</v>
      </c>
    </row>
    <row r="247" spans="1:1" x14ac:dyDescent="0.25">
      <c r="A247" t="s">
        <v>3289</v>
      </c>
    </row>
    <row r="248" spans="1:1" x14ac:dyDescent="0.25">
      <c r="A248" t="s">
        <v>4291</v>
      </c>
    </row>
    <row r="249" spans="1:1" x14ac:dyDescent="0.25">
      <c r="A249" t="s">
        <v>3290</v>
      </c>
    </row>
    <row r="250" spans="1:1" x14ac:dyDescent="0.25">
      <c r="A250" t="s">
        <v>4291</v>
      </c>
    </row>
    <row r="251" spans="1:1" x14ac:dyDescent="0.25">
      <c r="A251" t="s">
        <v>3291</v>
      </c>
    </row>
    <row r="252" spans="1:1" x14ac:dyDescent="0.25">
      <c r="A252" t="s">
        <v>4291</v>
      </c>
    </row>
    <row r="253" spans="1:1" x14ac:dyDescent="0.25">
      <c r="A253" t="s">
        <v>1410</v>
      </c>
    </row>
    <row r="254" spans="1:1" x14ac:dyDescent="0.25">
      <c r="A254" t="s">
        <v>1411</v>
      </c>
    </row>
    <row r="255" spans="1:1" x14ac:dyDescent="0.25">
      <c r="A255" t="s">
        <v>4309</v>
      </c>
    </row>
    <row r="256" spans="1:1" x14ac:dyDescent="0.25">
      <c r="A256" t="s">
        <v>1412</v>
      </c>
    </row>
    <row r="257" spans="1:1" x14ac:dyDescent="0.25">
      <c r="A257" t="s">
        <v>1413</v>
      </c>
    </row>
    <row r="258" spans="1:1" x14ac:dyDescent="0.25">
      <c r="A258" t="s">
        <v>1414</v>
      </c>
    </row>
    <row r="259" spans="1:1" x14ac:dyDescent="0.25">
      <c r="A259" t="s">
        <v>1415</v>
      </c>
    </row>
    <row r="260" spans="1:1" x14ac:dyDescent="0.25">
      <c r="A260" t="s">
        <v>3157</v>
      </c>
    </row>
    <row r="261" spans="1:1" x14ac:dyDescent="0.25">
      <c r="A261" t="s">
        <v>3292</v>
      </c>
    </row>
    <row r="262" spans="1:1" x14ac:dyDescent="0.25">
      <c r="A262" t="s">
        <v>4291</v>
      </c>
    </row>
    <row r="263" spans="1:1" x14ac:dyDescent="0.25">
      <c r="A263" t="s">
        <v>3293</v>
      </c>
    </row>
    <row r="264" spans="1:1" x14ac:dyDescent="0.25">
      <c r="A264" t="s">
        <v>4291</v>
      </c>
    </row>
    <row r="265" spans="1:1" x14ac:dyDescent="0.25">
      <c r="A265" t="s">
        <v>3294</v>
      </c>
    </row>
    <row r="266" spans="1:1" x14ac:dyDescent="0.25">
      <c r="A266" t="s">
        <v>4291</v>
      </c>
    </row>
    <row r="267" spans="1:1" x14ac:dyDescent="0.25">
      <c r="A267" t="s">
        <v>1416</v>
      </c>
    </row>
    <row r="268" spans="1:1" x14ac:dyDescent="0.25">
      <c r="A268" t="s">
        <v>1417</v>
      </c>
    </row>
    <row r="269" spans="1:1" x14ac:dyDescent="0.25">
      <c r="A269" t="s">
        <v>4310</v>
      </c>
    </row>
    <row r="270" spans="1:1" x14ac:dyDescent="0.25">
      <c r="A270" t="s">
        <v>1418</v>
      </c>
    </row>
    <row r="271" spans="1:1" x14ac:dyDescent="0.25">
      <c r="A271" t="s">
        <v>1419</v>
      </c>
    </row>
    <row r="272" spans="1:1" x14ac:dyDescent="0.25">
      <c r="A272" t="s">
        <v>1420</v>
      </c>
    </row>
    <row r="273" spans="1:1" x14ac:dyDescent="0.25">
      <c r="A273" t="s">
        <v>1421</v>
      </c>
    </row>
    <row r="274" spans="1:1" x14ac:dyDescent="0.25">
      <c r="A274" t="s">
        <v>3158</v>
      </c>
    </row>
    <row r="275" spans="1:1" x14ac:dyDescent="0.25">
      <c r="A275" t="s">
        <v>3295</v>
      </c>
    </row>
    <row r="276" spans="1:1" x14ac:dyDescent="0.25">
      <c r="A276" t="s">
        <v>4291</v>
      </c>
    </row>
    <row r="277" spans="1:1" x14ac:dyDescent="0.25">
      <c r="A277" t="s">
        <v>3296</v>
      </c>
    </row>
    <row r="278" spans="1:1" x14ac:dyDescent="0.25">
      <c r="A278" t="s">
        <v>4291</v>
      </c>
    </row>
    <row r="279" spans="1:1" x14ac:dyDescent="0.25">
      <c r="A279" t="s">
        <v>3297</v>
      </c>
    </row>
    <row r="280" spans="1:1" x14ac:dyDescent="0.25">
      <c r="A280" t="s">
        <v>4291</v>
      </c>
    </row>
    <row r="281" spans="1:1" x14ac:dyDescent="0.25">
      <c r="A281" t="s">
        <v>1422</v>
      </c>
    </row>
    <row r="282" spans="1:1" x14ac:dyDescent="0.25">
      <c r="A282" t="s">
        <v>1423</v>
      </c>
    </row>
    <row r="283" spans="1:1" x14ac:dyDescent="0.25">
      <c r="A283" t="s">
        <v>4311</v>
      </c>
    </row>
    <row r="284" spans="1:1" x14ac:dyDescent="0.25">
      <c r="A284" t="s">
        <v>1424</v>
      </c>
    </row>
    <row r="285" spans="1:1" x14ac:dyDescent="0.25">
      <c r="A285" t="s">
        <v>1425</v>
      </c>
    </row>
    <row r="286" spans="1:1" x14ac:dyDescent="0.25">
      <c r="A286" t="s">
        <v>1426</v>
      </c>
    </row>
    <row r="287" spans="1:1" x14ac:dyDescent="0.25">
      <c r="A287" t="s">
        <v>1427</v>
      </c>
    </row>
    <row r="288" spans="1:1" x14ac:dyDescent="0.25">
      <c r="A288" t="s">
        <v>3159</v>
      </c>
    </row>
    <row r="289" spans="1:1" x14ac:dyDescent="0.25">
      <c r="A289" t="s">
        <v>3298</v>
      </c>
    </row>
    <row r="290" spans="1:1" x14ac:dyDescent="0.25">
      <c r="A290" t="s">
        <v>4291</v>
      </c>
    </row>
    <row r="291" spans="1:1" x14ac:dyDescent="0.25">
      <c r="A291" t="s">
        <v>3299</v>
      </c>
    </row>
    <row r="292" spans="1:1" x14ac:dyDescent="0.25">
      <c r="A292" t="s">
        <v>4291</v>
      </c>
    </row>
    <row r="293" spans="1:1" x14ac:dyDescent="0.25">
      <c r="A293" t="s">
        <v>3300</v>
      </c>
    </row>
    <row r="294" spans="1:1" x14ac:dyDescent="0.25">
      <c r="A294" t="s">
        <v>4291</v>
      </c>
    </row>
    <row r="295" spans="1:1" x14ac:dyDescent="0.25">
      <c r="A295" t="s">
        <v>1428</v>
      </c>
    </row>
    <row r="296" spans="1:1" x14ac:dyDescent="0.25">
      <c r="A296" t="s">
        <v>1429</v>
      </c>
    </row>
    <row r="297" spans="1:1" x14ac:dyDescent="0.25">
      <c r="A297" t="s">
        <v>4312</v>
      </c>
    </row>
    <row r="298" spans="1:1" x14ac:dyDescent="0.25">
      <c r="A298" t="s">
        <v>1430</v>
      </c>
    </row>
    <row r="299" spans="1:1" x14ac:dyDescent="0.25">
      <c r="A299" t="s">
        <v>1431</v>
      </c>
    </row>
    <row r="300" spans="1:1" x14ac:dyDescent="0.25">
      <c r="A300" t="s">
        <v>1432</v>
      </c>
    </row>
    <row r="301" spans="1:1" x14ac:dyDescent="0.25">
      <c r="A301" t="s">
        <v>1433</v>
      </c>
    </row>
    <row r="302" spans="1:1" x14ac:dyDescent="0.25">
      <c r="A302" t="s">
        <v>3160</v>
      </c>
    </row>
    <row r="303" spans="1:1" x14ac:dyDescent="0.25">
      <c r="A303" t="s">
        <v>3301</v>
      </c>
    </row>
    <row r="304" spans="1:1" x14ac:dyDescent="0.25">
      <c r="A304" t="s">
        <v>4291</v>
      </c>
    </row>
    <row r="305" spans="1:1" x14ac:dyDescent="0.25">
      <c r="A305" t="s">
        <v>3302</v>
      </c>
    </row>
    <row r="306" spans="1:1" x14ac:dyDescent="0.25">
      <c r="A306" t="s">
        <v>4291</v>
      </c>
    </row>
    <row r="307" spans="1:1" x14ac:dyDescent="0.25">
      <c r="A307" t="s">
        <v>3303</v>
      </c>
    </row>
    <row r="308" spans="1:1" x14ac:dyDescent="0.25">
      <c r="A308" t="s">
        <v>4291</v>
      </c>
    </row>
    <row r="309" spans="1:1" x14ac:dyDescent="0.25">
      <c r="A309" t="s">
        <v>1434</v>
      </c>
    </row>
    <row r="310" spans="1:1" x14ac:dyDescent="0.25">
      <c r="A310" t="s">
        <v>1435</v>
      </c>
    </row>
    <row r="311" spans="1:1" x14ac:dyDescent="0.25">
      <c r="A311" t="s">
        <v>4313</v>
      </c>
    </row>
    <row r="312" spans="1:1" x14ac:dyDescent="0.25">
      <c r="A312" t="s">
        <v>1436</v>
      </c>
    </row>
    <row r="313" spans="1:1" x14ac:dyDescent="0.25">
      <c r="A313" t="s">
        <v>1437</v>
      </c>
    </row>
    <row r="314" spans="1:1" x14ac:dyDescent="0.25">
      <c r="A314" t="s">
        <v>1438</v>
      </c>
    </row>
    <row r="315" spans="1:1" x14ac:dyDescent="0.25">
      <c r="A315" t="s">
        <v>1439</v>
      </c>
    </row>
    <row r="316" spans="1:1" x14ac:dyDescent="0.25">
      <c r="A316" t="s">
        <v>3161</v>
      </c>
    </row>
    <row r="317" spans="1:1" x14ac:dyDescent="0.25">
      <c r="A317" t="s">
        <v>3304</v>
      </c>
    </row>
    <row r="318" spans="1:1" x14ac:dyDescent="0.25">
      <c r="A318" t="s">
        <v>4291</v>
      </c>
    </row>
    <row r="319" spans="1:1" x14ac:dyDescent="0.25">
      <c r="A319" t="s">
        <v>3305</v>
      </c>
    </row>
    <row r="320" spans="1:1" x14ac:dyDescent="0.25">
      <c r="A320" t="s">
        <v>4291</v>
      </c>
    </row>
    <row r="321" spans="1:1" x14ac:dyDescent="0.25">
      <c r="A321" t="s">
        <v>3306</v>
      </c>
    </row>
    <row r="322" spans="1:1" x14ac:dyDescent="0.25">
      <c r="A322" t="s">
        <v>4291</v>
      </c>
    </row>
    <row r="323" spans="1:1" x14ac:dyDescent="0.25">
      <c r="A323" t="s">
        <v>1440</v>
      </c>
    </row>
    <row r="324" spans="1:1" x14ac:dyDescent="0.25">
      <c r="A324" t="s">
        <v>1441</v>
      </c>
    </row>
    <row r="325" spans="1:1" x14ac:dyDescent="0.25">
      <c r="A325" t="s">
        <v>4314</v>
      </c>
    </row>
    <row r="326" spans="1:1" x14ac:dyDescent="0.25">
      <c r="A326" t="s">
        <v>1442</v>
      </c>
    </row>
    <row r="327" spans="1:1" x14ac:dyDescent="0.25">
      <c r="A327" t="s">
        <v>1443</v>
      </c>
    </row>
    <row r="328" spans="1:1" x14ac:dyDescent="0.25">
      <c r="A328" t="s">
        <v>1444</v>
      </c>
    </row>
    <row r="329" spans="1:1" x14ac:dyDescent="0.25">
      <c r="A329" t="s">
        <v>1445</v>
      </c>
    </row>
    <row r="330" spans="1:1" x14ac:dyDescent="0.25">
      <c r="A330" t="s">
        <v>3162</v>
      </c>
    </row>
    <row r="331" spans="1:1" x14ac:dyDescent="0.25">
      <c r="A331" t="s">
        <v>3307</v>
      </c>
    </row>
    <row r="332" spans="1:1" x14ac:dyDescent="0.25">
      <c r="A332" t="s">
        <v>4291</v>
      </c>
    </row>
    <row r="333" spans="1:1" x14ac:dyDescent="0.25">
      <c r="A333" t="s">
        <v>3308</v>
      </c>
    </row>
    <row r="334" spans="1:1" x14ac:dyDescent="0.25">
      <c r="A334" t="s">
        <v>4291</v>
      </c>
    </row>
    <row r="335" spans="1:1" x14ac:dyDescent="0.25">
      <c r="A335" t="s">
        <v>3309</v>
      </c>
    </row>
    <row r="336" spans="1:1" x14ac:dyDescent="0.25">
      <c r="A336" t="s">
        <v>4291</v>
      </c>
    </row>
    <row r="337" spans="1:1" x14ac:dyDescent="0.25">
      <c r="A337" t="s">
        <v>1446</v>
      </c>
    </row>
    <row r="338" spans="1:1" x14ac:dyDescent="0.25">
      <c r="A338" t="s">
        <v>1447</v>
      </c>
    </row>
    <row r="339" spans="1:1" x14ac:dyDescent="0.25">
      <c r="A339" t="s">
        <v>4315</v>
      </c>
    </row>
    <row r="340" spans="1:1" x14ac:dyDescent="0.25">
      <c r="A340" t="s">
        <v>1448</v>
      </c>
    </row>
    <row r="341" spans="1:1" x14ac:dyDescent="0.25">
      <c r="A341" t="s">
        <v>1449</v>
      </c>
    </row>
    <row r="342" spans="1:1" x14ac:dyDescent="0.25">
      <c r="A342" t="s">
        <v>1450</v>
      </c>
    </row>
    <row r="343" spans="1:1" x14ac:dyDescent="0.25">
      <c r="A343" t="s">
        <v>1451</v>
      </c>
    </row>
    <row r="344" spans="1:1" x14ac:dyDescent="0.25">
      <c r="A344" t="s">
        <v>3163</v>
      </c>
    </row>
    <row r="345" spans="1:1" x14ac:dyDescent="0.25">
      <c r="A345" t="s">
        <v>3310</v>
      </c>
    </row>
    <row r="346" spans="1:1" x14ac:dyDescent="0.25">
      <c r="A346" t="s">
        <v>4291</v>
      </c>
    </row>
    <row r="347" spans="1:1" x14ac:dyDescent="0.25">
      <c r="A347" t="s">
        <v>3311</v>
      </c>
    </row>
    <row r="348" spans="1:1" x14ac:dyDescent="0.25">
      <c r="A348" t="s">
        <v>4291</v>
      </c>
    </row>
    <row r="349" spans="1:1" x14ac:dyDescent="0.25">
      <c r="A349" t="s">
        <v>3312</v>
      </c>
    </row>
    <row r="350" spans="1:1" x14ac:dyDescent="0.25">
      <c r="A350" t="s">
        <v>4291</v>
      </c>
    </row>
    <row r="351" spans="1:1" x14ac:dyDescent="0.25">
      <c r="A351" t="s">
        <v>1452</v>
      </c>
    </row>
    <row r="352" spans="1:1" x14ac:dyDescent="0.25">
      <c r="A352" t="s">
        <v>1453</v>
      </c>
    </row>
    <row r="353" spans="1:1" x14ac:dyDescent="0.25">
      <c r="A353" t="s">
        <v>4316</v>
      </c>
    </row>
    <row r="354" spans="1:1" x14ac:dyDescent="0.25">
      <c r="A354" t="s">
        <v>1454</v>
      </c>
    </row>
    <row r="355" spans="1:1" x14ac:dyDescent="0.25">
      <c r="A355" t="s">
        <v>1455</v>
      </c>
    </row>
    <row r="356" spans="1:1" x14ac:dyDescent="0.25">
      <c r="A356" t="s">
        <v>1456</v>
      </c>
    </row>
    <row r="357" spans="1:1" x14ac:dyDescent="0.25">
      <c r="A357" t="s">
        <v>1457</v>
      </c>
    </row>
    <row r="358" spans="1:1" x14ac:dyDescent="0.25">
      <c r="A358" t="s">
        <v>3164</v>
      </c>
    </row>
    <row r="359" spans="1:1" x14ac:dyDescent="0.25">
      <c r="A359" t="s">
        <v>3313</v>
      </c>
    </row>
    <row r="360" spans="1:1" x14ac:dyDescent="0.25">
      <c r="A360" t="s">
        <v>4291</v>
      </c>
    </row>
    <row r="361" spans="1:1" x14ac:dyDescent="0.25">
      <c r="A361" t="s">
        <v>3314</v>
      </c>
    </row>
    <row r="362" spans="1:1" x14ac:dyDescent="0.25">
      <c r="A362" t="s">
        <v>4291</v>
      </c>
    </row>
    <row r="363" spans="1:1" x14ac:dyDescent="0.25">
      <c r="A363" t="s">
        <v>3315</v>
      </c>
    </row>
    <row r="364" spans="1:1" x14ac:dyDescent="0.25">
      <c r="A364" t="s">
        <v>4291</v>
      </c>
    </row>
    <row r="365" spans="1:1" x14ac:dyDescent="0.25">
      <c r="A365" t="s">
        <v>1458</v>
      </c>
    </row>
    <row r="366" spans="1:1" x14ac:dyDescent="0.25">
      <c r="A366" t="s">
        <v>1459</v>
      </c>
    </row>
    <row r="367" spans="1:1" x14ac:dyDescent="0.25">
      <c r="A367" t="s">
        <v>4317</v>
      </c>
    </row>
    <row r="368" spans="1:1" x14ac:dyDescent="0.25">
      <c r="A368" t="s">
        <v>1460</v>
      </c>
    </row>
    <row r="369" spans="1:1" x14ac:dyDescent="0.25">
      <c r="A369" t="s">
        <v>1461</v>
      </c>
    </row>
    <row r="370" spans="1:1" x14ac:dyDescent="0.25">
      <c r="A370" t="s">
        <v>1462</v>
      </c>
    </row>
    <row r="371" spans="1:1" x14ac:dyDescent="0.25">
      <c r="A371" t="s">
        <v>1463</v>
      </c>
    </row>
    <row r="372" spans="1:1" x14ac:dyDescent="0.25">
      <c r="A372" t="s">
        <v>3165</v>
      </c>
    </row>
    <row r="373" spans="1:1" x14ac:dyDescent="0.25">
      <c r="A373" t="s">
        <v>3316</v>
      </c>
    </row>
    <row r="374" spans="1:1" x14ac:dyDescent="0.25">
      <c r="A374" t="s">
        <v>4291</v>
      </c>
    </row>
    <row r="375" spans="1:1" x14ac:dyDescent="0.25">
      <c r="A375" t="s">
        <v>3317</v>
      </c>
    </row>
    <row r="376" spans="1:1" x14ac:dyDescent="0.25">
      <c r="A376" t="s">
        <v>4291</v>
      </c>
    </row>
    <row r="377" spans="1:1" x14ac:dyDescent="0.25">
      <c r="A377" t="s">
        <v>3318</v>
      </c>
    </row>
    <row r="378" spans="1:1" x14ac:dyDescent="0.25">
      <c r="A378" t="s">
        <v>4291</v>
      </c>
    </row>
    <row r="379" spans="1:1" x14ac:dyDescent="0.25">
      <c r="A379" t="s">
        <v>1464</v>
      </c>
    </row>
    <row r="380" spans="1:1" x14ac:dyDescent="0.25">
      <c r="A380" t="s">
        <v>1465</v>
      </c>
    </row>
    <row r="381" spans="1:1" x14ac:dyDescent="0.25">
      <c r="A381" t="s">
        <v>4318</v>
      </c>
    </row>
    <row r="382" spans="1:1" x14ac:dyDescent="0.25">
      <c r="A382" t="s">
        <v>1466</v>
      </c>
    </row>
    <row r="383" spans="1:1" x14ac:dyDescent="0.25">
      <c r="A383" t="s">
        <v>1467</v>
      </c>
    </row>
    <row r="384" spans="1:1" x14ac:dyDescent="0.25">
      <c r="A384" t="s">
        <v>1468</v>
      </c>
    </row>
    <row r="385" spans="1:1" x14ac:dyDescent="0.25">
      <c r="A385" t="s">
        <v>1469</v>
      </c>
    </row>
    <row r="386" spans="1:1" x14ac:dyDescent="0.25">
      <c r="A386" t="s">
        <v>3166</v>
      </c>
    </row>
    <row r="387" spans="1:1" x14ac:dyDescent="0.25">
      <c r="A387" t="s">
        <v>3319</v>
      </c>
    </row>
    <row r="388" spans="1:1" x14ac:dyDescent="0.25">
      <c r="A388" t="s">
        <v>4291</v>
      </c>
    </row>
    <row r="389" spans="1:1" x14ac:dyDescent="0.25">
      <c r="A389" t="s">
        <v>3320</v>
      </c>
    </row>
    <row r="390" spans="1:1" x14ac:dyDescent="0.25">
      <c r="A390" t="s">
        <v>4291</v>
      </c>
    </row>
    <row r="391" spans="1:1" x14ac:dyDescent="0.25">
      <c r="A391" t="s">
        <v>3321</v>
      </c>
    </row>
    <row r="392" spans="1:1" x14ac:dyDescent="0.25">
      <c r="A392" t="s">
        <v>4291</v>
      </c>
    </row>
    <row r="393" spans="1:1" x14ac:dyDescent="0.25">
      <c r="A393" t="s">
        <v>1470</v>
      </c>
    </row>
    <row r="394" spans="1:1" x14ac:dyDescent="0.25">
      <c r="A394" t="s">
        <v>1471</v>
      </c>
    </row>
    <row r="395" spans="1:1" x14ac:dyDescent="0.25">
      <c r="A395" t="s">
        <v>4319</v>
      </c>
    </row>
    <row r="396" spans="1:1" x14ac:dyDescent="0.25">
      <c r="A396" t="s">
        <v>1472</v>
      </c>
    </row>
    <row r="397" spans="1:1" x14ac:dyDescent="0.25">
      <c r="A397" t="s">
        <v>1473</v>
      </c>
    </row>
    <row r="398" spans="1:1" x14ac:dyDescent="0.25">
      <c r="A398" t="s">
        <v>1474</v>
      </c>
    </row>
    <row r="399" spans="1:1" x14ac:dyDescent="0.25">
      <c r="A399" t="s">
        <v>1475</v>
      </c>
    </row>
    <row r="400" spans="1:1" x14ac:dyDescent="0.25">
      <c r="A400" t="s">
        <v>3167</v>
      </c>
    </row>
    <row r="401" spans="1:1" x14ac:dyDescent="0.25">
      <c r="A401" t="s">
        <v>3322</v>
      </c>
    </row>
    <row r="402" spans="1:1" x14ac:dyDescent="0.25">
      <c r="A402" t="s">
        <v>4291</v>
      </c>
    </row>
    <row r="403" spans="1:1" x14ac:dyDescent="0.25">
      <c r="A403" t="s">
        <v>3323</v>
      </c>
    </row>
    <row r="404" spans="1:1" x14ac:dyDescent="0.25">
      <c r="A404" t="s">
        <v>4291</v>
      </c>
    </row>
    <row r="405" spans="1:1" x14ac:dyDescent="0.25">
      <c r="A405" t="s">
        <v>3324</v>
      </c>
    </row>
    <row r="406" spans="1:1" x14ac:dyDescent="0.25">
      <c r="A406" t="s">
        <v>4291</v>
      </c>
    </row>
    <row r="407" spans="1:1" x14ac:dyDescent="0.25">
      <c r="A407" t="s">
        <v>1476</v>
      </c>
    </row>
    <row r="408" spans="1:1" x14ac:dyDescent="0.25">
      <c r="A408" t="s">
        <v>1477</v>
      </c>
    </row>
    <row r="409" spans="1:1" x14ac:dyDescent="0.25">
      <c r="A409" t="s">
        <v>4320</v>
      </c>
    </row>
    <row r="410" spans="1:1" x14ac:dyDescent="0.25">
      <c r="A410" t="s">
        <v>1478</v>
      </c>
    </row>
    <row r="411" spans="1:1" x14ac:dyDescent="0.25">
      <c r="A411" t="s">
        <v>1479</v>
      </c>
    </row>
    <row r="412" spans="1:1" x14ac:dyDescent="0.25">
      <c r="A412" t="s">
        <v>1480</v>
      </c>
    </row>
    <row r="413" spans="1:1" x14ac:dyDescent="0.25">
      <c r="A413" t="s">
        <v>1481</v>
      </c>
    </row>
    <row r="414" spans="1:1" x14ac:dyDescent="0.25">
      <c r="A414" t="s">
        <v>3168</v>
      </c>
    </row>
    <row r="415" spans="1:1" x14ac:dyDescent="0.25">
      <c r="A415" t="s">
        <v>3325</v>
      </c>
    </row>
    <row r="416" spans="1:1" x14ac:dyDescent="0.25">
      <c r="A416" t="s">
        <v>4291</v>
      </c>
    </row>
    <row r="417" spans="1:1" x14ac:dyDescent="0.25">
      <c r="A417" t="s">
        <v>3326</v>
      </c>
    </row>
    <row r="418" spans="1:1" x14ac:dyDescent="0.25">
      <c r="A418" t="s">
        <v>4291</v>
      </c>
    </row>
    <row r="419" spans="1:1" x14ac:dyDescent="0.25">
      <c r="A419" t="s">
        <v>3327</v>
      </c>
    </row>
    <row r="420" spans="1:1" x14ac:dyDescent="0.25">
      <c r="A420" t="s">
        <v>4291</v>
      </c>
    </row>
    <row r="421" spans="1:1" x14ac:dyDescent="0.25">
      <c r="A421" t="s">
        <v>1482</v>
      </c>
    </row>
    <row r="422" spans="1:1" x14ac:dyDescent="0.25">
      <c r="A422" t="s">
        <v>1483</v>
      </c>
    </row>
    <row r="423" spans="1:1" x14ac:dyDescent="0.25">
      <c r="A423" t="s">
        <v>4321</v>
      </c>
    </row>
    <row r="424" spans="1:1" x14ac:dyDescent="0.25">
      <c r="A424" t="s">
        <v>1484</v>
      </c>
    </row>
    <row r="425" spans="1:1" x14ac:dyDescent="0.25">
      <c r="A425" t="s">
        <v>1485</v>
      </c>
    </row>
    <row r="426" spans="1:1" x14ac:dyDescent="0.25">
      <c r="A426" t="s">
        <v>1486</v>
      </c>
    </row>
    <row r="427" spans="1:1" x14ac:dyDescent="0.25">
      <c r="A427" t="s">
        <v>1487</v>
      </c>
    </row>
    <row r="428" spans="1:1" x14ac:dyDescent="0.25">
      <c r="A428" t="s">
        <v>3169</v>
      </c>
    </row>
    <row r="429" spans="1:1" x14ac:dyDescent="0.25">
      <c r="A429" t="s">
        <v>3328</v>
      </c>
    </row>
    <row r="430" spans="1:1" x14ac:dyDescent="0.25">
      <c r="A430" t="s">
        <v>4291</v>
      </c>
    </row>
    <row r="431" spans="1:1" x14ac:dyDescent="0.25">
      <c r="A431" t="s">
        <v>3329</v>
      </c>
    </row>
    <row r="432" spans="1:1" x14ac:dyDescent="0.25">
      <c r="A432" t="s">
        <v>4291</v>
      </c>
    </row>
    <row r="433" spans="1:1" x14ac:dyDescent="0.25">
      <c r="A433" t="s">
        <v>3330</v>
      </c>
    </row>
    <row r="434" spans="1:1" x14ac:dyDescent="0.25">
      <c r="A434" t="s">
        <v>4291</v>
      </c>
    </row>
    <row r="435" spans="1:1" x14ac:dyDescent="0.25">
      <c r="A435" t="s">
        <v>1488</v>
      </c>
    </row>
    <row r="436" spans="1:1" x14ac:dyDescent="0.25">
      <c r="A436" t="s">
        <v>1489</v>
      </c>
    </row>
    <row r="437" spans="1:1" x14ac:dyDescent="0.25">
      <c r="A437" t="s">
        <v>4322</v>
      </c>
    </row>
    <row r="438" spans="1:1" x14ac:dyDescent="0.25">
      <c r="A438" t="s">
        <v>1490</v>
      </c>
    </row>
    <row r="439" spans="1:1" x14ac:dyDescent="0.25">
      <c r="A439" t="s">
        <v>1491</v>
      </c>
    </row>
    <row r="440" spans="1:1" x14ac:dyDescent="0.25">
      <c r="A440" t="s">
        <v>1492</v>
      </c>
    </row>
    <row r="441" spans="1:1" x14ac:dyDescent="0.25">
      <c r="A441" t="s">
        <v>1493</v>
      </c>
    </row>
    <row r="442" spans="1:1" x14ac:dyDescent="0.25">
      <c r="A442" t="s">
        <v>3170</v>
      </c>
    </row>
    <row r="443" spans="1:1" x14ac:dyDescent="0.25">
      <c r="A443" t="s">
        <v>3331</v>
      </c>
    </row>
    <row r="444" spans="1:1" x14ac:dyDescent="0.25">
      <c r="A444" t="s">
        <v>4291</v>
      </c>
    </row>
    <row r="445" spans="1:1" x14ac:dyDescent="0.25">
      <c r="A445" t="s">
        <v>3332</v>
      </c>
    </row>
    <row r="446" spans="1:1" x14ac:dyDescent="0.25">
      <c r="A446" t="s">
        <v>4291</v>
      </c>
    </row>
    <row r="447" spans="1:1" x14ac:dyDescent="0.25">
      <c r="A447" t="s">
        <v>3333</v>
      </c>
    </row>
    <row r="448" spans="1:1" x14ac:dyDescent="0.25">
      <c r="A448" t="s">
        <v>4291</v>
      </c>
    </row>
    <row r="449" spans="1:1" x14ac:dyDescent="0.25">
      <c r="A449" t="s">
        <v>1494</v>
      </c>
    </row>
    <row r="450" spans="1:1" x14ac:dyDescent="0.25">
      <c r="A450" t="s">
        <v>1495</v>
      </c>
    </row>
    <row r="451" spans="1:1" x14ac:dyDescent="0.25">
      <c r="A451" t="s">
        <v>4323</v>
      </c>
    </row>
    <row r="452" spans="1:1" x14ac:dyDescent="0.25">
      <c r="A452" t="s">
        <v>1496</v>
      </c>
    </row>
    <row r="453" spans="1:1" x14ac:dyDescent="0.25">
      <c r="A453" t="s">
        <v>1497</v>
      </c>
    </row>
    <row r="454" spans="1:1" x14ac:dyDescent="0.25">
      <c r="A454" t="s">
        <v>1498</v>
      </c>
    </row>
    <row r="455" spans="1:1" x14ac:dyDescent="0.25">
      <c r="A455" t="s">
        <v>1499</v>
      </c>
    </row>
    <row r="456" spans="1:1" x14ac:dyDescent="0.25">
      <c r="A456" t="s">
        <v>3171</v>
      </c>
    </row>
    <row r="457" spans="1:1" x14ac:dyDescent="0.25">
      <c r="A457" t="s">
        <v>3334</v>
      </c>
    </row>
    <row r="458" spans="1:1" x14ac:dyDescent="0.25">
      <c r="A458" t="s">
        <v>4291</v>
      </c>
    </row>
    <row r="459" spans="1:1" x14ac:dyDescent="0.25">
      <c r="A459" t="s">
        <v>3335</v>
      </c>
    </row>
    <row r="460" spans="1:1" x14ac:dyDescent="0.25">
      <c r="A460" t="s">
        <v>4291</v>
      </c>
    </row>
    <row r="461" spans="1:1" x14ac:dyDescent="0.25">
      <c r="A461" t="s">
        <v>3336</v>
      </c>
    </row>
    <row r="462" spans="1:1" x14ac:dyDescent="0.25">
      <c r="A462" t="s">
        <v>4291</v>
      </c>
    </row>
    <row r="463" spans="1:1" x14ac:dyDescent="0.25">
      <c r="A463" t="s">
        <v>1500</v>
      </c>
    </row>
    <row r="464" spans="1:1" x14ac:dyDescent="0.25">
      <c r="A464" t="s">
        <v>1501</v>
      </c>
    </row>
    <row r="465" spans="1:1" x14ac:dyDescent="0.25">
      <c r="A465" t="s">
        <v>4324</v>
      </c>
    </row>
    <row r="466" spans="1:1" x14ac:dyDescent="0.25">
      <c r="A466" t="s">
        <v>1502</v>
      </c>
    </row>
    <row r="467" spans="1:1" x14ac:dyDescent="0.25">
      <c r="A467" t="s">
        <v>1503</v>
      </c>
    </row>
    <row r="468" spans="1:1" x14ac:dyDescent="0.25">
      <c r="A468" t="s">
        <v>1504</v>
      </c>
    </row>
    <row r="469" spans="1:1" x14ac:dyDescent="0.25">
      <c r="A469" t="s">
        <v>1505</v>
      </c>
    </row>
    <row r="470" spans="1:1" x14ac:dyDescent="0.25">
      <c r="A470" t="s">
        <v>3172</v>
      </c>
    </row>
    <row r="471" spans="1:1" x14ac:dyDescent="0.25">
      <c r="A471" t="s">
        <v>3337</v>
      </c>
    </row>
    <row r="472" spans="1:1" x14ac:dyDescent="0.25">
      <c r="A472" t="s">
        <v>4291</v>
      </c>
    </row>
    <row r="473" spans="1:1" x14ac:dyDescent="0.25">
      <c r="A473" t="s">
        <v>3338</v>
      </c>
    </row>
    <row r="474" spans="1:1" x14ac:dyDescent="0.25">
      <c r="A474" t="s">
        <v>4291</v>
      </c>
    </row>
    <row r="475" spans="1:1" x14ac:dyDescent="0.25">
      <c r="A475" t="s">
        <v>3339</v>
      </c>
    </row>
    <row r="476" spans="1:1" x14ac:dyDescent="0.25">
      <c r="A476" t="s">
        <v>4291</v>
      </c>
    </row>
    <row r="477" spans="1:1" x14ac:dyDescent="0.25">
      <c r="A477" t="s">
        <v>1506</v>
      </c>
    </row>
    <row r="478" spans="1:1" x14ac:dyDescent="0.25">
      <c r="A478" t="s">
        <v>1507</v>
      </c>
    </row>
    <row r="479" spans="1:1" x14ac:dyDescent="0.25">
      <c r="A479" t="s">
        <v>4325</v>
      </c>
    </row>
    <row r="480" spans="1:1" x14ac:dyDescent="0.25">
      <c r="A480" t="s">
        <v>1508</v>
      </c>
    </row>
    <row r="481" spans="1:1" x14ac:dyDescent="0.25">
      <c r="A481" t="s">
        <v>1509</v>
      </c>
    </row>
    <row r="482" spans="1:1" x14ac:dyDescent="0.25">
      <c r="A482" t="s">
        <v>1510</v>
      </c>
    </row>
    <row r="483" spans="1:1" x14ac:dyDescent="0.25">
      <c r="A483" t="s">
        <v>1511</v>
      </c>
    </row>
    <row r="484" spans="1:1" x14ac:dyDescent="0.25">
      <c r="A484" t="s">
        <v>3173</v>
      </c>
    </row>
    <row r="485" spans="1:1" x14ac:dyDescent="0.25">
      <c r="A485" t="s">
        <v>3340</v>
      </c>
    </row>
    <row r="486" spans="1:1" x14ac:dyDescent="0.25">
      <c r="A486" t="s">
        <v>4291</v>
      </c>
    </row>
    <row r="487" spans="1:1" x14ac:dyDescent="0.25">
      <c r="A487" t="s">
        <v>3341</v>
      </c>
    </row>
    <row r="488" spans="1:1" x14ac:dyDescent="0.25">
      <c r="A488" t="s">
        <v>4291</v>
      </c>
    </row>
    <row r="489" spans="1:1" x14ac:dyDescent="0.25">
      <c r="A489" t="s">
        <v>3342</v>
      </c>
    </row>
    <row r="490" spans="1:1" x14ac:dyDescent="0.25">
      <c r="A490" t="s">
        <v>4291</v>
      </c>
    </row>
    <row r="491" spans="1:1" x14ac:dyDescent="0.25">
      <c r="A491" t="s">
        <v>1512</v>
      </c>
    </row>
    <row r="492" spans="1:1" x14ac:dyDescent="0.25">
      <c r="A492" t="s">
        <v>1513</v>
      </c>
    </row>
    <row r="493" spans="1:1" x14ac:dyDescent="0.25">
      <c r="A493" t="s">
        <v>4326</v>
      </c>
    </row>
    <row r="494" spans="1:1" x14ac:dyDescent="0.25">
      <c r="A494" t="s">
        <v>1514</v>
      </c>
    </row>
    <row r="495" spans="1:1" x14ac:dyDescent="0.25">
      <c r="A495" t="s">
        <v>1515</v>
      </c>
    </row>
    <row r="496" spans="1:1" x14ac:dyDescent="0.25">
      <c r="A496" t="s">
        <v>1516</v>
      </c>
    </row>
    <row r="497" spans="1:1" x14ac:dyDescent="0.25">
      <c r="A497" t="s">
        <v>1517</v>
      </c>
    </row>
    <row r="498" spans="1:1" x14ac:dyDescent="0.25">
      <c r="A498" t="s">
        <v>3174</v>
      </c>
    </row>
    <row r="499" spans="1:1" x14ac:dyDescent="0.25">
      <c r="A499" t="s">
        <v>3343</v>
      </c>
    </row>
    <row r="500" spans="1:1" x14ac:dyDescent="0.25">
      <c r="A500" t="s">
        <v>4291</v>
      </c>
    </row>
    <row r="501" spans="1:1" x14ac:dyDescent="0.25">
      <c r="A501" t="s">
        <v>3344</v>
      </c>
    </row>
    <row r="502" spans="1:1" x14ac:dyDescent="0.25">
      <c r="A502" t="s">
        <v>4291</v>
      </c>
    </row>
    <row r="503" spans="1:1" x14ac:dyDescent="0.25">
      <c r="A503" t="s">
        <v>3345</v>
      </c>
    </row>
    <row r="504" spans="1:1" x14ac:dyDescent="0.25">
      <c r="A504" t="s">
        <v>4291</v>
      </c>
    </row>
    <row r="505" spans="1:1" x14ac:dyDescent="0.25">
      <c r="A505" t="s">
        <v>1518</v>
      </c>
    </row>
    <row r="506" spans="1:1" x14ac:dyDescent="0.25">
      <c r="A506" t="s">
        <v>1519</v>
      </c>
    </row>
    <row r="507" spans="1:1" x14ac:dyDescent="0.25">
      <c r="A507" t="s">
        <v>4327</v>
      </c>
    </row>
    <row r="508" spans="1:1" x14ac:dyDescent="0.25">
      <c r="A508" t="s">
        <v>1520</v>
      </c>
    </row>
    <row r="509" spans="1:1" x14ac:dyDescent="0.25">
      <c r="A509" t="s">
        <v>1521</v>
      </c>
    </row>
    <row r="510" spans="1:1" x14ac:dyDescent="0.25">
      <c r="A510" t="s">
        <v>1522</v>
      </c>
    </row>
    <row r="511" spans="1:1" x14ac:dyDescent="0.25">
      <c r="A511" t="s">
        <v>1523</v>
      </c>
    </row>
    <row r="512" spans="1:1" x14ac:dyDescent="0.25">
      <c r="A512" t="s">
        <v>3175</v>
      </c>
    </row>
    <row r="513" spans="1:1" x14ac:dyDescent="0.25">
      <c r="A513" t="s">
        <v>3346</v>
      </c>
    </row>
    <row r="514" spans="1:1" x14ac:dyDescent="0.25">
      <c r="A514" t="s">
        <v>4291</v>
      </c>
    </row>
    <row r="515" spans="1:1" x14ac:dyDescent="0.25">
      <c r="A515" t="s">
        <v>3347</v>
      </c>
    </row>
    <row r="516" spans="1:1" x14ac:dyDescent="0.25">
      <c r="A516" t="s">
        <v>4291</v>
      </c>
    </row>
    <row r="517" spans="1:1" x14ac:dyDescent="0.25">
      <c r="A517" t="s">
        <v>3348</v>
      </c>
    </row>
    <row r="518" spans="1:1" x14ac:dyDescent="0.25">
      <c r="A518" t="s">
        <v>4291</v>
      </c>
    </row>
    <row r="519" spans="1:1" x14ac:dyDescent="0.25">
      <c r="A519" t="s">
        <v>1524</v>
      </c>
    </row>
    <row r="520" spans="1:1" x14ac:dyDescent="0.25">
      <c r="A520" t="s">
        <v>1525</v>
      </c>
    </row>
    <row r="521" spans="1:1" x14ac:dyDescent="0.25">
      <c r="A521" t="s">
        <v>4328</v>
      </c>
    </row>
    <row r="522" spans="1:1" x14ac:dyDescent="0.25">
      <c r="A522" t="s">
        <v>1526</v>
      </c>
    </row>
    <row r="523" spans="1:1" x14ac:dyDescent="0.25">
      <c r="A523" t="s">
        <v>1527</v>
      </c>
    </row>
    <row r="524" spans="1:1" x14ac:dyDescent="0.25">
      <c r="A524" t="s">
        <v>1528</v>
      </c>
    </row>
    <row r="525" spans="1:1" x14ac:dyDescent="0.25">
      <c r="A525" t="s">
        <v>1529</v>
      </c>
    </row>
    <row r="526" spans="1:1" x14ac:dyDescent="0.25">
      <c r="A526" t="s">
        <v>3176</v>
      </c>
    </row>
    <row r="527" spans="1:1" x14ac:dyDescent="0.25">
      <c r="A527" t="s">
        <v>3349</v>
      </c>
    </row>
    <row r="528" spans="1:1" x14ac:dyDescent="0.25">
      <c r="A528" t="s">
        <v>4291</v>
      </c>
    </row>
    <row r="529" spans="1:1" x14ac:dyDescent="0.25">
      <c r="A529" t="s">
        <v>3350</v>
      </c>
    </row>
    <row r="530" spans="1:1" x14ac:dyDescent="0.25">
      <c r="A530" t="s">
        <v>4291</v>
      </c>
    </row>
    <row r="531" spans="1:1" x14ac:dyDescent="0.25">
      <c r="A531" t="s">
        <v>3351</v>
      </c>
    </row>
    <row r="532" spans="1:1" x14ac:dyDescent="0.25">
      <c r="A532" t="s">
        <v>4291</v>
      </c>
    </row>
    <row r="533" spans="1:1" x14ac:dyDescent="0.25">
      <c r="A533" t="s">
        <v>1530</v>
      </c>
    </row>
    <row r="534" spans="1:1" x14ac:dyDescent="0.25">
      <c r="A534" t="s">
        <v>1531</v>
      </c>
    </row>
    <row r="535" spans="1:1" x14ac:dyDescent="0.25">
      <c r="A535" t="s">
        <v>4329</v>
      </c>
    </row>
    <row r="536" spans="1:1" x14ac:dyDescent="0.25">
      <c r="A536" t="s">
        <v>1532</v>
      </c>
    </row>
    <row r="537" spans="1:1" x14ac:dyDescent="0.25">
      <c r="A537" t="s">
        <v>1533</v>
      </c>
    </row>
    <row r="538" spans="1:1" x14ac:dyDescent="0.25">
      <c r="A538" t="s">
        <v>1534</v>
      </c>
    </row>
    <row r="539" spans="1:1" x14ac:dyDescent="0.25">
      <c r="A539" t="s">
        <v>1535</v>
      </c>
    </row>
    <row r="540" spans="1:1" x14ac:dyDescent="0.25">
      <c r="A540" t="s">
        <v>3177</v>
      </c>
    </row>
    <row r="541" spans="1:1" x14ac:dyDescent="0.25">
      <c r="A541" t="s">
        <v>3352</v>
      </c>
    </row>
    <row r="542" spans="1:1" x14ac:dyDescent="0.25">
      <c r="A542" t="s">
        <v>4291</v>
      </c>
    </row>
    <row r="543" spans="1:1" x14ac:dyDescent="0.25">
      <c r="A543" t="s">
        <v>3353</v>
      </c>
    </row>
    <row r="544" spans="1:1" x14ac:dyDescent="0.25">
      <c r="A544" t="s">
        <v>4291</v>
      </c>
    </row>
    <row r="545" spans="1:1" x14ac:dyDescent="0.25">
      <c r="A545" t="s">
        <v>3354</v>
      </c>
    </row>
    <row r="546" spans="1:1" x14ac:dyDescent="0.25">
      <c r="A546" t="s">
        <v>4291</v>
      </c>
    </row>
    <row r="547" spans="1:1" x14ac:dyDescent="0.25">
      <c r="A547" t="s">
        <v>1536</v>
      </c>
    </row>
    <row r="548" spans="1:1" x14ac:dyDescent="0.25">
      <c r="A548" t="s">
        <v>1537</v>
      </c>
    </row>
    <row r="549" spans="1:1" x14ac:dyDescent="0.25">
      <c r="A549" t="s">
        <v>4330</v>
      </c>
    </row>
    <row r="550" spans="1:1" x14ac:dyDescent="0.25">
      <c r="A550" t="s">
        <v>1538</v>
      </c>
    </row>
    <row r="551" spans="1:1" x14ac:dyDescent="0.25">
      <c r="A551" t="s">
        <v>1539</v>
      </c>
    </row>
    <row r="552" spans="1:1" x14ac:dyDescent="0.25">
      <c r="A552" t="s">
        <v>1540</v>
      </c>
    </row>
    <row r="553" spans="1:1" x14ac:dyDescent="0.25">
      <c r="A553" t="s">
        <v>1541</v>
      </c>
    </row>
    <row r="554" spans="1:1" x14ac:dyDescent="0.25">
      <c r="A554" t="s">
        <v>3178</v>
      </c>
    </row>
    <row r="555" spans="1:1" x14ac:dyDescent="0.25">
      <c r="A555" t="s">
        <v>3355</v>
      </c>
    </row>
    <row r="556" spans="1:1" x14ac:dyDescent="0.25">
      <c r="A556" t="s">
        <v>4291</v>
      </c>
    </row>
    <row r="557" spans="1:1" x14ac:dyDescent="0.25">
      <c r="A557" t="s">
        <v>3356</v>
      </c>
    </row>
    <row r="558" spans="1:1" x14ac:dyDescent="0.25">
      <c r="A558" t="s">
        <v>4291</v>
      </c>
    </row>
    <row r="559" spans="1:1" x14ac:dyDescent="0.25">
      <c r="A559" t="s">
        <v>3357</v>
      </c>
    </row>
    <row r="560" spans="1:1" x14ac:dyDescent="0.25">
      <c r="A560" t="s">
        <v>4291</v>
      </c>
    </row>
    <row r="561" spans="1:1" x14ac:dyDescent="0.25">
      <c r="A561" t="s">
        <v>1542</v>
      </c>
    </row>
    <row r="562" spans="1:1" x14ac:dyDescent="0.25">
      <c r="A562" t="s">
        <v>1543</v>
      </c>
    </row>
    <row r="563" spans="1:1" x14ac:dyDescent="0.25">
      <c r="A563" t="s">
        <v>4331</v>
      </c>
    </row>
    <row r="564" spans="1:1" x14ac:dyDescent="0.25">
      <c r="A564" t="s">
        <v>1544</v>
      </c>
    </row>
    <row r="565" spans="1:1" x14ac:dyDescent="0.25">
      <c r="A565" t="s">
        <v>1545</v>
      </c>
    </row>
    <row r="566" spans="1:1" x14ac:dyDescent="0.25">
      <c r="A566" t="s">
        <v>1546</v>
      </c>
    </row>
    <row r="567" spans="1:1" x14ac:dyDescent="0.25">
      <c r="A567" t="s">
        <v>1547</v>
      </c>
    </row>
    <row r="568" spans="1:1" x14ac:dyDescent="0.25">
      <c r="A568" t="s">
        <v>3179</v>
      </c>
    </row>
    <row r="569" spans="1:1" x14ac:dyDescent="0.25">
      <c r="A569" t="s">
        <v>3358</v>
      </c>
    </row>
    <row r="570" spans="1:1" x14ac:dyDescent="0.25">
      <c r="A570" t="s">
        <v>4291</v>
      </c>
    </row>
    <row r="571" spans="1:1" x14ac:dyDescent="0.25">
      <c r="A571" t="s">
        <v>3359</v>
      </c>
    </row>
    <row r="572" spans="1:1" x14ac:dyDescent="0.25">
      <c r="A572" t="s">
        <v>4291</v>
      </c>
    </row>
    <row r="573" spans="1:1" x14ac:dyDescent="0.25">
      <c r="A573" t="s">
        <v>3360</v>
      </c>
    </row>
    <row r="574" spans="1:1" x14ac:dyDescent="0.25">
      <c r="A574" t="s">
        <v>4291</v>
      </c>
    </row>
    <row r="575" spans="1:1" x14ac:dyDescent="0.25">
      <c r="A575" t="s">
        <v>1548</v>
      </c>
    </row>
    <row r="576" spans="1:1" x14ac:dyDescent="0.25">
      <c r="A576" t="s">
        <v>1549</v>
      </c>
    </row>
    <row r="577" spans="1:1" x14ac:dyDescent="0.25">
      <c r="A577" t="s">
        <v>4332</v>
      </c>
    </row>
    <row r="578" spans="1:1" x14ac:dyDescent="0.25">
      <c r="A578" t="s">
        <v>1550</v>
      </c>
    </row>
    <row r="579" spans="1:1" x14ac:dyDescent="0.25">
      <c r="A579" t="s">
        <v>1551</v>
      </c>
    </row>
    <row r="580" spans="1:1" x14ac:dyDescent="0.25">
      <c r="A580" t="s">
        <v>1552</v>
      </c>
    </row>
    <row r="581" spans="1:1" x14ac:dyDescent="0.25">
      <c r="A581" t="s">
        <v>1553</v>
      </c>
    </row>
    <row r="582" spans="1:1" x14ac:dyDescent="0.25">
      <c r="A582" t="s">
        <v>3180</v>
      </c>
    </row>
    <row r="583" spans="1:1" x14ac:dyDescent="0.25">
      <c r="A583" t="s">
        <v>3361</v>
      </c>
    </row>
    <row r="584" spans="1:1" x14ac:dyDescent="0.25">
      <c r="A584" t="s">
        <v>4291</v>
      </c>
    </row>
    <row r="585" spans="1:1" x14ac:dyDescent="0.25">
      <c r="A585" t="s">
        <v>3362</v>
      </c>
    </row>
    <row r="586" spans="1:1" x14ac:dyDescent="0.25">
      <c r="A586" t="s">
        <v>4291</v>
      </c>
    </row>
    <row r="587" spans="1:1" x14ac:dyDescent="0.25">
      <c r="A587" t="s">
        <v>3363</v>
      </c>
    </row>
    <row r="588" spans="1:1" x14ac:dyDescent="0.25">
      <c r="A588" t="s">
        <v>4291</v>
      </c>
    </row>
    <row r="589" spans="1:1" x14ac:dyDescent="0.25">
      <c r="A589" t="s">
        <v>1554</v>
      </c>
    </row>
    <row r="590" spans="1:1" x14ac:dyDescent="0.25">
      <c r="A590" t="s">
        <v>1555</v>
      </c>
    </row>
    <row r="591" spans="1:1" x14ac:dyDescent="0.25">
      <c r="A591" t="s">
        <v>4333</v>
      </c>
    </row>
    <row r="592" spans="1:1" x14ac:dyDescent="0.25">
      <c r="A592" t="s">
        <v>1556</v>
      </c>
    </row>
    <row r="593" spans="1:1" x14ac:dyDescent="0.25">
      <c r="A593" t="s">
        <v>1557</v>
      </c>
    </row>
    <row r="594" spans="1:1" x14ac:dyDescent="0.25">
      <c r="A594" t="s">
        <v>1558</v>
      </c>
    </row>
    <row r="595" spans="1:1" x14ac:dyDescent="0.25">
      <c r="A595" t="s">
        <v>1559</v>
      </c>
    </row>
    <row r="596" spans="1:1" x14ac:dyDescent="0.25">
      <c r="A596" t="s">
        <v>3181</v>
      </c>
    </row>
    <row r="597" spans="1:1" x14ac:dyDescent="0.25">
      <c r="A597" t="s">
        <v>3364</v>
      </c>
    </row>
    <row r="598" spans="1:1" x14ac:dyDescent="0.25">
      <c r="A598" t="s">
        <v>4291</v>
      </c>
    </row>
    <row r="599" spans="1:1" x14ac:dyDescent="0.25">
      <c r="A599" t="s">
        <v>3365</v>
      </c>
    </row>
    <row r="600" spans="1:1" x14ac:dyDescent="0.25">
      <c r="A600" t="s">
        <v>4291</v>
      </c>
    </row>
    <row r="601" spans="1:1" x14ac:dyDescent="0.25">
      <c r="A601" t="s">
        <v>3366</v>
      </c>
    </row>
    <row r="602" spans="1:1" x14ac:dyDescent="0.25">
      <c r="A602" t="s">
        <v>4291</v>
      </c>
    </row>
    <row r="603" spans="1:1" x14ac:dyDescent="0.25">
      <c r="A603" t="s">
        <v>1560</v>
      </c>
    </row>
    <row r="604" spans="1:1" x14ac:dyDescent="0.25">
      <c r="A604" t="s">
        <v>1561</v>
      </c>
    </row>
    <row r="605" spans="1:1" x14ac:dyDescent="0.25">
      <c r="A605" t="s">
        <v>4334</v>
      </c>
    </row>
    <row r="606" spans="1:1" x14ac:dyDescent="0.25">
      <c r="A606" t="s">
        <v>1562</v>
      </c>
    </row>
    <row r="607" spans="1:1" x14ac:dyDescent="0.25">
      <c r="A607" t="s">
        <v>1563</v>
      </c>
    </row>
    <row r="608" spans="1:1" x14ac:dyDescent="0.25">
      <c r="A608" t="s">
        <v>1564</v>
      </c>
    </row>
    <row r="609" spans="1:1" x14ac:dyDescent="0.25">
      <c r="A609" t="s">
        <v>1565</v>
      </c>
    </row>
    <row r="610" spans="1:1" x14ac:dyDescent="0.25">
      <c r="A610" t="s">
        <v>3182</v>
      </c>
    </row>
    <row r="611" spans="1:1" x14ac:dyDescent="0.25">
      <c r="A611" t="s">
        <v>3367</v>
      </c>
    </row>
    <row r="612" spans="1:1" x14ac:dyDescent="0.25">
      <c r="A612" t="s">
        <v>4291</v>
      </c>
    </row>
    <row r="613" spans="1:1" x14ac:dyDescent="0.25">
      <c r="A613" t="s">
        <v>3368</v>
      </c>
    </row>
    <row r="614" spans="1:1" x14ac:dyDescent="0.25">
      <c r="A614" t="s">
        <v>4291</v>
      </c>
    </row>
    <row r="615" spans="1:1" x14ac:dyDescent="0.25">
      <c r="A615" t="s">
        <v>3369</v>
      </c>
    </row>
    <row r="616" spans="1:1" x14ac:dyDescent="0.25">
      <c r="A616" t="s">
        <v>4291</v>
      </c>
    </row>
    <row r="617" spans="1:1" x14ac:dyDescent="0.25">
      <c r="A617" t="s">
        <v>1566</v>
      </c>
    </row>
    <row r="618" spans="1:1" x14ac:dyDescent="0.25">
      <c r="A618" t="s">
        <v>1567</v>
      </c>
    </row>
    <row r="619" spans="1:1" x14ac:dyDescent="0.25">
      <c r="A619" t="s">
        <v>4335</v>
      </c>
    </row>
    <row r="620" spans="1:1" x14ac:dyDescent="0.25">
      <c r="A620" t="s">
        <v>1568</v>
      </c>
    </row>
    <row r="621" spans="1:1" x14ac:dyDescent="0.25">
      <c r="A621" t="s">
        <v>1569</v>
      </c>
    </row>
    <row r="622" spans="1:1" x14ac:dyDescent="0.25">
      <c r="A622" t="s">
        <v>1570</v>
      </c>
    </row>
    <row r="623" spans="1:1" x14ac:dyDescent="0.25">
      <c r="A623" t="s">
        <v>1571</v>
      </c>
    </row>
    <row r="624" spans="1:1" x14ac:dyDescent="0.25">
      <c r="A624" t="s">
        <v>3183</v>
      </c>
    </row>
    <row r="625" spans="1:1" x14ac:dyDescent="0.25">
      <c r="A625" t="s">
        <v>3370</v>
      </c>
    </row>
    <row r="626" spans="1:1" x14ac:dyDescent="0.25">
      <c r="A626" t="s">
        <v>4291</v>
      </c>
    </row>
    <row r="627" spans="1:1" x14ac:dyDescent="0.25">
      <c r="A627" t="s">
        <v>3371</v>
      </c>
    </row>
    <row r="628" spans="1:1" x14ac:dyDescent="0.25">
      <c r="A628" t="s">
        <v>4291</v>
      </c>
    </row>
    <row r="629" spans="1:1" x14ac:dyDescent="0.25">
      <c r="A629" t="s">
        <v>3372</v>
      </c>
    </row>
    <row r="630" spans="1:1" x14ac:dyDescent="0.25">
      <c r="A630" t="s">
        <v>4291</v>
      </c>
    </row>
    <row r="631" spans="1:1" x14ac:dyDescent="0.25">
      <c r="A631" t="s">
        <v>1572</v>
      </c>
    </row>
    <row r="632" spans="1:1" x14ac:dyDescent="0.25">
      <c r="A632" t="s">
        <v>1573</v>
      </c>
    </row>
    <row r="633" spans="1:1" x14ac:dyDescent="0.25">
      <c r="A633" t="s">
        <v>4336</v>
      </c>
    </row>
    <row r="634" spans="1:1" x14ac:dyDescent="0.25">
      <c r="A634" t="s">
        <v>1574</v>
      </c>
    </row>
    <row r="635" spans="1:1" x14ac:dyDescent="0.25">
      <c r="A635" t="s">
        <v>1575</v>
      </c>
    </row>
    <row r="636" spans="1:1" x14ac:dyDescent="0.25">
      <c r="A636" t="s">
        <v>1576</v>
      </c>
    </row>
    <row r="637" spans="1:1" x14ac:dyDescent="0.25">
      <c r="A637" t="s">
        <v>1577</v>
      </c>
    </row>
    <row r="638" spans="1:1" x14ac:dyDescent="0.25">
      <c r="A638" t="s">
        <v>3184</v>
      </c>
    </row>
    <row r="639" spans="1:1" x14ac:dyDescent="0.25">
      <c r="A639" t="s">
        <v>3373</v>
      </c>
    </row>
    <row r="640" spans="1:1" x14ac:dyDescent="0.25">
      <c r="A640" t="s">
        <v>4291</v>
      </c>
    </row>
    <row r="641" spans="1:1" x14ac:dyDescent="0.25">
      <c r="A641" t="s">
        <v>3374</v>
      </c>
    </row>
    <row r="642" spans="1:1" x14ac:dyDescent="0.25">
      <c r="A642" t="s">
        <v>4291</v>
      </c>
    </row>
    <row r="643" spans="1:1" x14ac:dyDescent="0.25">
      <c r="A643" t="s">
        <v>3375</v>
      </c>
    </row>
    <row r="644" spans="1:1" x14ac:dyDescent="0.25">
      <c r="A644" t="s">
        <v>4291</v>
      </c>
    </row>
    <row r="645" spans="1:1" x14ac:dyDescent="0.25">
      <c r="A645" t="s">
        <v>1578</v>
      </c>
    </row>
    <row r="646" spans="1:1" x14ac:dyDescent="0.25">
      <c r="A646" t="s">
        <v>1579</v>
      </c>
    </row>
    <row r="647" spans="1:1" x14ac:dyDescent="0.25">
      <c r="A647" t="s">
        <v>4337</v>
      </c>
    </row>
    <row r="648" spans="1:1" x14ac:dyDescent="0.25">
      <c r="A648" t="s">
        <v>1580</v>
      </c>
    </row>
    <row r="649" spans="1:1" x14ac:dyDescent="0.25">
      <c r="A649" t="s">
        <v>1581</v>
      </c>
    </row>
    <row r="650" spans="1:1" x14ac:dyDescent="0.25">
      <c r="A650" t="s">
        <v>1582</v>
      </c>
    </row>
    <row r="651" spans="1:1" x14ac:dyDescent="0.25">
      <c r="A651" t="s">
        <v>1583</v>
      </c>
    </row>
    <row r="652" spans="1:1" x14ac:dyDescent="0.25">
      <c r="A652" t="s">
        <v>3185</v>
      </c>
    </row>
    <row r="653" spans="1:1" x14ac:dyDescent="0.25">
      <c r="A653" t="s">
        <v>3376</v>
      </c>
    </row>
    <row r="654" spans="1:1" x14ac:dyDescent="0.25">
      <c r="A654" t="s">
        <v>4291</v>
      </c>
    </row>
    <row r="655" spans="1:1" x14ac:dyDescent="0.25">
      <c r="A655" t="s">
        <v>3377</v>
      </c>
    </row>
    <row r="656" spans="1:1" x14ac:dyDescent="0.25">
      <c r="A656" t="s">
        <v>4291</v>
      </c>
    </row>
    <row r="657" spans="1:1" x14ac:dyDescent="0.25">
      <c r="A657" t="s">
        <v>3378</v>
      </c>
    </row>
    <row r="658" spans="1:1" x14ac:dyDescent="0.25">
      <c r="A658" t="s">
        <v>4291</v>
      </c>
    </row>
    <row r="659" spans="1:1" x14ac:dyDescent="0.25">
      <c r="A659" t="s">
        <v>1584</v>
      </c>
    </row>
    <row r="660" spans="1:1" x14ac:dyDescent="0.25">
      <c r="A660" t="s">
        <v>1585</v>
      </c>
    </row>
    <row r="661" spans="1:1" x14ac:dyDescent="0.25">
      <c r="A661" t="s">
        <v>4338</v>
      </c>
    </row>
    <row r="662" spans="1:1" x14ac:dyDescent="0.25">
      <c r="A662" t="s">
        <v>1586</v>
      </c>
    </row>
    <row r="663" spans="1:1" x14ac:dyDescent="0.25">
      <c r="A663" t="s">
        <v>1587</v>
      </c>
    </row>
    <row r="664" spans="1:1" x14ac:dyDescent="0.25">
      <c r="A664" t="s">
        <v>1588</v>
      </c>
    </row>
    <row r="665" spans="1:1" x14ac:dyDescent="0.25">
      <c r="A665" t="s">
        <v>1589</v>
      </c>
    </row>
    <row r="666" spans="1:1" x14ac:dyDescent="0.25">
      <c r="A666" t="s">
        <v>3186</v>
      </c>
    </row>
    <row r="667" spans="1:1" x14ac:dyDescent="0.25">
      <c r="A667" t="s">
        <v>3379</v>
      </c>
    </row>
    <row r="668" spans="1:1" x14ac:dyDescent="0.25">
      <c r="A668" t="s">
        <v>4291</v>
      </c>
    </row>
    <row r="669" spans="1:1" x14ac:dyDescent="0.25">
      <c r="A669" t="s">
        <v>3380</v>
      </c>
    </row>
    <row r="670" spans="1:1" x14ac:dyDescent="0.25">
      <c r="A670" t="s">
        <v>4291</v>
      </c>
    </row>
    <row r="671" spans="1:1" x14ac:dyDescent="0.25">
      <c r="A671" t="s">
        <v>3381</v>
      </c>
    </row>
    <row r="672" spans="1:1" x14ac:dyDescent="0.25">
      <c r="A672" t="s">
        <v>4291</v>
      </c>
    </row>
    <row r="673" spans="1:1" x14ac:dyDescent="0.25">
      <c r="A673" t="s">
        <v>1590</v>
      </c>
    </row>
    <row r="674" spans="1:1" x14ac:dyDescent="0.25">
      <c r="A674" t="s">
        <v>1591</v>
      </c>
    </row>
    <row r="675" spans="1:1" x14ac:dyDescent="0.25">
      <c r="A675" t="s">
        <v>4339</v>
      </c>
    </row>
    <row r="676" spans="1:1" x14ac:dyDescent="0.25">
      <c r="A676" t="s">
        <v>1592</v>
      </c>
    </row>
    <row r="677" spans="1:1" x14ac:dyDescent="0.25">
      <c r="A677" t="s">
        <v>1593</v>
      </c>
    </row>
    <row r="678" spans="1:1" x14ac:dyDescent="0.25">
      <c r="A678" t="s">
        <v>1594</v>
      </c>
    </row>
    <row r="679" spans="1:1" x14ac:dyDescent="0.25">
      <c r="A679" t="s">
        <v>1595</v>
      </c>
    </row>
    <row r="680" spans="1:1" x14ac:dyDescent="0.25">
      <c r="A680" t="s">
        <v>3187</v>
      </c>
    </row>
    <row r="681" spans="1:1" x14ac:dyDescent="0.25">
      <c r="A681" t="s">
        <v>3382</v>
      </c>
    </row>
    <row r="682" spans="1:1" x14ac:dyDescent="0.25">
      <c r="A682" t="s">
        <v>4291</v>
      </c>
    </row>
    <row r="683" spans="1:1" x14ac:dyDescent="0.25">
      <c r="A683" t="s">
        <v>3383</v>
      </c>
    </row>
    <row r="684" spans="1:1" x14ac:dyDescent="0.25">
      <c r="A684" t="s">
        <v>4291</v>
      </c>
    </row>
    <row r="685" spans="1:1" x14ac:dyDescent="0.25">
      <c r="A685" t="s">
        <v>3384</v>
      </c>
    </row>
    <row r="686" spans="1:1" x14ac:dyDescent="0.25">
      <c r="A686" t="s">
        <v>4291</v>
      </c>
    </row>
    <row r="687" spans="1:1" x14ac:dyDescent="0.25">
      <c r="A687" t="s">
        <v>1596</v>
      </c>
    </row>
    <row r="688" spans="1:1" x14ac:dyDescent="0.25">
      <c r="A688" t="s">
        <v>1597</v>
      </c>
    </row>
    <row r="689" spans="1:1" x14ac:dyDescent="0.25">
      <c r="A689" t="s">
        <v>4340</v>
      </c>
    </row>
    <row r="690" spans="1:1" x14ac:dyDescent="0.25">
      <c r="A690" t="s">
        <v>1598</v>
      </c>
    </row>
    <row r="691" spans="1:1" x14ac:dyDescent="0.25">
      <c r="A691" t="s">
        <v>1599</v>
      </c>
    </row>
    <row r="692" spans="1:1" x14ac:dyDescent="0.25">
      <c r="A692" t="s">
        <v>1600</v>
      </c>
    </row>
    <row r="693" spans="1:1" x14ac:dyDescent="0.25">
      <c r="A693" t="s">
        <v>1601</v>
      </c>
    </row>
    <row r="694" spans="1:1" x14ac:dyDescent="0.25">
      <c r="A694" t="s">
        <v>3188</v>
      </c>
    </row>
    <row r="695" spans="1:1" x14ac:dyDescent="0.25">
      <c r="A695" t="s">
        <v>3385</v>
      </c>
    </row>
    <row r="696" spans="1:1" x14ac:dyDescent="0.25">
      <c r="A696" t="s">
        <v>4291</v>
      </c>
    </row>
    <row r="697" spans="1:1" x14ac:dyDescent="0.25">
      <c r="A697" t="s">
        <v>3386</v>
      </c>
    </row>
    <row r="698" spans="1:1" x14ac:dyDescent="0.25">
      <c r="A698" t="s">
        <v>4291</v>
      </c>
    </row>
    <row r="699" spans="1:1" x14ac:dyDescent="0.25">
      <c r="A699" t="s">
        <v>3387</v>
      </c>
    </row>
    <row r="700" spans="1:1" x14ac:dyDescent="0.25">
      <c r="A700" t="s">
        <v>4291</v>
      </c>
    </row>
    <row r="701" spans="1:1" x14ac:dyDescent="0.25">
      <c r="A701" t="s">
        <v>1602</v>
      </c>
    </row>
    <row r="702" spans="1:1" x14ac:dyDescent="0.25">
      <c r="A702" t="s">
        <v>1603</v>
      </c>
    </row>
    <row r="703" spans="1:1" x14ac:dyDescent="0.25">
      <c r="A703" t="s">
        <v>4341</v>
      </c>
    </row>
    <row r="704" spans="1:1" x14ac:dyDescent="0.25">
      <c r="A704" t="s">
        <v>1604</v>
      </c>
    </row>
    <row r="705" spans="1:1" x14ac:dyDescent="0.25">
      <c r="A705" t="s">
        <v>1605</v>
      </c>
    </row>
    <row r="706" spans="1:1" x14ac:dyDescent="0.25">
      <c r="A706" t="s">
        <v>1606</v>
      </c>
    </row>
    <row r="707" spans="1:1" x14ac:dyDescent="0.25">
      <c r="A707" t="s">
        <v>1607</v>
      </c>
    </row>
    <row r="708" spans="1:1" x14ac:dyDescent="0.25">
      <c r="A708" t="s">
        <v>3189</v>
      </c>
    </row>
    <row r="709" spans="1:1" x14ac:dyDescent="0.25">
      <c r="A709" t="s">
        <v>3388</v>
      </c>
    </row>
    <row r="710" spans="1:1" x14ac:dyDescent="0.25">
      <c r="A710" t="s">
        <v>4291</v>
      </c>
    </row>
    <row r="711" spans="1:1" x14ac:dyDescent="0.25">
      <c r="A711" t="s">
        <v>3389</v>
      </c>
    </row>
    <row r="712" spans="1:1" x14ac:dyDescent="0.25">
      <c r="A712" t="s">
        <v>4291</v>
      </c>
    </row>
    <row r="713" spans="1:1" x14ac:dyDescent="0.25">
      <c r="A713" t="s">
        <v>3390</v>
      </c>
    </row>
    <row r="714" spans="1:1" x14ac:dyDescent="0.25">
      <c r="A714" t="s">
        <v>4291</v>
      </c>
    </row>
    <row r="715" spans="1:1" x14ac:dyDescent="0.25">
      <c r="A715" t="s">
        <v>1608</v>
      </c>
    </row>
    <row r="716" spans="1:1" x14ac:dyDescent="0.25">
      <c r="A716" t="s">
        <v>1609</v>
      </c>
    </row>
    <row r="717" spans="1:1" x14ac:dyDescent="0.25">
      <c r="A717" t="s">
        <v>4342</v>
      </c>
    </row>
    <row r="718" spans="1:1" x14ac:dyDescent="0.25">
      <c r="A718" t="s">
        <v>1610</v>
      </c>
    </row>
    <row r="719" spans="1:1" x14ac:dyDescent="0.25">
      <c r="A719" t="s">
        <v>1611</v>
      </c>
    </row>
    <row r="720" spans="1:1" x14ac:dyDescent="0.25">
      <c r="A720" t="s">
        <v>1612</v>
      </c>
    </row>
    <row r="721" spans="1:1" x14ac:dyDescent="0.25">
      <c r="A721" t="s">
        <v>1613</v>
      </c>
    </row>
    <row r="722" spans="1:1" x14ac:dyDescent="0.25">
      <c r="A722" t="s">
        <v>3190</v>
      </c>
    </row>
    <row r="723" spans="1:1" x14ac:dyDescent="0.25">
      <c r="A723" t="s">
        <v>3391</v>
      </c>
    </row>
    <row r="724" spans="1:1" x14ac:dyDescent="0.25">
      <c r="A724" t="s">
        <v>4291</v>
      </c>
    </row>
    <row r="725" spans="1:1" x14ac:dyDescent="0.25">
      <c r="A725" t="s">
        <v>3392</v>
      </c>
    </row>
    <row r="726" spans="1:1" x14ac:dyDescent="0.25">
      <c r="A726" t="s">
        <v>4291</v>
      </c>
    </row>
    <row r="727" spans="1:1" x14ac:dyDescent="0.25">
      <c r="A727" t="s">
        <v>3393</v>
      </c>
    </row>
    <row r="728" spans="1:1" x14ac:dyDescent="0.25">
      <c r="A728" t="s">
        <v>4291</v>
      </c>
    </row>
    <row r="729" spans="1:1" x14ac:dyDescent="0.25">
      <c r="A729" t="s">
        <v>1614</v>
      </c>
    </row>
    <row r="730" spans="1:1" x14ac:dyDescent="0.25">
      <c r="A730" t="s">
        <v>1615</v>
      </c>
    </row>
    <row r="731" spans="1:1" x14ac:dyDescent="0.25">
      <c r="A731" t="s">
        <v>4343</v>
      </c>
    </row>
    <row r="732" spans="1:1" x14ac:dyDescent="0.25">
      <c r="A732" t="s">
        <v>1616</v>
      </c>
    </row>
    <row r="733" spans="1:1" x14ac:dyDescent="0.25">
      <c r="A733" t="s">
        <v>1617</v>
      </c>
    </row>
    <row r="734" spans="1:1" x14ac:dyDescent="0.25">
      <c r="A734" t="s">
        <v>1618</v>
      </c>
    </row>
    <row r="735" spans="1:1" x14ac:dyDescent="0.25">
      <c r="A735" t="s">
        <v>1619</v>
      </c>
    </row>
    <row r="736" spans="1:1" x14ac:dyDescent="0.25">
      <c r="A736" t="s">
        <v>3191</v>
      </c>
    </row>
    <row r="737" spans="1:1" x14ac:dyDescent="0.25">
      <c r="A737" t="s">
        <v>3394</v>
      </c>
    </row>
    <row r="738" spans="1:1" x14ac:dyDescent="0.25">
      <c r="A738" t="s">
        <v>4291</v>
      </c>
    </row>
    <row r="739" spans="1:1" x14ac:dyDescent="0.25">
      <c r="A739" t="s">
        <v>3395</v>
      </c>
    </row>
    <row r="740" spans="1:1" x14ac:dyDescent="0.25">
      <c r="A740" t="s">
        <v>4291</v>
      </c>
    </row>
    <row r="741" spans="1:1" x14ac:dyDescent="0.25">
      <c r="A741" t="s">
        <v>3396</v>
      </c>
    </row>
    <row r="742" spans="1:1" x14ac:dyDescent="0.25">
      <c r="A742" t="s">
        <v>4291</v>
      </c>
    </row>
    <row r="743" spans="1:1" x14ac:dyDescent="0.25">
      <c r="A743" t="s">
        <v>1620</v>
      </c>
    </row>
    <row r="744" spans="1:1" x14ac:dyDescent="0.25">
      <c r="A744" t="s">
        <v>1621</v>
      </c>
    </row>
    <row r="745" spans="1:1" x14ac:dyDescent="0.25">
      <c r="A745" t="s">
        <v>4344</v>
      </c>
    </row>
    <row r="746" spans="1:1" x14ac:dyDescent="0.25">
      <c r="A746" t="s">
        <v>1622</v>
      </c>
    </row>
    <row r="747" spans="1:1" x14ac:dyDescent="0.25">
      <c r="A747" t="s">
        <v>1623</v>
      </c>
    </row>
    <row r="748" spans="1:1" x14ac:dyDescent="0.25">
      <c r="A748" t="s">
        <v>1624</v>
      </c>
    </row>
    <row r="749" spans="1:1" x14ac:dyDescent="0.25">
      <c r="A749" t="s">
        <v>1625</v>
      </c>
    </row>
    <row r="750" spans="1:1" x14ac:dyDescent="0.25">
      <c r="A750" t="s">
        <v>3192</v>
      </c>
    </row>
    <row r="751" spans="1:1" x14ac:dyDescent="0.25">
      <c r="A751" t="s">
        <v>3397</v>
      </c>
    </row>
    <row r="752" spans="1:1" x14ac:dyDescent="0.25">
      <c r="A752" t="s">
        <v>4291</v>
      </c>
    </row>
    <row r="753" spans="1:1" x14ac:dyDescent="0.25">
      <c r="A753" t="s">
        <v>3398</v>
      </c>
    </row>
    <row r="754" spans="1:1" x14ac:dyDescent="0.25">
      <c r="A754" t="s">
        <v>4291</v>
      </c>
    </row>
    <row r="755" spans="1:1" x14ac:dyDescent="0.25">
      <c r="A755" t="s">
        <v>3399</v>
      </c>
    </row>
    <row r="756" spans="1:1" x14ac:dyDescent="0.25">
      <c r="A756" t="s">
        <v>4291</v>
      </c>
    </row>
    <row r="757" spans="1:1" x14ac:dyDescent="0.25">
      <c r="A757" t="s">
        <v>1626</v>
      </c>
    </row>
    <row r="758" spans="1:1" x14ac:dyDescent="0.25">
      <c r="A758" t="s">
        <v>1627</v>
      </c>
    </row>
    <row r="759" spans="1:1" x14ac:dyDescent="0.25">
      <c r="A759" t="s">
        <v>4345</v>
      </c>
    </row>
    <row r="760" spans="1:1" x14ac:dyDescent="0.25">
      <c r="A760" t="s">
        <v>1628</v>
      </c>
    </row>
    <row r="761" spans="1:1" x14ac:dyDescent="0.25">
      <c r="A761" t="s">
        <v>1629</v>
      </c>
    </row>
    <row r="762" spans="1:1" x14ac:dyDescent="0.25">
      <c r="A762" t="s">
        <v>1630</v>
      </c>
    </row>
    <row r="763" spans="1:1" x14ac:dyDescent="0.25">
      <c r="A763" t="s">
        <v>1631</v>
      </c>
    </row>
    <row r="764" spans="1:1" x14ac:dyDescent="0.25">
      <c r="A764" t="s">
        <v>3193</v>
      </c>
    </row>
    <row r="765" spans="1:1" x14ac:dyDescent="0.25">
      <c r="A765" t="s">
        <v>3400</v>
      </c>
    </row>
    <row r="766" spans="1:1" x14ac:dyDescent="0.25">
      <c r="A766" t="s">
        <v>4291</v>
      </c>
    </row>
    <row r="767" spans="1:1" x14ac:dyDescent="0.25">
      <c r="A767" t="s">
        <v>3401</v>
      </c>
    </row>
    <row r="768" spans="1:1" x14ac:dyDescent="0.25">
      <c r="A768" t="s">
        <v>4291</v>
      </c>
    </row>
    <row r="769" spans="1:1" x14ac:dyDescent="0.25">
      <c r="A769" t="s">
        <v>3402</v>
      </c>
    </row>
    <row r="770" spans="1:1" x14ac:dyDescent="0.25">
      <c r="A770" t="s">
        <v>4291</v>
      </c>
    </row>
    <row r="771" spans="1:1" x14ac:dyDescent="0.25">
      <c r="A771" t="s">
        <v>1632</v>
      </c>
    </row>
    <row r="772" spans="1:1" x14ac:dyDescent="0.25">
      <c r="A772" t="s">
        <v>1633</v>
      </c>
    </row>
    <row r="773" spans="1:1" x14ac:dyDescent="0.25">
      <c r="A773" t="s">
        <v>4346</v>
      </c>
    </row>
    <row r="774" spans="1:1" x14ac:dyDescent="0.25">
      <c r="A774" t="s">
        <v>1634</v>
      </c>
    </row>
    <row r="775" spans="1:1" x14ac:dyDescent="0.25">
      <c r="A775" t="s">
        <v>1635</v>
      </c>
    </row>
    <row r="776" spans="1:1" x14ac:dyDescent="0.25">
      <c r="A776" t="s">
        <v>1636</v>
      </c>
    </row>
    <row r="777" spans="1:1" x14ac:dyDescent="0.25">
      <c r="A777" t="s">
        <v>1637</v>
      </c>
    </row>
    <row r="778" spans="1:1" x14ac:dyDescent="0.25">
      <c r="A778" t="s">
        <v>3194</v>
      </c>
    </row>
    <row r="779" spans="1:1" x14ac:dyDescent="0.25">
      <c r="A779" t="s">
        <v>3403</v>
      </c>
    </row>
    <row r="780" spans="1:1" x14ac:dyDescent="0.25">
      <c r="A780" t="s">
        <v>4291</v>
      </c>
    </row>
    <row r="781" spans="1:1" x14ac:dyDescent="0.25">
      <c r="A781" t="s">
        <v>3404</v>
      </c>
    </row>
    <row r="782" spans="1:1" x14ac:dyDescent="0.25">
      <c r="A782" t="s">
        <v>4291</v>
      </c>
    </row>
    <row r="783" spans="1:1" x14ac:dyDescent="0.25">
      <c r="A783" t="s">
        <v>3405</v>
      </c>
    </row>
    <row r="784" spans="1:1" x14ac:dyDescent="0.25">
      <c r="A784" t="s">
        <v>4291</v>
      </c>
    </row>
    <row r="785" spans="1:1" x14ac:dyDescent="0.25">
      <c r="A785" t="s">
        <v>1638</v>
      </c>
    </row>
    <row r="786" spans="1:1" x14ac:dyDescent="0.25">
      <c r="A786" t="s">
        <v>1639</v>
      </c>
    </row>
    <row r="787" spans="1:1" x14ac:dyDescent="0.25">
      <c r="A787" t="s">
        <v>4347</v>
      </c>
    </row>
    <row r="788" spans="1:1" x14ac:dyDescent="0.25">
      <c r="A788" t="s">
        <v>1640</v>
      </c>
    </row>
    <row r="789" spans="1:1" x14ac:dyDescent="0.25">
      <c r="A789" t="s">
        <v>1641</v>
      </c>
    </row>
    <row r="790" spans="1:1" x14ac:dyDescent="0.25">
      <c r="A790" t="s">
        <v>1642</v>
      </c>
    </row>
    <row r="791" spans="1:1" x14ac:dyDescent="0.25">
      <c r="A791" t="s">
        <v>1643</v>
      </c>
    </row>
    <row r="792" spans="1:1" x14ac:dyDescent="0.25">
      <c r="A792" t="s">
        <v>3195</v>
      </c>
    </row>
    <row r="793" spans="1:1" x14ac:dyDescent="0.25">
      <c r="A793" t="s">
        <v>3406</v>
      </c>
    </row>
    <row r="794" spans="1:1" x14ac:dyDescent="0.25">
      <c r="A794" t="s">
        <v>4291</v>
      </c>
    </row>
    <row r="795" spans="1:1" x14ac:dyDescent="0.25">
      <c r="A795" t="s">
        <v>3407</v>
      </c>
    </row>
    <row r="796" spans="1:1" x14ac:dyDescent="0.25">
      <c r="A796" t="s">
        <v>4291</v>
      </c>
    </row>
    <row r="797" spans="1:1" x14ac:dyDescent="0.25">
      <c r="A797" t="s">
        <v>3408</v>
      </c>
    </row>
    <row r="798" spans="1:1" x14ac:dyDescent="0.25">
      <c r="A798" t="s">
        <v>4291</v>
      </c>
    </row>
    <row r="799" spans="1:1" x14ac:dyDescent="0.25">
      <c r="A799" t="s">
        <v>1644</v>
      </c>
    </row>
    <row r="800" spans="1:1" x14ac:dyDescent="0.25">
      <c r="A800" t="s">
        <v>1645</v>
      </c>
    </row>
    <row r="801" spans="1:1" x14ac:dyDescent="0.25">
      <c r="A801" t="s">
        <v>4348</v>
      </c>
    </row>
    <row r="802" spans="1:1" x14ac:dyDescent="0.25">
      <c r="A802" t="s">
        <v>1646</v>
      </c>
    </row>
    <row r="803" spans="1:1" x14ac:dyDescent="0.25">
      <c r="A803" t="s">
        <v>1647</v>
      </c>
    </row>
    <row r="804" spans="1:1" x14ac:dyDescent="0.25">
      <c r="A804" t="s">
        <v>1648</v>
      </c>
    </row>
    <row r="805" spans="1:1" x14ac:dyDescent="0.25">
      <c r="A805" t="s">
        <v>1649</v>
      </c>
    </row>
    <row r="806" spans="1:1" x14ac:dyDescent="0.25">
      <c r="A806" t="s">
        <v>3196</v>
      </c>
    </row>
    <row r="807" spans="1:1" x14ac:dyDescent="0.25">
      <c r="A807" t="s">
        <v>3409</v>
      </c>
    </row>
    <row r="808" spans="1:1" x14ac:dyDescent="0.25">
      <c r="A808" t="s">
        <v>4291</v>
      </c>
    </row>
    <row r="809" spans="1:1" x14ac:dyDescent="0.25">
      <c r="A809" t="s">
        <v>3410</v>
      </c>
    </row>
    <row r="810" spans="1:1" x14ac:dyDescent="0.25">
      <c r="A810" t="s">
        <v>4291</v>
      </c>
    </row>
    <row r="811" spans="1:1" x14ac:dyDescent="0.25">
      <c r="A811" t="s">
        <v>3411</v>
      </c>
    </row>
    <row r="812" spans="1:1" x14ac:dyDescent="0.25">
      <c r="A812" t="s">
        <v>4291</v>
      </c>
    </row>
    <row r="813" spans="1:1" x14ac:dyDescent="0.25">
      <c r="A813" t="s">
        <v>1650</v>
      </c>
    </row>
    <row r="814" spans="1:1" x14ac:dyDescent="0.25">
      <c r="A814" t="s">
        <v>1651</v>
      </c>
    </row>
    <row r="815" spans="1:1" x14ac:dyDescent="0.25">
      <c r="A815" t="s">
        <v>4349</v>
      </c>
    </row>
    <row r="816" spans="1:1" x14ac:dyDescent="0.25">
      <c r="A816" t="s">
        <v>1652</v>
      </c>
    </row>
    <row r="817" spans="1:1" x14ac:dyDescent="0.25">
      <c r="A817" t="s">
        <v>1653</v>
      </c>
    </row>
    <row r="818" spans="1:1" x14ac:dyDescent="0.25">
      <c r="A818" t="s">
        <v>1654</v>
      </c>
    </row>
    <row r="819" spans="1:1" x14ac:dyDescent="0.25">
      <c r="A819" t="s">
        <v>1655</v>
      </c>
    </row>
    <row r="820" spans="1:1" x14ac:dyDescent="0.25">
      <c r="A820" t="s">
        <v>3197</v>
      </c>
    </row>
    <row r="821" spans="1:1" x14ac:dyDescent="0.25">
      <c r="A821" t="s">
        <v>3412</v>
      </c>
    </row>
    <row r="822" spans="1:1" x14ac:dyDescent="0.25">
      <c r="A822" t="s">
        <v>4291</v>
      </c>
    </row>
    <row r="823" spans="1:1" x14ac:dyDescent="0.25">
      <c r="A823" t="s">
        <v>3413</v>
      </c>
    </row>
    <row r="824" spans="1:1" x14ac:dyDescent="0.25">
      <c r="A824" t="s">
        <v>4291</v>
      </c>
    </row>
    <row r="825" spans="1:1" x14ac:dyDescent="0.25">
      <c r="A825" t="s">
        <v>3414</v>
      </c>
    </row>
    <row r="826" spans="1:1" x14ac:dyDescent="0.25">
      <c r="A826" t="s">
        <v>4291</v>
      </c>
    </row>
    <row r="827" spans="1:1" x14ac:dyDescent="0.25">
      <c r="A827" t="s">
        <v>1656</v>
      </c>
    </row>
    <row r="828" spans="1:1" x14ac:dyDescent="0.25">
      <c r="A828" t="s">
        <v>1657</v>
      </c>
    </row>
    <row r="829" spans="1:1" x14ac:dyDescent="0.25">
      <c r="A829" t="s">
        <v>4350</v>
      </c>
    </row>
    <row r="830" spans="1:1" x14ac:dyDescent="0.25">
      <c r="A830" t="s">
        <v>1658</v>
      </c>
    </row>
    <row r="831" spans="1:1" x14ac:dyDescent="0.25">
      <c r="A831" t="s">
        <v>1659</v>
      </c>
    </row>
    <row r="832" spans="1:1" x14ac:dyDescent="0.25">
      <c r="A832" t="s">
        <v>1660</v>
      </c>
    </row>
    <row r="833" spans="1:1" x14ac:dyDescent="0.25">
      <c r="A833" t="s">
        <v>1661</v>
      </c>
    </row>
    <row r="834" spans="1:1" x14ac:dyDescent="0.25">
      <c r="A834" t="s">
        <v>3198</v>
      </c>
    </row>
    <row r="835" spans="1:1" x14ac:dyDescent="0.25">
      <c r="A835" t="s">
        <v>3415</v>
      </c>
    </row>
    <row r="836" spans="1:1" x14ac:dyDescent="0.25">
      <c r="A836" t="s">
        <v>4291</v>
      </c>
    </row>
    <row r="837" spans="1:1" x14ac:dyDescent="0.25">
      <c r="A837" t="s">
        <v>3416</v>
      </c>
    </row>
    <row r="838" spans="1:1" x14ac:dyDescent="0.25">
      <c r="A838" t="s">
        <v>4291</v>
      </c>
    </row>
    <row r="839" spans="1:1" x14ac:dyDescent="0.25">
      <c r="A839" t="s">
        <v>3417</v>
      </c>
    </row>
    <row r="840" spans="1:1" x14ac:dyDescent="0.25">
      <c r="A840" t="s">
        <v>4291</v>
      </c>
    </row>
    <row r="841" spans="1:1" x14ac:dyDescent="0.25">
      <c r="A841" t="s">
        <v>1662</v>
      </c>
    </row>
    <row r="842" spans="1:1" x14ac:dyDescent="0.25">
      <c r="A842" t="s">
        <v>1663</v>
      </c>
    </row>
    <row r="843" spans="1:1" x14ac:dyDescent="0.25">
      <c r="A843" t="s">
        <v>4351</v>
      </c>
    </row>
    <row r="844" spans="1:1" x14ac:dyDescent="0.25">
      <c r="A844" t="s">
        <v>1664</v>
      </c>
    </row>
    <row r="845" spans="1:1" x14ac:dyDescent="0.25">
      <c r="A845" t="s">
        <v>1665</v>
      </c>
    </row>
    <row r="846" spans="1:1" x14ac:dyDescent="0.25">
      <c r="A846" t="s">
        <v>1666</v>
      </c>
    </row>
    <row r="847" spans="1:1" x14ac:dyDescent="0.25">
      <c r="A847" t="s">
        <v>1667</v>
      </c>
    </row>
    <row r="848" spans="1:1" x14ac:dyDescent="0.25">
      <c r="A848" t="s">
        <v>3199</v>
      </c>
    </row>
    <row r="849" spans="1:1" x14ac:dyDescent="0.25">
      <c r="A849" t="s">
        <v>3418</v>
      </c>
    </row>
    <row r="850" spans="1:1" x14ac:dyDescent="0.25">
      <c r="A850" t="s">
        <v>4291</v>
      </c>
    </row>
    <row r="851" spans="1:1" x14ac:dyDescent="0.25">
      <c r="A851" t="s">
        <v>3419</v>
      </c>
    </row>
    <row r="852" spans="1:1" x14ac:dyDescent="0.25">
      <c r="A852" t="s">
        <v>4291</v>
      </c>
    </row>
    <row r="853" spans="1:1" x14ac:dyDescent="0.25">
      <c r="A853" t="s">
        <v>3420</v>
      </c>
    </row>
    <row r="854" spans="1:1" x14ac:dyDescent="0.25">
      <c r="A854" t="s">
        <v>4291</v>
      </c>
    </row>
    <row r="855" spans="1:1" x14ac:dyDescent="0.25">
      <c r="A855" t="s">
        <v>1668</v>
      </c>
    </row>
    <row r="856" spans="1:1" x14ac:dyDescent="0.25">
      <c r="A856" t="s">
        <v>1669</v>
      </c>
    </row>
    <row r="857" spans="1:1" x14ac:dyDescent="0.25">
      <c r="A857" t="s">
        <v>4352</v>
      </c>
    </row>
    <row r="858" spans="1:1" x14ac:dyDescent="0.25">
      <c r="A858" t="s">
        <v>1670</v>
      </c>
    </row>
    <row r="859" spans="1:1" x14ac:dyDescent="0.25">
      <c r="A859" t="s">
        <v>1671</v>
      </c>
    </row>
    <row r="860" spans="1:1" x14ac:dyDescent="0.25">
      <c r="A860" t="s">
        <v>1672</v>
      </c>
    </row>
    <row r="861" spans="1:1" x14ac:dyDescent="0.25">
      <c r="A861" t="s">
        <v>1673</v>
      </c>
    </row>
    <row r="862" spans="1:1" x14ac:dyDescent="0.25">
      <c r="A862" t="s">
        <v>3200</v>
      </c>
    </row>
    <row r="863" spans="1:1" x14ac:dyDescent="0.25">
      <c r="A863" t="s">
        <v>3421</v>
      </c>
    </row>
    <row r="864" spans="1:1" x14ac:dyDescent="0.25">
      <c r="A864" t="s">
        <v>4291</v>
      </c>
    </row>
    <row r="865" spans="1:1" x14ac:dyDescent="0.25">
      <c r="A865" t="s">
        <v>3422</v>
      </c>
    </row>
    <row r="866" spans="1:1" x14ac:dyDescent="0.25">
      <c r="A866" t="s">
        <v>4291</v>
      </c>
    </row>
    <row r="867" spans="1:1" x14ac:dyDescent="0.25">
      <c r="A867" t="s">
        <v>3423</v>
      </c>
    </row>
    <row r="868" spans="1:1" x14ac:dyDescent="0.25">
      <c r="A868" t="s">
        <v>4291</v>
      </c>
    </row>
    <row r="869" spans="1:1" x14ac:dyDescent="0.25">
      <c r="A869" t="s">
        <v>1674</v>
      </c>
    </row>
    <row r="870" spans="1:1" x14ac:dyDescent="0.25">
      <c r="A870" t="s">
        <v>1675</v>
      </c>
    </row>
    <row r="871" spans="1:1" x14ac:dyDescent="0.25">
      <c r="A871" t="s">
        <v>4353</v>
      </c>
    </row>
    <row r="872" spans="1:1" x14ac:dyDescent="0.25">
      <c r="A872" t="s">
        <v>1676</v>
      </c>
    </row>
    <row r="873" spans="1:1" x14ac:dyDescent="0.25">
      <c r="A873" t="s">
        <v>1677</v>
      </c>
    </row>
    <row r="874" spans="1:1" x14ac:dyDescent="0.25">
      <c r="A874" t="s">
        <v>1678</v>
      </c>
    </row>
    <row r="875" spans="1:1" x14ac:dyDescent="0.25">
      <c r="A875" t="s">
        <v>1679</v>
      </c>
    </row>
    <row r="876" spans="1:1" x14ac:dyDescent="0.25">
      <c r="A876" t="s">
        <v>3201</v>
      </c>
    </row>
    <row r="877" spans="1:1" x14ac:dyDescent="0.25">
      <c r="A877" t="s">
        <v>3424</v>
      </c>
    </row>
    <row r="878" spans="1:1" x14ac:dyDescent="0.25">
      <c r="A878" t="s">
        <v>4291</v>
      </c>
    </row>
    <row r="879" spans="1:1" x14ac:dyDescent="0.25">
      <c r="A879" t="s">
        <v>3425</v>
      </c>
    </row>
    <row r="880" spans="1:1" x14ac:dyDescent="0.25">
      <c r="A880" t="s">
        <v>4291</v>
      </c>
    </row>
    <row r="881" spans="1:1" x14ac:dyDescent="0.25">
      <c r="A881" t="s">
        <v>3426</v>
      </c>
    </row>
    <row r="882" spans="1:1" x14ac:dyDescent="0.25">
      <c r="A882" t="s">
        <v>4291</v>
      </c>
    </row>
    <row r="883" spans="1:1" x14ac:dyDescent="0.25">
      <c r="A883" t="s">
        <v>1680</v>
      </c>
    </row>
    <row r="884" spans="1:1" x14ac:dyDescent="0.25">
      <c r="A884" t="s">
        <v>1681</v>
      </c>
    </row>
    <row r="885" spans="1:1" x14ac:dyDescent="0.25">
      <c r="A885" t="s">
        <v>4354</v>
      </c>
    </row>
    <row r="886" spans="1:1" x14ac:dyDescent="0.25">
      <c r="A886" t="s">
        <v>1682</v>
      </c>
    </row>
    <row r="887" spans="1:1" x14ac:dyDescent="0.25">
      <c r="A887" t="s">
        <v>1683</v>
      </c>
    </row>
    <row r="888" spans="1:1" x14ac:dyDescent="0.25">
      <c r="A888" t="s">
        <v>1684</v>
      </c>
    </row>
    <row r="889" spans="1:1" x14ac:dyDescent="0.25">
      <c r="A889" t="s">
        <v>1685</v>
      </c>
    </row>
    <row r="890" spans="1:1" x14ac:dyDescent="0.25">
      <c r="A890" t="s">
        <v>3202</v>
      </c>
    </row>
    <row r="891" spans="1:1" x14ac:dyDescent="0.25">
      <c r="A891" t="s">
        <v>3427</v>
      </c>
    </row>
    <row r="892" spans="1:1" x14ac:dyDescent="0.25">
      <c r="A892" t="s">
        <v>4291</v>
      </c>
    </row>
    <row r="893" spans="1:1" x14ac:dyDescent="0.25">
      <c r="A893" t="s">
        <v>3428</v>
      </c>
    </row>
    <row r="894" spans="1:1" x14ac:dyDescent="0.25">
      <c r="A894" t="s">
        <v>4291</v>
      </c>
    </row>
    <row r="895" spans="1:1" x14ac:dyDescent="0.25">
      <c r="A895" t="s">
        <v>3429</v>
      </c>
    </row>
    <row r="896" spans="1:1" x14ac:dyDescent="0.25">
      <c r="A896" t="s">
        <v>4291</v>
      </c>
    </row>
    <row r="897" spans="1:1" x14ac:dyDescent="0.25">
      <c r="A897" t="s">
        <v>1686</v>
      </c>
    </row>
    <row r="898" spans="1:1" x14ac:dyDescent="0.25">
      <c r="A898" t="s">
        <v>1687</v>
      </c>
    </row>
    <row r="899" spans="1:1" x14ac:dyDescent="0.25">
      <c r="A899" t="s">
        <v>4340</v>
      </c>
    </row>
    <row r="900" spans="1:1" x14ac:dyDescent="0.25">
      <c r="A900" t="s">
        <v>1688</v>
      </c>
    </row>
    <row r="901" spans="1:1" x14ac:dyDescent="0.25">
      <c r="A901" t="s">
        <v>1689</v>
      </c>
    </row>
    <row r="902" spans="1:1" x14ac:dyDescent="0.25">
      <c r="A902" t="s">
        <v>1690</v>
      </c>
    </row>
    <row r="903" spans="1:1" x14ac:dyDescent="0.25">
      <c r="A903" t="s">
        <v>1691</v>
      </c>
    </row>
    <row r="904" spans="1:1" x14ac:dyDescent="0.25">
      <c r="A904" t="s">
        <v>3203</v>
      </c>
    </row>
    <row r="905" spans="1:1" x14ac:dyDescent="0.25">
      <c r="A905" t="s">
        <v>3430</v>
      </c>
    </row>
    <row r="906" spans="1:1" x14ac:dyDescent="0.25">
      <c r="A906" t="s">
        <v>4291</v>
      </c>
    </row>
    <row r="907" spans="1:1" x14ac:dyDescent="0.25">
      <c r="A907" t="s">
        <v>3431</v>
      </c>
    </row>
    <row r="908" spans="1:1" x14ac:dyDescent="0.25">
      <c r="A908" t="s">
        <v>4291</v>
      </c>
    </row>
    <row r="909" spans="1:1" x14ac:dyDescent="0.25">
      <c r="A909" t="s">
        <v>3432</v>
      </c>
    </row>
    <row r="910" spans="1:1" x14ac:dyDescent="0.25">
      <c r="A910" t="s">
        <v>4291</v>
      </c>
    </row>
    <row r="911" spans="1:1" x14ac:dyDescent="0.25">
      <c r="A911" t="s">
        <v>1692</v>
      </c>
    </row>
    <row r="912" spans="1:1" x14ac:dyDescent="0.25">
      <c r="A912" t="s">
        <v>1693</v>
      </c>
    </row>
    <row r="913" spans="1:1" x14ac:dyDescent="0.25">
      <c r="A913" t="s">
        <v>4341</v>
      </c>
    </row>
    <row r="914" spans="1:1" x14ac:dyDescent="0.25">
      <c r="A914" t="s">
        <v>1694</v>
      </c>
    </row>
    <row r="915" spans="1:1" x14ac:dyDescent="0.25">
      <c r="A915" t="s">
        <v>1695</v>
      </c>
    </row>
    <row r="916" spans="1:1" x14ac:dyDescent="0.25">
      <c r="A916" t="s">
        <v>1696</v>
      </c>
    </row>
    <row r="917" spans="1:1" x14ac:dyDescent="0.25">
      <c r="A917" t="s">
        <v>1697</v>
      </c>
    </row>
    <row r="918" spans="1:1" x14ac:dyDescent="0.25">
      <c r="A918" t="s">
        <v>3204</v>
      </c>
    </row>
    <row r="919" spans="1:1" x14ac:dyDescent="0.25">
      <c r="A919" t="s">
        <v>3433</v>
      </c>
    </row>
    <row r="920" spans="1:1" x14ac:dyDescent="0.25">
      <c r="A920" t="s">
        <v>4291</v>
      </c>
    </row>
    <row r="921" spans="1:1" x14ac:dyDescent="0.25">
      <c r="A921" t="s">
        <v>3434</v>
      </c>
    </row>
    <row r="922" spans="1:1" x14ac:dyDescent="0.25">
      <c r="A922" t="s">
        <v>4291</v>
      </c>
    </row>
    <row r="923" spans="1:1" x14ac:dyDescent="0.25">
      <c r="A923" t="s">
        <v>3435</v>
      </c>
    </row>
    <row r="924" spans="1:1" x14ac:dyDescent="0.25">
      <c r="A924" t="s">
        <v>4291</v>
      </c>
    </row>
    <row r="925" spans="1:1" x14ac:dyDescent="0.25">
      <c r="A925" t="s">
        <v>1698</v>
      </c>
    </row>
    <row r="926" spans="1:1" x14ac:dyDescent="0.25">
      <c r="A926" t="s">
        <v>1699</v>
      </c>
    </row>
    <row r="927" spans="1:1" x14ac:dyDescent="0.25">
      <c r="A927" t="s">
        <v>4342</v>
      </c>
    </row>
    <row r="928" spans="1:1" x14ac:dyDescent="0.25">
      <c r="A928" t="s">
        <v>1700</v>
      </c>
    </row>
    <row r="929" spans="1:1" x14ac:dyDescent="0.25">
      <c r="A929" t="s">
        <v>1701</v>
      </c>
    </row>
    <row r="930" spans="1:1" x14ac:dyDescent="0.25">
      <c r="A930" t="s">
        <v>1702</v>
      </c>
    </row>
    <row r="931" spans="1:1" x14ac:dyDescent="0.25">
      <c r="A931" t="s">
        <v>1703</v>
      </c>
    </row>
    <row r="932" spans="1:1" x14ac:dyDescent="0.25">
      <c r="A932" t="s">
        <v>3205</v>
      </c>
    </row>
    <row r="933" spans="1:1" x14ac:dyDescent="0.25">
      <c r="A933" t="s">
        <v>3436</v>
      </c>
    </row>
    <row r="934" spans="1:1" x14ac:dyDescent="0.25">
      <c r="A934" t="s">
        <v>4291</v>
      </c>
    </row>
    <row r="935" spans="1:1" x14ac:dyDescent="0.25">
      <c r="A935" t="s">
        <v>3437</v>
      </c>
    </row>
    <row r="936" spans="1:1" x14ac:dyDescent="0.25">
      <c r="A936" t="s">
        <v>4291</v>
      </c>
    </row>
    <row r="937" spans="1:1" x14ac:dyDescent="0.25">
      <c r="A937" t="s">
        <v>3438</v>
      </c>
    </row>
    <row r="938" spans="1:1" x14ac:dyDescent="0.25">
      <c r="A938" t="s">
        <v>4291</v>
      </c>
    </row>
    <row r="939" spans="1:1" x14ac:dyDescent="0.25">
      <c r="A939" t="s">
        <v>1704</v>
      </c>
    </row>
    <row r="940" spans="1:1" x14ac:dyDescent="0.25">
      <c r="A940" t="s">
        <v>1705</v>
      </c>
    </row>
    <row r="941" spans="1:1" x14ac:dyDescent="0.25">
      <c r="A941" t="s">
        <v>4355</v>
      </c>
    </row>
    <row r="942" spans="1:1" x14ac:dyDescent="0.25">
      <c r="A942" t="s">
        <v>1706</v>
      </c>
    </row>
    <row r="943" spans="1:1" x14ac:dyDescent="0.25">
      <c r="A943" t="s">
        <v>1707</v>
      </c>
    </row>
    <row r="944" spans="1:1" x14ac:dyDescent="0.25">
      <c r="A944" t="s">
        <v>1708</v>
      </c>
    </row>
    <row r="945" spans="1:1" x14ac:dyDescent="0.25">
      <c r="A945" t="s">
        <v>1709</v>
      </c>
    </row>
    <row r="946" spans="1:1" x14ac:dyDescent="0.25">
      <c r="A946" t="s">
        <v>3206</v>
      </c>
    </row>
    <row r="947" spans="1:1" x14ac:dyDescent="0.25">
      <c r="A947" t="s">
        <v>3439</v>
      </c>
    </row>
    <row r="948" spans="1:1" x14ac:dyDescent="0.25">
      <c r="A948" t="s">
        <v>4291</v>
      </c>
    </row>
    <row r="949" spans="1:1" x14ac:dyDescent="0.25">
      <c r="A949" t="s">
        <v>3440</v>
      </c>
    </row>
    <row r="950" spans="1:1" x14ac:dyDescent="0.25">
      <c r="A950" t="s">
        <v>4291</v>
      </c>
    </row>
    <row r="951" spans="1:1" x14ac:dyDescent="0.25">
      <c r="A951" t="s">
        <v>3441</v>
      </c>
    </row>
    <row r="952" spans="1:1" x14ac:dyDescent="0.25">
      <c r="A952" t="s">
        <v>4291</v>
      </c>
    </row>
    <row r="953" spans="1:1" x14ac:dyDescent="0.25">
      <c r="A953" t="s">
        <v>1710</v>
      </c>
    </row>
    <row r="954" spans="1:1" x14ac:dyDescent="0.25">
      <c r="A954" t="s">
        <v>1711</v>
      </c>
    </row>
    <row r="955" spans="1:1" x14ac:dyDescent="0.25">
      <c r="A955" t="s">
        <v>4356</v>
      </c>
    </row>
    <row r="956" spans="1:1" x14ac:dyDescent="0.25">
      <c r="A956" t="s">
        <v>1712</v>
      </c>
    </row>
    <row r="957" spans="1:1" x14ac:dyDescent="0.25">
      <c r="A957" t="s">
        <v>1713</v>
      </c>
    </row>
    <row r="958" spans="1:1" x14ac:dyDescent="0.25">
      <c r="A958" t="s">
        <v>1714</v>
      </c>
    </row>
    <row r="959" spans="1:1" x14ac:dyDescent="0.25">
      <c r="A959" t="s">
        <v>1715</v>
      </c>
    </row>
    <row r="960" spans="1:1" x14ac:dyDescent="0.25">
      <c r="A960" t="s">
        <v>3207</v>
      </c>
    </row>
    <row r="961" spans="1:1" x14ac:dyDescent="0.25">
      <c r="A961" t="s">
        <v>3442</v>
      </c>
    </row>
    <row r="962" spans="1:1" x14ac:dyDescent="0.25">
      <c r="A962" t="s">
        <v>4291</v>
      </c>
    </row>
    <row r="963" spans="1:1" x14ac:dyDescent="0.25">
      <c r="A963" t="s">
        <v>3443</v>
      </c>
    </row>
    <row r="964" spans="1:1" x14ac:dyDescent="0.25">
      <c r="A964" t="s">
        <v>4291</v>
      </c>
    </row>
    <row r="965" spans="1:1" x14ac:dyDescent="0.25">
      <c r="A965" t="s">
        <v>3444</v>
      </c>
    </row>
    <row r="966" spans="1:1" x14ac:dyDescent="0.25">
      <c r="A966" t="s">
        <v>4291</v>
      </c>
    </row>
    <row r="967" spans="1:1" x14ac:dyDescent="0.25">
      <c r="A967" t="s">
        <v>1716</v>
      </c>
    </row>
    <row r="968" spans="1:1" x14ac:dyDescent="0.25">
      <c r="A968" t="s">
        <v>1717</v>
      </c>
    </row>
    <row r="969" spans="1:1" x14ac:dyDescent="0.25">
      <c r="A969" t="s">
        <v>4357</v>
      </c>
    </row>
    <row r="970" spans="1:1" x14ac:dyDescent="0.25">
      <c r="A970" t="s">
        <v>1718</v>
      </c>
    </row>
    <row r="971" spans="1:1" x14ac:dyDescent="0.25">
      <c r="A971" t="s">
        <v>1719</v>
      </c>
    </row>
    <row r="972" spans="1:1" x14ac:dyDescent="0.25">
      <c r="A972" t="s">
        <v>1720</v>
      </c>
    </row>
    <row r="973" spans="1:1" x14ac:dyDescent="0.25">
      <c r="A973" t="s">
        <v>1721</v>
      </c>
    </row>
    <row r="974" spans="1:1" x14ac:dyDescent="0.25">
      <c r="A974" t="s">
        <v>3208</v>
      </c>
    </row>
    <row r="975" spans="1:1" x14ac:dyDescent="0.25">
      <c r="A975" t="s">
        <v>3445</v>
      </c>
    </row>
    <row r="976" spans="1:1" x14ac:dyDescent="0.25">
      <c r="A976" t="s">
        <v>4291</v>
      </c>
    </row>
    <row r="977" spans="1:1" x14ac:dyDescent="0.25">
      <c r="A977" t="s">
        <v>3446</v>
      </c>
    </row>
    <row r="978" spans="1:1" x14ac:dyDescent="0.25">
      <c r="A978" t="s">
        <v>4291</v>
      </c>
    </row>
    <row r="979" spans="1:1" x14ac:dyDescent="0.25">
      <c r="A979" t="s">
        <v>3447</v>
      </c>
    </row>
    <row r="980" spans="1:1" x14ac:dyDescent="0.25">
      <c r="A980" t="s">
        <v>4291</v>
      </c>
    </row>
    <row r="981" spans="1:1" x14ac:dyDescent="0.25">
      <c r="A981" t="s">
        <v>1722</v>
      </c>
    </row>
    <row r="982" spans="1:1" x14ac:dyDescent="0.25">
      <c r="A982" t="s">
        <v>1723</v>
      </c>
    </row>
    <row r="983" spans="1:1" x14ac:dyDescent="0.25">
      <c r="A983" t="s">
        <v>4358</v>
      </c>
    </row>
    <row r="984" spans="1:1" x14ac:dyDescent="0.25">
      <c r="A984" t="s">
        <v>1724</v>
      </c>
    </row>
    <row r="985" spans="1:1" x14ac:dyDescent="0.25">
      <c r="A985" t="s">
        <v>1725</v>
      </c>
    </row>
    <row r="986" spans="1:1" x14ac:dyDescent="0.25">
      <c r="A986" t="s">
        <v>1726</v>
      </c>
    </row>
    <row r="987" spans="1:1" x14ac:dyDescent="0.25">
      <c r="A987" t="s">
        <v>1727</v>
      </c>
    </row>
    <row r="988" spans="1:1" x14ac:dyDescent="0.25">
      <c r="A988" t="s">
        <v>3209</v>
      </c>
    </row>
    <row r="989" spans="1:1" x14ac:dyDescent="0.25">
      <c r="A989" t="s">
        <v>3448</v>
      </c>
    </row>
    <row r="990" spans="1:1" x14ac:dyDescent="0.25">
      <c r="A990" t="s">
        <v>4291</v>
      </c>
    </row>
    <row r="991" spans="1:1" x14ac:dyDescent="0.25">
      <c r="A991" t="s">
        <v>3449</v>
      </c>
    </row>
    <row r="992" spans="1:1" x14ac:dyDescent="0.25">
      <c r="A992" t="s">
        <v>4291</v>
      </c>
    </row>
    <row r="993" spans="1:1" x14ac:dyDescent="0.25">
      <c r="A993" t="s">
        <v>3450</v>
      </c>
    </row>
    <row r="994" spans="1:1" x14ac:dyDescent="0.25">
      <c r="A994" t="s">
        <v>4291</v>
      </c>
    </row>
    <row r="995" spans="1:1" x14ac:dyDescent="0.25">
      <c r="A995" t="s">
        <v>1728</v>
      </c>
    </row>
    <row r="996" spans="1:1" x14ac:dyDescent="0.25">
      <c r="A996" t="s">
        <v>1729</v>
      </c>
    </row>
    <row r="997" spans="1:1" x14ac:dyDescent="0.25">
      <c r="A997" t="s">
        <v>4359</v>
      </c>
    </row>
    <row r="998" spans="1:1" x14ac:dyDescent="0.25">
      <c r="A998" t="s">
        <v>1730</v>
      </c>
    </row>
    <row r="999" spans="1:1" x14ac:dyDescent="0.25">
      <c r="A999" t="s">
        <v>1731</v>
      </c>
    </row>
    <row r="1000" spans="1:1" x14ac:dyDescent="0.25">
      <c r="A1000" t="s">
        <v>1732</v>
      </c>
    </row>
    <row r="1001" spans="1:1" x14ac:dyDescent="0.25">
      <c r="A1001" t="s">
        <v>1733</v>
      </c>
    </row>
    <row r="1002" spans="1:1" x14ac:dyDescent="0.25">
      <c r="A1002" t="s">
        <v>3210</v>
      </c>
    </row>
    <row r="1003" spans="1:1" x14ac:dyDescent="0.25">
      <c r="A1003" t="s">
        <v>3451</v>
      </c>
    </row>
    <row r="1004" spans="1:1" x14ac:dyDescent="0.25">
      <c r="A1004" t="s">
        <v>4291</v>
      </c>
    </row>
    <row r="1005" spans="1:1" x14ac:dyDescent="0.25">
      <c r="A1005" t="s">
        <v>3452</v>
      </c>
    </row>
    <row r="1006" spans="1:1" x14ac:dyDescent="0.25">
      <c r="A1006" t="s">
        <v>4291</v>
      </c>
    </row>
    <row r="1007" spans="1:1" x14ac:dyDescent="0.25">
      <c r="A1007" t="s">
        <v>3453</v>
      </c>
    </row>
    <row r="1008" spans="1:1" x14ac:dyDescent="0.25">
      <c r="A1008" t="s">
        <v>4291</v>
      </c>
    </row>
    <row r="1009" spans="1:1" x14ac:dyDescent="0.25">
      <c r="A1009" t="s">
        <v>1734</v>
      </c>
    </row>
    <row r="1010" spans="1:1" x14ac:dyDescent="0.25">
      <c r="A1010" t="s">
        <v>1735</v>
      </c>
    </row>
    <row r="1011" spans="1:1" x14ac:dyDescent="0.25">
      <c r="A1011" t="s">
        <v>4360</v>
      </c>
    </row>
    <row r="1012" spans="1:1" x14ac:dyDescent="0.25">
      <c r="A1012" t="s">
        <v>1736</v>
      </c>
    </row>
    <row r="1013" spans="1:1" x14ac:dyDescent="0.25">
      <c r="A1013" t="s">
        <v>1737</v>
      </c>
    </row>
    <row r="1014" spans="1:1" x14ac:dyDescent="0.25">
      <c r="A1014" t="s">
        <v>1738</v>
      </c>
    </row>
    <row r="1015" spans="1:1" x14ac:dyDescent="0.25">
      <c r="A1015" t="s">
        <v>1739</v>
      </c>
    </row>
    <row r="1016" spans="1:1" x14ac:dyDescent="0.25">
      <c r="A1016" t="s">
        <v>3211</v>
      </c>
    </row>
    <row r="1017" spans="1:1" x14ac:dyDescent="0.25">
      <c r="A1017" t="s">
        <v>3454</v>
      </c>
    </row>
    <row r="1018" spans="1:1" x14ac:dyDescent="0.25">
      <c r="A1018" t="s">
        <v>4291</v>
      </c>
    </row>
    <row r="1019" spans="1:1" x14ac:dyDescent="0.25">
      <c r="A1019" t="s">
        <v>3455</v>
      </c>
    </row>
    <row r="1020" spans="1:1" x14ac:dyDescent="0.25">
      <c r="A1020" t="s">
        <v>4291</v>
      </c>
    </row>
    <row r="1021" spans="1:1" x14ac:dyDescent="0.25">
      <c r="A1021" t="s">
        <v>3456</v>
      </c>
    </row>
    <row r="1022" spans="1:1" x14ac:dyDescent="0.25">
      <c r="A1022" t="s">
        <v>4291</v>
      </c>
    </row>
    <row r="1023" spans="1:1" x14ac:dyDescent="0.25">
      <c r="A1023" t="s">
        <v>1740</v>
      </c>
    </row>
    <row r="1024" spans="1:1" x14ac:dyDescent="0.25">
      <c r="A1024" t="s">
        <v>1741</v>
      </c>
    </row>
    <row r="1025" spans="1:1" x14ac:dyDescent="0.25">
      <c r="A1025" t="s">
        <v>4361</v>
      </c>
    </row>
    <row r="1026" spans="1:1" x14ac:dyDescent="0.25">
      <c r="A1026" t="s">
        <v>1742</v>
      </c>
    </row>
    <row r="1027" spans="1:1" x14ac:dyDescent="0.25">
      <c r="A1027" t="s">
        <v>1743</v>
      </c>
    </row>
    <row r="1028" spans="1:1" x14ac:dyDescent="0.25">
      <c r="A1028" t="s">
        <v>1744</v>
      </c>
    </row>
    <row r="1029" spans="1:1" x14ac:dyDescent="0.25">
      <c r="A1029" t="s">
        <v>1745</v>
      </c>
    </row>
    <row r="1030" spans="1:1" x14ac:dyDescent="0.25">
      <c r="A1030" t="s">
        <v>3212</v>
      </c>
    </row>
    <row r="1031" spans="1:1" x14ac:dyDescent="0.25">
      <c r="A1031" t="s">
        <v>3457</v>
      </c>
    </row>
    <row r="1032" spans="1:1" x14ac:dyDescent="0.25">
      <c r="A1032" t="s">
        <v>4291</v>
      </c>
    </row>
    <row r="1033" spans="1:1" x14ac:dyDescent="0.25">
      <c r="A1033" t="s">
        <v>3458</v>
      </c>
    </row>
    <row r="1034" spans="1:1" x14ac:dyDescent="0.25">
      <c r="A1034" t="s">
        <v>4291</v>
      </c>
    </row>
    <row r="1035" spans="1:1" x14ac:dyDescent="0.25">
      <c r="A1035" t="s">
        <v>3459</v>
      </c>
    </row>
    <row r="1036" spans="1:1" x14ac:dyDescent="0.25">
      <c r="A1036" t="s">
        <v>4291</v>
      </c>
    </row>
    <row r="1037" spans="1:1" x14ac:dyDescent="0.25">
      <c r="A1037" t="s">
        <v>1746</v>
      </c>
    </row>
    <row r="1038" spans="1:1" x14ac:dyDescent="0.25">
      <c r="A1038" t="s">
        <v>1747</v>
      </c>
    </row>
    <row r="1039" spans="1:1" x14ac:dyDescent="0.25">
      <c r="A1039" t="s">
        <v>4362</v>
      </c>
    </row>
    <row r="1040" spans="1:1" x14ac:dyDescent="0.25">
      <c r="A1040" t="s">
        <v>1748</v>
      </c>
    </row>
    <row r="1041" spans="1:1" x14ac:dyDescent="0.25">
      <c r="A1041" t="s">
        <v>1749</v>
      </c>
    </row>
    <row r="1042" spans="1:1" x14ac:dyDescent="0.25">
      <c r="A1042" t="s">
        <v>1750</v>
      </c>
    </row>
    <row r="1043" spans="1:1" x14ac:dyDescent="0.25">
      <c r="A1043" t="s">
        <v>1751</v>
      </c>
    </row>
    <row r="1044" spans="1:1" x14ac:dyDescent="0.25">
      <c r="A1044" t="s">
        <v>3213</v>
      </c>
    </row>
    <row r="1045" spans="1:1" x14ac:dyDescent="0.25">
      <c r="A1045" t="s">
        <v>3460</v>
      </c>
    </row>
    <row r="1046" spans="1:1" x14ac:dyDescent="0.25">
      <c r="A1046" t="s">
        <v>4291</v>
      </c>
    </row>
    <row r="1047" spans="1:1" x14ac:dyDescent="0.25">
      <c r="A1047" t="s">
        <v>3461</v>
      </c>
    </row>
    <row r="1048" spans="1:1" x14ac:dyDescent="0.25">
      <c r="A1048" t="s">
        <v>4291</v>
      </c>
    </row>
    <row r="1049" spans="1:1" x14ac:dyDescent="0.25">
      <c r="A1049" t="s">
        <v>3462</v>
      </c>
    </row>
    <row r="1050" spans="1:1" x14ac:dyDescent="0.25">
      <c r="A1050" t="s">
        <v>4291</v>
      </c>
    </row>
    <row r="1051" spans="1:1" x14ac:dyDescent="0.25">
      <c r="A1051" t="s">
        <v>1752</v>
      </c>
    </row>
    <row r="1052" spans="1:1" x14ac:dyDescent="0.25">
      <c r="A1052" t="s">
        <v>1753</v>
      </c>
    </row>
    <row r="1053" spans="1:1" x14ac:dyDescent="0.25">
      <c r="A1053" t="s">
        <v>4363</v>
      </c>
    </row>
    <row r="1054" spans="1:1" x14ac:dyDescent="0.25">
      <c r="A1054" t="s">
        <v>1754</v>
      </c>
    </row>
    <row r="1055" spans="1:1" x14ac:dyDescent="0.25">
      <c r="A1055" t="s">
        <v>1755</v>
      </c>
    </row>
    <row r="1056" spans="1:1" x14ac:dyDescent="0.25">
      <c r="A1056" t="s">
        <v>1756</v>
      </c>
    </row>
    <row r="1057" spans="1:1" x14ac:dyDescent="0.25">
      <c r="A1057" t="s">
        <v>1757</v>
      </c>
    </row>
    <row r="1058" spans="1:1" x14ac:dyDescent="0.25">
      <c r="A1058" t="s">
        <v>3214</v>
      </c>
    </row>
    <row r="1059" spans="1:1" x14ac:dyDescent="0.25">
      <c r="A1059" t="s">
        <v>3463</v>
      </c>
    </row>
    <row r="1060" spans="1:1" x14ac:dyDescent="0.25">
      <c r="A1060" t="s">
        <v>4291</v>
      </c>
    </row>
    <row r="1061" spans="1:1" x14ac:dyDescent="0.25">
      <c r="A1061" t="s">
        <v>3464</v>
      </c>
    </row>
    <row r="1062" spans="1:1" x14ac:dyDescent="0.25">
      <c r="A1062" t="s">
        <v>4291</v>
      </c>
    </row>
    <row r="1063" spans="1:1" x14ac:dyDescent="0.25">
      <c r="A1063" t="s">
        <v>3465</v>
      </c>
    </row>
    <row r="1064" spans="1:1" x14ac:dyDescent="0.25">
      <c r="A1064" t="s">
        <v>4291</v>
      </c>
    </row>
    <row r="1065" spans="1:1" x14ac:dyDescent="0.25">
      <c r="A1065" t="s">
        <v>1758</v>
      </c>
    </row>
    <row r="1066" spans="1:1" x14ac:dyDescent="0.25">
      <c r="A1066" t="s">
        <v>1759</v>
      </c>
    </row>
    <row r="1067" spans="1:1" x14ac:dyDescent="0.25">
      <c r="A1067" t="s">
        <v>4364</v>
      </c>
    </row>
    <row r="1068" spans="1:1" x14ac:dyDescent="0.25">
      <c r="A1068" t="s">
        <v>1760</v>
      </c>
    </row>
    <row r="1069" spans="1:1" x14ac:dyDescent="0.25">
      <c r="A1069" t="s">
        <v>1761</v>
      </c>
    </row>
    <row r="1070" spans="1:1" x14ac:dyDescent="0.25">
      <c r="A1070" t="s">
        <v>1762</v>
      </c>
    </row>
    <row r="1071" spans="1:1" x14ac:dyDescent="0.25">
      <c r="A1071" t="s">
        <v>1763</v>
      </c>
    </row>
    <row r="1072" spans="1:1" x14ac:dyDescent="0.25">
      <c r="A1072" t="s">
        <v>3215</v>
      </c>
    </row>
    <row r="1073" spans="1:1" x14ac:dyDescent="0.25">
      <c r="A1073" t="s">
        <v>3466</v>
      </c>
    </row>
    <row r="1074" spans="1:1" x14ac:dyDescent="0.25">
      <c r="A1074" t="s">
        <v>4291</v>
      </c>
    </row>
    <row r="1075" spans="1:1" x14ac:dyDescent="0.25">
      <c r="A1075" t="s">
        <v>3467</v>
      </c>
    </row>
    <row r="1076" spans="1:1" x14ac:dyDescent="0.25">
      <c r="A1076" t="s">
        <v>4291</v>
      </c>
    </row>
    <row r="1077" spans="1:1" x14ac:dyDescent="0.25">
      <c r="A1077" t="s">
        <v>3468</v>
      </c>
    </row>
    <row r="1078" spans="1:1" x14ac:dyDescent="0.25">
      <c r="A1078" t="s">
        <v>4291</v>
      </c>
    </row>
    <row r="1079" spans="1:1" x14ac:dyDescent="0.25">
      <c r="A1079" t="s">
        <v>1764</v>
      </c>
    </row>
    <row r="1080" spans="1:1" x14ac:dyDescent="0.25">
      <c r="A1080" t="s">
        <v>1765</v>
      </c>
    </row>
    <row r="1081" spans="1:1" x14ac:dyDescent="0.25">
      <c r="A1081" t="s">
        <v>4365</v>
      </c>
    </row>
    <row r="1082" spans="1:1" x14ac:dyDescent="0.25">
      <c r="A1082" t="s">
        <v>1766</v>
      </c>
    </row>
    <row r="1083" spans="1:1" x14ac:dyDescent="0.25">
      <c r="A1083" t="s">
        <v>1767</v>
      </c>
    </row>
    <row r="1084" spans="1:1" x14ac:dyDescent="0.25">
      <c r="A1084" t="s">
        <v>1768</v>
      </c>
    </row>
    <row r="1085" spans="1:1" x14ac:dyDescent="0.25">
      <c r="A1085" t="s">
        <v>1769</v>
      </c>
    </row>
    <row r="1086" spans="1:1" x14ac:dyDescent="0.25">
      <c r="A1086" t="s">
        <v>3216</v>
      </c>
    </row>
    <row r="1087" spans="1:1" x14ac:dyDescent="0.25">
      <c r="A1087" t="s">
        <v>3469</v>
      </c>
    </row>
    <row r="1088" spans="1:1" x14ac:dyDescent="0.25">
      <c r="A1088" t="s">
        <v>4291</v>
      </c>
    </row>
    <row r="1089" spans="1:1" x14ac:dyDescent="0.25">
      <c r="A1089" t="s">
        <v>3470</v>
      </c>
    </row>
    <row r="1090" spans="1:1" x14ac:dyDescent="0.25">
      <c r="A1090" t="s">
        <v>4291</v>
      </c>
    </row>
    <row r="1091" spans="1:1" x14ac:dyDescent="0.25">
      <c r="A1091" t="s">
        <v>3471</v>
      </c>
    </row>
    <row r="1092" spans="1:1" x14ac:dyDescent="0.25">
      <c r="A1092" t="s">
        <v>4291</v>
      </c>
    </row>
    <row r="1093" spans="1:1" x14ac:dyDescent="0.25">
      <c r="A1093" t="s">
        <v>1770</v>
      </c>
    </row>
    <row r="1094" spans="1:1" x14ac:dyDescent="0.25">
      <c r="A1094" t="s">
        <v>1771</v>
      </c>
    </row>
    <row r="1095" spans="1:1" x14ac:dyDescent="0.25">
      <c r="A1095" t="s">
        <v>4366</v>
      </c>
    </row>
    <row r="1096" spans="1:1" x14ac:dyDescent="0.25">
      <c r="A1096" t="s">
        <v>1772</v>
      </c>
    </row>
    <row r="1097" spans="1:1" x14ac:dyDescent="0.25">
      <c r="A1097" t="s">
        <v>1773</v>
      </c>
    </row>
    <row r="1098" spans="1:1" x14ac:dyDescent="0.25">
      <c r="A1098" t="s">
        <v>1774</v>
      </c>
    </row>
    <row r="1099" spans="1:1" x14ac:dyDescent="0.25">
      <c r="A1099" t="s">
        <v>1775</v>
      </c>
    </row>
    <row r="1100" spans="1:1" x14ac:dyDescent="0.25">
      <c r="A1100" t="s">
        <v>3217</v>
      </c>
    </row>
    <row r="1101" spans="1:1" x14ac:dyDescent="0.25">
      <c r="A1101" t="s">
        <v>3472</v>
      </c>
    </row>
    <row r="1102" spans="1:1" x14ac:dyDescent="0.25">
      <c r="A1102" t="s">
        <v>4291</v>
      </c>
    </row>
    <row r="1103" spans="1:1" x14ac:dyDescent="0.25">
      <c r="A1103" t="s">
        <v>3473</v>
      </c>
    </row>
    <row r="1104" spans="1:1" x14ac:dyDescent="0.25">
      <c r="A1104" t="s">
        <v>4291</v>
      </c>
    </row>
    <row r="1105" spans="1:1" x14ac:dyDescent="0.25">
      <c r="A1105" t="s">
        <v>3474</v>
      </c>
    </row>
    <row r="1106" spans="1:1" x14ac:dyDescent="0.25">
      <c r="A1106" t="s">
        <v>4291</v>
      </c>
    </row>
    <row r="1107" spans="1:1" x14ac:dyDescent="0.25">
      <c r="A1107" t="s">
        <v>1776</v>
      </c>
    </row>
    <row r="1108" spans="1:1" x14ac:dyDescent="0.25">
      <c r="A1108" t="s">
        <v>1777</v>
      </c>
    </row>
    <row r="1109" spans="1:1" x14ac:dyDescent="0.25">
      <c r="A1109" t="s">
        <v>4367</v>
      </c>
    </row>
    <row r="1110" spans="1:1" x14ac:dyDescent="0.25">
      <c r="A1110" t="s">
        <v>1778</v>
      </c>
    </row>
    <row r="1111" spans="1:1" x14ac:dyDescent="0.25">
      <c r="A1111" t="s">
        <v>1779</v>
      </c>
    </row>
    <row r="1112" spans="1:1" x14ac:dyDescent="0.25">
      <c r="A1112" t="s">
        <v>1780</v>
      </c>
    </row>
    <row r="1113" spans="1:1" x14ac:dyDescent="0.25">
      <c r="A1113" t="s">
        <v>1781</v>
      </c>
    </row>
    <row r="1114" spans="1:1" x14ac:dyDescent="0.25">
      <c r="A1114" t="s">
        <v>3218</v>
      </c>
    </row>
    <row r="1115" spans="1:1" x14ac:dyDescent="0.25">
      <c r="A1115" t="s">
        <v>3475</v>
      </c>
    </row>
    <row r="1116" spans="1:1" x14ac:dyDescent="0.25">
      <c r="A1116" t="s">
        <v>4291</v>
      </c>
    </row>
    <row r="1117" spans="1:1" x14ac:dyDescent="0.25">
      <c r="A1117" t="s">
        <v>3476</v>
      </c>
    </row>
    <row r="1118" spans="1:1" x14ac:dyDescent="0.25">
      <c r="A1118" t="s">
        <v>4291</v>
      </c>
    </row>
    <row r="1119" spans="1:1" x14ac:dyDescent="0.25">
      <c r="A1119" t="s">
        <v>3477</v>
      </c>
    </row>
    <row r="1120" spans="1:1" x14ac:dyDescent="0.25">
      <c r="A1120" t="s">
        <v>4291</v>
      </c>
    </row>
    <row r="1121" spans="1:1" x14ac:dyDescent="0.25">
      <c r="A1121" t="s">
        <v>1782</v>
      </c>
    </row>
    <row r="1122" spans="1:1" x14ac:dyDescent="0.25">
      <c r="A1122" t="s">
        <v>1783</v>
      </c>
    </row>
    <row r="1123" spans="1:1" x14ac:dyDescent="0.25">
      <c r="A1123" t="s">
        <v>4368</v>
      </c>
    </row>
    <row r="1124" spans="1:1" x14ac:dyDescent="0.25">
      <c r="A1124" t="s">
        <v>1784</v>
      </c>
    </row>
    <row r="1125" spans="1:1" x14ac:dyDescent="0.25">
      <c r="A1125" t="s">
        <v>1785</v>
      </c>
    </row>
    <row r="1126" spans="1:1" x14ac:dyDescent="0.25">
      <c r="A1126" t="s">
        <v>1786</v>
      </c>
    </row>
    <row r="1127" spans="1:1" x14ac:dyDescent="0.25">
      <c r="A1127" t="s">
        <v>1787</v>
      </c>
    </row>
    <row r="1128" spans="1:1" x14ac:dyDescent="0.25">
      <c r="A1128" t="s">
        <v>3219</v>
      </c>
    </row>
    <row r="1129" spans="1:1" x14ac:dyDescent="0.25">
      <c r="A1129" t="s">
        <v>3478</v>
      </c>
    </row>
    <row r="1130" spans="1:1" x14ac:dyDescent="0.25">
      <c r="A1130" t="s">
        <v>4291</v>
      </c>
    </row>
    <row r="1131" spans="1:1" x14ac:dyDescent="0.25">
      <c r="A1131" t="s">
        <v>3479</v>
      </c>
    </row>
    <row r="1132" spans="1:1" x14ac:dyDescent="0.25">
      <c r="A1132" t="s">
        <v>4291</v>
      </c>
    </row>
    <row r="1133" spans="1:1" x14ac:dyDescent="0.25">
      <c r="A1133" t="s">
        <v>3480</v>
      </c>
    </row>
    <row r="1134" spans="1:1" x14ac:dyDescent="0.25">
      <c r="A1134" t="s">
        <v>4291</v>
      </c>
    </row>
    <row r="1135" spans="1:1" x14ac:dyDescent="0.25">
      <c r="A1135" t="s">
        <v>1788</v>
      </c>
    </row>
    <row r="1136" spans="1:1" x14ac:dyDescent="0.25">
      <c r="A1136" t="s">
        <v>1789</v>
      </c>
    </row>
    <row r="1137" spans="1:1" x14ac:dyDescent="0.25">
      <c r="A1137" t="s">
        <v>4369</v>
      </c>
    </row>
    <row r="1138" spans="1:1" x14ac:dyDescent="0.25">
      <c r="A1138" t="s">
        <v>1790</v>
      </c>
    </row>
    <row r="1139" spans="1:1" x14ac:dyDescent="0.25">
      <c r="A1139" t="s">
        <v>1791</v>
      </c>
    </row>
    <row r="1140" spans="1:1" x14ac:dyDescent="0.25">
      <c r="A1140" t="s">
        <v>1792</v>
      </c>
    </row>
    <row r="1141" spans="1:1" x14ac:dyDescent="0.25">
      <c r="A1141" t="s">
        <v>1793</v>
      </c>
    </row>
    <row r="1142" spans="1:1" x14ac:dyDescent="0.25">
      <c r="A1142" t="s">
        <v>3220</v>
      </c>
    </row>
    <row r="1143" spans="1:1" x14ac:dyDescent="0.25">
      <c r="A1143" t="s">
        <v>3481</v>
      </c>
    </row>
    <row r="1144" spans="1:1" x14ac:dyDescent="0.25">
      <c r="A1144" t="s">
        <v>4291</v>
      </c>
    </row>
    <row r="1145" spans="1:1" x14ac:dyDescent="0.25">
      <c r="A1145" t="s">
        <v>3482</v>
      </c>
    </row>
    <row r="1146" spans="1:1" x14ac:dyDescent="0.25">
      <c r="A1146" t="s">
        <v>4291</v>
      </c>
    </row>
    <row r="1147" spans="1:1" x14ac:dyDescent="0.25">
      <c r="A1147" t="s">
        <v>3483</v>
      </c>
    </row>
    <row r="1148" spans="1:1" x14ac:dyDescent="0.25">
      <c r="A1148" t="s">
        <v>4291</v>
      </c>
    </row>
    <row r="1149" spans="1:1" x14ac:dyDescent="0.25">
      <c r="A1149" t="s">
        <v>1794</v>
      </c>
    </row>
    <row r="1150" spans="1:1" x14ac:dyDescent="0.25">
      <c r="A1150" t="s">
        <v>1795</v>
      </c>
    </row>
    <row r="1151" spans="1:1" x14ac:dyDescent="0.25">
      <c r="A1151" t="s">
        <v>4370</v>
      </c>
    </row>
    <row r="1152" spans="1:1" x14ac:dyDescent="0.25">
      <c r="A1152" t="s">
        <v>1796</v>
      </c>
    </row>
    <row r="1153" spans="1:1" x14ac:dyDescent="0.25">
      <c r="A1153" t="s">
        <v>1797</v>
      </c>
    </row>
    <row r="1154" spans="1:1" x14ac:dyDescent="0.25">
      <c r="A1154" t="s">
        <v>1798</v>
      </c>
    </row>
    <row r="1155" spans="1:1" x14ac:dyDescent="0.25">
      <c r="A1155" t="s">
        <v>1799</v>
      </c>
    </row>
    <row r="1156" spans="1:1" x14ac:dyDescent="0.25">
      <c r="A1156" t="s">
        <v>3221</v>
      </c>
    </row>
    <row r="1157" spans="1:1" x14ac:dyDescent="0.25">
      <c r="A1157" t="s">
        <v>3484</v>
      </c>
    </row>
    <row r="1158" spans="1:1" x14ac:dyDescent="0.25">
      <c r="A1158" t="s">
        <v>4291</v>
      </c>
    </row>
    <row r="1159" spans="1:1" x14ac:dyDescent="0.25">
      <c r="A1159" t="s">
        <v>3485</v>
      </c>
    </row>
    <row r="1160" spans="1:1" x14ac:dyDescent="0.25">
      <c r="A1160" t="s">
        <v>4291</v>
      </c>
    </row>
    <row r="1161" spans="1:1" x14ac:dyDescent="0.25">
      <c r="A1161" t="s">
        <v>3486</v>
      </c>
    </row>
    <row r="1162" spans="1:1" x14ac:dyDescent="0.25">
      <c r="A1162" t="s">
        <v>4291</v>
      </c>
    </row>
    <row r="1163" spans="1:1" x14ac:dyDescent="0.25">
      <c r="A1163" t="s">
        <v>707</v>
      </c>
    </row>
    <row r="1164" spans="1:1" x14ac:dyDescent="0.25">
      <c r="A1164" t="s">
        <v>1024</v>
      </c>
    </row>
    <row r="1165" spans="1:1" x14ac:dyDescent="0.25">
      <c r="A1165" t="s">
        <v>4371</v>
      </c>
    </row>
    <row r="1166" spans="1:1" x14ac:dyDescent="0.25">
      <c r="A1166" t="s">
        <v>1800</v>
      </c>
    </row>
    <row r="1167" spans="1:1" x14ac:dyDescent="0.25">
      <c r="A1167" t="s">
        <v>1801</v>
      </c>
    </row>
    <row r="1168" spans="1:1" x14ac:dyDescent="0.25">
      <c r="A1168" t="s">
        <v>1802</v>
      </c>
    </row>
    <row r="1169" spans="1:1" x14ac:dyDescent="0.25">
      <c r="A1169" t="s">
        <v>1803</v>
      </c>
    </row>
    <row r="1170" spans="1:1" x14ac:dyDescent="0.25">
      <c r="A1170" t="s">
        <v>1804</v>
      </c>
    </row>
    <row r="1171" spans="1:1" x14ac:dyDescent="0.25">
      <c r="A1171" t="s">
        <v>3487</v>
      </c>
    </row>
    <row r="1172" spans="1:1" x14ac:dyDescent="0.25">
      <c r="A1172" t="s">
        <v>4291</v>
      </c>
    </row>
    <row r="1173" spans="1:1" x14ac:dyDescent="0.25">
      <c r="A1173" t="s">
        <v>3488</v>
      </c>
    </row>
    <row r="1174" spans="1:1" x14ac:dyDescent="0.25">
      <c r="A1174" t="s">
        <v>4291</v>
      </c>
    </row>
    <row r="1175" spans="1:1" x14ac:dyDescent="0.25">
      <c r="A1175" t="s">
        <v>3489</v>
      </c>
    </row>
    <row r="1176" spans="1:1" x14ac:dyDescent="0.25">
      <c r="A1176" t="s">
        <v>4291</v>
      </c>
    </row>
    <row r="1177" spans="1:1" x14ac:dyDescent="0.25">
      <c r="A1177" t="s">
        <v>708</v>
      </c>
    </row>
    <row r="1178" spans="1:1" x14ac:dyDescent="0.25">
      <c r="A1178" t="s">
        <v>1025</v>
      </c>
    </row>
    <row r="1179" spans="1:1" x14ac:dyDescent="0.25">
      <c r="A1179" t="s">
        <v>4372</v>
      </c>
    </row>
    <row r="1180" spans="1:1" x14ac:dyDescent="0.25">
      <c r="A1180" t="s">
        <v>1805</v>
      </c>
    </row>
    <row r="1181" spans="1:1" x14ac:dyDescent="0.25">
      <c r="A1181" t="s">
        <v>1806</v>
      </c>
    </row>
    <row r="1182" spans="1:1" x14ac:dyDescent="0.25">
      <c r="A1182" t="s">
        <v>1807</v>
      </c>
    </row>
    <row r="1183" spans="1:1" x14ac:dyDescent="0.25">
      <c r="A1183" t="s">
        <v>1808</v>
      </c>
    </row>
    <row r="1184" spans="1:1" x14ac:dyDescent="0.25">
      <c r="A1184" t="s">
        <v>1809</v>
      </c>
    </row>
    <row r="1185" spans="1:1" x14ac:dyDescent="0.25">
      <c r="A1185" t="s">
        <v>3490</v>
      </c>
    </row>
    <row r="1186" spans="1:1" x14ac:dyDescent="0.25">
      <c r="A1186" t="s">
        <v>4291</v>
      </c>
    </row>
    <row r="1187" spans="1:1" x14ac:dyDescent="0.25">
      <c r="A1187" t="s">
        <v>3491</v>
      </c>
    </row>
    <row r="1188" spans="1:1" x14ac:dyDescent="0.25">
      <c r="A1188" t="s">
        <v>4291</v>
      </c>
    </row>
    <row r="1189" spans="1:1" x14ac:dyDescent="0.25">
      <c r="A1189" t="s">
        <v>3492</v>
      </c>
    </row>
    <row r="1190" spans="1:1" x14ac:dyDescent="0.25">
      <c r="A1190" t="s">
        <v>4291</v>
      </c>
    </row>
    <row r="1191" spans="1:1" x14ac:dyDescent="0.25">
      <c r="A1191" t="s">
        <v>709</v>
      </c>
    </row>
    <row r="1192" spans="1:1" x14ac:dyDescent="0.25">
      <c r="A1192" t="s">
        <v>1026</v>
      </c>
    </row>
    <row r="1193" spans="1:1" x14ac:dyDescent="0.25">
      <c r="A1193" t="s">
        <v>4373</v>
      </c>
    </row>
    <row r="1194" spans="1:1" x14ac:dyDescent="0.25">
      <c r="A1194" t="s">
        <v>1810</v>
      </c>
    </row>
    <row r="1195" spans="1:1" x14ac:dyDescent="0.25">
      <c r="A1195" t="s">
        <v>1811</v>
      </c>
    </row>
    <row r="1196" spans="1:1" x14ac:dyDescent="0.25">
      <c r="A1196" t="s">
        <v>1812</v>
      </c>
    </row>
    <row r="1197" spans="1:1" x14ac:dyDescent="0.25">
      <c r="A1197" t="s">
        <v>1813</v>
      </c>
    </row>
    <row r="1198" spans="1:1" x14ac:dyDescent="0.25">
      <c r="A1198" t="s">
        <v>1814</v>
      </c>
    </row>
    <row r="1199" spans="1:1" x14ac:dyDescent="0.25">
      <c r="A1199" t="s">
        <v>3493</v>
      </c>
    </row>
    <row r="1200" spans="1:1" x14ac:dyDescent="0.25">
      <c r="A1200" t="s">
        <v>4291</v>
      </c>
    </row>
    <row r="1201" spans="1:1" x14ac:dyDescent="0.25">
      <c r="A1201" t="s">
        <v>3494</v>
      </c>
    </row>
    <row r="1202" spans="1:1" x14ac:dyDescent="0.25">
      <c r="A1202" t="s">
        <v>4291</v>
      </c>
    </row>
    <row r="1203" spans="1:1" x14ac:dyDescent="0.25">
      <c r="A1203" t="s">
        <v>3495</v>
      </c>
    </row>
    <row r="1204" spans="1:1" x14ac:dyDescent="0.25">
      <c r="A1204" t="s">
        <v>4291</v>
      </c>
    </row>
    <row r="1205" spans="1:1" x14ac:dyDescent="0.25">
      <c r="A1205" t="s">
        <v>710</v>
      </c>
    </row>
    <row r="1206" spans="1:1" x14ac:dyDescent="0.25">
      <c r="A1206" t="s">
        <v>1027</v>
      </c>
    </row>
    <row r="1207" spans="1:1" x14ac:dyDescent="0.25">
      <c r="A1207" t="s">
        <v>4374</v>
      </c>
    </row>
    <row r="1208" spans="1:1" x14ac:dyDescent="0.25">
      <c r="A1208" t="s">
        <v>1815</v>
      </c>
    </row>
    <row r="1209" spans="1:1" x14ac:dyDescent="0.25">
      <c r="A1209" t="s">
        <v>1816</v>
      </c>
    </row>
    <row r="1210" spans="1:1" x14ac:dyDescent="0.25">
      <c r="A1210" t="s">
        <v>1817</v>
      </c>
    </row>
    <row r="1211" spans="1:1" x14ac:dyDescent="0.25">
      <c r="A1211" t="s">
        <v>1818</v>
      </c>
    </row>
    <row r="1212" spans="1:1" x14ac:dyDescent="0.25">
      <c r="A1212" t="s">
        <v>1819</v>
      </c>
    </row>
    <row r="1213" spans="1:1" x14ac:dyDescent="0.25">
      <c r="A1213" t="s">
        <v>3496</v>
      </c>
    </row>
    <row r="1214" spans="1:1" x14ac:dyDescent="0.25">
      <c r="A1214" t="s">
        <v>4291</v>
      </c>
    </row>
    <row r="1215" spans="1:1" x14ac:dyDescent="0.25">
      <c r="A1215" t="s">
        <v>3497</v>
      </c>
    </row>
    <row r="1216" spans="1:1" x14ac:dyDescent="0.25">
      <c r="A1216" t="s">
        <v>4291</v>
      </c>
    </row>
    <row r="1217" spans="1:1" x14ac:dyDescent="0.25">
      <c r="A1217" t="s">
        <v>3498</v>
      </c>
    </row>
    <row r="1218" spans="1:1" x14ac:dyDescent="0.25">
      <c r="A1218" t="s">
        <v>4291</v>
      </c>
    </row>
    <row r="1219" spans="1:1" x14ac:dyDescent="0.25">
      <c r="A1219" t="s">
        <v>711</v>
      </c>
    </row>
    <row r="1220" spans="1:1" x14ac:dyDescent="0.25">
      <c r="A1220" t="s">
        <v>1028</v>
      </c>
    </row>
    <row r="1221" spans="1:1" x14ac:dyDescent="0.25">
      <c r="A1221" t="s">
        <v>4375</v>
      </c>
    </row>
    <row r="1222" spans="1:1" x14ac:dyDescent="0.25">
      <c r="A1222" t="s">
        <v>1820</v>
      </c>
    </row>
    <row r="1223" spans="1:1" x14ac:dyDescent="0.25">
      <c r="A1223" t="s">
        <v>1821</v>
      </c>
    </row>
    <row r="1224" spans="1:1" x14ac:dyDescent="0.25">
      <c r="A1224" t="s">
        <v>1822</v>
      </c>
    </row>
    <row r="1225" spans="1:1" x14ac:dyDescent="0.25">
      <c r="A1225" t="s">
        <v>1823</v>
      </c>
    </row>
    <row r="1226" spans="1:1" x14ac:dyDescent="0.25">
      <c r="A1226" t="s">
        <v>1824</v>
      </c>
    </row>
    <row r="1227" spans="1:1" x14ac:dyDescent="0.25">
      <c r="A1227" t="s">
        <v>3499</v>
      </c>
    </row>
    <row r="1228" spans="1:1" x14ac:dyDescent="0.25">
      <c r="A1228" t="s">
        <v>4291</v>
      </c>
    </row>
    <row r="1229" spans="1:1" x14ac:dyDescent="0.25">
      <c r="A1229" t="s">
        <v>3500</v>
      </c>
    </row>
    <row r="1230" spans="1:1" x14ac:dyDescent="0.25">
      <c r="A1230" t="s">
        <v>4291</v>
      </c>
    </row>
    <row r="1231" spans="1:1" x14ac:dyDescent="0.25">
      <c r="A1231" t="s">
        <v>3501</v>
      </c>
    </row>
    <row r="1232" spans="1:1" x14ac:dyDescent="0.25">
      <c r="A1232" t="s">
        <v>4291</v>
      </c>
    </row>
    <row r="1233" spans="1:1" x14ac:dyDescent="0.25">
      <c r="A1233" t="s">
        <v>712</v>
      </c>
    </row>
    <row r="1234" spans="1:1" x14ac:dyDescent="0.25">
      <c r="A1234" t="s">
        <v>1029</v>
      </c>
    </row>
    <row r="1235" spans="1:1" x14ac:dyDescent="0.25">
      <c r="A1235" t="s">
        <v>4376</v>
      </c>
    </row>
    <row r="1236" spans="1:1" x14ac:dyDescent="0.25">
      <c r="A1236" t="s">
        <v>1825</v>
      </c>
    </row>
    <row r="1237" spans="1:1" x14ac:dyDescent="0.25">
      <c r="A1237" t="s">
        <v>1826</v>
      </c>
    </row>
    <row r="1238" spans="1:1" x14ac:dyDescent="0.25">
      <c r="A1238" t="s">
        <v>1827</v>
      </c>
    </row>
    <row r="1239" spans="1:1" x14ac:dyDescent="0.25">
      <c r="A1239" t="s">
        <v>1828</v>
      </c>
    </row>
    <row r="1240" spans="1:1" x14ac:dyDescent="0.25">
      <c r="A1240" t="s">
        <v>1829</v>
      </c>
    </row>
    <row r="1241" spans="1:1" x14ac:dyDescent="0.25">
      <c r="A1241" t="s">
        <v>3502</v>
      </c>
    </row>
    <row r="1242" spans="1:1" x14ac:dyDescent="0.25">
      <c r="A1242" t="s">
        <v>4291</v>
      </c>
    </row>
    <row r="1243" spans="1:1" x14ac:dyDescent="0.25">
      <c r="A1243" t="s">
        <v>3503</v>
      </c>
    </row>
    <row r="1244" spans="1:1" x14ac:dyDescent="0.25">
      <c r="A1244" t="s">
        <v>4291</v>
      </c>
    </row>
    <row r="1245" spans="1:1" x14ac:dyDescent="0.25">
      <c r="A1245" t="s">
        <v>3504</v>
      </c>
    </row>
    <row r="1246" spans="1:1" x14ac:dyDescent="0.25">
      <c r="A1246" t="s">
        <v>4291</v>
      </c>
    </row>
    <row r="1247" spans="1:1" x14ac:dyDescent="0.25">
      <c r="A1247" t="s">
        <v>713</v>
      </c>
    </row>
    <row r="1248" spans="1:1" x14ac:dyDescent="0.25">
      <c r="A1248" t="s">
        <v>1030</v>
      </c>
    </row>
    <row r="1249" spans="1:1" x14ac:dyDescent="0.25">
      <c r="A1249" t="s">
        <v>4377</v>
      </c>
    </row>
    <row r="1250" spans="1:1" x14ac:dyDescent="0.25">
      <c r="A1250" t="s">
        <v>1830</v>
      </c>
    </row>
    <row r="1251" spans="1:1" x14ac:dyDescent="0.25">
      <c r="A1251" t="s">
        <v>1831</v>
      </c>
    </row>
    <row r="1252" spans="1:1" x14ac:dyDescent="0.25">
      <c r="A1252" t="s">
        <v>1832</v>
      </c>
    </row>
    <row r="1253" spans="1:1" x14ac:dyDescent="0.25">
      <c r="A1253" t="s">
        <v>1833</v>
      </c>
    </row>
    <row r="1254" spans="1:1" x14ac:dyDescent="0.25">
      <c r="A1254" t="s">
        <v>1834</v>
      </c>
    </row>
    <row r="1255" spans="1:1" x14ac:dyDescent="0.25">
      <c r="A1255" t="s">
        <v>3505</v>
      </c>
    </row>
    <row r="1256" spans="1:1" x14ac:dyDescent="0.25">
      <c r="A1256" t="s">
        <v>4291</v>
      </c>
    </row>
    <row r="1257" spans="1:1" x14ac:dyDescent="0.25">
      <c r="A1257" t="s">
        <v>3506</v>
      </c>
    </row>
    <row r="1258" spans="1:1" x14ac:dyDescent="0.25">
      <c r="A1258" t="s">
        <v>4291</v>
      </c>
    </row>
    <row r="1259" spans="1:1" x14ac:dyDescent="0.25">
      <c r="A1259" t="s">
        <v>3507</v>
      </c>
    </row>
    <row r="1260" spans="1:1" x14ac:dyDescent="0.25">
      <c r="A1260" t="s">
        <v>4291</v>
      </c>
    </row>
    <row r="1261" spans="1:1" x14ac:dyDescent="0.25">
      <c r="A1261" t="s">
        <v>714</v>
      </c>
    </row>
    <row r="1262" spans="1:1" x14ac:dyDescent="0.25">
      <c r="A1262" t="s">
        <v>1031</v>
      </c>
    </row>
    <row r="1263" spans="1:1" x14ac:dyDescent="0.25">
      <c r="A1263" t="s">
        <v>4378</v>
      </c>
    </row>
    <row r="1264" spans="1:1" x14ac:dyDescent="0.25">
      <c r="A1264" t="s">
        <v>1835</v>
      </c>
    </row>
    <row r="1265" spans="1:1" x14ac:dyDescent="0.25">
      <c r="A1265" t="s">
        <v>1836</v>
      </c>
    </row>
    <row r="1266" spans="1:1" x14ac:dyDescent="0.25">
      <c r="A1266" t="s">
        <v>1837</v>
      </c>
    </row>
    <row r="1267" spans="1:1" x14ac:dyDescent="0.25">
      <c r="A1267" t="s">
        <v>1838</v>
      </c>
    </row>
    <row r="1268" spans="1:1" x14ac:dyDescent="0.25">
      <c r="A1268" t="s">
        <v>1839</v>
      </c>
    </row>
    <row r="1269" spans="1:1" x14ac:dyDescent="0.25">
      <c r="A1269" t="s">
        <v>3508</v>
      </c>
    </row>
    <row r="1270" spans="1:1" x14ac:dyDescent="0.25">
      <c r="A1270" t="s">
        <v>4291</v>
      </c>
    </row>
    <row r="1271" spans="1:1" x14ac:dyDescent="0.25">
      <c r="A1271" t="s">
        <v>3509</v>
      </c>
    </row>
    <row r="1272" spans="1:1" x14ac:dyDescent="0.25">
      <c r="A1272" t="s">
        <v>4291</v>
      </c>
    </row>
    <row r="1273" spans="1:1" x14ac:dyDescent="0.25">
      <c r="A1273" t="s">
        <v>3510</v>
      </c>
    </row>
    <row r="1274" spans="1:1" x14ac:dyDescent="0.25">
      <c r="A1274" t="s">
        <v>4291</v>
      </c>
    </row>
    <row r="1275" spans="1:1" x14ac:dyDescent="0.25">
      <c r="A1275" t="s">
        <v>715</v>
      </c>
    </row>
    <row r="1276" spans="1:1" x14ac:dyDescent="0.25">
      <c r="A1276" t="s">
        <v>1032</v>
      </c>
    </row>
    <row r="1277" spans="1:1" x14ac:dyDescent="0.25">
      <c r="A1277" t="s">
        <v>4379</v>
      </c>
    </row>
    <row r="1278" spans="1:1" x14ac:dyDescent="0.25">
      <c r="A1278" t="s">
        <v>1840</v>
      </c>
    </row>
    <row r="1279" spans="1:1" x14ac:dyDescent="0.25">
      <c r="A1279" t="s">
        <v>1841</v>
      </c>
    </row>
    <row r="1280" spans="1:1" x14ac:dyDescent="0.25">
      <c r="A1280" t="s">
        <v>1842</v>
      </c>
    </row>
    <row r="1281" spans="1:1" x14ac:dyDescent="0.25">
      <c r="A1281" t="s">
        <v>1843</v>
      </c>
    </row>
    <row r="1282" spans="1:1" x14ac:dyDescent="0.25">
      <c r="A1282" t="s">
        <v>1844</v>
      </c>
    </row>
    <row r="1283" spans="1:1" x14ac:dyDescent="0.25">
      <c r="A1283" t="s">
        <v>3511</v>
      </c>
    </row>
    <row r="1284" spans="1:1" x14ac:dyDescent="0.25">
      <c r="A1284" t="s">
        <v>4291</v>
      </c>
    </row>
    <row r="1285" spans="1:1" x14ac:dyDescent="0.25">
      <c r="A1285" t="s">
        <v>3512</v>
      </c>
    </row>
    <row r="1286" spans="1:1" x14ac:dyDescent="0.25">
      <c r="A1286" t="s">
        <v>4291</v>
      </c>
    </row>
    <row r="1287" spans="1:1" x14ac:dyDescent="0.25">
      <c r="A1287" t="s">
        <v>3513</v>
      </c>
    </row>
    <row r="1288" spans="1:1" x14ac:dyDescent="0.25">
      <c r="A1288" t="s">
        <v>4291</v>
      </c>
    </row>
    <row r="1289" spans="1:1" x14ac:dyDescent="0.25">
      <c r="A1289" t="s">
        <v>716</v>
      </c>
    </row>
    <row r="1290" spans="1:1" x14ac:dyDescent="0.25">
      <c r="A1290" t="s">
        <v>1033</v>
      </c>
    </row>
    <row r="1291" spans="1:1" x14ac:dyDescent="0.25">
      <c r="A1291" t="s">
        <v>4380</v>
      </c>
    </row>
    <row r="1292" spans="1:1" x14ac:dyDescent="0.25">
      <c r="A1292" t="s">
        <v>1845</v>
      </c>
    </row>
    <row r="1293" spans="1:1" x14ac:dyDescent="0.25">
      <c r="A1293" t="s">
        <v>1846</v>
      </c>
    </row>
    <row r="1294" spans="1:1" x14ac:dyDescent="0.25">
      <c r="A1294" t="s">
        <v>1847</v>
      </c>
    </row>
    <row r="1295" spans="1:1" x14ac:dyDescent="0.25">
      <c r="A1295" t="s">
        <v>1848</v>
      </c>
    </row>
    <row r="1296" spans="1:1" x14ac:dyDescent="0.25">
      <c r="A1296" t="s">
        <v>1849</v>
      </c>
    </row>
    <row r="1297" spans="1:1" x14ac:dyDescent="0.25">
      <c r="A1297" t="s">
        <v>3514</v>
      </c>
    </row>
    <row r="1298" spans="1:1" x14ac:dyDescent="0.25">
      <c r="A1298" t="s">
        <v>4291</v>
      </c>
    </row>
    <row r="1299" spans="1:1" x14ac:dyDescent="0.25">
      <c r="A1299" t="s">
        <v>3515</v>
      </c>
    </row>
    <row r="1300" spans="1:1" x14ac:dyDescent="0.25">
      <c r="A1300" t="s">
        <v>4291</v>
      </c>
    </row>
    <row r="1301" spans="1:1" x14ac:dyDescent="0.25">
      <c r="A1301" t="s">
        <v>3516</v>
      </c>
    </row>
    <row r="1302" spans="1:1" x14ac:dyDescent="0.25">
      <c r="A1302" t="s">
        <v>4291</v>
      </c>
    </row>
    <row r="1303" spans="1:1" x14ac:dyDescent="0.25">
      <c r="A1303" t="s">
        <v>717</v>
      </c>
    </row>
    <row r="1304" spans="1:1" x14ac:dyDescent="0.25">
      <c r="A1304" t="s">
        <v>1034</v>
      </c>
    </row>
    <row r="1305" spans="1:1" x14ac:dyDescent="0.25">
      <c r="A1305" t="s">
        <v>4381</v>
      </c>
    </row>
    <row r="1306" spans="1:1" x14ac:dyDescent="0.25">
      <c r="A1306" t="s">
        <v>1850</v>
      </c>
    </row>
    <row r="1307" spans="1:1" x14ac:dyDescent="0.25">
      <c r="A1307" t="s">
        <v>1851</v>
      </c>
    </row>
    <row r="1308" spans="1:1" x14ac:dyDescent="0.25">
      <c r="A1308" t="s">
        <v>1852</v>
      </c>
    </row>
    <row r="1309" spans="1:1" x14ac:dyDescent="0.25">
      <c r="A1309" t="s">
        <v>1853</v>
      </c>
    </row>
    <row r="1310" spans="1:1" x14ac:dyDescent="0.25">
      <c r="A1310" t="s">
        <v>1854</v>
      </c>
    </row>
    <row r="1311" spans="1:1" x14ac:dyDescent="0.25">
      <c r="A1311" t="s">
        <v>3517</v>
      </c>
    </row>
    <row r="1312" spans="1:1" x14ac:dyDescent="0.25">
      <c r="A1312" t="s">
        <v>4291</v>
      </c>
    </row>
    <row r="1313" spans="1:1" x14ac:dyDescent="0.25">
      <c r="A1313" t="s">
        <v>3518</v>
      </c>
    </row>
    <row r="1314" spans="1:1" x14ac:dyDescent="0.25">
      <c r="A1314" t="s">
        <v>4291</v>
      </c>
    </row>
    <row r="1315" spans="1:1" x14ac:dyDescent="0.25">
      <c r="A1315" t="s">
        <v>3519</v>
      </c>
    </row>
    <row r="1316" spans="1:1" x14ac:dyDescent="0.25">
      <c r="A1316" t="s">
        <v>4291</v>
      </c>
    </row>
    <row r="1317" spans="1:1" x14ac:dyDescent="0.25">
      <c r="A1317" t="s">
        <v>718</v>
      </c>
    </row>
    <row r="1318" spans="1:1" x14ac:dyDescent="0.25">
      <c r="A1318" t="s">
        <v>1035</v>
      </c>
    </row>
    <row r="1319" spans="1:1" x14ac:dyDescent="0.25">
      <c r="A1319" t="s">
        <v>4382</v>
      </c>
    </row>
    <row r="1320" spans="1:1" x14ac:dyDescent="0.25">
      <c r="A1320" t="s">
        <v>1855</v>
      </c>
    </row>
    <row r="1321" spans="1:1" x14ac:dyDescent="0.25">
      <c r="A1321" t="s">
        <v>1856</v>
      </c>
    </row>
    <row r="1322" spans="1:1" x14ac:dyDescent="0.25">
      <c r="A1322" t="s">
        <v>1857</v>
      </c>
    </row>
    <row r="1323" spans="1:1" x14ac:dyDescent="0.25">
      <c r="A1323" t="s">
        <v>1858</v>
      </c>
    </row>
    <row r="1324" spans="1:1" x14ac:dyDescent="0.25">
      <c r="A1324" t="s">
        <v>1859</v>
      </c>
    </row>
    <row r="1325" spans="1:1" x14ac:dyDescent="0.25">
      <c r="A1325" t="s">
        <v>3520</v>
      </c>
    </row>
    <row r="1326" spans="1:1" x14ac:dyDescent="0.25">
      <c r="A1326" t="s">
        <v>4291</v>
      </c>
    </row>
    <row r="1327" spans="1:1" x14ac:dyDescent="0.25">
      <c r="A1327" t="s">
        <v>3521</v>
      </c>
    </row>
    <row r="1328" spans="1:1" x14ac:dyDescent="0.25">
      <c r="A1328" t="s">
        <v>4291</v>
      </c>
    </row>
    <row r="1329" spans="1:1" x14ac:dyDescent="0.25">
      <c r="A1329" t="s">
        <v>3522</v>
      </c>
    </row>
    <row r="1330" spans="1:1" x14ac:dyDescent="0.25">
      <c r="A1330" t="s">
        <v>4291</v>
      </c>
    </row>
    <row r="1331" spans="1:1" x14ac:dyDescent="0.25">
      <c r="A1331" t="s">
        <v>719</v>
      </c>
    </row>
    <row r="1332" spans="1:1" x14ac:dyDescent="0.25">
      <c r="A1332" t="s">
        <v>1036</v>
      </c>
    </row>
    <row r="1333" spans="1:1" x14ac:dyDescent="0.25">
      <c r="A1333" t="s">
        <v>4383</v>
      </c>
    </row>
    <row r="1334" spans="1:1" x14ac:dyDescent="0.25">
      <c r="A1334" t="s">
        <v>1860</v>
      </c>
    </row>
    <row r="1335" spans="1:1" x14ac:dyDescent="0.25">
      <c r="A1335" t="s">
        <v>1861</v>
      </c>
    </row>
    <row r="1336" spans="1:1" x14ac:dyDescent="0.25">
      <c r="A1336" t="s">
        <v>1862</v>
      </c>
    </row>
    <row r="1337" spans="1:1" x14ac:dyDescent="0.25">
      <c r="A1337" t="s">
        <v>1863</v>
      </c>
    </row>
    <row r="1338" spans="1:1" x14ac:dyDescent="0.25">
      <c r="A1338" t="s">
        <v>1864</v>
      </c>
    </row>
    <row r="1339" spans="1:1" x14ac:dyDescent="0.25">
      <c r="A1339" t="s">
        <v>3523</v>
      </c>
    </row>
    <row r="1340" spans="1:1" x14ac:dyDescent="0.25">
      <c r="A1340" t="s">
        <v>4291</v>
      </c>
    </row>
    <row r="1341" spans="1:1" x14ac:dyDescent="0.25">
      <c r="A1341" t="s">
        <v>3524</v>
      </c>
    </row>
    <row r="1342" spans="1:1" x14ac:dyDescent="0.25">
      <c r="A1342" t="s">
        <v>4291</v>
      </c>
    </row>
    <row r="1343" spans="1:1" x14ac:dyDescent="0.25">
      <c r="A1343" t="s">
        <v>3525</v>
      </c>
    </row>
    <row r="1344" spans="1:1" x14ac:dyDescent="0.25">
      <c r="A1344" t="s">
        <v>4291</v>
      </c>
    </row>
    <row r="1345" spans="1:1" x14ac:dyDescent="0.25">
      <c r="A1345" t="s">
        <v>720</v>
      </c>
    </row>
    <row r="1346" spans="1:1" x14ac:dyDescent="0.25">
      <c r="A1346" t="s">
        <v>1037</v>
      </c>
    </row>
    <row r="1347" spans="1:1" x14ac:dyDescent="0.25">
      <c r="A1347" t="s">
        <v>4384</v>
      </c>
    </row>
    <row r="1348" spans="1:1" x14ac:dyDescent="0.25">
      <c r="A1348" t="s">
        <v>1865</v>
      </c>
    </row>
    <row r="1349" spans="1:1" x14ac:dyDescent="0.25">
      <c r="A1349" t="s">
        <v>1866</v>
      </c>
    </row>
    <row r="1350" spans="1:1" x14ac:dyDescent="0.25">
      <c r="A1350" t="s">
        <v>1867</v>
      </c>
    </row>
    <row r="1351" spans="1:1" x14ac:dyDescent="0.25">
      <c r="A1351" t="s">
        <v>1868</v>
      </c>
    </row>
    <row r="1352" spans="1:1" x14ac:dyDescent="0.25">
      <c r="A1352" t="s">
        <v>1869</v>
      </c>
    </row>
    <row r="1353" spans="1:1" x14ac:dyDescent="0.25">
      <c r="A1353" t="s">
        <v>3526</v>
      </c>
    </row>
    <row r="1354" spans="1:1" x14ac:dyDescent="0.25">
      <c r="A1354" t="s">
        <v>4291</v>
      </c>
    </row>
    <row r="1355" spans="1:1" x14ac:dyDescent="0.25">
      <c r="A1355" t="s">
        <v>3527</v>
      </c>
    </row>
    <row r="1356" spans="1:1" x14ac:dyDescent="0.25">
      <c r="A1356" t="s">
        <v>4291</v>
      </c>
    </row>
    <row r="1357" spans="1:1" x14ac:dyDescent="0.25">
      <c r="A1357" t="s">
        <v>3528</v>
      </c>
    </row>
    <row r="1358" spans="1:1" x14ac:dyDescent="0.25">
      <c r="A1358" t="s">
        <v>4291</v>
      </c>
    </row>
    <row r="1359" spans="1:1" x14ac:dyDescent="0.25">
      <c r="A1359" t="s">
        <v>721</v>
      </c>
    </row>
    <row r="1360" spans="1:1" x14ac:dyDescent="0.25">
      <c r="A1360" t="s">
        <v>1038</v>
      </c>
    </row>
    <row r="1361" spans="1:1" x14ac:dyDescent="0.25">
      <c r="A1361" t="s">
        <v>4385</v>
      </c>
    </row>
    <row r="1362" spans="1:1" x14ac:dyDescent="0.25">
      <c r="A1362" t="s">
        <v>1870</v>
      </c>
    </row>
    <row r="1363" spans="1:1" x14ac:dyDescent="0.25">
      <c r="A1363" t="s">
        <v>1871</v>
      </c>
    </row>
    <row r="1364" spans="1:1" x14ac:dyDescent="0.25">
      <c r="A1364" t="s">
        <v>1872</v>
      </c>
    </row>
    <row r="1365" spans="1:1" x14ac:dyDescent="0.25">
      <c r="A1365" t="s">
        <v>1873</v>
      </c>
    </row>
    <row r="1366" spans="1:1" x14ac:dyDescent="0.25">
      <c r="A1366" t="s">
        <v>1874</v>
      </c>
    </row>
    <row r="1367" spans="1:1" x14ac:dyDescent="0.25">
      <c r="A1367" t="s">
        <v>3529</v>
      </c>
    </row>
    <row r="1368" spans="1:1" x14ac:dyDescent="0.25">
      <c r="A1368" t="s">
        <v>4291</v>
      </c>
    </row>
    <row r="1369" spans="1:1" x14ac:dyDescent="0.25">
      <c r="A1369" t="s">
        <v>3530</v>
      </c>
    </row>
    <row r="1370" spans="1:1" x14ac:dyDescent="0.25">
      <c r="A1370" t="s">
        <v>4291</v>
      </c>
    </row>
    <row r="1371" spans="1:1" x14ac:dyDescent="0.25">
      <c r="A1371" t="s">
        <v>3531</v>
      </c>
    </row>
    <row r="1372" spans="1:1" x14ac:dyDescent="0.25">
      <c r="A1372" t="s">
        <v>4291</v>
      </c>
    </row>
    <row r="1373" spans="1:1" x14ac:dyDescent="0.25">
      <c r="A1373" t="s">
        <v>722</v>
      </c>
    </row>
    <row r="1374" spans="1:1" x14ac:dyDescent="0.25">
      <c r="A1374" t="s">
        <v>1039</v>
      </c>
    </row>
    <row r="1375" spans="1:1" x14ac:dyDescent="0.25">
      <c r="A1375" t="s">
        <v>4386</v>
      </c>
    </row>
    <row r="1376" spans="1:1" x14ac:dyDescent="0.25">
      <c r="A1376" t="s">
        <v>1875</v>
      </c>
    </row>
    <row r="1377" spans="1:1" x14ac:dyDescent="0.25">
      <c r="A1377" t="s">
        <v>1876</v>
      </c>
    </row>
    <row r="1378" spans="1:1" x14ac:dyDescent="0.25">
      <c r="A1378" t="s">
        <v>1877</v>
      </c>
    </row>
    <row r="1379" spans="1:1" x14ac:dyDescent="0.25">
      <c r="A1379" t="s">
        <v>1878</v>
      </c>
    </row>
    <row r="1380" spans="1:1" x14ac:dyDescent="0.25">
      <c r="A1380" t="s">
        <v>1879</v>
      </c>
    </row>
    <row r="1381" spans="1:1" x14ac:dyDescent="0.25">
      <c r="A1381" t="s">
        <v>3532</v>
      </c>
    </row>
    <row r="1382" spans="1:1" x14ac:dyDescent="0.25">
      <c r="A1382" t="s">
        <v>4291</v>
      </c>
    </row>
    <row r="1383" spans="1:1" x14ac:dyDescent="0.25">
      <c r="A1383" t="s">
        <v>3533</v>
      </c>
    </row>
    <row r="1384" spans="1:1" x14ac:dyDescent="0.25">
      <c r="A1384" t="s">
        <v>4291</v>
      </c>
    </row>
    <row r="1385" spans="1:1" x14ac:dyDescent="0.25">
      <c r="A1385" t="s">
        <v>3534</v>
      </c>
    </row>
    <row r="1386" spans="1:1" x14ac:dyDescent="0.25">
      <c r="A1386" t="s">
        <v>4291</v>
      </c>
    </row>
    <row r="1387" spans="1:1" x14ac:dyDescent="0.25">
      <c r="A1387" t="s">
        <v>723</v>
      </c>
    </row>
    <row r="1388" spans="1:1" x14ac:dyDescent="0.25">
      <c r="A1388" t="s">
        <v>1040</v>
      </c>
    </row>
    <row r="1389" spans="1:1" x14ac:dyDescent="0.25">
      <c r="A1389" t="s">
        <v>4387</v>
      </c>
    </row>
    <row r="1390" spans="1:1" x14ac:dyDescent="0.25">
      <c r="A1390" t="s">
        <v>1880</v>
      </c>
    </row>
    <row r="1391" spans="1:1" x14ac:dyDescent="0.25">
      <c r="A1391" t="s">
        <v>1881</v>
      </c>
    </row>
    <row r="1392" spans="1:1" x14ac:dyDescent="0.25">
      <c r="A1392" t="s">
        <v>1882</v>
      </c>
    </row>
    <row r="1393" spans="1:1" x14ac:dyDescent="0.25">
      <c r="A1393" t="s">
        <v>1883</v>
      </c>
    </row>
    <row r="1394" spans="1:1" x14ac:dyDescent="0.25">
      <c r="A1394" t="s">
        <v>1884</v>
      </c>
    </row>
    <row r="1395" spans="1:1" x14ac:dyDescent="0.25">
      <c r="A1395" t="s">
        <v>3535</v>
      </c>
    </row>
    <row r="1396" spans="1:1" x14ac:dyDescent="0.25">
      <c r="A1396" t="s">
        <v>4291</v>
      </c>
    </row>
    <row r="1397" spans="1:1" x14ac:dyDescent="0.25">
      <c r="A1397" t="s">
        <v>3536</v>
      </c>
    </row>
    <row r="1398" spans="1:1" x14ac:dyDescent="0.25">
      <c r="A1398" t="s">
        <v>4291</v>
      </c>
    </row>
    <row r="1399" spans="1:1" x14ac:dyDescent="0.25">
      <c r="A1399" t="s">
        <v>3537</v>
      </c>
    </row>
    <row r="1400" spans="1:1" x14ac:dyDescent="0.25">
      <c r="A1400" t="s">
        <v>4291</v>
      </c>
    </row>
    <row r="1401" spans="1:1" x14ac:dyDescent="0.25">
      <c r="A1401" t="s">
        <v>724</v>
      </c>
    </row>
    <row r="1402" spans="1:1" x14ac:dyDescent="0.25">
      <c r="A1402" t="s">
        <v>1041</v>
      </c>
    </row>
    <row r="1403" spans="1:1" x14ac:dyDescent="0.25">
      <c r="A1403" t="s">
        <v>4388</v>
      </c>
    </row>
    <row r="1404" spans="1:1" x14ac:dyDescent="0.25">
      <c r="A1404" t="s">
        <v>1885</v>
      </c>
    </row>
    <row r="1405" spans="1:1" x14ac:dyDescent="0.25">
      <c r="A1405" t="s">
        <v>1886</v>
      </c>
    </row>
    <row r="1406" spans="1:1" x14ac:dyDescent="0.25">
      <c r="A1406" t="s">
        <v>1887</v>
      </c>
    </row>
    <row r="1407" spans="1:1" x14ac:dyDescent="0.25">
      <c r="A1407" t="s">
        <v>1888</v>
      </c>
    </row>
    <row r="1408" spans="1:1" x14ac:dyDescent="0.25">
      <c r="A1408" t="s">
        <v>1889</v>
      </c>
    </row>
    <row r="1409" spans="1:1" x14ac:dyDescent="0.25">
      <c r="A1409" t="s">
        <v>3538</v>
      </c>
    </row>
    <row r="1410" spans="1:1" x14ac:dyDescent="0.25">
      <c r="A1410" t="s">
        <v>4291</v>
      </c>
    </row>
    <row r="1411" spans="1:1" x14ac:dyDescent="0.25">
      <c r="A1411" t="s">
        <v>3539</v>
      </c>
    </row>
    <row r="1412" spans="1:1" x14ac:dyDescent="0.25">
      <c r="A1412" t="s">
        <v>4291</v>
      </c>
    </row>
    <row r="1413" spans="1:1" x14ac:dyDescent="0.25">
      <c r="A1413" t="s">
        <v>3540</v>
      </c>
    </row>
    <row r="1414" spans="1:1" x14ac:dyDescent="0.25">
      <c r="A1414" t="s">
        <v>4291</v>
      </c>
    </row>
    <row r="1415" spans="1:1" x14ac:dyDescent="0.25">
      <c r="A1415" t="s">
        <v>725</v>
      </c>
    </row>
    <row r="1416" spans="1:1" x14ac:dyDescent="0.25">
      <c r="A1416" t="s">
        <v>1042</v>
      </c>
    </row>
    <row r="1417" spans="1:1" x14ac:dyDescent="0.25">
      <c r="A1417" t="s">
        <v>4389</v>
      </c>
    </row>
    <row r="1418" spans="1:1" x14ac:dyDescent="0.25">
      <c r="A1418" t="s">
        <v>1890</v>
      </c>
    </row>
    <row r="1419" spans="1:1" x14ac:dyDescent="0.25">
      <c r="A1419" t="s">
        <v>1891</v>
      </c>
    </row>
    <row r="1420" spans="1:1" x14ac:dyDescent="0.25">
      <c r="A1420" t="s">
        <v>1892</v>
      </c>
    </row>
    <row r="1421" spans="1:1" x14ac:dyDescent="0.25">
      <c r="A1421" t="s">
        <v>1893</v>
      </c>
    </row>
    <row r="1422" spans="1:1" x14ac:dyDescent="0.25">
      <c r="A1422" t="s">
        <v>1894</v>
      </c>
    </row>
    <row r="1423" spans="1:1" x14ac:dyDescent="0.25">
      <c r="A1423" t="s">
        <v>3541</v>
      </c>
    </row>
    <row r="1424" spans="1:1" x14ac:dyDescent="0.25">
      <c r="A1424" t="s">
        <v>4291</v>
      </c>
    </row>
    <row r="1425" spans="1:1" x14ac:dyDescent="0.25">
      <c r="A1425" t="s">
        <v>3542</v>
      </c>
    </row>
    <row r="1426" spans="1:1" x14ac:dyDescent="0.25">
      <c r="A1426" t="s">
        <v>4291</v>
      </c>
    </row>
    <row r="1427" spans="1:1" x14ac:dyDescent="0.25">
      <c r="A1427" t="s">
        <v>3543</v>
      </c>
    </row>
    <row r="1428" spans="1:1" x14ac:dyDescent="0.25">
      <c r="A1428" t="s">
        <v>4291</v>
      </c>
    </row>
    <row r="1429" spans="1:1" x14ac:dyDescent="0.25">
      <c r="A1429" t="s">
        <v>726</v>
      </c>
    </row>
    <row r="1430" spans="1:1" x14ac:dyDescent="0.25">
      <c r="A1430" t="s">
        <v>1043</v>
      </c>
    </row>
    <row r="1431" spans="1:1" x14ac:dyDescent="0.25">
      <c r="A1431" t="s">
        <v>4390</v>
      </c>
    </row>
    <row r="1432" spans="1:1" x14ac:dyDescent="0.25">
      <c r="A1432" t="s">
        <v>1895</v>
      </c>
    </row>
    <row r="1433" spans="1:1" x14ac:dyDescent="0.25">
      <c r="A1433" t="s">
        <v>1896</v>
      </c>
    </row>
    <row r="1434" spans="1:1" x14ac:dyDescent="0.25">
      <c r="A1434" t="s">
        <v>1897</v>
      </c>
    </row>
    <row r="1435" spans="1:1" x14ac:dyDescent="0.25">
      <c r="A1435" t="s">
        <v>1898</v>
      </c>
    </row>
    <row r="1436" spans="1:1" x14ac:dyDescent="0.25">
      <c r="A1436" t="s">
        <v>1899</v>
      </c>
    </row>
    <row r="1437" spans="1:1" x14ac:dyDescent="0.25">
      <c r="A1437" t="s">
        <v>3544</v>
      </c>
    </row>
    <row r="1438" spans="1:1" x14ac:dyDescent="0.25">
      <c r="A1438" t="s">
        <v>4291</v>
      </c>
    </row>
    <row r="1439" spans="1:1" x14ac:dyDescent="0.25">
      <c r="A1439" t="s">
        <v>3545</v>
      </c>
    </row>
    <row r="1440" spans="1:1" x14ac:dyDescent="0.25">
      <c r="A1440" t="s">
        <v>4291</v>
      </c>
    </row>
    <row r="1441" spans="1:1" x14ac:dyDescent="0.25">
      <c r="A1441" t="s">
        <v>3546</v>
      </c>
    </row>
    <row r="1442" spans="1:1" x14ac:dyDescent="0.25">
      <c r="A1442" t="s">
        <v>4291</v>
      </c>
    </row>
    <row r="1443" spans="1:1" x14ac:dyDescent="0.25">
      <c r="A1443" t="s">
        <v>727</v>
      </c>
    </row>
    <row r="1444" spans="1:1" x14ac:dyDescent="0.25">
      <c r="A1444" t="s">
        <v>1044</v>
      </c>
    </row>
    <row r="1445" spans="1:1" x14ac:dyDescent="0.25">
      <c r="A1445" t="s">
        <v>4391</v>
      </c>
    </row>
    <row r="1446" spans="1:1" x14ac:dyDescent="0.25">
      <c r="A1446" t="s">
        <v>1900</v>
      </c>
    </row>
    <row r="1447" spans="1:1" x14ac:dyDescent="0.25">
      <c r="A1447" t="s">
        <v>1901</v>
      </c>
    </row>
    <row r="1448" spans="1:1" x14ac:dyDescent="0.25">
      <c r="A1448" t="s">
        <v>1902</v>
      </c>
    </row>
    <row r="1449" spans="1:1" x14ac:dyDescent="0.25">
      <c r="A1449" t="s">
        <v>1903</v>
      </c>
    </row>
    <row r="1450" spans="1:1" x14ac:dyDescent="0.25">
      <c r="A1450" t="s">
        <v>1904</v>
      </c>
    </row>
    <row r="1451" spans="1:1" x14ac:dyDescent="0.25">
      <c r="A1451" t="s">
        <v>3547</v>
      </c>
    </row>
    <row r="1452" spans="1:1" x14ac:dyDescent="0.25">
      <c r="A1452" t="s">
        <v>4291</v>
      </c>
    </row>
    <row r="1453" spans="1:1" x14ac:dyDescent="0.25">
      <c r="A1453" t="s">
        <v>3548</v>
      </c>
    </row>
    <row r="1454" spans="1:1" x14ac:dyDescent="0.25">
      <c r="A1454" t="s">
        <v>4291</v>
      </c>
    </row>
    <row r="1455" spans="1:1" x14ac:dyDescent="0.25">
      <c r="A1455" t="s">
        <v>3549</v>
      </c>
    </row>
    <row r="1456" spans="1:1" x14ac:dyDescent="0.25">
      <c r="A1456" t="s">
        <v>4291</v>
      </c>
    </row>
    <row r="1457" spans="1:1" x14ac:dyDescent="0.25">
      <c r="A1457" t="s">
        <v>728</v>
      </c>
    </row>
    <row r="1458" spans="1:1" x14ac:dyDescent="0.25">
      <c r="A1458" t="s">
        <v>1045</v>
      </c>
    </row>
    <row r="1459" spans="1:1" x14ac:dyDescent="0.25">
      <c r="A1459" t="s">
        <v>4392</v>
      </c>
    </row>
    <row r="1460" spans="1:1" x14ac:dyDescent="0.25">
      <c r="A1460" t="s">
        <v>1905</v>
      </c>
    </row>
    <row r="1461" spans="1:1" x14ac:dyDescent="0.25">
      <c r="A1461" t="s">
        <v>1906</v>
      </c>
    </row>
    <row r="1462" spans="1:1" x14ac:dyDescent="0.25">
      <c r="A1462" t="s">
        <v>1907</v>
      </c>
    </row>
    <row r="1463" spans="1:1" x14ac:dyDescent="0.25">
      <c r="A1463" t="s">
        <v>1908</v>
      </c>
    </row>
    <row r="1464" spans="1:1" x14ac:dyDescent="0.25">
      <c r="A1464" t="s">
        <v>1909</v>
      </c>
    </row>
    <row r="1465" spans="1:1" x14ac:dyDescent="0.25">
      <c r="A1465" t="s">
        <v>3550</v>
      </c>
    </row>
    <row r="1466" spans="1:1" x14ac:dyDescent="0.25">
      <c r="A1466" t="s">
        <v>4291</v>
      </c>
    </row>
    <row r="1467" spans="1:1" x14ac:dyDescent="0.25">
      <c r="A1467" t="s">
        <v>3551</v>
      </c>
    </row>
    <row r="1468" spans="1:1" x14ac:dyDescent="0.25">
      <c r="A1468" t="s">
        <v>4291</v>
      </c>
    </row>
    <row r="1469" spans="1:1" x14ac:dyDescent="0.25">
      <c r="A1469" t="s">
        <v>3552</v>
      </c>
    </row>
    <row r="1470" spans="1:1" x14ac:dyDescent="0.25">
      <c r="A1470" t="s">
        <v>4291</v>
      </c>
    </row>
    <row r="1471" spans="1:1" x14ac:dyDescent="0.25">
      <c r="A1471" t="s">
        <v>729</v>
      </c>
    </row>
    <row r="1472" spans="1:1" x14ac:dyDescent="0.25">
      <c r="A1472" t="s">
        <v>1046</v>
      </c>
    </row>
    <row r="1473" spans="1:1" x14ac:dyDescent="0.25">
      <c r="A1473" t="s">
        <v>4393</v>
      </c>
    </row>
    <row r="1474" spans="1:1" x14ac:dyDescent="0.25">
      <c r="A1474" t="s">
        <v>1910</v>
      </c>
    </row>
    <row r="1475" spans="1:1" x14ac:dyDescent="0.25">
      <c r="A1475" t="s">
        <v>1911</v>
      </c>
    </row>
    <row r="1476" spans="1:1" x14ac:dyDescent="0.25">
      <c r="A1476" t="s">
        <v>1912</v>
      </c>
    </row>
    <row r="1477" spans="1:1" x14ac:dyDescent="0.25">
      <c r="A1477" t="s">
        <v>1913</v>
      </c>
    </row>
    <row r="1478" spans="1:1" x14ac:dyDescent="0.25">
      <c r="A1478" t="s">
        <v>1914</v>
      </c>
    </row>
    <row r="1479" spans="1:1" x14ac:dyDescent="0.25">
      <c r="A1479" t="s">
        <v>3553</v>
      </c>
    </row>
    <row r="1480" spans="1:1" x14ac:dyDescent="0.25">
      <c r="A1480" t="s">
        <v>4291</v>
      </c>
    </row>
    <row r="1481" spans="1:1" x14ac:dyDescent="0.25">
      <c r="A1481" t="s">
        <v>3554</v>
      </c>
    </row>
    <row r="1482" spans="1:1" x14ac:dyDescent="0.25">
      <c r="A1482" t="s">
        <v>4291</v>
      </c>
    </row>
    <row r="1483" spans="1:1" x14ac:dyDescent="0.25">
      <c r="A1483" t="s">
        <v>3555</v>
      </c>
    </row>
    <row r="1484" spans="1:1" x14ac:dyDescent="0.25">
      <c r="A1484" t="s">
        <v>4291</v>
      </c>
    </row>
    <row r="1485" spans="1:1" x14ac:dyDescent="0.25">
      <c r="A1485" t="s">
        <v>730</v>
      </c>
    </row>
    <row r="1486" spans="1:1" x14ac:dyDescent="0.25">
      <c r="A1486" t="s">
        <v>1047</v>
      </c>
    </row>
    <row r="1487" spans="1:1" x14ac:dyDescent="0.25">
      <c r="A1487" t="s">
        <v>4394</v>
      </c>
    </row>
    <row r="1488" spans="1:1" x14ac:dyDescent="0.25">
      <c r="A1488" t="s">
        <v>1915</v>
      </c>
    </row>
    <row r="1489" spans="1:1" x14ac:dyDescent="0.25">
      <c r="A1489" t="s">
        <v>1916</v>
      </c>
    </row>
    <row r="1490" spans="1:1" x14ac:dyDescent="0.25">
      <c r="A1490" t="s">
        <v>1917</v>
      </c>
    </row>
    <row r="1491" spans="1:1" x14ac:dyDescent="0.25">
      <c r="A1491" t="s">
        <v>1918</v>
      </c>
    </row>
    <row r="1492" spans="1:1" x14ac:dyDescent="0.25">
      <c r="A1492" t="s">
        <v>1919</v>
      </c>
    </row>
    <row r="1493" spans="1:1" x14ac:dyDescent="0.25">
      <c r="A1493" t="s">
        <v>3556</v>
      </c>
    </row>
    <row r="1494" spans="1:1" x14ac:dyDescent="0.25">
      <c r="A1494" t="s">
        <v>4291</v>
      </c>
    </row>
    <row r="1495" spans="1:1" x14ac:dyDescent="0.25">
      <c r="A1495" t="s">
        <v>3557</v>
      </c>
    </row>
    <row r="1496" spans="1:1" x14ac:dyDescent="0.25">
      <c r="A1496" t="s">
        <v>4291</v>
      </c>
    </row>
    <row r="1497" spans="1:1" x14ac:dyDescent="0.25">
      <c r="A1497" t="s">
        <v>3558</v>
      </c>
    </row>
    <row r="1498" spans="1:1" x14ac:dyDescent="0.25">
      <c r="A1498" t="s">
        <v>4291</v>
      </c>
    </row>
    <row r="1499" spans="1:1" x14ac:dyDescent="0.25">
      <c r="A1499" t="s">
        <v>731</v>
      </c>
    </row>
    <row r="1500" spans="1:1" x14ac:dyDescent="0.25">
      <c r="A1500" t="s">
        <v>1048</v>
      </c>
    </row>
    <row r="1501" spans="1:1" x14ac:dyDescent="0.25">
      <c r="A1501" t="s">
        <v>4395</v>
      </c>
    </row>
    <row r="1502" spans="1:1" x14ac:dyDescent="0.25">
      <c r="A1502" t="s">
        <v>1920</v>
      </c>
    </row>
    <row r="1503" spans="1:1" x14ac:dyDescent="0.25">
      <c r="A1503" t="s">
        <v>1921</v>
      </c>
    </row>
    <row r="1504" spans="1:1" x14ac:dyDescent="0.25">
      <c r="A1504" t="s">
        <v>1922</v>
      </c>
    </row>
    <row r="1505" spans="1:1" x14ac:dyDescent="0.25">
      <c r="A1505" t="s">
        <v>1923</v>
      </c>
    </row>
    <row r="1506" spans="1:1" x14ac:dyDescent="0.25">
      <c r="A1506" t="s">
        <v>1924</v>
      </c>
    </row>
    <row r="1507" spans="1:1" x14ac:dyDescent="0.25">
      <c r="A1507" t="s">
        <v>3559</v>
      </c>
    </row>
    <row r="1508" spans="1:1" x14ac:dyDescent="0.25">
      <c r="A1508" t="s">
        <v>4291</v>
      </c>
    </row>
    <row r="1509" spans="1:1" x14ac:dyDescent="0.25">
      <c r="A1509" t="s">
        <v>3560</v>
      </c>
    </row>
    <row r="1510" spans="1:1" x14ac:dyDescent="0.25">
      <c r="A1510" t="s">
        <v>4291</v>
      </c>
    </row>
    <row r="1511" spans="1:1" x14ac:dyDescent="0.25">
      <c r="A1511" t="s">
        <v>3561</v>
      </c>
    </row>
    <row r="1512" spans="1:1" x14ac:dyDescent="0.25">
      <c r="A1512" t="s">
        <v>4291</v>
      </c>
    </row>
    <row r="1513" spans="1:1" x14ac:dyDescent="0.25">
      <c r="A1513" t="s">
        <v>732</v>
      </c>
    </row>
    <row r="1514" spans="1:1" x14ac:dyDescent="0.25">
      <c r="A1514" t="s">
        <v>1049</v>
      </c>
    </row>
    <row r="1515" spans="1:1" x14ac:dyDescent="0.25">
      <c r="A1515" t="s">
        <v>4396</v>
      </c>
    </row>
    <row r="1516" spans="1:1" x14ac:dyDescent="0.25">
      <c r="A1516" t="s">
        <v>1925</v>
      </c>
    </row>
    <row r="1517" spans="1:1" x14ac:dyDescent="0.25">
      <c r="A1517" t="s">
        <v>1926</v>
      </c>
    </row>
    <row r="1518" spans="1:1" x14ac:dyDescent="0.25">
      <c r="A1518" t="s">
        <v>1927</v>
      </c>
    </row>
    <row r="1519" spans="1:1" x14ac:dyDescent="0.25">
      <c r="A1519" t="s">
        <v>1928</v>
      </c>
    </row>
    <row r="1520" spans="1:1" x14ac:dyDescent="0.25">
      <c r="A1520" t="s">
        <v>1929</v>
      </c>
    </row>
    <row r="1521" spans="1:1" x14ac:dyDescent="0.25">
      <c r="A1521" t="s">
        <v>3562</v>
      </c>
    </row>
    <row r="1522" spans="1:1" x14ac:dyDescent="0.25">
      <c r="A1522" t="s">
        <v>4291</v>
      </c>
    </row>
    <row r="1523" spans="1:1" x14ac:dyDescent="0.25">
      <c r="A1523" t="s">
        <v>3563</v>
      </c>
    </row>
    <row r="1524" spans="1:1" x14ac:dyDescent="0.25">
      <c r="A1524" t="s">
        <v>4291</v>
      </c>
    </row>
    <row r="1525" spans="1:1" x14ac:dyDescent="0.25">
      <c r="A1525" t="s">
        <v>3564</v>
      </c>
    </row>
    <row r="1526" spans="1:1" x14ac:dyDescent="0.25">
      <c r="A1526" t="s">
        <v>4291</v>
      </c>
    </row>
    <row r="1527" spans="1:1" x14ac:dyDescent="0.25">
      <c r="A1527" t="s">
        <v>733</v>
      </c>
    </row>
    <row r="1528" spans="1:1" x14ac:dyDescent="0.25">
      <c r="A1528" t="s">
        <v>1050</v>
      </c>
    </row>
    <row r="1529" spans="1:1" x14ac:dyDescent="0.25">
      <c r="A1529" t="s">
        <v>4397</v>
      </c>
    </row>
    <row r="1530" spans="1:1" x14ac:dyDescent="0.25">
      <c r="A1530" t="s">
        <v>1930</v>
      </c>
    </row>
    <row r="1531" spans="1:1" x14ac:dyDescent="0.25">
      <c r="A1531" t="s">
        <v>1931</v>
      </c>
    </row>
    <row r="1532" spans="1:1" x14ac:dyDescent="0.25">
      <c r="A1532" t="s">
        <v>1932</v>
      </c>
    </row>
    <row r="1533" spans="1:1" x14ac:dyDescent="0.25">
      <c r="A1533" t="s">
        <v>1933</v>
      </c>
    </row>
    <row r="1534" spans="1:1" x14ac:dyDescent="0.25">
      <c r="A1534" t="s">
        <v>1934</v>
      </c>
    </row>
    <row r="1535" spans="1:1" x14ac:dyDescent="0.25">
      <c r="A1535" t="s">
        <v>3565</v>
      </c>
    </row>
    <row r="1536" spans="1:1" x14ac:dyDescent="0.25">
      <c r="A1536" t="s">
        <v>4291</v>
      </c>
    </row>
    <row r="1537" spans="1:1" x14ac:dyDescent="0.25">
      <c r="A1537" t="s">
        <v>3566</v>
      </c>
    </row>
    <row r="1538" spans="1:1" x14ac:dyDescent="0.25">
      <c r="A1538" t="s">
        <v>4291</v>
      </c>
    </row>
    <row r="1539" spans="1:1" x14ac:dyDescent="0.25">
      <c r="A1539" t="s">
        <v>3567</v>
      </c>
    </row>
    <row r="1540" spans="1:1" x14ac:dyDescent="0.25">
      <c r="A1540" t="s">
        <v>4291</v>
      </c>
    </row>
    <row r="1541" spans="1:1" x14ac:dyDescent="0.25">
      <c r="A1541" t="s">
        <v>734</v>
      </c>
    </row>
    <row r="1542" spans="1:1" x14ac:dyDescent="0.25">
      <c r="A1542" t="s">
        <v>1051</v>
      </c>
    </row>
    <row r="1543" spans="1:1" x14ac:dyDescent="0.25">
      <c r="A1543" t="s">
        <v>4398</v>
      </c>
    </row>
    <row r="1544" spans="1:1" x14ac:dyDescent="0.25">
      <c r="A1544" t="s">
        <v>1935</v>
      </c>
    </row>
    <row r="1545" spans="1:1" x14ac:dyDescent="0.25">
      <c r="A1545" t="s">
        <v>1936</v>
      </c>
    </row>
    <row r="1546" spans="1:1" x14ac:dyDescent="0.25">
      <c r="A1546" t="s">
        <v>1937</v>
      </c>
    </row>
    <row r="1547" spans="1:1" x14ac:dyDescent="0.25">
      <c r="A1547" t="s">
        <v>1938</v>
      </c>
    </row>
    <row r="1548" spans="1:1" x14ac:dyDescent="0.25">
      <c r="A1548" t="s">
        <v>1939</v>
      </c>
    </row>
    <row r="1549" spans="1:1" x14ac:dyDescent="0.25">
      <c r="A1549" t="s">
        <v>3568</v>
      </c>
    </row>
    <row r="1550" spans="1:1" x14ac:dyDescent="0.25">
      <c r="A1550" t="s">
        <v>4291</v>
      </c>
    </row>
    <row r="1551" spans="1:1" x14ac:dyDescent="0.25">
      <c r="A1551" t="s">
        <v>3569</v>
      </c>
    </row>
    <row r="1552" spans="1:1" x14ac:dyDescent="0.25">
      <c r="A1552" t="s">
        <v>4291</v>
      </c>
    </row>
    <row r="1553" spans="1:1" x14ac:dyDescent="0.25">
      <c r="A1553" t="s">
        <v>3570</v>
      </c>
    </row>
    <row r="1554" spans="1:1" x14ac:dyDescent="0.25">
      <c r="A1554" t="s">
        <v>4291</v>
      </c>
    </row>
    <row r="1555" spans="1:1" x14ac:dyDescent="0.25">
      <c r="A1555" t="s">
        <v>735</v>
      </c>
    </row>
    <row r="1556" spans="1:1" x14ac:dyDescent="0.25">
      <c r="A1556" t="s">
        <v>1052</v>
      </c>
    </row>
    <row r="1557" spans="1:1" x14ac:dyDescent="0.25">
      <c r="A1557" t="s">
        <v>4399</v>
      </c>
    </row>
    <row r="1558" spans="1:1" x14ac:dyDescent="0.25">
      <c r="A1558" t="s">
        <v>1940</v>
      </c>
    </row>
    <row r="1559" spans="1:1" x14ac:dyDescent="0.25">
      <c r="A1559" t="s">
        <v>1941</v>
      </c>
    </row>
    <row r="1560" spans="1:1" x14ac:dyDescent="0.25">
      <c r="A1560" t="s">
        <v>1942</v>
      </c>
    </row>
    <row r="1561" spans="1:1" x14ac:dyDescent="0.25">
      <c r="A1561" t="s">
        <v>1943</v>
      </c>
    </row>
    <row r="1562" spans="1:1" x14ac:dyDescent="0.25">
      <c r="A1562" t="s">
        <v>1944</v>
      </c>
    </row>
    <row r="1563" spans="1:1" x14ac:dyDescent="0.25">
      <c r="A1563" t="s">
        <v>3571</v>
      </c>
    </row>
    <row r="1564" spans="1:1" x14ac:dyDescent="0.25">
      <c r="A1564" t="s">
        <v>4291</v>
      </c>
    </row>
    <row r="1565" spans="1:1" x14ac:dyDescent="0.25">
      <c r="A1565" t="s">
        <v>3572</v>
      </c>
    </row>
    <row r="1566" spans="1:1" x14ac:dyDescent="0.25">
      <c r="A1566" t="s">
        <v>4291</v>
      </c>
    </row>
    <row r="1567" spans="1:1" x14ac:dyDescent="0.25">
      <c r="A1567" t="s">
        <v>3573</v>
      </c>
    </row>
    <row r="1568" spans="1:1" x14ac:dyDescent="0.25">
      <c r="A1568" t="s">
        <v>4291</v>
      </c>
    </row>
    <row r="1569" spans="1:1" x14ac:dyDescent="0.25">
      <c r="A1569" t="s">
        <v>736</v>
      </c>
    </row>
    <row r="1570" spans="1:1" x14ac:dyDescent="0.25">
      <c r="A1570" t="s">
        <v>1053</v>
      </c>
    </row>
    <row r="1571" spans="1:1" x14ac:dyDescent="0.25">
      <c r="A1571" t="s">
        <v>4400</v>
      </c>
    </row>
    <row r="1572" spans="1:1" x14ac:dyDescent="0.25">
      <c r="A1572" t="s">
        <v>1945</v>
      </c>
    </row>
    <row r="1573" spans="1:1" x14ac:dyDescent="0.25">
      <c r="A1573" t="s">
        <v>1946</v>
      </c>
    </row>
    <row r="1574" spans="1:1" x14ac:dyDescent="0.25">
      <c r="A1574" t="s">
        <v>1947</v>
      </c>
    </row>
    <row r="1575" spans="1:1" x14ac:dyDescent="0.25">
      <c r="A1575" t="s">
        <v>1948</v>
      </c>
    </row>
    <row r="1576" spans="1:1" x14ac:dyDescent="0.25">
      <c r="A1576" t="s">
        <v>1949</v>
      </c>
    </row>
    <row r="1577" spans="1:1" x14ac:dyDescent="0.25">
      <c r="A1577" t="s">
        <v>3574</v>
      </c>
    </row>
    <row r="1578" spans="1:1" x14ac:dyDescent="0.25">
      <c r="A1578" t="s">
        <v>4291</v>
      </c>
    </row>
    <row r="1579" spans="1:1" x14ac:dyDescent="0.25">
      <c r="A1579" t="s">
        <v>3575</v>
      </c>
    </row>
    <row r="1580" spans="1:1" x14ac:dyDescent="0.25">
      <c r="A1580" t="s">
        <v>4291</v>
      </c>
    </row>
    <row r="1581" spans="1:1" x14ac:dyDescent="0.25">
      <c r="A1581" t="s">
        <v>3576</v>
      </c>
    </row>
    <row r="1582" spans="1:1" x14ac:dyDescent="0.25">
      <c r="A1582" t="s">
        <v>4291</v>
      </c>
    </row>
    <row r="1583" spans="1:1" x14ac:dyDescent="0.25">
      <c r="A1583" t="s">
        <v>737</v>
      </c>
    </row>
    <row r="1584" spans="1:1" x14ac:dyDescent="0.25">
      <c r="A1584" t="s">
        <v>1054</v>
      </c>
    </row>
    <row r="1585" spans="1:1" x14ac:dyDescent="0.25">
      <c r="A1585" t="s">
        <v>4401</v>
      </c>
    </row>
    <row r="1586" spans="1:1" x14ac:dyDescent="0.25">
      <c r="A1586" t="s">
        <v>1950</v>
      </c>
    </row>
    <row r="1587" spans="1:1" x14ac:dyDescent="0.25">
      <c r="A1587" t="s">
        <v>1951</v>
      </c>
    </row>
    <row r="1588" spans="1:1" x14ac:dyDescent="0.25">
      <c r="A1588" t="s">
        <v>1952</v>
      </c>
    </row>
    <row r="1589" spans="1:1" x14ac:dyDescent="0.25">
      <c r="A1589" t="s">
        <v>1953</v>
      </c>
    </row>
    <row r="1590" spans="1:1" x14ac:dyDescent="0.25">
      <c r="A1590" t="s">
        <v>1954</v>
      </c>
    </row>
    <row r="1591" spans="1:1" x14ac:dyDescent="0.25">
      <c r="A1591" t="s">
        <v>3577</v>
      </c>
    </row>
    <row r="1592" spans="1:1" x14ac:dyDescent="0.25">
      <c r="A1592" t="s">
        <v>4291</v>
      </c>
    </row>
    <row r="1593" spans="1:1" x14ac:dyDescent="0.25">
      <c r="A1593" t="s">
        <v>3578</v>
      </c>
    </row>
    <row r="1594" spans="1:1" x14ac:dyDescent="0.25">
      <c r="A1594" t="s">
        <v>4291</v>
      </c>
    </row>
    <row r="1595" spans="1:1" x14ac:dyDescent="0.25">
      <c r="A1595" t="s">
        <v>3579</v>
      </c>
    </row>
    <row r="1596" spans="1:1" x14ac:dyDescent="0.25">
      <c r="A1596" t="s">
        <v>4291</v>
      </c>
    </row>
    <row r="1597" spans="1:1" x14ac:dyDescent="0.25">
      <c r="A1597" t="s">
        <v>738</v>
      </c>
    </row>
    <row r="1598" spans="1:1" x14ac:dyDescent="0.25">
      <c r="A1598" t="s">
        <v>1055</v>
      </c>
    </row>
    <row r="1599" spans="1:1" x14ac:dyDescent="0.25">
      <c r="A1599" t="s">
        <v>4402</v>
      </c>
    </row>
    <row r="1600" spans="1:1" x14ac:dyDescent="0.25">
      <c r="A1600" t="s">
        <v>1955</v>
      </c>
    </row>
    <row r="1601" spans="1:1" x14ac:dyDescent="0.25">
      <c r="A1601" t="s">
        <v>1956</v>
      </c>
    </row>
    <row r="1602" spans="1:1" x14ac:dyDescent="0.25">
      <c r="A1602" t="s">
        <v>1957</v>
      </c>
    </row>
    <row r="1603" spans="1:1" x14ac:dyDescent="0.25">
      <c r="A1603" t="s">
        <v>1958</v>
      </c>
    </row>
    <row r="1604" spans="1:1" x14ac:dyDescent="0.25">
      <c r="A1604" t="s">
        <v>1959</v>
      </c>
    </row>
    <row r="1605" spans="1:1" x14ac:dyDescent="0.25">
      <c r="A1605" t="s">
        <v>3580</v>
      </c>
    </row>
    <row r="1606" spans="1:1" x14ac:dyDescent="0.25">
      <c r="A1606" t="s">
        <v>4291</v>
      </c>
    </row>
    <row r="1607" spans="1:1" x14ac:dyDescent="0.25">
      <c r="A1607" t="s">
        <v>3581</v>
      </c>
    </row>
    <row r="1608" spans="1:1" x14ac:dyDescent="0.25">
      <c r="A1608" t="s">
        <v>4291</v>
      </c>
    </row>
    <row r="1609" spans="1:1" x14ac:dyDescent="0.25">
      <c r="A1609" t="s">
        <v>3582</v>
      </c>
    </row>
    <row r="1610" spans="1:1" x14ac:dyDescent="0.25">
      <c r="A1610" t="s">
        <v>4291</v>
      </c>
    </row>
    <row r="1611" spans="1:1" x14ac:dyDescent="0.25">
      <c r="A1611" t="s">
        <v>739</v>
      </c>
    </row>
    <row r="1612" spans="1:1" x14ac:dyDescent="0.25">
      <c r="A1612" t="s">
        <v>1056</v>
      </c>
    </row>
    <row r="1613" spans="1:1" x14ac:dyDescent="0.25">
      <c r="A1613" t="s">
        <v>4403</v>
      </c>
    </row>
    <row r="1614" spans="1:1" x14ac:dyDescent="0.25">
      <c r="A1614" t="s">
        <v>1960</v>
      </c>
    </row>
    <row r="1615" spans="1:1" x14ac:dyDescent="0.25">
      <c r="A1615" t="s">
        <v>1961</v>
      </c>
    </row>
    <row r="1616" spans="1:1" x14ac:dyDescent="0.25">
      <c r="A1616" t="s">
        <v>1962</v>
      </c>
    </row>
    <row r="1617" spans="1:1" x14ac:dyDescent="0.25">
      <c r="A1617" t="s">
        <v>1963</v>
      </c>
    </row>
    <row r="1618" spans="1:1" x14ac:dyDescent="0.25">
      <c r="A1618" t="s">
        <v>1964</v>
      </c>
    </row>
    <row r="1619" spans="1:1" x14ac:dyDescent="0.25">
      <c r="A1619" t="s">
        <v>3583</v>
      </c>
    </row>
    <row r="1620" spans="1:1" x14ac:dyDescent="0.25">
      <c r="A1620" t="s">
        <v>4291</v>
      </c>
    </row>
    <row r="1621" spans="1:1" x14ac:dyDescent="0.25">
      <c r="A1621" t="s">
        <v>3584</v>
      </c>
    </row>
    <row r="1622" spans="1:1" x14ac:dyDescent="0.25">
      <c r="A1622" t="s">
        <v>4291</v>
      </c>
    </row>
    <row r="1623" spans="1:1" x14ac:dyDescent="0.25">
      <c r="A1623" t="s">
        <v>3585</v>
      </c>
    </row>
    <row r="1624" spans="1:1" x14ac:dyDescent="0.25">
      <c r="A1624" t="s">
        <v>4291</v>
      </c>
    </row>
    <row r="1625" spans="1:1" x14ac:dyDescent="0.25">
      <c r="A1625" t="s">
        <v>740</v>
      </c>
    </row>
    <row r="1626" spans="1:1" x14ac:dyDescent="0.25">
      <c r="A1626" t="s">
        <v>1057</v>
      </c>
    </row>
    <row r="1627" spans="1:1" x14ac:dyDescent="0.25">
      <c r="A1627" t="s">
        <v>4404</v>
      </c>
    </row>
    <row r="1628" spans="1:1" x14ac:dyDescent="0.25">
      <c r="A1628" t="s">
        <v>1965</v>
      </c>
    </row>
    <row r="1629" spans="1:1" x14ac:dyDescent="0.25">
      <c r="A1629" t="s">
        <v>1966</v>
      </c>
    </row>
    <row r="1630" spans="1:1" x14ac:dyDescent="0.25">
      <c r="A1630" t="s">
        <v>1967</v>
      </c>
    </row>
    <row r="1631" spans="1:1" x14ac:dyDescent="0.25">
      <c r="A1631" t="s">
        <v>1968</v>
      </c>
    </row>
    <row r="1632" spans="1:1" x14ac:dyDescent="0.25">
      <c r="A1632" t="s">
        <v>1969</v>
      </c>
    </row>
    <row r="1633" spans="1:1" x14ac:dyDescent="0.25">
      <c r="A1633" t="s">
        <v>3586</v>
      </c>
    </row>
    <row r="1634" spans="1:1" x14ac:dyDescent="0.25">
      <c r="A1634" t="s">
        <v>4291</v>
      </c>
    </row>
    <row r="1635" spans="1:1" x14ac:dyDescent="0.25">
      <c r="A1635" t="s">
        <v>3587</v>
      </c>
    </row>
    <row r="1636" spans="1:1" x14ac:dyDescent="0.25">
      <c r="A1636" t="s">
        <v>4291</v>
      </c>
    </row>
    <row r="1637" spans="1:1" x14ac:dyDescent="0.25">
      <c r="A1637" t="s">
        <v>3588</v>
      </c>
    </row>
    <row r="1638" spans="1:1" x14ac:dyDescent="0.25">
      <c r="A1638" t="s">
        <v>4291</v>
      </c>
    </row>
    <row r="1639" spans="1:1" x14ac:dyDescent="0.25">
      <c r="A1639" t="s">
        <v>741</v>
      </c>
    </row>
    <row r="1640" spans="1:1" x14ac:dyDescent="0.25">
      <c r="A1640" t="s">
        <v>1058</v>
      </c>
    </row>
    <row r="1641" spans="1:1" x14ac:dyDescent="0.25">
      <c r="A1641" t="s">
        <v>4405</v>
      </c>
    </row>
    <row r="1642" spans="1:1" x14ac:dyDescent="0.25">
      <c r="A1642" t="s">
        <v>1970</v>
      </c>
    </row>
    <row r="1643" spans="1:1" x14ac:dyDescent="0.25">
      <c r="A1643" t="s">
        <v>1971</v>
      </c>
    </row>
    <row r="1644" spans="1:1" x14ac:dyDescent="0.25">
      <c r="A1644" t="s">
        <v>1972</v>
      </c>
    </row>
    <row r="1645" spans="1:1" x14ac:dyDescent="0.25">
      <c r="A1645" t="s">
        <v>1973</v>
      </c>
    </row>
    <row r="1646" spans="1:1" x14ac:dyDescent="0.25">
      <c r="A1646" t="s">
        <v>1974</v>
      </c>
    </row>
    <row r="1647" spans="1:1" x14ac:dyDescent="0.25">
      <c r="A1647" t="s">
        <v>3589</v>
      </c>
    </row>
    <row r="1648" spans="1:1" x14ac:dyDescent="0.25">
      <c r="A1648" t="s">
        <v>4291</v>
      </c>
    </row>
    <row r="1649" spans="1:1" x14ac:dyDescent="0.25">
      <c r="A1649" t="s">
        <v>3590</v>
      </c>
    </row>
    <row r="1650" spans="1:1" x14ac:dyDescent="0.25">
      <c r="A1650" t="s">
        <v>4291</v>
      </c>
    </row>
    <row r="1651" spans="1:1" x14ac:dyDescent="0.25">
      <c r="A1651" t="s">
        <v>3591</v>
      </c>
    </row>
    <row r="1652" spans="1:1" x14ac:dyDescent="0.25">
      <c r="A1652" t="s">
        <v>4291</v>
      </c>
    </row>
    <row r="1653" spans="1:1" x14ac:dyDescent="0.25">
      <c r="A1653" t="s">
        <v>742</v>
      </c>
    </row>
    <row r="1654" spans="1:1" x14ac:dyDescent="0.25">
      <c r="A1654" t="s">
        <v>1059</v>
      </c>
    </row>
    <row r="1655" spans="1:1" x14ac:dyDescent="0.25">
      <c r="A1655" t="s">
        <v>4406</v>
      </c>
    </row>
    <row r="1656" spans="1:1" x14ac:dyDescent="0.25">
      <c r="A1656" t="s">
        <v>1975</v>
      </c>
    </row>
    <row r="1657" spans="1:1" x14ac:dyDescent="0.25">
      <c r="A1657" t="s">
        <v>1976</v>
      </c>
    </row>
    <row r="1658" spans="1:1" x14ac:dyDescent="0.25">
      <c r="A1658" t="s">
        <v>1977</v>
      </c>
    </row>
    <row r="1659" spans="1:1" x14ac:dyDescent="0.25">
      <c r="A1659" t="s">
        <v>1978</v>
      </c>
    </row>
    <row r="1660" spans="1:1" x14ac:dyDescent="0.25">
      <c r="A1660" t="s">
        <v>1979</v>
      </c>
    </row>
    <row r="1661" spans="1:1" x14ac:dyDescent="0.25">
      <c r="A1661" t="s">
        <v>3592</v>
      </c>
    </row>
    <row r="1662" spans="1:1" x14ac:dyDescent="0.25">
      <c r="A1662" t="s">
        <v>4291</v>
      </c>
    </row>
    <row r="1663" spans="1:1" x14ac:dyDescent="0.25">
      <c r="A1663" t="s">
        <v>3593</v>
      </c>
    </row>
    <row r="1664" spans="1:1" x14ac:dyDescent="0.25">
      <c r="A1664" t="s">
        <v>4291</v>
      </c>
    </row>
    <row r="1665" spans="1:1" x14ac:dyDescent="0.25">
      <c r="A1665" t="s">
        <v>3594</v>
      </c>
    </row>
    <row r="1666" spans="1:1" x14ac:dyDescent="0.25">
      <c r="A1666" t="s">
        <v>4291</v>
      </c>
    </row>
    <row r="1667" spans="1:1" x14ac:dyDescent="0.25">
      <c r="A1667" t="s">
        <v>743</v>
      </c>
    </row>
    <row r="1668" spans="1:1" x14ac:dyDescent="0.25">
      <c r="A1668" t="s">
        <v>1060</v>
      </c>
    </row>
    <row r="1669" spans="1:1" x14ac:dyDescent="0.25">
      <c r="A1669" t="s">
        <v>4407</v>
      </c>
    </row>
    <row r="1670" spans="1:1" x14ac:dyDescent="0.25">
      <c r="A1670" t="s">
        <v>1980</v>
      </c>
    </row>
    <row r="1671" spans="1:1" x14ac:dyDescent="0.25">
      <c r="A1671" t="s">
        <v>1981</v>
      </c>
    </row>
    <row r="1672" spans="1:1" x14ac:dyDescent="0.25">
      <c r="A1672" t="s">
        <v>1982</v>
      </c>
    </row>
    <row r="1673" spans="1:1" x14ac:dyDescent="0.25">
      <c r="A1673" t="s">
        <v>1983</v>
      </c>
    </row>
    <row r="1674" spans="1:1" x14ac:dyDescent="0.25">
      <c r="A1674" t="s">
        <v>1984</v>
      </c>
    </row>
    <row r="1675" spans="1:1" x14ac:dyDescent="0.25">
      <c r="A1675" t="s">
        <v>3595</v>
      </c>
    </row>
    <row r="1676" spans="1:1" x14ac:dyDescent="0.25">
      <c r="A1676" t="s">
        <v>4291</v>
      </c>
    </row>
    <row r="1677" spans="1:1" x14ac:dyDescent="0.25">
      <c r="A1677" t="s">
        <v>3596</v>
      </c>
    </row>
    <row r="1678" spans="1:1" x14ac:dyDescent="0.25">
      <c r="A1678" t="s">
        <v>4291</v>
      </c>
    </row>
    <row r="1679" spans="1:1" x14ac:dyDescent="0.25">
      <c r="A1679" t="s">
        <v>3597</v>
      </c>
    </row>
    <row r="1680" spans="1:1" x14ac:dyDescent="0.25">
      <c r="A1680" t="s">
        <v>4291</v>
      </c>
    </row>
    <row r="1681" spans="1:1" x14ac:dyDescent="0.25">
      <c r="A1681" t="s">
        <v>744</v>
      </c>
    </row>
    <row r="1682" spans="1:1" x14ac:dyDescent="0.25">
      <c r="A1682" t="s">
        <v>1061</v>
      </c>
    </row>
    <row r="1683" spans="1:1" x14ac:dyDescent="0.25">
      <c r="A1683" t="s">
        <v>4408</v>
      </c>
    </row>
    <row r="1684" spans="1:1" x14ac:dyDescent="0.25">
      <c r="A1684" t="s">
        <v>1985</v>
      </c>
    </row>
    <row r="1685" spans="1:1" x14ac:dyDescent="0.25">
      <c r="A1685" t="s">
        <v>1986</v>
      </c>
    </row>
    <row r="1686" spans="1:1" x14ac:dyDescent="0.25">
      <c r="A1686" t="s">
        <v>1987</v>
      </c>
    </row>
    <row r="1687" spans="1:1" x14ac:dyDescent="0.25">
      <c r="A1687" t="s">
        <v>1988</v>
      </c>
    </row>
    <row r="1688" spans="1:1" x14ac:dyDescent="0.25">
      <c r="A1688" t="s">
        <v>1989</v>
      </c>
    </row>
    <row r="1689" spans="1:1" x14ac:dyDescent="0.25">
      <c r="A1689" t="s">
        <v>3598</v>
      </c>
    </row>
    <row r="1690" spans="1:1" x14ac:dyDescent="0.25">
      <c r="A1690" t="s">
        <v>4291</v>
      </c>
    </row>
    <row r="1691" spans="1:1" x14ac:dyDescent="0.25">
      <c r="A1691" t="s">
        <v>3599</v>
      </c>
    </row>
    <row r="1692" spans="1:1" x14ac:dyDescent="0.25">
      <c r="A1692" t="s">
        <v>4291</v>
      </c>
    </row>
    <row r="1693" spans="1:1" x14ac:dyDescent="0.25">
      <c r="A1693" t="s">
        <v>3600</v>
      </c>
    </row>
    <row r="1694" spans="1:1" x14ac:dyDescent="0.25">
      <c r="A1694" t="s">
        <v>4291</v>
      </c>
    </row>
    <row r="1695" spans="1:1" x14ac:dyDescent="0.25">
      <c r="A1695" t="s">
        <v>745</v>
      </c>
    </row>
    <row r="1696" spans="1:1" x14ac:dyDescent="0.25">
      <c r="A1696" t="s">
        <v>1062</v>
      </c>
    </row>
    <row r="1697" spans="1:1" x14ac:dyDescent="0.25">
      <c r="A1697" t="s">
        <v>4409</v>
      </c>
    </row>
    <row r="1698" spans="1:1" x14ac:dyDescent="0.25">
      <c r="A1698" t="s">
        <v>1990</v>
      </c>
    </row>
    <row r="1699" spans="1:1" x14ac:dyDescent="0.25">
      <c r="A1699" t="s">
        <v>1991</v>
      </c>
    </row>
    <row r="1700" spans="1:1" x14ac:dyDescent="0.25">
      <c r="A1700" t="s">
        <v>1992</v>
      </c>
    </row>
    <row r="1701" spans="1:1" x14ac:dyDescent="0.25">
      <c r="A1701" t="s">
        <v>1993</v>
      </c>
    </row>
    <row r="1702" spans="1:1" x14ac:dyDescent="0.25">
      <c r="A1702" t="s">
        <v>1994</v>
      </c>
    </row>
    <row r="1703" spans="1:1" x14ac:dyDescent="0.25">
      <c r="A1703" t="s">
        <v>3601</v>
      </c>
    </row>
    <row r="1704" spans="1:1" x14ac:dyDescent="0.25">
      <c r="A1704" t="s">
        <v>4291</v>
      </c>
    </row>
    <row r="1705" spans="1:1" x14ac:dyDescent="0.25">
      <c r="A1705" t="s">
        <v>3602</v>
      </c>
    </row>
    <row r="1706" spans="1:1" x14ac:dyDescent="0.25">
      <c r="A1706" t="s">
        <v>4291</v>
      </c>
    </row>
    <row r="1707" spans="1:1" x14ac:dyDescent="0.25">
      <c r="A1707" t="s">
        <v>3603</v>
      </c>
    </row>
    <row r="1708" spans="1:1" x14ac:dyDescent="0.25">
      <c r="A1708" t="s">
        <v>4291</v>
      </c>
    </row>
    <row r="1709" spans="1:1" x14ac:dyDescent="0.25">
      <c r="A1709" t="s">
        <v>746</v>
      </c>
    </row>
    <row r="1710" spans="1:1" x14ac:dyDescent="0.25">
      <c r="A1710" t="s">
        <v>1063</v>
      </c>
    </row>
    <row r="1711" spans="1:1" x14ac:dyDescent="0.25">
      <c r="A1711" t="s">
        <v>4410</v>
      </c>
    </row>
    <row r="1712" spans="1:1" x14ac:dyDescent="0.25">
      <c r="A1712" t="s">
        <v>1995</v>
      </c>
    </row>
    <row r="1713" spans="1:1" x14ac:dyDescent="0.25">
      <c r="A1713" t="s">
        <v>1996</v>
      </c>
    </row>
    <row r="1714" spans="1:1" x14ac:dyDescent="0.25">
      <c r="A1714" t="s">
        <v>1997</v>
      </c>
    </row>
    <row r="1715" spans="1:1" x14ac:dyDescent="0.25">
      <c r="A1715" t="s">
        <v>1998</v>
      </c>
    </row>
    <row r="1716" spans="1:1" x14ac:dyDescent="0.25">
      <c r="A1716" t="s">
        <v>1999</v>
      </c>
    </row>
    <row r="1717" spans="1:1" x14ac:dyDescent="0.25">
      <c r="A1717" t="s">
        <v>3604</v>
      </c>
    </row>
    <row r="1718" spans="1:1" x14ac:dyDescent="0.25">
      <c r="A1718" t="s">
        <v>4291</v>
      </c>
    </row>
    <row r="1719" spans="1:1" x14ac:dyDescent="0.25">
      <c r="A1719" t="s">
        <v>3605</v>
      </c>
    </row>
    <row r="1720" spans="1:1" x14ac:dyDescent="0.25">
      <c r="A1720" t="s">
        <v>4291</v>
      </c>
    </row>
    <row r="1721" spans="1:1" x14ac:dyDescent="0.25">
      <c r="A1721" t="s">
        <v>3606</v>
      </c>
    </row>
    <row r="1722" spans="1:1" x14ac:dyDescent="0.25">
      <c r="A1722" t="s">
        <v>4291</v>
      </c>
    </row>
    <row r="1723" spans="1:1" x14ac:dyDescent="0.25">
      <c r="A1723" t="s">
        <v>747</v>
      </c>
    </row>
    <row r="1724" spans="1:1" x14ac:dyDescent="0.25">
      <c r="A1724" t="s">
        <v>1064</v>
      </c>
    </row>
    <row r="1725" spans="1:1" x14ac:dyDescent="0.25">
      <c r="A1725" t="s">
        <v>4411</v>
      </c>
    </row>
    <row r="1726" spans="1:1" x14ac:dyDescent="0.25">
      <c r="A1726" t="s">
        <v>2000</v>
      </c>
    </row>
    <row r="1727" spans="1:1" x14ac:dyDescent="0.25">
      <c r="A1727" t="s">
        <v>2001</v>
      </c>
    </row>
    <row r="1728" spans="1:1" x14ac:dyDescent="0.25">
      <c r="A1728" t="s">
        <v>2002</v>
      </c>
    </row>
    <row r="1729" spans="1:1" x14ac:dyDescent="0.25">
      <c r="A1729" t="s">
        <v>2003</v>
      </c>
    </row>
    <row r="1730" spans="1:1" x14ac:dyDescent="0.25">
      <c r="A1730" t="s">
        <v>2004</v>
      </c>
    </row>
    <row r="1731" spans="1:1" x14ac:dyDescent="0.25">
      <c r="A1731" t="s">
        <v>3607</v>
      </c>
    </row>
    <row r="1732" spans="1:1" x14ac:dyDescent="0.25">
      <c r="A1732" t="s">
        <v>4291</v>
      </c>
    </row>
    <row r="1733" spans="1:1" x14ac:dyDescent="0.25">
      <c r="A1733" t="s">
        <v>3608</v>
      </c>
    </row>
    <row r="1734" spans="1:1" x14ac:dyDescent="0.25">
      <c r="A1734" t="s">
        <v>4291</v>
      </c>
    </row>
    <row r="1735" spans="1:1" x14ac:dyDescent="0.25">
      <c r="A1735" t="s">
        <v>3609</v>
      </c>
    </row>
    <row r="1736" spans="1:1" x14ac:dyDescent="0.25">
      <c r="A1736" t="s">
        <v>4291</v>
      </c>
    </row>
    <row r="1737" spans="1:1" x14ac:dyDescent="0.25">
      <c r="A1737" t="s">
        <v>748</v>
      </c>
    </row>
    <row r="1738" spans="1:1" x14ac:dyDescent="0.25">
      <c r="A1738" t="s">
        <v>1065</v>
      </c>
    </row>
    <row r="1739" spans="1:1" x14ac:dyDescent="0.25">
      <c r="A1739" t="s">
        <v>4412</v>
      </c>
    </row>
    <row r="1740" spans="1:1" x14ac:dyDescent="0.25">
      <c r="A1740" t="s">
        <v>2005</v>
      </c>
    </row>
    <row r="1741" spans="1:1" x14ac:dyDescent="0.25">
      <c r="A1741" t="s">
        <v>2006</v>
      </c>
    </row>
    <row r="1742" spans="1:1" x14ac:dyDescent="0.25">
      <c r="A1742" t="s">
        <v>2007</v>
      </c>
    </row>
    <row r="1743" spans="1:1" x14ac:dyDescent="0.25">
      <c r="A1743" t="s">
        <v>2008</v>
      </c>
    </row>
    <row r="1744" spans="1:1" x14ac:dyDescent="0.25">
      <c r="A1744" t="s">
        <v>2009</v>
      </c>
    </row>
    <row r="1745" spans="1:1" x14ac:dyDescent="0.25">
      <c r="A1745" t="s">
        <v>3610</v>
      </c>
    </row>
    <row r="1746" spans="1:1" x14ac:dyDescent="0.25">
      <c r="A1746" t="s">
        <v>4291</v>
      </c>
    </row>
    <row r="1747" spans="1:1" x14ac:dyDescent="0.25">
      <c r="A1747" t="s">
        <v>3611</v>
      </c>
    </row>
    <row r="1748" spans="1:1" x14ac:dyDescent="0.25">
      <c r="A1748" t="s">
        <v>4291</v>
      </c>
    </row>
    <row r="1749" spans="1:1" x14ac:dyDescent="0.25">
      <c r="A1749" t="s">
        <v>3612</v>
      </c>
    </row>
    <row r="1750" spans="1:1" x14ac:dyDescent="0.25">
      <c r="A1750" t="s">
        <v>4291</v>
      </c>
    </row>
    <row r="1751" spans="1:1" x14ac:dyDescent="0.25">
      <c r="A1751" t="s">
        <v>749</v>
      </c>
    </row>
    <row r="1752" spans="1:1" x14ac:dyDescent="0.25">
      <c r="A1752" t="s">
        <v>1066</v>
      </c>
    </row>
    <row r="1753" spans="1:1" x14ac:dyDescent="0.25">
      <c r="A1753" t="s">
        <v>4413</v>
      </c>
    </row>
    <row r="1754" spans="1:1" x14ac:dyDescent="0.25">
      <c r="A1754" t="s">
        <v>2010</v>
      </c>
    </row>
    <row r="1755" spans="1:1" x14ac:dyDescent="0.25">
      <c r="A1755" t="s">
        <v>2011</v>
      </c>
    </row>
    <row r="1756" spans="1:1" x14ac:dyDescent="0.25">
      <c r="A1756" t="s">
        <v>2012</v>
      </c>
    </row>
    <row r="1757" spans="1:1" x14ac:dyDescent="0.25">
      <c r="A1757" t="s">
        <v>2013</v>
      </c>
    </row>
    <row r="1758" spans="1:1" x14ac:dyDescent="0.25">
      <c r="A1758" t="s">
        <v>2014</v>
      </c>
    </row>
    <row r="1759" spans="1:1" x14ac:dyDescent="0.25">
      <c r="A1759" t="s">
        <v>3613</v>
      </c>
    </row>
    <row r="1760" spans="1:1" x14ac:dyDescent="0.25">
      <c r="A1760" t="s">
        <v>4291</v>
      </c>
    </row>
    <row r="1761" spans="1:1" x14ac:dyDescent="0.25">
      <c r="A1761" t="s">
        <v>3614</v>
      </c>
    </row>
    <row r="1762" spans="1:1" x14ac:dyDescent="0.25">
      <c r="A1762" t="s">
        <v>4291</v>
      </c>
    </row>
    <row r="1763" spans="1:1" x14ac:dyDescent="0.25">
      <c r="A1763" t="s">
        <v>3615</v>
      </c>
    </row>
    <row r="1764" spans="1:1" x14ac:dyDescent="0.25">
      <c r="A1764" t="s">
        <v>4291</v>
      </c>
    </row>
    <row r="1765" spans="1:1" x14ac:dyDescent="0.25">
      <c r="A1765" t="s">
        <v>750</v>
      </c>
    </row>
    <row r="1766" spans="1:1" x14ac:dyDescent="0.25">
      <c r="A1766" t="s">
        <v>1067</v>
      </c>
    </row>
    <row r="1767" spans="1:1" x14ac:dyDescent="0.25">
      <c r="A1767" t="s">
        <v>4414</v>
      </c>
    </row>
    <row r="1768" spans="1:1" x14ac:dyDescent="0.25">
      <c r="A1768" t="s">
        <v>2015</v>
      </c>
    </row>
    <row r="1769" spans="1:1" x14ac:dyDescent="0.25">
      <c r="A1769" t="s">
        <v>2016</v>
      </c>
    </row>
    <row r="1770" spans="1:1" x14ac:dyDescent="0.25">
      <c r="A1770" t="s">
        <v>2017</v>
      </c>
    </row>
    <row r="1771" spans="1:1" x14ac:dyDescent="0.25">
      <c r="A1771" t="s">
        <v>2018</v>
      </c>
    </row>
    <row r="1772" spans="1:1" x14ac:dyDescent="0.25">
      <c r="A1772" t="s">
        <v>2019</v>
      </c>
    </row>
    <row r="1773" spans="1:1" x14ac:dyDescent="0.25">
      <c r="A1773" t="s">
        <v>3616</v>
      </c>
    </row>
    <row r="1774" spans="1:1" x14ac:dyDescent="0.25">
      <c r="A1774" t="s">
        <v>4291</v>
      </c>
    </row>
    <row r="1775" spans="1:1" x14ac:dyDescent="0.25">
      <c r="A1775" t="s">
        <v>3617</v>
      </c>
    </row>
    <row r="1776" spans="1:1" x14ac:dyDescent="0.25">
      <c r="A1776" t="s">
        <v>4291</v>
      </c>
    </row>
    <row r="1777" spans="1:1" x14ac:dyDescent="0.25">
      <c r="A1777" t="s">
        <v>3618</v>
      </c>
    </row>
    <row r="1778" spans="1:1" x14ac:dyDescent="0.25">
      <c r="A1778" t="s">
        <v>4291</v>
      </c>
    </row>
    <row r="1779" spans="1:1" x14ac:dyDescent="0.25">
      <c r="A1779" t="s">
        <v>751</v>
      </c>
    </row>
    <row r="1780" spans="1:1" x14ac:dyDescent="0.25">
      <c r="A1780" t="s">
        <v>1068</v>
      </c>
    </row>
    <row r="1781" spans="1:1" x14ac:dyDescent="0.25">
      <c r="A1781" t="s">
        <v>4415</v>
      </c>
    </row>
    <row r="1782" spans="1:1" x14ac:dyDescent="0.25">
      <c r="A1782" t="s">
        <v>2020</v>
      </c>
    </row>
    <row r="1783" spans="1:1" x14ac:dyDescent="0.25">
      <c r="A1783" t="s">
        <v>2021</v>
      </c>
    </row>
    <row r="1784" spans="1:1" x14ac:dyDescent="0.25">
      <c r="A1784" t="s">
        <v>2022</v>
      </c>
    </row>
    <row r="1785" spans="1:1" x14ac:dyDescent="0.25">
      <c r="A1785" t="s">
        <v>2023</v>
      </c>
    </row>
    <row r="1786" spans="1:1" x14ac:dyDescent="0.25">
      <c r="A1786" t="s">
        <v>2024</v>
      </c>
    </row>
    <row r="1787" spans="1:1" x14ac:dyDescent="0.25">
      <c r="A1787" t="s">
        <v>3619</v>
      </c>
    </row>
    <row r="1788" spans="1:1" x14ac:dyDescent="0.25">
      <c r="A1788" t="s">
        <v>4291</v>
      </c>
    </row>
    <row r="1789" spans="1:1" x14ac:dyDescent="0.25">
      <c r="A1789" t="s">
        <v>3620</v>
      </c>
    </row>
    <row r="1790" spans="1:1" x14ac:dyDescent="0.25">
      <c r="A1790" t="s">
        <v>4291</v>
      </c>
    </row>
    <row r="1791" spans="1:1" x14ac:dyDescent="0.25">
      <c r="A1791" t="s">
        <v>3621</v>
      </c>
    </row>
    <row r="1792" spans="1:1" x14ac:dyDescent="0.25">
      <c r="A1792" t="s">
        <v>4291</v>
      </c>
    </row>
    <row r="1793" spans="1:1" x14ac:dyDescent="0.25">
      <c r="A1793" t="s">
        <v>752</v>
      </c>
    </row>
    <row r="1794" spans="1:1" x14ac:dyDescent="0.25">
      <c r="A1794" t="s">
        <v>1069</v>
      </c>
    </row>
    <row r="1795" spans="1:1" x14ac:dyDescent="0.25">
      <c r="A1795" t="s">
        <v>4416</v>
      </c>
    </row>
    <row r="1796" spans="1:1" x14ac:dyDescent="0.25">
      <c r="A1796" t="s">
        <v>2025</v>
      </c>
    </row>
    <row r="1797" spans="1:1" x14ac:dyDescent="0.25">
      <c r="A1797" t="s">
        <v>2026</v>
      </c>
    </row>
    <row r="1798" spans="1:1" x14ac:dyDescent="0.25">
      <c r="A1798" t="s">
        <v>2027</v>
      </c>
    </row>
    <row r="1799" spans="1:1" x14ac:dyDescent="0.25">
      <c r="A1799" t="s">
        <v>2028</v>
      </c>
    </row>
    <row r="1800" spans="1:1" x14ac:dyDescent="0.25">
      <c r="A1800" t="s">
        <v>2029</v>
      </c>
    </row>
    <row r="1801" spans="1:1" x14ac:dyDescent="0.25">
      <c r="A1801" t="s">
        <v>3622</v>
      </c>
    </row>
    <row r="1802" spans="1:1" x14ac:dyDescent="0.25">
      <c r="A1802" t="s">
        <v>4291</v>
      </c>
    </row>
    <row r="1803" spans="1:1" x14ac:dyDescent="0.25">
      <c r="A1803" t="s">
        <v>3623</v>
      </c>
    </row>
    <row r="1804" spans="1:1" x14ac:dyDescent="0.25">
      <c r="A1804" t="s">
        <v>4291</v>
      </c>
    </row>
    <row r="1805" spans="1:1" x14ac:dyDescent="0.25">
      <c r="A1805" t="s">
        <v>3624</v>
      </c>
    </row>
    <row r="1806" spans="1:1" x14ac:dyDescent="0.25">
      <c r="A1806" t="s">
        <v>4291</v>
      </c>
    </row>
    <row r="1807" spans="1:1" x14ac:dyDescent="0.25">
      <c r="A1807" t="s">
        <v>753</v>
      </c>
    </row>
    <row r="1808" spans="1:1" x14ac:dyDescent="0.25">
      <c r="A1808" t="s">
        <v>1070</v>
      </c>
    </row>
    <row r="1809" spans="1:1" x14ac:dyDescent="0.25">
      <c r="A1809" t="s">
        <v>4417</v>
      </c>
    </row>
    <row r="1810" spans="1:1" x14ac:dyDescent="0.25">
      <c r="A1810" t="s">
        <v>2030</v>
      </c>
    </row>
    <row r="1811" spans="1:1" x14ac:dyDescent="0.25">
      <c r="A1811" t="s">
        <v>2031</v>
      </c>
    </row>
    <row r="1812" spans="1:1" x14ac:dyDescent="0.25">
      <c r="A1812" t="s">
        <v>2032</v>
      </c>
    </row>
    <row r="1813" spans="1:1" x14ac:dyDescent="0.25">
      <c r="A1813" t="s">
        <v>2033</v>
      </c>
    </row>
    <row r="1814" spans="1:1" x14ac:dyDescent="0.25">
      <c r="A1814" t="s">
        <v>2034</v>
      </c>
    </row>
    <row r="1815" spans="1:1" x14ac:dyDescent="0.25">
      <c r="A1815" t="s">
        <v>3625</v>
      </c>
    </row>
    <row r="1816" spans="1:1" x14ac:dyDescent="0.25">
      <c r="A1816" t="s">
        <v>4291</v>
      </c>
    </row>
    <row r="1817" spans="1:1" x14ac:dyDescent="0.25">
      <c r="A1817" t="s">
        <v>3626</v>
      </c>
    </row>
    <row r="1818" spans="1:1" x14ac:dyDescent="0.25">
      <c r="A1818" t="s">
        <v>4291</v>
      </c>
    </row>
    <row r="1819" spans="1:1" x14ac:dyDescent="0.25">
      <c r="A1819" t="s">
        <v>3627</v>
      </c>
    </row>
    <row r="1820" spans="1:1" x14ac:dyDescent="0.25">
      <c r="A1820" t="s">
        <v>4291</v>
      </c>
    </row>
    <row r="1821" spans="1:1" x14ac:dyDescent="0.25">
      <c r="A1821" t="s">
        <v>754</v>
      </c>
    </row>
    <row r="1822" spans="1:1" x14ac:dyDescent="0.25">
      <c r="A1822" t="s">
        <v>1071</v>
      </c>
    </row>
    <row r="1823" spans="1:1" x14ac:dyDescent="0.25">
      <c r="A1823" t="s">
        <v>4418</v>
      </c>
    </row>
    <row r="1824" spans="1:1" x14ac:dyDescent="0.25">
      <c r="A1824" t="s">
        <v>2035</v>
      </c>
    </row>
    <row r="1825" spans="1:1" x14ac:dyDescent="0.25">
      <c r="A1825" t="s">
        <v>2036</v>
      </c>
    </row>
    <row r="1826" spans="1:1" x14ac:dyDescent="0.25">
      <c r="A1826" t="s">
        <v>2037</v>
      </c>
    </row>
    <row r="1827" spans="1:1" x14ac:dyDescent="0.25">
      <c r="A1827" t="s">
        <v>2038</v>
      </c>
    </row>
    <row r="1828" spans="1:1" x14ac:dyDescent="0.25">
      <c r="A1828" t="s">
        <v>2039</v>
      </c>
    </row>
    <row r="1829" spans="1:1" x14ac:dyDescent="0.25">
      <c r="A1829" t="s">
        <v>3628</v>
      </c>
    </row>
    <row r="1830" spans="1:1" x14ac:dyDescent="0.25">
      <c r="A1830" t="s">
        <v>4291</v>
      </c>
    </row>
    <row r="1831" spans="1:1" x14ac:dyDescent="0.25">
      <c r="A1831" t="s">
        <v>3629</v>
      </c>
    </row>
    <row r="1832" spans="1:1" x14ac:dyDescent="0.25">
      <c r="A1832" t="s">
        <v>4291</v>
      </c>
    </row>
    <row r="1833" spans="1:1" x14ac:dyDescent="0.25">
      <c r="A1833" t="s">
        <v>3630</v>
      </c>
    </row>
    <row r="1834" spans="1:1" x14ac:dyDescent="0.25">
      <c r="A1834" t="s">
        <v>4291</v>
      </c>
    </row>
    <row r="1835" spans="1:1" x14ac:dyDescent="0.25">
      <c r="A1835" t="s">
        <v>755</v>
      </c>
    </row>
    <row r="1836" spans="1:1" x14ac:dyDescent="0.25">
      <c r="A1836" t="s">
        <v>1072</v>
      </c>
    </row>
    <row r="1837" spans="1:1" x14ac:dyDescent="0.25">
      <c r="A1837" t="s">
        <v>4419</v>
      </c>
    </row>
    <row r="1838" spans="1:1" x14ac:dyDescent="0.25">
      <c r="A1838" t="s">
        <v>2040</v>
      </c>
    </row>
    <row r="1839" spans="1:1" x14ac:dyDescent="0.25">
      <c r="A1839" t="s">
        <v>2041</v>
      </c>
    </row>
    <row r="1840" spans="1:1" x14ac:dyDescent="0.25">
      <c r="A1840" t="s">
        <v>2042</v>
      </c>
    </row>
    <row r="1841" spans="1:1" x14ac:dyDescent="0.25">
      <c r="A1841" t="s">
        <v>2043</v>
      </c>
    </row>
    <row r="1842" spans="1:1" x14ac:dyDescent="0.25">
      <c r="A1842" t="s">
        <v>2044</v>
      </c>
    </row>
    <row r="1843" spans="1:1" x14ac:dyDescent="0.25">
      <c r="A1843" t="s">
        <v>3631</v>
      </c>
    </row>
    <row r="1844" spans="1:1" x14ac:dyDescent="0.25">
      <c r="A1844" t="s">
        <v>4291</v>
      </c>
    </row>
    <row r="1845" spans="1:1" x14ac:dyDescent="0.25">
      <c r="A1845" t="s">
        <v>3632</v>
      </c>
    </row>
    <row r="1846" spans="1:1" x14ac:dyDescent="0.25">
      <c r="A1846" t="s">
        <v>4291</v>
      </c>
    </row>
    <row r="1847" spans="1:1" x14ac:dyDescent="0.25">
      <c r="A1847" t="s">
        <v>3633</v>
      </c>
    </row>
    <row r="1848" spans="1:1" x14ac:dyDescent="0.25">
      <c r="A1848" t="s">
        <v>4291</v>
      </c>
    </row>
    <row r="1849" spans="1:1" x14ac:dyDescent="0.25">
      <c r="A1849" t="s">
        <v>756</v>
      </c>
    </row>
    <row r="1850" spans="1:1" x14ac:dyDescent="0.25">
      <c r="A1850" t="s">
        <v>1073</v>
      </c>
    </row>
    <row r="1851" spans="1:1" x14ac:dyDescent="0.25">
      <c r="A1851" t="s">
        <v>4420</v>
      </c>
    </row>
    <row r="1852" spans="1:1" x14ac:dyDescent="0.25">
      <c r="A1852" t="s">
        <v>2045</v>
      </c>
    </row>
    <row r="1853" spans="1:1" x14ac:dyDescent="0.25">
      <c r="A1853" t="s">
        <v>2046</v>
      </c>
    </row>
    <row r="1854" spans="1:1" x14ac:dyDescent="0.25">
      <c r="A1854" t="s">
        <v>2047</v>
      </c>
    </row>
    <row r="1855" spans="1:1" x14ac:dyDescent="0.25">
      <c r="A1855" t="s">
        <v>2048</v>
      </c>
    </row>
    <row r="1856" spans="1:1" x14ac:dyDescent="0.25">
      <c r="A1856" t="s">
        <v>2049</v>
      </c>
    </row>
    <row r="1857" spans="1:1" x14ac:dyDescent="0.25">
      <c r="A1857" t="s">
        <v>3634</v>
      </c>
    </row>
    <row r="1858" spans="1:1" x14ac:dyDescent="0.25">
      <c r="A1858" t="s">
        <v>4291</v>
      </c>
    </row>
    <row r="1859" spans="1:1" x14ac:dyDescent="0.25">
      <c r="A1859" t="s">
        <v>3635</v>
      </c>
    </row>
    <row r="1860" spans="1:1" x14ac:dyDescent="0.25">
      <c r="A1860" t="s">
        <v>4291</v>
      </c>
    </row>
    <row r="1861" spans="1:1" x14ac:dyDescent="0.25">
      <c r="A1861" t="s">
        <v>3636</v>
      </c>
    </row>
    <row r="1862" spans="1:1" x14ac:dyDescent="0.25">
      <c r="A1862" t="s">
        <v>4291</v>
      </c>
    </row>
    <row r="1863" spans="1:1" x14ac:dyDescent="0.25">
      <c r="A1863" t="s">
        <v>757</v>
      </c>
    </row>
    <row r="1864" spans="1:1" x14ac:dyDescent="0.25">
      <c r="A1864" t="s">
        <v>1074</v>
      </c>
    </row>
    <row r="1865" spans="1:1" x14ac:dyDescent="0.25">
      <c r="A1865" t="s">
        <v>4421</v>
      </c>
    </row>
    <row r="1866" spans="1:1" x14ac:dyDescent="0.25">
      <c r="A1866" t="s">
        <v>2050</v>
      </c>
    </row>
    <row r="1867" spans="1:1" x14ac:dyDescent="0.25">
      <c r="A1867" t="s">
        <v>2051</v>
      </c>
    </row>
    <row r="1868" spans="1:1" x14ac:dyDescent="0.25">
      <c r="A1868" t="s">
        <v>2052</v>
      </c>
    </row>
    <row r="1869" spans="1:1" x14ac:dyDescent="0.25">
      <c r="A1869" t="s">
        <v>2053</v>
      </c>
    </row>
    <row r="1870" spans="1:1" x14ac:dyDescent="0.25">
      <c r="A1870" t="s">
        <v>2054</v>
      </c>
    </row>
    <row r="1871" spans="1:1" x14ac:dyDescent="0.25">
      <c r="A1871" t="s">
        <v>3637</v>
      </c>
    </row>
    <row r="1872" spans="1:1" x14ac:dyDescent="0.25">
      <c r="A1872" t="s">
        <v>4291</v>
      </c>
    </row>
    <row r="1873" spans="1:1" x14ac:dyDescent="0.25">
      <c r="A1873" t="s">
        <v>3638</v>
      </c>
    </row>
    <row r="1874" spans="1:1" x14ac:dyDescent="0.25">
      <c r="A1874" t="s">
        <v>4291</v>
      </c>
    </row>
    <row r="1875" spans="1:1" x14ac:dyDescent="0.25">
      <c r="A1875" t="s">
        <v>3639</v>
      </c>
    </row>
    <row r="1876" spans="1:1" x14ac:dyDescent="0.25">
      <c r="A1876" t="s">
        <v>4291</v>
      </c>
    </row>
    <row r="1877" spans="1:1" x14ac:dyDescent="0.25">
      <c r="A1877" t="s">
        <v>758</v>
      </c>
    </row>
    <row r="1878" spans="1:1" x14ac:dyDescent="0.25">
      <c r="A1878" t="s">
        <v>1075</v>
      </c>
    </row>
    <row r="1879" spans="1:1" x14ac:dyDescent="0.25">
      <c r="A1879" t="s">
        <v>4422</v>
      </c>
    </row>
    <row r="1880" spans="1:1" x14ac:dyDescent="0.25">
      <c r="A1880" t="s">
        <v>2055</v>
      </c>
    </row>
    <row r="1881" spans="1:1" x14ac:dyDescent="0.25">
      <c r="A1881" t="s">
        <v>2056</v>
      </c>
    </row>
    <row r="1882" spans="1:1" x14ac:dyDescent="0.25">
      <c r="A1882" t="s">
        <v>2057</v>
      </c>
    </row>
    <row r="1883" spans="1:1" x14ac:dyDescent="0.25">
      <c r="A1883" t="s">
        <v>2058</v>
      </c>
    </row>
    <row r="1884" spans="1:1" x14ac:dyDescent="0.25">
      <c r="A1884" t="s">
        <v>2059</v>
      </c>
    </row>
    <row r="1885" spans="1:1" x14ac:dyDescent="0.25">
      <c r="A1885" t="s">
        <v>3640</v>
      </c>
    </row>
    <row r="1886" spans="1:1" x14ac:dyDescent="0.25">
      <c r="A1886" t="s">
        <v>4291</v>
      </c>
    </row>
    <row r="1887" spans="1:1" x14ac:dyDescent="0.25">
      <c r="A1887" t="s">
        <v>3641</v>
      </c>
    </row>
    <row r="1888" spans="1:1" x14ac:dyDescent="0.25">
      <c r="A1888" t="s">
        <v>4291</v>
      </c>
    </row>
    <row r="1889" spans="1:1" x14ac:dyDescent="0.25">
      <c r="A1889" t="s">
        <v>3642</v>
      </c>
    </row>
    <row r="1890" spans="1:1" x14ac:dyDescent="0.25">
      <c r="A1890" t="s">
        <v>4291</v>
      </c>
    </row>
    <row r="1891" spans="1:1" x14ac:dyDescent="0.25">
      <c r="A1891" t="s">
        <v>759</v>
      </c>
    </row>
    <row r="1892" spans="1:1" x14ac:dyDescent="0.25">
      <c r="A1892" t="s">
        <v>1076</v>
      </c>
    </row>
    <row r="1893" spans="1:1" x14ac:dyDescent="0.25">
      <c r="A1893" t="s">
        <v>4423</v>
      </c>
    </row>
    <row r="1894" spans="1:1" x14ac:dyDescent="0.25">
      <c r="A1894" t="s">
        <v>2060</v>
      </c>
    </row>
    <row r="1895" spans="1:1" x14ac:dyDescent="0.25">
      <c r="A1895" t="s">
        <v>2061</v>
      </c>
    </row>
    <row r="1896" spans="1:1" x14ac:dyDescent="0.25">
      <c r="A1896" t="s">
        <v>2062</v>
      </c>
    </row>
    <row r="1897" spans="1:1" x14ac:dyDescent="0.25">
      <c r="A1897" t="s">
        <v>2063</v>
      </c>
    </row>
    <row r="1898" spans="1:1" x14ac:dyDescent="0.25">
      <c r="A1898" t="s">
        <v>2064</v>
      </c>
    </row>
    <row r="1899" spans="1:1" x14ac:dyDescent="0.25">
      <c r="A1899" t="s">
        <v>3643</v>
      </c>
    </row>
    <row r="1900" spans="1:1" x14ac:dyDescent="0.25">
      <c r="A1900" t="s">
        <v>4291</v>
      </c>
    </row>
    <row r="1901" spans="1:1" x14ac:dyDescent="0.25">
      <c r="A1901" t="s">
        <v>3644</v>
      </c>
    </row>
    <row r="1902" spans="1:1" x14ac:dyDescent="0.25">
      <c r="A1902" t="s">
        <v>4291</v>
      </c>
    </row>
    <row r="1903" spans="1:1" x14ac:dyDescent="0.25">
      <c r="A1903" t="s">
        <v>3645</v>
      </c>
    </row>
    <row r="1904" spans="1:1" x14ac:dyDescent="0.25">
      <c r="A1904" t="s">
        <v>4291</v>
      </c>
    </row>
    <row r="1905" spans="1:1" x14ac:dyDescent="0.25">
      <c r="A1905" t="s">
        <v>760</v>
      </c>
    </row>
    <row r="1906" spans="1:1" x14ac:dyDescent="0.25">
      <c r="A1906" t="s">
        <v>1077</v>
      </c>
    </row>
    <row r="1907" spans="1:1" x14ac:dyDescent="0.25">
      <c r="A1907" t="s">
        <v>4424</v>
      </c>
    </row>
    <row r="1908" spans="1:1" x14ac:dyDescent="0.25">
      <c r="A1908" t="s">
        <v>2065</v>
      </c>
    </row>
    <row r="1909" spans="1:1" x14ac:dyDescent="0.25">
      <c r="A1909" t="s">
        <v>2066</v>
      </c>
    </row>
    <row r="1910" spans="1:1" x14ac:dyDescent="0.25">
      <c r="A1910" t="s">
        <v>2067</v>
      </c>
    </row>
    <row r="1911" spans="1:1" x14ac:dyDescent="0.25">
      <c r="A1911" t="s">
        <v>2068</v>
      </c>
    </row>
    <row r="1912" spans="1:1" x14ac:dyDescent="0.25">
      <c r="A1912" t="s">
        <v>2069</v>
      </c>
    </row>
    <row r="1913" spans="1:1" x14ac:dyDescent="0.25">
      <c r="A1913" t="s">
        <v>3646</v>
      </c>
    </row>
    <row r="1914" spans="1:1" x14ac:dyDescent="0.25">
      <c r="A1914" t="s">
        <v>4291</v>
      </c>
    </row>
    <row r="1915" spans="1:1" x14ac:dyDescent="0.25">
      <c r="A1915" t="s">
        <v>3647</v>
      </c>
    </row>
    <row r="1916" spans="1:1" x14ac:dyDescent="0.25">
      <c r="A1916" t="s">
        <v>4291</v>
      </c>
    </row>
    <row r="1917" spans="1:1" x14ac:dyDescent="0.25">
      <c r="A1917" t="s">
        <v>3648</v>
      </c>
    </row>
    <row r="1918" spans="1:1" x14ac:dyDescent="0.25">
      <c r="A1918" t="s">
        <v>4291</v>
      </c>
    </row>
    <row r="1919" spans="1:1" x14ac:dyDescent="0.25">
      <c r="A1919" t="s">
        <v>761</v>
      </c>
    </row>
    <row r="1920" spans="1:1" x14ac:dyDescent="0.25">
      <c r="A1920" t="s">
        <v>1078</v>
      </c>
    </row>
    <row r="1921" spans="1:1" x14ac:dyDescent="0.25">
      <c r="A1921" t="s">
        <v>4425</v>
      </c>
    </row>
    <row r="1922" spans="1:1" x14ac:dyDescent="0.25">
      <c r="A1922" t="s">
        <v>2070</v>
      </c>
    </row>
    <row r="1923" spans="1:1" x14ac:dyDescent="0.25">
      <c r="A1923" t="s">
        <v>2071</v>
      </c>
    </row>
    <row r="1924" spans="1:1" x14ac:dyDescent="0.25">
      <c r="A1924" t="s">
        <v>2072</v>
      </c>
    </row>
    <row r="1925" spans="1:1" x14ac:dyDescent="0.25">
      <c r="A1925" t="s">
        <v>2073</v>
      </c>
    </row>
    <row r="1926" spans="1:1" x14ac:dyDescent="0.25">
      <c r="A1926" t="s">
        <v>2074</v>
      </c>
    </row>
    <row r="1927" spans="1:1" x14ac:dyDescent="0.25">
      <c r="A1927" t="s">
        <v>3649</v>
      </c>
    </row>
    <row r="1928" spans="1:1" x14ac:dyDescent="0.25">
      <c r="A1928" t="s">
        <v>4291</v>
      </c>
    </row>
    <row r="1929" spans="1:1" x14ac:dyDescent="0.25">
      <c r="A1929" t="s">
        <v>3650</v>
      </c>
    </row>
    <row r="1930" spans="1:1" x14ac:dyDescent="0.25">
      <c r="A1930" t="s">
        <v>4291</v>
      </c>
    </row>
    <row r="1931" spans="1:1" x14ac:dyDescent="0.25">
      <c r="A1931" t="s">
        <v>3651</v>
      </c>
    </row>
    <row r="1932" spans="1:1" x14ac:dyDescent="0.25">
      <c r="A1932" t="s">
        <v>4291</v>
      </c>
    </row>
    <row r="1933" spans="1:1" x14ac:dyDescent="0.25">
      <c r="A1933" t="s">
        <v>762</v>
      </c>
    </row>
    <row r="1934" spans="1:1" x14ac:dyDescent="0.25">
      <c r="A1934" t="s">
        <v>1079</v>
      </c>
    </row>
    <row r="1935" spans="1:1" x14ac:dyDescent="0.25">
      <c r="A1935" t="s">
        <v>4426</v>
      </c>
    </row>
    <row r="1936" spans="1:1" x14ac:dyDescent="0.25">
      <c r="A1936" t="s">
        <v>2075</v>
      </c>
    </row>
    <row r="1937" spans="1:1" x14ac:dyDescent="0.25">
      <c r="A1937" t="s">
        <v>2076</v>
      </c>
    </row>
    <row r="1938" spans="1:1" x14ac:dyDescent="0.25">
      <c r="A1938" t="s">
        <v>2077</v>
      </c>
    </row>
    <row r="1939" spans="1:1" x14ac:dyDescent="0.25">
      <c r="A1939" t="s">
        <v>2078</v>
      </c>
    </row>
    <row r="1940" spans="1:1" x14ac:dyDescent="0.25">
      <c r="A1940" t="s">
        <v>2079</v>
      </c>
    </row>
    <row r="1941" spans="1:1" x14ac:dyDescent="0.25">
      <c r="A1941" t="s">
        <v>3652</v>
      </c>
    </row>
    <row r="1942" spans="1:1" x14ac:dyDescent="0.25">
      <c r="A1942" t="s">
        <v>4291</v>
      </c>
    </row>
    <row r="1943" spans="1:1" x14ac:dyDescent="0.25">
      <c r="A1943" t="s">
        <v>3653</v>
      </c>
    </row>
    <row r="1944" spans="1:1" x14ac:dyDescent="0.25">
      <c r="A1944" t="s">
        <v>4291</v>
      </c>
    </row>
    <row r="1945" spans="1:1" x14ac:dyDescent="0.25">
      <c r="A1945" t="s">
        <v>3654</v>
      </c>
    </row>
    <row r="1946" spans="1:1" x14ac:dyDescent="0.25">
      <c r="A1946" t="s">
        <v>4291</v>
      </c>
    </row>
    <row r="1947" spans="1:1" x14ac:dyDescent="0.25">
      <c r="A1947" t="s">
        <v>763</v>
      </c>
    </row>
    <row r="1948" spans="1:1" x14ac:dyDescent="0.25">
      <c r="A1948" t="s">
        <v>1080</v>
      </c>
    </row>
    <row r="1949" spans="1:1" x14ac:dyDescent="0.25">
      <c r="A1949" t="s">
        <v>4426</v>
      </c>
    </row>
    <row r="1950" spans="1:1" x14ac:dyDescent="0.25">
      <c r="A1950" t="s">
        <v>2080</v>
      </c>
    </row>
    <row r="1951" spans="1:1" x14ac:dyDescent="0.25">
      <c r="A1951" t="s">
        <v>2081</v>
      </c>
    </row>
    <row r="1952" spans="1:1" x14ac:dyDescent="0.25">
      <c r="A1952" t="s">
        <v>2082</v>
      </c>
    </row>
    <row r="1953" spans="1:1" x14ac:dyDescent="0.25">
      <c r="A1953" t="s">
        <v>2083</v>
      </c>
    </row>
    <row r="1954" spans="1:1" x14ac:dyDescent="0.25">
      <c r="A1954" t="s">
        <v>2084</v>
      </c>
    </row>
    <row r="1955" spans="1:1" x14ac:dyDescent="0.25">
      <c r="A1955" t="s">
        <v>3655</v>
      </c>
    </row>
    <row r="1956" spans="1:1" x14ac:dyDescent="0.25">
      <c r="A1956" t="s">
        <v>4291</v>
      </c>
    </row>
    <row r="1957" spans="1:1" x14ac:dyDescent="0.25">
      <c r="A1957" t="s">
        <v>3656</v>
      </c>
    </row>
    <row r="1958" spans="1:1" x14ac:dyDescent="0.25">
      <c r="A1958" t="s">
        <v>4291</v>
      </c>
    </row>
    <row r="1959" spans="1:1" x14ac:dyDescent="0.25">
      <c r="A1959" t="s">
        <v>3657</v>
      </c>
    </row>
    <row r="1960" spans="1:1" x14ac:dyDescent="0.25">
      <c r="A1960" t="s">
        <v>4291</v>
      </c>
    </row>
    <row r="1961" spans="1:1" x14ac:dyDescent="0.25">
      <c r="A1961" t="s">
        <v>764</v>
      </c>
    </row>
    <row r="1962" spans="1:1" x14ac:dyDescent="0.25">
      <c r="A1962" t="s">
        <v>1081</v>
      </c>
    </row>
    <row r="1963" spans="1:1" x14ac:dyDescent="0.25">
      <c r="A1963" t="s">
        <v>4426</v>
      </c>
    </row>
    <row r="1964" spans="1:1" x14ac:dyDescent="0.25">
      <c r="A1964" t="s">
        <v>2085</v>
      </c>
    </row>
    <row r="1965" spans="1:1" x14ac:dyDescent="0.25">
      <c r="A1965" t="s">
        <v>2086</v>
      </c>
    </row>
    <row r="1966" spans="1:1" x14ac:dyDescent="0.25">
      <c r="A1966" t="s">
        <v>2087</v>
      </c>
    </row>
    <row r="1967" spans="1:1" x14ac:dyDescent="0.25">
      <c r="A1967" t="s">
        <v>2088</v>
      </c>
    </row>
    <row r="1968" spans="1:1" x14ac:dyDescent="0.25">
      <c r="A1968" t="s">
        <v>2089</v>
      </c>
    </row>
    <row r="1969" spans="1:1" x14ac:dyDescent="0.25">
      <c r="A1969" t="s">
        <v>3658</v>
      </c>
    </row>
    <row r="1970" spans="1:1" x14ac:dyDescent="0.25">
      <c r="A1970" t="s">
        <v>4291</v>
      </c>
    </row>
    <row r="1971" spans="1:1" x14ac:dyDescent="0.25">
      <c r="A1971" t="s">
        <v>3659</v>
      </c>
    </row>
    <row r="1972" spans="1:1" x14ac:dyDescent="0.25">
      <c r="A1972" t="s">
        <v>4291</v>
      </c>
    </row>
    <row r="1973" spans="1:1" x14ac:dyDescent="0.25">
      <c r="A1973" t="s">
        <v>3660</v>
      </c>
    </row>
    <row r="1974" spans="1:1" x14ac:dyDescent="0.25">
      <c r="A1974" t="s">
        <v>4291</v>
      </c>
    </row>
    <row r="1975" spans="1:1" x14ac:dyDescent="0.25">
      <c r="A1975" t="s">
        <v>765</v>
      </c>
    </row>
    <row r="1976" spans="1:1" x14ac:dyDescent="0.25">
      <c r="A1976" t="s">
        <v>1082</v>
      </c>
    </row>
    <row r="1977" spans="1:1" x14ac:dyDescent="0.25">
      <c r="A1977" t="s">
        <v>4426</v>
      </c>
    </row>
    <row r="1978" spans="1:1" x14ac:dyDescent="0.25">
      <c r="A1978" t="s">
        <v>2090</v>
      </c>
    </row>
    <row r="1979" spans="1:1" x14ac:dyDescent="0.25">
      <c r="A1979" t="s">
        <v>2091</v>
      </c>
    </row>
    <row r="1980" spans="1:1" x14ac:dyDescent="0.25">
      <c r="A1980" t="s">
        <v>2092</v>
      </c>
    </row>
    <row r="1981" spans="1:1" x14ac:dyDescent="0.25">
      <c r="A1981" t="s">
        <v>2093</v>
      </c>
    </row>
    <row r="1982" spans="1:1" x14ac:dyDescent="0.25">
      <c r="A1982" t="s">
        <v>2094</v>
      </c>
    </row>
    <row r="1983" spans="1:1" x14ac:dyDescent="0.25">
      <c r="A1983" t="s">
        <v>3661</v>
      </c>
    </row>
    <row r="1984" spans="1:1" x14ac:dyDescent="0.25">
      <c r="A1984" t="s">
        <v>4291</v>
      </c>
    </row>
    <row r="1985" spans="1:1" x14ac:dyDescent="0.25">
      <c r="A1985" t="s">
        <v>3662</v>
      </c>
    </row>
    <row r="1986" spans="1:1" x14ac:dyDescent="0.25">
      <c r="A1986" t="s">
        <v>4291</v>
      </c>
    </row>
    <row r="1987" spans="1:1" x14ac:dyDescent="0.25">
      <c r="A1987" t="s">
        <v>3663</v>
      </c>
    </row>
    <row r="1988" spans="1:1" x14ac:dyDescent="0.25">
      <c r="A1988" t="s">
        <v>4291</v>
      </c>
    </row>
    <row r="1989" spans="1:1" x14ac:dyDescent="0.25">
      <c r="A1989" t="s">
        <v>766</v>
      </c>
    </row>
    <row r="1990" spans="1:1" x14ac:dyDescent="0.25">
      <c r="A1990" t="s">
        <v>1083</v>
      </c>
    </row>
    <row r="1991" spans="1:1" x14ac:dyDescent="0.25">
      <c r="A1991" t="s">
        <v>4426</v>
      </c>
    </row>
    <row r="1992" spans="1:1" x14ac:dyDescent="0.25">
      <c r="A1992" t="s">
        <v>2095</v>
      </c>
    </row>
    <row r="1993" spans="1:1" x14ac:dyDescent="0.25">
      <c r="A1993" t="s">
        <v>2096</v>
      </c>
    </row>
    <row r="1994" spans="1:1" x14ac:dyDescent="0.25">
      <c r="A1994" t="s">
        <v>2097</v>
      </c>
    </row>
    <row r="1995" spans="1:1" x14ac:dyDescent="0.25">
      <c r="A1995" t="s">
        <v>2098</v>
      </c>
    </row>
    <row r="1996" spans="1:1" x14ac:dyDescent="0.25">
      <c r="A1996" t="s">
        <v>2099</v>
      </c>
    </row>
    <row r="1997" spans="1:1" x14ac:dyDescent="0.25">
      <c r="A1997" t="s">
        <v>3664</v>
      </c>
    </row>
    <row r="1998" spans="1:1" x14ac:dyDescent="0.25">
      <c r="A1998" t="s">
        <v>4291</v>
      </c>
    </row>
    <row r="1999" spans="1:1" x14ac:dyDescent="0.25">
      <c r="A1999" t="s">
        <v>3665</v>
      </c>
    </row>
    <row r="2000" spans="1:1" x14ac:dyDescent="0.25">
      <c r="A2000" t="s">
        <v>4291</v>
      </c>
    </row>
    <row r="2001" spans="1:1" x14ac:dyDescent="0.25">
      <c r="A2001" t="s">
        <v>3666</v>
      </c>
    </row>
    <row r="2002" spans="1:1" x14ac:dyDescent="0.25">
      <c r="A2002" t="s">
        <v>4291</v>
      </c>
    </row>
    <row r="2003" spans="1:1" x14ac:dyDescent="0.25">
      <c r="A2003" t="s">
        <v>767</v>
      </c>
    </row>
    <row r="2004" spans="1:1" x14ac:dyDescent="0.25">
      <c r="A2004" t="s">
        <v>1084</v>
      </c>
    </row>
    <row r="2005" spans="1:1" x14ac:dyDescent="0.25">
      <c r="A2005" t="s">
        <v>4426</v>
      </c>
    </row>
    <row r="2006" spans="1:1" x14ac:dyDescent="0.25">
      <c r="A2006" t="s">
        <v>2100</v>
      </c>
    </row>
    <row r="2007" spans="1:1" x14ac:dyDescent="0.25">
      <c r="A2007" t="s">
        <v>2101</v>
      </c>
    </row>
    <row r="2008" spans="1:1" x14ac:dyDescent="0.25">
      <c r="A2008" t="s">
        <v>2102</v>
      </c>
    </row>
    <row r="2009" spans="1:1" x14ac:dyDescent="0.25">
      <c r="A2009" t="s">
        <v>2103</v>
      </c>
    </row>
    <row r="2010" spans="1:1" x14ac:dyDescent="0.25">
      <c r="A2010" t="s">
        <v>2104</v>
      </c>
    </row>
    <row r="2011" spans="1:1" x14ac:dyDescent="0.25">
      <c r="A2011" t="s">
        <v>3667</v>
      </c>
    </row>
    <row r="2012" spans="1:1" x14ac:dyDescent="0.25">
      <c r="A2012" t="s">
        <v>4291</v>
      </c>
    </row>
    <row r="2013" spans="1:1" x14ac:dyDescent="0.25">
      <c r="A2013" t="s">
        <v>3668</v>
      </c>
    </row>
    <row r="2014" spans="1:1" x14ac:dyDescent="0.25">
      <c r="A2014" t="s">
        <v>4291</v>
      </c>
    </row>
    <row r="2015" spans="1:1" x14ac:dyDescent="0.25">
      <c r="A2015" t="s">
        <v>3669</v>
      </c>
    </row>
    <row r="2016" spans="1:1" x14ac:dyDescent="0.25">
      <c r="A2016" t="s">
        <v>4291</v>
      </c>
    </row>
    <row r="2017" spans="1:1" x14ac:dyDescent="0.25">
      <c r="A2017" t="s">
        <v>768</v>
      </c>
    </row>
    <row r="2018" spans="1:1" x14ac:dyDescent="0.25">
      <c r="A2018" t="s">
        <v>1085</v>
      </c>
    </row>
    <row r="2019" spans="1:1" x14ac:dyDescent="0.25">
      <c r="A2019" t="s">
        <v>4426</v>
      </c>
    </row>
    <row r="2020" spans="1:1" x14ac:dyDescent="0.25">
      <c r="A2020" t="s">
        <v>2105</v>
      </c>
    </row>
    <row r="2021" spans="1:1" x14ac:dyDescent="0.25">
      <c r="A2021" t="s">
        <v>2106</v>
      </c>
    </row>
    <row r="2022" spans="1:1" x14ac:dyDescent="0.25">
      <c r="A2022" t="s">
        <v>2107</v>
      </c>
    </row>
    <row r="2023" spans="1:1" x14ac:dyDescent="0.25">
      <c r="A2023" t="s">
        <v>2108</v>
      </c>
    </row>
    <row r="2024" spans="1:1" x14ac:dyDescent="0.25">
      <c r="A2024" t="s">
        <v>2109</v>
      </c>
    </row>
    <row r="2025" spans="1:1" x14ac:dyDescent="0.25">
      <c r="A2025" t="s">
        <v>3670</v>
      </c>
    </row>
    <row r="2026" spans="1:1" x14ac:dyDescent="0.25">
      <c r="A2026" t="s">
        <v>4291</v>
      </c>
    </row>
    <row r="2027" spans="1:1" x14ac:dyDescent="0.25">
      <c r="A2027" t="s">
        <v>3671</v>
      </c>
    </row>
    <row r="2028" spans="1:1" x14ac:dyDescent="0.25">
      <c r="A2028" t="s">
        <v>4291</v>
      </c>
    </row>
    <row r="2029" spans="1:1" x14ac:dyDescent="0.25">
      <c r="A2029" t="s">
        <v>3672</v>
      </c>
    </row>
    <row r="2030" spans="1:1" x14ac:dyDescent="0.25">
      <c r="A2030" t="s">
        <v>4291</v>
      </c>
    </row>
    <row r="2031" spans="1:1" x14ac:dyDescent="0.25">
      <c r="A2031" t="s">
        <v>769</v>
      </c>
    </row>
    <row r="2032" spans="1:1" x14ac:dyDescent="0.25">
      <c r="A2032" t="s">
        <v>1086</v>
      </c>
    </row>
    <row r="2033" spans="1:1" x14ac:dyDescent="0.25">
      <c r="A2033" t="s">
        <v>4426</v>
      </c>
    </row>
    <row r="2034" spans="1:1" x14ac:dyDescent="0.25">
      <c r="A2034" t="s">
        <v>2110</v>
      </c>
    </row>
    <row r="2035" spans="1:1" x14ac:dyDescent="0.25">
      <c r="A2035" t="s">
        <v>2111</v>
      </c>
    </row>
    <row r="2036" spans="1:1" x14ac:dyDescent="0.25">
      <c r="A2036" t="s">
        <v>2112</v>
      </c>
    </row>
    <row r="2037" spans="1:1" x14ac:dyDescent="0.25">
      <c r="A2037" t="s">
        <v>2113</v>
      </c>
    </row>
    <row r="2038" spans="1:1" x14ac:dyDescent="0.25">
      <c r="A2038" t="s">
        <v>2114</v>
      </c>
    </row>
    <row r="2039" spans="1:1" x14ac:dyDescent="0.25">
      <c r="A2039" t="s">
        <v>3673</v>
      </c>
    </row>
    <row r="2040" spans="1:1" x14ac:dyDescent="0.25">
      <c r="A2040" t="s">
        <v>4291</v>
      </c>
    </row>
    <row r="2041" spans="1:1" x14ac:dyDescent="0.25">
      <c r="A2041" t="s">
        <v>3674</v>
      </c>
    </row>
    <row r="2042" spans="1:1" x14ac:dyDescent="0.25">
      <c r="A2042" t="s">
        <v>4291</v>
      </c>
    </row>
    <row r="2043" spans="1:1" x14ac:dyDescent="0.25">
      <c r="A2043" t="s">
        <v>3675</v>
      </c>
    </row>
    <row r="2044" spans="1:1" x14ac:dyDescent="0.25">
      <c r="A2044" t="s">
        <v>4291</v>
      </c>
    </row>
    <row r="2045" spans="1:1" x14ac:dyDescent="0.25">
      <c r="A2045" t="s">
        <v>770</v>
      </c>
    </row>
    <row r="2046" spans="1:1" x14ac:dyDescent="0.25">
      <c r="A2046" t="s">
        <v>1087</v>
      </c>
    </row>
    <row r="2047" spans="1:1" x14ac:dyDescent="0.25">
      <c r="A2047" t="s">
        <v>4426</v>
      </c>
    </row>
    <row r="2048" spans="1:1" x14ac:dyDescent="0.25">
      <c r="A2048" t="s">
        <v>2115</v>
      </c>
    </row>
    <row r="2049" spans="1:1" x14ac:dyDescent="0.25">
      <c r="A2049" t="s">
        <v>2116</v>
      </c>
    </row>
    <row r="2050" spans="1:1" x14ac:dyDescent="0.25">
      <c r="A2050" t="s">
        <v>2117</v>
      </c>
    </row>
    <row r="2051" spans="1:1" x14ac:dyDescent="0.25">
      <c r="A2051" t="s">
        <v>2118</v>
      </c>
    </row>
    <row r="2052" spans="1:1" x14ac:dyDescent="0.25">
      <c r="A2052" t="s">
        <v>2119</v>
      </c>
    </row>
    <row r="2053" spans="1:1" x14ac:dyDescent="0.25">
      <c r="A2053" t="s">
        <v>3676</v>
      </c>
    </row>
    <row r="2054" spans="1:1" x14ac:dyDescent="0.25">
      <c r="A2054" t="s">
        <v>4291</v>
      </c>
    </row>
    <row r="2055" spans="1:1" x14ac:dyDescent="0.25">
      <c r="A2055" t="s">
        <v>3677</v>
      </c>
    </row>
    <row r="2056" spans="1:1" x14ac:dyDescent="0.25">
      <c r="A2056" t="s">
        <v>4291</v>
      </c>
    </row>
    <row r="2057" spans="1:1" x14ac:dyDescent="0.25">
      <c r="A2057" t="s">
        <v>3678</v>
      </c>
    </row>
    <row r="2058" spans="1:1" x14ac:dyDescent="0.25">
      <c r="A2058" t="s">
        <v>4291</v>
      </c>
    </row>
    <row r="2059" spans="1:1" x14ac:dyDescent="0.25">
      <c r="A2059" t="s">
        <v>771</v>
      </c>
    </row>
    <row r="2060" spans="1:1" x14ac:dyDescent="0.25">
      <c r="A2060" t="s">
        <v>1088</v>
      </c>
    </row>
    <row r="2061" spans="1:1" x14ac:dyDescent="0.25">
      <c r="A2061" t="s">
        <v>4426</v>
      </c>
    </row>
    <row r="2062" spans="1:1" x14ac:dyDescent="0.25">
      <c r="A2062" t="s">
        <v>2120</v>
      </c>
    </row>
    <row r="2063" spans="1:1" x14ac:dyDescent="0.25">
      <c r="A2063" t="s">
        <v>2121</v>
      </c>
    </row>
    <row r="2064" spans="1:1" x14ac:dyDescent="0.25">
      <c r="A2064" t="s">
        <v>2122</v>
      </c>
    </row>
    <row r="2065" spans="1:1" x14ac:dyDescent="0.25">
      <c r="A2065" t="s">
        <v>2123</v>
      </c>
    </row>
    <row r="2066" spans="1:1" x14ac:dyDescent="0.25">
      <c r="A2066" t="s">
        <v>2124</v>
      </c>
    </row>
    <row r="2067" spans="1:1" x14ac:dyDescent="0.25">
      <c r="A2067" t="s">
        <v>3679</v>
      </c>
    </row>
    <row r="2068" spans="1:1" x14ac:dyDescent="0.25">
      <c r="A2068" t="s">
        <v>4291</v>
      </c>
    </row>
    <row r="2069" spans="1:1" x14ac:dyDescent="0.25">
      <c r="A2069" t="s">
        <v>3680</v>
      </c>
    </row>
    <row r="2070" spans="1:1" x14ac:dyDescent="0.25">
      <c r="A2070" t="s">
        <v>4291</v>
      </c>
    </row>
    <row r="2071" spans="1:1" x14ac:dyDescent="0.25">
      <c r="A2071" t="s">
        <v>3681</v>
      </c>
    </row>
    <row r="2072" spans="1:1" x14ac:dyDescent="0.25">
      <c r="A2072" t="s">
        <v>4291</v>
      </c>
    </row>
    <row r="2073" spans="1:1" x14ac:dyDescent="0.25">
      <c r="A2073" t="s">
        <v>772</v>
      </c>
    </row>
    <row r="2074" spans="1:1" x14ac:dyDescent="0.25">
      <c r="A2074" t="s">
        <v>1089</v>
      </c>
    </row>
    <row r="2075" spans="1:1" x14ac:dyDescent="0.25">
      <c r="A2075" t="s">
        <v>4427</v>
      </c>
    </row>
    <row r="2076" spans="1:1" x14ac:dyDescent="0.25">
      <c r="A2076" t="s">
        <v>2125</v>
      </c>
    </row>
    <row r="2077" spans="1:1" x14ac:dyDescent="0.25">
      <c r="A2077" t="s">
        <v>2126</v>
      </c>
    </row>
    <row r="2078" spans="1:1" x14ac:dyDescent="0.25">
      <c r="A2078" t="s">
        <v>2127</v>
      </c>
    </row>
    <row r="2079" spans="1:1" x14ac:dyDescent="0.25">
      <c r="A2079" t="s">
        <v>2128</v>
      </c>
    </row>
    <row r="2080" spans="1:1" x14ac:dyDescent="0.25">
      <c r="A2080" t="s">
        <v>2129</v>
      </c>
    </row>
    <row r="2081" spans="1:1" x14ac:dyDescent="0.25">
      <c r="A2081" t="s">
        <v>3682</v>
      </c>
    </row>
    <row r="2082" spans="1:1" x14ac:dyDescent="0.25">
      <c r="A2082" t="s">
        <v>4291</v>
      </c>
    </row>
    <row r="2083" spans="1:1" x14ac:dyDescent="0.25">
      <c r="A2083" t="s">
        <v>3683</v>
      </c>
    </row>
    <row r="2084" spans="1:1" x14ac:dyDescent="0.25">
      <c r="A2084" t="s">
        <v>4291</v>
      </c>
    </row>
    <row r="2085" spans="1:1" x14ac:dyDescent="0.25">
      <c r="A2085" t="s">
        <v>3684</v>
      </c>
    </row>
    <row r="2086" spans="1:1" x14ac:dyDescent="0.25">
      <c r="A2086" t="s">
        <v>4291</v>
      </c>
    </row>
    <row r="2087" spans="1:1" x14ac:dyDescent="0.25">
      <c r="A2087" t="s">
        <v>773</v>
      </c>
    </row>
    <row r="2088" spans="1:1" x14ac:dyDescent="0.25">
      <c r="A2088" t="s">
        <v>1090</v>
      </c>
    </row>
    <row r="2089" spans="1:1" x14ac:dyDescent="0.25">
      <c r="A2089" t="s">
        <v>4428</v>
      </c>
    </row>
    <row r="2090" spans="1:1" x14ac:dyDescent="0.25">
      <c r="A2090" t="s">
        <v>2130</v>
      </c>
    </row>
    <row r="2091" spans="1:1" x14ac:dyDescent="0.25">
      <c r="A2091" t="s">
        <v>2131</v>
      </c>
    </row>
    <row r="2092" spans="1:1" x14ac:dyDescent="0.25">
      <c r="A2092" t="s">
        <v>2132</v>
      </c>
    </row>
    <row r="2093" spans="1:1" x14ac:dyDescent="0.25">
      <c r="A2093" t="s">
        <v>2133</v>
      </c>
    </row>
    <row r="2094" spans="1:1" x14ac:dyDescent="0.25">
      <c r="A2094" t="s">
        <v>2134</v>
      </c>
    </row>
    <row r="2095" spans="1:1" x14ac:dyDescent="0.25">
      <c r="A2095" t="s">
        <v>3685</v>
      </c>
    </row>
    <row r="2096" spans="1:1" x14ac:dyDescent="0.25">
      <c r="A2096" t="s">
        <v>4291</v>
      </c>
    </row>
    <row r="2097" spans="1:1" x14ac:dyDescent="0.25">
      <c r="A2097" t="s">
        <v>3686</v>
      </c>
    </row>
    <row r="2098" spans="1:1" x14ac:dyDescent="0.25">
      <c r="A2098" t="s">
        <v>4291</v>
      </c>
    </row>
    <row r="2099" spans="1:1" x14ac:dyDescent="0.25">
      <c r="A2099" t="s">
        <v>3687</v>
      </c>
    </row>
    <row r="2100" spans="1:1" x14ac:dyDescent="0.25">
      <c r="A2100" t="s">
        <v>4291</v>
      </c>
    </row>
    <row r="2101" spans="1:1" x14ac:dyDescent="0.25">
      <c r="A2101" t="s">
        <v>774</v>
      </c>
    </row>
    <row r="2102" spans="1:1" x14ac:dyDescent="0.25">
      <c r="A2102" t="s">
        <v>1091</v>
      </c>
    </row>
    <row r="2103" spans="1:1" x14ac:dyDescent="0.25">
      <c r="A2103" t="s">
        <v>4429</v>
      </c>
    </row>
    <row r="2104" spans="1:1" x14ac:dyDescent="0.25">
      <c r="A2104" t="s">
        <v>2135</v>
      </c>
    </row>
    <row r="2105" spans="1:1" x14ac:dyDescent="0.25">
      <c r="A2105" t="s">
        <v>2136</v>
      </c>
    </row>
    <row r="2106" spans="1:1" x14ac:dyDescent="0.25">
      <c r="A2106" t="s">
        <v>2137</v>
      </c>
    </row>
    <row r="2107" spans="1:1" x14ac:dyDescent="0.25">
      <c r="A2107" t="s">
        <v>2138</v>
      </c>
    </row>
    <row r="2108" spans="1:1" x14ac:dyDescent="0.25">
      <c r="A2108" t="s">
        <v>2139</v>
      </c>
    </row>
    <row r="2109" spans="1:1" x14ac:dyDescent="0.25">
      <c r="A2109" t="s">
        <v>3688</v>
      </c>
    </row>
    <row r="2110" spans="1:1" x14ac:dyDescent="0.25">
      <c r="A2110" t="s">
        <v>4291</v>
      </c>
    </row>
    <row r="2111" spans="1:1" x14ac:dyDescent="0.25">
      <c r="A2111" t="s">
        <v>3689</v>
      </c>
    </row>
    <row r="2112" spans="1:1" x14ac:dyDescent="0.25">
      <c r="A2112" t="s">
        <v>4291</v>
      </c>
    </row>
    <row r="2113" spans="1:1" x14ac:dyDescent="0.25">
      <c r="A2113" t="s">
        <v>3690</v>
      </c>
    </row>
    <row r="2114" spans="1:1" x14ac:dyDescent="0.25">
      <c r="A2114" t="s">
        <v>4291</v>
      </c>
    </row>
    <row r="2115" spans="1:1" x14ac:dyDescent="0.25">
      <c r="A2115" t="s">
        <v>775</v>
      </c>
    </row>
    <row r="2116" spans="1:1" x14ac:dyDescent="0.25">
      <c r="A2116" t="s">
        <v>1092</v>
      </c>
    </row>
    <row r="2117" spans="1:1" x14ac:dyDescent="0.25">
      <c r="A2117" t="s">
        <v>4430</v>
      </c>
    </row>
    <row r="2118" spans="1:1" x14ac:dyDescent="0.25">
      <c r="A2118" t="s">
        <v>2140</v>
      </c>
    </row>
    <row r="2119" spans="1:1" x14ac:dyDescent="0.25">
      <c r="A2119" t="s">
        <v>2141</v>
      </c>
    </row>
    <row r="2120" spans="1:1" x14ac:dyDescent="0.25">
      <c r="A2120" t="s">
        <v>2142</v>
      </c>
    </row>
    <row r="2121" spans="1:1" x14ac:dyDescent="0.25">
      <c r="A2121" t="s">
        <v>2143</v>
      </c>
    </row>
    <row r="2122" spans="1:1" x14ac:dyDescent="0.25">
      <c r="A2122" t="s">
        <v>2144</v>
      </c>
    </row>
    <row r="2123" spans="1:1" x14ac:dyDescent="0.25">
      <c r="A2123" t="s">
        <v>3691</v>
      </c>
    </row>
    <row r="2124" spans="1:1" x14ac:dyDescent="0.25">
      <c r="A2124" t="s">
        <v>4291</v>
      </c>
    </row>
    <row r="2125" spans="1:1" x14ac:dyDescent="0.25">
      <c r="A2125" t="s">
        <v>3692</v>
      </c>
    </row>
    <row r="2126" spans="1:1" x14ac:dyDescent="0.25">
      <c r="A2126" t="s">
        <v>4291</v>
      </c>
    </row>
    <row r="2127" spans="1:1" x14ac:dyDescent="0.25">
      <c r="A2127" t="s">
        <v>3693</v>
      </c>
    </row>
    <row r="2128" spans="1:1" x14ac:dyDescent="0.25">
      <c r="A2128" t="s">
        <v>4291</v>
      </c>
    </row>
    <row r="2129" spans="1:1" x14ac:dyDescent="0.25">
      <c r="A2129" t="s">
        <v>776</v>
      </c>
    </row>
    <row r="2130" spans="1:1" x14ac:dyDescent="0.25">
      <c r="A2130" t="s">
        <v>1093</v>
      </c>
    </row>
    <row r="2131" spans="1:1" x14ac:dyDescent="0.25">
      <c r="A2131" t="s">
        <v>4431</v>
      </c>
    </row>
    <row r="2132" spans="1:1" x14ac:dyDescent="0.25">
      <c r="A2132" t="s">
        <v>2145</v>
      </c>
    </row>
    <row r="2133" spans="1:1" x14ac:dyDescent="0.25">
      <c r="A2133" t="s">
        <v>2146</v>
      </c>
    </row>
    <row r="2134" spans="1:1" x14ac:dyDescent="0.25">
      <c r="A2134" t="s">
        <v>2147</v>
      </c>
    </row>
    <row r="2135" spans="1:1" x14ac:dyDescent="0.25">
      <c r="A2135" t="s">
        <v>2148</v>
      </c>
    </row>
    <row r="2136" spans="1:1" x14ac:dyDescent="0.25">
      <c r="A2136" t="s">
        <v>2149</v>
      </c>
    </row>
    <row r="2137" spans="1:1" x14ac:dyDescent="0.25">
      <c r="A2137" t="s">
        <v>3694</v>
      </c>
    </row>
    <row r="2138" spans="1:1" x14ac:dyDescent="0.25">
      <c r="A2138" t="s">
        <v>4291</v>
      </c>
    </row>
    <row r="2139" spans="1:1" x14ac:dyDescent="0.25">
      <c r="A2139" t="s">
        <v>3695</v>
      </c>
    </row>
    <row r="2140" spans="1:1" x14ac:dyDescent="0.25">
      <c r="A2140" t="s">
        <v>4291</v>
      </c>
    </row>
    <row r="2141" spans="1:1" x14ac:dyDescent="0.25">
      <c r="A2141" t="s">
        <v>3696</v>
      </c>
    </row>
    <row r="2142" spans="1:1" x14ac:dyDescent="0.25">
      <c r="A2142" t="s">
        <v>4291</v>
      </c>
    </row>
    <row r="2143" spans="1:1" x14ac:dyDescent="0.25">
      <c r="A2143" t="s">
        <v>777</v>
      </c>
    </row>
    <row r="2144" spans="1:1" x14ac:dyDescent="0.25">
      <c r="A2144" t="s">
        <v>1094</v>
      </c>
    </row>
    <row r="2145" spans="1:1" x14ac:dyDescent="0.25">
      <c r="A2145" t="s">
        <v>4432</v>
      </c>
    </row>
    <row r="2146" spans="1:1" x14ac:dyDescent="0.25">
      <c r="A2146" t="s">
        <v>2150</v>
      </c>
    </row>
    <row r="2147" spans="1:1" x14ac:dyDescent="0.25">
      <c r="A2147" t="s">
        <v>2151</v>
      </c>
    </row>
    <row r="2148" spans="1:1" x14ac:dyDescent="0.25">
      <c r="A2148" t="s">
        <v>2152</v>
      </c>
    </row>
    <row r="2149" spans="1:1" x14ac:dyDescent="0.25">
      <c r="A2149" t="s">
        <v>2153</v>
      </c>
    </row>
    <row r="2150" spans="1:1" x14ac:dyDescent="0.25">
      <c r="A2150" t="s">
        <v>2154</v>
      </c>
    </row>
    <row r="2151" spans="1:1" x14ac:dyDescent="0.25">
      <c r="A2151" t="s">
        <v>3697</v>
      </c>
    </row>
    <row r="2152" spans="1:1" x14ac:dyDescent="0.25">
      <c r="A2152" t="s">
        <v>4291</v>
      </c>
    </row>
    <row r="2153" spans="1:1" x14ac:dyDescent="0.25">
      <c r="A2153" t="s">
        <v>3698</v>
      </c>
    </row>
    <row r="2154" spans="1:1" x14ac:dyDescent="0.25">
      <c r="A2154" t="s">
        <v>4291</v>
      </c>
    </row>
    <row r="2155" spans="1:1" x14ac:dyDescent="0.25">
      <c r="A2155" t="s">
        <v>3699</v>
      </c>
    </row>
    <row r="2156" spans="1:1" x14ac:dyDescent="0.25">
      <c r="A2156" t="s">
        <v>4291</v>
      </c>
    </row>
    <row r="2157" spans="1:1" x14ac:dyDescent="0.25">
      <c r="A2157" t="s">
        <v>778</v>
      </c>
    </row>
    <row r="2158" spans="1:1" x14ac:dyDescent="0.25">
      <c r="A2158" t="s">
        <v>1095</v>
      </c>
    </row>
    <row r="2159" spans="1:1" x14ac:dyDescent="0.25">
      <c r="A2159" t="s">
        <v>4433</v>
      </c>
    </row>
    <row r="2160" spans="1:1" x14ac:dyDescent="0.25">
      <c r="A2160" t="s">
        <v>2155</v>
      </c>
    </row>
    <row r="2161" spans="1:1" x14ac:dyDescent="0.25">
      <c r="A2161" t="s">
        <v>2156</v>
      </c>
    </row>
    <row r="2162" spans="1:1" x14ac:dyDescent="0.25">
      <c r="A2162" t="s">
        <v>2157</v>
      </c>
    </row>
    <row r="2163" spans="1:1" x14ac:dyDescent="0.25">
      <c r="A2163" t="s">
        <v>2158</v>
      </c>
    </row>
    <row r="2164" spans="1:1" x14ac:dyDescent="0.25">
      <c r="A2164" t="s">
        <v>2159</v>
      </c>
    </row>
    <row r="2165" spans="1:1" x14ac:dyDescent="0.25">
      <c r="A2165" t="s">
        <v>3700</v>
      </c>
    </row>
    <row r="2166" spans="1:1" x14ac:dyDescent="0.25">
      <c r="A2166" t="s">
        <v>4291</v>
      </c>
    </row>
    <row r="2167" spans="1:1" x14ac:dyDescent="0.25">
      <c r="A2167" t="s">
        <v>3701</v>
      </c>
    </row>
    <row r="2168" spans="1:1" x14ac:dyDescent="0.25">
      <c r="A2168" t="s">
        <v>4291</v>
      </c>
    </row>
    <row r="2169" spans="1:1" x14ac:dyDescent="0.25">
      <c r="A2169" t="s">
        <v>3702</v>
      </c>
    </row>
    <row r="2170" spans="1:1" x14ac:dyDescent="0.25">
      <c r="A2170" t="s">
        <v>4291</v>
      </c>
    </row>
    <row r="2171" spans="1:1" x14ac:dyDescent="0.25">
      <c r="A2171" t="s">
        <v>779</v>
      </c>
    </row>
    <row r="2172" spans="1:1" x14ac:dyDescent="0.25">
      <c r="A2172" t="s">
        <v>1096</v>
      </c>
    </row>
    <row r="2173" spans="1:1" x14ac:dyDescent="0.25">
      <c r="A2173" t="s">
        <v>4434</v>
      </c>
    </row>
    <row r="2174" spans="1:1" x14ac:dyDescent="0.25">
      <c r="A2174" t="s">
        <v>2160</v>
      </c>
    </row>
    <row r="2175" spans="1:1" x14ac:dyDescent="0.25">
      <c r="A2175" t="s">
        <v>2161</v>
      </c>
    </row>
    <row r="2176" spans="1:1" x14ac:dyDescent="0.25">
      <c r="A2176" t="s">
        <v>2162</v>
      </c>
    </row>
    <row r="2177" spans="1:1" x14ac:dyDescent="0.25">
      <c r="A2177" t="s">
        <v>2163</v>
      </c>
    </row>
    <row r="2178" spans="1:1" x14ac:dyDescent="0.25">
      <c r="A2178" t="s">
        <v>2164</v>
      </c>
    </row>
    <row r="2179" spans="1:1" x14ac:dyDescent="0.25">
      <c r="A2179" t="s">
        <v>3703</v>
      </c>
    </row>
    <row r="2180" spans="1:1" x14ac:dyDescent="0.25">
      <c r="A2180" t="s">
        <v>4291</v>
      </c>
    </row>
    <row r="2181" spans="1:1" x14ac:dyDescent="0.25">
      <c r="A2181" t="s">
        <v>3704</v>
      </c>
    </row>
    <row r="2182" spans="1:1" x14ac:dyDescent="0.25">
      <c r="A2182" t="s">
        <v>4291</v>
      </c>
    </row>
    <row r="2183" spans="1:1" x14ac:dyDescent="0.25">
      <c r="A2183" t="s">
        <v>3705</v>
      </c>
    </row>
    <row r="2184" spans="1:1" x14ac:dyDescent="0.25">
      <c r="A2184" t="s">
        <v>4291</v>
      </c>
    </row>
    <row r="2185" spans="1:1" x14ac:dyDescent="0.25">
      <c r="A2185" t="s">
        <v>780</v>
      </c>
    </row>
    <row r="2186" spans="1:1" x14ac:dyDescent="0.25">
      <c r="A2186" t="s">
        <v>1097</v>
      </c>
    </row>
    <row r="2187" spans="1:1" x14ac:dyDescent="0.25">
      <c r="A2187" t="s">
        <v>4435</v>
      </c>
    </row>
    <row r="2188" spans="1:1" x14ac:dyDescent="0.25">
      <c r="A2188" t="s">
        <v>2165</v>
      </c>
    </row>
    <row r="2189" spans="1:1" x14ac:dyDescent="0.25">
      <c r="A2189" t="s">
        <v>2166</v>
      </c>
    </row>
    <row r="2190" spans="1:1" x14ac:dyDescent="0.25">
      <c r="A2190" t="s">
        <v>2167</v>
      </c>
    </row>
    <row r="2191" spans="1:1" x14ac:dyDescent="0.25">
      <c r="A2191" t="s">
        <v>2168</v>
      </c>
    </row>
    <row r="2192" spans="1:1" x14ac:dyDescent="0.25">
      <c r="A2192" t="s">
        <v>2169</v>
      </c>
    </row>
    <row r="2193" spans="1:1" x14ac:dyDescent="0.25">
      <c r="A2193" t="s">
        <v>3706</v>
      </c>
    </row>
    <row r="2194" spans="1:1" x14ac:dyDescent="0.25">
      <c r="A2194" t="s">
        <v>4291</v>
      </c>
    </row>
    <row r="2195" spans="1:1" x14ac:dyDescent="0.25">
      <c r="A2195" t="s">
        <v>3707</v>
      </c>
    </row>
    <row r="2196" spans="1:1" x14ac:dyDescent="0.25">
      <c r="A2196" t="s">
        <v>4291</v>
      </c>
    </row>
    <row r="2197" spans="1:1" x14ac:dyDescent="0.25">
      <c r="A2197" t="s">
        <v>3708</v>
      </c>
    </row>
    <row r="2198" spans="1:1" x14ac:dyDescent="0.25">
      <c r="A2198" t="s">
        <v>4291</v>
      </c>
    </row>
    <row r="2199" spans="1:1" x14ac:dyDescent="0.25">
      <c r="A2199" t="s">
        <v>781</v>
      </c>
    </row>
    <row r="2200" spans="1:1" x14ac:dyDescent="0.25">
      <c r="A2200" t="s">
        <v>1098</v>
      </c>
    </row>
    <row r="2201" spans="1:1" x14ac:dyDescent="0.25">
      <c r="A2201" t="s">
        <v>4436</v>
      </c>
    </row>
    <row r="2202" spans="1:1" x14ac:dyDescent="0.25">
      <c r="A2202" t="s">
        <v>2170</v>
      </c>
    </row>
    <row r="2203" spans="1:1" x14ac:dyDescent="0.25">
      <c r="A2203" t="s">
        <v>2171</v>
      </c>
    </row>
    <row r="2204" spans="1:1" x14ac:dyDescent="0.25">
      <c r="A2204" t="s">
        <v>2172</v>
      </c>
    </row>
    <row r="2205" spans="1:1" x14ac:dyDescent="0.25">
      <c r="A2205" t="s">
        <v>2173</v>
      </c>
    </row>
    <row r="2206" spans="1:1" x14ac:dyDescent="0.25">
      <c r="A2206" t="s">
        <v>2174</v>
      </c>
    </row>
    <row r="2207" spans="1:1" x14ac:dyDescent="0.25">
      <c r="A2207" t="s">
        <v>3709</v>
      </c>
    </row>
    <row r="2208" spans="1:1" x14ac:dyDescent="0.25">
      <c r="A2208" t="s">
        <v>4291</v>
      </c>
    </row>
    <row r="2209" spans="1:1" x14ac:dyDescent="0.25">
      <c r="A2209" t="s">
        <v>3710</v>
      </c>
    </row>
    <row r="2210" spans="1:1" x14ac:dyDescent="0.25">
      <c r="A2210" t="s">
        <v>4291</v>
      </c>
    </row>
    <row r="2211" spans="1:1" x14ac:dyDescent="0.25">
      <c r="A2211" t="s">
        <v>3711</v>
      </c>
    </row>
    <row r="2212" spans="1:1" x14ac:dyDescent="0.25">
      <c r="A2212" t="s">
        <v>4291</v>
      </c>
    </row>
    <row r="2213" spans="1:1" x14ac:dyDescent="0.25">
      <c r="A2213" t="s">
        <v>782</v>
      </c>
    </row>
    <row r="2214" spans="1:1" x14ac:dyDescent="0.25">
      <c r="A2214" t="s">
        <v>1099</v>
      </c>
    </row>
    <row r="2215" spans="1:1" x14ac:dyDescent="0.25">
      <c r="A2215" t="s">
        <v>4437</v>
      </c>
    </row>
    <row r="2216" spans="1:1" x14ac:dyDescent="0.25">
      <c r="A2216" t="s">
        <v>2175</v>
      </c>
    </row>
    <row r="2217" spans="1:1" x14ac:dyDescent="0.25">
      <c r="A2217" t="s">
        <v>2176</v>
      </c>
    </row>
    <row r="2218" spans="1:1" x14ac:dyDescent="0.25">
      <c r="A2218" t="s">
        <v>2177</v>
      </c>
    </row>
    <row r="2219" spans="1:1" x14ac:dyDescent="0.25">
      <c r="A2219" t="s">
        <v>2178</v>
      </c>
    </row>
    <row r="2220" spans="1:1" x14ac:dyDescent="0.25">
      <c r="A2220" t="s">
        <v>2179</v>
      </c>
    </row>
    <row r="2221" spans="1:1" x14ac:dyDescent="0.25">
      <c r="A2221" t="s">
        <v>3712</v>
      </c>
    </row>
    <row r="2222" spans="1:1" x14ac:dyDescent="0.25">
      <c r="A2222" t="s">
        <v>4291</v>
      </c>
    </row>
    <row r="2223" spans="1:1" x14ac:dyDescent="0.25">
      <c r="A2223" t="s">
        <v>3713</v>
      </c>
    </row>
    <row r="2224" spans="1:1" x14ac:dyDescent="0.25">
      <c r="A2224" t="s">
        <v>4291</v>
      </c>
    </row>
    <row r="2225" spans="1:1" x14ac:dyDescent="0.25">
      <c r="A2225" t="s">
        <v>3714</v>
      </c>
    </row>
    <row r="2226" spans="1:1" x14ac:dyDescent="0.25">
      <c r="A2226" t="s">
        <v>4291</v>
      </c>
    </row>
    <row r="2227" spans="1:1" x14ac:dyDescent="0.25">
      <c r="A2227" t="s">
        <v>783</v>
      </c>
    </row>
    <row r="2228" spans="1:1" x14ac:dyDescent="0.25">
      <c r="A2228" t="s">
        <v>1100</v>
      </c>
    </row>
    <row r="2229" spans="1:1" x14ac:dyDescent="0.25">
      <c r="A2229" t="s">
        <v>4438</v>
      </c>
    </row>
    <row r="2230" spans="1:1" x14ac:dyDescent="0.25">
      <c r="A2230" t="s">
        <v>2180</v>
      </c>
    </row>
    <row r="2231" spans="1:1" x14ac:dyDescent="0.25">
      <c r="A2231" t="s">
        <v>2181</v>
      </c>
    </row>
    <row r="2232" spans="1:1" x14ac:dyDescent="0.25">
      <c r="A2232" t="s">
        <v>2182</v>
      </c>
    </row>
    <row r="2233" spans="1:1" x14ac:dyDescent="0.25">
      <c r="A2233" t="s">
        <v>2183</v>
      </c>
    </row>
    <row r="2234" spans="1:1" x14ac:dyDescent="0.25">
      <c r="A2234" t="s">
        <v>2184</v>
      </c>
    </row>
    <row r="2235" spans="1:1" x14ac:dyDescent="0.25">
      <c r="A2235" t="s">
        <v>3715</v>
      </c>
    </row>
    <row r="2236" spans="1:1" x14ac:dyDescent="0.25">
      <c r="A2236" t="s">
        <v>4291</v>
      </c>
    </row>
    <row r="2237" spans="1:1" x14ac:dyDescent="0.25">
      <c r="A2237" t="s">
        <v>3716</v>
      </c>
    </row>
    <row r="2238" spans="1:1" x14ac:dyDescent="0.25">
      <c r="A2238" t="s">
        <v>4291</v>
      </c>
    </row>
    <row r="2239" spans="1:1" x14ac:dyDescent="0.25">
      <c r="A2239" t="s">
        <v>3717</v>
      </c>
    </row>
    <row r="2240" spans="1:1" x14ac:dyDescent="0.25">
      <c r="A2240" t="s">
        <v>4291</v>
      </c>
    </row>
    <row r="2241" spans="1:1" x14ac:dyDescent="0.25">
      <c r="A2241" t="s">
        <v>800</v>
      </c>
    </row>
    <row r="2242" spans="1:1" x14ac:dyDescent="0.25">
      <c r="A2242" t="s">
        <v>1101</v>
      </c>
    </row>
    <row r="2243" spans="1:1" x14ac:dyDescent="0.25">
      <c r="A2243" t="s">
        <v>4426</v>
      </c>
    </row>
    <row r="2244" spans="1:1" x14ac:dyDescent="0.25">
      <c r="A2244" t="s">
        <v>2185</v>
      </c>
    </row>
    <row r="2245" spans="1:1" x14ac:dyDescent="0.25">
      <c r="A2245" t="s">
        <v>2186</v>
      </c>
    </row>
    <row r="2246" spans="1:1" x14ac:dyDescent="0.25">
      <c r="A2246" t="s">
        <v>2187</v>
      </c>
    </row>
    <row r="2247" spans="1:1" x14ac:dyDescent="0.25">
      <c r="A2247" t="s">
        <v>2188</v>
      </c>
    </row>
    <row r="2248" spans="1:1" x14ac:dyDescent="0.25">
      <c r="A2248" t="s">
        <v>2189</v>
      </c>
    </row>
    <row r="2249" spans="1:1" x14ac:dyDescent="0.25">
      <c r="A2249" t="s">
        <v>3718</v>
      </c>
    </row>
    <row r="2250" spans="1:1" x14ac:dyDescent="0.25">
      <c r="A2250" t="s">
        <v>4291</v>
      </c>
    </row>
    <row r="2251" spans="1:1" x14ac:dyDescent="0.25">
      <c r="A2251" t="s">
        <v>3719</v>
      </c>
    </row>
    <row r="2252" spans="1:1" x14ac:dyDescent="0.25">
      <c r="A2252" t="s">
        <v>4291</v>
      </c>
    </row>
    <row r="2253" spans="1:1" x14ac:dyDescent="0.25">
      <c r="A2253" t="s">
        <v>3720</v>
      </c>
    </row>
    <row r="2254" spans="1:1" x14ac:dyDescent="0.25">
      <c r="A2254" t="s">
        <v>4291</v>
      </c>
    </row>
    <row r="2255" spans="1:1" x14ac:dyDescent="0.25">
      <c r="A2255" t="s">
        <v>801</v>
      </c>
    </row>
    <row r="2256" spans="1:1" x14ac:dyDescent="0.25">
      <c r="A2256" t="s">
        <v>1102</v>
      </c>
    </row>
    <row r="2257" spans="1:1" x14ac:dyDescent="0.25">
      <c r="A2257" t="s">
        <v>4426</v>
      </c>
    </row>
    <row r="2258" spans="1:1" x14ac:dyDescent="0.25">
      <c r="A2258" t="s">
        <v>2190</v>
      </c>
    </row>
    <row r="2259" spans="1:1" x14ac:dyDescent="0.25">
      <c r="A2259" t="s">
        <v>2191</v>
      </c>
    </row>
    <row r="2260" spans="1:1" x14ac:dyDescent="0.25">
      <c r="A2260" t="s">
        <v>2192</v>
      </c>
    </row>
    <row r="2261" spans="1:1" x14ac:dyDescent="0.25">
      <c r="A2261" t="s">
        <v>2193</v>
      </c>
    </row>
    <row r="2262" spans="1:1" x14ac:dyDescent="0.25">
      <c r="A2262" t="s">
        <v>2194</v>
      </c>
    </row>
    <row r="2263" spans="1:1" x14ac:dyDescent="0.25">
      <c r="A2263" t="s">
        <v>3721</v>
      </c>
    </row>
    <row r="2264" spans="1:1" x14ac:dyDescent="0.25">
      <c r="A2264" t="s">
        <v>4291</v>
      </c>
    </row>
    <row r="2265" spans="1:1" x14ac:dyDescent="0.25">
      <c r="A2265" t="s">
        <v>3722</v>
      </c>
    </row>
    <row r="2266" spans="1:1" x14ac:dyDescent="0.25">
      <c r="A2266" t="s">
        <v>4291</v>
      </c>
    </row>
    <row r="2267" spans="1:1" x14ac:dyDescent="0.25">
      <c r="A2267" t="s">
        <v>3723</v>
      </c>
    </row>
    <row r="2268" spans="1:1" x14ac:dyDescent="0.25">
      <c r="A2268" t="s">
        <v>4291</v>
      </c>
    </row>
    <row r="2269" spans="1:1" x14ac:dyDescent="0.25">
      <c r="A2269" t="s">
        <v>802</v>
      </c>
    </row>
    <row r="2270" spans="1:1" x14ac:dyDescent="0.25">
      <c r="A2270" t="s">
        <v>1103</v>
      </c>
    </row>
    <row r="2271" spans="1:1" x14ac:dyDescent="0.25">
      <c r="A2271" t="s">
        <v>4426</v>
      </c>
    </row>
    <row r="2272" spans="1:1" x14ac:dyDescent="0.25">
      <c r="A2272" t="s">
        <v>2195</v>
      </c>
    </row>
    <row r="2273" spans="1:1" x14ac:dyDescent="0.25">
      <c r="A2273" t="s">
        <v>2196</v>
      </c>
    </row>
    <row r="2274" spans="1:1" x14ac:dyDescent="0.25">
      <c r="A2274" t="s">
        <v>2197</v>
      </c>
    </row>
    <row r="2275" spans="1:1" x14ac:dyDescent="0.25">
      <c r="A2275" t="s">
        <v>2198</v>
      </c>
    </row>
    <row r="2276" spans="1:1" x14ac:dyDescent="0.25">
      <c r="A2276" t="s">
        <v>2199</v>
      </c>
    </row>
    <row r="2277" spans="1:1" x14ac:dyDescent="0.25">
      <c r="A2277" t="s">
        <v>3724</v>
      </c>
    </row>
    <row r="2278" spans="1:1" x14ac:dyDescent="0.25">
      <c r="A2278" t="s">
        <v>4291</v>
      </c>
    </row>
    <row r="2279" spans="1:1" x14ac:dyDescent="0.25">
      <c r="A2279" t="s">
        <v>3725</v>
      </c>
    </row>
    <row r="2280" spans="1:1" x14ac:dyDescent="0.25">
      <c r="A2280" t="s">
        <v>4291</v>
      </c>
    </row>
    <row r="2281" spans="1:1" x14ac:dyDescent="0.25">
      <c r="A2281" t="s">
        <v>3726</v>
      </c>
    </row>
    <row r="2282" spans="1:1" x14ac:dyDescent="0.25">
      <c r="A2282" t="s">
        <v>4291</v>
      </c>
    </row>
    <row r="2283" spans="1:1" x14ac:dyDescent="0.25">
      <c r="A2283" t="s">
        <v>803</v>
      </c>
    </row>
    <row r="2284" spans="1:1" x14ac:dyDescent="0.25">
      <c r="A2284" t="s">
        <v>1104</v>
      </c>
    </row>
    <row r="2285" spans="1:1" x14ac:dyDescent="0.25">
      <c r="A2285" t="s">
        <v>4426</v>
      </c>
    </row>
    <row r="2286" spans="1:1" x14ac:dyDescent="0.25">
      <c r="A2286" t="s">
        <v>2200</v>
      </c>
    </row>
    <row r="2287" spans="1:1" x14ac:dyDescent="0.25">
      <c r="A2287" t="s">
        <v>2201</v>
      </c>
    </row>
    <row r="2288" spans="1:1" x14ac:dyDescent="0.25">
      <c r="A2288" t="s">
        <v>2202</v>
      </c>
    </row>
    <row r="2289" spans="1:1" x14ac:dyDescent="0.25">
      <c r="A2289" t="s">
        <v>2203</v>
      </c>
    </row>
    <row r="2290" spans="1:1" x14ac:dyDescent="0.25">
      <c r="A2290" t="s">
        <v>2204</v>
      </c>
    </row>
    <row r="2291" spans="1:1" x14ac:dyDescent="0.25">
      <c r="A2291" t="s">
        <v>3727</v>
      </c>
    </row>
    <row r="2292" spans="1:1" x14ac:dyDescent="0.25">
      <c r="A2292" t="s">
        <v>4291</v>
      </c>
    </row>
    <row r="2293" spans="1:1" x14ac:dyDescent="0.25">
      <c r="A2293" t="s">
        <v>3728</v>
      </c>
    </row>
    <row r="2294" spans="1:1" x14ac:dyDescent="0.25">
      <c r="A2294" t="s">
        <v>4291</v>
      </c>
    </row>
    <row r="2295" spans="1:1" x14ac:dyDescent="0.25">
      <c r="A2295" t="s">
        <v>3729</v>
      </c>
    </row>
    <row r="2296" spans="1:1" x14ac:dyDescent="0.25">
      <c r="A2296" t="s">
        <v>4291</v>
      </c>
    </row>
    <row r="2297" spans="1:1" x14ac:dyDescent="0.25">
      <c r="A2297" t="s">
        <v>804</v>
      </c>
    </row>
    <row r="2298" spans="1:1" x14ac:dyDescent="0.25">
      <c r="A2298" t="s">
        <v>1105</v>
      </c>
    </row>
    <row r="2299" spans="1:1" x14ac:dyDescent="0.25">
      <c r="A2299" t="s">
        <v>4426</v>
      </c>
    </row>
    <row r="2300" spans="1:1" x14ac:dyDescent="0.25">
      <c r="A2300" t="s">
        <v>2205</v>
      </c>
    </row>
    <row r="2301" spans="1:1" x14ac:dyDescent="0.25">
      <c r="A2301" t="s">
        <v>2206</v>
      </c>
    </row>
    <row r="2302" spans="1:1" x14ac:dyDescent="0.25">
      <c r="A2302" t="s">
        <v>2207</v>
      </c>
    </row>
    <row r="2303" spans="1:1" x14ac:dyDescent="0.25">
      <c r="A2303" t="s">
        <v>2208</v>
      </c>
    </row>
    <row r="2304" spans="1:1" x14ac:dyDescent="0.25">
      <c r="A2304" t="s">
        <v>2209</v>
      </c>
    </row>
    <row r="2305" spans="1:1" x14ac:dyDescent="0.25">
      <c r="A2305" t="s">
        <v>3730</v>
      </c>
    </row>
    <row r="2306" spans="1:1" x14ac:dyDescent="0.25">
      <c r="A2306" t="s">
        <v>4291</v>
      </c>
    </row>
    <row r="2307" spans="1:1" x14ac:dyDescent="0.25">
      <c r="A2307" t="s">
        <v>3731</v>
      </c>
    </row>
    <row r="2308" spans="1:1" x14ac:dyDescent="0.25">
      <c r="A2308" t="s">
        <v>4291</v>
      </c>
    </row>
    <row r="2309" spans="1:1" x14ac:dyDescent="0.25">
      <c r="A2309" t="s">
        <v>3732</v>
      </c>
    </row>
    <row r="2310" spans="1:1" x14ac:dyDescent="0.25">
      <c r="A2310" t="s">
        <v>4291</v>
      </c>
    </row>
    <row r="2311" spans="1:1" x14ac:dyDescent="0.25">
      <c r="A2311" t="s">
        <v>805</v>
      </c>
    </row>
    <row r="2312" spans="1:1" x14ac:dyDescent="0.25">
      <c r="A2312" t="s">
        <v>1106</v>
      </c>
    </row>
    <row r="2313" spans="1:1" x14ac:dyDescent="0.25">
      <c r="A2313" t="s">
        <v>4426</v>
      </c>
    </row>
    <row r="2314" spans="1:1" x14ac:dyDescent="0.25">
      <c r="A2314" t="s">
        <v>2210</v>
      </c>
    </row>
    <row r="2315" spans="1:1" x14ac:dyDescent="0.25">
      <c r="A2315" t="s">
        <v>2211</v>
      </c>
    </row>
    <row r="2316" spans="1:1" x14ac:dyDescent="0.25">
      <c r="A2316" t="s">
        <v>2212</v>
      </c>
    </row>
    <row r="2317" spans="1:1" x14ac:dyDescent="0.25">
      <c r="A2317" t="s">
        <v>2213</v>
      </c>
    </row>
    <row r="2318" spans="1:1" x14ac:dyDescent="0.25">
      <c r="A2318" t="s">
        <v>2214</v>
      </c>
    </row>
    <row r="2319" spans="1:1" x14ac:dyDescent="0.25">
      <c r="A2319" t="s">
        <v>3733</v>
      </c>
    </row>
    <row r="2320" spans="1:1" x14ac:dyDescent="0.25">
      <c r="A2320" t="s">
        <v>4291</v>
      </c>
    </row>
    <row r="2321" spans="1:1" x14ac:dyDescent="0.25">
      <c r="A2321" t="s">
        <v>3734</v>
      </c>
    </row>
    <row r="2322" spans="1:1" x14ac:dyDescent="0.25">
      <c r="A2322" t="s">
        <v>4291</v>
      </c>
    </row>
    <row r="2323" spans="1:1" x14ac:dyDescent="0.25">
      <c r="A2323" t="s">
        <v>3735</v>
      </c>
    </row>
    <row r="2324" spans="1:1" x14ac:dyDescent="0.25">
      <c r="A2324" t="s">
        <v>4291</v>
      </c>
    </row>
    <row r="2325" spans="1:1" x14ac:dyDescent="0.25">
      <c r="A2325" t="s">
        <v>806</v>
      </c>
    </row>
    <row r="2326" spans="1:1" x14ac:dyDescent="0.25">
      <c r="A2326" t="s">
        <v>1107</v>
      </c>
    </row>
    <row r="2327" spans="1:1" x14ac:dyDescent="0.25">
      <c r="A2327" t="s">
        <v>4426</v>
      </c>
    </row>
    <row r="2328" spans="1:1" x14ac:dyDescent="0.25">
      <c r="A2328" t="s">
        <v>2215</v>
      </c>
    </row>
    <row r="2329" spans="1:1" x14ac:dyDescent="0.25">
      <c r="A2329" t="s">
        <v>2216</v>
      </c>
    </row>
    <row r="2330" spans="1:1" x14ac:dyDescent="0.25">
      <c r="A2330" t="s">
        <v>2217</v>
      </c>
    </row>
    <row r="2331" spans="1:1" x14ac:dyDescent="0.25">
      <c r="A2331" t="s">
        <v>2218</v>
      </c>
    </row>
    <row r="2332" spans="1:1" x14ac:dyDescent="0.25">
      <c r="A2332" t="s">
        <v>2219</v>
      </c>
    </row>
    <row r="2333" spans="1:1" x14ac:dyDescent="0.25">
      <c r="A2333" t="s">
        <v>3736</v>
      </c>
    </row>
    <row r="2334" spans="1:1" x14ac:dyDescent="0.25">
      <c r="A2334" t="s">
        <v>4291</v>
      </c>
    </row>
    <row r="2335" spans="1:1" x14ac:dyDescent="0.25">
      <c r="A2335" t="s">
        <v>3737</v>
      </c>
    </row>
    <row r="2336" spans="1:1" x14ac:dyDescent="0.25">
      <c r="A2336" t="s">
        <v>4291</v>
      </c>
    </row>
    <row r="2337" spans="1:1" x14ac:dyDescent="0.25">
      <c r="A2337" t="s">
        <v>3738</v>
      </c>
    </row>
    <row r="2338" spans="1:1" x14ac:dyDescent="0.25">
      <c r="A2338" t="s">
        <v>4291</v>
      </c>
    </row>
    <row r="2339" spans="1:1" x14ac:dyDescent="0.25">
      <c r="A2339" t="s">
        <v>807</v>
      </c>
    </row>
    <row r="2340" spans="1:1" x14ac:dyDescent="0.25">
      <c r="A2340" t="s">
        <v>1108</v>
      </c>
    </row>
    <row r="2341" spans="1:1" x14ac:dyDescent="0.25">
      <c r="A2341" t="s">
        <v>4426</v>
      </c>
    </row>
    <row r="2342" spans="1:1" x14ac:dyDescent="0.25">
      <c r="A2342" t="s">
        <v>2220</v>
      </c>
    </row>
    <row r="2343" spans="1:1" x14ac:dyDescent="0.25">
      <c r="A2343" t="s">
        <v>2221</v>
      </c>
    </row>
    <row r="2344" spans="1:1" x14ac:dyDescent="0.25">
      <c r="A2344" t="s">
        <v>2222</v>
      </c>
    </row>
    <row r="2345" spans="1:1" x14ac:dyDescent="0.25">
      <c r="A2345" t="s">
        <v>2223</v>
      </c>
    </row>
    <row r="2346" spans="1:1" x14ac:dyDescent="0.25">
      <c r="A2346" t="s">
        <v>2224</v>
      </c>
    </row>
    <row r="2347" spans="1:1" x14ac:dyDescent="0.25">
      <c r="A2347" t="s">
        <v>3739</v>
      </c>
    </row>
    <row r="2348" spans="1:1" x14ac:dyDescent="0.25">
      <c r="A2348" t="s">
        <v>4291</v>
      </c>
    </row>
    <row r="2349" spans="1:1" x14ac:dyDescent="0.25">
      <c r="A2349" t="s">
        <v>3740</v>
      </c>
    </row>
    <row r="2350" spans="1:1" x14ac:dyDescent="0.25">
      <c r="A2350" t="s">
        <v>4291</v>
      </c>
    </row>
    <row r="2351" spans="1:1" x14ac:dyDescent="0.25">
      <c r="A2351" t="s">
        <v>3741</v>
      </c>
    </row>
    <row r="2352" spans="1:1" x14ac:dyDescent="0.25">
      <c r="A2352" t="s">
        <v>4291</v>
      </c>
    </row>
    <row r="2353" spans="1:1" x14ac:dyDescent="0.25">
      <c r="A2353" t="s">
        <v>808</v>
      </c>
    </row>
    <row r="2354" spans="1:1" x14ac:dyDescent="0.25">
      <c r="A2354" t="s">
        <v>1109</v>
      </c>
    </row>
    <row r="2355" spans="1:1" x14ac:dyDescent="0.25">
      <c r="A2355" t="s">
        <v>4426</v>
      </c>
    </row>
    <row r="2356" spans="1:1" x14ac:dyDescent="0.25">
      <c r="A2356" t="s">
        <v>2225</v>
      </c>
    </row>
    <row r="2357" spans="1:1" x14ac:dyDescent="0.25">
      <c r="A2357" t="s">
        <v>2226</v>
      </c>
    </row>
    <row r="2358" spans="1:1" x14ac:dyDescent="0.25">
      <c r="A2358" t="s">
        <v>2227</v>
      </c>
    </row>
    <row r="2359" spans="1:1" x14ac:dyDescent="0.25">
      <c r="A2359" t="s">
        <v>2228</v>
      </c>
    </row>
    <row r="2360" spans="1:1" x14ac:dyDescent="0.25">
      <c r="A2360" t="s">
        <v>2229</v>
      </c>
    </row>
    <row r="2361" spans="1:1" x14ac:dyDescent="0.25">
      <c r="A2361" t="s">
        <v>3742</v>
      </c>
    </row>
    <row r="2362" spans="1:1" x14ac:dyDescent="0.25">
      <c r="A2362" t="s">
        <v>4291</v>
      </c>
    </row>
    <row r="2363" spans="1:1" x14ac:dyDescent="0.25">
      <c r="A2363" t="s">
        <v>3743</v>
      </c>
    </row>
    <row r="2364" spans="1:1" x14ac:dyDescent="0.25">
      <c r="A2364" t="s">
        <v>4291</v>
      </c>
    </row>
    <row r="2365" spans="1:1" x14ac:dyDescent="0.25">
      <c r="A2365" t="s">
        <v>3744</v>
      </c>
    </row>
    <row r="2366" spans="1:1" x14ac:dyDescent="0.25">
      <c r="A2366" t="s">
        <v>4291</v>
      </c>
    </row>
    <row r="2367" spans="1:1" x14ac:dyDescent="0.25">
      <c r="A2367" t="s">
        <v>809</v>
      </c>
    </row>
    <row r="2368" spans="1:1" x14ac:dyDescent="0.25">
      <c r="A2368" t="s">
        <v>1110</v>
      </c>
    </row>
    <row r="2369" spans="1:1" x14ac:dyDescent="0.25">
      <c r="A2369" t="s">
        <v>4426</v>
      </c>
    </row>
    <row r="2370" spans="1:1" x14ac:dyDescent="0.25">
      <c r="A2370" t="s">
        <v>2230</v>
      </c>
    </row>
    <row r="2371" spans="1:1" x14ac:dyDescent="0.25">
      <c r="A2371" t="s">
        <v>2231</v>
      </c>
    </row>
    <row r="2372" spans="1:1" x14ac:dyDescent="0.25">
      <c r="A2372" t="s">
        <v>2232</v>
      </c>
    </row>
    <row r="2373" spans="1:1" x14ac:dyDescent="0.25">
      <c r="A2373" t="s">
        <v>2233</v>
      </c>
    </row>
    <row r="2374" spans="1:1" x14ac:dyDescent="0.25">
      <c r="A2374" t="s">
        <v>2234</v>
      </c>
    </row>
    <row r="2375" spans="1:1" x14ac:dyDescent="0.25">
      <c r="A2375" t="s">
        <v>3745</v>
      </c>
    </row>
    <row r="2376" spans="1:1" x14ac:dyDescent="0.25">
      <c r="A2376" t="s">
        <v>4291</v>
      </c>
    </row>
    <row r="2377" spans="1:1" x14ac:dyDescent="0.25">
      <c r="A2377" t="s">
        <v>3746</v>
      </c>
    </row>
    <row r="2378" spans="1:1" x14ac:dyDescent="0.25">
      <c r="A2378" t="s">
        <v>4291</v>
      </c>
    </row>
    <row r="2379" spans="1:1" x14ac:dyDescent="0.25">
      <c r="A2379" t="s">
        <v>3747</v>
      </c>
    </row>
    <row r="2380" spans="1:1" x14ac:dyDescent="0.25">
      <c r="A2380" t="s">
        <v>4291</v>
      </c>
    </row>
    <row r="2381" spans="1:1" x14ac:dyDescent="0.25">
      <c r="A2381" t="s">
        <v>810</v>
      </c>
    </row>
    <row r="2382" spans="1:1" x14ac:dyDescent="0.25">
      <c r="A2382" t="s">
        <v>1111</v>
      </c>
    </row>
    <row r="2383" spans="1:1" x14ac:dyDescent="0.25">
      <c r="A2383" t="s">
        <v>4426</v>
      </c>
    </row>
    <row r="2384" spans="1:1" x14ac:dyDescent="0.25">
      <c r="A2384" t="s">
        <v>2235</v>
      </c>
    </row>
    <row r="2385" spans="1:1" x14ac:dyDescent="0.25">
      <c r="A2385" t="s">
        <v>2236</v>
      </c>
    </row>
    <row r="2386" spans="1:1" x14ac:dyDescent="0.25">
      <c r="A2386" t="s">
        <v>2237</v>
      </c>
    </row>
    <row r="2387" spans="1:1" x14ac:dyDescent="0.25">
      <c r="A2387" t="s">
        <v>2238</v>
      </c>
    </row>
    <row r="2388" spans="1:1" x14ac:dyDescent="0.25">
      <c r="A2388" t="s">
        <v>2239</v>
      </c>
    </row>
    <row r="2389" spans="1:1" x14ac:dyDescent="0.25">
      <c r="A2389" t="s">
        <v>3748</v>
      </c>
    </row>
    <row r="2390" spans="1:1" x14ac:dyDescent="0.25">
      <c r="A2390" t="s">
        <v>4291</v>
      </c>
    </row>
    <row r="2391" spans="1:1" x14ac:dyDescent="0.25">
      <c r="A2391" t="s">
        <v>3749</v>
      </c>
    </row>
    <row r="2392" spans="1:1" x14ac:dyDescent="0.25">
      <c r="A2392" t="s">
        <v>4291</v>
      </c>
    </row>
    <row r="2393" spans="1:1" x14ac:dyDescent="0.25">
      <c r="A2393" t="s">
        <v>3750</v>
      </c>
    </row>
    <row r="2394" spans="1:1" x14ac:dyDescent="0.25">
      <c r="A2394" t="s">
        <v>4291</v>
      </c>
    </row>
    <row r="2395" spans="1:1" x14ac:dyDescent="0.25">
      <c r="A2395" t="s">
        <v>811</v>
      </c>
    </row>
    <row r="2396" spans="1:1" x14ac:dyDescent="0.25">
      <c r="A2396" t="s">
        <v>1112</v>
      </c>
    </row>
    <row r="2397" spans="1:1" x14ac:dyDescent="0.25">
      <c r="A2397" t="s">
        <v>4426</v>
      </c>
    </row>
    <row r="2398" spans="1:1" x14ac:dyDescent="0.25">
      <c r="A2398" t="s">
        <v>2240</v>
      </c>
    </row>
    <row r="2399" spans="1:1" x14ac:dyDescent="0.25">
      <c r="A2399" t="s">
        <v>2241</v>
      </c>
    </row>
    <row r="2400" spans="1:1" x14ac:dyDescent="0.25">
      <c r="A2400" t="s">
        <v>2242</v>
      </c>
    </row>
    <row r="2401" spans="1:1" x14ac:dyDescent="0.25">
      <c r="A2401" t="s">
        <v>2243</v>
      </c>
    </row>
    <row r="2402" spans="1:1" x14ac:dyDescent="0.25">
      <c r="A2402" t="s">
        <v>2244</v>
      </c>
    </row>
    <row r="2403" spans="1:1" x14ac:dyDescent="0.25">
      <c r="A2403" t="s">
        <v>3751</v>
      </c>
    </row>
    <row r="2404" spans="1:1" x14ac:dyDescent="0.25">
      <c r="A2404" t="s">
        <v>4291</v>
      </c>
    </row>
    <row r="2405" spans="1:1" x14ac:dyDescent="0.25">
      <c r="A2405" t="s">
        <v>3752</v>
      </c>
    </row>
    <row r="2406" spans="1:1" x14ac:dyDescent="0.25">
      <c r="A2406" t="s">
        <v>4291</v>
      </c>
    </row>
    <row r="2407" spans="1:1" x14ac:dyDescent="0.25">
      <c r="A2407" t="s">
        <v>3753</v>
      </c>
    </row>
    <row r="2408" spans="1:1" x14ac:dyDescent="0.25">
      <c r="A2408" t="s">
        <v>4291</v>
      </c>
    </row>
    <row r="2409" spans="1:1" x14ac:dyDescent="0.25">
      <c r="A2409" t="s">
        <v>812</v>
      </c>
    </row>
    <row r="2410" spans="1:1" x14ac:dyDescent="0.25">
      <c r="A2410" t="s">
        <v>1113</v>
      </c>
    </row>
    <row r="2411" spans="1:1" x14ac:dyDescent="0.25">
      <c r="A2411" t="s">
        <v>4439</v>
      </c>
    </row>
    <row r="2412" spans="1:1" x14ac:dyDescent="0.25">
      <c r="A2412" t="s">
        <v>2245</v>
      </c>
    </row>
    <row r="2413" spans="1:1" x14ac:dyDescent="0.25">
      <c r="A2413" t="s">
        <v>2246</v>
      </c>
    </row>
    <row r="2414" spans="1:1" x14ac:dyDescent="0.25">
      <c r="A2414" t="s">
        <v>2247</v>
      </c>
    </row>
    <row r="2415" spans="1:1" x14ac:dyDescent="0.25">
      <c r="A2415" t="s">
        <v>2248</v>
      </c>
    </row>
    <row r="2416" spans="1:1" x14ac:dyDescent="0.25">
      <c r="A2416" t="s">
        <v>2249</v>
      </c>
    </row>
    <row r="2417" spans="1:1" x14ac:dyDescent="0.25">
      <c r="A2417" t="s">
        <v>3754</v>
      </c>
    </row>
    <row r="2418" spans="1:1" x14ac:dyDescent="0.25">
      <c r="A2418" t="s">
        <v>4291</v>
      </c>
    </row>
    <row r="2419" spans="1:1" x14ac:dyDescent="0.25">
      <c r="A2419" t="s">
        <v>3755</v>
      </c>
    </row>
    <row r="2420" spans="1:1" x14ac:dyDescent="0.25">
      <c r="A2420" t="s">
        <v>4291</v>
      </c>
    </row>
    <row r="2421" spans="1:1" x14ac:dyDescent="0.25">
      <c r="A2421" t="s">
        <v>3756</v>
      </c>
    </row>
    <row r="2422" spans="1:1" x14ac:dyDescent="0.25">
      <c r="A2422" t="s">
        <v>4291</v>
      </c>
    </row>
    <row r="2423" spans="1:1" x14ac:dyDescent="0.25">
      <c r="A2423" t="s">
        <v>813</v>
      </c>
    </row>
    <row r="2424" spans="1:1" x14ac:dyDescent="0.25">
      <c r="A2424" t="s">
        <v>1114</v>
      </c>
    </row>
    <row r="2425" spans="1:1" x14ac:dyDescent="0.25">
      <c r="A2425" t="s">
        <v>4440</v>
      </c>
    </row>
    <row r="2426" spans="1:1" x14ac:dyDescent="0.25">
      <c r="A2426" t="s">
        <v>2250</v>
      </c>
    </row>
    <row r="2427" spans="1:1" x14ac:dyDescent="0.25">
      <c r="A2427" t="s">
        <v>2251</v>
      </c>
    </row>
    <row r="2428" spans="1:1" x14ac:dyDescent="0.25">
      <c r="A2428" t="s">
        <v>2252</v>
      </c>
    </row>
    <row r="2429" spans="1:1" x14ac:dyDescent="0.25">
      <c r="A2429" t="s">
        <v>2253</v>
      </c>
    </row>
    <row r="2430" spans="1:1" x14ac:dyDescent="0.25">
      <c r="A2430" t="s">
        <v>2254</v>
      </c>
    </row>
    <row r="2431" spans="1:1" x14ac:dyDescent="0.25">
      <c r="A2431" t="s">
        <v>3757</v>
      </c>
    </row>
    <row r="2432" spans="1:1" x14ac:dyDescent="0.25">
      <c r="A2432" t="s">
        <v>4291</v>
      </c>
    </row>
    <row r="2433" spans="1:1" x14ac:dyDescent="0.25">
      <c r="A2433" t="s">
        <v>3758</v>
      </c>
    </row>
    <row r="2434" spans="1:1" x14ac:dyDescent="0.25">
      <c r="A2434" t="s">
        <v>4291</v>
      </c>
    </row>
    <row r="2435" spans="1:1" x14ac:dyDescent="0.25">
      <c r="A2435" t="s">
        <v>3759</v>
      </c>
    </row>
    <row r="2436" spans="1:1" x14ac:dyDescent="0.25">
      <c r="A2436" t="s">
        <v>4291</v>
      </c>
    </row>
    <row r="2437" spans="1:1" x14ac:dyDescent="0.25">
      <c r="A2437" t="s">
        <v>814</v>
      </c>
    </row>
    <row r="2438" spans="1:1" x14ac:dyDescent="0.25">
      <c r="A2438" t="s">
        <v>1115</v>
      </c>
    </row>
    <row r="2439" spans="1:1" x14ac:dyDescent="0.25">
      <c r="A2439" t="s">
        <v>4441</v>
      </c>
    </row>
    <row r="2440" spans="1:1" x14ac:dyDescent="0.25">
      <c r="A2440" t="s">
        <v>2255</v>
      </c>
    </row>
    <row r="2441" spans="1:1" x14ac:dyDescent="0.25">
      <c r="A2441" t="s">
        <v>2256</v>
      </c>
    </row>
    <row r="2442" spans="1:1" x14ac:dyDescent="0.25">
      <c r="A2442" t="s">
        <v>2257</v>
      </c>
    </row>
    <row r="2443" spans="1:1" x14ac:dyDescent="0.25">
      <c r="A2443" t="s">
        <v>2258</v>
      </c>
    </row>
    <row r="2444" spans="1:1" x14ac:dyDescent="0.25">
      <c r="A2444" t="s">
        <v>2259</v>
      </c>
    </row>
    <row r="2445" spans="1:1" x14ac:dyDescent="0.25">
      <c r="A2445" t="s">
        <v>3760</v>
      </c>
    </row>
    <row r="2446" spans="1:1" x14ac:dyDescent="0.25">
      <c r="A2446" t="s">
        <v>4291</v>
      </c>
    </row>
    <row r="2447" spans="1:1" x14ac:dyDescent="0.25">
      <c r="A2447" t="s">
        <v>3761</v>
      </c>
    </row>
    <row r="2448" spans="1:1" x14ac:dyDescent="0.25">
      <c r="A2448" t="s">
        <v>4291</v>
      </c>
    </row>
    <row r="2449" spans="1:1" x14ac:dyDescent="0.25">
      <c r="A2449" t="s">
        <v>3762</v>
      </c>
    </row>
    <row r="2450" spans="1:1" x14ac:dyDescent="0.25">
      <c r="A2450" t="s">
        <v>4291</v>
      </c>
    </row>
    <row r="2451" spans="1:1" x14ac:dyDescent="0.25">
      <c r="A2451" t="s">
        <v>815</v>
      </c>
    </row>
    <row r="2452" spans="1:1" x14ac:dyDescent="0.25">
      <c r="A2452" t="s">
        <v>1116</v>
      </c>
    </row>
    <row r="2453" spans="1:1" x14ac:dyDescent="0.25">
      <c r="A2453" t="s">
        <v>4442</v>
      </c>
    </row>
    <row r="2454" spans="1:1" x14ac:dyDescent="0.25">
      <c r="A2454" t="s">
        <v>2260</v>
      </c>
    </row>
    <row r="2455" spans="1:1" x14ac:dyDescent="0.25">
      <c r="A2455" t="s">
        <v>2261</v>
      </c>
    </row>
    <row r="2456" spans="1:1" x14ac:dyDescent="0.25">
      <c r="A2456" t="s">
        <v>2262</v>
      </c>
    </row>
    <row r="2457" spans="1:1" x14ac:dyDescent="0.25">
      <c r="A2457" t="s">
        <v>2263</v>
      </c>
    </row>
    <row r="2458" spans="1:1" x14ac:dyDescent="0.25">
      <c r="A2458" t="s">
        <v>2264</v>
      </c>
    </row>
    <row r="2459" spans="1:1" x14ac:dyDescent="0.25">
      <c r="A2459" t="s">
        <v>3763</v>
      </c>
    </row>
    <row r="2460" spans="1:1" x14ac:dyDescent="0.25">
      <c r="A2460" t="s">
        <v>4291</v>
      </c>
    </row>
    <row r="2461" spans="1:1" x14ac:dyDescent="0.25">
      <c r="A2461" t="s">
        <v>3764</v>
      </c>
    </row>
    <row r="2462" spans="1:1" x14ac:dyDescent="0.25">
      <c r="A2462" t="s">
        <v>4291</v>
      </c>
    </row>
    <row r="2463" spans="1:1" x14ac:dyDescent="0.25">
      <c r="A2463" t="s">
        <v>3765</v>
      </c>
    </row>
    <row r="2464" spans="1:1" x14ac:dyDescent="0.25">
      <c r="A2464" t="s">
        <v>4291</v>
      </c>
    </row>
    <row r="2465" spans="1:1" x14ac:dyDescent="0.25">
      <c r="A2465" t="s">
        <v>816</v>
      </c>
    </row>
    <row r="2466" spans="1:1" x14ac:dyDescent="0.25">
      <c r="A2466" t="s">
        <v>1117</v>
      </c>
    </row>
    <row r="2467" spans="1:1" x14ac:dyDescent="0.25">
      <c r="A2467" t="s">
        <v>4443</v>
      </c>
    </row>
    <row r="2468" spans="1:1" x14ac:dyDescent="0.25">
      <c r="A2468" t="s">
        <v>2265</v>
      </c>
    </row>
    <row r="2469" spans="1:1" x14ac:dyDescent="0.25">
      <c r="A2469" t="s">
        <v>2266</v>
      </c>
    </row>
    <row r="2470" spans="1:1" x14ac:dyDescent="0.25">
      <c r="A2470" t="s">
        <v>2267</v>
      </c>
    </row>
    <row r="2471" spans="1:1" x14ac:dyDescent="0.25">
      <c r="A2471" t="s">
        <v>2268</v>
      </c>
    </row>
    <row r="2472" spans="1:1" x14ac:dyDescent="0.25">
      <c r="A2472" t="s">
        <v>2269</v>
      </c>
    </row>
    <row r="2473" spans="1:1" x14ac:dyDescent="0.25">
      <c r="A2473" t="s">
        <v>3766</v>
      </c>
    </row>
    <row r="2474" spans="1:1" x14ac:dyDescent="0.25">
      <c r="A2474" t="s">
        <v>4291</v>
      </c>
    </row>
    <row r="2475" spans="1:1" x14ac:dyDescent="0.25">
      <c r="A2475" t="s">
        <v>3767</v>
      </c>
    </row>
    <row r="2476" spans="1:1" x14ac:dyDescent="0.25">
      <c r="A2476" t="s">
        <v>4291</v>
      </c>
    </row>
    <row r="2477" spans="1:1" x14ac:dyDescent="0.25">
      <c r="A2477" t="s">
        <v>3768</v>
      </c>
    </row>
    <row r="2478" spans="1:1" x14ac:dyDescent="0.25">
      <c r="A2478" t="s">
        <v>4291</v>
      </c>
    </row>
    <row r="2479" spans="1:1" x14ac:dyDescent="0.25">
      <c r="A2479" t="s">
        <v>817</v>
      </c>
    </row>
    <row r="2480" spans="1:1" x14ac:dyDescent="0.25">
      <c r="A2480" t="s">
        <v>1118</v>
      </c>
    </row>
    <row r="2481" spans="1:1" x14ac:dyDescent="0.25">
      <c r="A2481" t="s">
        <v>4444</v>
      </c>
    </row>
    <row r="2482" spans="1:1" x14ac:dyDescent="0.25">
      <c r="A2482" t="s">
        <v>2270</v>
      </c>
    </row>
    <row r="2483" spans="1:1" x14ac:dyDescent="0.25">
      <c r="A2483" t="s">
        <v>2271</v>
      </c>
    </row>
    <row r="2484" spans="1:1" x14ac:dyDescent="0.25">
      <c r="A2484" t="s">
        <v>2272</v>
      </c>
    </row>
    <row r="2485" spans="1:1" x14ac:dyDescent="0.25">
      <c r="A2485" t="s">
        <v>2273</v>
      </c>
    </row>
    <row r="2486" spans="1:1" x14ac:dyDescent="0.25">
      <c r="A2486" t="s">
        <v>2274</v>
      </c>
    </row>
    <row r="2487" spans="1:1" x14ac:dyDescent="0.25">
      <c r="A2487" t="s">
        <v>3769</v>
      </c>
    </row>
    <row r="2488" spans="1:1" x14ac:dyDescent="0.25">
      <c r="A2488" t="s">
        <v>4291</v>
      </c>
    </row>
    <row r="2489" spans="1:1" x14ac:dyDescent="0.25">
      <c r="A2489" t="s">
        <v>3770</v>
      </c>
    </row>
    <row r="2490" spans="1:1" x14ac:dyDescent="0.25">
      <c r="A2490" t="s">
        <v>4291</v>
      </c>
    </row>
    <row r="2491" spans="1:1" x14ac:dyDescent="0.25">
      <c r="A2491" t="s">
        <v>3771</v>
      </c>
    </row>
    <row r="2492" spans="1:1" x14ac:dyDescent="0.25">
      <c r="A2492" t="s">
        <v>4291</v>
      </c>
    </row>
    <row r="2493" spans="1:1" x14ac:dyDescent="0.25">
      <c r="A2493" t="s">
        <v>818</v>
      </c>
    </row>
    <row r="2494" spans="1:1" x14ac:dyDescent="0.25">
      <c r="A2494" t="s">
        <v>1119</v>
      </c>
    </row>
    <row r="2495" spans="1:1" x14ac:dyDescent="0.25">
      <c r="A2495" t="s">
        <v>4445</v>
      </c>
    </row>
    <row r="2496" spans="1:1" x14ac:dyDescent="0.25">
      <c r="A2496" t="s">
        <v>2275</v>
      </c>
    </row>
    <row r="2497" spans="1:1" x14ac:dyDescent="0.25">
      <c r="A2497" t="s">
        <v>2276</v>
      </c>
    </row>
    <row r="2498" spans="1:1" x14ac:dyDescent="0.25">
      <c r="A2498" t="s">
        <v>2277</v>
      </c>
    </row>
    <row r="2499" spans="1:1" x14ac:dyDescent="0.25">
      <c r="A2499" t="s">
        <v>2278</v>
      </c>
    </row>
    <row r="2500" spans="1:1" x14ac:dyDescent="0.25">
      <c r="A2500" t="s">
        <v>2279</v>
      </c>
    </row>
    <row r="2501" spans="1:1" x14ac:dyDescent="0.25">
      <c r="A2501" t="s">
        <v>3772</v>
      </c>
    </row>
    <row r="2502" spans="1:1" x14ac:dyDescent="0.25">
      <c r="A2502" t="s">
        <v>4291</v>
      </c>
    </row>
    <row r="2503" spans="1:1" x14ac:dyDescent="0.25">
      <c r="A2503" t="s">
        <v>3773</v>
      </c>
    </row>
    <row r="2504" spans="1:1" x14ac:dyDescent="0.25">
      <c r="A2504" t="s">
        <v>4291</v>
      </c>
    </row>
    <row r="2505" spans="1:1" x14ac:dyDescent="0.25">
      <c r="A2505" t="s">
        <v>3774</v>
      </c>
    </row>
    <row r="2506" spans="1:1" x14ac:dyDescent="0.25">
      <c r="A2506" t="s">
        <v>4291</v>
      </c>
    </row>
    <row r="2507" spans="1:1" x14ac:dyDescent="0.25">
      <c r="A2507" t="s">
        <v>819</v>
      </c>
    </row>
    <row r="2508" spans="1:1" x14ac:dyDescent="0.25">
      <c r="A2508" t="s">
        <v>1120</v>
      </c>
    </row>
    <row r="2509" spans="1:1" x14ac:dyDescent="0.25">
      <c r="A2509" t="s">
        <v>4446</v>
      </c>
    </row>
    <row r="2510" spans="1:1" x14ac:dyDescent="0.25">
      <c r="A2510" t="s">
        <v>2280</v>
      </c>
    </row>
    <row r="2511" spans="1:1" x14ac:dyDescent="0.25">
      <c r="A2511" t="s">
        <v>2281</v>
      </c>
    </row>
    <row r="2512" spans="1:1" x14ac:dyDescent="0.25">
      <c r="A2512" t="s">
        <v>2282</v>
      </c>
    </row>
    <row r="2513" spans="1:1" x14ac:dyDescent="0.25">
      <c r="A2513" t="s">
        <v>2283</v>
      </c>
    </row>
    <row r="2514" spans="1:1" x14ac:dyDescent="0.25">
      <c r="A2514" t="s">
        <v>2284</v>
      </c>
    </row>
    <row r="2515" spans="1:1" x14ac:dyDescent="0.25">
      <c r="A2515" t="s">
        <v>3775</v>
      </c>
    </row>
    <row r="2516" spans="1:1" x14ac:dyDescent="0.25">
      <c r="A2516" t="s">
        <v>4291</v>
      </c>
    </row>
    <row r="2517" spans="1:1" x14ac:dyDescent="0.25">
      <c r="A2517" t="s">
        <v>3776</v>
      </c>
    </row>
    <row r="2518" spans="1:1" x14ac:dyDescent="0.25">
      <c r="A2518" t="s">
        <v>4291</v>
      </c>
    </row>
    <row r="2519" spans="1:1" x14ac:dyDescent="0.25">
      <c r="A2519" t="s">
        <v>3777</v>
      </c>
    </row>
    <row r="2520" spans="1:1" x14ac:dyDescent="0.25">
      <c r="A2520" t="s">
        <v>4291</v>
      </c>
    </row>
    <row r="2521" spans="1:1" x14ac:dyDescent="0.25">
      <c r="A2521" t="s">
        <v>820</v>
      </c>
    </row>
    <row r="2522" spans="1:1" x14ac:dyDescent="0.25">
      <c r="A2522" t="s">
        <v>1121</v>
      </c>
    </row>
    <row r="2523" spans="1:1" x14ac:dyDescent="0.25">
      <c r="A2523" t="s">
        <v>4447</v>
      </c>
    </row>
    <row r="2524" spans="1:1" x14ac:dyDescent="0.25">
      <c r="A2524" t="s">
        <v>2285</v>
      </c>
    </row>
    <row r="2525" spans="1:1" x14ac:dyDescent="0.25">
      <c r="A2525" t="s">
        <v>2286</v>
      </c>
    </row>
    <row r="2526" spans="1:1" x14ac:dyDescent="0.25">
      <c r="A2526" t="s">
        <v>2287</v>
      </c>
    </row>
    <row r="2527" spans="1:1" x14ac:dyDescent="0.25">
      <c r="A2527" t="s">
        <v>2288</v>
      </c>
    </row>
    <row r="2528" spans="1:1" x14ac:dyDescent="0.25">
      <c r="A2528" t="s">
        <v>2289</v>
      </c>
    </row>
    <row r="2529" spans="1:1" x14ac:dyDescent="0.25">
      <c r="A2529" t="s">
        <v>3778</v>
      </c>
    </row>
    <row r="2530" spans="1:1" x14ac:dyDescent="0.25">
      <c r="A2530" t="s">
        <v>4291</v>
      </c>
    </row>
    <row r="2531" spans="1:1" x14ac:dyDescent="0.25">
      <c r="A2531" t="s">
        <v>3779</v>
      </c>
    </row>
    <row r="2532" spans="1:1" x14ac:dyDescent="0.25">
      <c r="A2532" t="s">
        <v>4291</v>
      </c>
    </row>
    <row r="2533" spans="1:1" x14ac:dyDescent="0.25">
      <c r="A2533" t="s">
        <v>3780</v>
      </c>
    </row>
    <row r="2534" spans="1:1" x14ac:dyDescent="0.25">
      <c r="A2534" t="s">
        <v>4291</v>
      </c>
    </row>
    <row r="2535" spans="1:1" x14ac:dyDescent="0.25">
      <c r="A2535" t="s">
        <v>821</v>
      </c>
    </row>
    <row r="2536" spans="1:1" x14ac:dyDescent="0.25">
      <c r="A2536" t="s">
        <v>1122</v>
      </c>
    </row>
    <row r="2537" spans="1:1" x14ac:dyDescent="0.25">
      <c r="A2537" t="s">
        <v>4448</v>
      </c>
    </row>
    <row r="2538" spans="1:1" x14ac:dyDescent="0.25">
      <c r="A2538" t="s">
        <v>2290</v>
      </c>
    </row>
    <row r="2539" spans="1:1" x14ac:dyDescent="0.25">
      <c r="A2539" t="s">
        <v>2291</v>
      </c>
    </row>
    <row r="2540" spans="1:1" x14ac:dyDescent="0.25">
      <c r="A2540" t="s">
        <v>2292</v>
      </c>
    </row>
    <row r="2541" spans="1:1" x14ac:dyDescent="0.25">
      <c r="A2541" t="s">
        <v>2293</v>
      </c>
    </row>
    <row r="2542" spans="1:1" x14ac:dyDescent="0.25">
      <c r="A2542" t="s">
        <v>2294</v>
      </c>
    </row>
    <row r="2543" spans="1:1" x14ac:dyDescent="0.25">
      <c r="A2543" t="s">
        <v>3781</v>
      </c>
    </row>
    <row r="2544" spans="1:1" x14ac:dyDescent="0.25">
      <c r="A2544" t="s">
        <v>4291</v>
      </c>
    </row>
    <row r="2545" spans="1:1" x14ac:dyDescent="0.25">
      <c r="A2545" t="s">
        <v>3782</v>
      </c>
    </row>
    <row r="2546" spans="1:1" x14ac:dyDescent="0.25">
      <c r="A2546" t="s">
        <v>4291</v>
      </c>
    </row>
    <row r="2547" spans="1:1" x14ac:dyDescent="0.25">
      <c r="A2547" t="s">
        <v>3783</v>
      </c>
    </row>
    <row r="2548" spans="1:1" x14ac:dyDescent="0.25">
      <c r="A2548" t="s">
        <v>4291</v>
      </c>
    </row>
    <row r="2549" spans="1:1" x14ac:dyDescent="0.25">
      <c r="A2549" t="s">
        <v>822</v>
      </c>
    </row>
    <row r="2550" spans="1:1" x14ac:dyDescent="0.25">
      <c r="A2550" t="s">
        <v>1123</v>
      </c>
    </row>
    <row r="2551" spans="1:1" x14ac:dyDescent="0.25">
      <c r="A2551" t="s">
        <v>4449</v>
      </c>
    </row>
    <row r="2552" spans="1:1" x14ac:dyDescent="0.25">
      <c r="A2552" t="s">
        <v>2295</v>
      </c>
    </row>
    <row r="2553" spans="1:1" x14ac:dyDescent="0.25">
      <c r="A2553" t="s">
        <v>2296</v>
      </c>
    </row>
    <row r="2554" spans="1:1" x14ac:dyDescent="0.25">
      <c r="A2554" t="s">
        <v>2297</v>
      </c>
    </row>
    <row r="2555" spans="1:1" x14ac:dyDescent="0.25">
      <c r="A2555" t="s">
        <v>2298</v>
      </c>
    </row>
    <row r="2556" spans="1:1" x14ac:dyDescent="0.25">
      <c r="A2556" t="s">
        <v>2299</v>
      </c>
    </row>
    <row r="2557" spans="1:1" x14ac:dyDescent="0.25">
      <c r="A2557" t="s">
        <v>3784</v>
      </c>
    </row>
    <row r="2558" spans="1:1" x14ac:dyDescent="0.25">
      <c r="A2558" t="s">
        <v>4291</v>
      </c>
    </row>
    <row r="2559" spans="1:1" x14ac:dyDescent="0.25">
      <c r="A2559" t="s">
        <v>3785</v>
      </c>
    </row>
    <row r="2560" spans="1:1" x14ac:dyDescent="0.25">
      <c r="A2560" t="s">
        <v>4291</v>
      </c>
    </row>
    <row r="2561" spans="1:1" x14ac:dyDescent="0.25">
      <c r="A2561" t="s">
        <v>3786</v>
      </c>
    </row>
    <row r="2562" spans="1:1" x14ac:dyDescent="0.25">
      <c r="A2562" t="s">
        <v>4291</v>
      </c>
    </row>
    <row r="2563" spans="1:1" x14ac:dyDescent="0.25">
      <c r="A2563" t="s">
        <v>823</v>
      </c>
    </row>
    <row r="2564" spans="1:1" x14ac:dyDescent="0.25">
      <c r="A2564" t="s">
        <v>1124</v>
      </c>
    </row>
    <row r="2565" spans="1:1" x14ac:dyDescent="0.25">
      <c r="A2565" t="s">
        <v>4450</v>
      </c>
    </row>
    <row r="2566" spans="1:1" x14ac:dyDescent="0.25">
      <c r="A2566" t="s">
        <v>2300</v>
      </c>
    </row>
    <row r="2567" spans="1:1" x14ac:dyDescent="0.25">
      <c r="A2567" t="s">
        <v>2301</v>
      </c>
    </row>
    <row r="2568" spans="1:1" x14ac:dyDescent="0.25">
      <c r="A2568" t="s">
        <v>2302</v>
      </c>
    </row>
    <row r="2569" spans="1:1" x14ac:dyDescent="0.25">
      <c r="A2569" t="s">
        <v>2303</v>
      </c>
    </row>
    <row r="2570" spans="1:1" x14ac:dyDescent="0.25">
      <c r="A2570" t="s">
        <v>2304</v>
      </c>
    </row>
    <row r="2571" spans="1:1" x14ac:dyDescent="0.25">
      <c r="A2571" t="s">
        <v>3787</v>
      </c>
    </row>
    <row r="2572" spans="1:1" x14ac:dyDescent="0.25">
      <c r="A2572" t="s">
        <v>4291</v>
      </c>
    </row>
    <row r="2573" spans="1:1" x14ac:dyDescent="0.25">
      <c r="A2573" t="s">
        <v>3788</v>
      </c>
    </row>
    <row r="2574" spans="1:1" x14ac:dyDescent="0.25">
      <c r="A2574" t="s">
        <v>4291</v>
      </c>
    </row>
    <row r="2575" spans="1:1" x14ac:dyDescent="0.25">
      <c r="A2575" t="s">
        <v>3789</v>
      </c>
    </row>
    <row r="2576" spans="1:1" x14ac:dyDescent="0.25">
      <c r="A2576" t="s">
        <v>4291</v>
      </c>
    </row>
    <row r="2577" spans="1:1" x14ac:dyDescent="0.25">
      <c r="A2577" t="s">
        <v>824</v>
      </c>
    </row>
    <row r="2578" spans="1:1" x14ac:dyDescent="0.25">
      <c r="A2578" t="s">
        <v>1125</v>
      </c>
    </row>
    <row r="2579" spans="1:1" x14ac:dyDescent="0.25">
      <c r="A2579" t="s">
        <v>4451</v>
      </c>
    </row>
    <row r="2580" spans="1:1" x14ac:dyDescent="0.25">
      <c r="A2580" t="s">
        <v>2305</v>
      </c>
    </row>
    <row r="2581" spans="1:1" x14ac:dyDescent="0.25">
      <c r="A2581" t="s">
        <v>2306</v>
      </c>
    </row>
    <row r="2582" spans="1:1" x14ac:dyDescent="0.25">
      <c r="A2582" t="s">
        <v>2307</v>
      </c>
    </row>
    <row r="2583" spans="1:1" x14ac:dyDescent="0.25">
      <c r="A2583" t="s">
        <v>2308</v>
      </c>
    </row>
    <row r="2584" spans="1:1" x14ac:dyDescent="0.25">
      <c r="A2584" t="s">
        <v>2309</v>
      </c>
    </row>
    <row r="2585" spans="1:1" x14ac:dyDescent="0.25">
      <c r="A2585" t="s">
        <v>3790</v>
      </c>
    </row>
    <row r="2586" spans="1:1" x14ac:dyDescent="0.25">
      <c r="A2586" t="s">
        <v>4291</v>
      </c>
    </row>
    <row r="2587" spans="1:1" x14ac:dyDescent="0.25">
      <c r="A2587" t="s">
        <v>3791</v>
      </c>
    </row>
    <row r="2588" spans="1:1" x14ac:dyDescent="0.25">
      <c r="A2588" t="s">
        <v>4291</v>
      </c>
    </row>
    <row r="2589" spans="1:1" x14ac:dyDescent="0.25">
      <c r="A2589" t="s">
        <v>3792</v>
      </c>
    </row>
    <row r="2590" spans="1:1" x14ac:dyDescent="0.25">
      <c r="A2590" t="s">
        <v>4291</v>
      </c>
    </row>
    <row r="2591" spans="1:1" x14ac:dyDescent="0.25">
      <c r="A2591" t="s">
        <v>825</v>
      </c>
    </row>
    <row r="2592" spans="1:1" x14ac:dyDescent="0.25">
      <c r="A2592" t="s">
        <v>1126</v>
      </c>
    </row>
    <row r="2593" spans="1:1" x14ac:dyDescent="0.25">
      <c r="A2593" t="s">
        <v>4452</v>
      </c>
    </row>
    <row r="2594" spans="1:1" x14ac:dyDescent="0.25">
      <c r="A2594" t="s">
        <v>2310</v>
      </c>
    </row>
    <row r="2595" spans="1:1" x14ac:dyDescent="0.25">
      <c r="A2595" t="s">
        <v>2311</v>
      </c>
    </row>
    <row r="2596" spans="1:1" x14ac:dyDescent="0.25">
      <c r="A2596" t="s">
        <v>2312</v>
      </c>
    </row>
    <row r="2597" spans="1:1" x14ac:dyDescent="0.25">
      <c r="A2597" t="s">
        <v>2313</v>
      </c>
    </row>
    <row r="2598" spans="1:1" x14ac:dyDescent="0.25">
      <c r="A2598" t="s">
        <v>2314</v>
      </c>
    </row>
    <row r="2599" spans="1:1" x14ac:dyDescent="0.25">
      <c r="A2599" t="s">
        <v>3793</v>
      </c>
    </row>
    <row r="2600" spans="1:1" x14ac:dyDescent="0.25">
      <c r="A2600" t="s">
        <v>4291</v>
      </c>
    </row>
    <row r="2601" spans="1:1" x14ac:dyDescent="0.25">
      <c r="A2601" t="s">
        <v>3794</v>
      </c>
    </row>
    <row r="2602" spans="1:1" x14ac:dyDescent="0.25">
      <c r="A2602" t="s">
        <v>4291</v>
      </c>
    </row>
    <row r="2603" spans="1:1" x14ac:dyDescent="0.25">
      <c r="A2603" t="s">
        <v>3795</v>
      </c>
    </row>
    <row r="2604" spans="1:1" x14ac:dyDescent="0.25">
      <c r="A2604" t="s">
        <v>4291</v>
      </c>
    </row>
    <row r="2605" spans="1:1" x14ac:dyDescent="0.25">
      <c r="A2605" t="s">
        <v>826</v>
      </c>
    </row>
    <row r="2606" spans="1:1" x14ac:dyDescent="0.25">
      <c r="A2606" t="s">
        <v>1127</v>
      </c>
    </row>
    <row r="2607" spans="1:1" x14ac:dyDescent="0.25">
      <c r="A2607" t="s">
        <v>4453</v>
      </c>
    </row>
    <row r="2608" spans="1:1" x14ac:dyDescent="0.25">
      <c r="A2608" t="s">
        <v>2315</v>
      </c>
    </row>
    <row r="2609" spans="1:1" x14ac:dyDescent="0.25">
      <c r="A2609" t="s">
        <v>2316</v>
      </c>
    </row>
    <row r="2610" spans="1:1" x14ac:dyDescent="0.25">
      <c r="A2610" t="s">
        <v>2317</v>
      </c>
    </row>
    <row r="2611" spans="1:1" x14ac:dyDescent="0.25">
      <c r="A2611" t="s">
        <v>2318</v>
      </c>
    </row>
    <row r="2612" spans="1:1" x14ac:dyDescent="0.25">
      <c r="A2612" t="s">
        <v>2319</v>
      </c>
    </row>
    <row r="2613" spans="1:1" x14ac:dyDescent="0.25">
      <c r="A2613" t="s">
        <v>3796</v>
      </c>
    </row>
    <row r="2614" spans="1:1" x14ac:dyDescent="0.25">
      <c r="A2614" t="s">
        <v>4291</v>
      </c>
    </row>
    <row r="2615" spans="1:1" x14ac:dyDescent="0.25">
      <c r="A2615" t="s">
        <v>3797</v>
      </c>
    </row>
    <row r="2616" spans="1:1" x14ac:dyDescent="0.25">
      <c r="A2616" t="s">
        <v>4291</v>
      </c>
    </row>
    <row r="2617" spans="1:1" x14ac:dyDescent="0.25">
      <c r="A2617" t="s">
        <v>3798</v>
      </c>
    </row>
    <row r="2618" spans="1:1" x14ac:dyDescent="0.25">
      <c r="A2618" t="s">
        <v>4291</v>
      </c>
    </row>
    <row r="2619" spans="1:1" x14ac:dyDescent="0.25">
      <c r="A2619" t="s">
        <v>827</v>
      </c>
    </row>
    <row r="2620" spans="1:1" x14ac:dyDescent="0.25">
      <c r="A2620" t="s">
        <v>1128</v>
      </c>
    </row>
    <row r="2621" spans="1:1" x14ac:dyDescent="0.25">
      <c r="A2621" t="s">
        <v>4454</v>
      </c>
    </row>
    <row r="2622" spans="1:1" x14ac:dyDescent="0.25">
      <c r="A2622" t="s">
        <v>2320</v>
      </c>
    </row>
    <row r="2623" spans="1:1" x14ac:dyDescent="0.25">
      <c r="A2623" t="s">
        <v>2321</v>
      </c>
    </row>
    <row r="2624" spans="1:1" x14ac:dyDescent="0.25">
      <c r="A2624" t="s">
        <v>2322</v>
      </c>
    </row>
    <row r="2625" spans="1:1" x14ac:dyDescent="0.25">
      <c r="A2625" t="s">
        <v>2323</v>
      </c>
    </row>
    <row r="2626" spans="1:1" x14ac:dyDescent="0.25">
      <c r="A2626" t="s">
        <v>2324</v>
      </c>
    </row>
    <row r="2627" spans="1:1" x14ac:dyDescent="0.25">
      <c r="A2627" t="s">
        <v>3799</v>
      </c>
    </row>
    <row r="2628" spans="1:1" x14ac:dyDescent="0.25">
      <c r="A2628" t="s">
        <v>4291</v>
      </c>
    </row>
    <row r="2629" spans="1:1" x14ac:dyDescent="0.25">
      <c r="A2629" t="s">
        <v>3800</v>
      </c>
    </row>
    <row r="2630" spans="1:1" x14ac:dyDescent="0.25">
      <c r="A2630" t="s">
        <v>4291</v>
      </c>
    </row>
    <row r="2631" spans="1:1" x14ac:dyDescent="0.25">
      <c r="A2631" t="s">
        <v>3801</v>
      </c>
    </row>
    <row r="2632" spans="1:1" x14ac:dyDescent="0.25">
      <c r="A2632" t="s">
        <v>4291</v>
      </c>
    </row>
    <row r="2633" spans="1:1" x14ac:dyDescent="0.25">
      <c r="A2633" t="s">
        <v>828</v>
      </c>
    </row>
    <row r="2634" spans="1:1" x14ac:dyDescent="0.25">
      <c r="A2634" t="s">
        <v>1129</v>
      </c>
    </row>
    <row r="2635" spans="1:1" x14ac:dyDescent="0.25">
      <c r="A2635" t="s">
        <v>4455</v>
      </c>
    </row>
    <row r="2636" spans="1:1" x14ac:dyDescent="0.25">
      <c r="A2636" t="s">
        <v>2325</v>
      </c>
    </row>
    <row r="2637" spans="1:1" x14ac:dyDescent="0.25">
      <c r="A2637" t="s">
        <v>2326</v>
      </c>
    </row>
    <row r="2638" spans="1:1" x14ac:dyDescent="0.25">
      <c r="A2638" t="s">
        <v>2327</v>
      </c>
    </row>
    <row r="2639" spans="1:1" x14ac:dyDescent="0.25">
      <c r="A2639" t="s">
        <v>2328</v>
      </c>
    </row>
    <row r="2640" spans="1:1" x14ac:dyDescent="0.25">
      <c r="A2640" t="s">
        <v>2329</v>
      </c>
    </row>
    <row r="2641" spans="1:1" x14ac:dyDescent="0.25">
      <c r="A2641" t="s">
        <v>3802</v>
      </c>
    </row>
    <row r="2642" spans="1:1" x14ac:dyDescent="0.25">
      <c r="A2642" t="s">
        <v>4291</v>
      </c>
    </row>
    <row r="2643" spans="1:1" x14ac:dyDescent="0.25">
      <c r="A2643" t="s">
        <v>3803</v>
      </c>
    </row>
    <row r="2644" spans="1:1" x14ac:dyDescent="0.25">
      <c r="A2644" t="s">
        <v>4291</v>
      </c>
    </row>
    <row r="2645" spans="1:1" x14ac:dyDescent="0.25">
      <c r="A2645" t="s">
        <v>3804</v>
      </c>
    </row>
    <row r="2646" spans="1:1" x14ac:dyDescent="0.25">
      <c r="A2646" t="s">
        <v>4291</v>
      </c>
    </row>
    <row r="2647" spans="1:1" x14ac:dyDescent="0.25">
      <c r="A2647" t="s">
        <v>829</v>
      </c>
    </row>
    <row r="2648" spans="1:1" x14ac:dyDescent="0.25">
      <c r="A2648" t="s">
        <v>1130</v>
      </c>
    </row>
    <row r="2649" spans="1:1" x14ac:dyDescent="0.25">
      <c r="A2649" t="s">
        <v>4456</v>
      </c>
    </row>
    <row r="2650" spans="1:1" x14ac:dyDescent="0.25">
      <c r="A2650" t="s">
        <v>2330</v>
      </c>
    </row>
    <row r="2651" spans="1:1" x14ac:dyDescent="0.25">
      <c r="A2651" t="s">
        <v>2331</v>
      </c>
    </row>
    <row r="2652" spans="1:1" x14ac:dyDescent="0.25">
      <c r="A2652" t="s">
        <v>2332</v>
      </c>
    </row>
    <row r="2653" spans="1:1" x14ac:dyDescent="0.25">
      <c r="A2653" t="s">
        <v>2333</v>
      </c>
    </row>
    <row r="2654" spans="1:1" x14ac:dyDescent="0.25">
      <c r="A2654" t="s">
        <v>2334</v>
      </c>
    </row>
    <row r="2655" spans="1:1" x14ac:dyDescent="0.25">
      <c r="A2655" t="s">
        <v>3805</v>
      </c>
    </row>
    <row r="2656" spans="1:1" x14ac:dyDescent="0.25">
      <c r="A2656" t="s">
        <v>4291</v>
      </c>
    </row>
    <row r="2657" spans="1:1" x14ac:dyDescent="0.25">
      <c r="A2657" t="s">
        <v>3806</v>
      </c>
    </row>
    <row r="2658" spans="1:1" x14ac:dyDescent="0.25">
      <c r="A2658" t="s">
        <v>4291</v>
      </c>
    </row>
    <row r="2659" spans="1:1" x14ac:dyDescent="0.25">
      <c r="A2659" t="s">
        <v>3807</v>
      </c>
    </row>
    <row r="2660" spans="1:1" x14ac:dyDescent="0.25">
      <c r="A2660" t="s">
        <v>4291</v>
      </c>
    </row>
    <row r="2661" spans="1:1" x14ac:dyDescent="0.25">
      <c r="A2661" t="s">
        <v>830</v>
      </c>
    </row>
    <row r="2662" spans="1:1" x14ac:dyDescent="0.25">
      <c r="A2662" t="s">
        <v>1131</v>
      </c>
    </row>
    <row r="2663" spans="1:1" x14ac:dyDescent="0.25">
      <c r="A2663" t="s">
        <v>4457</v>
      </c>
    </row>
    <row r="2664" spans="1:1" x14ac:dyDescent="0.25">
      <c r="A2664" t="s">
        <v>2335</v>
      </c>
    </row>
    <row r="2665" spans="1:1" x14ac:dyDescent="0.25">
      <c r="A2665" t="s">
        <v>2336</v>
      </c>
    </row>
    <row r="2666" spans="1:1" x14ac:dyDescent="0.25">
      <c r="A2666" t="s">
        <v>2337</v>
      </c>
    </row>
    <row r="2667" spans="1:1" x14ac:dyDescent="0.25">
      <c r="A2667" t="s">
        <v>2338</v>
      </c>
    </row>
    <row r="2668" spans="1:1" x14ac:dyDescent="0.25">
      <c r="A2668" t="s">
        <v>2339</v>
      </c>
    </row>
    <row r="2669" spans="1:1" x14ac:dyDescent="0.25">
      <c r="A2669" t="s">
        <v>3808</v>
      </c>
    </row>
    <row r="2670" spans="1:1" x14ac:dyDescent="0.25">
      <c r="A2670" t="s">
        <v>4291</v>
      </c>
    </row>
    <row r="2671" spans="1:1" x14ac:dyDescent="0.25">
      <c r="A2671" t="s">
        <v>3809</v>
      </c>
    </row>
    <row r="2672" spans="1:1" x14ac:dyDescent="0.25">
      <c r="A2672" t="s">
        <v>4291</v>
      </c>
    </row>
    <row r="2673" spans="1:1" x14ac:dyDescent="0.25">
      <c r="A2673" t="s">
        <v>3810</v>
      </c>
    </row>
    <row r="2674" spans="1:1" x14ac:dyDescent="0.25">
      <c r="A2674" t="s">
        <v>4291</v>
      </c>
    </row>
    <row r="2675" spans="1:1" x14ac:dyDescent="0.25">
      <c r="A2675" t="s">
        <v>831</v>
      </c>
    </row>
    <row r="2676" spans="1:1" x14ac:dyDescent="0.25">
      <c r="A2676" t="s">
        <v>1132</v>
      </c>
    </row>
    <row r="2677" spans="1:1" x14ac:dyDescent="0.25">
      <c r="A2677" t="s">
        <v>4458</v>
      </c>
    </row>
    <row r="2678" spans="1:1" x14ac:dyDescent="0.25">
      <c r="A2678" t="s">
        <v>2340</v>
      </c>
    </row>
    <row r="2679" spans="1:1" x14ac:dyDescent="0.25">
      <c r="A2679" t="s">
        <v>2341</v>
      </c>
    </row>
    <row r="2680" spans="1:1" x14ac:dyDescent="0.25">
      <c r="A2680" t="s">
        <v>2342</v>
      </c>
    </row>
    <row r="2681" spans="1:1" x14ac:dyDescent="0.25">
      <c r="A2681" t="s">
        <v>2343</v>
      </c>
    </row>
    <row r="2682" spans="1:1" x14ac:dyDescent="0.25">
      <c r="A2682" t="s">
        <v>2344</v>
      </c>
    </row>
    <row r="2683" spans="1:1" x14ac:dyDescent="0.25">
      <c r="A2683" t="s">
        <v>3811</v>
      </c>
    </row>
    <row r="2684" spans="1:1" x14ac:dyDescent="0.25">
      <c r="A2684" t="s">
        <v>4291</v>
      </c>
    </row>
    <row r="2685" spans="1:1" x14ac:dyDescent="0.25">
      <c r="A2685" t="s">
        <v>3812</v>
      </c>
    </row>
    <row r="2686" spans="1:1" x14ac:dyDescent="0.25">
      <c r="A2686" t="s">
        <v>4291</v>
      </c>
    </row>
    <row r="2687" spans="1:1" x14ac:dyDescent="0.25">
      <c r="A2687" t="s">
        <v>3813</v>
      </c>
    </row>
    <row r="2688" spans="1:1" x14ac:dyDescent="0.25">
      <c r="A2688" t="s">
        <v>4291</v>
      </c>
    </row>
    <row r="2689" spans="1:1" x14ac:dyDescent="0.25">
      <c r="A2689" t="s">
        <v>832</v>
      </c>
    </row>
    <row r="2690" spans="1:1" x14ac:dyDescent="0.25">
      <c r="A2690" t="s">
        <v>1133</v>
      </c>
    </row>
    <row r="2691" spans="1:1" x14ac:dyDescent="0.25">
      <c r="A2691" t="s">
        <v>4459</v>
      </c>
    </row>
    <row r="2692" spans="1:1" x14ac:dyDescent="0.25">
      <c r="A2692" t="s">
        <v>2345</v>
      </c>
    </row>
    <row r="2693" spans="1:1" x14ac:dyDescent="0.25">
      <c r="A2693" t="s">
        <v>2346</v>
      </c>
    </row>
    <row r="2694" spans="1:1" x14ac:dyDescent="0.25">
      <c r="A2694" t="s">
        <v>2347</v>
      </c>
    </row>
    <row r="2695" spans="1:1" x14ac:dyDescent="0.25">
      <c r="A2695" t="s">
        <v>2348</v>
      </c>
    </row>
    <row r="2696" spans="1:1" x14ac:dyDescent="0.25">
      <c r="A2696" t="s">
        <v>2349</v>
      </c>
    </row>
    <row r="2697" spans="1:1" x14ac:dyDescent="0.25">
      <c r="A2697" t="s">
        <v>3814</v>
      </c>
    </row>
    <row r="2698" spans="1:1" x14ac:dyDescent="0.25">
      <c r="A2698" t="s">
        <v>4291</v>
      </c>
    </row>
    <row r="2699" spans="1:1" x14ac:dyDescent="0.25">
      <c r="A2699" t="s">
        <v>3815</v>
      </c>
    </row>
    <row r="2700" spans="1:1" x14ac:dyDescent="0.25">
      <c r="A2700" t="s">
        <v>4291</v>
      </c>
    </row>
    <row r="2701" spans="1:1" x14ac:dyDescent="0.25">
      <c r="A2701" t="s">
        <v>3816</v>
      </c>
    </row>
    <row r="2702" spans="1:1" x14ac:dyDescent="0.25">
      <c r="A2702" t="s">
        <v>4291</v>
      </c>
    </row>
    <row r="2703" spans="1:1" x14ac:dyDescent="0.25">
      <c r="A2703" t="s">
        <v>833</v>
      </c>
    </row>
    <row r="2704" spans="1:1" x14ac:dyDescent="0.25">
      <c r="A2704" t="s">
        <v>1134</v>
      </c>
    </row>
    <row r="2705" spans="1:1" x14ac:dyDescent="0.25">
      <c r="A2705" t="s">
        <v>4460</v>
      </c>
    </row>
    <row r="2706" spans="1:1" x14ac:dyDescent="0.25">
      <c r="A2706" t="s">
        <v>2350</v>
      </c>
    </row>
    <row r="2707" spans="1:1" x14ac:dyDescent="0.25">
      <c r="A2707" t="s">
        <v>2351</v>
      </c>
    </row>
    <row r="2708" spans="1:1" x14ac:dyDescent="0.25">
      <c r="A2708" t="s">
        <v>2352</v>
      </c>
    </row>
    <row r="2709" spans="1:1" x14ac:dyDescent="0.25">
      <c r="A2709" t="s">
        <v>2353</v>
      </c>
    </row>
    <row r="2710" spans="1:1" x14ac:dyDescent="0.25">
      <c r="A2710" t="s">
        <v>2354</v>
      </c>
    </row>
    <row r="2711" spans="1:1" x14ac:dyDescent="0.25">
      <c r="A2711" t="s">
        <v>3817</v>
      </c>
    </row>
    <row r="2712" spans="1:1" x14ac:dyDescent="0.25">
      <c r="A2712" t="s">
        <v>4291</v>
      </c>
    </row>
    <row r="2713" spans="1:1" x14ac:dyDescent="0.25">
      <c r="A2713" t="s">
        <v>3818</v>
      </c>
    </row>
    <row r="2714" spans="1:1" x14ac:dyDescent="0.25">
      <c r="A2714" t="s">
        <v>4291</v>
      </c>
    </row>
    <row r="2715" spans="1:1" x14ac:dyDescent="0.25">
      <c r="A2715" t="s">
        <v>3819</v>
      </c>
    </row>
    <row r="2716" spans="1:1" x14ac:dyDescent="0.25">
      <c r="A2716" t="s">
        <v>4291</v>
      </c>
    </row>
    <row r="2717" spans="1:1" x14ac:dyDescent="0.25">
      <c r="A2717" t="s">
        <v>834</v>
      </c>
    </row>
    <row r="2718" spans="1:1" x14ac:dyDescent="0.25">
      <c r="A2718" t="s">
        <v>1135</v>
      </c>
    </row>
    <row r="2719" spans="1:1" x14ac:dyDescent="0.25">
      <c r="A2719" t="s">
        <v>4461</v>
      </c>
    </row>
    <row r="2720" spans="1:1" x14ac:dyDescent="0.25">
      <c r="A2720" t="s">
        <v>2355</v>
      </c>
    </row>
    <row r="2721" spans="1:1" x14ac:dyDescent="0.25">
      <c r="A2721" t="s">
        <v>2356</v>
      </c>
    </row>
    <row r="2722" spans="1:1" x14ac:dyDescent="0.25">
      <c r="A2722" t="s">
        <v>2357</v>
      </c>
    </row>
    <row r="2723" spans="1:1" x14ac:dyDescent="0.25">
      <c r="A2723" t="s">
        <v>2358</v>
      </c>
    </row>
    <row r="2724" spans="1:1" x14ac:dyDescent="0.25">
      <c r="A2724" t="s">
        <v>2359</v>
      </c>
    </row>
    <row r="2725" spans="1:1" x14ac:dyDescent="0.25">
      <c r="A2725" t="s">
        <v>3820</v>
      </c>
    </row>
    <row r="2726" spans="1:1" x14ac:dyDescent="0.25">
      <c r="A2726" t="s">
        <v>4291</v>
      </c>
    </row>
    <row r="2727" spans="1:1" x14ac:dyDescent="0.25">
      <c r="A2727" t="s">
        <v>3821</v>
      </c>
    </row>
    <row r="2728" spans="1:1" x14ac:dyDescent="0.25">
      <c r="A2728" t="s">
        <v>4291</v>
      </c>
    </row>
    <row r="2729" spans="1:1" x14ac:dyDescent="0.25">
      <c r="A2729" t="s">
        <v>3822</v>
      </c>
    </row>
    <row r="2730" spans="1:1" x14ac:dyDescent="0.25">
      <c r="A2730" t="s">
        <v>4291</v>
      </c>
    </row>
    <row r="2731" spans="1:1" x14ac:dyDescent="0.25">
      <c r="A2731" t="s">
        <v>835</v>
      </c>
    </row>
    <row r="2732" spans="1:1" x14ac:dyDescent="0.25">
      <c r="A2732" t="s">
        <v>1136</v>
      </c>
    </row>
    <row r="2733" spans="1:1" x14ac:dyDescent="0.25">
      <c r="A2733" t="s">
        <v>4462</v>
      </c>
    </row>
    <row r="2734" spans="1:1" x14ac:dyDescent="0.25">
      <c r="A2734" t="s">
        <v>2360</v>
      </c>
    </row>
    <row r="2735" spans="1:1" x14ac:dyDescent="0.25">
      <c r="A2735" t="s">
        <v>2361</v>
      </c>
    </row>
    <row r="2736" spans="1:1" x14ac:dyDescent="0.25">
      <c r="A2736" t="s">
        <v>2362</v>
      </c>
    </row>
    <row r="2737" spans="1:1" x14ac:dyDescent="0.25">
      <c r="A2737" t="s">
        <v>2363</v>
      </c>
    </row>
    <row r="2738" spans="1:1" x14ac:dyDescent="0.25">
      <c r="A2738" t="s">
        <v>2364</v>
      </c>
    </row>
    <row r="2739" spans="1:1" x14ac:dyDescent="0.25">
      <c r="A2739" t="s">
        <v>3823</v>
      </c>
    </row>
    <row r="2740" spans="1:1" x14ac:dyDescent="0.25">
      <c r="A2740" t="s">
        <v>4291</v>
      </c>
    </row>
    <row r="2741" spans="1:1" x14ac:dyDescent="0.25">
      <c r="A2741" t="s">
        <v>3824</v>
      </c>
    </row>
    <row r="2742" spans="1:1" x14ac:dyDescent="0.25">
      <c r="A2742" t="s">
        <v>4291</v>
      </c>
    </row>
    <row r="2743" spans="1:1" x14ac:dyDescent="0.25">
      <c r="A2743" t="s">
        <v>3825</v>
      </c>
    </row>
    <row r="2744" spans="1:1" x14ac:dyDescent="0.25">
      <c r="A2744" t="s">
        <v>4291</v>
      </c>
    </row>
    <row r="2745" spans="1:1" x14ac:dyDescent="0.25">
      <c r="A2745" t="s">
        <v>836</v>
      </c>
    </row>
    <row r="2746" spans="1:1" x14ac:dyDescent="0.25">
      <c r="A2746" t="s">
        <v>1137</v>
      </c>
    </row>
    <row r="2747" spans="1:1" x14ac:dyDescent="0.25">
      <c r="A2747" t="s">
        <v>4463</v>
      </c>
    </row>
    <row r="2748" spans="1:1" x14ac:dyDescent="0.25">
      <c r="A2748" t="s">
        <v>2365</v>
      </c>
    </row>
    <row r="2749" spans="1:1" x14ac:dyDescent="0.25">
      <c r="A2749" t="s">
        <v>2366</v>
      </c>
    </row>
    <row r="2750" spans="1:1" x14ac:dyDescent="0.25">
      <c r="A2750" t="s">
        <v>2367</v>
      </c>
    </row>
    <row r="2751" spans="1:1" x14ac:dyDescent="0.25">
      <c r="A2751" t="s">
        <v>2368</v>
      </c>
    </row>
    <row r="2752" spans="1:1" x14ac:dyDescent="0.25">
      <c r="A2752" t="s">
        <v>2369</v>
      </c>
    </row>
    <row r="2753" spans="1:1" x14ac:dyDescent="0.25">
      <c r="A2753" t="s">
        <v>3826</v>
      </c>
    </row>
    <row r="2754" spans="1:1" x14ac:dyDescent="0.25">
      <c r="A2754" t="s">
        <v>4291</v>
      </c>
    </row>
    <row r="2755" spans="1:1" x14ac:dyDescent="0.25">
      <c r="A2755" t="s">
        <v>3827</v>
      </c>
    </row>
    <row r="2756" spans="1:1" x14ac:dyDescent="0.25">
      <c r="A2756" t="s">
        <v>4291</v>
      </c>
    </row>
    <row r="2757" spans="1:1" x14ac:dyDescent="0.25">
      <c r="A2757" t="s">
        <v>3828</v>
      </c>
    </row>
    <row r="2758" spans="1:1" x14ac:dyDescent="0.25">
      <c r="A2758" t="s">
        <v>4291</v>
      </c>
    </row>
    <row r="2759" spans="1:1" x14ac:dyDescent="0.25">
      <c r="A2759" t="s">
        <v>837</v>
      </c>
    </row>
    <row r="2760" spans="1:1" x14ac:dyDescent="0.25">
      <c r="A2760" t="s">
        <v>1138</v>
      </c>
    </row>
    <row r="2761" spans="1:1" x14ac:dyDescent="0.25">
      <c r="A2761" t="s">
        <v>4426</v>
      </c>
    </row>
    <row r="2762" spans="1:1" x14ac:dyDescent="0.25">
      <c r="A2762" t="s">
        <v>2370</v>
      </c>
    </row>
    <row r="2763" spans="1:1" x14ac:dyDescent="0.25">
      <c r="A2763" t="s">
        <v>2371</v>
      </c>
    </row>
    <row r="2764" spans="1:1" x14ac:dyDescent="0.25">
      <c r="A2764" t="s">
        <v>2372</v>
      </c>
    </row>
    <row r="2765" spans="1:1" x14ac:dyDescent="0.25">
      <c r="A2765" t="s">
        <v>2373</v>
      </c>
    </row>
    <row r="2766" spans="1:1" x14ac:dyDescent="0.25">
      <c r="A2766" t="s">
        <v>2374</v>
      </c>
    </row>
    <row r="2767" spans="1:1" x14ac:dyDescent="0.25">
      <c r="A2767" t="s">
        <v>3829</v>
      </c>
    </row>
    <row r="2768" spans="1:1" x14ac:dyDescent="0.25">
      <c r="A2768" t="s">
        <v>4291</v>
      </c>
    </row>
    <row r="2769" spans="1:1" x14ac:dyDescent="0.25">
      <c r="A2769" t="s">
        <v>3830</v>
      </c>
    </row>
    <row r="2770" spans="1:1" x14ac:dyDescent="0.25">
      <c r="A2770" t="s">
        <v>4291</v>
      </c>
    </row>
    <row r="2771" spans="1:1" x14ac:dyDescent="0.25">
      <c r="A2771" t="s">
        <v>3831</v>
      </c>
    </row>
    <row r="2772" spans="1:1" x14ac:dyDescent="0.25">
      <c r="A2772" t="s">
        <v>4291</v>
      </c>
    </row>
    <row r="2773" spans="1:1" x14ac:dyDescent="0.25">
      <c r="A2773" t="s">
        <v>838</v>
      </c>
    </row>
    <row r="2774" spans="1:1" x14ac:dyDescent="0.25">
      <c r="A2774" t="s">
        <v>1139</v>
      </c>
    </row>
    <row r="2775" spans="1:1" x14ac:dyDescent="0.25">
      <c r="A2775" t="s">
        <v>4426</v>
      </c>
    </row>
    <row r="2776" spans="1:1" x14ac:dyDescent="0.25">
      <c r="A2776" t="s">
        <v>2375</v>
      </c>
    </row>
    <row r="2777" spans="1:1" x14ac:dyDescent="0.25">
      <c r="A2777" t="s">
        <v>2376</v>
      </c>
    </row>
    <row r="2778" spans="1:1" x14ac:dyDescent="0.25">
      <c r="A2778" t="s">
        <v>2377</v>
      </c>
    </row>
    <row r="2779" spans="1:1" x14ac:dyDescent="0.25">
      <c r="A2779" t="s">
        <v>2378</v>
      </c>
    </row>
    <row r="2780" spans="1:1" x14ac:dyDescent="0.25">
      <c r="A2780" t="s">
        <v>2379</v>
      </c>
    </row>
    <row r="2781" spans="1:1" x14ac:dyDescent="0.25">
      <c r="A2781" t="s">
        <v>3832</v>
      </c>
    </row>
    <row r="2782" spans="1:1" x14ac:dyDescent="0.25">
      <c r="A2782" t="s">
        <v>4291</v>
      </c>
    </row>
    <row r="2783" spans="1:1" x14ac:dyDescent="0.25">
      <c r="A2783" t="s">
        <v>3833</v>
      </c>
    </row>
    <row r="2784" spans="1:1" x14ac:dyDescent="0.25">
      <c r="A2784" t="s">
        <v>4291</v>
      </c>
    </row>
    <row r="2785" spans="1:1" x14ac:dyDescent="0.25">
      <c r="A2785" t="s">
        <v>3834</v>
      </c>
    </row>
    <row r="2786" spans="1:1" x14ac:dyDescent="0.25">
      <c r="A2786" t="s">
        <v>4291</v>
      </c>
    </row>
    <row r="2787" spans="1:1" x14ac:dyDescent="0.25">
      <c r="A2787" t="s">
        <v>839</v>
      </c>
    </row>
    <row r="2788" spans="1:1" x14ac:dyDescent="0.25">
      <c r="A2788" t="s">
        <v>1140</v>
      </c>
    </row>
    <row r="2789" spans="1:1" x14ac:dyDescent="0.25">
      <c r="A2789" t="s">
        <v>4426</v>
      </c>
    </row>
    <row r="2790" spans="1:1" x14ac:dyDescent="0.25">
      <c r="A2790" t="s">
        <v>2380</v>
      </c>
    </row>
    <row r="2791" spans="1:1" x14ac:dyDescent="0.25">
      <c r="A2791" t="s">
        <v>2381</v>
      </c>
    </row>
    <row r="2792" spans="1:1" x14ac:dyDescent="0.25">
      <c r="A2792" t="s">
        <v>2382</v>
      </c>
    </row>
    <row r="2793" spans="1:1" x14ac:dyDescent="0.25">
      <c r="A2793" t="s">
        <v>2383</v>
      </c>
    </row>
    <row r="2794" spans="1:1" x14ac:dyDescent="0.25">
      <c r="A2794" t="s">
        <v>2384</v>
      </c>
    </row>
    <row r="2795" spans="1:1" x14ac:dyDescent="0.25">
      <c r="A2795" t="s">
        <v>3835</v>
      </c>
    </row>
    <row r="2796" spans="1:1" x14ac:dyDescent="0.25">
      <c r="A2796" t="s">
        <v>4291</v>
      </c>
    </row>
    <row r="2797" spans="1:1" x14ac:dyDescent="0.25">
      <c r="A2797" t="s">
        <v>3836</v>
      </c>
    </row>
    <row r="2798" spans="1:1" x14ac:dyDescent="0.25">
      <c r="A2798" t="s">
        <v>4291</v>
      </c>
    </row>
    <row r="2799" spans="1:1" x14ac:dyDescent="0.25">
      <c r="A2799" t="s">
        <v>3837</v>
      </c>
    </row>
    <row r="2800" spans="1:1" x14ac:dyDescent="0.25">
      <c r="A2800" t="s">
        <v>4291</v>
      </c>
    </row>
    <row r="2801" spans="1:1" x14ac:dyDescent="0.25">
      <c r="A2801" t="s">
        <v>840</v>
      </c>
    </row>
    <row r="2802" spans="1:1" x14ac:dyDescent="0.25">
      <c r="A2802" t="s">
        <v>1141</v>
      </c>
    </row>
    <row r="2803" spans="1:1" x14ac:dyDescent="0.25">
      <c r="A2803" t="s">
        <v>4426</v>
      </c>
    </row>
    <row r="2804" spans="1:1" x14ac:dyDescent="0.25">
      <c r="A2804" t="s">
        <v>2385</v>
      </c>
    </row>
    <row r="2805" spans="1:1" x14ac:dyDescent="0.25">
      <c r="A2805" t="s">
        <v>2386</v>
      </c>
    </row>
    <row r="2806" spans="1:1" x14ac:dyDescent="0.25">
      <c r="A2806" t="s">
        <v>2387</v>
      </c>
    </row>
    <row r="2807" spans="1:1" x14ac:dyDescent="0.25">
      <c r="A2807" t="s">
        <v>2388</v>
      </c>
    </row>
    <row r="2808" spans="1:1" x14ac:dyDescent="0.25">
      <c r="A2808" t="s">
        <v>2389</v>
      </c>
    </row>
    <row r="2809" spans="1:1" x14ac:dyDescent="0.25">
      <c r="A2809" t="s">
        <v>3838</v>
      </c>
    </row>
    <row r="2810" spans="1:1" x14ac:dyDescent="0.25">
      <c r="A2810" t="s">
        <v>4291</v>
      </c>
    </row>
    <row r="2811" spans="1:1" x14ac:dyDescent="0.25">
      <c r="A2811" t="s">
        <v>3839</v>
      </c>
    </row>
    <row r="2812" spans="1:1" x14ac:dyDescent="0.25">
      <c r="A2812" t="s">
        <v>4291</v>
      </c>
    </row>
    <row r="2813" spans="1:1" x14ac:dyDescent="0.25">
      <c r="A2813" t="s">
        <v>3840</v>
      </c>
    </row>
    <row r="2814" spans="1:1" x14ac:dyDescent="0.25">
      <c r="A2814" t="s">
        <v>4291</v>
      </c>
    </row>
    <row r="2815" spans="1:1" x14ac:dyDescent="0.25">
      <c r="A2815" t="s">
        <v>841</v>
      </c>
    </row>
    <row r="2816" spans="1:1" x14ac:dyDescent="0.25">
      <c r="A2816" t="s">
        <v>1142</v>
      </c>
    </row>
    <row r="2817" spans="1:1" x14ac:dyDescent="0.25">
      <c r="A2817" t="s">
        <v>4426</v>
      </c>
    </row>
    <row r="2818" spans="1:1" x14ac:dyDescent="0.25">
      <c r="A2818" t="s">
        <v>2390</v>
      </c>
    </row>
    <row r="2819" spans="1:1" x14ac:dyDescent="0.25">
      <c r="A2819" t="s">
        <v>2391</v>
      </c>
    </row>
    <row r="2820" spans="1:1" x14ac:dyDescent="0.25">
      <c r="A2820" t="s">
        <v>2392</v>
      </c>
    </row>
    <row r="2821" spans="1:1" x14ac:dyDescent="0.25">
      <c r="A2821" t="s">
        <v>2393</v>
      </c>
    </row>
    <row r="2822" spans="1:1" x14ac:dyDescent="0.25">
      <c r="A2822" t="s">
        <v>2394</v>
      </c>
    </row>
    <row r="2823" spans="1:1" x14ac:dyDescent="0.25">
      <c r="A2823" t="s">
        <v>3841</v>
      </c>
    </row>
    <row r="2824" spans="1:1" x14ac:dyDescent="0.25">
      <c r="A2824" t="s">
        <v>4291</v>
      </c>
    </row>
    <row r="2825" spans="1:1" x14ac:dyDescent="0.25">
      <c r="A2825" t="s">
        <v>3842</v>
      </c>
    </row>
    <row r="2826" spans="1:1" x14ac:dyDescent="0.25">
      <c r="A2826" t="s">
        <v>4291</v>
      </c>
    </row>
    <row r="2827" spans="1:1" x14ac:dyDescent="0.25">
      <c r="A2827" t="s">
        <v>3843</v>
      </c>
    </row>
    <row r="2828" spans="1:1" x14ac:dyDescent="0.25">
      <c r="A2828" t="s">
        <v>4291</v>
      </c>
    </row>
    <row r="2829" spans="1:1" x14ac:dyDescent="0.25">
      <c r="A2829" t="s">
        <v>842</v>
      </c>
    </row>
    <row r="2830" spans="1:1" x14ac:dyDescent="0.25">
      <c r="A2830" t="s">
        <v>1143</v>
      </c>
    </row>
    <row r="2831" spans="1:1" x14ac:dyDescent="0.25">
      <c r="A2831" t="s">
        <v>4426</v>
      </c>
    </row>
    <row r="2832" spans="1:1" x14ac:dyDescent="0.25">
      <c r="A2832" t="s">
        <v>2395</v>
      </c>
    </row>
    <row r="2833" spans="1:1" x14ac:dyDescent="0.25">
      <c r="A2833" t="s">
        <v>2396</v>
      </c>
    </row>
    <row r="2834" spans="1:1" x14ac:dyDescent="0.25">
      <c r="A2834" t="s">
        <v>2397</v>
      </c>
    </row>
    <row r="2835" spans="1:1" x14ac:dyDescent="0.25">
      <c r="A2835" t="s">
        <v>2398</v>
      </c>
    </row>
    <row r="2836" spans="1:1" x14ac:dyDescent="0.25">
      <c r="A2836" t="s">
        <v>2399</v>
      </c>
    </row>
    <row r="2837" spans="1:1" x14ac:dyDescent="0.25">
      <c r="A2837" t="s">
        <v>3844</v>
      </c>
    </row>
    <row r="2838" spans="1:1" x14ac:dyDescent="0.25">
      <c r="A2838" t="s">
        <v>4291</v>
      </c>
    </row>
    <row r="2839" spans="1:1" x14ac:dyDescent="0.25">
      <c r="A2839" t="s">
        <v>3845</v>
      </c>
    </row>
    <row r="2840" spans="1:1" x14ac:dyDescent="0.25">
      <c r="A2840" t="s">
        <v>4291</v>
      </c>
    </row>
    <row r="2841" spans="1:1" x14ac:dyDescent="0.25">
      <c r="A2841" t="s">
        <v>3846</v>
      </c>
    </row>
    <row r="2842" spans="1:1" x14ac:dyDescent="0.25">
      <c r="A2842" t="s">
        <v>4291</v>
      </c>
    </row>
    <row r="2843" spans="1:1" x14ac:dyDescent="0.25">
      <c r="A2843" t="s">
        <v>843</v>
      </c>
    </row>
    <row r="2844" spans="1:1" x14ac:dyDescent="0.25">
      <c r="A2844" t="s">
        <v>1144</v>
      </c>
    </row>
    <row r="2845" spans="1:1" x14ac:dyDescent="0.25">
      <c r="A2845" t="s">
        <v>4426</v>
      </c>
    </row>
    <row r="2846" spans="1:1" x14ac:dyDescent="0.25">
      <c r="A2846" t="s">
        <v>2400</v>
      </c>
    </row>
    <row r="2847" spans="1:1" x14ac:dyDescent="0.25">
      <c r="A2847" t="s">
        <v>2401</v>
      </c>
    </row>
    <row r="2848" spans="1:1" x14ac:dyDescent="0.25">
      <c r="A2848" t="s">
        <v>2402</v>
      </c>
    </row>
    <row r="2849" spans="1:1" x14ac:dyDescent="0.25">
      <c r="A2849" t="s">
        <v>2403</v>
      </c>
    </row>
    <row r="2850" spans="1:1" x14ac:dyDescent="0.25">
      <c r="A2850" t="s">
        <v>2404</v>
      </c>
    </row>
    <row r="2851" spans="1:1" x14ac:dyDescent="0.25">
      <c r="A2851" t="s">
        <v>3847</v>
      </c>
    </row>
    <row r="2852" spans="1:1" x14ac:dyDescent="0.25">
      <c r="A2852" t="s">
        <v>4291</v>
      </c>
    </row>
    <row r="2853" spans="1:1" x14ac:dyDescent="0.25">
      <c r="A2853" t="s">
        <v>3848</v>
      </c>
    </row>
    <row r="2854" spans="1:1" x14ac:dyDescent="0.25">
      <c r="A2854" t="s">
        <v>4291</v>
      </c>
    </row>
    <row r="2855" spans="1:1" x14ac:dyDescent="0.25">
      <c r="A2855" t="s">
        <v>3849</v>
      </c>
    </row>
    <row r="2856" spans="1:1" x14ac:dyDescent="0.25">
      <c r="A2856" t="s">
        <v>4291</v>
      </c>
    </row>
    <row r="2857" spans="1:1" x14ac:dyDescent="0.25">
      <c r="A2857" t="s">
        <v>844</v>
      </c>
    </row>
    <row r="2858" spans="1:1" x14ac:dyDescent="0.25">
      <c r="A2858" t="s">
        <v>1145</v>
      </c>
    </row>
    <row r="2859" spans="1:1" x14ac:dyDescent="0.25">
      <c r="A2859" t="s">
        <v>4426</v>
      </c>
    </row>
    <row r="2860" spans="1:1" x14ac:dyDescent="0.25">
      <c r="A2860" t="s">
        <v>2405</v>
      </c>
    </row>
    <row r="2861" spans="1:1" x14ac:dyDescent="0.25">
      <c r="A2861" t="s">
        <v>2406</v>
      </c>
    </row>
    <row r="2862" spans="1:1" x14ac:dyDescent="0.25">
      <c r="A2862" t="s">
        <v>2407</v>
      </c>
    </row>
    <row r="2863" spans="1:1" x14ac:dyDescent="0.25">
      <c r="A2863" t="s">
        <v>2408</v>
      </c>
    </row>
    <row r="2864" spans="1:1" x14ac:dyDescent="0.25">
      <c r="A2864" t="s">
        <v>2409</v>
      </c>
    </row>
    <row r="2865" spans="1:1" x14ac:dyDescent="0.25">
      <c r="A2865" t="s">
        <v>3850</v>
      </c>
    </row>
    <row r="2866" spans="1:1" x14ac:dyDescent="0.25">
      <c r="A2866" t="s">
        <v>4291</v>
      </c>
    </row>
    <row r="2867" spans="1:1" x14ac:dyDescent="0.25">
      <c r="A2867" t="s">
        <v>3851</v>
      </c>
    </row>
    <row r="2868" spans="1:1" x14ac:dyDescent="0.25">
      <c r="A2868" t="s">
        <v>4291</v>
      </c>
    </row>
    <row r="2869" spans="1:1" x14ac:dyDescent="0.25">
      <c r="A2869" t="s">
        <v>3852</v>
      </c>
    </row>
    <row r="2870" spans="1:1" x14ac:dyDescent="0.25">
      <c r="A2870" t="s">
        <v>4291</v>
      </c>
    </row>
    <row r="2871" spans="1:1" x14ac:dyDescent="0.25">
      <c r="A2871" t="s">
        <v>845</v>
      </c>
    </row>
    <row r="2872" spans="1:1" x14ac:dyDescent="0.25">
      <c r="A2872" t="s">
        <v>1146</v>
      </c>
    </row>
    <row r="2873" spans="1:1" x14ac:dyDescent="0.25">
      <c r="A2873" t="s">
        <v>4426</v>
      </c>
    </row>
    <row r="2874" spans="1:1" x14ac:dyDescent="0.25">
      <c r="A2874" t="s">
        <v>2410</v>
      </c>
    </row>
    <row r="2875" spans="1:1" x14ac:dyDescent="0.25">
      <c r="A2875" t="s">
        <v>2411</v>
      </c>
    </row>
    <row r="2876" spans="1:1" x14ac:dyDescent="0.25">
      <c r="A2876" t="s">
        <v>2412</v>
      </c>
    </row>
    <row r="2877" spans="1:1" x14ac:dyDescent="0.25">
      <c r="A2877" t="s">
        <v>2413</v>
      </c>
    </row>
    <row r="2878" spans="1:1" x14ac:dyDescent="0.25">
      <c r="A2878" t="s">
        <v>2414</v>
      </c>
    </row>
    <row r="2879" spans="1:1" x14ac:dyDescent="0.25">
      <c r="A2879" t="s">
        <v>3853</v>
      </c>
    </row>
    <row r="2880" spans="1:1" x14ac:dyDescent="0.25">
      <c r="A2880" t="s">
        <v>4291</v>
      </c>
    </row>
    <row r="2881" spans="1:1" x14ac:dyDescent="0.25">
      <c r="A2881" t="s">
        <v>3854</v>
      </c>
    </row>
    <row r="2882" spans="1:1" x14ac:dyDescent="0.25">
      <c r="A2882" t="s">
        <v>4291</v>
      </c>
    </row>
    <row r="2883" spans="1:1" x14ac:dyDescent="0.25">
      <c r="A2883" t="s">
        <v>3855</v>
      </c>
    </row>
    <row r="2884" spans="1:1" x14ac:dyDescent="0.25">
      <c r="A2884" t="s">
        <v>4291</v>
      </c>
    </row>
    <row r="2885" spans="1:1" x14ac:dyDescent="0.25">
      <c r="A2885" t="s">
        <v>846</v>
      </c>
    </row>
    <row r="2886" spans="1:1" x14ac:dyDescent="0.25">
      <c r="A2886" t="s">
        <v>1147</v>
      </c>
    </row>
    <row r="2887" spans="1:1" x14ac:dyDescent="0.25">
      <c r="A2887" t="s">
        <v>4426</v>
      </c>
    </row>
    <row r="2888" spans="1:1" x14ac:dyDescent="0.25">
      <c r="A2888" t="s">
        <v>2415</v>
      </c>
    </row>
    <row r="2889" spans="1:1" x14ac:dyDescent="0.25">
      <c r="A2889" t="s">
        <v>2416</v>
      </c>
    </row>
    <row r="2890" spans="1:1" x14ac:dyDescent="0.25">
      <c r="A2890" t="s">
        <v>2417</v>
      </c>
    </row>
    <row r="2891" spans="1:1" x14ac:dyDescent="0.25">
      <c r="A2891" t="s">
        <v>2418</v>
      </c>
    </row>
    <row r="2892" spans="1:1" x14ac:dyDescent="0.25">
      <c r="A2892" t="s">
        <v>2419</v>
      </c>
    </row>
    <row r="2893" spans="1:1" x14ac:dyDescent="0.25">
      <c r="A2893" t="s">
        <v>3856</v>
      </c>
    </row>
    <row r="2894" spans="1:1" x14ac:dyDescent="0.25">
      <c r="A2894" t="s">
        <v>4291</v>
      </c>
    </row>
    <row r="2895" spans="1:1" x14ac:dyDescent="0.25">
      <c r="A2895" t="s">
        <v>3857</v>
      </c>
    </row>
    <row r="2896" spans="1:1" x14ac:dyDescent="0.25">
      <c r="A2896" t="s">
        <v>4291</v>
      </c>
    </row>
    <row r="2897" spans="1:1" x14ac:dyDescent="0.25">
      <c r="A2897" t="s">
        <v>3858</v>
      </c>
    </row>
    <row r="2898" spans="1:1" x14ac:dyDescent="0.25">
      <c r="A2898" t="s">
        <v>4291</v>
      </c>
    </row>
    <row r="2899" spans="1:1" x14ac:dyDescent="0.25">
      <c r="A2899" t="s">
        <v>847</v>
      </c>
    </row>
    <row r="2900" spans="1:1" x14ac:dyDescent="0.25">
      <c r="A2900" t="s">
        <v>1148</v>
      </c>
    </row>
    <row r="2901" spans="1:1" x14ac:dyDescent="0.25">
      <c r="A2901" t="s">
        <v>4291</v>
      </c>
    </row>
    <row r="2902" spans="1:1" x14ac:dyDescent="0.25">
      <c r="A2902" t="s">
        <v>2420</v>
      </c>
    </row>
    <row r="2903" spans="1:1" x14ac:dyDescent="0.25">
      <c r="A2903" t="s">
        <v>2421</v>
      </c>
    </row>
    <row r="2904" spans="1:1" x14ac:dyDescent="0.25">
      <c r="A2904" t="s">
        <v>2422</v>
      </c>
    </row>
    <row r="2905" spans="1:1" x14ac:dyDescent="0.25">
      <c r="A2905" t="s">
        <v>2423</v>
      </c>
    </row>
    <row r="2906" spans="1:1" x14ac:dyDescent="0.25">
      <c r="A2906" t="s">
        <v>2424</v>
      </c>
    </row>
    <row r="2907" spans="1:1" x14ac:dyDescent="0.25">
      <c r="A2907" t="s">
        <v>3859</v>
      </c>
    </row>
    <row r="2908" spans="1:1" x14ac:dyDescent="0.25">
      <c r="A2908" t="s">
        <v>4291</v>
      </c>
    </row>
    <row r="2909" spans="1:1" x14ac:dyDescent="0.25">
      <c r="A2909" t="s">
        <v>3860</v>
      </c>
    </row>
    <row r="2910" spans="1:1" x14ac:dyDescent="0.25">
      <c r="A2910" t="s">
        <v>4291</v>
      </c>
    </row>
    <row r="2911" spans="1:1" x14ac:dyDescent="0.25">
      <c r="A2911" t="s">
        <v>3861</v>
      </c>
    </row>
    <row r="2912" spans="1:1" x14ac:dyDescent="0.25">
      <c r="A2912" t="s">
        <v>4291</v>
      </c>
    </row>
    <row r="2913" spans="1:1" x14ac:dyDescent="0.25">
      <c r="A2913" t="s">
        <v>912</v>
      </c>
    </row>
    <row r="2914" spans="1:1" x14ac:dyDescent="0.25">
      <c r="A2914" t="s">
        <v>1149</v>
      </c>
    </row>
    <row r="2915" spans="1:1" x14ac:dyDescent="0.25">
      <c r="A2915" t="s">
        <v>4291</v>
      </c>
    </row>
    <row r="2916" spans="1:1" x14ac:dyDescent="0.25">
      <c r="A2916" t="s">
        <v>2425</v>
      </c>
    </row>
    <row r="2917" spans="1:1" x14ac:dyDescent="0.25">
      <c r="A2917" t="s">
        <v>2426</v>
      </c>
    </row>
    <row r="2918" spans="1:1" x14ac:dyDescent="0.25">
      <c r="A2918" t="s">
        <v>2427</v>
      </c>
    </row>
    <row r="2919" spans="1:1" x14ac:dyDescent="0.25">
      <c r="A2919" t="s">
        <v>2428</v>
      </c>
    </row>
    <row r="2920" spans="1:1" x14ac:dyDescent="0.25">
      <c r="A2920" t="s">
        <v>2429</v>
      </c>
    </row>
    <row r="2921" spans="1:1" x14ac:dyDescent="0.25">
      <c r="A2921" t="s">
        <v>3862</v>
      </c>
    </row>
    <row r="2922" spans="1:1" x14ac:dyDescent="0.25">
      <c r="A2922" t="s">
        <v>4291</v>
      </c>
    </row>
    <row r="2923" spans="1:1" x14ac:dyDescent="0.25">
      <c r="A2923" t="s">
        <v>3863</v>
      </c>
    </row>
    <row r="2924" spans="1:1" x14ac:dyDescent="0.25">
      <c r="A2924" t="s">
        <v>4291</v>
      </c>
    </row>
    <row r="2925" spans="1:1" x14ac:dyDescent="0.25">
      <c r="A2925" t="s">
        <v>3864</v>
      </c>
    </row>
    <row r="2926" spans="1:1" x14ac:dyDescent="0.25">
      <c r="A2926" t="s">
        <v>4291</v>
      </c>
    </row>
    <row r="2927" spans="1:1" x14ac:dyDescent="0.25">
      <c r="A2927" t="s">
        <v>913</v>
      </c>
    </row>
    <row r="2928" spans="1:1" x14ac:dyDescent="0.25">
      <c r="A2928" t="s">
        <v>1150</v>
      </c>
    </row>
    <row r="2929" spans="1:1" x14ac:dyDescent="0.25">
      <c r="A2929" t="s">
        <v>4291</v>
      </c>
    </row>
    <row r="2930" spans="1:1" x14ac:dyDescent="0.25">
      <c r="A2930" t="s">
        <v>2430</v>
      </c>
    </row>
    <row r="2931" spans="1:1" x14ac:dyDescent="0.25">
      <c r="A2931" t="s">
        <v>2431</v>
      </c>
    </row>
    <row r="2932" spans="1:1" x14ac:dyDescent="0.25">
      <c r="A2932" t="s">
        <v>2432</v>
      </c>
    </row>
    <row r="2933" spans="1:1" x14ac:dyDescent="0.25">
      <c r="A2933" t="s">
        <v>2433</v>
      </c>
    </row>
    <row r="2934" spans="1:1" x14ac:dyDescent="0.25">
      <c r="A2934" t="s">
        <v>2434</v>
      </c>
    </row>
    <row r="2935" spans="1:1" x14ac:dyDescent="0.25">
      <c r="A2935" t="s">
        <v>3865</v>
      </c>
    </row>
    <row r="2936" spans="1:1" x14ac:dyDescent="0.25">
      <c r="A2936" t="s">
        <v>4291</v>
      </c>
    </row>
    <row r="2937" spans="1:1" x14ac:dyDescent="0.25">
      <c r="A2937" t="s">
        <v>3866</v>
      </c>
    </row>
    <row r="2938" spans="1:1" x14ac:dyDescent="0.25">
      <c r="A2938" t="s">
        <v>4291</v>
      </c>
    </row>
    <row r="2939" spans="1:1" x14ac:dyDescent="0.25">
      <c r="A2939" t="s">
        <v>3867</v>
      </c>
    </row>
    <row r="2940" spans="1:1" x14ac:dyDescent="0.25">
      <c r="A2940" t="s">
        <v>4291</v>
      </c>
    </row>
    <row r="2941" spans="1:1" x14ac:dyDescent="0.25">
      <c r="A2941" t="s">
        <v>914</v>
      </c>
    </row>
    <row r="2942" spans="1:1" x14ac:dyDescent="0.25">
      <c r="A2942" t="s">
        <v>1151</v>
      </c>
    </row>
    <row r="2943" spans="1:1" x14ac:dyDescent="0.25">
      <c r="A2943" t="s">
        <v>4291</v>
      </c>
    </row>
    <row r="2944" spans="1:1" x14ac:dyDescent="0.25">
      <c r="A2944" t="s">
        <v>2435</v>
      </c>
    </row>
    <row r="2945" spans="1:1" x14ac:dyDescent="0.25">
      <c r="A2945" t="s">
        <v>2436</v>
      </c>
    </row>
    <row r="2946" spans="1:1" x14ac:dyDescent="0.25">
      <c r="A2946" t="s">
        <v>2437</v>
      </c>
    </row>
    <row r="2947" spans="1:1" x14ac:dyDescent="0.25">
      <c r="A2947" t="s">
        <v>2438</v>
      </c>
    </row>
    <row r="2948" spans="1:1" x14ac:dyDescent="0.25">
      <c r="A2948" t="s">
        <v>2439</v>
      </c>
    </row>
    <row r="2949" spans="1:1" x14ac:dyDescent="0.25">
      <c r="A2949" t="s">
        <v>3868</v>
      </c>
    </row>
    <row r="2950" spans="1:1" x14ac:dyDescent="0.25">
      <c r="A2950" t="s">
        <v>4291</v>
      </c>
    </row>
    <row r="2951" spans="1:1" x14ac:dyDescent="0.25">
      <c r="A2951" t="s">
        <v>3869</v>
      </c>
    </row>
    <row r="2952" spans="1:1" x14ac:dyDescent="0.25">
      <c r="A2952" t="s">
        <v>4291</v>
      </c>
    </row>
    <row r="2953" spans="1:1" x14ac:dyDescent="0.25">
      <c r="A2953" t="s">
        <v>3870</v>
      </c>
    </row>
    <row r="2954" spans="1:1" x14ac:dyDescent="0.25">
      <c r="A2954" t="s">
        <v>4291</v>
      </c>
    </row>
    <row r="2955" spans="1:1" x14ac:dyDescent="0.25">
      <c r="A2955" t="s">
        <v>915</v>
      </c>
    </row>
    <row r="2956" spans="1:1" x14ac:dyDescent="0.25">
      <c r="A2956" t="s">
        <v>1152</v>
      </c>
    </row>
    <row r="2957" spans="1:1" x14ac:dyDescent="0.25">
      <c r="A2957" t="s">
        <v>4291</v>
      </c>
    </row>
    <row r="2958" spans="1:1" x14ac:dyDescent="0.25">
      <c r="A2958" t="s">
        <v>2440</v>
      </c>
    </row>
    <row r="2959" spans="1:1" x14ac:dyDescent="0.25">
      <c r="A2959" t="s">
        <v>2441</v>
      </c>
    </row>
    <row r="2960" spans="1:1" x14ac:dyDescent="0.25">
      <c r="A2960" t="s">
        <v>2442</v>
      </c>
    </row>
    <row r="2961" spans="1:1" x14ac:dyDescent="0.25">
      <c r="A2961" t="s">
        <v>2443</v>
      </c>
    </row>
    <row r="2962" spans="1:1" x14ac:dyDescent="0.25">
      <c r="A2962" t="s">
        <v>2444</v>
      </c>
    </row>
    <row r="2963" spans="1:1" x14ac:dyDescent="0.25">
      <c r="A2963" t="s">
        <v>3871</v>
      </c>
    </row>
    <row r="2964" spans="1:1" x14ac:dyDescent="0.25">
      <c r="A2964" t="s">
        <v>4291</v>
      </c>
    </row>
    <row r="2965" spans="1:1" x14ac:dyDescent="0.25">
      <c r="A2965" t="s">
        <v>3872</v>
      </c>
    </row>
    <row r="2966" spans="1:1" x14ac:dyDescent="0.25">
      <c r="A2966" t="s">
        <v>4291</v>
      </c>
    </row>
    <row r="2967" spans="1:1" x14ac:dyDescent="0.25">
      <c r="A2967" t="s">
        <v>3873</v>
      </c>
    </row>
    <row r="2968" spans="1:1" x14ac:dyDescent="0.25">
      <c r="A2968" t="s">
        <v>4291</v>
      </c>
    </row>
    <row r="2969" spans="1:1" x14ac:dyDescent="0.25">
      <c r="A2969" t="s">
        <v>916</v>
      </c>
    </row>
    <row r="2970" spans="1:1" x14ac:dyDescent="0.25">
      <c r="A2970" t="s">
        <v>1153</v>
      </c>
    </row>
    <row r="2971" spans="1:1" x14ac:dyDescent="0.25">
      <c r="A2971" t="s">
        <v>4464</v>
      </c>
    </row>
    <row r="2972" spans="1:1" x14ac:dyDescent="0.25">
      <c r="A2972" t="s">
        <v>2445</v>
      </c>
    </row>
    <row r="2973" spans="1:1" x14ac:dyDescent="0.25">
      <c r="A2973" t="s">
        <v>2446</v>
      </c>
    </row>
    <row r="2974" spans="1:1" x14ac:dyDescent="0.25">
      <c r="A2974" t="s">
        <v>2447</v>
      </c>
    </row>
    <row r="2975" spans="1:1" x14ac:dyDescent="0.25">
      <c r="A2975" t="s">
        <v>2448</v>
      </c>
    </row>
    <row r="2976" spans="1:1" x14ac:dyDescent="0.25">
      <c r="A2976" t="s">
        <v>2449</v>
      </c>
    </row>
    <row r="2977" spans="1:1" x14ac:dyDescent="0.25">
      <c r="A2977" t="s">
        <v>3874</v>
      </c>
    </row>
    <row r="2978" spans="1:1" x14ac:dyDescent="0.25">
      <c r="A2978" t="s">
        <v>4291</v>
      </c>
    </row>
    <row r="2979" spans="1:1" x14ac:dyDescent="0.25">
      <c r="A2979" t="s">
        <v>3875</v>
      </c>
    </row>
    <row r="2980" spans="1:1" x14ac:dyDescent="0.25">
      <c r="A2980" t="s">
        <v>4291</v>
      </c>
    </row>
    <row r="2981" spans="1:1" x14ac:dyDescent="0.25">
      <c r="A2981" t="s">
        <v>3876</v>
      </c>
    </row>
    <row r="2982" spans="1:1" x14ac:dyDescent="0.25">
      <c r="A2982" t="s">
        <v>4291</v>
      </c>
    </row>
    <row r="2983" spans="1:1" x14ac:dyDescent="0.25">
      <c r="A2983" t="s">
        <v>917</v>
      </c>
    </row>
    <row r="2984" spans="1:1" x14ac:dyDescent="0.25">
      <c r="A2984" t="s">
        <v>1154</v>
      </c>
    </row>
    <row r="2985" spans="1:1" x14ac:dyDescent="0.25">
      <c r="A2985" t="s">
        <v>4465</v>
      </c>
    </row>
    <row r="2986" spans="1:1" x14ac:dyDescent="0.25">
      <c r="A2986" t="s">
        <v>2450</v>
      </c>
    </row>
    <row r="2987" spans="1:1" x14ac:dyDescent="0.25">
      <c r="A2987" t="s">
        <v>2451</v>
      </c>
    </row>
    <row r="2988" spans="1:1" x14ac:dyDescent="0.25">
      <c r="A2988" t="s">
        <v>2452</v>
      </c>
    </row>
    <row r="2989" spans="1:1" x14ac:dyDescent="0.25">
      <c r="A2989" t="s">
        <v>2453</v>
      </c>
    </row>
    <row r="2990" spans="1:1" x14ac:dyDescent="0.25">
      <c r="A2990" t="s">
        <v>2454</v>
      </c>
    </row>
    <row r="2991" spans="1:1" x14ac:dyDescent="0.25">
      <c r="A2991" t="s">
        <v>3877</v>
      </c>
    </row>
    <row r="2992" spans="1:1" x14ac:dyDescent="0.25">
      <c r="A2992" t="s">
        <v>4291</v>
      </c>
    </row>
    <row r="2993" spans="1:1" x14ac:dyDescent="0.25">
      <c r="A2993" t="s">
        <v>3878</v>
      </c>
    </row>
    <row r="2994" spans="1:1" x14ac:dyDescent="0.25">
      <c r="A2994" t="s">
        <v>4291</v>
      </c>
    </row>
    <row r="2995" spans="1:1" x14ac:dyDescent="0.25">
      <c r="A2995" t="s">
        <v>3879</v>
      </c>
    </row>
    <row r="2996" spans="1:1" x14ac:dyDescent="0.25">
      <c r="A2996" t="s">
        <v>4291</v>
      </c>
    </row>
    <row r="2997" spans="1:1" x14ac:dyDescent="0.25">
      <c r="A2997" t="s">
        <v>918</v>
      </c>
    </row>
    <row r="2998" spans="1:1" x14ac:dyDescent="0.25">
      <c r="A2998" t="s">
        <v>1155</v>
      </c>
    </row>
    <row r="2999" spans="1:1" x14ac:dyDescent="0.25">
      <c r="A2999" t="s">
        <v>4466</v>
      </c>
    </row>
    <row r="3000" spans="1:1" x14ac:dyDescent="0.25">
      <c r="A3000" t="s">
        <v>2455</v>
      </c>
    </row>
    <row r="3001" spans="1:1" x14ac:dyDescent="0.25">
      <c r="A3001" t="s">
        <v>2456</v>
      </c>
    </row>
    <row r="3002" spans="1:1" x14ac:dyDescent="0.25">
      <c r="A3002" t="s">
        <v>2457</v>
      </c>
    </row>
    <row r="3003" spans="1:1" x14ac:dyDescent="0.25">
      <c r="A3003" t="s">
        <v>2458</v>
      </c>
    </row>
    <row r="3004" spans="1:1" x14ac:dyDescent="0.25">
      <c r="A3004" t="s">
        <v>2459</v>
      </c>
    </row>
    <row r="3005" spans="1:1" x14ac:dyDescent="0.25">
      <c r="A3005" t="s">
        <v>3880</v>
      </c>
    </row>
    <row r="3006" spans="1:1" x14ac:dyDescent="0.25">
      <c r="A3006" t="s">
        <v>4291</v>
      </c>
    </row>
    <row r="3007" spans="1:1" x14ac:dyDescent="0.25">
      <c r="A3007" t="s">
        <v>3881</v>
      </c>
    </row>
    <row r="3008" spans="1:1" x14ac:dyDescent="0.25">
      <c r="A3008" t="s">
        <v>4291</v>
      </c>
    </row>
    <row r="3009" spans="1:1" x14ac:dyDescent="0.25">
      <c r="A3009" t="s">
        <v>3882</v>
      </c>
    </row>
    <row r="3010" spans="1:1" x14ac:dyDescent="0.25">
      <c r="A3010" t="s">
        <v>4291</v>
      </c>
    </row>
    <row r="3011" spans="1:1" x14ac:dyDescent="0.25">
      <c r="A3011" t="s">
        <v>919</v>
      </c>
    </row>
    <row r="3012" spans="1:1" x14ac:dyDescent="0.25">
      <c r="A3012" t="s">
        <v>1156</v>
      </c>
    </row>
    <row r="3013" spans="1:1" x14ac:dyDescent="0.25">
      <c r="A3013" t="s">
        <v>4467</v>
      </c>
    </row>
    <row r="3014" spans="1:1" x14ac:dyDescent="0.25">
      <c r="A3014" t="s">
        <v>2460</v>
      </c>
    </row>
    <row r="3015" spans="1:1" x14ac:dyDescent="0.25">
      <c r="A3015" t="s">
        <v>2461</v>
      </c>
    </row>
    <row r="3016" spans="1:1" x14ac:dyDescent="0.25">
      <c r="A3016" t="s">
        <v>2462</v>
      </c>
    </row>
    <row r="3017" spans="1:1" x14ac:dyDescent="0.25">
      <c r="A3017" t="s">
        <v>2463</v>
      </c>
    </row>
    <row r="3018" spans="1:1" x14ac:dyDescent="0.25">
      <c r="A3018" t="s">
        <v>2464</v>
      </c>
    </row>
    <row r="3019" spans="1:1" x14ac:dyDescent="0.25">
      <c r="A3019" t="s">
        <v>3883</v>
      </c>
    </row>
    <row r="3020" spans="1:1" x14ac:dyDescent="0.25">
      <c r="A3020" t="s">
        <v>4291</v>
      </c>
    </row>
    <row r="3021" spans="1:1" x14ac:dyDescent="0.25">
      <c r="A3021" t="s">
        <v>3884</v>
      </c>
    </row>
    <row r="3022" spans="1:1" x14ac:dyDescent="0.25">
      <c r="A3022" t="s">
        <v>4291</v>
      </c>
    </row>
    <row r="3023" spans="1:1" x14ac:dyDescent="0.25">
      <c r="A3023" t="s">
        <v>3885</v>
      </c>
    </row>
    <row r="3024" spans="1:1" x14ac:dyDescent="0.25">
      <c r="A3024" t="s">
        <v>4291</v>
      </c>
    </row>
    <row r="3025" spans="1:1" x14ac:dyDescent="0.25">
      <c r="A3025" t="s">
        <v>920</v>
      </c>
    </row>
    <row r="3026" spans="1:1" x14ac:dyDescent="0.25">
      <c r="A3026" t="s">
        <v>1157</v>
      </c>
    </row>
    <row r="3027" spans="1:1" x14ac:dyDescent="0.25">
      <c r="A3027" t="s">
        <v>4468</v>
      </c>
    </row>
    <row r="3028" spans="1:1" x14ac:dyDescent="0.25">
      <c r="A3028" t="s">
        <v>2465</v>
      </c>
    </row>
    <row r="3029" spans="1:1" x14ac:dyDescent="0.25">
      <c r="A3029" t="s">
        <v>2466</v>
      </c>
    </row>
    <row r="3030" spans="1:1" x14ac:dyDescent="0.25">
      <c r="A3030" t="s">
        <v>2467</v>
      </c>
    </row>
    <row r="3031" spans="1:1" x14ac:dyDescent="0.25">
      <c r="A3031" t="s">
        <v>2468</v>
      </c>
    </row>
    <row r="3032" spans="1:1" x14ac:dyDescent="0.25">
      <c r="A3032" t="s">
        <v>2469</v>
      </c>
    </row>
    <row r="3033" spans="1:1" x14ac:dyDescent="0.25">
      <c r="A3033" t="s">
        <v>3886</v>
      </c>
    </row>
    <row r="3034" spans="1:1" x14ac:dyDescent="0.25">
      <c r="A3034" t="s">
        <v>4291</v>
      </c>
    </row>
    <row r="3035" spans="1:1" x14ac:dyDescent="0.25">
      <c r="A3035" t="s">
        <v>3887</v>
      </c>
    </row>
    <row r="3036" spans="1:1" x14ac:dyDescent="0.25">
      <c r="A3036" t="s">
        <v>4291</v>
      </c>
    </row>
    <row r="3037" spans="1:1" x14ac:dyDescent="0.25">
      <c r="A3037" t="s">
        <v>3888</v>
      </c>
    </row>
    <row r="3038" spans="1:1" x14ac:dyDescent="0.25">
      <c r="A3038" t="s">
        <v>4291</v>
      </c>
    </row>
    <row r="3039" spans="1:1" x14ac:dyDescent="0.25">
      <c r="A3039" t="s">
        <v>921</v>
      </c>
    </row>
    <row r="3040" spans="1:1" x14ac:dyDescent="0.25">
      <c r="A3040" t="s">
        <v>1158</v>
      </c>
    </row>
    <row r="3041" spans="1:1" x14ac:dyDescent="0.25">
      <c r="A3041" t="s">
        <v>4469</v>
      </c>
    </row>
    <row r="3042" spans="1:1" x14ac:dyDescent="0.25">
      <c r="A3042" t="s">
        <v>2470</v>
      </c>
    </row>
    <row r="3043" spans="1:1" x14ac:dyDescent="0.25">
      <c r="A3043" t="s">
        <v>2471</v>
      </c>
    </row>
    <row r="3044" spans="1:1" x14ac:dyDescent="0.25">
      <c r="A3044" t="s">
        <v>2472</v>
      </c>
    </row>
    <row r="3045" spans="1:1" x14ac:dyDescent="0.25">
      <c r="A3045" t="s">
        <v>2473</v>
      </c>
    </row>
    <row r="3046" spans="1:1" x14ac:dyDescent="0.25">
      <c r="A3046" t="s">
        <v>2474</v>
      </c>
    </row>
    <row r="3047" spans="1:1" x14ac:dyDescent="0.25">
      <c r="A3047" t="s">
        <v>3889</v>
      </c>
    </row>
    <row r="3048" spans="1:1" x14ac:dyDescent="0.25">
      <c r="A3048" t="s">
        <v>4291</v>
      </c>
    </row>
    <row r="3049" spans="1:1" x14ac:dyDescent="0.25">
      <c r="A3049" t="s">
        <v>3890</v>
      </c>
    </row>
    <row r="3050" spans="1:1" x14ac:dyDescent="0.25">
      <c r="A3050" t="s">
        <v>4291</v>
      </c>
    </row>
    <row r="3051" spans="1:1" x14ac:dyDescent="0.25">
      <c r="A3051" t="s">
        <v>3891</v>
      </c>
    </row>
    <row r="3052" spans="1:1" x14ac:dyDescent="0.25">
      <c r="A3052" t="s">
        <v>4291</v>
      </c>
    </row>
    <row r="3053" spans="1:1" x14ac:dyDescent="0.25">
      <c r="A3053" t="s">
        <v>922</v>
      </c>
    </row>
    <row r="3054" spans="1:1" x14ac:dyDescent="0.25">
      <c r="A3054" t="s">
        <v>1159</v>
      </c>
    </row>
    <row r="3055" spans="1:1" x14ac:dyDescent="0.25">
      <c r="A3055" t="s">
        <v>4470</v>
      </c>
    </row>
    <row r="3056" spans="1:1" x14ac:dyDescent="0.25">
      <c r="A3056" t="s">
        <v>2475</v>
      </c>
    </row>
    <row r="3057" spans="1:1" x14ac:dyDescent="0.25">
      <c r="A3057" t="s">
        <v>2476</v>
      </c>
    </row>
    <row r="3058" spans="1:1" x14ac:dyDescent="0.25">
      <c r="A3058" t="s">
        <v>2477</v>
      </c>
    </row>
    <row r="3059" spans="1:1" x14ac:dyDescent="0.25">
      <c r="A3059" t="s">
        <v>2478</v>
      </c>
    </row>
    <row r="3060" spans="1:1" x14ac:dyDescent="0.25">
      <c r="A3060" t="s">
        <v>2479</v>
      </c>
    </row>
    <row r="3061" spans="1:1" x14ac:dyDescent="0.25">
      <c r="A3061" t="s">
        <v>3892</v>
      </c>
    </row>
    <row r="3062" spans="1:1" x14ac:dyDescent="0.25">
      <c r="A3062" t="s">
        <v>4291</v>
      </c>
    </row>
    <row r="3063" spans="1:1" x14ac:dyDescent="0.25">
      <c r="A3063" t="s">
        <v>3893</v>
      </c>
    </row>
    <row r="3064" spans="1:1" x14ac:dyDescent="0.25">
      <c r="A3064" t="s">
        <v>4291</v>
      </c>
    </row>
    <row r="3065" spans="1:1" x14ac:dyDescent="0.25">
      <c r="A3065" t="s">
        <v>3894</v>
      </c>
    </row>
    <row r="3066" spans="1:1" x14ac:dyDescent="0.25">
      <c r="A3066" t="s">
        <v>4291</v>
      </c>
    </row>
    <row r="3067" spans="1:1" x14ac:dyDescent="0.25">
      <c r="A3067" t="s">
        <v>923</v>
      </c>
    </row>
    <row r="3068" spans="1:1" x14ac:dyDescent="0.25">
      <c r="A3068" t="s">
        <v>1160</v>
      </c>
    </row>
    <row r="3069" spans="1:1" x14ac:dyDescent="0.25">
      <c r="A3069" t="s">
        <v>4471</v>
      </c>
    </row>
    <row r="3070" spans="1:1" x14ac:dyDescent="0.25">
      <c r="A3070" t="s">
        <v>2480</v>
      </c>
    </row>
    <row r="3071" spans="1:1" x14ac:dyDescent="0.25">
      <c r="A3071" t="s">
        <v>2481</v>
      </c>
    </row>
    <row r="3072" spans="1:1" x14ac:dyDescent="0.25">
      <c r="A3072" t="s">
        <v>2482</v>
      </c>
    </row>
    <row r="3073" spans="1:1" x14ac:dyDescent="0.25">
      <c r="A3073" t="s">
        <v>2483</v>
      </c>
    </row>
    <row r="3074" spans="1:1" x14ac:dyDescent="0.25">
      <c r="A3074" t="s">
        <v>2484</v>
      </c>
    </row>
    <row r="3075" spans="1:1" x14ac:dyDescent="0.25">
      <c r="A3075" t="s">
        <v>3895</v>
      </c>
    </row>
    <row r="3076" spans="1:1" x14ac:dyDescent="0.25">
      <c r="A3076" t="s">
        <v>4291</v>
      </c>
    </row>
    <row r="3077" spans="1:1" x14ac:dyDescent="0.25">
      <c r="A3077" t="s">
        <v>3896</v>
      </c>
    </row>
    <row r="3078" spans="1:1" x14ac:dyDescent="0.25">
      <c r="A3078" t="s">
        <v>4291</v>
      </c>
    </row>
    <row r="3079" spans="1:1" x14ac:dyDescent="0.25">
      <c r="A3079" t="s">
        <v>3897</v>
      </c>
    </row>
    <row r="3080" spans="1:1" x14ac:dyDescent="0.25">
      <c r="A3080" t="s">
        <v>4291</v>
      </c>
    </row>
    <row r="3081" spans="1:1" x14ac:dyDescent="0.25">
      <c r="A3081" t="s">
        <v>924</v>
      </c>
    </row>
    <row r="3082" spans="1:1" x14ac:dyDescent="0.25">
      <c r="A3082" t="s">
        <v>1161</v>
      </c>
    </row>
    <row r="3083" spans="1:1" x14ac:dyDescent="0.25">
      <c r="A3083" t="s">
        <v>4472</v>
      </c>
    </row>
    <row r="3084" spans="1:1" x14ac:dyDescent="0.25">
      <c r="A3084" t="s">
        <v>2485</v>
      </c>
    </row>
    <row r="3085" spans="1:1" x14ac:dyDescent="0.25">
      <c r="A3085" t="s">
        <v>2486</v>
      </c>
    </row>
    <row r="3086" spans="1:1" x14ac:dyDescent="0.25">
      <c r="A3086" t="s">
        <v>2487</v>
      </c>
    </row>
    <row r="3087" spans="1:1" x14ac:dyDescent="0.25">
      <c r="A3087" t="s">
        <v>2488</v>
      </c>
    </row>
    <row r="3088" spans="1:1" x14ac:dyDescent="0.25">
      <c r="A3088" t="s">
        <v>2489</v>
      </c>
    </row>
    <row r="3089" spans="1:1" x14ac:dyDescent="0.25">
      <c r="A3089" t="s">
        <v>3898</v>
      </c>
    </row>
    <row r="3090" spans="1:1" x14ac:dyDescent="0.25">
      <c r="A3090" t="s">
        <v>4291</v>
      </c>
    </row>
    <row r="3091" spans="1:1" x14ac:dyDescent="0.25">
      <c r="A3091" t="s">
        <v>3899</v>
      </c>
    </row>
    <row r="3092" spans="1:1" x14ac:dyDescent="0.25">
      <c r="A3092" t="s">
        <v>4291</v>
      </c>
    </row>
    <row r="3093" spans="1:1" x14ac:dyDescent="0.25">
      <c r="A3093" t="s">
        <v>3900</v>
      </c>
    </row>
    <row r="3094" spans="1:1" x14ac:dyDescent="0.25">
      <c r="A3094" t="s">
        <v>4291</v>
      </c>
    </row>
    <row r="3095" spans="1:1" x14ac:dyDescent="0.25">
      <c r="A3095" t="s">
        <v>925</v>
      </c>
    </row>
    <row r="3096" spans="1:1" x14ac:dyDescent="0.25">
      <c r="A3096" t="s">
        <v>1162</v>
      </c>
    </row>
    <row r="3097" spans="1:1" x14ac:dyDescent="0.25">
      <c r="A3097" t="s">
        <v>4473</v>
      </c>
    </row>
    <row r="3098" spans="1:1" x14ac:dyDescent="0.25">
      <c r="A3098" t="s">
        <v>2490</v>
      </c>
    </row>
    <row r="3099" spans="1:1" x14ac:dyDescent="0.25">
      <c r="A3099" t="s">
        <v>2491</v>
      </c>
    </row>
    <row r="3100" spans="1:1" x14ac:dyDescent="0.25">
      <c r="A3100" t="s">
        <v>2492</v>
      </c>
    </row>
    <row r="3101" spans="1:1" x14ac:dyDescent="0.25">
      <c r="A3101" t="s">
        <v>2493</v>
      </c>
    </row>
    <row r="3102" spans="1:1" x14ac:dyDescent="0.25">
      <c r="A3102" t="s">
        <v>2494</v>
      </c>
    </row>
    <row r="3103" spans="1:1" x14ac:dyDescent="0.25">
      <c r="A3103" t="s">
        <v>3901</v>
      </c>
    </row>
    <row r="3104" spans="1:1" x14ac:dyDescent="0.25">
      <c r="A3104" t="s">
        <v>4291</v>
      </c>
    </row>
    <row r="3105" spans="1:1" x14ac:dyDescent="0.25">
      <c r="A3105" t="s">
        <v>3902</v>
      </c>
    </row>
    <row r="3106" spans="1:1" x14ac:dyDescent="0.25">
      <c r="A3106" t="s">
        <v>4291</v>
      </c>
    </row>
    <row r="3107" spans="1:1" x14ac:dyDescent="0.25">
      <c r="A3107" t="s">
        <v>3903</v>
      </c>
    </row>
    <row r="3108" spans="1:1" x14ac:dyDescent="0.25">
      <c r="A3108" t="s">
        <v>4291</v>
      </c>
    </row>
    <row r="3109" spans="1:1" x14ac:dyDescent="0.25">
      <c r="A3109" t="s">
        <v>926</v>
      </c>
    </row>
    <row r="3110" spans="1:1" x14ac:dyDescent="0.25">
      <c r="A3110" t="s">
        <v>1163</v>
      </c>
    </row>
    <row r="3111" spans="1:1" x14ac:dyDescent="0.25">
      <c r="A3111" t="s">
        <v>4474</v>
      </c>
    </row>
    <row r="3112" spans="1:1" x14ac:dyDescent="0.25">
      <c r="A3112" t="s">
        <v>2495</v>
      </c>
    </row>
    <row r="3113" spans="1:1" x14ac:dyDescent="0.25">
      <c r="A3113" t="s">
        <v>2496</v>
      </c>
    </row>
    <row r="3114" spans="1:1" x14ac:dyDescent="0.25">
      <c r="A3114" t="s">
        <v>2497</v>
      </c>
    </row>
    <row r="3115" spans="1:1" x14ac:dyDescent="0.25">
      <c r="A3115" t="s">
        <v>2498</v>
      </c>
    </row>
    <row r="3116" spans="1:1" x14ac:dyDescent="0.25">
      <c r="A3116" t="s">
        <v>2499</v>
      </c>
    </row>
    <row r="3117" spans="1:1" x14ac:dyDescent="0.25">
      <c r="A3117" t="s">
        <v>3904</v>
      </c>
    </row>
    <row r="3118" spans="1:1" x14ac:dyDescent="0.25">
      <c r="A3118" t="s">
        <v>4291</v>
      </c>
    </row>
    <row r="3119" spans="1:1" x14ac:dyDescent="0.25">
      <c r="A3119" t="s">
        <v>3905</v>
      </c>
    </row>
    <row r="3120" spans="1:1" x14ac:dyDescent="0.25">
      <c r="A3120" t="s">
        <v>4291</v>
      </c>
    </row>
    <row r="3121" spans="1:1" x14ac:dyDescent="0.25">
      <c r="A3121" t="s">
        <v>3906</v>
      </c>
    </row>
    <row r="3122" spans="1:1" x14ac:dyDescent="0.25">
      <c r="A3122" t="s">
        <v>4291</v>
      </c>
    </row>
    <row r="3123" spans="1:1" x14ac:dyDescent="0.25">
      <c r="A3123" t="s">
        <v>927</v>
      </c>
    </row>
    <row r="3124" spans="1:1" x14ac:dyDescent="0.25">
      <c r="A3124" t="s">
        <v>1164</v>
      </c>
    </row>
    <row r="3125" spans="1:1" x14ac:dyDescent="0.25">
      <c r="A3125" t="s">
        <v>4475</v>
      </c>
    </row>
    <row r="3126" spans="1:1" x14ac:dyDescent="0.25">
      <c r="A3126" t="s">
        <v>2500</v>
      </c>
    </row>
    <row r="3127" spans="1:1" x14ac:dyDescent="0.25">
      <c r="A3127" t="s">
        <v>2501</v>
      </c>
    </row>
    <row r="3128" spans="1:1" x14ac:dyDescent="0.25">
      <c r="A3128" t="s">
        <v>2502</v>
      </c>
    </row>
    <row r="3129" spans="1:1" x14ac:dyDescent="0.25">
      <c r="A3129" t="s">
        <v>2503</v>
      </c>
    </row>
    <row r="3130" spans="1:1" x14ac:dyDescent="0.25">
      <c r="A3130" t="s">
        <v>2504</v>
      </c>
    </row>
    <row r="3131" spans="1:1" x14ac:dyDescent="0.25">
      <c r="A3131" t="s">
        <v>3907</v>
      </c>
    </row>
    <row r="3132" spans="1:1" x14ac:dyDescent="0.25">
      <c r="A3132" t="s">
        <v>4291</v>
      </c>
    </row>
    <row r="3133" spans="1:1" x14ac:dyDescent="0.25">
      <c r="A3133" t="s">
        <v>3908</v>
      </c>
    </row>
    <row r="3134" spans="1:1" x14ac:dyDescent="0.25">
      <c r="A3134" t="s">
        <v>4291</v>
      </c>
    </row>
    <row r="3135" spans="1:1" x14ac:dyDescent="0.25">
      <c r="A3135" t="s">
        <v>3909</v>
      </c>
    </row>
    <row r="3136" spans="1:1" x14ac:dyDescent="0.25">
      <c r="A3136" t="s">
        <v>4291</v>
      </c>
    </row>
    <row r="3137" spans="1:1" x14ac:dyDescent="0.25">
      <c r="A3137" t="s">
        <v>896</v>
      </c>
    </row>
    <row r="3138" spans="1:1" x14ac:dyDescent="0.25">
      <c r="A3138" t="s">
        <v>1165</v>
      </c>
    </row>
    <row r="3139" spans="1:1" x14ac:dyDescent="0.25">
      <c r="A3139" t="s">
        <v>4476</v>
      </c>
    </row>
    <row r="3140" spans="1:1" x14ac:dyDescent="0.25">
      <c r="A3140" t="s">
        <v>2505</v>
      </c>
    </row>
    <row r="3141" spans="1:1" x14ac:dyDescent="0.25">
      <c r="A3141" t="s">
        <v>2506</v>
      </c>
    </row>
    <row r="3142" spans="1:1" x14ac:dyDescent="0.25">
      <c r="A3142" t="s">
        <v>2507</v>
      </c>
    </row>
    <row r="3143" spans="1:1" x14ac:dyDescent="0.25">
      <c r="A3143" t="s">
        <v>2508</v>
      </c>
    </row>
    <row r="3144" spans="1:1" x14ac:dyDescent="0.25">
      <c r="A3144" t="s">
        <v>2509</v>
      </c>
    </row>
    <row r="3145" spans="1:1" x14ac:dyDescent="0.25">
      <c r="A3145" t="s">
        <v>3910</v>
      </c>
    </row>
    <row r="3146" spans="1:1" x14ac:dyDescent="0.25">
      <c r="A3146" t="s">
        <v>4291</v>
      </c>
    </row>
    <row r="3147" spans="1:1" x14ac:dyDescent="0.25">
      <c r="A3147" t="s">
        <v>3911</v>
      </c>
    </row>
    <row r="3148" spans="1:1" x14ac:dyDescent="0.25">
      <c r="A3148" t="s">
        <v>4291</v>
      </c>
    </row>
    <row r="3149" spans="1:1" x14ac:dyDescent="0.25">
      <c r="A3149" t="s">
        <v>3912</v>
      </c>
    </row>
    <row r="3150" spans="1:1" x14ac:dyDescent="0.25">
      <c r="A3150" t="s">
        <v>4291</v>
      </c>
    </row>
    <row r="3151" spans="1:1" x14ac:dyDescent="0.25">
      <c r="A3151" t="s">
        <v>897</v>
      </c>
    </row>
    <row r="3152" spans="1:1" x14ac:dyDescent="0.25">
      <c r="A3152" t="s">
        <v>1166</v>
      </c>
    </row>
    <row r="3153" spans="1:1" x14ac:dyDescent="0.25">
      <c r="A3153" t="s">
        <v>4476</v>
      </c>
    </row>
    <row r="3154" spans="1:1" x14ac:dyDescent="0.25">
      <c r="A3154" t="s">
        <v>2510</v>
      </c>
    </row>
    <row r="3155" spans="1:1" x14ac:dyDescent="0.25">
      <c r="A3155" t="s">
        <v>2511</v>
      </c>
    </row>
    <row r="3156" spans="1:1" x14ac:dyDescent="0.25">
      <c r="A3156" t="s">
        <v>2512</v>
      </c>
    </row>
    <row r="3157" spans="1:1" x14ac:dyDescent="0.25">
      <c r="A3157" t="s">
        <v>2513</v>
      </c>
    </row>
    <row r="3158" spans="1:1" x14ac:dyDescent="0.25">
      <c r="A3158" t="s">
        <v>2514</v>
      </c>
    </row>
    <row r="3159" spans="1:1" x14ac:dyDescent="0.25">
      <c r="A3159" t="s">
        <v>3913</v>
      </c>
    </row>
    <row r="3160" spans="1:1" x14ac:dyDescent="0.25">
      <c r="A3160" t="s">
        <v>4291</v>
      </c>
    </row>
    <row r="3161" spans="1:1" x14ac:dyDescent="0.25">
      <c r="A3161" t="s">
        <v>3914</v>
      </c>
    </row>
    <row r="3162" spans="1:1" x14ac:dyDescent="0.25">
      <c r="A3162" t="s">
        <v>4291</v>
      </c>
    </row>
    <row r="3163" spans="1:1" x14ac:dyDescent="0.25">
      <c r="A3163" t="s">
        <v>3915</v>
      </c>
    </row>
    <row r="3164" spans="1:1" x14ac:dyDescent="0.25">
      <c r="A3164" t="s">
        <v>4291</v>
      </c>
    </row>
    <row r="3165" spans="1:1" x14ac:dyDescent="0.25">
      <c r="A3165" t="s">
        <v>898</v>
      </c>
    </row>
    <row r="3166" spans="1:1" x14ac:dyDescent="0.25">
      <c r="A3166" t="s">
        <v>1167</v>
      </c>
    </row>
    <row r="3167" spans="1:1" x14ac:dyDescent="0.25">
      <c r="A3167" t="s">
        <v>4477</v>
      </c>
    </row>
    <row r="3168" spans="1:1" x14ac:dyDescent="0.25">
      <c r="A3168" t="s">
        <v>2515</v>
      </c>
    </row>
    <row r="3169" spans="1:1" x14ac:dyDescent="0.25">
      <c r="A3169" t="s">
        <v>2516</v>
      </c>
    </row>
    <row r="3170" spans="1:1" x14ac:dyDescent="0.25">
      <c r="A3170" t="s">
        <v>2517</v>
      </c>
    </row>
    <row r="3171" spans="1:1" x14ac:dyDescent="0.25">
      <c r="A3171" t="s">
        <v>2518</v>
      </c>
    </row>
    <row r="3172" spans="1:1" x14ac:dyDescent="0.25">
      <c r="A3172" t="s">
        <v>2519</v>
      </c>
    </row>
    <row r="3173" spans="1:1" x14ac:dyDescent="0.25">
      <c r="A3173" t="s">
        <v>3916</v>
      </c>
    </row>
    <row r="3174" spans="1:1" x14ac:dyDescent="0.25">
      <c r="A3174" t="s">
        <v>4291</v>
      </c>
    </row>
    <row r="3175" spans="1:1" x14ac:dyDescent="0.25">
      <c r="A3175" t="s">
        <v>3917</v>
      </c>
    </row>
    <row r="3176" spans="1:1" x14ac:dyDescent="0.25">
      <c r="A3176" t="s">
        <v>4291</v>
      </c>
    </row>
    <row r="3177" spans="1:1" x14ac:dyDescent="0.25">
      <c r="A3177" t="s">
        <v>3918</v>
      </c>
    </row>
    <row r="3178" spans="1:1" x14ac:dyDescent="0.25">
      <c r="A3178" t="s">
        <v>4291</v>
      </c>
    </row>
    <row r="3179" spans="1:1" x14ac:dyDescent="0.25">
      <c r="A3179" t="s">
        <v>899</v>
      </c>
    </row>
    <row r="3180" spans="1:1" x14ac:dyDescent="0.25">
      <c r="A3180" t="s">
        <v>1168</v>
      </c>
    </row>
    <row r="3181" spans="1:1" x14ac:dyDescent="0.25">
      <c r="A3181" t="s">
        <v>4478</v>
      </c>
    </row>
    <row r="3182" spans="1:1" x14ac:dyDescent="0.25">
      <c r="A3182" t="s">
        <v>2520</v>
      </c>
    </row>
    <row r="3183" spans="1:1" x14ac:dyDescent="0.25">
      <c r="A3183" t="s">
        <v>2521</v>
      </c>
    </row>
    <row r="3184" spans="1:1" x14ac:dyDescent="0.25">
      <c r="A3184" t="s">
        <v>2522</v>
      </c>
    </row>
    <row r="3185" spans="1:1" x14ac:dyDescent="0.25">
      <c r="A3185" t="s">
        <v>2523</v>
      </c>
    </row>
    <row r="3186" spans="1:1" x14ac:dyDescent="0.25">
      <c r="A3186" t="s">
        <v>2524</v>
      </c>
    </row>
    <row r="3187" spans="1:1" x14ac:dyDescent="0.25">
      <c r="A3187" t="s">
        <v>3919</v>
      </c>
    </row>
    <row r="3188" spans="1:1" x14ac:dyDescent="0.25">
      <c r="A3188" t="s">
        <v>4291</v>
      </c>
    </row>
    <row r="3189" spans="1:1" x14ac:dyDescent="0.25">
      <c r="A3189" t="s">
        <v>3920</v>
      </c>
    </row>
    <row r="3190" spans="1:1" x14ac:dyDescent="0.25">
      <c r="A3190" t="s">
        <v>4291</v>
      </c>
    </row>
    <row r="3191" spans="1:1" x14ac:dyDescent="0.25">
      <c r="A3191" t="s">
        <v>3921</v>
      </c>
    </row>
    <row r="3192" spans="1:1" x14ac:dyDescent="0.25">
      <c r="A3192" t="s">
        <v>4291</v>
      </c>
    </row>
    <row r="3193" spans="1:1" x14ac:dyDescent="0.25">
      <c r="A3193" t="s">
        <v>900</v>
      </c>
    </row>
    <row r="3194" spans="1:1" x14ac:dyDescent="0.25">
      <c r="A3194" t="s">
        <v>1169</v>
      </c>
    </row>
    <row r="3195" spans="1:1" x14ac:dyDescent="0.25">
      <c r="A3195" t="s">
        <v>4479</v>
      </c>
    </row>
    <row r="3196" spans="1:1" x14ac:dyDescent="0.25">
      <c r="A3196" t="s">
        <v>2525</v>
      </c>
    </row>
    <row r="3197" spans="1:1" x14ac:dyDescent="0.25">
      <c r="A3197" t="s">
        <v>2526</v>
      </c>
    </row>
    <row r="3198" spans="1:1" x14ac:dyDescent="0.25">
      <c r="A3198" t="s">
        <v>2527</v>
      </c>
    </row>
    <row r="3199" spans="1:1" x14ac:dyDescent="0.25">
      <c r="A3199" t="s">
        <v>2528</v>
      </c>
    </row>
    <row r="3200" spans="1:1" x14ac:dyDescent="0.25">
      <c r="A3200" t="s">
        <v>2529</v>
      </c>
    </row>
    <row r="3201" spans="1:1" x14ac:dyDescent="0.25">
      <c r="A3201" t="s">
        <v>3922</v>
      </c>
    </row>
    <row r="3202" spans="1:1" x14ac:dyDescent="0.25">
      <c r="A3202" t="s">
        <v>4291</v>
      </c>
    </row>
    <row r="3203" spans="1:1" x14ac:dyDescent="0.25">
      <c r="A3203" t="s">
        <v>3923</v>
      </c>
    </row>
    <row r="3204" spans="1:1" x14ac:dyDescent="0.25">
      <c r="A3204" t="s">
        <v>4291</v>
      </c>
    </row>
    <row r="3205" spans="1:1" x14ac:dyDescent="0.25">
      <c r="A3205" t="s">
        <v>3924</v>
      </c>
    </row>
    <row r="3206" spans="1:1" x14ac:dyDescent="0.25">
      <c r="A3206" t="s">
        <v>4291</v>
      </c>
    </row>
    <row r="3207" spans="1:1" x14ac:dyDescent="0.25">
      <c r="A3207" t="s">
        <v>901</v>
      </c>
    </row>
    <row r="3208" spans="1:1" x14ac:dyDescent="0.25">
      <c r="A3208" t="s">
        <v>1170</v>
      </c>
    </row>
    <row r="3209" spans="1:1" x14ac:dyDescent="0.25">
      <c r="A3209" t="s">
        <v>4479</v>
      </c>
    </row>
    <row r="3210" spans="1:1" x14ac:dyDescent="0.25">
      <c r="A3210" t="s">
        <v>2530</v>
      </c>
    </row>
    <row r="3211" spans="1:1" x14ac:dyDescent="0.25">
      <c r="A3211" t="s">
        <v>2531</v>
      </c>
    </row>
    <row r="3212" spans="1:1" x14ac:dyDescent="0.25">
      <c r="A3212" t="s">
        <v>2532</v>
      </c>
    </row>
    <row r="3213" spans="1:1" x14ac:dyDescent="0.25">
      <c r="A3213" t="s">
        <v>2533</v>
      </c>
    </row>
    <row r="3214" spans="1:1" x14ac:dyDescent="0.25">
      <c r="A3214" t="s">
        <v>2534</v>
      </c>
    </row>
    <row r="3215" spans="1:1" x14ac:dyDescent="0.25">
      <c r="A3215" t="s">
        <v>3925</v>
      </c>
    </row>
    <row r="3216" spans="1:1" x14ac:dyDescent="0.25">
      <c r="A3216" t="s">
        <v>4291</v>
      </c>
    </row>
    <row r="3217" spans="1:1" x14ac:dyDescent="0.25">
      <c r="A3217" t="s">
        <v>3926</v>
      </c>
    </row>
    <row r="3218" spans="1:1" x14ac:dyDescent="0.25">
      <c r="A3218" t="s">
        <v>4291</v>
      </c>
    </row>
    <row r="3219" spans="1:1" x14ac:dyDescent="0.25">
      <c r="A3219" t="s">
        <v>3927</v>
      </c>
    </row>
    <row r="3220" spans="1:1" x14ac:dyDescent="0.25">
      <c r="A3220" t="s">
        <v>4291</v>
      </c>
    </row>
    <row r="3221" spans="1:1" x14ac:dyDescent="0.25">
      <c r="A3221" t="s">
        <v>902</v>
      </c>
    </row>
    <row r="3222" spans="1:1" x14ac:dyDescent="0.25">
      <c r="A3222" t="s">
        <v>1171</v>
      </c>
    </row>
    <row r="3223" spans="1:1" x14ac:dyDescent="0.25">
      <c r="A3223" t="s">
        <v>4480</v>
      </c>
    </row>
    <row r="3224" spans="1:1" x14ac:dyDescent="0.25">
      <c r="A3224" t="s">
        <v>2535</v>
      </c>
    </row>
    <row r="3225" spans="1:1" x14ac:dyDescent="0.25">
      <c r="A3225" t="s">
        <v>2536</v>
      </c>
    </row>
    <row r="3226" spans="1:1" x14ac:dyDescent="0.25">
      <c r="A3226" t="s">
        <v>2537</v>
      </c>
    </row>
    <row r="3227" spans="1:1" x14ac:dyDescent="0.25">
      <c r="A3227" t="s">
        <v>2538</v>
      </c>
    </row>
    <row r="3228" spans="1:1" x14ac:dyDescent="0.25">
      <c r="A3228" t="s">
        <v>2539</v>
      </c>
    </row>
    <row r="3229" spans="1:1" x14ac:dyDescent="0.25">
      <c r="A3229" t="s">
        <v>3928</v>
      </c>
    </row>
    <row r="3230" spans="1:1" x14ac:dyDescent="0.25">
      <c r="A3230" t="s">
        <v>4291</v>
      </c>
    </row>
    <row r="3231" spans="1:1" x14ac:dyDescent="0.25">
      <c r="A3231" t="s">
        <v>3929</v>
      </c>
    </row>
    <row r="3232" spans="1:1" x14ac:dyDescent="0.25">
      <c r="A3232" t="s">
        <v>4291</v>
      </c>
    </row>
    <row r="3233" spans="1:1" x14ac:dyDescent="0.25">
      <c r="A3233" t="s">
        <v>3930</v>
      </c>
    </row>
    <row r="3234" spans="1:1" x14ac:dyDescent="0.25">
      <c r="A3234" t="s">
        <v>4291</v>
      </c>
    </row>
    <row r="3235" spans="1:1" x14ac:dyDescent="0.25">
      <c r="A3235" t="s">
        <v>903</v>
      </c>
    </row>
    <row r="3236" spans="1:1" x14ac:dyDescent="0.25">
      <c r="A3236" t="s">
        <v>1172</v>
      </c>
    </row>
    <row r="3237" spans="1:1" x14ac:dyDescent="0.25">
      <c r="A3237" t="s">
        <v>4481</v>
      </c>
    </row>
    <row r="3238" spans="1:1" x14ac:dyDescent="0.25">
      <c r="A3238" t="s">
        <v>2540</v>
      </c>
    </row>
    <row r="3239" spans="1:1" x14ac:dyDescent="0.25">
      <c r="A3239" t="s">
        <v>2541</v>
      </c>
    </row>
    <row r="3240" spans="1:1" x14ac:dyDescent="0.25">
      <c r="A3240" t="s">
        <v>2542</v>
      </c>
    </row>
    <row r="3241" spans="1:1" x14ac:dyDescent="0.25">
      <c r="A3241" t="s">
        <v>2543</v>
      </c>
    </row>
    <row r="3242" spans="1:1" x14ac:dyDescent="0.25">
      <c r="A3242" t="s">
        <v>2544</v>
      </c>
    </row>
    <row r="3243" spans="1:1" x14ac:dyDescent="0.25">
      <c r="A3243" t="s">
        <v>3931</v>
      </c>
    </row>
    <row r="3244" spans="1:1" x14ac:dyDescent="0.25">
      <c r="A3244" t="s">
        <v>4291</v>
      </c>
    </row>
    <row r="3245" spans="1:1" x14ac:dyDescent="0.25">
      <c r="A3245" t="s">
        <v>3932</v>
      </c>
    </row>
    <row r="3246" spans="1:1" x14ac:dyDescent="0.25">
      <c r="A3246" t="s">
        <v>4291</v>
      </c>
    </row>
    <row r="3247" spans="1:1" x14ac:dyDescent="0.25">
      <c r="A3247" t="s">
        <v>3933</v>
      </c>
    </row>
    <row r="3248" spans="1:1" x14ac:dyDescent="0.25">
      <c r="A3248" t="s">
        <v>4291</v>
      </c>
    </row>
    <row r="3249" spans="1:1" x14ac:dyDescent="0.25">
      <c r="A3249" t="s">
        <v>904</v>
      </c>
    </row>
    <row r="3250" spans="1:1" x14ac:dyDescent="0.25">
      <c r="A3250" t="s">
        <v>1173</v>
      </c>
    </row>
    <row r="3251" spans="1:1" x14ac:dyDescent="0.25">
      <c r="A3251" t="s">
        <v>4426</v>
      </c>
    </row>
    <row r="3252" spans="1:1" x14ac:dyDescent="0.25">
      <c r="A3252" t="s">
        <v>2545</v>
      </c>
    </row>
    <row r="3253" spans="1:1" x14ac:dyDescent="0.25">
      <c r="A3253" t="s">
        <v>2546</v>
      </c>
    </row>
    <row r="3254" spans="1:1" x14ac:dyDescent="0.25">
      <c r="A3254" t="s">
        <v>2547</v>
      </c>
    </row>
    <row r="3255" spans="1:1" x14ac:dyDescent="0.25">
      <c r="A3255" t="s">
        <v>2548</v>
      </c>
    </row>
    <row r="3256" spans="1:1" x14ac:dyDescent="0.25">
      <c r="A3256" t="s">
        <v>2549</v>
      </c>
    </row>
    <row r="3257" spans="1:1" x14ac:dyDescent="0.25">
      <c r="A3257" t="s">
        <v>3934</v>
      </c>
    </row>
    <row r="3258" spans="1:1" x14ac:dyDescent="0.25">
      <c r="A3258" t="s">
        <v>4291</v>
      </c>
    </row>
    <row r="3259" spans="1:1" x14ac:dyDescent="0.25">
      <c r="A3259" t="s">
        <v>3935</v>
      </c>
    </row>
    <row r="3260" spans="1:1" x14ac:dyDescent="0.25">
      <c r="A3260" t="s">
        <v>4291</v>
      </c>
    </row>
    <row r="3261" spans="1:1" x14ac:dyDescent="0.25">
      <c r="A3261" t="s">
        <v>3936</v>
      </c>
    </row>
    <row r="3262" spans="1:1" x14ac:dyDescent="0.25">
      <c r="A3262" t="s">
        <v>4291</v>
      </c>
    </row>
    <row r="3263" spans="1:1" x14ac:dyDescent="0.25">
      <c r="A3263" t="s">
        <v>905</v>
      </c>
    </row>
    <row r="3264" spans="1:1" x14ac:dyDescent="0.25">
      <c r="A3264" t="s">
        <v>1174</v>
      </c>
    </row>
    <row r="3265" spans="1:1" x14ac:dyDescent="0.25">
      <c r="A3265" t="s">
        <v>4426</v>
      </c>
    </row>
    <row r="3266" spans="1:1" x14ac:dyDescent="0.25">
      <c r="A3266" t="s">
        <v>2550</v>
      </c>
    </row>
    <row r="3267" spans="1:1" x14ac:dyDescent="0.25">
      <c r="A3267" t="s">
        <v>2551</v>
      </c>
    </row>
    <row r="3268" spans="1:1" x14ac:dyDescent="0.25">
      <c r="A3268" t="s">
        <v>2552</v>
      </c>
    </row>
    <row r="3269" spans="1:1" x14ac:dyDescent="0.25">
      <c r="A3269" t="s">
        <v>2553</v>
      </c>
    </row>
    <row r="3270" spans="1:1" x14ac:dyDescent="0.25">
      <c r="A3270" t="s">
        <v>2554</v>
      </c>
    </row>
    <row r="3271" spans="1:1" x14ac:dyDescent="0.25">
      <c r="A3271" t="s">
        <v>3937</v>
      </c>
    </row>
    <row r="3272" spans="1:1" x14ac:dyDescent="0.25">
      <c r="A3272" t="s">
        <v>4291</v>
      </c>
    </row>
    <row r="3273" spans="1:1" x14ac:dyDescent="0.25">
      <c r="A3273" t="s">
        <v>3938</v>
      </c>
    </row>
    <row r="3274" spans="1:1" x14ac:dyDescent="0.25">
      <c r="A3274" t="s">
        <v>4291</v>
      </c>
    </row>
    <row r="3275" spans="1:1" x14ac:dyDescent="0.25">
      <c r="A3275" t="s">
        <v>3939</v>
      </c>
    </row>
    <row r="3276" spans="1:1" x14ac:dyDescent="0.25">
      <c r="A3276" t="s">
        <v>4291</v>
      </c>
    </row>
    <row r="3277" spans="1:1" x14ac:dyDescent="0.25">
      <c r="A3277" t="s">
        <v>906</v>
      </c>
    </row>
    <row r="3278" spans="1:1" x14ac:dyDescent="0.25">
      <c r="A3278" t="s">
        <v>1175</v>
      </c>
    </row>
    <row r="3279" spans="1:1" x14ac:dyDescent="0.25">
      <c r="A3279" t="s">
        <v>4426</v>
      </c>
    </row>
    <row r="3280" spans="1:1" x14ac:dyDescent="0.25">
      <c r="A3280" t="s">
        <v>2555</v>
      </c>
    </row>
    <row r="3281" spans="1:1" x14ac:dyDescent="0.25">
      <c r="A3281" t="s">
        <v>2556</v>
      </c>
    </row>
    <row r="3282" spans="1:1" x14ac:dyDescent="0.25">
      <c r="A3282" t="s">
        <v>2557</v>
      </c>
    </row>
    <row r="3283" spans="1:1" x14ac:dyDescent="0.25">
      <c r="A3283" t="s">
        <v>2558</v>
      </c>
    </row>
    <row r="3284" spans="1:1" x14ac:dyDescent="0.25">
      <c r="A3284" t="s">
        <v>2559</v>
      </c>
    </row>
    <row r="3285" spans="1:1" x14ac:dyDescent="0.25">
      <c r="A3285" t="s">
        <v>3940</v>
      </c>
    </row>
    <row r="3286" spans="1:1" x14ac:dyDescent="0.25">
      <c r="A3286" t="s">
        <v>4291</v>
      </c>
    </row>
    <row r="3287" spans="1:1" x14ac:dyDescent="0.25">
      <c r="A3287" t="s">
        <v>3941</v>
      </c>
    </row>
    <row r="3288" spans="1:1" x14ac:dyDescent="0.25">
      <c r="A3288" t="s">
        <v>4291</v>
      </c>
    </row>
    <row r="3289" spans="1:1" x14ac:dyDescent="0.25">
      <c r="A3289" t="s">
        <v>3942</v>
      </c>
    </row>
    <row r="3290" spans="1:1" x14ac:dyDescent="0.25">
      <c r="A3290" t="s">
        <v>4291</v>
      </c>
    </row>
    <row r="3291" spans="1:1" x14ac:dyDescent="0.25">
      <c r="A3291" t="s">
        <v>907</v>
      </c>
    </row>
    <row r="3292" spans="1:1" x14ac:dyDescent="0.25">
      <c r="A3292" t="s">
        <v>1176</v>
      </c>
    </row>
    <row r="3293" spans="1:1" x14ac:dyDescent="0.25">
      <c r="A3293" t="s">
        <v>4426</v>
      </c>
    </row>
    <row r="3294" spans="1:1" x14ac:dyDescent="0.25">
      <c r="A3294" t="s">
        <v>2560</v>
      </c>
    </row>
    <row r="3295" spans="1:1" x14ac:dyDescent="0.25">
      <c r="A3295" t="s">
        <v>2561</v>
      </c>
    </row>
    <row r="3296" spans="1:1" x14ac:dyDescent="0.25">
      <c r="A3296" t="s">
        <v>2562</v>
      </c>
    </row>
    <row r="3297" spans="1:1" x14ac:dyDescent="0.25">
      <c r="A3297" t="s">
        <v>2563</v>
      </c>
    </row>
    <row r="3298" spans="1:1" x14ac:dyDescent="0.25">
      <c r="A3298" t="s">
        <v>2564</v>
      </c>
    </row>
    <row r="3299" spans="1:1" x14ac:dyDescent="0.25">
      <c r="A3299" t="s">
        <v>3943</v>
      </c>
    </row>
    <row r="3300" spans="1:1" x14ac:dyDescent="0.25">
      <c r="A3300" t="s">
        <v>4291</v>
      </c>
    </row>
    <row r="3301" spans="1:1" x14ac:dyDescent="0.25">
      <c r="A3301" t="s">
        <v>3944</v>
      </c>
    </row>
    <row r="3302" spans="1:1" x14ac:dyDescent="0.25">
      <c r="A3302" t="s">
        <v>4291</v>
      </c>
    </row>
    <row r="3303" spans="1:1" x14ac:dyDescent="0.25">
      <c r="A3303" t="s">
        <v>3945</v>
      </c>
    </row>
    <row r="3304" spans="1:1" x14ac:dyDescent="0.25">
      <c r="A3304" t="s">
        <v>4291</v>
      </c>
    </row>
    <row r="3305" spans="1:1" x14ac:dyDescent="0.25">
      <c r="A3305" t="s">
        <v>908</v>
      </c>
    </row>
    <row r="3306" spans="1:1" x14ac:dyDescent="0.25">
      <c r="A3306" t="s">
        <v>1177</v>
      </c>
    </row>
    <row r="3307" spans="1:1" x14ac:dyDescent="0.25">
      <c r="A3307" t="s">
        <v>4426</v>
      </c>
    </row>
    <row r="3308" spans="1:1" x14ac:dyDescent="0.25">
      <c r="A3308" t="s">
        <v>2565</v>
      </c>
    </row>
    <row r="3309" spans="1:1" x14ac:dyDescent="0.25">
      <c r="A3309" t="s">
        <v>2566</v>
      </c>
    </row>
    <row r="3310" spans="1:1" x14ac:dyDescent="0.25">
      <c r="A3310" t="s">
        <v>2567</v>
      </c>
    </row>
    <row r="3311" spans="1:1" x14ac:dyDescent="0.25">
      <c r="A3311" t="s">
        <v>2568</v>
      </c>
    </row>
    <row r="3312" spans="1:1" x14ac:dyDescent="0.25">
      <c r="A3312" t="s">
        <v>2569</v>
      </c>
    </row>
    <row r="3313" spans="1:1" x14ac:dyDescent="0.25">
      <c r="A3313" t="s">
        <v>3946</v>
      </c>
    </row>
    <row r="3314" spans="1:1" x14ac:dyDescent="0.25">
      <c r="A3314" t="s">
        <v>4291</v>
      </c>
    </row>
    <row r="3315" spans="1:1" x14ac:dyDescent="0.25">
      <c r="A3315" t="s">
        <v>3947</v>
      </c>
    </row>
    <row r="3316" spans="1:1" x14ac:dyDescent="0.25">
      <c r="A3316" t="s">
        <v>4291</v>
      </c>
    </row>
    <row r="3317" spans="1:1" x14ac:dyDescent="0.25">
      <c r="A3317" t="s">
        <v>3948</v>
      </c>
    </row>
    <row r="3318" spans="1:1" x14ac:dyDescent="0.25">
      <c r="A3318" t="s">
        <v>4291</v>
      </c>
    </row>
    <row r="3319" spans="1:1" x14ac:dyDescent="0.25">
      <c r="A3319" t="s">
        <v>909</v>
      </c>
    </row>
    <row r="3320" spans="1:1" x14ac:dyDescent="0.25">
      <c r="A3320" t="s">
        <v>1178</v>
      </c>
    </row>
    <row r="3321" spans="1:1" x14ac:dyDescent="0.25">
      <c r="A3321" t="s">
        <v>4426</v>
      </c>
    </row>
    <row r="3322" spans="1:1" x14ac:dyDescent="0.25">
      <c r="A3322" t="s">
        <v>2570</v>
      </c>
    </row>
    <row r="3323" spans="1:1" x14ac:dyDescent="0.25">
      <c r="A3323" t="s">
        <v>2571</v>
      </c>
    </row>
    <row r="3324" spans="1:1" x14ac:dyDescent="0.25">
      <c r="A3324" t="s">
        <v>2572</v>
      </c>
    </row>
    <row r="3325" spans="1:1" x14ac:dyDescent="0.25">
      <c r="A3325" t="s">
        <v>2573</v>
      </c>
    </row>
    <row r="3326" spans="1:1" x14ac:dyDescent="0.25">
      <c r="A3326" t="s">
        <v>2574</v>
      </c>
    </row>
    <row r="3327" spans="1:1" x14ac:dyDescent="0.25">
      <c r="A3327" t="s">
        <v>3949</v>
      </c>
    </row>
    <row r="3328" spans="1:1" x14ac:dyDescent="0.25">
      <c r="A3328" t="s">
        <v>4291</v>
      </c>
    </row>
    <row r="3329" spans="1:1" x14ac:dyDescent="0.25">
      <c r="A3329" t="s">
        <v>3950</v>
      </c>
    </row>
    <row r="3330" spans="1:1" x14ac:dyDescent="0.25">
      <c r="A3330" t="s">
        <v>4291</v>
      </c>
    </row>
    <row r="3331" spans="1:1" x14ac:dyDescent="0.25">
      <c r="A3331" t="s">
        <v>3951</v>
      </c>
    </row>
    <row r="3332" spans="1:1" x14ac:dyDescent="0.25">
      <c r="A3332" t="s">
        <v>4291</v>
      </c>
    </row>
    <row r="3333" spans="1:1" x14ac:dyDescent="0.25">
      <c r="A3333" t="s">
        <v>910</v>
      </c>
    </row>
    <row r="3334" spans="1:1" x14ac:dyDescent="0.25">
      <c r="A3334" t="s">
        <v>1179</v>
      </c>
    </row>
    <row r="3335" spans="1:1" x14ac:dyDescent="0.25">
      <c r="A3335" t="s">
        <v>4426</v>
      </c>
    </row>
    <row r="3336" spans="1:1" x14ac:dyDescent="0.25">
      <c r="A3336" t="s">
        <v>2575</v>
      </c>
    </row>
    <row r="3337" spans="1:1" x14ac:dyDescent="0.25">
      <c r="A3337" t="s">
        <v>2576</v>
      </c>
    </row>
    <row r="3338" spans="1:1" x14ac:dyDescent="0.25">
      <c r="A3338" t="s">
        <v>2577</v>
      </c>
    </row>
    <row r="3339" spans="1:1" x14ac:dyDescent="0.25">
      <c r="A3339" t="s">
        <v>2578</v>
      </c>
    </row>
    <row r="3340" spans="1:1" x14ac:dyDescent="0.25">
      <c r="A3340" t="s">
        <v>2579</v>
      </c>
    </row>
    <row r="3341" spans="1:1" x14ac:dyDescent="0.25">
      <c r="A3341" t="s">
        <v>3952</v>
      </c>
    </row>
    <row r="3342" spans="1:1" x14ac:dyDescent="0.25">
      <c r="A3342" t="s">
        <v>4291</v>
      </c>
    </row>
    <row r="3343" spans="1:1" x14ac:dyDescent="0.25">
      <c r="A3343" t="s">
        <v>3953</v>
      </c>
    </row>
    <row r="3344" spans="1:1" x14ac:dyDescent="0.25">
      <c r="A3344" t="s">
        <v>4291</v>
      </c>
    </row>
    <row r="3345" spans="1:1" x14ac:dyDescent="0.25">
      <c r="A3345" t="s">
        <v>3954</v>
      </c>
    </row>
    <row r="3346" spans="1:1" x14ac:dyDescent="0.25">
      <c r="A3346" t="s">
        <v>4291</v>
      </c>
    </row>
    <row r="3347" spans="1:1" x14ac:dyDescent="0.25">
      <c r="A3347" t="s">
        <v>911</v>
      </c>
    </row>
    <row r="3348" spans="1:1" x14ac:dyDescent="0.25">
      <c r="A3348" t="s">
        <v>1180</v>
      </c>
    </row>
    <row r="3349" spans="1:1" x14ac:dyDescent="0.25">
      <c r="A3349" t="s">
        <v>4426</v>
      </c>
    </row>
    <row r="3350" spans="1:1" x14ac:dyDescent="0.25">
      <c r="A3350" t="s">
        <v>2580</v>
      </c>
    </row>
    <row r="3351" spans="1:1" x14ac:dyDescent="0.25">
      <c r="A3351" t="s">
        <v>2581</v>
      </c>
    </row>
    <row r="3352" spans="1:1" x14ac:dyDescent="0.25">
      <c r="A3352" t="s">
        <v>2582</v>
      </c>
    </row>
    <row r="3353" spans="1:1" x14ac:dyDescent="0.25">
      <c r="A3353" t="s">
        <v>2583</v>
      </c>
    </row>
    <row r="3354" spans="1:1" x14ac:dyDescent="0.25">
      <c r="A3354" t="s">
        <v>2584</v>
      </c>
    </row>
    <row r="3355" spans="1:1" x14ac:dyDescent="0.25">
      <c r="A3355" t="s">
        <v>3955</v>
      </c>
    </row>
    <row r="3356" spans="1:1" x14ac:dyDescent="0.25">
      <c r="A3356" t="s">
        <v>4291</v>
      </c>
    </row>
    <row r="3357" spans="1:1" x14ac:dyDescent="0.25">
      <c r="A3357" t="s">
        <v>3956</v>
      </c>
    </row>
    <row r="3358" spans="1:1" x14ac:dyDescent="0.25">
      <c r="A3358" t="s">
        <v>4291</v>
      </c>
    </row>
    <row r="3359" spans="1:1" x14ac:dyDescent="0.25">
      <c r="A3359" t="s">
        <v>3957</v>
      </c>
    </row>
    <row r="3360" spans="1:1" x14ac:dyDescent="0.25">
      <c r="A3360" t="s">
        <v>4291</v>
      </c>
    </row>
    <row r="3361" spans="1:1" x14ac:dyDescent="0.25">
      <c r="A3361" t="s">
        <v>928</v>
      </c>
    </row>
    <row r="3362" spans="1:1" x14ac:dyDescent="0.25">
      <c r="A3362" t="s">
        <v>1181</v>
      </c>
    </row>
    <row r="3363" spans="1:1" x14ac:dyDescent="0.25">
      <c r="A3363" t="s">
        <v>4482</v>
      </c>
    </row>
    <row r="3364" spans="1:1" x14ac:dyDescent="0.25">
      <c r="A3364" t="s">
        <v>2585</v>
      </c>
    </row>
    <row r="3365" spans="1:1" x14ac:dyDescent="0.25">
      <c r="A3365" t="s">
        <v>2586</v>
      </c>
    </row>
    <row r="3366" spans="1:1" x14ac:dyDescent="0.25">
      <c r="A3366" t="s">
        <v>2587</v>
      </c>
    </row>
    <row r="3367" spans="1:1" x14ac:dyDescent="0.25">
      <c r="A3367" t="s">
        <v>2588</v>
      </c>
    </row>
    <row r="3368" spans="1:1" x14ac:dyDescent="0.25">
      <c r="A3368" t="s">
        <v>2589</v>
      </c>
    </row>
    <row r="3369" spans="1:1" x14ac:dyDescent="0.25">
      <c r="A3369" t="s">
        <v>3958</v>
      </c>
    </row>
    <row r="3370" spans="1:1" x14ac:dyDescent="0.25">
      <c r="A3370" t="s">
        <v>4291</v>
      </c>
    </row>
    <row r="3371" spans="1:1" x14ac:dyDescent="0.25">
      <c r="A3371" t="s">
        <v>3959</v>
      </c>
    </row>
    <row r="3372" spans="1:1" x14ac:dyDescent="0.25">
      <c r="A3372" t="s">
        <v>4291</v>
      </c>
    </row>
    <row r="3373" spans="1:1" x14ac:dyDescent="0.25">
      <c r="A3373" t="s">
        <v>3960</v>
      </c>
    </row>
    <row r="3374" spans="1:1" x14ac:dyDescent="0.25">
      <c r="A3374" t="s">
        <v>4291</v>
      </c>
    </row>
    <row r="3375" spans="1:1" x14ac:dyDescent="0.25">
      <c r="A3375" t="s">
        <v>929</v>
      </c>
    </row>
    <row r="3376" spans="1:1" x14ac:dyDescent="0.25">
      <c r="A3376" t="s">
        <v>1182</v>
      </c>
    </row>
    <row r="3377" spans="1:1" x14ac:dyDescent="0.25">
      <c r="A3377" t="s">
        <v>4483</v>
      </c>
    </row>
    <row r="3378" spans="1:1" x14ac:dyDescent="0.25">
      <c r="A3378" t="s">
        <v>2590</v>
      </c>
    </row>
    <row r="3379" spans="1:1" x14ac:dyDescent="0.25">
      <c r="A3379" t="s">
        <v>2591</v>
      </c>
    </row>
    <row r="3380" spans="1:1" x14ac:dyDescent="0.25">
      <c r="A3380" t="s">
        <v>2592</v>
      </c>
    </row>
    <row r="3381" spans="1:1" x14ac:dyDescent="0.25">
      <c r="A3381" t="s">
        <v>2593</v>
      </c>
    </row>
    <row r="3382" spans="1:1" x14ac:dyDescent="0.25">
      <c r="A3382" t="s">
        <v>2594</v>
      </c>
    </row>
    <row r="3383" spans="1:1" x14ac:dyDescent="0.25">
      <c r="A3383" t="s">
        <v>3961</v>
      </c>
    </row>
    <row r="3384" spans="1:1" x14ac:dyDescent="0.25">
      <c r="A3384" t="s">
        <v>4291</v>
      </c>
    </row>
    <row r="3385" spans="1:1" x14ac:dyDescent="0.25">
      <c r="A3385" t="s">
        <v>3962</v>
      </c>
    </row>
    <row r="3386" spans="1:1" x14ac:dyDescent="0.25">
      <c r="A3386" t="s">
        <v>4291</v>
      </c>
    </row>
    <row r="3387" spans="1:1" x14ac:dyDescent="0.25">
      <c r="A3387" t="s">
        <v>3963</v>
      </c>
    </row>
    <row r="3388" spans="1:1" x14ac:dyDescent="0.25">
      <c r="A3388" t="s">
        <v>4291</v>
      </c>
    </row>
    <row r="3389" spans="1:1" x14ac:dyDescent="0.25">
      <c r="A3389" t="s">
        <v>930</v>
      </c>
    </row>
    <row r="3390" spans="1:1" x14ac:dyDescent="0.25">
      <c r="A3390" t="s">
        <v>1183</v>
      </c>
    </row>
    <row r="3391" spans="1:1" x14ac:dyDescent="0.25">
      <c r="A3391" t="s">
        <v>4484</v>
      </c>
    </row>
    <row r="3392" spans="1:1" x14ac:dyDescent="0.25">
      <c r="A3392" t="s">
        <v>2595</v>
      </c>
    </row>
    <row r="3393" spans="1:1" x14ac:dyDescent="0.25">
      <c r="A3393" t="s">
        <v>2596</v>
      </c>
    </row>
    <row r="3394" spans="1:1" x14ac:dyDescent="0.25">
      <c r="A3394" t="s">
        <v>2597</v>
      </c>
    </row>
    <row r="3395" spans="1:1" x14ac:dyDescent="0.25">
      <c r="A3395" t="s">
        <v>2598</v>
      </c>
    </row>
    <row r="3396" spans="1:1" x14ac:dyDescent="0.25">
      <c r="A3396" t="s">
        <v>2599</v>
      </c>
    </row>
    <row r="3397" spans="1:1" x14ac:dyDescent="0.25">
      <c r="A3397" t="s">
        <v>3964</v>
      </c>
    </row>
    <row r="3398" spans="1:1" x14ac:dyDescent="0.25">
      <c r="A3398" t="s">
        <v>4291</v>
      </c>
    </row>
    <row r="3399" spans="1:1" x14ac:dyDescent="0.25">
      <c r="A3399" t="s">
        <v>3965</v>
      </c>
    </row>
    <row r="3400" spans="1:1" x14ac:dyDescent="0.25">
      <c r="A3400" t="s">
        <v>4291</v>
      </c>
    </row>
    <row r="3401" spans="1:1" x14ac:dyDescent="0.25">
      <c r="A3401" t="s">
        <v>3966</v>
      </c>
    </row>
    <row r="3402" spans="1:1" x14ac:dyDescent="0.25">
      <c r="A3402" t="s">
        <v>4291</v>
      </c>
    </row>
    <row r="3403" spans="1:1" x14ac:dyDescent="0.25">
      <c r="A3403" t="s">
        <v>931</v>
      </c>
    </row>
    <row r="3404" spans="1:1" x14ac:dyDescent="0.25">
      <c r="A3404" t="s">
        <v>1184</v>
      </c>
    </row>
    <row r="3405" spans="1:1" x14ac:dyDescent="0.25">
      <c r="A3405" t="s">
        <v>4485</v>
      </c>
    </row>
    <row r="3406" spans="1:1" x14ac:dyDescent="0.25">
      <c r="A3406" t="s">
        <v>2600</v>
      </c>
    </row>
    <row r="3407" spans="1:1" x14ac:dyDescent="0.25">
      <c r="A3407" t="s">
        <v>2601</v>
      </c>
    </row>
    <row r="3408" spans="1:1" x14ac:dyDescent="0.25">
      <c r="A3408" t="s">
        <v>2602</v>
      </c>
    </row>
    <row r="3409" spans="1:1" x14ac:dyDescent="0.25">
      <c r="A3409" t="s">
        <v>2603</v>
      </c>
    </row>
    <row r="3410" spans="1:1" x14ac:dyDescent="0.25">
      <c r="A3410" t="s">
        <v>2604</v>
      </c>
    </row>
    <row r="3411" spans="1:1" x14ac:dyDescent="0.25">
      <c r="A3411" t="s">
        <v>3967</v>
      </c>
    </row>
    <row r="3412" spans="1:1" x14ac:dyDescent="0.25">
      <c r="A3412" t="s">
        <v>4291</v>
      </c>
    </row>
    <row r="3413" spans="1:1" x14ac:dyDescent="0.25">
      <c r="A3413" t="s">
        <v>3968</v>
      </c>
    </row>
    <row r="3414" spans="1:1" x14ac:dyDescent="0.25">
      <c r="A3414" t="s">
        <v>4291</v>
      </c>
    </row>
    <row r="3415" spans="1:1" x14ac:dyDescent="0.25">
      <c r="A3415" t="s">
        <v>3969</v>
      </c>
    </row>
    <row r="3416" spans="1:1" x14ac:dyDescent="0.25">
      <c r="A3416" t="s">
        <v>4291</v>
      </c>
    </row>
    <row r="3417" spans="1:1" x14ac:dyDescent="0.25">
      <c r="A3417" t="s">
        <v>932</v>
      </c>
    </row>
    <row r="3418" spans="1:1" x14ac:dyDescent="0.25">
      <c r="A3418" t="s">
        <v>1185</v>
      </c>
    </row>
    <row r="3419" spans="1:1" x14ac:dyDescent="0.25">
      <c r="A3419" t="s">
        <v>4486</v>
      </c>
    </row>
    <row r="3420" spans="1:1" x14ac:dyDescent="0.25">
      <c r="A3420" t="s">
        <v>2605</v>
      </c>
    </row>
    <row r="3421" spans="1:1" x14ac:dyDescent="0.25">
      <c r="A3421" t="s">
        <v>2606</v>
      </c>
    </row>
    <row r="3422" spans="1:1" x14ac:dyDescent="0.25">
      <c r="A3422" t="s">
        <v>2607</v>
      </c>
    </row>
    <row r="3423" spans="1:1" x14ac:dyDescent="0.25">
      <c r="A3423" t="s">
        <v>2608</v>
      </c>
    </row>
    <row r="3424" spans="1:1" x14ac:dyDescent="0.25">
      <c r="A3424" t="s">
        <v>2609</v>
      </c>
    </row>
    <row r="3425" spans="1:1" x14ac:dyDescent="0.25">
      <c r="A3425" t="s">
        <v>3970</v>
      </c>
    </row>
    <row r="3426" spans="1:1" x14ac:dyDescent="0.25">
      <c r="A3426" t="s">
        <v>4291</v>
      </c>
    </row>
    <row r="3427" spans="1:1" x14ac:dyDescent="0.25">
      <c r="A3427" t="s">
        <v>3971</v>
      </c>
    </row>
    <row r="3428" spans="1:1" x14ac:dyDescent="0.25">
      <c r="A3428" t="s">
        <v>4291</v>
      </c>
    </row>
    <row r="3429" spans="1:1" x14ac:dyDescent="0.25">
      <c r="A3429" t="s">
        <v>3972</v>
      </c>
    </row>
    <row r="3430" spans="1:1" x14ac:dyDescent="0.25">
      <c r="A3430" t="s">
        <v>4291</v>
      </c>
    </row>
    <row r="3431" spans="1:1" x14ac:dyDescent="0.25">
      <c r="A3431" t="s">
        <v>933</v>
      </c>
    </row>
    <row r="3432" spans="1:1" x14ac:dyDescent="0.25">
      <c r="A3432" t="s">
        <v>1186</v>
      </c>
    </row>
    <row r="3433" spans="1:1" x14ac:dyDescent="0.25">
      <c r="A3433" t="s">
        <v>4487</v>
      </c>
    </row>
    <row r="3434" spans="1:1" x14ac:dyDescent="0.25">
      <c r="A3434" t="s">
        <v>2610</v>
      </c>
    </row>
    <row r="3435" spans="1:1" x14ac:dyDescent="0.25">
      <c r="A3435" t="s">
        <v>2611</v>
      </c>
    </row>
    <row r="3436" spans="1:1" x14ac:dyDescent="0.25">
      <c r="A3436" t="s">
        <v>2612</v>
      </c>
    </row>
    <row r="3437" spans="1:1" x14ac:dyDescent="0.25">
      <c r="A3437" t="s">
        <v>2613</v>
      </c>
    </row>
    <row r="3438" spans="1:1" x14ac:dyDescent="0.25">
      <c r="A3438" t="s">
        <v>2614</v>
      </c>
    </row>
    <row r="3439" spans="1:1" x14ac:dyDescent="0.25">
      <c r="A3439" t="s">
        <v>3973</v>
      </c>
    </row>
    <row r="3440" spans="1:1" x14ac:dyDescent="0.25">
      <c r="A3440" t="s">
        <v>4291</v>
      </c>
    </row>
    <row r="3441" spans="1:1" x14ac:dyDescent="0.25">
      <c r="A3441" t="s">
        <v>3974</v>
      </c>
    </row>
    <row r="3442" spans="1:1" x14ac:dyDescent="0.25">
      <c r="A3442" t="s">
        <v>4291</v>
      </c>
    </row>
    <row r="3443" spans="1:1" x14ac:dyDescent="0.25">
      <c r="A3443" t="s">
        <v>3975</v>
      </c>
    </row>
    <row r="3444" spans="1:1" x14ac:dyDescent="0.25">
      <c r="A3444" t="s">
        <v>4291</v>
      </c>
    </row>
    <row r="3445" spans="1:1" x14ac:dyDescent="0.25">
      <c r="A3445" t="s">
        <v>934</v>
      </c>
    </row>
    <row r="3446" spans="1:1" x14ac:dyDescent="0.25">
      <c r="A3446" t="s">
        <v>1187</v>
      </c>
    </row>
    <row r="3447" spans="1:1" x14ac:dyDescent="0.25">
      <c r="A3447" t="s">
        <v>4488</v>
      </c>
    </row>
    <row r="3448" spans="1:1" x14ac:dyDescent="0.25">
      <c r="A3448" t="s">
        <v>2615</v>
      </c>
    </row>
    <row r="3449" spans="1:1" x14ac:dyDescent="0.25">
      <c r="A3449" t="s">
        <v>2616</v>
      </c>
    </row>
    <row r="3450" spans="1:1" x14ac:dyDescent="0.25">
      <c r="A3450" t="s">
        <v>2617</v>
      </c>
    </row>
    <row r="3451" spans="1:1" x14ac:dyDescent="0.25">
      <c r="A3451" t="s">
        <v>2618</v>
      </c>
    </row>
    <row r="3452" spans="1:1" x14ac:dyDescent="0.25">
      <c r="A3452" t="s">
        <v>2619</v>
      </c>
    </row>
    <row r="3453" spans="1:1" x14ac:dyDescent="0.25">
      <c r="A3453" t="s">
        <v>3976</v>
      </c>
    </row>
    <row r="3454" spans="1:1" x14ac:dyDescent="0.25">
      <c r="A3454" t="s">
        <v>4291</v>
      </c>
    </row>
    <row r="3455" spans="1:1" x14ac:dyDescent="0.25">
      <c r="A3455" t="s">
        <v>3977</v>
      </c>
    </row>
    <row r="3456" spans="1:1" x14ac:dyDescent="0.25">
      <c r="A3456" t="s">
        <v>4291</v>
      </c>
    </row>
    <row r="3457" spans="1:1" x14ac:dyDescent="0.25">
      <c r="A3457" t="s">
        <v>3978</v>
      </c>
    </row>
    <row r="3458" spans="1:1" x14ac:dyDescent="0.25">
      <c r="A3458" t="s">
        <v>4291</v>
      </c>
    </row>
    <row r="3459" spans="1:1" x14ac:dyDescent="0.25">
      <c r="A3459" t="s">
        <v>935</v>
      </c>
    </row>
    <row r="3460" spans="1:1" x14ac:dyDescent="0.25">
      <c r="A3460" t="s">
        <v>1188</v>
      </c>
    </row>
    <row r="3461" spans="1:1" x14ac:dyDescent="0.25">
      <c r="A3461" t="s">
        <v>4489</v>
      </c>
    </row>
    <row r="3462" spans="1:1" x14ac:dyDescent="0.25">
      <c r="A3462" t="s">
        <v>2620</v>
      </c>
    </row>
    <row r="3463" spans="1:1" x14ac:dyDescent="0.25">
      <c r="A3463" t="s">
        <v>2621</v>
      </c>
    </row>
    <row r="3464" spans="1:1" x14ac:dyDescent="0.25">
      <c r="A3464" t="s">
        <v>2622</v>
      </c>
    </row>
    <row r="3465" spans="1:1" x14ac:dyDescent="0.25">
      <c r="A3465" t="s">
        <v>2623</v>
      </c>
    </row>
    <row r="3466" spans="1:1" x14ac:dyDescent="0.25">
      <c r="A3466" t="s">
        <v>2624</v>
      </c>
    </row>
    <row r="3467" spans="1:1" x14ac:dyDescent="0.25">
      <c r="A3467" t="s">
        <v>3979</v>
      </c>
    </row>
    <row r="3468" spans="1:1" x14ac:dyDescent="0.25">
      <c r="A3468" t="s">
        <v>4291</v>
      </c>
    </row>
    <row r="3469" spans="1:1" x14ac:dyDescent="0.25">
      <c r="A3469" t="s">
        <v>3980</v>
      </c>
    </row>
    <row r="3470" spans="1:1" x14ac:dyDescent="0.25">
      <c r="A3470" t="s">
        <v>4291</v>
      </c>
    </row>
    <row r="3471" spans="1:1" x14ac:dyDescent="0.25">
      <c r="A3471" t="s">
        <v>3981</v>
      </c>
    </row>
    <row r="3472" spans="1:1" x14ac:dyDescent="0.25">
      <c r="A3472" t="s">
        <v>4291</v>
      </c>
    </row>
    <row r="3473" spans="1:1" x14ac:dyDescent="0.25">
      <c r="A3473" t="s">
        <v>936</v>
      </c>
    </row>
    <row r="3474" spans="1:1" x14ac:dyDescent="0.25">
      <c r="A3474" t="s">
        <v>1189</v>
      </c>
    </row>
    <row r="3475" spans="1:1" x14ac:dyDescent="0.25">
      <c r="A3475" t="s">
        <v>4490</v>
      </c>
    </row>
    <row r="3476" spans="1:1" x14ac:dyDescent="0.25">
      <c r="A3476" t="s">
        <v>2625</v>
      </c>
    </row>
    <row r="3477" spans="1:1" x14ac:dyDescent="0.25">
      <c r="A3477" t="s">
        <v>2626</v>
      </c>
    </row>
    <row r="3478" spans="1:1" x14ac:dyDescent="0.25">
      <c r="A3478" t="s">
        <v>2627</v>
      </c>
    </row>
    <row r="3479" spans="1:1" x14ac:dyDescent="0.25">
      <c r="A3479" t="s">
        <v>2628</v>
      </c>
    </row>
    <row r="3480" spans="1:1" x14ac:dyDescent="0.25">
      <c r="A3480" t="s">
        <v>2629</v>
      </c>
    </row>
    <row r="3481" spans="1:1" x14ac:dyDescent="0.25">
      <c r="A3481" t="s">
        <v>3982</v>
      </c>
    </row>
    <row r="3482" spans="1:1" x14ac:dyDescent="0.25">
      <c r="A3482" t="s">
        <v>4291</v>
      </c>
    </row>
    <row r="3483" spans="1:1" x14ac:dyDescent="0.25">
      <c r="A3483" t="s">
        <v>3983</v>
      </c>
    </row>
    <row r="3484" spans="1:1" x14ac:dyDescent="0.25">
      <c r="A3484" t="s">
        <v>4291</v>
      </c>
    </row>
    <row r="3485" spans="1:1" x14ac:dyDescent="0.25">
      <c r="A3485" t="s">
        <v>3984</v>
      </c>
    </row>
    <row r="3486" spans="1:1" x14ac:dyDescent="0.25">
      <c r="A3486" t="s">
        <v>4291</v>
      </c>
    </row>
    <row r="3487" spans="1:1" x14ac:dyDescent="0.25">
      <c r="A3487" t="s">
        <v>937</v>
      </c>
    </row>
    <row r="3488" spans="1:1" x14ac:dyDescent="0.25">
      <c r="A3488" t="s">
        <v>1190</v>
      </c>
    </row>
    <row r="3489" spans="1:1" x14ac:dyDescent="0.25">
      <c r="A3489" t="s">
        <v>4491</v>
      </c>
    </row>
    <row r="3490" spans="1:1" x14ac:dyDescent="0.25">
      <c r="A3490" t="s">
        <v>2630</v>
      </c>
    </row>
    <row r="3491" spans="1:1" x14ac:dyDescent="0.25">
      <c r="A3491" t="s">
        <v>2631</v>
      </c>
    </row>
    <row r="3492" spans="1:1" x14ac:dyDescent="0.25">
      <c r="A3492" t="s">
        <v>2632</v>
      </c>
    </row>
    <row r="3493" spans="1:1" x14ac:dyDescent="0.25">
      <c r="A3493" t="s">
        <v>2633</v>
      </c>
    </row>
    <row r="3494" spans="1:1" x14ac:dyDescent="0.25">
      <c r="A3494" t="s">
        <v>2634</v>
      </c>
    </row>
    <row r="3495" spans="1:1" x14ac:dyDescent="0.25">
      <c r="A3495" t="s">
        <v>3985</v>
      </c>
    </row>
    <row r="3496" spans="1:1" x14ac:dyDescent="0.25">
      <c r="A3496" t="s">
        <v>4291</v>
      </c>
    </row>
    <row r="3497" spans="1:1" x14ac:dyDescent="0.25">
      <c r="A3497" t="s">
        <v>3986</v>
      </c>
    </row>
    <row r="3498" spans="1:1" x14ac:dyDescent="0.25">
      <c r="A3498" t="s">
        <v>4291</v>
      </c>
    </row>
    <row r="3499" spans="1:1" x14ac:dyDescent="0.25">
      <c r="A3499" t="s">
        <v>3987</v>
      </c>
    </row>
    <row r="3500" spans="1:1" x14ac:dyDescent="0.25">
      <c r="A3500" t="s">
        <v>4291</v>
      </c>
    </row>
    <row r="3501" spans="1:1" x14ac:dyDescent="0.25">
      <c r="A3501" t="s">
        <v>938</v>
      </c>
    </row>
    <row r="3502" spans="1:1" x14ac:dyDescent="0.25">
      <c r="A3502" t="s">
        <v>1191</v>
      </c>
    </row>
    <row r="3503" spans="1:1" x14ac:dyDescent="0.25">
      <c r="A3503" t="s">
        <v>4492</v>
      </c>
    </row>
    <row r="3504" spans="1:1" x14ac:dyDescent="0.25">
      <c r="A3504" t="s">
        <v>2635</v>
      </c>
    </row>
    <row r="3505" spans="1:1" x14ac:dyDescent="0.25">
      <c r="A3505" t="s">
        <v>2636</v>
      </c>
    </row>
    <row r="3506" spans="1:1" x14ac:dyDescent="0.25">
      <c r="A3506" t="s">
        <v>2637</v>
      </c>
    </row>
    <row r="3507" spans="1:1" x14ac:dyDescent="0.25">
      <c r="A3507" t="s">
        <v>2638</v>
      </c>
    </row>
    <row r="3508" spans="1:1" x14ac:dyDescent="0.25">
      <c r="A3508" t="s">
        <v>2639</v>
      </c>
    </row>
    <row r="3509" spans="1:1" x14ac:dyDescent="0.25">
      <c r="A3509" t="s">
        <v>3988</v>
      </c>
    </row>
    <row r="3510" spans="1:1" x14ac:dyDescent="0.25">
      <c r="A3510" t="s">
        <v>4291</v>
      </c>
    </row>
    <row r="3511" spans="1:1" x14ac:dyDescent="0.25">
      <c r="A3511" t="s">
        <v>3989</v>
      </c>
    </row>
    <row r="3512" spans="1:1" x14ac:dyDescent="0.25">
      <c r="A3512" t="s">
        <v>4291</v>
      </c>
    </row>
    <row r="3513" spans="1:1" x14ac:dyDescent="0.25">
      <c r="A3513" t="s">
        <v>3990</v>
      </c>
    </row>
    <row r="3514" spans="1:1" x14ac:dyDescent="0.25">
      <c r="A3514" t="s">
        <v>4291</v>
      </c>
    </row>
    <row r="3515" spans="1:1" x14ac:dyDescent="0.25">
      <c r="A3515" t="s">
        <v>939</v>
      </c>
    </row>
    <row r="3516" spans="1:1" x14ac:dyDescent="0.25">
      <c r="A3516" t="s">
        <v>1192</v>
      </c>
    </row>
    <row r="3517" spans="1:1" x14ac:dyDescent="0.25">
      <c r="A3517" t="s">
        <v>4493</v>
      </c>
    </row>
    <row r="3518" spans="1:1" x14ac:dyDescent="0.25">
      <c r="A3518" t="s">
        <v>2640</v>
      </c>
    </row>
    <row r="3519" spans="1:1" x14ac:dyDescent="0.25">
      <c r="A3519" t="s">
        <v>2641</v>
      </c>
    </row>
    <row r="3520" spans="1:1" x14ac:dyDescent="0.25">
      <c r="A3520" t="s">
        <v>2642</v>
      </c>
    </row>
    <row r="3521" spans="1:1" x14ac:dyDescent="0.25">
      <c r="A3521" t="s">
        <v>2643</v>
      </c>
    </row>
    <row r="3522" spans="1:1" x14ac:dyDescent="0.25">
      <c r="A3522" t="s">
        <v>2644</v>
      </c>
    </row>
    <row r="3523" spans="1:1" x14ac:dyDescent="0.25">
      <c r="A3523" t="s">
        <v>3991</v>
      </c>
    </row>
    <row r="3524" spans="1:1" x14ac:dyDescent="0.25">
      <c r="A3524" t="s">
        <v>4291</v>
      </c>
    </row>
    <row r="3525" spans="1:1" x14ac:dyDescent="0.25">
      <c r="A3525" t="s">
        <v>3992</v>
      </c>
    </row>
    <row r="3526" spans="1:1" x14ac:dyDescent="0.25">
      <c r="A3526" t="s">
        <v>4291</v>
      </c>
    </row>
    <row r="3527" spans="1:1" x14ac:dyDescent="0.25">
      <c r="A3527" t="s">
        <v>3993</v>
      </c>
    </row>
    <row r="3528" spans="1:1" x14ac:dyDescent="0.25">
      <c r="A3528" t="s">
        <v>4291</v>
      </c>
    </row>
    <row r="3529" spans="1:1" x14ac:dyDescent="0.25">
      <c r="A3529" t="s">
        <v>940</v>
      </c>
    </row>
    <row r="3530" spans="1:1" x14ac:dyDescent="0.25">
      <c r="A3530" t="s">
        <v>1193</v>
      </c>
    </row>
    <row r="3531" spans="1:1" x14ac:dyDescent="0.25">
      <c r="A3531" t="s">
        <v>4494</v>
      </c>
    </row>
    <row r="3532" spans="1:1" x14ac:dyDescent="0.25">
      <c r="A3532" t="s">
        <v>2645</v>
      </c>
    </row>
    <row r="3533" spans="1:1" x14ac:dyDescent="0.25">
      <c r="A3533" t="s">
        <v>2646</v>
      </c>
    </row>
    <row r="3534" spans="1:1" x14ac:dyDescent="0.25">
      <c r="A3534" t="s">
        <v>2647</v>
      </c>
    </row>
    <row r="3535" spans="1:1" x14ac:dyDescent="0.25">
      <c r="A3535" t="s">
        <v>2648</v>
      </c>
    </row>
    <row r="3536" spans="1:1" x14ac:dyDescent="0.25">
      <c r="A3536" t="s">
        <v>2649</v>
      </c>
    </row>
    <row r="3537" spans="1:1" x14ac:dyDescent="0.25">
      <c r="A3537" t="s">
        <v>3994</v>
      </c>
    </row>
    <row r="3538" spans="1:1" x14ac:dyDescent="0.25">
      <c r="A3538" t="s">
        <v>4291</v>
      </c>
    </row>
    <row r="3539" spans="1:1" x14ac:dyDescent="0.25">
      <c r="A3539" t="s">
        <v>3995</v>
      </c>
    </row>
    <row r="3540" spans="1:1" x14ac:dyDescent="0.25">
      <c r="A3540" t="s">
        <v>4291</v>
      </c>
    </row>
    <row r="3541" spans="1:1" x14ac:dyDescent="0.25">
      <c r="A3541" t="s">
        <v>3996</v>
      </c>
    </row>
    <row r="3542" spans="1:1" x14ac:dyDescent="0.25">
      <c r="A3542" t="s">
        <v>4291</v>
      </c>
    </row>
    <row r="3543" spans="1:1" x14ac:dyDescent="0.25">
      <c r="A3543" t="s">
        <v>941</v>
      </c>
    </row>
    <row r="3544" spans="1:1" x14ac:dyDescent="0.25">
      <c r="A3544" t="s">
        <v>1194</v>
      </c>
    </row>
    <row r="3545" spans="1:1" x14ac:dyDescent="0.25">
      <c r="A3545" t="s">
        <v>4495</v>
      </c>
    </row>
    <row r="3546" spans="1:1" x14ac:dyDescent="0.25">
      <c r="A3546" t="s">
        <v>2650</v>
      </c>
    </row>
    <row r="3547" spans="1:1" x14ac:dyDescent="0.25">
      <c r="A3547" t="s">
        <v>2651</v>
      </c>
    </row>
    <row r="3548" spans="1:1" x14ac:dyDescent="0.25">
      <c r="A3548" t="s">
        <v>2652</v>
      </c>
    </row>
    <row r="3549" spans="1:1" x14ac:dyDescent="0.25">
      <c r="A3549" t="s">
        <v>2653</v>
      </c>
    </row>
    <row r="3550" spans="1:1" x14ac:dyDescent="0.25">
      <c r="A3550" t="s">
        <v>2654</v>
      </c>
    </row>
    <row r="3551" spans="1:1" x14ac:dyDescent="0.25">
      <c r="A3551" t="s">
        <v>3997</v>
      </c>
    </row>
    <row r="3552" spans="1:1" x14ac:dyDescent="0.25">
      <c r="A3552" t="s">
        <v>4291</v>
      </c>
    </row>
    <row r="3553" spans="1:1" x14ac:dyDescent="0.25">
      <c r="A3553" t="s">
        <v>3998</v>
      </c>
    </row>
    <row r="3554" spans="1:1" x14ac:dyDescent="0.25">
      <c r="A3554" t="s">
        <v>4291</v>
      </c>
    </row>
    <row r="3555" spans="1:1" x14ac:dyDescent="0.25">
      <c r="A3555" t="s">
        <v>3999</v>
      </c>
    </row>
    <row r="3556" spans="1:1" x14ac:dyDescent="0.25">
      <c r="A3556" t="s">
        <v>4291</v>
      </c>
    </row>
    <row r="3557" spans="1:1" x14ac:dyDescent="0.25">
      <c r="A3557" t="s">
        <v>942</v>
      </c>
    </row>
    <row r="3558" spans="1:1" x14ac:dyDescent="0.25">
      <c r="A3558" t="s">
        <v>1195</v>
      </c>
    </row>
    <row r="3559" spans="1:1" x14ac:dyDescent="0.25">
      <c r="A3559" t="s">
        <v>4496</v>
      </c>
    </row>
    <row r="3560" spans="1:1" x14ac:dyDescent="0.25">
      <c r="A3560" t="s">
        <v>2655</v>
      </c>
    </row>
    <row r="3561" spans="1:1" x14ac:dyDescent="0.25">
      <c r="A3561" t="s">
        <v>2656</v>
      </c>
    </row>
    <row r="3562" spans="1:1" x14ac:dyDescent="0.25">
      <c r="A3562" t="s">
        <v>2657</v>
      </c>
    </row>
    <row r="3563" spans="1:1" x14ac:dyDescent="0.25">
      <c r="A3563" t="s">
        <v>2658</v>
      </c>
    </row>
    <row r="3564" spans="1:1" x14ac:dyDescent="0.25">
      <c r="A3564" t="s">
        <v>2659</v>
      </c>
    </row>
    <row r="3565" spans="1:1" x14ac:dyDescent="0.25">
      <c r="A3565" t="s">
        <v>4000</v>
      </c>
    </row>
    <row r="3566" spans="1:1" x14ac:dyDescent="0.25">
      <c r="A3566" t="s">
        <v>4291</v>
      </c>
    </row>
    <row r="3567" spans="1:1" x14ac:dyDescent="0.25">
      <c r="A3567" t="s">
        <v>4001</v>
      </c>
    </row>
    <row r="3568" spans="1:1" x14ac:dyDescent="0.25">
      <c r="A3568" t="s">
        <v>4291</v>
      </c>
    </row>
    <row r="3569" spans="1:1" x14ac:dyDescent="0.25">
      <c r="A3569" t="s">
        <v>4002</v>
      </c>
    </row>
    <row r="3570" spans="1:1" x14ac:dyDescent="0.25">
      <c r="A3570" t="s">
        <v>4291</v>
      </c>
    </row>
    <row r="3571" spans="1:1" x14ac:dyDescent="0.25">
      <c r="A3571" t="s">
        <v>943</v>
      </c>
    </row>
    <row r="3572" spans="1:1" x14ac:dyDescent="0.25">
      <c r="A3572" t="s">
        <v>1196</v>
      </c>
    </row>
    <row r="3573" spans="1:1" x14ac:dyDescent="0.25">
      <c r="A3573" t="s">
        <v>4497</v>
      </c>
    </row>
    <row r="3574" spans="1:1" x14ac:dyDescent="0.25">
      <c r="A3574" t="s">
        <v>2660</v>
      </c>
    </row>
    <row r="3575" spans="1:1" x14ac:dyDescent="0.25">
      <c r="A3575" t="s">
        <v>2661</v>
      </c>
    </row>
    <row r="3576" spans="1:1" x14ac:dyDescent="0.25">
      <c r="A3576" t="s">
        <v>2662</v>
      </c>
    </row>
    <row r="3577" spans="1:1" x14ac:dyDescent="0.25">
      <c r="A3577" t="s">
        <v>2663</v>
      </c>
    </row>
    <row r="3578" spans="1:1" x14ac:dyDescent="0.25">
      <c r="A3578" t="s">
        <v>2664</v>
      </c>
    </row>
    <row r="3579" spans="1:1" x14ac:dyDescent="0.25">
      <c r="A3579" t="s">
        <v>4003</v>
      </c>
    </row>
    <row r="3580" spans="1:1" x14ac:dyDescent="0.25">
      <c r="A3580" t="s">
        <v>4291</v>
      </c>
    </row>
    <row r="3581" spans="1:1" x14ac:dyDescent="0.25">
      <c r="A3581" t="s">
        <v>4004</v>
      </c>
    </row>
    <row r="3582" spans="1:1" x14ac:dyDescent="0.25">
      <c r="A3582" t="s">
        <v>4291</v>
      </c>
    </row>
    <row r="3583" spans="1:1" x14ac:dyDescent="0.25">
      <c r="A3583" t="s">
        <v>4005</v>
      </c>
    </row>
    <row r="3584" spans="1:1" x14ac:dyDescent="0.25">
      <c r="A3584" t="s">
        <v>4291</v>
      </c>
    </row>
    <row r="3585" spans="1:1" x14ac:dyDescent="0.25">
      <c r="A3585" t="s">
        <v>944</v>
      </c>
    </row>
    <row r="3586" spans="1:1" x14ac:dyDescent="0.25">
      <c r="A3586" t="s">
        <v>1197</v>
      </c>
    </row>
    <row r="3587" spans="1:1" x14ac:dyDescent="0.25">
      <c r="A3587" t="s">
        <v>4498</v>
      </c>
    </row>
    <row r="3588" spans="1:1" x14ac:dyDescent="0.25">
      <c r="A3588" t="s">
        <v>2665</v>
      </c>
    </row>
    <row r="3589" spans="1:1" x14ac:dyDescent="0.25">
      <c r="A3589" t="s">
        <v>2666</v>
      </c>
    </row>
    <row r="3590" spans="1:1" x14ac:dyDescent="0.25">
      <c r="A3590" t="s">
        <v>2667</v>
      </c>
    </row>
    <row r="3591" spans="1:1" x14ac:dyDescent="0.25">
      <c r="A3591" t="s">
        <v>2668</v>
      </c>
    </row>
    <row r="3592" spans="1:1" x14ac:dyDescent="0.25">
      <c r="A3592" t="s">
        <v>2669</v>
      </c>
    </row>
    <row r="3593" spans="1:1" x14ac:dyDescent="0.25">
      <c r="A3593" t="s">
        <v>4006</v>
      </c>
    </row>
    <row r="3594" spans="1:1" x14ac:dyDescent="0.25">
      <c r="A3594" t="s">
        <v>4291</v>
      </c>
    </row>
    <row r="3595" spans="1:1" x14ac:dyDescent="0.25">
      <c r="A3595" t="s">
        <v>4007</v>
      </c>
    </row>
    <row r="3596" spans="1:1" x14ac:dyDescent="0.25">
      <c r="A3596" t="s">
        <v>4291</v>
      </c>
    </row>
    <row r="3597" spans="1:1" x14ac:dyDescent="0.25">
      <c r="A3597" t="s">
        <v>4008</v>
      </c>
    </row>
    <row r="3598" spans="1:1" x14ac:dyDescent="0.25">
      <c r="A3598" t="s">
        <v>4291</v>
      </c>
    </row>
    <row r="3599" spans="1:1" x14ac:dyDescent="0.25">
      <c r="A3599" t="s">
        <v>945</v>
      </c>
    </row>
    <row r="3600" spans="1:1" x14ac:dyDescent="0.25">
      <c r="A3600" t="s">
        <v>1198</v>
      </c>
    </row>
    <row r="3601" spans="1:1" x14ac:dyDescent="0.25">
      <c r="A3601" t="s">
        <v>4499</v>
      </c>
    </row>
    <row r="3602" spans="1:1" x14ac:dyDescent="0.25">
      <c r="A3602" t="s">
        <v>2670</v>
      </c>
    </row>
    <row r="3603" spans="1:1" x14ac:dyDescent="0.25">
      <c r="A3603" t="s">
        <v>2671</v>
      </c>
    </row>
    <row r="3604" spans="1:1" x14ac:dyDescent="0.25">
      <c r="A3604" t="s">
        <v>2672</v>
      </c>
    </row>
    <row r="3605" spans="1:1" x14ac:dyDescent="0.25">
      <c r="A3605" t="s">
        <v>2673</v>
      </c>
    </row>
    <row r="3606" spans="1:1" x14ac:dyDescent="0.25">
      <c r="A3606" t="s">
        <v>2674</v>
      </c>
    </row>
    <row r="3607" spans="1:1" x14ac:dyDescent="0.25">
      <c r="A3607" t="s">
        <v>4009</v>
      </c>
    </row>
    <row r="3608" spans="1:1" x14ac:dyDescent="0.25">
      <c r="A3608" t="s">
        <v>4291</v>
      </c>
    </row>
    <row r="3609" spans="1:1" x14ac:dyDescent="0.25">
      <c r="A3609" t="s">
        <v>4010</v>
      </c>
    </row>
    <row r="3610" spans="1:1" x14ac:dyDescent="0.25">
      <c r="A3610" t="s">
        <v>4291</v>
      </c>
    </row>
    <row r="3611" spans="1:1" x14ac:dyDescent="0.25">
      <c r="A3611" t="s">
        <v>4011</v>
      </c>
    </row>
    <row r="3612" spans="1:1" x14ac:dyDescent="0.25">
      <c r="A3612" t="s">
        <v>4291</v>
      </c>
    </row>
    <row r="3613" spans="1:1" x14ac:dyDescent="0.25">
      <c r="A3613" t="s">
        <v>946</v>
      </c>
    </row>
    <row r="3614" spans="1:1" x14ac:dyDescent="0.25">
      <c r="A3614" t="s">
        <v>1199</v>
      </c>
    </row>
    <row r="3615" spans="1:1" x14ac:dyDescent="0.25">
      <c r="A3615" t="s">
        <v>4500</v>
      </c>
    </row>
    <row r="3616" spans="1:1" x14ac:dyDescent="0.25">
      <c r="A3616" t="s">
        <v>2675</v>
      </c>
    </row>
    <row r="3617" spans="1:1" x14ac:dyDescent="0.25">
      <c r="A3617" t="s">
        <v>2676</v>
      </c>
    </row>
    <row r="3618" spans="1:1" x14ac:dyDescent="0.25">
      <c r="A3618" t="s">
        <v>2677</v>
      </c>
    </row>
    <row r="3619" spans="1:1" x14ac:dyDescent="0.25">
      <c r="A3619" t="s">
        <v>2678</v>
      </c>
    </row>
    <row r="3620" spans="1:1" x14ac:dyDescent="0.25">
      <c r="A3620" t="s">
        <v>2679</v>
      </c>
    </row>
    <row r="3621" spans="1:1" x14ac:dyDescent="0.25">
      <c r="A3621" t="s">
        <v>4012</v>
      </c>
    </row>
    <row r="3622" spans="1:1" x14ac:dyDescent="0.25">
      <c r="A3622" t="s">
        <v>4291</v>
      </c>
    </row>
    <row r="3623" spans="1:1" x14ac:dyDescent="0.25">
      <c r="A3623" t="s">
        <v>4013</v>
      </c>
    </row>
    <row r="3624" spans="1:1" x14ac:dyDescent="0.25">
      <c r="A3624" t="s">
        <v>4291</v>
      </c>
    </row>
    <row r="3625" spans="1:1" x14ac:dyDescent="0.25">
      <c r="A3625" t="s">
        <v>4014</v>
      </c>
    </row>
    <row r="3626" spans="1:1" x14ac:dyDescent="0.25">
      <c r="A3626" t="s">
        <v>4291</v>
      </c>
    </row>
    <row r="3627" spans="1:1" x14ac:dyDescent="0.25">
      <c r="A3627" t="s">
        <v>947</v>
      </c>
    </row>
    <row r="3628" spans="1:1" x14ac:dyDescent="0.25">
      <c r="A3628" t="s">
        <v>1200</v>
      </c>
    </row>
    <row r="3629" spans="1:1" x14ac:dyDescent="0.25">
      <c r="A3629" t="s">
        <v>4501</v>
      </c>
    </row>
    <row r="3630" spans="1:1" x14ac:dyDescent="0.25">
      <c r="A3630" t="s">
        <v>2680</v>
      </c>
    </row>
    <row r="3631" spans="1:1" x14ac:dyDescent="0.25">
      <c r="A3631" t="s">
        <v>2681</v>
      </c>
    </row>
    <row r="3632" spans="1:1" x14ac:dyDescent="0.25">
      <c r="A3632" t="s">
        <v>2682</v>
      </c>
    </row>
    <row r="3633" spans="1:1" x14ac:dyDescent="0.25">
      <c r="A3633" t="s">
        <v>2683</v>
      </c>
    </row>
    <row r="3634" spans="1:1" x14ac:dyDescent="0.25">
      <c r="A3634" t="s">
        <v>2684</v>
      </c>
    </row>
    <row r="3635" spans="1:1" x14ac:dyDescent="0.25">
      <c r="A3635" t="s">
        <v>4015</v>
      </c>
    </row>
    <row r="3636" spans="1:1" x14ac:dyDescent="0.25">
      <c r="A3636" t="s">
        <v>4291</v>
      </c>
    </row>
    <row r="3637" spans="1:1" x14ac:dyDescent="0.25">
      <c r="A3637" t="s">
        <v>4016</v>
      </c>
    </row>
    <row r="3638" spans="1:1" x14ac:dyDescent="0.25">
      <c r="A3638" t="s">
        <v>4291</v>
      </c>
    </row>
    <row r="3639" spans="1:1" x14ac:dyDescent="0.25">
      <c r="A3639" t="s">
        <v>4017</v>
      </c>
    </row>
    <row r="3640" spans="1:1" x14ac:dyDescent="0.25">
      <c r="A3640" t="s">
        <v>4291</v>
      </c>
    </row>
    <row r="3641" spans="1:1" x14ac:dyDescent="0.25">
      <c r="A3641" t="s">
        <v>948</v>
      </c>
    </row>
    <row r="3642" spans="1:1" x14ac:dyDescent="0.25">
      <c r="A3642" t="s">
        <v>1201</v>
      </c>
    </row>
    <row r="3643" spans="1:1" x14ac:dyDescent="0.25">
      <c r="A3643" t="s">
        <v>4502</v>
      </c>
    </row>
    <row r="3644" spans="1:1" x14ac:dyDescent="0.25">
      <c r="A3644" t="s">
        <v>2685</v>
      </c>
    </row>
    <row r="3645" spans="1:1" x14ac:dyDescent="0.25">
      <c r="A3645" t="s">
        <v>2686</v>
      </c>
    </row>
    <row r="3646" spans="1:1" x14ac:dyDescent="0.25">
      <c r="A3646" t="s">
        <v>2687</v>
      </c>
    </row>
    <row r="3647" spans="1:1" x14ac:dyDescent="0.25">
      <c r="A3647" t="s">
        <v>2688</v>
      </c>
    </row>
    <row r="3648" spans="1:1" x14ac:dyDescent="0.25">
      <c r="A3648" t="s">
        <v>2689</v>
      </c>
    </row>
    <row r="3649" spans="1:1" x14ac:dyDescent="0.25">
      <c r="A3649" t="s">
        <v>4018</v>
      </c>
    </row>
    <row r="3650" spans="1:1" x14ac:dyDescent="0.25">
      <c r="A3650" t="s">
        <v>4291</v>
      </c>
    </row>
    <row r="3651" spans="1:1" x14ac:dyDescent="0.25">
      <c r="A3651" t="s">
        <v>4019</v>
      </c>
    </row>
    <row r="3652" spans="1:1" x14ac:dyDescent="0.25">
      <c r="A3652" t="s">
        <v>4291</v>
      </c>
    </row>
    <row r="3653" spans="1:1" x14ac:dyDescent="0.25">
      <c r="A3653" t="s">
        <v>4020</v>
      </c>
    </row>
    <row r="3654" spans="1:1" x14ac:dyDescent="0.25">
      <c r="A3654" t="s">
        <v>4291</v>
      </c>
    </row>
    <row r="3655" spans="1:1" x14ac:dyDescent="0.25">
      <c r="A3655" t="s">
        <v>949</v>
      </c>
    </row>
    <row r="3656" spans="1:1" x14ac:dyDescent="0.25">
      <c r="A3656" t="s">
        <v>1202</v>
      </c>
    </row>
    <row r="3657" spans="1:1" x14ac:dyDescent="0.25">
      <c r="A3657" t="s">
        <v>4503</v>
      </c>
    </row>
    <row r="3658" spans="1:1" x14ac:dyDescent="0.25">
      <c r="A3658" t="s">
        <v>2690</v>
      </c>
    </row>
    <row r="3659" spans="1:1" x14ac:dyDescent="0.25">
      <c r="A3659" t="s">
        <v>2691</v>
      </c>
    </row>
    <row r="3660" spans="1:1" x14ac:dyDescent="0.25">
      <c r="A3660" t="s">
        <v>2692</v>
      </c>
    </row>
    <row r="3661" spans="1:1" x14ac:dyDescent="0.25">
      <c r="A3661" t="s">
        <v>2693</v>
      </c>
    </row>
    <row r="3662" spans="1:1" x14ac:dyDescent="0.25">
      <c r="A3662" t="s">
        <v>2694</v>
      </c>
    </row>
    <row r="3663" spans="1:1" x14ac:dyDescent="0.25">
      <c r="A3663" t="s">
        <v>4021</v>
      </c>
    </row>
    <row r="3664" spans="1:1" x14ac:dyDescent="0.25">
      <c r="A3664" t="s">
        <v>4291</v>
      </c>
    </row>
    <row r="3665" spans="1:1" x14ac:dyDescent="0.25">
      <c r="A3665" t="s">
        <v>4022</v>
      </c>
    </row>
    <row r="3666" spans="1:1" x14ac:dyDescent="0.25">
      <c r="A3666" t="s">
        <v>4291</v>
      </c>
    </row>
    <row r="3667" spans="1:1" x14ac:dyDescent="0.25">
      <c r="A3667" t="s">
        <v>4023</v>
      </c>
    </row>
    <row r="3668" spans="1:1" x14ac:dyDescent="0.25">
      <c r="A3668" t="s">
        <v>4291</v>
      </c>
    </row>
    <row r="3669" spans="1:1" x14ac:dyDescent="0.25">
      <c r="A3669" t="s">
        <v>950</v>
      </c>
    </row>
    <row r="3670" spans="1:1" x14ac:dyDescent="0.25">
      <c r="A3670" t="s">
        <v>1203</v>
      </c>
    </row>
    <row r="3671" spans="1:1" x14ac:dyDescent="0.25">
      <c r="A3671" t="s">
        <v>4504</v>
      </c>
    </row>
    <row r="3672" spans="1:1" x14ac:dyDescent="0.25">
      <c r="A3672" t="s">
        <v>2695</v>
      </c>
    </row>
    <row r="3673" spans="1:1" x14ac:dyDescent="0.25">
      <c r="A3673" t="s">
        <v>2696</v>
      </c>
    </row>
    <row r="3674" spans="1:1" x14ac:dyDescent="0.25">
      <c r="A3674" t="s">
        <v>2697</v>
      </c>
    </row>
    <row r="3675" spans="1:1" x14ac:dyDescent="0.25">
      <c r="A3675" t="s">
        <v>2698</v>
      </c>
    </row>
    <row r="3676" spans="1:1" x14ac:dyDescent="0.25">
      <c r="A3676" t="s">
        <v>2699</v>
      </c>
    </row>
    <row r="3677" spans="1:1" x14ac:dyDescent="0.25">
      <c r="A3677" t="s">
        <v>4024</v>
      </c>
    </row>
    <row r="3678" spans="1:1" x14ac:dyDescent="0.25">
      <c r="A3678" t="s">
        <v>4291</v>
      </c>
    </row>
    <row r="3679" spans="1:1" x14ac:dyDescent="0.25">
      <c r="A3679" t="s">
        <v>4025</v>
      </c>
    </row>
    <row r="3680" spans="1:1" x14ac:dyDescent="0.25">
      <c r="A3680" t="s">
        <v>4291</v>
      </c>
    </row>
    <row r="3681" spans="1:1" x14ac:dyDescent="0.25">
      <c r="A3681" t="s">
        <v>4026</v>
      </c>
    </row>
    <row r="3682" spans="1:1" x14ac:dyDescent="0.25">
      <c r="A3682" t="s">
        <v>4291</v>
      </c>
    </row>
    <row r="3683" spans="1:1" x14ac:dyDescent="0.25">
      <c r="A3683" t="s">
        <v>951</v>
      </c>
    </row>
    <row r="3684" spans="1:1" x14ac:dyDescent="0.25">
      <c r="A3684" t="s">
        <v>1204</v>
      </c>
    </row>
    <row r="3685" spans="1:1" x14ac:dyDescent="0.25">
      <c r="A3685" t="s">
        <v>4505</v>
      </c>
    </row>
    <row r="3686" spans="1:1" x14ac:dyDescent="0.25">
      <c r="A3686" t="s">
        <v>2700</v>
      </c>
    </row>
    <row r="3687" spans="1:1" x14ac:dyDescent="0.25">
      <c r="A3687" t="s">
        <v>2701</v>
      </c>
    </row>
    <row r="3688" spans="1:1" x14ac:dyDescent="0.25">
      <c r="A3688" t="s">
        <v>2702</v>
      </c>
    </row>
    <row r="3689" spans="1:1" x14ac:dyDescent="0.25">
      <c r="A3689" t="s">
        <v>2703</v>
      </c>
    </row>
    <row r="3690" spans="1:1" x14ac:dyDescent="0.25">
      <c r="A3690" t="s">
        <v>2704</v>
      </c>
    </row>
    <row r="3691" spans="1:1" x14ac:dyDescent="0.25">
      <c r="A3691" t="s">
        <v>4027</v>
      </c>
    </row>
    <row r="3692" spans="1:1" x14ac:dyDescent="0.25">
      <c r="A3692" t="s">
        <v>4291</v>
      </c>
    </row>
    <row r="3693" spans="1:1" x14ac:dyDescent="0.25">
      <c r="A3693" t="s">
        <v>4028</v>
      </c>
    </row>
    <row r="3694" spans="1:1" x14ac:dyDescent="0.25">
      <c r="A3694" t="s">
        <v>4291</v>
      </c>
    </row>
    <row r="3695" spans="1:1" x14ac:dyDescent="0.25">
      <c r="A3695" t="s">
        <v>4029</v>
      </c>
    </row>
    <row r="3696" spans="1:1" x14ac:dyDescent="0.25">
      <c r="A3696" t="s">
        <v>4291</v>
      </c>
    </row>
    <row r="3697" spans="1:1" x14ac:dyDescent="0.25">
      <c r="A3697" t="s">
        <v>952</v>
      </c>
    </row>
    <row r="3698" spans="1:1" x14ac:dyDescent="0.25">
      <c r="A3698" t="s">
        <v>1205</v>
      </c>
    </row>
    <row r="3699" spans="1:1" x14ac:dyDescent="0.25">
      <c r="A3699" t="s">
        <v>4506</v>
      </c>
    </row>
    <row r="3700" spans="1:1" x14ac:dyDescent="0.25">
      <c r="A3700" t="s">
        <v>2705</v>
      </c>
    </row>
    <row r="3701" spans="1:1" x14ac:dyDescent="0.25">
      <c r="A3701" t="s">
        <v>2706</v>
      </c>
    </row>
    <row r="3702" spans="1:1" x14ac:dyDescent="0.25">
      <c r="A3702" t="s">
        <v>2707</v>
      </c>
    </row>
    <row r="3703" spans="1:1" x14ac:dyDescent="0.25">
      <c r="A3703" t="s">
        <v>2708</v>
      </c>
    </row>
    <row r="3704" spans="1:1" x14ac:dyDescent="0.25">
      <c r="A3704" t="s">
        <v>2709</v>
      </c>
    </row>
    <row r="3705" spans="1:1" x14ac:dyDescent="0.25">
      <c r="A3705" t="s">
        <v>4030</v>
      </c>
    </row>
    <row r="3706" spans="1:1" x14ac:dyDescent="0.25">
      <c r="A3706" t="s">
        <v>4291</v>
      </c>
    </row>
    <row r="3707" spans="1:1" x14ac:dyDescent="0.25">
      <c r="A3707" t="s">
        <v>4031</v>
      </c>
    </row>
    <row r="3708" spans="1:1" x14ac:dyDescent="0.25">
      <c r="A3708" t="s">
        <v>4291</v>
      </c>
    </row>
    <row r="3709" spans="1:1" x14ac:dyDescent="0.25">
      <c r="A3709" t="s">
        <v>4032</v>
      </c>
    </row>
    <row r="3710" spans="1:1" x14ac:dyDescent="0.25">
      <c r="A3710" t="s">
        <v>4291</v>
      </c>
    </row>
    <row r="3711" spans="1:1" x14ac:dyDescent="0.25">
      <c r="A3711" t="s">
        <v>953</v>
      </c>
    </row>
    <row r="3712" spans="1:1" x14ac:dyDescent="0.25">
      <c r="A3712" t="s">
        <v>1206</v>
      </c>
    </row>
    <row r="3713" spans="1:1" x14ac:dyDescent="0.25">
      <c r="A3713" t="s">
        <v>4507</v>
      </c>
    </row>
    <row r="3714" spans="1:1" x14ac:dyDescent="0.25">
      <c r="A3714" t="s">
        <v>2710</v>
      </c>
    </row>
    <row r="3715" spans="1:1" x14ac:dyDescent="0.25">
      <c r="A3715" t="s">
        <v>2711</v>
      </c>
    </row>
    <row r="3716" spans="1:1" x14ac:dyDescent="0.25">
      <c r="A3716" t="s">
        <v>2712</v>
      </c>
    </row>
    <row r="3717" spans="1:1" x14ac:dyDescent="0.25">
      <c r="A3717" t="s">
        <v>2713</v>
      </c>
    </row>
    <row r="3718" spans="1:1" x14ac:dyDescent="0.25">
      <c r="A3718" t="s">
        <v>2714</v>
      </c>
    </row>
    <row r="3719" spans="1:1" x14ac:dyDescent="0.25">
      <c r="A3719" t="s">
        <v>4033</v>
      </c>
    </row>
    <row r="3720" spans="1:1" x14ac:dyDescent="0.25">
      <c r="A3720" t="s">
        <v>4291</v>
      </c>
    </row>
    <row r="3721" spans="1:1" x14ac:dyDescent="0.25">
      <c r="A3721" t="s">
        <v>4034</v>
      </c>
    </row>
    <row r="3722" spans="1:1" x14ac:dyDescent="0.25">
      <c r="A3722" t="s">
        <v>4291</v>
      </c>
    </row>
    <row r="3723" spans="1:1" x14ac:dyDescent="0.25">
      <c r="A3723" t="s">
        <v>4035</v>
      </c>
    </row>
    <row r="3724" spans="1:1" x14ac:dyDescent="0.25">
      <c r="A3724" t="s">
        <v>4291</v>
      </c>
    </row>
    <row r="3725" spans="1:1" x14ac:dyDescent="0.25">
      <c r="A3725" t="s">
        <v>954</v>
      </c>
    </row>
    <row r="3726" spans="1:1" x14ac:dyDescent="0.25">
      <c r="A3726" t="s">
        <v>1207</v>
      </c>
    </row>
    <row r="3727" spans="1:1" x14ac:dyDescent="0.25">
      <c r="A3727" t="s">
        <v>4508</v>
      </c>
    </row>
    <row r="3728" spans="1:1" x14ac:dyDescent="0.25">
      <c r="A3728" t="s">
        <v>2715</v>
      </c>
    </row>
    <row r="3729" spans="1:1" x14ac:dyDescent="0.25">
      <c r="A3729" t="s">
        <v>2716</v>
      </c>
    </row>
    <row r="3730" spans="1:1" x14ac:dyDescent="0.25">
      <c r="A3730" t="s">
        <v>2717</v>
      </c>
    </row>
    <row r="3731" spans="1:1" x14ac:dyDescent="0.25">
      <c r="A3731" t="s">
        <v>2718</v>
      </c>
    </row>
    <row r="3732" spans="1:1" x14ac:dyDescent="0.25">
      <c r="A3732" t="s">
        <v>2719</v>
      </c>
    </row>
    <row r="3733" spans="1:1" x14ac:dyDescent="0.25">
      <c r="A3733" t="s">
        <v>4036</v>
      </c>
    </row>
    <row r="3734" spans="1:1" x14ac:dyDescent="0.25">
      <c r="A3734" t="s">
        <v>4291</v>
      </c>
    </row>
    <row r="3735" spans="1:1" x14ac:dyDescent="0.25">
      <c r="A3735" t="s">
        <v>4037</v>
      </c>
    </row>
    <row r="3736" spans="1:1" x14ac:dyDescent="0.25">
      <c r="A3736" t="s">
        <v>4291</v>
      </c>
    </row>
    <row r="3737" spans="1:1" x14ac:dyDescent="0.25">
      <c r="A3737" t="s">
        <v>4038</v>
      </c>
    </row>
    <row r="3738" spans="1:1" x14ac:dyDescent="0.25">
      <c r="A3738" t="s">
        <v>4291</v>
      </c>
    </row>
    <row r="3739" spans="1:1" x14ac:dyDescent="0.25">
      <c r="A3739" t="s">
        <v>955</v>
      </c>
    </row>
    <row r="3740" spans="1:1" x14ac:dyDescent="0.25">
      <c r="A3740" t="s">
        <v>1208</v>
      </c>
    </row>
    <row r="3741" spans="1:1" x14ac:dyDescent="0.25">
      <c r="A3741" t="s">
        <v>4509</v>
      </c>
    </row>
    <row r="3742" spans="1:1" x14ac:dyDescent="0.25">
      <c r="A3742" t="s">
        <v>2720</v>
      </c>
    </row>
    <row r="3743" spans="1:1" x14ac:dyDescent="0.25">
      <c r="A3743" t="s">
        <v>2721</v>
      </c>
    </row>
    <row r="3744" spans="1:1" x14ac:dyDescent="0.25">
      <c r="A3744" t="s">
        <v>2722</v>
      </c>
    </row>
    <row r="3745" spans="1:1" x14ac:dyDescent="0.25">
      <c r="A3745" t="s">
        <v>2723</v>
      </c>
    </row>
    <row r="3746" spans="1:1" x14ac:dyDescent="0.25">
      <c r="A3746" t="s">
        <v>2724</v>
      </c>
    </row>
    <row r="3747" spans="1:1" x14ac:dyDescent="0.25">
      <c r="A3747" t="s">
        <v>4039</v>
      </c>
    </row>
    <row r="3748" spans="1:1" x14ac:dyDescent="0.25">
      <c r="A3748" t="s">
        <v>4291</v>
      </c>
    </row>
    <row r="3749" spans="1:1" x14ac:dyDescent="0.25">
      <c r="A3749" t="s">
        <v>4040</v>
      </c>
    </row>
    <row r="3750" spans="1:1" x14ac:dyDescent="0.25">
      <c r="A3750" t="s">
        <v>4291</v>
      </c>
    </row>
    <row r="3751" spans="1:1" x14ac:dyDescent="0.25">
      <c r="A3751" t="s">
        <v>4041</v>
      </c>
    </row>
    <row r="3752" spans="1:1" x14ac:dyDescent="0.25">
      <c r="A3752" t="s">
        <v>4291</v>
      </c>
    </row>
    <row r="3753" spans="1:1" x14ac:dyDescent="0.25">
      <c r="A3753" t="s">
        <v>956</v>
      </c>
    </row>
    <row r="3754" spans="1:1" x14ac:dyDescent="0.25">
      <c r="A3754" t="s">
        <v>1209</v>
      </c>
    </row>
    <row r="3755" spans="1:1" x14ac:dyDescent="0.25">
      <c r="A3755" t="s">
        <v>4510</v>
      </c>
    </row>
    <row r="3756" spans="1:1" x14ac:dyDescent="0.25">
      <c r="A3756" t="s">
        <v>2725</v>
      </c>
    </row>
    <row r="3757" spans="1:1" x14ac:dyDescent="0.25">
      <c r="A3757" t="s">
        <v>2726</v>
      </c>
    </row>
    <row r="3758" spans="1:1" x14ac:dyDescent="0.25">
      <c r="A3758" t="s">
        <v>2727</v>
      </c>
    </row>
    <row r="3759" spans="1:1" x14ac:dyDescent="0.25">
      <c r="A3759" t="s">
        <v>2728</v>
      </c>
    </row>
    <row r="3760" spans="1:1" x14ac:dyDescent="0.25">
      <c r="A3760" t="s">
        <v>2729</v>
      </c>
    </row>
    <row r="3761" spans="1:1" x14ac:dyDescent="0.25">
      <c r="A3761" t="s">
        <v>4042</v>
      </c>
    </row>
    <row r="3762" spans="1:1" x14ac:dyDescent="0.25">
      <c r="A3762" t="s">
        <v>4291</v>
      </c>
    </row>
    <row r="3763" spans="1:1" x14ac:dyDescent="0.25">
      <c r="A3763" t="s">
        <v>4043</v>
      </c>
    </row>
    <row r="3764" spans="1:1" x14ac:dyDescent="0.25">
      <c r="A3764" t="s">
        <v>4291</v>
      </c>
    </row>
    <row r="3765" spans="1:1" x14ac:dyDescent="0.25">
      <c r="A3765" t="s">
        <v>4044</v>
      </c>
    </row>
    <row r="3766" spans="1:1" x14ac:dyDescent="0.25">
      <c r="A3766" t="s">
        <v>4291</v>
      </c>
    </row>
    <row r="3767" spans="1:1" x14ac:dyDescent="0.25">
      <c r="A3767" t="s">
        <v>957</v>
      </c>
    </row>
    <row r="3768" spans="1:1" x14ac:dyDescent="0.25">
      <c r="A3768" t="s">
        <v>1210</v>
      </c>
    </row>
    <row r="3769" spans="1:1" x14ac:dyDescent="0.25">
      <c r="A3769" t="s">
        <v>4511</v>
      </c>
    </row>
    <row r="3770" spans="1:1" x14ac:dyDescent="0.25">
      <c r="A3770" t="s">
        <v>2730</v>
      </c>
    </row>
    <row r="3771" spans="1:1" x14ac:dyDescent="0.25">
      <c r="A3771" t="s">
        <v>2731</v>
      </c>
    </row>
    <row r="3772" spans="1:1" x14ac:dyDescent="0.25">
      <c r="A3772" t="s">
        <v>2732</v>
      </c>
    </row>
    <row r="3773" spans="1:1" x14ac:dyDescent="0.25">
      <c r="A3773" t="s">
        <v>2733</v>
      </c>
    </row>
    <row r="3774" spans="1:1" x14ac:dyDescent="0.25">
      <c r="A3774" t="s">
        <v>2734</v>
      </c>
    </row>
    <row r="3775" spans="1:1" x14ac:dyDescent="0.25">
      <c r="A3775" t="s">
        <v>4045</v>
      </c>
    </row>
    <row r="3776" spans="1:1" x14ac:dyDescent="0.25">
      <c r="A3776" t="s">
        <v>4291</v>
      </c>
    </row>
    <row r="3777" spans="1:1" x14ac:dyDescent="0.25">
      <c r="A3777" t="s">
        <v>4046</v>
      </c>
    </row>
    <row r="3778" spans="1:1" x14ac:dyDescent="0.25">
      <c r="A3778" t="s">
        <v>4291</v>
      </c>
    </row>
    <row r="3779" spans="1:1" x14ac:dyDescent="0.25">
      <c r="A3779" t="s">
        <v>4047</v>
      </c>
    </row>
    <row r="3780" spans="1:1" x14ac:dyDescent="0.25">
      <c r="A3780" t="s">
        <v>4291</v>
      </c>
    </row>
    <row r="3781" spans="1:1" x14ac:dyDescent="0.25">
      <c r="A3781" t="s">
        <v>958</v>
      </c>
    </row>
    <row r="3782" spans="1:1" x14ac:dyDescent="0.25">
      <c r="A3782" t="s">
        <v>1211</v>
      </c>
    </row>
    <row r="3783" spans="1:1" x14ac:dyDescent="0.25">
      <c r="A3783" t="s">
        <v>4512</v>
      </c>
    </row>
    <row r="3784" spans="1:1" x14ac:dyDescent="0.25">
      <c r="A3784" t="s">
        <v>2735</v>
      </c>
    </row>
    <row r="3785" spans="1:1" x14ac:dyDescent="0.25">
      <c r="A3785" t="s">
        <v>2736</v>
      </c>
    </row>
    <row r="3786" spans="1:1" x14ac:dyDescent="0.25">
      <c r="A3786" t="s">
        <v>2737</v>
      </c>
    </row>
    <row r="3787" spans="1:1" x14ac:dyDescent="0.25">
      <c r="A3787" t="s">
        <v>2738</v>
      </c>
    </row>
    <row r="3788" spans="1:1" x14ac:dyDescent="0.25">
      <c r="A3788" t="s">
        <v>2739</v>
      </c>
    </row>
    <row r="3789" spans="1:1" x14ac:dyDescent="0.25">
      <c r="A3789" t="s">
        <v>4048</v>
      </c>
    </row>
    <row r="3790" spans="1:1" x14ac:dyDescent="0.25">
      <c r="A3790" t="s">
        <v>4291</v>
      </c>
    </row>
    <row r="3791" spans="1:1" x14ac:dyDescent="0.25">
      <c r="A3791" t="s">
        <v>4049</v>
      </c>
    </row>
    <row r="3792" spans="1:1" x14ac:dyDescent="0.25">
      <c r="A3792" t="s">
        <v>4291</v>
      </c>
    </row>
    <row r="3793" spans="1:1" x14ac:dyDescent="0.25">
      <c r="A3793" t="s">
        <v>4050</v>
      </c>
    </row>
    <row r="3794" spans="1:1" x14ac:dyDescent="0.25">
      <c r="A3794" t="s">
        <v>4291</v>
      </c>
    </row>
    <row r="3795" spans="1:1" x14ac:dyDescent="0.25">
      <c r="A3795" t="s">
        <v>959</v>
      </c>
    </row>
    <row r="3796" spans="1:1" x14ac:dyDescent="0.25">
      <c r="A3796" t="s">
        <v>1212</v>
      </c>
    </row>
    <row r="3797" spans="1:1" x14ac:dyDescent="0.25">
      <c r="A3797" t="s">
        <v>4513</v>
      </c>
    </row>
    <row r="3798" spans="1:1" x14ac:dyDescent="0.25">
      <c r="A3798" t="s">
        <v>2740</v>
      </c>
    </row>
    <row r="3799" spans="1:1" x14ac:dyDescent="0.25">
      <c r="A3799" t="s">
        <v>2741</v>
      </c>
    </row>
    <row r="3800" spans="1:1" x14ac:dyDescent="0.25">
      <c r="A3800" t="s">
        <v>2742</v>
      </c>
    </row>
    <row r="3801" spans="1:1" x14ac:dyDescent="0.25">
      <c r="A3801" t="s">
        <v>2743</v>
      </c>
    </row>
    <row r="3802" spans="1:1" x14ac:dyDescent="0.25">
      <c r="A3802" t="s">
        <v>2744</v>
      </c>
    </row>
    <row r="3803" spans="1:1" x14ac:dyDescent="0.25">
      <c r="A3803" t="s">
        <v>4051</v>
      </c>
    </row>
    <row r="3804" spans="1:1" x14ac:dyDescent="0.25">
      <c r="A3804" t="s">
        <v>4291</v>
      </c>
    </row>
    <row r="3805" spans="1:1" x14ac:dyDescent="0.25">
      <c r="A3805" t="s">
        <v>4052</v>
      </c>
    </row>
    <row r="3806" spans="1:1" x14ac:dyDescent="0.25">
      <c r="A3806" t="s">
        <v>4291</v>
      </c>
    </row>
    <row r="3807" spans="1:1" x14ac:dyDescent="0.25">
      <c r="A3807" t="s">
        <v>4053</v>
      </c>
    </row>
    <row r="3808" spans="1:1" x14ac:dyDescent="0.25">
      <c r="A3808" t="s">
        <v>4291</v>
      </c>
    </row>
    <row r="3809" spans="1:1" x14ac:dyDescent="0.25">
      <c r="A3809" t="s">
        <v>896</v>
      </c>
    </row>
    <row r="3810" spans="1:1" x14ac:dyDescent="0.25">
      <c r="A3810" t="s">
        <v>1213</v>
      </c>
    </row>
    <row r="3811" spans="1:1" x14ac:dyDescent="0.25">
      <c r="A3811" t="s">
        <v>4514</v>
      </c>
    </row>
    <row r="3812" spans="1:1" x14ac:dyDescent="0.25">
      <c r="A3812" t="s">
        <v>2505</v>
      </c>
    </row>
    <row r="3813" spans="1:1" x14ac:dyDescent="0.25">
      <c r="A3813" t="s">
        <v>2506</v>
      </c>
    </row>
    <row r="3814" spans="1:1" x14ac:dyDescent="0.25">
      <c r="A3814" t="s">
        <v>2507</v>
      </c>
    </row>
    <row r="3815" spans="1:1" x14ac:dyDescent="0.25">
      <c r="A3815" t="s">
        <v>2508</v>
      </c>
    </row>
    <row r="3816" spans="1:1" x14ac:dyDescent="0.25">
      <c r="A3816" t="s">
        <v>2509</v>
      </c>
    </row>
    <row r="3817" spans="1:1" x14ac:dyDescent="0.25">
      <c r="A3817" t="s">
        <v>3910</v>
      </c>
    </row>
    <row r="3818" spans="1:1" x14ac:dyDescent="0.25">
      <c r="A3818" t="s">
        <v>4291</v>
      </c>
    </row>
    <row r="3819" spans="1:1" x14ac:dyDescent="0.25">
      <c r="A3819" t="s">
        <v>3911</v>
      </c>
    </row>
    <row r="3820" spans="1:1" x14ac:dyDescent="0.25">
      <c r="A3820" t="s">
        <v>4291</v>
      </c>
    </row>
    <row r="3821" spans="1:1" x14ac:dyDescent="0.25">
      <c r="A3821" t="s">
        <v>3912</v>
      </c>
    </row>
    <row r="3822" spans="1:1" x14ac:dyDescent="0.25">
      <c r="A3822" t="s">
        <v>4291</v>
      </c>
    </row>
    <row r="3823" spans="1:1" x14ac:dyDescent="0.25">
      <c r="A3823" t="s">
        <v>897</v>
      </c>
    </row>
    <row r="3824" spans="1:1" x14ac:dyDescent="0.25">
      <c r="A3824" t="s">
        <v>1214</v>
      </c>
    </row>
    <row r="3825" spans="1:1" x14ac:dyDescent="0.25">
      <c r="A3825" t="s">
        <v>4515</v>
      </c>
    </row>
    <row r="3826" spans="1:1" x14ac:dyDescent="0.25">
      <c r="A3826" t="s">
        <v>2510</v>
      </c>
    </row>
    <row r="3827" spans="1:1" x14ac:dyDescent="0.25">
      <c r="A3827" t="s">
        <v>2511</v>
      </c>
    </row>
    <row r="3828" spans="1:1" x14ac:dyDescent="0.25">
      <c r="A3828" t="s">
        <v>2512</v>
      </c>
    </row>
    <row r="3829" spans="1:1" x14ac:dyDescent="0.25">
      <c r="A3829" t="s">
        <v>2513</v>
      </c>
    </row>
    <row r="3830" spans="1:1" x14ac:dyDescent="0.25">
      <c r="A3830" t="s">
        <v>2514</v>
      </c>
    </row>
    <row r="3831" spans="1:1" x14ac:dyDescent="0.25">
      <c r="A3831" t="s">
        <v>3913</v>
      </c>
    </row>
    <row r="3832" spans="1:1" x14ac:dyDescent="0.25">
      <c r="A3832" t="s">
        <v>4291</v>
      </c>
    </row>
    <row r="3833" spans="1:1" x14ac:dyDescent="0.25">
      <c r="A3833" t="s">
        <v>3914</v>
      </c>
    </row>
    <row r="3834" spans="1:1" x14ac:dyDescent="0.25">
      <c r="A3834" t="s">
        <v>4291</v>
      </c>
    </row>
    <row r="3835" spans="1:1" x14ac:dyDescent="0.25">
      <c r="A3835" t="s">
        <v>3915</v>
      </c>
    </row>
    <row r="3836" spans="1:1" x14ac:dyDescent="0.25">
      <c r="A3836" t="s">
        <v>4291</v>
      </c>
    </row>
    <row r="3837" spans="1:1" x14ac:dyDescent="0.25">
      <c r="A3837" t="s">
        <v>898</v>
      </c>
    </row>
    <row r="3838" spans="1:1" x14ac:dyDescent="0.25">
      <c r="A3838" t="s">
        <v>1215</v>
      </c>
    </row>
    <row r="3839" spans="1:1" x14ac:dyDescent="0.25">
      <c r="A3839" t="s">
        <v>4516</v>
      </c>
    </row>
    <row r="3840" spans="1:1" x14ac:dyDescent="0.25">
      <c r="A3840" t="s">
        <v>2515</v>
      </c>
    </row>
    <row r="3841" spans="1:1" x14ac:dyDescent="0.25">
      <c r="A3841" t="s">
        <v>2516</v>
      </c>
    </row>
    <row r="3842" spans="1:1" x14ac:dyDescent="0.25">
      <c r="A3842" t="s">
        <v>2517</v>
      </c>
    </row>
    <row r="3843" spans="1:1" x14ac:dyDescent="0.25">
      <c r="A3843" t="s">
        <v>2518</v>
      </c>
    </row>
    <row r="3844" spans="1:1" x14ac:dyDescent="0.25">
      <c r="A3844" t="s">
        <v>2519</v>
      </c>
    </row>
    <row r="3845" spans="1:1" x14ac:dyDescent="0.25">
      <c r="A3845" t="s">
        <v>3916</v>
      </c>
    </row>
    <row r="3846" spans="1:1" x14ac:dyDescent="0.25">
      <c r="A3846" t="s">
        <v>4291</v>
      </c>
    </row>
    <row r="3847" spans="1:1" x14ac:dyDescent="0.25">
      <c r="A3847" t="s">
        <v>3917</v>
      </c>
    </row>
    <row r="3848" spans="1:1" x14ac:dyDescent="0.25">
      <c r="A3848" t="s">
        <v>4291</v>
      </c>
    </row>
    <row r="3849" spans="1:1" x14ac:dyDescent="0.25">
      <c r="A3849" t="s">
        <v>3918</v>
      </c>
    </row>
    <row r="3850" spans="1:1" x14ac:dyDescent="0.25">
      <c r="A3850" t="s">
        <v>4291</v>
      </c>
    </row>
    <row r="3851" spans="1:1" x14ac:dyDescent="0.25">
      <c r="A3851" t="s">
        <v>899</v>
      </c>
    </row>
    <row r="3852" spans="1:1" x14ac:dyDescent="0.25">
      <c r="A3852" t="s">
        <v>1216</v>
      </c>
    </row>
    <row r="3853" spans="1:1" x14ac:dyDescent="0.25">
      <c r="A3853" t="s">
        <v>4517</v>
      </c>
    </row>
    <row r="3854" spans="1:1" x14ac:dyDescent="0.25">
      <c r="A3854" t="s">
        <v>2520</v>
      </c>
    </row>
    <row r="3855" spans="1:1" x14ac:dyDescent="0.25">
      <c r="A3855" t="s">
        <v>2521</v>
      </c>
    </row>
    <row r="3856" spans="1:1" x14ac:dyDescent="0.25">
      <c r="A3856" t="s">
        <v>2522</v>
      </c>
    </row>
    <row r="3857" spans="1:1" x14ac:dyDescent="0.25">
      <c r="A3857" t="s">
        <v>2523</v>
      </c>
    </row>
    <row r="3858" spans="1:1" x14ac:dyDescent="0.25">
      <c r="A3858" t="s">
        <v>2524</v>
      </c>
    </row>
    <row r="3859" spans="1:1" x14ac:dyDescent="0.25">
      <c r="A3859" t="s">
        <v>3919</v>
      </c>
    </row>
    <row r="3860" spans="1:1" x14ac:dyDescent="0.25">
      <c r="A3860" t="s">
        <v>4291</v>
      </c>
    </row>
    <row r="3861" spans="1:1" x14ac:dyDescent="0.25">
      <c r="A3861" t="s">
        <v>3920</v>
      </c>
    </row>
    <row r="3862" spans="1:1" x14ac:dyDescent="0.25">
      <c r="A3862" t="s">
        <v>4291</v>
      </c>
    </row>
    <row r="3863" spans="1:1" x14ac:dyDescent="0.25">
      <c r="A3863" t="s">
        <v>3921</v>
      </c>
    </row>
    <row r="3864" spans="1:1" x14ac:dyDescent="0.25">
      <c r="A3864" t="s">
        <v>4291</v>
      </c>
    </row>
    <row r="3865" spans="1:1" x14ac:dyDescent="0.25">
      <c r="A3865" t="s">
        <v>900</v>
      </c>
    </row>
    <row r="3866" spans="1:1" x14ac:dyDescent="0.25">
      <c r="A3866" t="s">
        <v>1217</v>
      </c>
    </row>
    <row r="3867" spans="1:1" x14ac:dyDescent="0.25">
      <c r="A3867" t="s">
        <v>4518</v>
      </c>
    </row>
    <row r="3868" spans="1:1" x14ac:dyDescent="0.25">
      <c r="A3868" t="s">
        <v>2525</v>
      </c>
    </row>
    <row r="3869" spans="1:1" x14ac:dyDescent="0.25">
      <c r="A3869" t="s">
        <v>2526</v>
      </c>
    </row>
    <row r="3870" spans="1:1" x14ac:dyDescent="0.25">
      <c r="A3870" t="s">
        <v>2527</v>
      </c>
    </row>
    <row r="3871" spans="1:1" x14ac:dyDescent="0.25">
      <c r="A3871" t="s">
        <v>2528</v>
      </c>
    </row>
    <row r="3872" spans="1:1" x14ac:dyDescent="0.25">
      <c r="A3872" t="s">
        <v>2529</v>
      </c>
    </row>
    <row r="3873" spans="1:1" x14ac:dyDescent="0.25">
      <c r="A3873" t="s">
        <v>3922</v>
      </c>
    </row>
    <row r="3874" spans="1:1" x14ac:dyDescent="0.25">
      <c r="A3874" t="s">
        <v>4291</v>
      </c>
    </row>
    <row r="3875" spans="1:1" x14ac:dyDescent="0.25">
      <c r="A3875" t="s">
        <v>3923</v>
      </c>
    </row>
    <row r="3876" spans="1:1" x14ac:dyDescent="0.25">
      <c r="A3876" t="s">
        <v>4291</v>
      </c>
    </row>
    <row r="3877" spans="1:1" x14ac:dyDescent="0.25">
      <c r="A3877" t="s">
        <v>3924</v>
      </c>
    </row>
    <row r="3878" spans="1:1" x14ac:dyDescent="0.25">
      <c r="A3878" t="s">
        <v>4291</v>
      </c>
    </row>
    <row r="3879" spans="1:1" x14ac:dyDescent="0.25">
      <c r="A3879" t="s">
        <v>901</v>
      </c>
    </row>
    <row r="3880" spans="1:1" x14ac:dyDescent="0.25">
      <c r="A3880" t="s">
        <v>1218</v>
      </c>
    </row>
    <row r="3881" spans="1:1" x14ac:dyDescent="0.25">
      <c r="A3881" t="s">
        <v>4519</v>
      </c>
    </row>
    <row r="3882" spans="1:1" x14ac:dyDescent="0.25">
      <c r="A3882" t="s">
        <v>2530</v>
      </c>
    </row>
    <row r="3883" spans="1:1" x14ac:dyDescent="0.25">
      <c r="A3883" t="s">
        <v>2531</v>
      </c>
    </row>
    <row r="3884" spans="1:1" x14ac:dyDescent="0.25">
      <c r="A3884" t="s">
        <v>2532</v>
      </c>
    </row>
    <row r="3885" spans="1:1" x14ac:dyDescent="0.25">
      <c r="A3885" t="s">
        <v>2533</v>
      </c>
    </row>
    <row r="3886" spans="1:1" x14ac:dyDescent="0.25">
      <c r="A3886" t="s">
        <v>2534</v>
      </c>
    </row>
    <row r="3887" spans="1:1" x14ac:dyDescent="0.25">
      <c r="A3887" t="s">
        <v>3925</v>
      </c>
    </row>
    <row r="3888" spans="1:1" x14ac:dyDescent="0.25">
      <c r="A3888" t="s">
        <v>4291</v>
      </c>
    </row>
    <row r="3889" spans="1:1" x14ac:dyDescent="0.25">
      <c r="A3889" t="s">
        <v>3926</v>
      </c>
    </row>
    <row r="3890" spans="1:1" x14ac:dyDescent="0.25">
      <c r="A3890" t="s">
        <v>4291</v>
      </c>
    </row>
    <row r="3891" spans="1:1" x14ac:dyDescent="0.25">
      <c r="A3891" t="s">
        <v>3927</v>
      </c>
    </row>
    <row r="3892" spans="1:1" x14ac:dyDescent="0.25">
      <c r="A3892" t="s">
        <v>4291</v>
      </c>
    </row>
    <row r="3893" spans="1:1" x14ac:dyDescent="0.25">
      <c r="A3893" t="s">
        <v>902</v>
      </c>
    </row>
    <row r="3894" spans="1:1" x14ac:dyDescent="0.25">
      <c r="A3894" t="s">
        <v>1219</v>
      </c>
    </row>
    <row r="3895" spans="1:1" x14ac:dyDescent="0.25">
      <c r="A3895" t="s">
        <v>4520</v>
      </c>
    </row>
    <row r="3896" spans="1:1" x14ac:dyDescent="0.25">
      <c r="A3896" t="s">
        <v>2535</v>
      </c>
    </row>
    <row r="3897" spans="1:1" x14ac:dyDescent="0.25">
      <c r="A3897" t="s">
        <v>2536</v>
      </c>
    </row>
    <row r="3898" spans="1:1" x14ac:dyDescent="0.25">
      <c r="A3898" t="s">
        <v>2537</v>
      </c>
    </row>
    <row r="3899" spans="1:1" x14ac:dyDescent="0.25">
      <c r="A3899" t="s">
        <v>2538</v>
      </c>
    </row>
    <row r="3900" spans="1:1" x14ac:dyDescent="0.25">
      <c r="A3900" t="s">
        <v>2539</v>
      </c>
    </row>
    <row r="3901" spans="1:1" x14ac:dyDescent="0.25">
      <c r="A3901" t="s">
        <v>3928</v>
      </c>
    </row>
    <row r="3902" spans="1:1" x14ac:dyDescent="0.25">
      <c r="A3902" t="s">
        <v>4291</v>
      </c>
    </row>
    <row r="3903" spans="1:1" x14ac:dyDescent="0.25">
      <c r="A3903" t="s">
        <v>3929</v>
      </c>
    </row>
    <row r="3904" spans="1:1" x14ac:dyDescent="0.25">
      <c r="A3904" t="s">
        <v>4291</v>
      </c>
    </row>
    <row r="3905" spans="1:1" x14ac:dyDescent="0.25">
      <c r="A3905" t="s">
        <v>3930</v>
      </c>
    </row>
    <row r="3906" spans="1:1" x14ac:dyDescent="0.25">
      <c r="A3906" t="s">
        <v>4291</v>
      </c>
    </row>
    <row r="3907" spans="1:1" x14ac:dyDescent="0.25">
      <c r="A3907" t="s">
        <v>903</v>
      </c>
    </row>
    <row r="3908" spans="1:1" x14ac:dyDescent="0.25">
      <c r="A3908" t="s">
        <v>1220</v>
      </c>
    </row>
    <row r="3909" spans="1:1" x14ac:dyDescent="0.25">
      <c r="A3909" t="s">
        <v>4519</v>
      </c>
    </row>
    <row r="3910" spans="1:1" x14ac:dyDescent="0.25">
      <c r="A3910" t="s">
        <v>2540</v>
      </c>
    </row>
    <row r="3911" spans="1:1" x14ac:dyDescent="0.25">
      <c r="A3911" t="s">
        <v>2541</v>
      </c>
    </row>
    <row r="3912" spans="1:1" x14ac:dyDescent="0.25">
      <c r="A3912" t="s">
        <v>2542</v>
      </c>
    </row>
    <row r="3913" spans="1:1" x14ac:dyDescent="0.25">
      <c r="A3913" t="s">
        <v>2543</v>
      </c>
    </row>
    <row r="3914" spans="1:1" x14ac:dyDescent="0.25">
      <c r="A3914" t="s">
        <v>2544</v>
      </c>
    </row>
    <row r="3915" spans="1:1" x14ac:dyDescent="0.25">
      <c r="A3915" t="s">
        <v>3931</v>
      </c>
    </row>
    <row r="3916" spans="1:1" x14ac:dyDescent="0.25">
      <c r="A3916" t="s">
        <v>4291</v>
      </c>
    </row>
    <row r="3917" spans="1:1" x14ac:dyDescent="0.25">
      <c r="A3917" t="s">
        <v>3932</v>
      </c>
    </row>
    <row r="3918" spans="1:1" x14ac:dyDescent="0.25">
      <c r="A3918" t="s">
        <v>4291</v>
      </c>
    </row>
    <row r="3919" spans="1:1" x14ac:dyDescent="0.25">
      <c r="A3919" t="s">
        <v>3933</v>
      </c>
    </row>
    <row r="3920" spans="1:1" x14ac:dyDescent="0.25">
      <c r="A3920" t="s">
        <v>4291</v>
      </c>
    </row>
    <row r="3921" spans="1:1" x14ac:dyDescent="0.25">
      <c r="A3921" t="s">
        <v>904</v>
      </c>
    </row>
    <row r="3922" spans="1:1" x14ac:dyDescent="0.25">
      <c r="A3922" t="s">
        <v>1221</v>
      </c>
    </row>
    <row r="3923" spans="1:1" x14ac:dyDescent="0.25">
      <c r="A3923" t="s">
        <v>4291</v>
      </c>
    </row>
    <row r="3924" spans="1:1" x14ac:dyDescent="0.25">
      <c r="A3924" t="s">
        <v>2545</v>
      </c>
    </row>
    <row r="3925" spans="1:1" x14ac:dyDescent="0.25">
      <c r="A3925" t="s">
        <v>2546</v>
      </c>
    </row>
    <row r="3926" spans="1:1" x14ac:dyDescent="0.25">
      <c r="A3926" t="s">
        <v>2547</v>
      </c>
    </row>
    <row r="3927" spans="1:1" x14ac:dyDescent="0.25">
      <c r="A3927" t="s">
        <v>2548</v>
      </c>
    </row>
    <row r="3928" spans="1:1" x14ac:dyDescent="0.25">
      <c r="A3928" t="s">
        <v>2549</v>
      </c>
    </row>
    <row r="3929" spans="1:1" x14ac:dyDescent="0.25">
      <c r="A3929" t="s">
        <v>3934</v>
      </c>
    </row>
    <row r="3930" spans="1:1" x14ac:dyDescent="0.25">
      <c r="A3930" t="s">
        <v>4291</v>
      </c>
    </row>
    <row r="3931" spans="1:1" x14ac:dyDescent="0.25">
      <c r="A3931" t="s">
        <v>3935</v>
      </c>
    </row>
    <row r="3932" spans="1:1" x14ac:dyDescent="0.25">
      <c r="A3932" t="s">
        <v>4291</v>
      </c>
    </row>
    <row r="3933" spans="1:1" x14ac:dyDescent="0.25">
      <c r="A3933" t="s">
        <v>3936</v>
      </c>
    </row>
    <row r="3934" spans="1:1" x14ac:dyDescent="0.25">
      <c r="A3934" t="s">
        <v>4291</v>
      </c>
    </row>
    <row r="3935" spans="1:1" x14ac:dyDescent="0.25">
      <c r="A3935" t="s">
        <v>905</v>
      </c>
    </row>
    <row r="3936" spans="1:1" x14ac:dyDescent="0.25">
      <c r="A3936" t="s">
        <v>1222</v>
      </c>
    </row>
    <row r="3937" spans="1:1" x14ac:dyDescent="0.25">
      <c r="A3937" t="s">
        <v>4291</v>
      </c>
    </row>
    <row r="3938" spans="1:1" x14ac:dyDescent="0.25">
      <c r="A3938" t="s">
        <v>2550</v>
      </c>
    </row>
    <row r="3939" spans="1:1" x14ac:dyDescent="0.25">
      <c r="A3939" t="s">
        <v>2551</v>
      </c>
    </row>
    <row r="3940" spans="1:1" x14ac:dyDescent="0.25">
      <c r="A3940" t="s">
        <v>2552</v>
      </c>
    </row>
    <row r="3941" spans="1:1" x14ac:dyDescent="0.25">
      <c r="A3941" t="s">
        <v>2553</v>
      </c>
    </row>
    <row r="3942" spans="1:1" x14ac:dyDescent="0.25">
      <c r="A3942" t="s">
        <v>2554</v>
      </c>
    </row>
    <row r="3943" spans="1:1" x14ac:dyDescent="0.25">
      <c r="A3943" t="s">
        <v>3937</v>
      </c>
    </row>
    <row r="3944" spans="1:1" x14ac:dyDescent="0.25">
      <c r="A3944" t="s">
        <v>4291</v>
      </c>
    </row>
    <row r="3945" spans="1:1" x14ac:dyDescent="0.25">
      <c r="A3945" t="s">
        <v>3938</v>
      </c>
    </row>
    <row r="3946" spans="1:1" x14ac:dyDescent="0.25">
      <c r="A3946" t="s">
        <v>4291</v>
      </c>
    </row>
    <row r="3947" spans="1:1" x14ac:dyDescent="0.25">
      <c r="A3947" t="s">
        <v>3939</v>
      </c>
    </row>
    <row r="3948" spans="1:1" x14ac:dyDescent="0.25">
      <c r="A3948" t="s">
        <v>4291</v>
      </c>
    </row>
    <row r="3949" spans="1:1" x14ac:dyDescent="0.25">
      <c r="A3949" t="s">
        <v>906</v>
      </c>
    </row>
    <row r="3950" spans="1:1" x14ac:dyDescent="0.25">
      <c r="A3950" t="s">
        <v>1223</v>
      </c>
    </row>
    <row r="3951" spans="1:1" x14ac:dyDescent="0.25">
      <c r="A3951" t="s">
        <v>4291</v>
      </c>
    </row>
    <row r="3952" spans="1:1" x14ac:dyDescent="0.25">
      <c r="A3952" t="s">
        <v>2555</v>
      </c>
    </row>
    <row r="3953" spans="1:1" x14ac:dyDescent="0.25">
      <c r="A3953" t="s">
        <v>2556</v>
      </c>
    </row>
    <row r="3954" spans="1:1" x14ac:dyDescent="0.25">
      <c r="A3954" t="s">
        <v>2557</v>
      </c>
    </row>
    <row r="3955" spans="1:1" x14ac:dyDescent="0.25">
      <c r="A3955" t="s">
        <v>2558</v>
      </c>
    </row>
    <row r="3956" spans="1:1" x14ac:dyDescent="0.25">
      <c r="A3956" t="s">
        <v>2559</v>
      </c>
    </row>
    <row r="3957" spans="1:1" x14ac:dyDescent="0.25">
      <c r="A3957" t="s">
        <v>3940</v>
      </c>
    </row>
    <row r="3958" spans="1:1" x14ac:dyDescent="0.25">
      <c r="A3958" t="s">
        <v>4291</v>
      </c>
    </row>
    <row r="3959" spans="1:1" x14ac:dyDescent="0.25">
      <c r="A3959" t="s">
        <v>3941</v>
      </c>
    </row>
    <row r="3960" spans="1:1" x14ac:dyDescent="0.25">
      <c r="A3960" t="s">
        <v>4291</v>
      </c>
    </row>
    <row r="3961" spans="1:1" x14ac:dyDescent="0.25">
      <c r="A3961" t="s">
        <v>3942</v>
      </c>
    </row>
    <row r="3962" spans="1:1" x14ac:dyDescent="0.25">
      <c r="A3962" t="s">
        <v>4291</v>
      </c>
    </row>
    <row r="3963" spans="1:1" x14ac:dyDescent="0.25">
      <c r="A3963" t="s">
        <v>907</v>
      </c>
    </row>
    <row r="3964" spans="1:1" x14ac:dyDescent="0.25">
      <c r="A3964" t="s">
        <v>1224</v>
      </c>
    </row>
    <row r="3965" spans="1:1" x14ac:dyDescent="0.25">
      <c r="A3965" t="s">
        <v>4291</v>
      </c>
    </row>
    <row r="3966" spans="1:1" x14ac:dyDescent="0.25">
      <c r="A3966" t="s">
        <v>2560</v>
      </c>
    </row>
    <row r="3967" spans="1:1" x14ac:dyDescent="0.25">
      <c r="A3967" t="s">
        <v>2561</v>
      </c>
    </row>
    <row r="3968" spans="1:1" x14ac:dyDescent="0.25">
      <c r="A3968" t="s">
        <v>2562</v>
      </c>
    </row>
    <row r="3969" spans="1:1" x14ac:dyDescent="0.25">
      <c r="A3969" t="s">
        <v>2563</v>
      </c>
    </row>
    <row r="3970" spans="1:1" x14ac:dyDescent="0.25">
      <c r="A3970" t="s">
        <v>2564</v>
      </c>
    </row>
    <row r="3971" spans="1:1" x14ac:dyDescent="0.25">
      <c r="A3971" t="s">
        <v>3943</v>
      </c>
    </row>
    <row r="3972" spans="1:1" x14ac:dyDescent="0.25">
      <c r="A3972" t="s">
        <v>4291</v>
      </c>
    </row>
    <row r="3973" spans="1:1" x14ac:dyDescent="0.25">
      <c r="A3973" t="s">
        <v>3944</v>
      </c>
    </row>
    <row r="3974" spans="1:1" x14ac:dyDescent="0.25">
      <c r="A3974" t="s">
        <v>4291</v>
      </c>
    </row>
    <row r="3975" spans="1:1" x14ac:dyDescent="0.25">
      <c r="A3975" t="s">
        <v>3945</v>
      </c>
    </row>
    <row r="3976" spans="1:1" x14ac:dyDescent="0.25">
      <c r="A3976" t="s">
        <v>4291</v>
      </c>
    </row>
    <row r="3977" spans="1:1" x14ac:dyDescent="0.25">
      <c r="A3977" t="s">
        <v>908</v>
      </c>
    </row>
    <row r="3978" spans="1:1" x14ac:dyDescent="0.25">
      <c r="A3978" t="s">
        <v>1225</v>
      </c>
    </row>
    <row r="3979" spans="1:1" x14ac:dyDescent="0.25">
      <c r="A3979" t="s">
        <v>4291</v>
      </c>
    </row>
    <row r="3980" spans="1:1" x14ac:dyDescent="0.25">
      <c r="A3980" t="s">
        <v>2565</v>
      </c>
    </row>
    <row r="3981" spans="1:1" x14ac:dyDescent="0.25">
      <c r="A3981" t="s">
        <v>2566</v>
      </c>
    </row>
    <row r="3982" spans="1:1" x14ac:dyDescent="0.25">
      <c r="A3982" t="s">
        <v>2567</v>
      </c>
    </row>
    <row r="3983" spans="1:1" x14ac:dyDescent="0.25">
      <c r="A3983" t="s">
        <v>2568</v>
      </c>
    </row>
    <row r="3984" spans="1:1" x14ac:dyDescent="0.25">
      <c r="A3984" t="s">
        <v>2569</v>
      </c>
    </row>
    <row r="3985" spans="1:1" x14ac:dyDescent="0.25">
      <c r="A3985" t="s">
        <v>3946</v>
      </c>
    </row>
    <row r="3986" spans="1:1" x14ac:dyDescent="0.25">
      <c r="A3986" t="s">
        <v>4291</v>
      </c>
    </row>
    <row r="3987" spans="1:1" x14ac:dyDescent="0.25">
      <c r="A3987" t="s">
        <v>3947</v>
      </c>
    </row>
    <row r="3988" spans="1:1" x14ac:dyDescent="0.25">
      <c r="A3988" t="s">
        <v>4291</v>
      </c>
    </row>
    <row r="3989" spans="1:1" x14ac:dyDescent="0.25">
      <c r="A3989" t="s">
        <v>3948</v>
      </c>
    </row>
    <row r="3990" spans="1:1" x14ac:dyDescent="0.25">
      <c r="A3990" t="s">
        <v>4291</v>
      </c>
    </row>
    <row r="3991" spans="1:1" x14ac:dyDescent="0.25">
      <c r="A3991" t="s">
        <v>909</v>
      </c>
    </row>
    <row r="3992" spans="1:1" x14ac:dyDescent="0.25">
      <c r="A3992" t="s">
        <v>1226</v>
      </c>
    </row>
    <row r="3993" spans="1:1" x14ac:dyDescent="0.25">
      <c r="A3993" t="s">
        <v>4291</v>
      </c>
    </row>
    <row r="3994" spans="1:1" x14ac:dyDescent="0.25">
      <c r="A3994" t="s">
        <v>2570</v>
      </c>
    </row>
    <row r="3995" spans="1:1" x14ac:dyDescent="0.25">
      <c r="A3995" t="s">
        <v>2571</v>
      </c>
    </row>
    <row r="3996" spans="1:1" x14ac:dyDescent="0.25">
      <c r="A3996" t="s">
        <v>2572</v>
      </c>
    </row>
    <row r="3997" spans="1:1" x14ac:dyDescent="0.25">
      <c r="A3997" t="s">
        <v>2573</v>
      </c>
    </row>
    <row r="3998" spans="1:1" x14ac:dyDescent="0.25">
      <c r="A3998" t="s">
        <v>2574</v>
      </c>
    </row>
    <row r="3999" spans="1:1" x14ac:dyDescent="0.25">
      <c r="A3999" t="s">
        <v>3949</v>
      </c>
    </row>
    <row r="4000" spans="1:1" x14ac:dyDescent="0.25">
      <c r="A4000" t="s">
        <v>4291</v>
      </c>
    </row>
    <row r="4001" spans="1:1" x14ac:dyDescent="0.25">
      <c r="A4001" t="s">
        <v>3950</v>
      </c>
    </row>
    <row r="4002" spans="1:1" x14ac:dyDescent="0.25">
      <c r="A4002" t="s">
        <v>4291</v>
      </c>
    </row>
    <row r="4003" spans="1:1" x14ac:dyDescent="0.25">
      <c r="A4003" t="s">
        <v>3951</v>
      </c>
    </row>
    <row r="4004" spans="1:1" x14ac:dyDescent="0.25">
      <c r="A4004" t="s">
        <v>4291</v>
      </c>
    </row>
    <row r="4005" spans="1:1" x14ac:dyDescent="0.25">
      <c r="A4005" t="s">
        <v>910</v>
      </c>
    </row>
    <row r="4006" spans="1:1" x14ac:dyDescent="0.25">
      <c r="A4006" t="s">
        <v>1227</v>
      </c>
    </row>
    <row r="4007" spans="1:1" x14ac:dyDescent="0.25">
      <c r="A4007" t="s">
        <v>4291</v>
      </c>
    </row>
    <row r="4008" spans="1:1" x14ac:dyDescent="0.25">
      <c r="A4008" t="s">
        <v>2575</v>
      </c>
    </row>
    <row r="4009" spans="1:1" x14ac:dyDescent="0.25">
      <c r="A4009" t="s">
        <v>2576</v>
      </c>
    </row>
    <row r="4010" spans="1:1" x14ac:dyDescent="0.25">
      <c r="A4010" t="s">
        <v>2577</v>
      </c>
    </row>
    <row r="4011" spans="1:1" x14ac:dyDescent="0.25">
      <c r="A4011" t="s">
        <v>2578</v>
      </c>
    </row>
    <row r="4012" spans="1:1" x14ac:dyDescent="0.25">
      <c r="A4012" t="s">
        <v>2579</v>
      </c>
    </row>
    <row r="4013" spans="1:1" x14ac:dyDescent="0.25">
      <c r="A4013" t="s">
        <v>3952</v>
      </c>
    </row>
    <row r="4014" spans="1:1" x14ac:dyDescent="0.25">
      <c r="A4014" t="s">
        <v>4291</v>
      </c>
    </row>
    <row r="4015" spans="1:1" x14ac:dyDescent="0.25">
      <c r="A4015" t="s">
        <v>3953</v>
      </c>
    </row>
    <row r="4016" spans="1:1" x14ac:dyDescent="0.25">
      <c r="A4016" t="s">
        <v>4291</v>
      </c>
    </row>
    <row r="4017" spans="1:1" x14ac:dyDescent="0.25">
      <c r="A4017" t="s">
        <v>3954</v>
      </c>
    </row>
    <row r="4018" spans="1:1" x14ac:dyDescent="0.25">
      <c r="A4018" t="s">
        <v>4291</v>
      </c>
    </row>
    <row r="4019" spans="1:1" x14ac:dyDescent="0.25">
      <c r="A4019" t="s">
        <v>911</v>
      </c>
    </row>
    <row r="4020" spans="1:1" x14ac:dyDescent="0.25">
      <c r="A4020" t="s">
        <v>1228</v>
      </c>
    </row>
    <row r="4021" spans="1:1" x14ac:dyDescent="0.25">
      <c r="A4021" t="s">
        <v>4291</v>
      </c>
    </row>
    <row r="4022" spans="1:1" x14ac:dyDescent="0.25">
      <c r="A4022" t="s">
        <v>2580</v>
      </c>
    </row>
    <row r="4023" spans="1:1" x14ac:dyDescent="0.25">
      <c r="A4023" t="s">
        <v>2581</v>
      </c>
    </row>
    <row r="4024" spans="1:1" x14ac:dyDescent="0.25">
      <c r="A4024" t="s">
        <v>2582</v>
      </c>
    </row>
    <row r="4025" spans="1:1" x14ac:dyDescent="0.25">
      <c r="A4025" t="s">
        <v>2583</v>
      </c>
    </row>
    <row r="4026" spans="1:1" x14ac:dyDescent="0.25">
      <c r="A4026" t="s">
        <v>2584</v>
      </c>
    </row>
    <row r="4027" spans="1:1" x14ac:dyDescent="0.25">
      <c r="A4027" t="s">
        <v>3955</v>
      </c>
    </row>
    <row r="4028" spans="1:1" x14ac:dyDescent="0.25">
      <c r="A4028" t="s">
        <v>4291</v>
      </c>
    </row>
    <row r="4029" spans="1:1" x14ac:dyDescent="0.25">
      <c r="A4029" t="s">
        <v>3956</v>
      </c>
    </row>
    <row r="4030" spans="1:1" x14ac:dyDescent="0.25">
      <c r="A4030" t="s">
        <v>4291</v>
      </c>
    </row>
    <row r="4031" spans="1:1" x14ac:dyDescent="0.25">
      <c r="A4031" t="s">
        <v>3957</v>
      </c>
    </row>
    <row r="4032" spans="1:1" x14ac:dyDescent="0.25">
      <c r="A4032" t="s">
        <v>4291</v>
      </c>
    </row>
    <row r="4033" spans="1:1" x14ac:dyDescent="0.25">
      <c r="A4033" t="s">
        <v>848</v>
      </c>
    </row>
    <row r="4034" spans="1:1" x14ac:dyDescent="0.25">
      <c r="A4034" t="s">
        <v>1229</v>
      </c>
    </row>
    <row r="4035" spans="1:1" x14ac:dyDescent="0.25">
      <c r="A4035" t="s">
        <v>4521</v>
      </c>
    </row>
    <row r="4036" spans="1:1" x14ac:dyDescent="0.25">
      <c r="A4036" t="s">
        <v>2745</v>
      </c>
    </row>
    <row r="4037" spans="1:1" x14ac:dyDescent="0.25">
      <c r="A4037" t="s">
        <v>2746</v>
      </c>
    </row>
    <row r="4038" spans="1:1" x14ac:dyDescent="0.25">
      <c r="A4038" t="s">
        <v>2747</v>
      </c>
    </row>
    <row r="4039" spans="1:1" x14ac:dyDescent="0.25">
      <c r="A4039" t="s">
        <v>2748</v>
      </c>
    </row>
    <row r="4040" spans="1:1" x14ac:dyDescent="0.25">
      <c r="A4040" t="s">
        <v>2749</v>
      </c>
    </row>
    <row r="4041" spans="1:1" x14ac:dyDescent="0.25">
      <c r="A4041" t="s">
        <v>4054</v>
      </c>
    </row>
    <row r="4042" spans="1:1" x14ac:dyDescent="0.25">
      <c r="A4042" t="s">
        <v>4291</v>
      </c>
    </row>
    <row r="4043" spans="1:1" x14ac:dyDescent="0.25">
      <c r="A4043" t="s">
        <v>4055</v>
      </c>
    </row>
    <row r="4044" spans="1:1" x14ac:dyDescent="0.25">
      <c r="A4044" t="s">
        <v>4291</v>
      </c>
    </row>
    <row r="4045" spans="1:1" x14ac:dyDescent="0.25">
      <c r="A4045" t="s">
        <v>4056</v>
      </c>
    </row>
    <row r="4046" spans="1:1" x14ac:dyDescent="0.25">
      <c r="A4046" t="s">
        <v>4291</v>
      </c>
    </row>
    <row r="4047" spans="1:1" x14ac:dyDescent="0.25">
      <c r="A4047" t="s">
        <v>849</v>
      </c>
    </row>
    <row r="4048" spans="1:1" x14ac:dyDescent="0.25">
      <c r="A4048" t="s">
        <v>1230</v>
      </c>
    </row>
    <row r="4049" spans="1:1" x14ac:dyDescent="0.25">
      <c r="A4049" t="s">
        <v>4522</v>
      </c>
    </row>
    <row r="4050" spans="1:1" x14ac:dyDescent="0.25">
      <c r="A4050" t="s">
        <v>2750</v>
      </c>
    </row>
    <row r="4051" spans="1:1" x14ac:dyDescent="0.25">
      <c r="A4051" t="s">
        <v>2751</v>
      </c>
    </row>
    <row r="4052" spans="1:1" x14ac:dyDescent="0.25">
      <c r="A4052" t="s">
        <v>2752</v>
      </c>
    </row>
    <row r="4053" spans="1:1" x14ac:dyDescent="0.25">
      <c r="A4053" t="s">
        <v>2753</v>
      </c>
    </row>
    <row r="4054" spans="1:1" x14ac:dyDescent="0.25">
      <c r="A4054" t="s">
        <v>2754</v>
      </c>
    </row>
    <row r="4055" spans="1:1" x14ac:dyDescent="0.25">
      <c r="A4055" t="s">
        <v>4057</v>
      </c>
    </row>
    <row r="4056" spans="1:1" x14ac:dyDescent="0.25">
      <c r="A4056" t="s">
        <v>4291</v>
      </c>
    </row>
    <row r="4057" spans="1:1" x14ac:dyDescent="0.25">
      <c r="A4057" t="s">
        <v>4058</v>
      </c>
    </row>
    <row r="4058" spans="1:1" x14ac:dyDescent="0.25">
      <c r="A4058" t="s">
        <v>4291</v>
      </c>
    </row>
    <row r="4059" spans="1:1" x14ac:dyDescent="0.25">
      <c r="A4059" t="s">
        <v>4059</v>
      </c>
    </row>
    <row r="4060" spans="1:1" x14ac:dyDescent="0.25">
      <c r="A4060" t="s">
        <v>4291</v>
      </c>
    </row>
    <row r="4061" spans="1:1" x14ac:dyDescent="0.25">
      <c r="A4061" t="s">
        <v>850</v>
      </c>
    </row>
    <row r="4062" spans="1:1" x14ac:dyDescent="0.25">
      <c r="A4062" t="s">
        <v>1231</v>
      </c>
    </row>
    <row r="4063" spans="1:1" x14ac:dyDescent="0.25">
      <c r="A4063" t="s">
        <v>4523</v>
      </c>
    </row>
    <row r="4064" spans="1:1" x14ac:dyDescent="0.25">
      <c r="A4064" t="s">
        <v>2755</v>
      </c>
    </row>
    <row r="4065" spans="1:1" x14ac:dyDescent="0.25">
      <c r="A4065" t="s">
        <v>2756</v>
      </c>
    </row>
    <row r="4066" spans="1:1" x14ac:dyDescent="0.25">
      <c r="A4066" t="s">
        <v>2757</v>
      </c>
    </row>
    <row r="4067" spans="1:1" x14ac:dyDescent="0.25">
      <c r="A4067" t="s">
        <v>2758</v>
      </c>
    </row>
    <row r="4068" spans="1:1" x14ac:dyDescent="0.25">
      <c r="A4068" t="s">
        <v>2759</v>
      </c>
    </row>
    <row r="4069" spans="1:1" x14ac:dyDescent="0.25">
      <c r="A4069" t="s">
        <v>4060</v>
      </c>
    </row>
    <row r="4070" spans="1:1" x14ac:dyDescent="0.25">
      <c r="A4070" t="s">
        <v>4291</v>
      </c>
    </row>
    <row r="4071" spans="1:1" x14ac:dyDescent="0.25">
      <c r="A4071" t="s">
        <v>4061</v>
      </c>
    </row>
    <row r="4072" spans="1:1" x14ac:dyDescent="0.25">
      <c r="A4072" t="s">
        <v>4291</v>
      </c>
    </row>
    <row r="4073" spans="1:1" x14ac:dyDescent="0.25">
      <c r="A4073" t="s">
        <v>4062</v>
      </c>
    </row>
    <row r="4074" spans="1:1" x14ac:dyDescent="0.25">
      <c r="A4074" t="s">
        <v>4291</v>
      </c>
    </row>
    <row r="4075" spans="1:1" x14ac:dyDescent="0.25">
      <c r="A4075" t="s">
        <v>851</v>
      </c>
    </row>
    <row r="4076" spans="1:1" x14ac:dyDescent="0.25">
      <c r="A4076" t="s">
        <v>1232</v>
      </c>
    </row>
    <row r="4077" spans="1:1" x14ac:dyDescent="0.25">
      <c r="A4077" t="s">
        <v>4524</v>
      </c>
    </row>
    <row r="4078" spans="1:1" x14ac:dyDescent="0.25">
      <c r="A4078" t="s">
        <v>2760</v>
      </c>
    </row>
    <row r="4079" spans="1:1" x14ac:dyDescent="0.25">
      <c r="A4079" t="s">
        <v>2761</v>
      </c>
    </row>
    <row r="4080" spans="1:1" x14ac:dyDescent="0.25">
      <c r="A4080" t="s">
        <v>2762</v>
      </c>
    </row>
    <row r="4081" spans="1:1" x14ac:dyDescent="0.25">
      <c r="A4081" t="s">
        <v>2763</v>
      </c>
    </row>
    <row r="4082" spans="1:1" x14ac:dyDescent="0.25">
      <c r="A4082" t="s">
        <v>2764</v>
      </c>
    </row>
    <row r="4083" spans="1:1" x14ac:dyDescent="0.25">
      <c r="A4083" t="s">
        <v>4063</v>
      </c>
    </row>
    <row r="4084" spans="1:1" x14ac:dyDescent="0.25">
      <c r="A4084" t="s">
        <v>4291</v>
      </c>
    </row>
    <row r="4085" spans="1:1" x14ac:dyDescent="0.25">
      <c r="A4085" t="s">
        <v>4064</v>
      </c>
    </row>
    <row r="4086" spans="1:1" x14ac:dyDescent="0.25">
      <c r="A4086" t="s">
        <v>4291</v>
      </c>
    </row>
    <row r="4087" spans="1:1" x14ac:dyDescent="0.25">
      <c r="A4087" t="s">
        <v>4065</v>
      </c>
    </row>
    <row r="4088" spans="1:1" x14ac:dyDescent="0.25">
      <c r="A4088" t="s">
        <v>4291</v>
      </c>
    </row>
    <row r="4089" spans="1:1" x14ac:dyDescent="0.25">
      <c r="A4089" t="s">
        <v>852</v>
      </c>
    </row>
    <row r="4090" spans="1:1" x14ac:dyDescent="0.25">
      <c r="A4090" t="s">
        <v>1233</v>
      </c>
    </row>
    <row r="4091" spans="1:1" x14ac:dyDescent="0.25">
      <c r="A4091" t="s">
        <v>4525</v>
      </c>
    </row>
    <row r="4092" spans="1:1" x14ac:dyDescent="0.25">
      <c r="A4092" t="s">
        <v>2765</v>
      </c>
    </row>
    <row r="4093" spans="1:1" x14ac:dyDescent="0.25">
      <c r="A4093" t="s">
        <v>2766</v>
      </c>
    </row>
    <row r="4094" spans="1:1" x14ac:dyDescent="0.25">
      <c r="A4094" t="s">
        <v>2767</v>
      </c>
    </row>
    <row r="4095" spans="1:1" x14ac:dyDescent="0.25">
      <c r="A4095" t="s">
        <v>2768</v>
      </c>
    </row>
    <row r="4096" spans="1:1" x14ac:dyDescent="0.25">
      <c r="A4096" t="s">
        <v>2769</v>
      </c>
    </row>
    <row r="4097" spans="1:1" x14ac:dyDescent="0.25">
      <c r="A4097" t="s">
        <v>4066</v>
      </c>
    </row>
    <row r="4098" spans="1:1" x14ac:dyDescent="0.25">
      <c r="A4098" t="s">
        <v>4291</v>
      </c>
    </row>
    <row r="4099" spans="1:1" x14ac:dyDescent="0.25">
      <c r="A4099" t="s">
        <v>4067</v>
      </c>
    </row>
    <row r="4100" spans="1:1" x14ac:dyDescent="0.25">
      <c r="A4100" t="s">
        <v>4291</v>
      </c>
    </row>
    <row r="4101" spans="1:1" x14ac:dyDescent="0.25">
      <c r="A4101" t="s">
        <v>4068</v>
      </c>
    </row>
    <row r="4102" spans="1:1" x14ac:dyDescent="0.25">
      <c r="A4102" t="s">
        <v>4291</v>
      </c>
    </row>
    <row r="4103" spans="1:1" x14ac:dyDescent="0.25">
      <c r="A4103" t="s">
        <v>853</v>
      </c>
    </row>
    <row r="4104" spans="1:1" x14ac:dyDescent="0.25">
      <c r="A4104" t="s">
        <v>1234</v>
      </c>
    </row>
    <row r="4105" spans="1:1" x14ac:dyDescent="0.25">
      <c r="A4105" t="s">
        <v>4526</v>
      </c>
    </row>
    <row r="4106" spans="1:1" x14ac:dyDescent="0.25">
      <c r="A4106" t="s">
        <v>2770</v>
      </c>
    </row>
    <row r="4107" spans="1:1" x14ac:dyDescent="0.25">
      <c r="A4107" t="s">
        <v>2771</v>
      </c>
    </row>
    <row r="4108" spans="1:1" x14ac:dyDescent="0.25">
      <c r="A4108" t="s">
        <v>2772</v>
      </c>
    </row>
    <row r="4109" spans="1:1" x14ac:dyDescent="0.25">
      <c r="A4109" t="s">
        <v>2773</v>
      </c>
    </row>
    <row r="4110" spans="1:1" x14ac:dyDescent="0.25">
      <c r="A4110" t="s">
        <v>2774</v>
      </c>
    </row>
    <row r="4111" spans="1:1" x14ac:dyDescent="0.25">
      <c r="A4111" t="s">
        <v>4069</v>
      </c>
    </row>
    <row r="4112" spans="1:1" x14ac:dyDescent="0.25">
      <c r="A4112" t="s">
        <v>4291</v>
      </c>
    </row>
    <row r="4113" spans="1:1" x14ac:dyDescent="0.25">
      <c r="A4113" t="s">
        <v>4070</v>
      </c>
    </row>
    <row r="4114" spans="1:1" x14ac:dyDescent="0.25">
      <c r="A4114" t="s">
        <v>4291</v>
      </c>
    </row>
    <row r="4115" spans="1:1" x14ac:dyDescent="0.25">
      <c r="A4115" t="s">
        <v>4071</v>
      </c>
    </row>
    <row r="4116" spans="1:1" x14ac:dyDescent="0.25">
      <c r="A4116" t="s">
        <v>4291</v>
      </c>
    </row>
    <row r="4117" spans="1:1" x14ac:dyDescent="0.25">
      <c r="A4117" t="s">
        <v>854</v>
      </c>
    </row>
    <row r="4118" spans="1:1" x14ac:dyDescent="0.25">
      <c r="A4118" t="s">
        <v>1235</v>
      </c>
    </row>
    <row r="4119" spans="1:1" x14ac:dyDescent="0.25">
      <c r="A4119" t="s">
        <v>4527</v>
      </c>
    </row>
    <row r="4120" spans="1:1" x14ac:dyDescent="0.25">
      <c r="A4120" t="s">
        <v>2775</v>
      </c>
    </row>
    <row r="4121" spans="1:1" x14ac:dyDescent="0.25">
      <c r="A4121" t="s">
        <v>2776</v>
      </c>
    </row>
    <row r="4122" spans="1:1" x14ac:dyDescent="0.25">
      <c r="A4122" t="s">
        <v>2777</v>
      </c>
    </row>
    <row r="4123" spans="1:1" x14ac:dyDescent="0.25">
      <c r="A4123" t="s">
        <v>2778</v>
      </c>
    </row>
    <row r="4124" spans="1:1" x14ac:dyDescent="0.25">
      <c r="A4124" t="s">
        <v>2779</v>
      </c>
    </row>
    <row r="4125" spans="1:1" x14ac:dyDescent="0.25">
      <c r="A4125" t="s">
        <v>4072</v>
      </c>
    </row>
    <row r="4126" spans="1:1" x14ac:dyDescent="0.25">
      <c r="A4126" t="s">
        <v>4291</v>
      </c>
    </row>
    <row r="4127" spans="1:1" x14ac:dyDescent="0.25">
      <c r="A4127" t="s">
        <v>4073</v>
      </c>
    </row>
    <row r="4128" spans="1:1" x14ac:dyDescent="0.25">
      <c r="A4128" t="s">
        <v>4291</v>
      </c>
    </row>
    <row r="4129" spans="1:1" x14ac:dyDescent="0.25">
      <c r="A4129" t="s">
        <v>4074</v>
      </c>
    </row>
    <row r="4130" spans="1:1" x14ac:dyDescent="0.25">
      <c r="A4130" t="s">
        <v>4291</v>
      </c>
    </row>
    <row r="4131" spans="1:1" x14ac:dyDescent="0.25">
      <c r="A4131" t="s">
        <v>855</v>
      </c>
    </row>
    <row r="4132" spans="1:1" x14ac:dyDescent="0.25">
      <c r="A4132" t="s">
        <v>1236</v>
      </c>
    </row>
    <row r="4133" spans="1:1" x14ac:dyDescent="0.25">
      <c r="A4133" t="s">
        <v>4528</v>
      </c>
    </row>
    <row r="4134" spans="1:1" x14ac:dyDescent="0.25">
      <c r="A4134" t="s">
        <v>2780</v>
      </c>
    </row>
    <row r="4135" spans="1:1" x14ac:dyDescent="0.25">
      <c r="A4135" t="s">
        <v>2781</v>
      </c>
    </row>
    <row r="4136" spans="1:1" x14ac:dyDescent="0.25">
      <c r="A4136" t="s">
        <v>2782</v>
      </c>
    </row>
    <row r="4137" spans="1:1" x14ac:dyDescent="0.25">
      <c r="A4137" t="s">
        <v>2783</v>
      </c>
    </row>
    <row r="4138" spans="1:1" x14ac:dyDescent="0.25">
      <c r="A4138" t="s">
        <v>2784</v>
      </c>
    </row>
    <row r="4139" spans="1:1" x14ac:dyDescent="0.25">
      <c r="A4139" t="s">
        <v>4075</v>
      </c>
    </row>
    <row r="4140" spans="1:1" x14ac:dyDescent="0.25">
      <c r="A4140" t="s">
        <v>4291</v>
      </c>
    </row>
    <row r="4141" spans="1:1" x14ac:dyDescent="0.25">
      <c r="A4141" t="s">
        <v>4076</v>
      </c>
    </row>
    <row r="4142" spans="1:1" x14ac:dyDescent="0.25">
      <c r="A4142" t="s">
        <v>4291</v>
      </c>
    </row>
    <row r="4143" spans="1:1" x14ac:dyDescent="0.25">
      <c r="A4143" t="s">
        <v>4077</v>
      </c>
    </row>
    <row r="4144" spans="1:1" x14ac:dyDescent="0.25">
      <c r="A4144" t="s">
        <v>4291</v>
      </c>
    </row>
    <row r="4145" spans="1:1" x14ac:dyDescent="0.25">
      <c r="A4145" t="s">
        <v>856</v>
      </c>
    </row>
    <row r="4146" spans="1:1" x14ac:dyDescent="0.25">
      <c r="A4146" t="s">
        <v>1237</v>
      </c>
    </row>
    <row r="4147" spans="1:1" x14ac:dyDescent="0.25">
      <c r="A4147" t="s">
        <v>4529</v>
      </c>
    </row>
    <row r="4148" spans="1:1" x14ac:dyDescent="0.25">
      <c r="A4148" t="s">
        <v>2785</v>
      </c>
    </row>
    <row r="4149" spans="1:1" x14ac:dyDescent="0.25">
      <c r="A4149" t="s">
        <v>2786</v>
      </c>
    </row>
    <row r="4150" spans="1:1" x14ac:dyDescent="0.25">
      <c r="A4150" t="s">
        <v>2787</v>
      </c>
    </row>
    <row r="4151" spans="1:1" x14ac:dyDescent="0.25">
      <c r="A4151" t="s">
        <v>2788</v>
      </c>
    </row>
    <row r="4152" spans="1:1" x14ac:dyDescent="0.25">
      <c r="A4152" t="s">
        <v>2789</v>
      </c>
    </row>
    <row r="4153" spans="1:1" x14ac:dyDescent="0.25">
      <c r="A4153" t="s">
        <v>4078</v>
      </c>
    </row>
    <row r="4154" spans="1:1" x14ac:dyDescent="0.25">
      <c r="A4154" t="s">
        <v>4291</v>
      </c>
    </row>
    <row r="4155" spans="1:1" x14ac:dyDescent="0.25">
      <c r="A4155" t="s">
        <v>4079</v>
      </c>
    </row>
    <row r="4156" spans="1:1" x14ac:dyDescent="0.25">
      <c r="A4156" t="s">
        <v>4291</v>
      </c>
    </row>
    <row r="4157" spans="1:1" x14ac:dyDescent="0.25">
      <c r="A4157" t="s">
        <v>4080</v>
      </c>
    </row>
    <row r="4158" spans="1:1" x14ac:dyDescent="0.25">
      <c r="A4158" t="s">
        <v>4291</v>
      </c>
    </row>
    <row r="4159" spans="1:1" x14ac:dyDescent="0.25">
      <c r="A4159" t="s">
        <v>857</v>
      </c>
    </row>
    <row r="4160" spans="1:1" x14ac:dyDescent="0.25">
      <c r="A4160" t="s">
        <v>1238</v>
      </c>
    </row>
    <row r="4161" spans="1:1" x14ac:dyDescent="0.25">
      <c r="A4161" t="s">
        <v>4530</v>
      </c>
    </row>
    <row r="4162" spans="1:1" x14ac:dyDescent="0.25">
      <c r="A4162" t="s">
        <v>2790</v>
      </c>
    </row>
    <row r="4163" spans="1:1" x14ac:dyDescent="0.25">
      <c r="A4163" t="s">
        <v>2791</v>
      </c>
    </row>
    <row r="4164" spans="1:1" x14ac:dyDescent="0.25">
      <c r="A4164" t="s">
        <v>2792</v>
      </c>
    </row>
    <row r="4165" spans="1:1" x14ac:dyDescent="0.25">
      <c r="A4165" t="s">
        <v>2793</v>
      </c>
    </row>
    <row r="4166" spans="1:1" x14ac:dyDescent="0.25">
      <c r="A4166" t="s">
        <v>2794</v>
      </c>
    </row>
    <row r="4167" spans="1:1" x14ac:dyDescent="0.25">
      <c r="A4167" t="s">
        <v>4081</v>
      </c>
    </row>
    <row r="4168" spans="1:1" x14ac:dyDescent="0.25">
      <c r="A4168" t="s">
        <v>4291</v>
      </c>
    </row>
    <row r="4169" spans="1:1" x14ac:dyDescent="0.25">
      <c r="A4169" t="s">
        <v>4082</v>
      </c>
    </row>
    <row r="4170" spans="1:1" x14ac:dyDescent="0.25">
      <c r="A4170" t="s">
        <v>4291</v>
      </c>
    </row>
    <row r="4171" spans="1:1" x14ac:dyDescent="0.25">
      <c r="A4171" t="s">
        <v>4083</v>
      </c>
    </row>
    <row r="4172" spans="1:1" x14ac:dyDescent="0.25">
      <c r="A4172" t="s">
        <v>4291</v>
      </c>
    </row>
    <row r="4173" spans="1:1" x14ac:dyDescent="0.25">
      <c r="A4173" t="s">
        <v>858</v>
      </c>
    </row>
    <row r="4174" spans="1:1" x14ac:dyDescent="0.25">
      <c r="A4174" t="s">
        <v>1239</v>
      </c>
    </row>
    <row r="4175" spans="1:1" x14ac:dyDescent="0.25">
      <c r="A4175" t="s">
        <v>4531</v>
      </c>
    </row>
    <row r="4176" spans="1:1" x14ac:dyDescent="0.25">
      <c r="A4176" t="s">
        <v>2795</v>
      </c>
    </row>
    <row r="4177" spans="1:1" x14ac:dyDescent="0.25">
      <c r="A4177" t="s">
        <v>2796</v>
      </c>
    </row>
    <row r="4178" spans="1:1" x14ac:dyDescent="0.25">
      <c r="A4178" t="s">
        <v>2797</v>
      </c>
    </row>
    <row r="4179" spans="1:1" x14ac:dyDescent="0.25">
      <c r="A4179" t="s">
        <v>2798</v>
      </c>
    </row>
    <row r="4180" spans="1:1" x14ac:dyDescent="0.25">
      <c r="A4180" t="s">
        <v>2799</v>
      </c>
    </row>
    <row r="4181" spans="1:1" x14ac:dyDescent="0.25">
      <c r="A4181" t="s">
        <v>4084</v>
      </c>
    </row>
    <row r="4182" spans="1:1" x14ac:dyDescent="0.25">
      <c r="A4182" t="s">
        <v>4291</v>
      </c>
    </row>
    <row r="4183" spans="1:1" x14ac:dyDescent="0.25">
      <c r="A4183" t="s">
        <v>4085</v>
      </c>
    </row>
    <row r="4184" spans="1:1" x14ac:dyDescent="0.25">
      <c r="A4184" t="s">
        <v>4291</v>
      </c>
    </row>
    <row r="4185" spans="1:1" x14ac:dyDescent="0.25">
      <c r="A4185" t="s">
        <v>4086</v>
      </c>
    </row>
    <row r="4186" spans="1:1" x14ac:dyDescent="0.25">
      <c r="A4186" t="s">
        <v>4291</v>
      </c>
    </row>
    <row r="4187" spans="1:1" x14ac:dyDescent="0.25">
      <c r="A4187" t="s">
        <v>859</v>
      </c>
    </row>
    <row r="4188" spans="1:1" x14ac:dyDescent="0.25">
      <c r="A4188" t="s">
        <v>1240</v>
      </c>
    </row>
    <row r="4189" spans="1:1" x14ac:dyDescent="0.25">
      <c r="A4189" t="s">
        <v>4532</v>
      </c>
    </row>
    <row r="4190" spans="1:1" x14ac:dyDescent="0.25">
      <c r="A4190" t="s">
        <v>2800</v>
      </c>
    </row>
    <row r="4191" spans="1:1" x14ac:dyDescent="0.25">
      <c r="A4191" t="s">
        <v>2801</v>
      </c>
    </row>
    <row r="4192" spans="1:1" x14ac:dyDescent="0.25">
      <c r="A4192" t="s">
        <v>2802</v>
      </c>
    </row>
    <row r="4193" spans="1:1" x14ac:dyDescent="0.25">
      <c r="A4193" t="s">
        <v>2803</v>
      </c>
    </row>
    <row r="4194" spans="1:1" x14ac:dyDescent="0.25">
      <c r="A4194" t="s">
        <v>2804</v>
      </c>
    </row>
    <row r="4195" spans="1:1" x14ac:dyDescent="0.25">
      <c r="A4195" t="s">
        <v>4087</v>
      </c>
    </row>
    <row r="4196" spans="1:1" x14ac:dyDescent="0.25">
      <c r="A4196" t="s">
        <v>4291</v>
      </c>
    </row>
    <row r="4197" spans="1:1" x14ac:dyDescent="0.25">
      <c r="A4197" t="s">
        <v>4088</v>
      </c>
    </row>
    <row r="4198" spans="1:1" x14ac:dyDescent="0.25">
      <c r="A4198" t="s">
        <v>4291</v>
      </c>
    </row>
    <row r="4199" spans="1:1" x14ac:dyDescent="0.25">
      <c r="A4199" t="s">
        <v>4089</v>
      </c>
    </row>
    <row r="4200" spans="1:1" x14ac:dyDescent="0.25">
      <c r="A4200" t="s">
        <v>4291</v>
      </c>
    </row>
    <row r="4201" spans="1:1" x14ac:dyDescent="0.25">
      <c r="A4201" t="s">
        <v>860</v>
      </c>
    </row>
    <row r="4202" spans="1:1" x14ac:dyDescent="0.25">
      <c r="A4202" t="s">
        <v>1241</v>
      </c>
    </row>
    <row r="4203" spans="1:1" x14ac:dyDescent="0.25">
      <c r="A4203" t="s">
        <v>4533</v>
      </c>
    </row>
    <row r="4204" spans="1:1" x14ac:dyDescent="0.25">
      <c r="A4204" t="s">
        <v>2805</v>
      </c>
    </row>
    <row r="4205" spans="1:1" x14ac:dyDescent="0.25">
      <c r="A4205" t="s">
        <v>2806</v>
      </c>
    </row>
    <row r="4206" spans="1:1" x14ac:dyDescent="0.25">
      <c r="A4206" t="s">
        <v>2807</v>
      </c>
    </row>
    <row r="4207" spans="1:1" x14ac:dyDescent="0.25">
      <c r="A4207" t="s">
        <v>2808</v>
      </c>
    </row>
    <row r="4208" spans="1:1" x14ac:dyDescent="0.25">
      <c r="A4208" t="s">
        <v>2809</v>
      </c>
    </row>
    <row r="4209" spans="1:1" x14ac:dyDescent="0.25">
      <c r="A4209" t="s">
        <v>4090</v>
      </c>
    </row>
    <row r="4210" spans="1:1" x14ac:dyDescent="0.25">
      <c r="A4210" t="s">
        <v>4291</v>
      </c>
    </row>
    <row r="4211" spans="1:1" x14ac:dyDescent="0.25">
      <c r="A4211" t="s">
        <v>4091</v>
      </c>
    </row>
    <row r="4212" spans="1:1" x14ac:dyDescent="0.25">
      <c r="A4212" t="s">
        <v>4291</v>
      </c>
    </row>
    <row r="4213" spans="1:1" x14ac:dyDescent="0.25">
      <c r="A4213" t="s">
        <v>4092</v>
      </c>
    </row>
    <row r="4214" spans="1:1" x14ac:dyDescent="0.25">
      <c r="A4214" t="s">
        <v>4291</v>
      </c>
    </row>
    <row r="4215" spans="1:1" x14ac:dyDescent="0.25">
      <c r="A4215" t="s">
        <v>861</v>
      </c>
    </row>
    <row r="4216" spans="1:1" x14ac:dyDescent="0.25">
      <c r="A4216" t="s">
        <v>1242</v>
      </c>
    </row>
    <row r="4217" spans="1:1" x14ac:dyDescent="0.25">
      <c r="A4217" t="s">
        <v>4534</v>
      </c>
    </row>
    <row r="4218" spans="1:1" x14ac:dyDescent="0.25">
      <c r="A4218" t="s">
        <v>2810</v>
      </c>
    </row>
    <row r="4219" spans="1:1" x14ac:dyDescent="0.25">
      <c r="A4219" t="s">
        <v>2811</v>
      </c>
    </row>
    <row r="4220" spans="1:1" x14ac:dyDescent="0.25">
      <c r="A4220" t="s">
        <v>2812</v>
      </c>
    </row>
    <row r="4221" spans="1:1" x14ac:dyDescent="0.25">
      <c r="A4221" t="s">
        <v>2813</v>
      </c>
    </row>
    <row r="4222" spans="1:1" x14ac:dyDescent="0.25">
      <c r="A4222" t="s">
        <v>2814</v>
      </c>
    </row>
    <row r="4223" spans="1:1" x14ac:dyDescent="0.25">
      <c r="A4223" t="s">
        <v>4093</v>
      </c>
    </row>
    <row r="4224" spans="1:1" x14ac:dyDescent="0.25">
      <c r="A4224" t="s">
        <v>4291</v>
      </c>
    </row>
    <row r="4225" spans="1:1" x14ac:dyDescent="0.25">
      <c r="A4225" t="s">
        <v>4094</v>
      </c>
    </row>
    <row r="4226" spans="1:1" x14ac:dyDescent="0.25">
      <c r="A4226" t="s">
        <v>4291</v>
      </c>
    </row>
    <row r="4227" spans="1:1" x14ac:dyDescent="0.25">
      <c r="A4227" t="s">
        <v>4095</v>
      </c>
    </row>
    <row r="4228" spans="1:1" x14ac:dyDescent="0.25">
      <c r="A4228" t="s">
        <v>4291</v>
      </c>
    </row>
    <row r="4229" spans="1:1" x14ac:dyDescent="0.25">
      <c r="A4229" t="s">
        <v>862</v>
      </c>
    </row>
    <row r="4230" spans="1:1" x14ac:dyDescent="0.25">
      <c r="A4230" t="s">
        <v>1243</v>
      </c>
    </row>
    <row r="4231" spans="1:1" x14ac:dyDescent="0.25">
      <c r="A4231" t="s">
        <v>4535</v>
      </c>
    </row>
    <row r="4232" spans="1:1" x14ac:dyDescent="0.25">
      <c r="A4232" t="s">
        <v>2815</v>
      </c>
    </row>
    <row r="4233" spans="1:1" x14ac:dyDescent="0.25">
      <c r="A4233" t="s">
        <v>2816</v>
      </c>
    </row>
    <row r="4234" spans="1:1" x14ac:dyDescent="0.25">
      <c r="A4234" t="s">
        <v>2817</v>
      </c>
    </row>
    <row r="4235" spans="1:1" x14ac:dyDescent="0.25">
      <c r="A4235" t="s">
        <v>2818</v>
      </c>
    </row>
    <row r="4236" spans="1:1" x14ac:dyDescent="0.25">
      <c r="A4236" t="s">
        <v>2819</v>
      </c>
    </row>
    <row r="4237" spans="1:1" x14ac:dyDescent="0.25">
      <c r="A4237" t="s">
        <v>4096</v>
      </c>
    </row>
    <row r="4238" spans="1:1" x14ac:dyDescent="0.25">
      <c r="A4238" t="s">
        <v>4291</v>
      </c>
    </row>
    <row r="4239" spans="1:1" x14ac:dyDescent="0.25">
      <c r="A4239" t="s">
        <v>4097</v>
      </c>
    </row>
    <row r="4240" spans="1:1" x14ac:dyDescent="0.25">
      <c r="A4240" t="s">
        <v>4291</v>
      </c>
    </row>
    <row r="4241" spans="1:1" x14ac:dyDescent="0.25">
      <c r="A4241" t="s">
        <v>4098</v>
      </c>
    </row>
    <row r="4242" spans="1:1" x14ac:dyDescent="0.25">
      <c r="A4242" t="s">
        <v>4291</v>
      </c>
    </row>
    <row r="4243" spans="1:1" x14ac:dyDescent="0.25">
      <c r="A4243" t="s">
        <v>863</v>
      </c>
    </row>
    <row r="4244" spans="1:1" x14ac:dyDescent="0.25">
      <c r="A4244" t="s">
        <v>1244</v>
      </c>
    </row>
    <row r="4245" spans="1:1" x14ac:dyDescent="0.25">
      <c r="A4245" t="s">
        <v>4536</v>
      </c>
    </row>
    <row r="4246" spans="1:1" x14ac:dyDescent="0.25">
      <c r="A4246" t="s">
        <v>2820</v>
      </c>
    </row>
    <row r="4247" spans="1:1" x14ac:dyDescent="0.25">
      <c r="A4247" t="s">
        <v>2821</v>
      </c>
    </row>
    <row r="4248" spans="1:1" x14ac:dyDescent="0.25">
      <c r="A4248" t="s">
        <v>2822</v>
      </c>
    </row>
    <row r="4249" spans="1:1" x14ac:dyDescent="0.25">
      <c r="A4249" t="s">
        <v>2823</v>
      </c>
    </row>
    <row r="4250" spans="1:1" x14ac:dyDescent="0.25">
      <c r="A4250" t="s">
        <v>2824</v>
      </c>
    </row>
    <row r="4251" spans="1:1" x14ac:dyDescent="0.25">
      <c r="A4251" t="s">
        <v>4099</v>
      </c>
    </row>
    <row r="4252" spans="1:1" x14ac:dyDescent="0.25">
      <c r="A4252" t="s">
        <v>4291</v>
      </c>
    </row>
    <row r="4253" spans="1:1" x14ac:dyDescent="0.25">
      <c r="A4253" t="s">
        <v>4100</v>
      </c>
    </row>
    <row r="4254" spans="1:1" x14ac:dyDescent="0.25">
      <c r="A4254" t="s">
        <v>4291</v>
      </c>
    </row>
    <row r="4255" spans="1:1" x14ac:dyDescent="0.25">
      <c r="A4255" t="s">
        <v>4101</v>
      </c>
    </row>
    <row r="4256" spans="1:1" x14ac:dyDescent="0.25">
      <c r="A4256" t="s">
        <v>4291</v>
      </c>
    </row>
    <row r="4257" spans="1:1" x14ac:dyDescent="0.25">
      <c r="A4257" t="s">
        <v>864</v>
      </c>
    </row>
    <row r="4258" spans="1:1" x14ac:dyDescent="0.25">
      <c r="A4258" t="s">
        <v>1245</v>
      </c>
    </row>
    <row r="4259" spans="1:1" x14ac:dyDescent="0.25">
      <c r="A4259" t="s">
        <v>4537</v>
      </c>
    </row>
    <row r="4260" spans="1:1" x14ac:dyDescent="0.25">
      <c r="A4260" t="s">
        <v>2825</v>
      </c>
    </row>
    <row r="4261" spans="1:1" x14ac:dyDescent="0.25">
      <c r="A4261" t="s">
        <v>2826</v>
      </c>
    </row>
    <row r="4262" spans="1:1" x14ac:dyDescent="0.25">
      <c r="A4262" t="s">
        <v>2827</v>
      </c>
    </row>
    <row r="4263" spans="1:1" x14ac:dyDescent="0.25">
      <c r="A4263" t="s">
        <v>2828</v>
      </c>
    </row>
    <row r="4264" spans="1:1" x14ac:dyDescent="0.25">
      <c r="A4264" t="s">
        <v>2829</v>
      </c>
    </row>
    <row r="4265" spans="1:1" x14ac:dyDescent="0.25">
      <c r="A4265" t="s">
        <v>4102</v>
      </c>
    </row>
    <row r="4266" spans="1:1" x14ac:dyDescent="0.25">
      <c r="A4266" t="s">
        <v>4291</v>
      </c>
    </row>
    <row r="4267" spans="1:1" x14ac:dyDescent="0.25">
      <c r="A4267" t="s">
        <v>4103</v>
      </c>
    </row>
    <row r="4268" spans="1:1" x14ac:dyDescent="0.25">
      <c r="A4268" t="s">
        <v>4291</v>
      </c>
    </row>
    <row r="4269" spans="1:1" x14ac:dyDescent="0.25">
      <c r="A4269" t="s">
        <v>4104</v>
      </c>
    </row>
    <row r="4270" spans="1:1" x14ac:dyDescent="0.25">
      <c r="A4270" t="s">
        <v>4291</v>
      </c>
    </row>
    <row r="4271" spans="1:1" x14ac:dyDescent="0.25">
      <c r="A4271" t="s">
        <v>865</v>
      </c>
    </row>
    <row r="4272" spans="1:1" x14ac:dyDescent="0.25">
      <c r="A4272" t="s">
        <v>1246</v>
      </c>
    </row>
    <row r="4273" spans="1:1" x14ac:dyDescent="0.25">
      <c r="A4273" t="s">
        <v>4538</v>
      </c>
    </row>
    <row r="4274" spans="1:1" x14ac:dyDescent="0.25">
      <c r="A4274" t="s">
        <v>2830</v>
      </c>
    </row>
    <row r="4275" spans="1:1" x14ac:dyDescent="0.25">
      <c r="A4275" t="s">
        <v>2831</v>
      </c>
    </row>
    <row r="4276" spans="1:1" x14ac:dyDescent="0.25">
      <c r="A4276" t="s">
        <v>2832</v>
      </c>
    </row>
    <row r="4277" spans="1:1" x14ac:dyDescent="0.25">
      <c r="A4277" t="s">
        <v>2833</v>
      </c>
    </row>
    <row r="4278" spans="1:1" x14ac:dyDescent="0.25">
      <c r="A4278" t="s">
        <v>2834</v>
      </c>
    </row>
    <row r="4279" spans="1:1" x14ac:dyDescent="0.25">
      <c r="A4279" t="s">
        <v>4105</v>
      </c>
    </row>
    <row r="4280" spans="1:1" x14ac:dyDescent="0.25">
      <c r="A4280" t="s">
        <v>4291</v>
      </c>
    </row>
    <row r="4281" spans="1:1" x14ac:dyDescent="0.25">
      <c r="A4281" t="s">
        <v>4106</v>
      </c>
    </row>
    <row r="4282" spans="1:1" x14ac:dyDescent="0.25">
      <c r="A4282" t="s">
        <v>4291</v>
      </c>
    </row>
    <row r="4283" spans="1:1" x14ac:dyDescent="0.25">
      <c r="A4283" t="s">
        <v>4107</v>
      </c>
    </row>
    <row r="4284" spans="1:1" x14ac:dyDescent="0.25">
      <c r="A4284" t="s">
        <v>4291</v>
      </c>
    </row>
    <row r="4285" spans="1:1" x14ac:dyDescent="0.25">
      <c r="A4285" t="s">
        <v>866</v>
      </c>
    </row>
    <row r="4286" spans="1:1" x14ac:dyDescent="0.25">
      <c r="A4286" t="s">
        <v>1247</v>
      </c>
    </row>
    <row r="4287" spans="1:1" x14ac:dyDescent="0.25">
      <c r="A4287" t="s">
        <v>4539</v>
      </c>
    </row>
    <row r="4288" spans="1:1" x14ac:dyDescent="0.25">
      <c r="A4288" t="s">
        <v>2835</v>
      </c>
    </row>
    <row r="4289" spans="1:1" x14ac:dyDescent="0.25">
      <c r="A4289" t="s">
        <v>2836</v>
      </c>
    </row>
    <row r="4290" spans="1:1" x14ac:dyDescent="0.25">
      <c r="A4290" t="s">
        <v>2837</v>
      </c>
    </row>
    <row r="4291" spans="1:1" x14ac:dyDescent="0.25">
      <c r="A4291" t="s">
        <v>2838</v>
      </c>
    </row>
    <row r="4292" spans="1:1" x14ac:dyDescent="0.25">
      <c r="A4292" t="s">
        <v>2839</v>
      </c>
    </row>
    <row r="4293" spans="1:1" x14ac:dyDescent="0.25">
      <c r="A4293" t="s">
        <v>4108</v>
      </c>
    </row>
    <row r="4294" spans="1:1" x14ac:dyDescent="0.25">
      <c r="A4294" t="s">
        <v>4291</v>
      </c>
    </row>
    <row r="4295" spans="1:1" x14ac:dyDescent="0.25">
      <c r="A4295" t="s">
        <v>4109</v>
      </c>
    </row>
    <row r="4296" spans="1:1" x14ac:dyDescent="0.25">
      <c r="A4296" t="s">
        <v>4291</v>
      </c>
    </row>
    <row r="4297" spans="1:1" x14ac:dyDescent="0.25">
      <c r="A4297" t="s">
        <v>4110</v>
      </c>
    </row>
    <row r="4298" spans="1:1" x14ac:dyDescent="0.25">
      <c r="A4298" t="s">
        <v>4291</v>
      </c>
    </row>
    <row r="4299" spans="1:1" x14ac:dyDescent="0.25">
      <c r="A4299" t="s">
        <v>867</v>
      </c>
    </row>
    <row r="4300" spans="1:1" x14ac:dyDescent="0.25">
      <c r="A4300" t="s">
        <v>1248</v>
      </c>
    </row>
    <row r="4301" spans="1:1" x14ac:dyDescent="0.25">
      <c r="A4301" t="s">
        <v>4540</v>
      </c>
    </row>
    <row r="4302" spans="1:1" x14ac:dyDescent="0.25">
      <c r="A4302" t="s">
        <v>2840</v>
      </c>
    </row>
    <row r="4303" spans="1:1" x14ac:dyDescent="0.25">
      <c r="A4303" t="s">
        <v>2841</v>
      </c>
    </row>
    <row r="4304" spans="1:1" x14ac:dyDescent="0.25">
      <c r="A4304" t="s">
        <v>2842</v>
      </c>
    </row>
    <row r="4305" spans="1:1" x14ac:dyDescent="0.25">
      <c r="A4305" t="s">
        <v>2843</v>
      </c>
    </row>
    <row r="4306" spans="1:1" x14ac:dyDescent="0.25">
      <c r="A4306" t="s">
        <v>2844</v>
      </c>
    </row>
    <row r="4307" spans="1:1" x14ac:dyDescent="0.25">
      <c r="A4307" t="s">
        <v>4111</v>
      </c>
    </row>
    <row r="4308" spans="1:1" x14ac:dyDescent="0.25">
      <c r="A4308" t="s">
        <v>4291</v>
      </c>
    </row>
    <row r="4309" spans="1:1" x14ac:dyDescent="0.25">
      <c r="A4309" t="s">
        <v>4112</v>
      </c>
    </row>
    <row r="4310" spans="1:1" x14ac:dyDescent="0.25">
      <c r="A4310" t="s">
        <v>4291</v>
      </c>
    </row>
    <row r="4311" spans="1:1" x14ac:dyDescent="0.25">
      <c r="A4311" t="s">
        <v>4113</v>
      </c>
    </row>
    <row r="4312" spans="1:1" x14ac:dyDescent="0.25">
      <c r="A4312" t="s">
        <v>4291</v>
      </c>
    </row>
    <row r="4313" spans="1:1" x14ac:dyDescent="0.25">
      <c r="A4313" t="s">
        <v>868</v>
      </c>
    </row>
    <row r="4314" spans="1:1" x14ac:dyDescent="0.25">
      <c r="A4314" t="s">
        <v>1249</v>
      </c>
    </row>
    <row r="4315" spans="1:1" x14ac:dyDescent="0.25">
      <c r="A4315" t="s">
        <v>4541</v>
      </c>
    </row>
    <row r="4316" spans="1:1" x14ac:dyDescent="0.25">
      <c r="A4316" t="s">
        <v>2845</v>
      </c>
    </row>
    <row r="4317" spans="1:1" x14ac:dyDescent="0.25">
      <c r="A4317" t="s">
        <v>2846</v>
      </c>
    </row>
    <row r="4318" spans="1:1" x14ac:dyDescent="0.25">
      <c r="A4318" t="s">
        <v>2847</v>
      </c>
    </row>
    <row r="4319" spans="1:1" x14ac:dyDescent="0.25">
      <c r="A4319" t="s">
        <v>2848</v>
      </c>
    </row>
    <row r="4320" spans="1:1" x14ac:dyDescent="0.25">
      <c r="A4320" t="s">
        <v>2849</v>
      </c>
    </row>
    <row r="4321" spans="1:1" x14ac:dyDescent="0.25">
      <c r="A4321" t="s">
        <v>4114</v>
      </c>
    </row>
    <row r="4322" spans="1:1" x14ac:dyDescent="0.25">
      <c r="A4322" t="s">
        <v>4291</v>
      </c>
    </row>
    <row r="4323" spans="1:1" x14ac:dyDescent="0.25">
      <c r="A4323" t="s">
        <v>4115</v>
      </c>
    </row>
    <row r="4324" spans="1:1" x14ac:dyDescent="0.25">
      <c r="A4324" t="s">
        <v>4291</v>
      </c>
    </row>
    <row r="4325" spans="1:1" x14ac:dyDescent="0.25">
      <c r="A4325" t="s">
        <v>4116</v>
      </c>
    </row>
    <row r="4326" spans="1:1" x14ac:dyDescent="0.25">
      <c r="A4326" t="s">
        <v>4291</v>
      </c>
    </row>
    <row r="4327" spans="1:1" x14ac:dyDescent="0.25">
      <c r="A4327" t="s">
        <v>869</v>
      </c>
    </row>
    <row r="4328" spans="1:1" x14ac:dyDescent="0.25">
      <c r="A4328" t="s">
        <v>1250</v>
      </c>
    </row>
    <row r="4329" spans="1:1" x14ac:dyDescent="0.25">
      <c r="A4329" t="s">
        <v>4542</v>
      </c>
    </row>
    <row r="4330" spans="1:1" x14ac:dyDescent="0.25">
      <c r="A4330" t="s">
        <v>2850</v>
      </c>
    </row>
    <row r="4331" spans="1:1" x14ac:dyDescent="0.25">
      <c r="A4331" t="s">
        <v>2851</v>
      </c>
    </row>
    <row r="4332" spans="1:1" x14ac:dyDescent="0.25">
      <c r="A4332" t="s">
        <v>2852</v>
      </c>
    </row>
    <row r="4333" spans="1:1" x14ac:dyDescent="0.25">
      <c r="A4333" t="s">
        <v>2853</v>
      </c>
    </row>
    <row r="4334" spans="1:1" x14ac:dyDescent="0.25">
      <c r="A4334" t="s">
        <v>2854</v>
      </c>
    </row>
    <row r="4335" spans="1:1" x14ac:dyDescent="0.25">
      <c r="A4335" t="s">
        <v>4117</v>
      </c>
    </row>
    <row r="4336" spans="1:1" x14ac:dyDescent="0.25">
      <c r="A4336" t="s">
        <v>4291</v>
      </c>
    </row>
    <row r="4337" spans="1:1" x14ac:dyDescent="0.25">
      <c r="A4337" t="s">
        <v>4118</v>
      </c>
    </row>
    <row r="4338" spans="1:1" x14ac:dyDescent="0.25">
      <c r="A4338" t="s">
        <v>4291</v>
      </c>
    </row>
    <row r="4339" spans="1:1" x14ac:dyDescent="0.25">
      <c r="A4339" t="s">
        <v>4119</v>
      </c>
    </row>
    <row r="4340" spans="1:1" x14ac:dyDescent="0.25">
      <c r="A4340" t="s">
        <v>4291</v>
      </c>
    </row>
    <row r="4341" spans="1:1" x14ac:dyDescent="0.25">
      <c r="A4341" t="s">
        <v>870</v>
      </c>
    </row>
    <row r="4342" spans="1:1" x14ac:dyDescent="0.25">
      <c r="A4342" t="s">
        <v>1251</v>
      </c>
    </row>
    <row r="4343" spans="1:1" x14ac:dyDescent="0.25">
      <c r="A4343" t="s">
        <v>4543</v>
      </c>
    </row>
    <row r="4344" spans="1:1" x14ac:dyDescent="0.25">
      <c r="A4344" t="s">
        <v>2855</v>
      </c>
    </row>
    <row r="4345" spans="1:1" x14ac:dyDescent="0.25">
      <c r="A4345" t="s">
        <v>2856</v>
      </c>
    </row>
    <row r="4346" spans="1:1" x14ac:dyDescent="0.25">
      <c r="A4346" t="s">
        <v>2857</v>
      </c>
    </row>
    <row r="4347" spans="1:1" x14ac:dyDescent="0.25">
      <c r="A4347" t="s">
        <v>2858</v>
      </c>
    </row>
    <row r="4348" spans="1:1" x14ac:dyDescent="0.25">
      <c r="A4348" t="s">
        <v>2859</v>
      </c>
    </row>
    <row r="4349" spans="1:1" x14ac:dyDescent="0.25">
      <c r="A4349" t="s">
        <v>4120</v>
      </c>
    </row>
    <row r="4350" spans="1:1" x14ac:dyDescent="0.25">
      <c r="A4350" t="s">
        <v>4291</v>
      </c>
    </row>
    <row r="4351" spans="1:1" x14ac:dyDescent="0.25">
      <c r="A4351" t="s">
        <v>4121</v>
      </c>
    </row>
    <row r="4352" spans="1:1" x14ac:dyDescent="0.25">
      <c r="A4352" t="s">
        <v>4291</v>
      </c>
    </row>
    <row r="4353" spans="1:1" x14ac:dyDescent="0.25">
      <c r="A4353" t="s">
        <v>4122</v>
      </c>
    </row>
    <row r="4354" spans="1:1" x14ac:dyDescent="0.25">
      <c r="A4354" t="s">
        <v>4291</v>
      </c>
    </row>
    <row r="4355" spans="1:1" x14ac:dyDescent="0.25">
      <c r="A4355" t="s">
        <v>871</v>
      </c>
    </row>
    <row r="4356" spans="1:1" x14ac:dyDescent="0.25">
      <c r="A4356" t="s">
        <v>1252</v>
      </c>
    </row>
    <row r="4357" spans="1:1" x14ac:dyDescent="0.25">
      <c r="A4357" t="s">
        <v>4544</v>
      </c>
    </row>
    <row r="4358" spans="1:1" x14ac:dyDescent="0.25">
      <c r="A4358" t="s">
        <v>2860</v>
      </c>
    </row>
    <row r="4359" spans="1:1" x14ac:dyDescent="0.25">
      <c r="A4359" t="s">
        <v>2861</v>
      </c>
    </row>
    <row r="4360" spans="1:1" x14ac:dyDescent="0.25">
      <c r="A4360" t="s">
        <v>2862</v>
      </c>
    </row>
    <row r="4361" spans="1:1" x14ac:dyDescent="0.25">
      <c r="A4361" t="s">
        <v>2863</v>
      </c>
    </row>
    <row r="4362" spans="1:1" x14ac:dyDescent="0.25">
      <c r="A4362" t="s">
        <v>2864</v>
      </c>
    </row>
    <row r="4363" spans="1:1" x14ac:dyDescent="0.25">
      <c r="A4363" t="s">
        <v>4123</v>
      </c>
    </row>
    <row r="4364" spans="1:1" x14ac:dyDescent="0.25">
      <c r="A4364" t="s">
        <v>4291</v>
      </c>
    </row>
    <row r="4365" spans="1:1" x14ac:dyDescent="0.25">
      <c r="A4365" t="s">
        <v>4124</v>
      </c>
    </row>
    <row r="4366" spans="1:1" x14ac:dyDescent="0.25">
      <c r="A4366" t="s">
        <v>4291</v>
      </c>
    </row>
    <row r="4367" spans="1:1" x14ac:dyDescent="0.25">
      <c r="A4367" t="s">
        <v>4125</v>
      </c>
    </row>
    <row r="4368" spans="1:1" x14ac:dyDescent="0.25">
      <c r="A4368" t="s">
        <v>4291</v>
      </c>
    </row>
    <row r="4369" spans="1:1" x14ac:dyDescent="0.25">
      <c r="A4369" t="s">
        <v>872</v>
      </c>
    </row>
    <row r="4370" spans="1:1" x14ac:dyDescent="0.25">
      <c r="A4370" t="s">
        <v>1253</v>
      </c>
    </row>
    <row r="4371" spans="1:1" x14ac:dyDescent="0.25">
      <c r="A4371" t="s">
        <v>4545</v>
      </c>
    </row>
    <row r="4372" spans="1:1" x14ac:dyDescent="0.25">
      <c r="A4372" t="s">
        <v>2865</v>
      </c>
    </row>
    <row r="4373" spans="1:1" x14ac:dyDescent="0.25">
      <c r="A4373" t="s">
        <v>2866</v>
      </c>
    </row>
    <row r="4374" spans="1:1" x14ac:dyDescent="0.25">
      <c r="A4374" t="s">
        <v>2867</v>
      </c>
    </row>
    <row r="4375" spans="1:1" x14ac:dyDescent="0.25">
      <c r="A4375" t="s">
        <v>2868</v>
      </c>
    </row>
    <row r="4376" spans="1:1" x14ac:dyDescent="0.25">
      <c r="A4376" t="s">
        <v>2869</v>
      </c>
    </row>
    <row r="4377" spans="1:1" x14ac:dyDescent="0.25">
      <c r="A4377" t="s">
        <v>4126</v>
      </c>
    </row>
    <row r="4378" spans="1:1" x14ac:dyDescent="0.25">
      <c r="A4378" t="s">
        <v>4291</v>
      </c>
    </row>
    <row r="4379" spans="1:1" x14ac:dyDescent="0.25">
      <c r="A4379" t="s">
        <v>4127</v>
      </c>
    </row>
    <row r="4380" spans="1:1" x14ac:dyDescent="0.25">
      <c r="A4380" t="s">
        <v>4291</v>
      </c>
    </row>
    <row r="4381" spans="1:1" x14ac:dyDescent="0.25">
      <c r="A4381" t="s">
        <v>4128</v>
      </c>
    </row>
    <row r="4382" spans="1:1" x14ac:dyDescent="0.25">
      <c r="A4382" t="s">
        <v>4291</v>
      </c>
    </row>
    <row r="4383" spans="1:1" x14ac:dyDescent="0.25">
      <c r="A4383" t="s">
        <v>873</v>
      </c>
    </row>
    <row r="4384" spans="1:1" x14ac:dyDescent="0.25">
      <c r="A4384" t="s">
        <v>1254</v>
      </c>
    </row>
    <row r="4385" spans="1:1" x14ac:dyDescent="0.25">
      <c r="A4385" t="s">
        <v>4546</v>
      </c>
    </row>
    <row r="4386" spans="1:1" x14ac:dyDescent="0.25">
      <c r="A4386" t="s">
        <v>2870</v>
      </c>
    </row>
    <row r="4387" spans="1:1" x14ac:dyDescent="0.25">
      <c r="A4387" t="s">
        <v>2871</v>
      </c>
    </row>
    <row r="4388" spans="1:1" x14ac:dyDescent="0.25">
      <c r="A4388" t="s">
        <v>2872</v>
      </c>
    </row>
    <row r="4389" spans="1:1" x14ac:dyDescent="0.25">
      <c r="A4389" t="s">
        <v>2873</v>
      </c>
    </row>
    <row r="4390" spans="1:1" x14ac:dyDescent="0.25">
      <c r="A4390" t="s">
        <v>2874</v>
      </c>
    </row>
    <row r="4391" spans="1:1" x14ac:dyDescent="0.25">
      <c r="A4391" t="s">
        <v>4129</v>
      </c>
    </row>
    <row r="4392" spans="1:1" x14ac:dyDescent="0.25">
      <c r="A4392" t="s">
        <v>4291</v>
      </c>
    </row>
    <row r="4393" spans="1:1" x14ac:dyDescent="0.25">
      <c r="A4393" t="s">
        <v>4130</v>
      </c>
    </row>
    <row r="4394" spans="1:1" x14ac:dyDescent="0.25">
      <c r="A4394" t="s">
        <v>4291</v>
      </c>
    </row>
    <row r="4395" spans="1:1" x14ac:dyDescent="0.25">
      <c r="A4395" t="s">
        <v>4131</v>
      </c>
    </row>
    <row r="4396" spans="1:1" x14ac:dyDescent="0.25">
      <c r="A4396" t="s">
        <v>4291</v>
      </c>
    </row>
    <row r="4397" spans="1:1" x14ac:dyDescent="0.25">
      <c r="A4397" t="s">
        <v>874</v>
      </c>
    </row>
    <row r="4398" spans="1:1" x14ac:dyDescent="0.25">
      <c r="A4398" t="s">
        <v>1255</v>
      </c>
    </row>
    <row r="4399" spans="1:1" x14ac:dyDescent="0.25">
      <c r="A4399" t="s">
        <v>4426</v>
      </c>
    </row>
    <row r="4400" spans="1:1" x14ac:dyDescent="0.25">
      <c r="A4400" t="s">
        <v>2875</v>
      </c>
    </row>
    <row r="4401" spans="1:1" x14ac:dyDescent="0.25">
      <c r="A4401" t="s">
        <v>2876</v>
      </c>
    </row>
    <row r="4402" spans="1:1" x14ac:dyDescent="0.25">
      <c r="A4402" t="s">
        <v>2877</v>
      </c>
    </row>
    <row r="4403" spans="1:1" x14ac:dyDescent="0.25">
      <c r="A4403" t="s">
        <v>2878</v>
      </c>
    </row>
    <row r="4404" spans="1:1" x14ac:dyDescent="0.25">
      <c r="A4404" t="s">
        <v>2879</v>
      </c>
    </row>
    <row r="4405" spans="1:1" x14ac:dyDescent="0.25">
      <c r="A4405" t="s">
        <v>4132</v>
      </c>
    </row>
    <row r="4406" spans="1:1" x14ac:dyDescent="0.25">
      <c r="A4406" t="s">
        <v>4291</v>
      </c>
    </row>
    <row r="4407" spans="1:1" x14ac:dyDescent="0.25">
      <c r="A4407" t="s">
        <v>4133</v>
      </c>
    </row>
    <row r="4408" spans="1:1" x14ac:dyDescent="0.25">
      <c r="A4408" t="s">
        <v>4291</v>
      </c>
    </row>
    <row r="4409" spans="1:1" x14ac:dyDescent="0.25">
      <c r="A4409" t="s">
        <v>4134</v>
      </c>
    </row>
    <row r="4410" spans="1:1" x14ac:dyDescent="0.25">
      <c r="A4410" t="s">
        <v>4291</v>
      </c>
    </row>
    <row r="4411" spans="1:1" x14ac:dyDescent="0.25">
      <c r="A4411" t="s">
        <v>875</v>
      </c>
    </row>
    <row r="4412" spans="1:1" x14ac:dyDescent="0.25">
      <c r="A4412" t="s">
        <v>1256</v>
      </c>
    </row>
    <row r="4413" spans="1:1" x14ac:dyDescent="0.25">
      <c r="A4413" t="s">
        <v>4426</v>
      </c>
    </row>
    <row r="4414" spans="1:1" x14ac:dyDescent="0.25">
      <c r="A4414" t="s">
        <v>2880</v>
      </c>
    </row>
    <row r="4415" spans="1:1" x14ac:dyDescent="0.25">
      <c r="A4415" t="s">
        <v>2881</v>
      </c>
    </row>
    <row r="4416" spans="1:1" x14ac:dyDescent="0.25">
      <c r="A4416" t="s">
        <v>2882</v>
      </c>
    </row>
    <row r="4417" spans="1:1" x14ac:dyDescent="0.25">
      <c r="A4417" t="s">
        <v>2883</v>
      </c>
    </row>
    <row r="4418" spans="1:1" x14ac:dyDescent="0.25">
      <c r="A4418" t="s">
        <v>2884</v>
      </c>
    </row>
    <row r="4419" spans="1:1" x14ac:dyDescent="0.25">
      <c r="A4419" t="s">
        <v>4135</v>
      </c>
    </row>
    <row r="4420" spans="1:1" x14ac:dyDescent="0.25">
      <c r="A4420" t="s">
        <v>4291</v>
      </c>
    </row>
    <row r="4421" spans="1:1" x14ac:dyDescent="0.25">
      <c r="A4421" t="s">
        <v>4136</v>
      </c>
    </row>
    <row r="4422" spans="1:1" x14ac:dyDescent="0.25">
      <c r="A4422" t="s">
        <v>4291</v>
      </c>
    </row>
    <row r="4423" spans="1:1" x14ac:dyDescent="0.25">
      <c r="A4423" t="s">
        <v>4137</v>
      </c>
    </row>
    <row r="4424" spans="1:1" x14ac:dyDescent="0.25">
      <c r="A4424" t="s">
        <v>4291</v>
      </c>
    </row>
    <row r="4425" spans="1:1" x14ac:dyDescent="0.25">
      <c r="A4425" t="s">
        <v>876</v>
      </c>
    </row>
    <row r="4426" spans="1:1" x14ac:dyDescent="0.25">
      <c r="A4426" t="s">
        <v>1257</v>
      </c>
    </row>
    <row r="4427" spans="1:1" x14ac:dyDescent="0.25">
      <c r="A4427" t="s">
        <v>4547</v>
      </c>
    </row>
    <row r="4428" spans="1:1" x14ac:dyDescent="0.25">
      <c r="A4428" t="s">
        <v>2885</v>
      </c>
    </row>
    <row r="4429" spans="1:1" x14ac:dyDescent="0.25">
      <c r="A4429" t="s">
        <v>2886</v>
      </c>
    </row>
    <row r="4430" spans="1:1" x14ac:dyDescent="0.25">
      <c r="A4430" t="s">
        <v>2887</v>
      </c>
    </row>
    <row r="4431" spans="1:1" x14ac:dyDescent="0.25">
      <c r="A4431" t="s">
        <v>2888</v>
      </c>
    </row>
    <row r="4432" spans="1:1" x14ac:dyDescent="0.25">
      <c r="A4432" t="s">
        <v>2889</v>
      </c>
    </row>
    <row r="4433" spans="1:1" x14ac:dyDescent="0.25">
      <c r="A4433" t="s">
        <v>4138</v>
      </c>
    </row>
    <row r="4434" spans="1:1" x14ac:dyDescent="0.25">
      <c r="A4434" t="s">
        <v>4291</v>
      </c>
    </row>
    <row r="4435" spans="1:1" x14ac:dyDescent="0.25">
      <c r="A4435" t="s">
        <v>4139</v>
      </c>
    </row>
    <row r="4436" spans="1:1" x14ac:dyDescent="0.25">
      <c r="A4436" t="s">
        <v>4291</v>
      </c>
    </row>
    <row r="4437" spans="1:1" x14ac:dyDescent="0.25">
      <c r="A4437" t="s">
        <v>4140</v>
      </c>
    </row>
    <row r="4438" spans="1:1" x14ac:dyDescent="0.25">
      <c r="A4438" t="s">
        <v>4291</v>
      </c>
    </row>
    <row r="4439" spans="1:1" x14ac:dyDescent="0.25">
      <c r="A4439" t="s">
        <v>877</v>
      </c>
    </row>
    <row r="4440" spans="1:1" x14ac:dyDescent="0.25">
      <c r="A4440" t="s">
        <v>1258</v>
      </c>
    </row>
    <row r="4441" spans="1:1" x14ac:dyDescent="0.25">
      <c r="A4441" t="s">
        <v>4548</v>
      </c>
    </row>
    <row r="4442" spans="1:1" x14ac:dyDescent="0.25">
      <c r="A4442" t="s">
        <v>2890</v>
      </c>
    </row>
    <row r="4443" spans="1:1" x14ac:dyDescent="0.25">
      <c r="A4443" t="s">
        <v>2891</v>
      </c>
    </row>
    <row r="4444" spans="1:1" x14ac:dyDescent="0.25">
      <c r="A4444" t="s">
        <v>2892</v>
      </c>
    </row>
    <row r="4445" spans="1:1" x14ac:dyDescent="0.25">
      <c r="A4445" t="s">
        <v>2893</v>
      </c>
    </row>
    <row r="4446" spans="1:1" x14ac:dyDescent="0.25">
      <c r="A4446" t="s">
        <v>2894</v>
      </c>
    </row>
    <row r="4447" spans="1:1" x14ac:dyDescent="0.25">
      <c r="A4447" t="s">
        <v>4141</v>
      </c>
    </row>
    <row r="4448" spans="1:1" x14ac:dyDescent="0.25">
      <c r="A4448" t="s">
        <v>4291</v>
      </c>
    </row>
    <row r="4449" spans="1:1" x14ac:dyDescent="0.25">
      <c r="A4449" t="s">
        <v>4142</v>
      </c>
    </row>
    <row r="4450" spans="1:1" x14ac:dyDescent="0.25">
      <c r="A4450" t="s">
        <v>4291</v>
      </c>
    </row>
    <row r="4451" spans="1:1" x14ac:dyDescent="0.25">
      <c r="A4451" t="s">
        <v>4143</v>
      </c>
    </row>
    <row r="4452" spans="1:1" x14ac:dyDescent="0.25">
      <c r="A4452" t="s">
        <v>4291</v>
      </c>
    </row>
    <row r="4453" spans="1:1" x14ac:dyDescent="0.25">
      <c r="A4453" t="s">
        <v>878</v>
      </c>
    </row>
    <row r="4454" spans="1:1" x14ac:dyDescent="0.25">
      <c r="A4454" t="s">
        <v>1259</v>
      </c>
    </row>
    <row r="4455" spans="1:1" x14ac:dyDescent="0.25">
      <c r="A4455" t="s">
        <v>4549</v>
      </c>
    </row>
    <row r="4456" spans="1:1" x14ac:dyDescent="0.25">
      <c r="A4456" t="s">
        <v>2895</v>
      </c>
    </row>
    <row r="4457" spans="1:1" x14ac:dyDescent="0.25">
      <c r="A4457" t="s">
        <v>2896</v>
      </c>
    </row>
    <row r="4458" spans="1:1" x14ac:dyDescent="0.25">
      <c r="A4458" t="s">
        <v>2897</v>
      </c>
    </row>
    <row r="4459" spans="1:1" x14ac:dyDescent="0.25">
      <c r="A4459" t="s">
        <v>2898</v>
      </c>
    </row>
    <row r="4460" spans="1:1" x14ac:dyDescent="0.25">
      <c r="A4460" t="s">
        <v>2899</v>
      </c>
    </row>
    <row r="4461" spans="1:1" x14ac:dyDescent="0.25">
      <c r="A4461" t="s">
        <v>4144</v>
      </c>
    </row>
    <row r="4462" spans="1:1" x14ac:dyDescent="0.25">
      <c r="A4462" t="s">
        <v>4291</v>
      </c>
    </row>
    <row r="4463" spans="1:1" x14ac:dyDescent="0.25">
      <c r="A4463" t="s">
        <v>4145</v>
      </c>
    </row>
    <row r="4464" spans="1:1" x14ac:dyDescent="0.25">
      <c r="A4464" t="s">
        <v>4291</v>
      </c>
    </row>
    <row r="4465" spans="1:1" x14ac:dyDescent="0.25">
      <c r="A4465" t="s">
        <v>4146</v>
      </c>
    </row>
    <row r="4466" spans="1:1" x14ac:dyDescent="0.25">
      <c r="A4466" t="s">
        <v>4291</v>
      </c>
    </row>
    <row r="4467" spans="1:1" x14ac:dyDescent="0.25">
      <c r="A4467" t="s">
        <v>879</v>
      </c>
    </row>
    <row r="4468" spans="1:1" x14ac:dyDescent="0.25">
      <c r="A4468" t="s">
        <v>1260</v>
      </c>
    </row>
    <row r="4469" spans="1:1" x14ac:dyDescent="0.25">
      <c r="A4469" t="s">
        <v>4426</v>
      </c>
    </row>
    <row r="4470" spans="1:1" x14ac:dyDescent="0.25">
      <c r="A4470" t="s">
        <v>2900</v>
      </c>
    </row>
    <row r="4471" spans="1:1" x14ac:dyDescent="0.25">
      <c r="A4471" t="s">
        <v>2901</v>
      </c>
    </row>
    <row r="4472" spans="1:1" x14ac:dyDescent="0.25">
      <c r="A4472" t="s">
        <v>2902</v>
      </c>
    </row>
    <row r="4473" spans="1:1" x14ac:dyDescent="0.25">
      <c r="A4473" t="s">
        <v>2903</v>
      </c>
    </row>
    <row r="4474" spans="1:1" x14ac:dyDescent="0.25">
      <c r="A4474" t="s">
        <v>2904</v>
      </c>
    </row>
    <row r="4475" spans="1:1" x14ac:dyDescent="0.25">
      <c r="A4475" t="s">
        <v>4147</v>
      </c>
    </row>
    <row r="4476" spans="1:1" x14ac:dyDescent="0.25">
      <c r="A4476" t="s">
        <v>4291</v>
      </c>
    </row>
    <row r="4477" spans="1:1" x14ac:dyDescent="0.25">
      <c r="A4477" t="s">
        <v>4148</v>
      </c>
    </row>
    <row r="4478" spans="1:1" x14ac:dyDescent="0.25">
      <c r="A4478" t="s">
        <v>4291</v>
      </c>
    </row>
    <row r="4479" spans="1:1" x14ac:dyDescent="0.25">
      <c r="A4479" t="s">
        <v>4149</v>
      </c>
    </row>
    <row r="4480" spans="1:1" x14ac:dyDescent="0.25">
      <c r="A4480" t="s">
        <v>4291</v>
      </c>
    </row>
    <row r="4481" spans="1:1" x14ac:dyDescent="0.25">
      <c r="A4481" t="s">
        <v>880</v>
      </c>
    </row>
    <row r="4482" spans="1:1" x14ac:dyDescent="0.25">
      <c r="A4482" t="s">
        <v>1261</v>
      </c>
    </row>
    <row r="4483" spans="1:1" x14ac:dyDescent="0.25">
      <c r="A4483" t="s">
        <v>4550</v>
      </c>
    </row>
    <row r="4484" spans="1:1" x14ac:dyDescent="0.25">
      <c r="A4484" t="s">
        <v>2905</v>
      </c>
    </row>
    <row r="4485" spans="1:1" x14ac:dyDescent="0.25">
      <c r="A4485" t="s">
        <v>2906</v>
      </c>
    </row>
    <row r="4486" spans="1:1" x14ac:dyDescent="0.25">
      <c r="A4486" t="s">
        <v>2907</v>
      </c>
    </row>
    <row r="4487" spans="1:1" x14ac:dyDescent="0.25">
      <c r="A4487" t="s">
        <v>2908</v>
      </c>
    </row>
    <row r="4488" spans="1:1" x14ac:dyDescent="0.25">
      <c r="A4488" t="s">
        <v>2909</v>
      </c>
    </row>
    <row r="4489" spans="1:1" x14ac:dyDescent="0.25">
      <c r="A4489" t="s">
        <v>4150</v>
      </c>
    </row>
    <row r="4490" spans="1:1" x14ac:dyDescent="0.25">
      <c r="A4490" t="s">
        <v>4291</v>
      </c>
    </row>
    <row r="4491" spans="1:1" x14ac:dyDescent="0.25">
      <c r="A4491" t="s">
        <v>4151</v>
      </c>
    </row>
    <row r="4492" spans="1:1" x14ac:dyDescent="0.25">
      <c r="A4492" t="s">
        <v>4291</v>
      </c>
    </row>
    <row r="4493" spans="1:1" x14ac:dyDescent="0.25">
      <c r="A4493" t="s">
        <v>4152</v>
      </c>
    </row>
    <row r="4494" spans="1:1" x14ac:dyDescent="0.25">
      <c r="A4494" t="s">
        <v>4291</v>
      </c>
    </row>
    <row r="4495" spans="1:1" x14ac:dyDescent="0.25">
      <c r="A4495" t="s">
        <v>881</v>
      </c>
    </row>
    <row r="4496" spans="1:1" x14ac:dyDescent="0.25">
      <c r="A4496" t="s">
        <v>1262</v>
      </c>
    </row>
    <row r="4497" spans="1:1" x14ac:dyDescent="0.25">
      <c r="A4497" t="s">
        <v>4426</v>
      </c>
    </row>
    <row r="4498" spans="1:1" x14ac:dyDescent="0.25">
      <c r="A4498" t="s">
        <v>2910</v>
      </c>
    </row>
    <row r="4499" spans="1:1" x14ac:dyDescent="0.25">
      <c r="A4499" t="s">
        <v>2911</v>
      </c>
    </row>
    <row r="4500" spans="1:1" x14ac:dyDescent="0.25">
      <c r="A4500" t="s">
        <v>2912</v>
      </c>
    </row>
    <row r="4501" spans="1:1" x14ac:dyDescent="0.25">
      <c r="A4501" t="s">
        <v>2913</v>
      </c>
    </row>
    <row r="4502" spans="1:1" x14ac:dyDescent="0.25">
      <c r="A4502" t="s">
        <v>2914</v>
      </c>
    </row>
    <row r="4503" spans="1:1" x14ac:dyDescent="0.25">
      <c r="A4503" t="s">
        <v>4153</v>
      </c>
    </row>
    <row r="4504" spans="1:1" x14ac:dyDescent="0.25">
      <c r="A4504" t="s">
        <v>4291</v>
      </c>
    </row>
    <row r="4505" spans="1:1" x14ac:dyDescent="0.25">
      <c r="A4505" t="s">
        <v>4154</v>
      </c>
    </row>
    <row r="4506" spans="1:1" x14ac:dyDescent="0.25">
      <c r="A4506" t="s">
        <v>4291</v>
      </c>
    </row>
    <row r="4507" spans="1:1" x14ac:dyDescent="0.25">
      <c r="A4507" t="s">
        <v>4155</v>
      </c>
    </row>
    <row r="4508" spans="1:1" x14ac:dyDescent="0.25">
      <c r="A4508" t="s">
        <v>4291</v>
      </c>
    </row>
    <row r="4509" spans="1:1" x14ac:dyDescent="0.25">
      <c r="A4509" t="s">
        <v>882</v>
      </c>
    </row>
    <row r="4510" spans="1:1" x14ac:dyDescent="0.25">
      <c r="A4510" t="s">
        <v>1263</v>
      </c>
    </row>
    <row r="4511" spans="1:1" x14ac:dyDescent="0.25">
      <c r="A4511" t="s">
        <v>4426</v>
      </c>
    </row>
    <row r="4512" spans="1:1" x14ac:dyDescent="0.25">
      <c r="A4512" t="s">
        <v>2915</v>
      </c>
    </row>
    <row r="4513" spans="1:1" x14ac:dyDescent="0.25">
      <c r="A4513" t="s">
        <v>2916</v>
      </c>
    </row>
    <row r="4514" spans="1:1" x14ac:dyDescent="0.25">
      <c r="A4514" t="s">
        <v>2917</v>
      </c>
    </row>
    <row r="4515" spans="1:1" x14ac:dyDescent="0.25">
      <c r="A4515" t="s">
        <v>2918</v>
      </c>
    </row>
    <row r="4516" spans="1:1" x14ac:dyDescent="0.25">
      <c r="A4516" t="s">
        <v>2919</v>
      </c>
    </row>
    <row r="4517" spans="1:1" x14ac:dyDescent="0.25">
      <c r="A4517" t="s">
        <v>4156</v>
      </c>
    </row>
    <row r="4518" spans="1:1" x14ac:dyDescent="0.25">
      <c r="A4518" t="s">
        <v>4291</v>
      </c>
    </row>
    <row r="4519" spans="1:1" x14ac:dyDescent="0.25">
      <c r="A4519" t="s">
        <v>4157</v>
      </c>
    </row>
    <row r="4520" spans="1:1" x14ac:dyDescent="0.25">
      <c r="A4520" t="s">
        <v>4291</v>
      </c>
    </row>
    <row r="4521" spans="1:1" x14ac:dyDescent="0.25">
      <c r="A4521" t="s">
        <v>4158</v>
      </c>
    </row>
    <row r="4522" spans="1:1" x14ac:dyDescent="0.25">
      <c r="A4522" t="s">
        <v>4291</v>
      </c>
    </row>
    <row r="4523" spans="1:1" x14ac:dyDescent="0.25">
      <c r="A4523" t="s">
        <v>883</v>
      </c>
    </row>
    <row r="4524" spans="1:1" x14ac:dyDescent="0.25">
      <c r="A4524" t="s">
        <v>1264</v>
      </c>
    </row>
    <row r="4525" spans="1:1" x14ac:dyDescent="0.25">
      <c r="A4525" t="s">
        <v>4426</v>
      </c>
    </row>
    <row r="4526" spans="1:1" x14ac:dyDescent="0.25">
      <c r="A4526" t="s">
        <v>2920</v>
      </c>
    </row>
    <row r="4527" spans="1:1" x14ac:dyDescent="0.25">
      <c r="A4527" t="s">
        <v>2921</v>
      </c>
    </row>
    <row r="4528" spans="1:1" x14ac:dyDescent="0.25">
      <c r="A4528" t="s">
        <v>2922</v>
      </c>
    </row>
    <row r="4529" spans="1:1" x14ac:dyDescent="0.25">
      <c r="A4529" t="s">
        <v>2923</v>
      </c>
    </row>
    <row r="4530" spans="1:1" x14ac:dyDescent="0.25">
      <c r="A4530" t="s">
        <v>2924</v>
      </c>
    </row>
    <row r="4531" spans="1:1" x14ac:dyDescent="0.25">
      <c r="A4531" t="s">
        <v>4159</v>
      </c>
    </row>
    <row r="4532" spans="1:1" x14ac:dyDescent="0.25">
      <c r="A4532" t="s">
        <v>4291</v>
      </c>
    </row>
    <row r="4533" spans="1:1" x14ac:dyDescent="0.25">
      <c r="A4533" t="s">
        <v>4160</v>
      </c>
    </row>
    <row r="4534" spans="1:1" x14ac:dyDescent="0.25">
      <c r="A4534" t="s">
        <v>4291</v>
      </c>
    </row>
    <row r="4535" spans="1:1" x14ac:dyDescent="0.25">
      <c r="A4535" t="s">
        <v>4161</v>
      </c>
    </row>
    <row r="4536" spans="1:1" x14ac:dyDescent="0.25">
      <c r="A4536" t="s">
        <v>4291</v>
      </c>
    </row>
    <row r="4537" spans="1:1" x14ac:dyDescent="0.25">
      <c r="A4537" t="s">
        <v>884</v>
      </c>
    </row>
    <row r="4538" spans="1:1" x14ac:dyDescent="0.25">
      <c r="A4538" t="s">
        <v>1265</v>
      </c>
    </row>
    <row r="4539" spans="1:1" x14ac:dyDescent="0.25">
      <c r="A4539" t="s">
        <v>4551</v>
      </c>
    </row>
    <row r="4540" spans="1:1" x14ac:dyDescent="0.25">
      <c r="A4540" t="s">
        <v>2925</v>
      </c>
    </row>
    <row r="4541" spans="1:1" x14ac:dyDescent="0.25">
      <c r="A4541" t="s">
        <v>2926</v>
      </c>
    </row>
    <row r="4542" spans="1:1" x14ac:dyDescent="0.25">
      <c r="A4542" t="s">
        <v>2927</v>
      </c>
    </row>
    <row r="4543" spans="1:1" x14ac:dyDescent="0.25">
      <c r="A4543" t="s">
        <v>2928</v>
      </c>
    </row>
    <row r="4544" spans="1:1" x14ac:dyDescent="0.25">
      <c r="A4544" t="s">
        <v>2929</v>
      </c>
    </row>
    <row r="4545" spans="1:1" x14ac:dyDescent="0.25">
      <c r="A4545" t="s">
        <v>4162</v>
      </c>
    </row>
    <row r="4546" spans="1:1" x14ac:dyDescent="0.25">
      <c r="A4546" t="s">
        <v>4291</v>
      </c>
    </row>
    <row r="4547" spans="1:1" x14ac:dyDescent="0.25">
      <c r="A4547" t="s">
        <v>4163</v>
      </c>
    </row>
    <row r="4548" spans="1:1" x14ac:dyDescent="0.25">
      <c r="A4548" t="s">
        <v>4291</v>
      </c>
    </row>
    <row r="4549" spans="1:1" x14ac:dyDescent="0.25">
      <c r="A4549" t="s">
        <v>4164</v>
      </c>
    </row>
    <row r="4550" spans="1:1" x14ac:dyDescent="0.25">
      <c r="A4550" t="s">
        <v>4291</v>
      </c>
    </row>
    <row r="4551" spans="1:1" x14ac:dyDescent="0.25">
      <c r="A4551" t="s">
        <v>885</v>
      </c>
    </row>
    <row r="4552" spans="1:1" x14ac:dyDescent="0.25">
      <c r="A4552" t="s">
        <v>1266</v>
      </c>
    </row>
    <row r="4553" spans="1:1" x14ac:dyDescent="0.25">
      <c r="A4553" t="s">
        <v>4552</v>
      </c>
    </row>
    <row r="4554" spans="1:1" x14ac:dyDescent="0.25">
      <c r="A4554" t="s">
        <v>2930</v>
      </c>
    </row>
    <row r="4555" spans="1:1" x14ac:dyDescent="0.25">
      <c r="A4555" t="s">
        <v>2931</v>
      </c>
    </row>
    <row r="4556" spans="1:1" x14ac:dyDescent="0.25">
      <c r="A4556" t="s">
        <v>2932</v>
      </c>
    </row>
    <row r="4557" spans="1:1" x14ac:dyDescent="0.25">
      <c r="A4557" t="s">
        <v>2933</v>
      </c>
    </row>
    <row r="4558" spans="1:1" x14ac:dyDescent="0.25">
      <c r="A4558" t="s">
        <v>2934</v>
      </c>
    </row>
    <row r="4559" spans="1:1" x14ac:dyDescent="0.25">
      <c r="A4559" t="s">
        <v>4165</v>
      </c>
    </row>
    <row r="4560" spans="1:1" x14ac:dyDescent="0.25">
      <c r="A4560" t="s">
        <v>4291</v>
      </c>
    </row>
    <row r="4561" spans="1:1" x14ac:dyDescent="0.25">
      <c r="A4561" t="s">
        <v>4166</v>
      </c>
    </row>
    <row r="4562" spans="1:1" x14ac:dyDescent="0.25">
      <c r="A4562" t="s">
        <v>4291</v>
      </c>
    </row>
    <row r="4563" spans="1:1" x14ac:dyDescent="0.25">
      <c r="A4563" t="s">
        <v>4167</v>
      </c>
    </row>
    <row r="4564" spans="1:1" x14ac:dyDescent="0.25">
      <c r="A4564" t="s">
        <v>4291</v>
      </c>
    </row>
    <row r="4565" spans="1:1" x14ac:dyDescent="0.25">
      <c r="A4565" t="s">
        <v>886</v>
      </c>
    </row>
    <row r="4566" spans="1:1" x14ac:dyDescent="0.25">
      <c r="A4566" t="s">
        <v>1267</v>
      </c>
    </row>
    <row r="4567" spans="1:1" x14ac:dyDescent="0.25">
      <c r="A4567" t="s">
        <v>4553</v>
      </c>
    </row>
    <row r="4568" spans="1:1" x14ac:dyDescent="0.25">
      <c r="A4568" t="s">
        <v>2935</v>
      </c>
    </row>
    <row r="4569" spans="1:1" x14ac:dyDescent="0.25">
      <c r="A4569" t="s">
        <v>2936</v>
      </c>
    </row>
    <row r="4570" spans="1:1" x14ac:dyDescent="0.25">
      <c r="A4570" t="s">
        <v>2937</v>
      </c>
    </row>
    <row r="4571" spans="1:1" x14ac:dyDescent="0.25">
      <c r="A4571" t="s">
        <v>2938</v>
      </c>
    </row>
    <row r="4572" spans="1:1" x14ac:dyDescent="0.25">
      <c r="A4572" t="s">
        <v>2939</v>
      </c>
    </row>
    <row r="4573" spans="1:1" x14ac:dyDescent="0.25">
      <c r="A4573" t="s">
        <v>4168</v>
      </c>
    </row>
    <row r="4574" spans="1:1" x14ac:dyDescent="0.25">
      <c r="A4574" t="s">
        <v>4291</v>
      </c>
    </row>
    <row r="4575" spans="1:1" x14ac:dyDescent="0.25">
      <c r="A4575" t="s">
        <v>4169</v>
      </c>
    </row>
    <row r="4576" spans="1:1" x14ac:dyDescent="0.25">
      <c r="A4576" t="s">
        <v>4291</v>
      </c>
    </row>
    <row r="4577" spans="1:1" x14ac:dyDescent="0.25">
      <c r="A4577" t="s">
        <v>4170</v>
      </c>
    </row>
    <row r="4578" spans="1:1" x14ac:dyDescent="0.25">
      <c r="A4578" t="s">
        <v>4291</v>
      </c>
    </row>
    <row r="4579" spans="1:1" x14ac:dyDescent="0.25">
      <c r="A4579" t="s">
        <v>887</v>
      </c>
    </row>
    <row r="4580" spans="1:1" x14ac:dyDescent="0.25">
      <c r="A4580" t="s">
        <v>1268</v>
      </c>
    </row>
    <row r="4581" spans="1:1" x14ac:dyDescent="0.25">
      <c r="A4581" t="s">
        <v>4554</v>
      </c>
    </row>
    <row r="4582" spans="1:1" x14ac:dyDescent="0.25">
      <c r="A4582" t="s">
        <v>2940</v>
      </c>
    </row>
    <row r="4583" spans="1:1" x14ac:dyDescent="0.25">
      <c r="A4583" t="s">
        <v>2941</v>
      </c>
    </row>
    <row r="4584" spans="1:1" x14ac:dyDescent="0.25">
      <c r="A4584" t="s">
        <v>2942</v>
      </c>
    </row>
    <row r="4585" spans="1:1" x14ac:dyDescent="0.25">
      <c r="A4585" t="s">
        <v>2943</v>
      </c>
    </row>
    <row r="4586" spans="1:1" x14ac:dyDescent="0.25">
      <c r="A4586" t="s">
        <v>2944</v>
      </c>
    </row>
    <row r="4587" spans="1:1" x14ac:dyDescent="0.25">
      <c r="A4587" t="s">
        <v>4171</v>
      </c>
    </row>
    <row r="4588" spans="1:1" x14ac:dyDescent="0.25">
      <c r="A4588" t="s">
        <v>4291</v>
      </c>
    </row>
    <row r="4589" spans="1:1" x14ac:dyDescent="0.25">
      <c r="A4589" t="s">
        <v>4172</v>
      </c>
    </row>
    <row r="4590" spans="1:1" x14ac:dyDescent="0.25">
      <c r="A4590" t="s">
        <v>4291</v>
      </c>
    </row>
    <row r="4591" spans="1:1" x14ac:dyDescent="0.25">
      <c r="A4591" t="s">
        <v>4173</v>
      </c>
    </row>
    <row r="4592" spans="1:1" x14ac:dyDescent="0.25">
      <c r="A4592" t="s">
        <v>4291</v>
      </c>
    </row>
    <row r="4593" spans="1:1" x14ac:dyDescent="0.25">
      <c r="A4593" t="s">
        <v>888</v>
      </c>
    </row>
    <row r="4594" spans="1:1" x14ac:dyDescent="0.25">
      <c r="A4594" t="s">
        <v>1269</v>
      </c>
    </row>
    <row r="4595" spans="1:1" x14ac:dyDescent="0.25">
      <c r="A4595" t="s">
        <v>4555</v>
      </c>
    </row>
    <row r="4596" spans="1:1" x14ac:dyDescent="0.25">
      <c r="A4596" t="s">
        <v>2945</v>
      </c>
    </row>
    <row r="4597" spans="1:1" x14ac:dyDescent="0.25">
      <c r="A4597" t="s">
        <v>2946</v>
      </c>
    </row>
    <row r="4598" spans="1:1" x14ac:dyDescent="0.25">
      <c r="A4598" t="s">
        <v>2947</v>
      </c>
    </row>
    <row r="4599" spans="1:1" x14ac:dyDescent="0.25">
      <c r="A4599" t="s">
        <v>2948</v>
      </c>
    </row>
    <row r="4600" spans="1:1" x14ac:dyDescent="0.25">
      <c r="A4600" t="s">
        <v>2949</v>
      </c>
    </row>
    <row r="4601" spans="1:1" x14ac:dyDescent="0.25">
      <c r="A4601" t="s">
        <v>4174</v>
      </c>
    </row>
    <row r="4602" spans="1:1" x14ac:dyDescent="0.25">
      <c r="A4602" t="s">
        <v>4291</v>
      </c>
    </row>
    <row r="4603" spans="1:1" x14ac:dyDescent="0.25">
      <c r="A4603" t="s">
        <v>4175</v>
      </c>
    </row>
    <row r="4604" spans="1:1" x14ac:dyDescent="0.25">
      <c r="A4604" t="s">
        <v>4291</v>
      </c>
    </row>
    <row r="4605" spans="1:1" x14ac:dyDescent="0.25">
      <c r="A4605" t="s">
        <v>4176</v>
      </c>
    </row>
    <row r="4606" spans="1:1" x14ac:dyDescent="0.25">
      <c r="A4606" t="s">
        <v>4291</v>
      </c>
    </row>
    <row r="4607" spans="1:1" x14ac:dyDescent="0.25">
      <c r="A4607" t="s">
        <v>889</v>
      </c>
    </row>
    <row r="4608" spans="1:1" x14ac:dyDescent="0.25">
      <c r="A4608" t="s">
        <v>1270</v>
      </c>
    </row>
    <row r="4609" spans="1:1" x14ac:dyDescent="0.25">
      <c r="A4609" t="s">
        <v>4426</v>
      </c>
    </row>
    <row r="4610" spans="1:1" x14ac:dyDescent="0.25">
      <c r="A4610" t="s">
        <v>2950</v>
      </c>
    </row>
    <row r="4611" spans="1:1" x14ac:dyDescent="0.25">
      <c r="A4611" t="s">
        <v>2951</v>
      </c>
    </row>
    <row r="4612" spans="1:1" x14ac:dyDescent="0.25">
      <c r="A4612" t="s">
        <v>2952</v>
      </c>
    </row>
    <row r="4613" spans="1:1" x14ac:dyDescent="0.25">
      <c r="A4613" t="s">
        <v>2953</v>
      </c>
    </row>
    <row r="4614" spans="1:1" x14ac:dyDescent="0.25">
      <c r="A4614" t="s">
        <v>2954</v>
      </c>
    </row>
    <row r="4615" spans="1:1" x14ac:dyDescent="0.25">
      <c r="A4615" t="s">
        <v>4177</v>
      </c>
    </row>
    <row r="4616" spans="1:1" x14ac:dyDescent="0.25">
      <c r="A4616" t="s">
        <v>4291</v>
      </c>
    </row>
    <row r="4617" spans="1:1" x14ac:dyDescent="0.25">
      <c r="A4617" t="s">
        <v>4178</v>
      </c>
    </row>
    <row r="4618" spans="1:1" x14ac:dyDescent="0.25">
      <c r="A4618" t="s">
        <v>4291</v>
      </c>
    </row>
    <row r="4619" spans="1:1" x14ac:dyDescent="0.25">
      <c r="A4619" t="s">
        <v>4179</v>
      </c>
    </row>
    <row r="4620" spans="1:1" x14ac:dyDescent="0.25">
      <c r="A4620" t="s">
        <v>4291</v>
      </c>
    </row>
    <row r="4621" spans="1:1" x14ac:dyDescent="0.25">
      <c r="A4621" t="s">
        <v>890</v>
      </c>
    </row>
    <row r="4622" spans="1:1" x14ac:dyDescent="0.25">
      <c r="A4622" t="s">
        <v>1271</v>
      </c>
    </row>
    <row r="4623" spans="1:1" x14ac:dyDescent="0.25">
      <c r="A4623" t="s">
        <v>4426</v>
      </c>
    </row>
    <row r="4624" spans="1:1" x14ac:dyDescent="0.25">
      <c r="A4624" t="s">
        <v>2955</v>
      </c>
    </row>
    <row r="4625" spans="1:1" x14ac:dyDescent="0.25">
      <c r="A4625" t="s">
        <v>2956</v>
      </c>
    </row>
    <row r="4626" spans="1:1" x14ac:dyDescent="0.25">
      <c r="A4626" t="s">
        <v>2957</v>
      </c>
    </row>
    <row r="4627" spans="1:1" x14ac:dyDescent="0.25">
      <c r="A4627" t="s">
        <v>2958</v>
      </c>
    </row>
    <row r="4628" spans="1:1" x14ac:dyDescent="0.25">
      <c r="A4628" t="s">
        <v>2959</v>
      </c>
    </row>
    <row r="4629" spans="1:1" x14ac:dyDescent="0.25">
      <c r="A4629" t="s">
        <v>4180</v>
      </c>
    </row>
    <row r="4630" spans="1:1" x14ac:dyDescent="0.25">
      <c r="A4630" t="s">
        <v>4291</v>
      </c>
    </row>
    <row r="4631" spans="1:1" x14ac:dyDescent="0.25">
      <c r="A4631" t="s">
        <v>4181</v>
      </c>
    </row>
    <row r="4632" spans="1:1" x14ac:dyDescent="0.25">
      <c r="A4632" t="s">
        <v>4291</v>
      </c>
    </row>
    <row r="4633" spans="1:1" x14ac:dyDescent="0.25">
      <c r="A4633" t="s">
        <v>4182</v>
      </c>
    </row>
    <row r="4634" spans="1:1" x14ac:dyDescent="0.25">
      <c r="A4634" t="s">
        <v>4291</v>
      </c>
    </row>
    <row r="4635" spans="1:1" x14ac:dyDescent="0.25">
      <c r="A4635" t="s">
        <v>891</v>
      </c>
    </row>
    <row r="4636" spans="1:1" x14ac:dyDescent="0.25">
      <c r="A4636" t="s">
        <v>1272</v>
      </c>
    </row>
    <row r="4637" spans="1:1" x14ac:dyDescent="0.25">
      <c r="A4637" t="s">
        <v>4291</v>
      </c>
    </row>
    <row r="4638" spans="1:1" x14ac:dyDescent="0.25">
      <c r="A4638" t="s">
        <v>2960</v>
      </c>
    </row>
    <row r="4639" spans="1:1" x14ac:dyDescent="0.25">
      <c r="A4639" t="s">
        <v>2961</v>
      </c>
    </row>
    <row r="4640" spans="1:1" x14ac:dyDescent="0.25">
      <c r="A4640" t="s">
        <v>2962</v>
      </c>
    </row>
    <row r="4641" spans="1:1" x14ac:dyDescent="0.25">
      <c r="A4641" t="s">
        <v>2963</v>
      </c>
    </row>
    <row r="4642" spans="1:1" x14ac:dyDescent="0.25">
      <c r="A4642" t="s">
        <v>2964</v>
      </c>
    </row>
    <row r="4643" spans="1:1" x14ac:dyDescent="0.25">
      <c r="A4643" t="s">
        <v>4183</v>
      </c>
    </row>
    <row r="4644" spans="1:1" x14ac:dyDescent="0.25">
      <c r="A4644" t="s">
        <v>4291</v>
      </c>
    </row>
    <row r="4645" spans="1:1" x14ac:dyDescent="0.25">
      <c r="A4645" t="s">
        <v>4184</v>
      </c>
    </row>
    <row r="4646" spans="1:1" x14ac:dyDescent="0.25">
      <c r="A4646" t="s">
        <v>4291</v>
      </c>
    </row>
    <row r="4647" spans="1:1" x14ac:dyDescent="0.25">
      <c r="A4647" t="s">
        <v>4185</v>
      </c>
    </row>
    <row r="4648" spans="1:1" x14ac:dyDescent="0.25">
      <c r="A4648" t="s">
        <v>4291</v>
      </c>
    </row>
    <row r="4649" spans="1:1" x14ac:dyDescent="0.25">
      <c r="A4649" t="s">
        <v>892</v>
      </c>
    </row>
    <row r="4650" spans="1:1" x14ac:dyDescent="0.25">
      <c r="A4650" t="s">
        <v>1273</v>
      </c>
    </row>
    <row r="4651" spans="1:1" x14ac:dyDescent="0.25">
      <c r="A4651" t="s">
        <v>4291</v>
      </c>
    </row>
    <row r="4652" spans="1:1" x14ac:dyDescent="0.25">
      <c r="A4652" t="s">
        <v>2965</v>
      </c>
    </row>
    <row r="4653" spans="1:1" x14ac:dyDescent="0.25">
      <c r="A4653" t="s">
        <v>2966</v>
      </c>
    </row>
    <row r="4654" spans="1:1" x14ac:dyDescent="0.25">
      <c r="A4654" t="s">
        <v>2967</v>
      </c>
    </row>
    <row r="4655" spans="1:1" x14ac:dyDescent="0.25">
      <c r="A4655" t="s">
        <v>2968</v>
      </c>
    </row>
    <row r="4656" spans="1:1" x14ac:dyDescent="0.25">
      <c r="A4656" t="s">
        <v>2969</v>
      </c>
    </row>
    <row r="4657" spans="1:1" x14ac:dyDescent="0.25">
      <c r="A4657" t="s">
        <v>4186</v>
      </c>
    </row>
    <row r="4658" spans="1:1" x14ac:dyDescent="0.25">
      <c r="A4658" t="s">
        <v>4291</v>
      </c>
    </row>
    <row r="4659" spans="1:1" x14ac:dyDescent="0.25">
      <c r="A4659" t="s">
        <v>4187</v>
      </c>
    </row>
    <row r="4660" spans="1:1" x14ac:dyDescent="0.25">
      <c r="A4660" t="s">
        <v>4291</v>
      </c>
    </row>
    <row r="4661" spans="1:1" x14ac:dyDescent="0.25">
      <c r="A4661" t="s">
        <v>4188</v>
      </c>
    </row>
    <row r="4662" spans="1:1" x14ac:dyDescent="0.25">
      <c r="A4662" t="s">
        <v>4291</v>
      </c>
    </row>
    <row r="4663" spans="1:1" x14ac:dyDescent="0.25">
      <c r="A4663" t="s">
        <v>893</v>
      </c>
    </row>
    <row r="4664" spans="1:1" x14ac:dyDescent="0.25">
      <c r="A4664" t="s">
        <v>1274</v>
      </c>
    </row>
    <row r="4665" spans="1:1" x14ac:dyDescent="0.25">
      <c r="A4665" t="s">
        <v>4291</v>
      </c>
    </row>
    <row r="4666" spans="1:1" x14ac:dyDescent="0.25">
      <c r="A4666" t="s">
        <v>2970</v>
      </c>
    </row>
    <row r="4667" spans="1:1" x14ac:dyDescent="0.25">
      <c r="A4667" t="s">
        <v>2971</v>
      </c>
    </row>
    <row r="4668" spans="1:1" x14ac:dyDescent="0.25">
      <c r="A4668" t="s">
        <v>2972</v>
      </c>
    </row>
    <row r="4669" spans="1:1" x14ac:dyDescent="0.25">
      <c r="A4669" t="s">
        <v>2973</v>
      </c>
    </row>
    <row r="4670" spans="1:1" x14ac:dyDescent="0.25">
      <c r="A4670" t="s">
        <v>2974</v>
      </c>
    </row>
    <row r="4671" spans="1:1" x14ac:dyDescent="0.25">
      <c r="A4671" t="s">
        <v>4189</v>
      </c>
    </row>
    <row r="4672" spans="1:1" x14ac:dyDescent="0.25">
      <c r="A4672" t="s">
        <v>4291</v>
      </c>
    </row>
    <row r="4673" spans="1:1" x14ac:dyDescent="0.25">
      <c r="A4673" t="s">
        <v>4190</v>
      </c>
    </row>
    <row r="4674" spans="1:1" x14ac:dyDescent="0.25">
      <c r="A4674" t="s">
        <v>4291</v>
      </c>
    </row>
    <row r="4675" spans="1:1" x14ac:dyDescent="0.25">
      <c r="A4675" t="s">
        <v>4191</v>
      </c>
    </row>
    <row r="4676" spans="1:1" x14ac:dyDescent="0.25">
      <c r="A4676" t="s">
        <v>4291</v>
      </c>
    </row>
    <row r="4677" spans="1:1" x14ac:dyDescent="0.25">
      <c r="A4677" t="s">
        <v>894</v>
      </c>
    </row>
    <row r="4678" spans="1:1" x14ac:dyDescent="0.25">
      <c r="A4678" t="s">
        <v>1275</v>
      </c>
    </row>
    <row r="4679" spans="1:1" x14ac:dyDescent="0.25">
      <c r="A4679" t="s">
        <v>4291</v>
      </c>
    </row>
    <row r="4680" spans="1:1" x14ac:dyDescent="0.25">
      <c r="A4680" t="s">
        <v>2975</v>
      </c>
    </row>
    <row r="4681" spans="1:1" x14ac:dyDescent="0.25">
      <c r="A4681" t="s">
        <v>2976</v>
      </c>
    </row>
    <row r="4682" spans="1:1" x14ac:dyDescent="0.25">
      <c r="A4682" t="s">
        <v>2977</v>
      </c>
    </row>
    <row r="4683" spans="1:1" x14ac:dyDescent="0.25">
      <c r="A4683" t="s">
        <v>2978</v>
      </c>
    </row>
    <row r="4684" spans="1:1" x14ac:dyDescent="0.25">
      <c r="A4684" t="s">
        <v>2979</v>
      </c>
    </row>
    <row r="4685" spans="1:1" x14ac:dyDescent="0.25">
      <c r="A4685" t="s">
        <v>4192</v>
      </c>
    </row>
    <row r="4686" spans="1:1" x14ac:dyDescent="0.25">
      <c r="A4686" t="s">
        <v>4291</v>
      </c>
    </row>
    <row r="4687" spans="1:1" x14ac:dyDescent="0.25">
      <c r="A4687" t="s">
        <v>4193</v>
      </c>
    </row>
    <row r="4688" spans="1:1" x14ac:dyDescent="0.25">
      <c r="A4688" t="s">
        <v>4291</v>
      </c>
    </row>
    <row r="4689" spans="1:1" x14ac:dyDescent="0.25">
      <c r="A4689" t="s">
        <v>4194</v>
      </c>
    </row>
    <row r="4690" spans="1:1" x14ac:dyDescent="0.25">
      <c r="A4690" t="s">
        <v>4291</v>
      </c>
    </row>
    <row r="4691" spans="1:1" x14ac:dyDescent="0.25">
      <c r="A4691" t="s">
        <v>895</v>
      </c>
    </row>
    <row r="4692" spans="1:1" x14ac:dyDescent="0.25">
      <c r="A4692" t="s">
        <v>1276</v>
      </c>
    </row>
    <row r="4693" spans="1:1" x14ac:dyDescent="0.25">
      <c r="A4693" t="s">
        <v>4291</v>
      </c>
    </row>
    <row r="4694" spans="1:1" x14ac:dyDescent="0.25">
      <c r="A4694" t="s">
        <v>2980</v>
      </c>
    </row>
    <row r="4695" spans="1:1" x14ac:dyDescent="0.25">
      <c r="A4695" t="s">
        <v>2981</v>
      </c>
    </row>
    <row r="4696" spans="1:1" x14ac:dyDescent="0.25">
      <c r="A4696" t="s">
        <v>2982</v>
      </c>
    </row>
    <row r="4697" spans="1:1" x14ac:dyDescent="0.25">
      <c r="A4697" t="s">
        <v>2983</v>
      </c>
    </row>
    <row r="4698" spans="1:1" x14ac:dyDescent="0.25">
      <c r="A4698" t="s">
        <v>2984</v>
      </c>
    </row>
    <row r="4699" spans="1:1" x14ac:dyDescent="0.25">
      <c r="A4699" t="s">
        <v>4195</v>
      </c>
    </row>
    <row r="4700" spans="1:1" x14ac:dyDescent="0.25">
      <c r="A4700" t="s">
        <v>4291</v>
      </c>
    </row>
    <row r="4701" spans="1:1" x14ac:dyDescent="0.25">
      <c r="A4701" t="s">
        <v>4196</v>
      </c>
    </row>
    <row r="4702" spans="1:1" x14ac:dyDescent="0.25">
      <c r="A4702" t="s">
        <v>4291</v>
      </c>
    </row>
    <row r="4703" spans="1:1" x14ac:dyDescent="0.25">
      <c r="A4703" t="s">
        <v>4197</v>
      </c>
    </row>
    <row r="4704" spans="1:1" x14ac:dyDescent="0.25">
      <c r="A4704" t="s">
        <v>4291</v>
      </c>
    </row>
    <row r="4705" spans="1:1" x14ac:dyDescent="0.25">
      <c r="A4705" t="s">
        <v>784</v>
      </c>
    </row>
    <row r="4706" spans="1:1" x14ac:dyDescent="0.25">
      <c r="A4706" t="s">
        <v>1277</v>
      </c>
    </row>
    <row r="4707" spans="1:1" x14ac:dyDescent="0.25">
      <c r="A4707" t="s">
        <v>4556</v>
      </c>
    </row>
    <row r="4708" spans="1:1" x14ac:dyDescent="0.25">
      <c r="A4708" t="s">
        <v>2985</v>
      </c>
    </row>
    <row r="4709" spans="1:1" x14ac:dyDescent="0.25">
      <c r="A4709" t="s">
        <v>2986</v>
      </c>
    </row>
    <row r="4710" spans="1:1" x14ac:dyDescent="0.25">
      <c r="A4710" t="s">
        <v>2987</v>
      </c>
    </row>
    <row r="4711" spans="1:1" x14ac:dyDescent="0.25">
      <c r="A4711" t="s">
        <v>2988</v>
      </c>
    </row>
    <row r="4712" spans="1:1" x14ac:dyDescent="0.25">
      <c r="A4712" t="s">
        <v>2989</v>
      </c>
    </row>
    <row r="4713" spans="1:1" x14ac:dyDescent="0.25">
      <c r="A4713" t="s">
        <v>4198</v>
      </c>
    </row>
    <row r="4714" spans="1:1" x14ac:dyDescent="0.25">
      <c r="A4714" t="s">
        <v>4291</v>
      </c>
    </row>
    <row r="4715" spans="1:1" x14ac:dyDescent="0.25">
      <c r="A4715" t="s">
        <v>4199</v>
      </c>
    </row>
    <row r="4716" spans="1:1" x14ac:dyDescent="0.25">
      <c r="A4716" t="s">
        <v>4291</v>
      </c>
    </row>
    <row r="4717" spans="1:1" x14ac:dyDescent="0.25">
      <c r="A4717" t="s">
        <v>4200</v>
      </c>
    </row>
    <row r="4718" spans="1:1" x14ac:dyDescent="0.25">
      <c r="A4718" t="s">
        <v>4291</v>
      </c>
    </row>
    <row r="4719" spans="1:1" x14ac:dyDescent="0.25">
      <c r="A4719" t="s">
        <v>785</v>
      </c>
    </row>
    <row r="4720" spans="1:1" x14ac:dyDescent="0.25">
      <c r="A4720" t="s">
        <v>1278</v>
      </c>
    </row>
    <row r="4721" spans="1:1" x14ac:dyDescent="0.25">
      <c r="A4721" t="s">
        <v>4557</v>
      </c>
    </row>
    <row r="4722" spans="1:1" x14ac:dyDescent="0.25">
      <c r="A4722" t="s">
        <v>2990</v>
      </c>
    </row>
    <row r="4723" spans="1:1" x14ac:dyDescent="0.25">
      <c r="A4723" t="s">
        <v>2991</v>
      </c>
    </row>
    <row r="4724" spans="1:1" x14ac:dyDescent="0.25">
      <c r="A4724" t="s">
        <v>2992</v>
      </c>
    </row>
    <row r="4725" spans="1:1" x14ac:dyDescent="0.25">
      <c r="A4725" t="s">
        <v>2993</v>
      </c>
    </row>
    <row r="4726" spans="1:1" x14ac:dyDescent="0.25">
      <c r="A4726" t="s">
        <v>2994</v>
      </c>
    </row>
    <row r="4727" spans="1:1" x14ac:dyDescent="0.25">
      <c r="A4727" t="s">
        <v>4201</v>
      </c>
    </row>
    <row r="4728" spans="1:1" x14ac:dyDescent="0.25">
      <c r="A4728" t="s">
        <v>4291</v>
      </c>
    </row>
    <row r="4729" spans="1:1" x14ac:dyDescent="0.25">
      <c r="A4729" t="s">
        <v>4202</v>
      </c>
    </row>
    <row r="4730" spans="1:1" x14ac:dyDescent="0.25">
      <c r="A4730" t="s">
        <v>4291</v>
      </c>
    </row>
    <row r="4731" spans="1:1" x14ac:dyDescent="0.25">
      <c r="A4731" t="s">
        <v>4203</v>
      </c>
    </row>
    <row r="4732" spans="1:1" x14ac:dyDescent="0.25">
      <c r="A4732" t="s">
        <v>4291</v>
      </c>
    </row>
    <row r="4733" spans="1:1" x14ac:dyDescent="0.25">
      <c r="A4733" t="s">
        <v>786</v>
      </c>
    </row>
    <row r="4734" spans="1:1" x14ac:dyDescent="0.25">
      <c r="A4734" t="s">
        <v>1279</v>
      </c>
    </row>
    <row r="4735" spans="1:1" x14ac:dyDescent="0.25">
      <c r="A4735" t="s">
        <v>4558</v>
      </c>
    </row>
    <row r="4736" spans="1:1" x14ac:dyDescent="0.25">
      <c r="A4736" t="s">
        <v>2995</v>
      </c>
    </row>
    <row r="4737" spans="1:1" x14ac:dyDescent="0.25">
      <c r="A4737" t="s">
        <v>2996</v>
      </c>
    </row>
    <row r="4738" spans="1:1" x14ac:dyDescent="0.25">
      <c r="A4738" t="s">
        <v>2997</v>
      </c>
    </row>
    <row r="4739" spans="1:1" x14ac:dyDescent="0.25">
      <c r="A4739" t="s">
        <v>2998</v>
      </c>
    </row>
    <row r="4740" spans="1:1" x14ac:dyDescent="0.25">
      <c r="A4740" t="s">
        <v>2999</v>
      </c>
    </row>
    <row r="4741" spans="1:1" x14ac:dyDescent="0.25">
      <c r="A4741" t="s">
        <v>4204</v>
      </c>
    </row>
    <row r="4742" spans="1:1" x14ac:dyDescent="0.25">
      <c r="A4742" t="s">
        <v>4291</v>
      </c>
    </row>
    <row r="4743" spans="1:1" x14ac:dyDescent="0.25">
      <c r="A4743" t="s">
        <v>4205</v>
      </c>
    </row>
    <row r="4744" spans="1:1" x14ac:dyDescent="0.25">
      <c r="A4744" t="s">
        <v>4291</v>
      </c>
    </row>
    <row r="4745" spans="1:1" x14ac:dyDescent="0.25">
      <c r="A4745" t="s">
        <v>4206</v>
      </c>
    </row>
    <row r="4746" spans="1:1" x14ac:dyDescent="0.25">
      <c r="A4746" t="s">
        <v>4291</v>
      </c>
    </row>
    <row r="4747" spans="1:1" x14ac:dyDescent="0.25">
      <c r="A4747" t="s">
        <v>787</v>
      </c>
    </row>
    <row r="4748" spans="1:1" x14ac:dyDescent="0.25">
      <c r="A4748" t="s">
        <v>1280</v>
      </c>
    </row>
    <row r="4749" spans="1:1" x14ac:dyDescent="0.25">
      <c r="A4749" t="s">
        <v>4426</v>
      </c>
    </row>
    <row r="4750" spans="1:1" x14ac:dyDescent="0.25">
      <c r="A4750" t="s">
        <v>3000</v>
      </c>
    </row>
    <row r="4751" spans="1:1" x14ac:dyDescent="0.25">
      <c r="A4751" t="s">
        <v>3001</v>
      </c>
    </row>
    <row r="4752" spans="1:1" x14ac:dyDescent="0.25">
      <c r="A4752" t="s">
        <v>3002</v>
      </c>
    </row>
    <row r="4753" spans="1:1" x14ac:dyDescent="0.25">
      <c r="A4753" t="s">
        <v>3003</v>
      </c>
    </row>
    <row r="4754" spans="1:1" x14ac:dyDescent="0.25">
      <c r="A4754" t="s">
        <v>3004</v>
      </c>
    </row>
    <row r="4755" spans="1:1" x14ac:dyDescent="0.25">
      <c r="A4755" t="s">
        <v>4207</v>
      </c>
    </row>
    <row r="4756" spans="1:1" x14ac:dyDescent="0.25">
      <c r="A4756" t="s">
        <v>4291</v>
      </c>
    </row>
    <row r="4757" spans="1:1" x14ac:dyDescent="0.25">
      <c r="A4757" t="s">
        <v>4208</v>
      </c>
    </row>
    <row r="4758" spans="1:1" x14ac:dyDescent="0.25">
      <c r="A4758" t="s">
        <v>4291</v>
      </c>
    </row>
    <row r="4759" spans="1:1" x14ac:dyDescent="0.25">
      <c r="A4759" t="s">
        <v>4209</v>
      </c>
    </row>
    <row r="4760" spans="1:1" x14ac:dyDescent="0.25">
      <c r="A4760" t="s">
        <v>4291</v>
      </c>
    </row>
    <row r="4761" spans="1:1" x14ac:dyDescent="0.25">
      <c r="A4761" t="s">
        <v>788</v>
      </c>
    </row>
    <row r="4762" spans="1:1" x14ac:dyDescent="0.25">
      <c r="A4762" t="s">
        <v>1281</v>
      </c>
    </row>
    <row r="4763" spans="1:1" x14ac:dyDescent="0.25">
      <c r="A4763" t="s">
        <v>4426</v>
      </c>
    </row>
    <row r="4764" spans="1:1" x14ac:dyDescent="0.25">
      <c r="A4764" t="s">
        <v>3005</v>
      </c>
    </row>
    <row r="4765" spans="1:1" x14ac:dyDescent="0.25">
      <c r="A4765" t="s">
        <v>3006</v>
      </c>
    </row>
    <row r="4766" spans="1:1" x14ac:dyDescent="0.25">
      <c r="A4766" t="s">
        <v>3007</v>
      </c>
    </row>
    <row r="4767" spans="1:1" x14ac:dyDescent="0.25">
      <c r="A4767" t="s">
        <v>3008</v>
      </c>
    </row>
    <row r="4768" spans="1:1" x14ac:dyDescent="0.25">
      <c r="A4768" t="s">
        <v>3009</v>
      </c>
    </row>
    <row r="4769" spans="1:1" x14ac:dyDescent="0.25">
      <c r="A4769" t="s">
        <v>4210</v>
      </c>
    </row>
    <row r="4770" spans="1:1" x14ac:dyDescent="0.25">
      <c r="A4770" t="s">
        <v>4291</v>
      </c>
    </row>
    <row r="4771" spans="1:1" x14ac:dyDescent="0.25">
      <c r="A4771" t="s">
        <v>4211</v>
      </c>
    </row>
    <row r="4772" spans="1:1" x14ac:dyDescent="0.25">
      <c r="A4772" t="s">
        <v>4291</v>
      </c>
    </row>
    <row r="4773" spans="1:1" x14ac:dyDescent="0.25">
      <c r="A4773" t="s">
        <v>4212</v>
      </c>
    </row>
    <row r="4774" spans="1:1" x14ac:dyDescent="0.25">
      <c r="A4774" t="s">
        <v>4291</v>
      </c>
    </row>
    <row r="4775" spans="1:1" x14ac:dyDescent="0.25">
      <c r="A4775" t="s">
        <v>789</v>
      </c>
    </row>
    <row r="4776" spans="1:1" x14ac:dyDescent="0.25">
      <c r="A4776" t="s">
        <v>1282</v>
      </c>
    </row>
    <row r="4777" spans="1:1" x14ac:dyDescent="0.25">
      <c r="A4777" t="s">
        <v>4426</v>
      </c>
    </row>
    <row r="4778" spans="1:1" x14ac:dyDescent="0.25">
      <c r="A4778" t="s">
        <v>3010</v>
      </c>
    </row>
    <row r="4779" spans="1:1" x14ac:dyDescent="0.25">
      <c r="A4779" t="s">
        <v>3011</v>
      </c>
    </row>
    <row r="4780" spans="1:1" x14ac:dyDescent="0.25">
      <c r="A4780" t="s">
        <v>3012</v>
      </c>
    </row>
    <row r="4781" spans="1:1" x14ac:dyDescent="0.25">
      <c r="A4781" t="s">
        <v>3013</v>
      </c>
    </row>
    <row r="4782" spans="1:1" x14ac:dyDescent="0.25">
      <c r="A4782" t="s">
        <v>3014</v>
      </c>
    </row>
    <row r="4783" spans="1:1" x14ac:dyDescent="0.25">
      <c r="A4783" t="s">
        <v>4213</v>
      </c>
    </row>
    <row r="4784" spans="1:1" x14ac:dyDescent="0.25">
      <c r="A4784" t="s">
        <v>4291</v>
      </c>
    </row>
    <row r="4785" spans="1:1" x14ac:dyDescent="0.25">
      <c r="A4785" t="s">
        <v>4214</v>
      </c>
    </row>
    <row r="4786" spans="1:1" x14ac:dyDescent="0.25">
      <c r="A4786" t="s">
        <v>4291</v>
      </c>
    </row>
    <row r="4787" spans="1:1" x14ac:dyDescent="0.25">
      <c r="A4787" t="s">
        <v>4215</v>
      </c>
    </row>
    <row r="4788" spans="1:1" x14ac:dyDescent="0.25">
      <c r="A4788" t="s">
        <v>4291</v>
      </c>
    </row>
    <row r="4789" spans="1:1" x14ac:dyDescent="0.25">
      <c r="A4789" t="s">
        <v>790</v>
      </c>
    </row>
    <row r="4790" spans="1:1" x14ac:dyDescent="0.25">
      <c r="A4790" t="s">
        <v>1283</v>
      </c>
    </row>
    <row r="4791" spans="1:1" x14ac:dyDescent="0.25">
      <c r="A4791" t="s">
        <v>4426</v>
      </c>
    </row>
    <row r="4792" spans="1:1" x14ac:dyDescent="0.25">
      <c r="A4792" t="s">
        <v>3015</v>
      </c>
    </row>
    <row r="4793" spans="1:1" x14ac:dyDescent="0.25">
      <c r="A4793" t="s">
        <v>3016</v>
      </c>
    </row>
    <row r="4794" spans="1:1" x14ac:dyDescent="0.25">
      <c r="A4794" t="s">
        <v>3017</v>
      </c>
    </row>
    <row r="4795" spans="1:1" x14ac:dyDescent="0.25">
      <c r="A4795" t="s">
        <v>3018</v>
      </c>
    </row>
    <row r="4796" spans="1:1" x14ac:dyDescent="0.25">
      <c r="A4796" t="s">
        <v>3019</v>
      </c>
    </row>
    <row r="4797" spans="1:1" x14ac:dyDescent="0.25">
      <c r="A4797" t="s">
        <v>4216</v>
      </c>
    </row>
    <row r="4798" spans="1:1" x14ac:dyDescent="0.25">
      <c r="A4798" t="s">
        <v>4291</v>
      </c>
    </row>
    <row r="4799" spans="1:1" x14ac:dyDescent="0.25">
      <c r="A4799" t="s">
        <v>4217</v>
      </c>
    </row>
    <row r="4800" spans="1:1" x14ac:dyDescent="0.25">
      <c r="A4800" t="s">
        <v>4291</v>
      </c>
    </row>
    <row r="4801" spans="1:1" x14ac:dyDescent="0.25">
      <c r="A4801" t="s">
        <v>4218</v>
      </c>
    </row>
    <row r="4802" spans="1:1" x14ac:dyDescent="0.25">
      <c r="A4802" t="s">
        <v>4291</v>
      </c>
    </row>
    <row r="4803" spans="1:1" x14ac:dyDescent="0.25">
      <c r="A4803" t="s">
        <v>791</v>
      </c>
    </row>
    <row r="4804" spans="1:1" x14ac:dyDescent="0.25">
      <c r="A4804" t="s">
        <v>1284</v>
      </c>
    </row>
    <row r="4805" spans="1:1" x14ac:dyDescent="0.25">
      <c r="A4805" t="s">
        <v>4426</v>
      </c>
    </row>
    <row r="4806" spans="1:1" x14ac:dyDescent="0.25">
      <c r="A4806" t="s">
        <v>3020</v>
      </c>
    </row>
    <row r="4807" spans="1:1" x14ac:dyDescent="0.25">
      <c r="A4807" t="s">
        <v>3021</v>
      </c>
    </row>
    <row r="4808" spans="1:1" x14ac:dyDescent="0.25">
      <c r="A4808" t="s">
        <v>3022</v>
      </c>
    </row>
    <row r="4809" spans="1:1" x14ac:dyDescent="0.25">
      <c r="A4809" t="s">
        <v>3023</v>
      </c>
    </row>
    <row r="4810" spans="1:1" x14ac:dyDescent="0.25">
      <c r="A4810" t="s">
        <v>3024</v>
      </c>
    </row>
    <row r="4811" spans="1:1" x14ac:dyDescent="0.25">
      <c r="A4811" t="s">
        <v>4219</v>
      </c>
    </row>
    <row r="4812" spans="1:1" x14ac:dyDescent="0.25">
      <c r="A4812" t="s">
        <v>4291</v>
      </c>
    </row>
    <row r="4813" spans="1:1" x14ac:dyDescent="0.25">
      <c r="A4813" t="s">
        <v>4220</v>
      </c>
    </row>
    <row r="4814" spans="1:1" x14ac:dyDescent="0.25">
      <c r="A4814" t="s">
        <v>4291</v>
      </c>
    </row>
    <row r="4815" spans="1:1" x14ac:dyDescent="0.25">
      <c r="A4815" t="s">
        <v>4221</v>
      </c>
    </row>
    <row r="4816" spans="1:1" x14ac:dyDescent="0.25">
      <c r="A4816" t="s">
        <v>4291</v>
      </c>
    </row>
    <row r="4817" spans="1:1" x14ac:dyDescent="0.25">
      <c r="A4817" t="s">
        <v>792</v>
      </c>
    </row>
    <row r="4818" spans="1:1" x14ac:dyDescent="0.25">
      <c r="A4818" t="s">
        <v>1285</v>
      </c>
    </row>
    <row r="4819" spans="1:1" x14ac:dyDescent="0.25">
      <c r="A4819" t="s">
        <v>4559</v>
      </c>
    </row>
    <row r="4820" spans="1:1" x14ac:dyDescent="0.25">
      <c r="A4820" t="s">
        <v>3025</v>
      </c>
    </row>
    <row r="4821" spans="1:1" x14ac:dyDescent="0.25">
      <c r="A4821" t="s">
        <v>3026</v>
      </c>
    </row>
    <row r="4822" spans="1:1" x14ac:dyDescent="0.25">
      <c r="A4822" t="s">
        <v>3027</v>
      </c>
    </row>
    <row r="4823" spans="1:1" x14ac:dyDescent="0.25">
      <c r="A4823" t="s">
        <v>3028</v>
      </c>
    </row>
    <row r="4824" spans="1:1" x14ac:dyDescent="0.25">
      <c r="A4824" t="s">
        <v>3029</v>
      </c>
    </row>
    <row r="4825" spans="1:1" x14ac:dyDescent="0.25">
      <c r="A4825" t="s">
        <v>4222</v>
      </c>
    </row>
    <row r="4826" spans="1:1" x14ac:dyDescent="0.25">
      <c r="A4826" t="s">
        <v>4291</v>
      </c>
    </row>
    <row r="4827" spans="1:1" x14ac:dyDescent="0.25">
      <c r="A4827" t="s">
        <v>4223</v>
      </c>
    </row>
    <row r="4828" spans="1:1" x14ac:dyDescent="0.25">
      <c r="A4828" t="s">
        <v>4291</v>
      </c>
    </row>
    <row r="4829" spans="1:1" x14ac:dyDescent="0.25">
      <c r="A4829" t="s">
        <v>4224</v>
      </c>
    </row>
    <row r="4830" spans="1:1" x14ac:dyDescent="0.25">
      <c r="A4830" t="s">
        <v>4291</v>
      </c>
    </row>
    <row r="4831" spans="1:1" x14ac:dyDescent="0.25">
      <c r="A4831" t="s">
        <v>793</v>
      </c>
    </row>
    <row r="4832" spans="1:1" x14ac:dyDescent="0.25">
      <c r="A4832" t="s">
        <v>1286</v>
      </c>
    </row>
    <row r="4833" spans="1:1" x14ac:dyDescent="0.25">
      <c r="A4833" t="s">
        <v>4560</v>
      </c>
    </row>
    <row r="4834" spans="1:1" x14ac:dyDescent="0.25">
      <c r="A4834" t="s">
        <v>3030</v>
      </c>
    </row>
    <row r="4835" spans="1:1" x14ac:dyDescent="0.25">
      <c r="A4835" t="s">
        <v>3031</v>
      </c>
    </row>
    <row r="4836" spans="1:1" x14ac:dyDescent="0.25">
      <c r="A4836" t="s">
        <v>3032</v>
      </c>
    </row>
    <row r="4837" spans="1:1" x14ac:dyDescent="0.25">
      <c r="A4837" t="s">
        <v>3033</v>
      </c>
    </row>
    <row r="4838" spans="1:1" x14ac:dyDescent="0.25">
      <c r="A4838" t="s">
        <v>3034</v>
      </c>
    </row>
    <row r="4839" spans="1:1" x14ac:dyDescent="0.25">
      <c r="A4839" t="s">
        <v>4225</v>
      </c>
    </row>
    <row r="4840" spans="1:1" x14ac:dyDescent="0.25">
      <c r="A4840" t="s">
        <v>4291</v>
      </c>
    </row>
    <row r="4841" spans="1:1" x14ac:dyDescent="0.25">
      <c r="A4841" t="s">
        <v>4226</v>
      </c>
    </row>
    <row r="4842" spans="1:1" x14ac:dyDescent="0.25">
      <c r="A4842" t="s">
        <v>4291</v>
      </c>
    </row>
    <row r="4843" spans="1:1" x14ac:dyDescent="0.25">
      <c r="A4843" t="s">
        <v>4227</v>
      </c>
    </row>
    <row r="4844" spans="1:1" x14ac:dyDescent="0.25">
      <c r="A4844" t="s">
        <v>4291</v>
      </c>
    </row>
    <row r="4845" spans="1:1" x14ac:dyDescent="0.25">
      <c r="A4845" t="s">
        <v>794</v>
      </c>
    </row>
    <row r="4846" spans="1:1" x14ac:dyDescent="0.25">
      <c r="A4846" t="s">
        <v>1287</v>
      </c>
    </row>
    <row r="4847" spans="1:1" x14ac:dyDescent="0.25">
      <c r="A4847" t="s">
        <v>4561</v>
      </c>
    </row>
    <row r="4848" spans="1:1" x14ac:dyDescent="0.25">
      <c r="A4848" t="s">
        <v>3035</v>
      </c>
    </row>
    <row r="4849" spans="1:1" x14ac:dyDescent="0.25">
      <c r="A4849" t="s">
        <v>3036</v>
      </c>
    </row>
    <row r="4850" spans="1:1" x14ac:dyDescent="0.25">
      <c r="A4850" t="s">
        <v>3037</v>
      </c>
    </row>
    <row r="4851" spans="1:1" x14ac:dyDescent="0.25">
      <c r="A4851" t="s">
        <v>3038</v>
      </c>
    </row>
    <row r="4852" spans="1:1" x14ac:dyDescent="0.25">
      <c r="A4852" t="s">
        <v>3039</v>
      </c>
    </row>
    <row r="4853" spans="1:1" x14ac:dyDescent="0.25">
      <c r="A4853" t="s">
        <v>4228</v>
      </c>
    </row>
    <row r="4854" spans="1:1" x14ac:dyDescent="0.25">
      <c r="A4854" t="s">
        <v>4291</v>
      </c>
    </row>
    <row r="4855" spans="1:1" x14ac:dyDescent="0.25">
      <c r="A4855" t="s">
        <v>4229</v>
      </c>
    </row>
    <row r="4856" spans="1:1" x14ac:dyDescent="0.25">
      <c r="A4856" t="s">
        <v>4291</v>
      </c>
    </row>
    <row r="4857" spans="1:1" x14ac:dyDescent="0.25">
      <c r="A4857" t="s">
        <v>4230</v>
      </c>
    </row>
    <row r="4858" spans="1:1" x14ac:dyDescent="0.25">
      <c r="A4858" t="s">
        <v>4291</v>
      </c>
    </row>
    <row r="4859" spans="1:1" x14ac:dyDescent="0.25">
      <c r="A4859" t="s">
        <v>795</v>
      </c>
    </row>
    <row r="4860" spans="1:1" x14ac:dyDescent="0.25">
      <c r="A4860" t="s">
        <v>1288</v>
      </c>
    </row>
    <row r="4861" spans="1:1" x14ac:dyDescent="0.25">
      <c r="A4861" t="s">
        <v>4562</v>
      </c>
    </row>
    <row r="4862" spans="1:1" x14ac:dyDescent="0.25">
      <c r="A4862" t="s">
        <v>3040</v>
      </c>
    </row>
    <row r="4863" spans="1:1" x14ac:dyDescent="0.25">
      <c r="A4863" t="s">
        <v>3041</v>
      </c>
    </row>
    <row r="4864" spans="1:1" x14ac:dyDescent="0.25">
      <c r="A4864" t="s">
        <v>3042</v>
      </c>
    </row>
    <row r="4865" spans="1:1" x14ac:dyDescent="0.25">
      <c r="A4865" t="s">
        <v>3043</v>
      </c>
    </row>
    <row r="4866" spans="1:1" x14ac:dyDescent="0.25">
      <c r="A4866" t="s">
        <v>3044</v>
      </c>
    </row>
    <row r="4867" spans="1:1" x14ac:dyDescent="0.25">
      <c r="A4867" t="s">
        <v>4231</v>
      </c>
    </row>
    <row r="4868" spans="1:1" x14ac:dyDescent="0.25">
      <c r="A4868" t="s">
        <v>4291</v>
      </c>
    </row>
    <row r="4869" spans="1:1" x14ac:dyDescent="0.25">
      <c r="A4869" t="s">
        <v>4232</v>
      </c>
    </row>
    <row r="4870" spans="1:1" x14ac:dyDescent="0.25">
      <c r="A4870" t="s">
        <v>4291</v>
      </c>
    </row>
    <row r="4871" spans="1:1" x14ac:dyDescent="0.25">
      <c r="A4871" t="s">
        <v>4233</v>
      </c>
    </row>
    <row r="4872" spans="1:1" x14ac:dyDescent="0.25">
      <c r="A4872" t="s">
        <v>4291</v>
      </c>
    </row>
    <row r="4873" spans="1:1" x14ac:dyDescent="0.25">
      <c r="A4873" t="s">
        <v>796</v>
      </c>
    </row>
    <row r="4874" spans="1:1" x14ac:dyDescent="0.25">
      <c r="A4874" t="s">
        <v>1289</v>
      </c>
    </row>
    <row r="4875" spans="1:1" x14ac:dyDescent="0.25">
      <c r="A4875" t="s">
        <v>4563</v>
      </c>
    </row>
    <row r="4876" spans="1:1" x14ac:dyDescent="0.25">
      <c r="A4876" t="s">
        <v>3045</v>
      </c>
    </row>
    <row r="4877" spans="1:1" x14ac:dyDescent="0.25">
      <c r="A4877" t="s">
        <v>3046</v>
      </c>
    </row>
    <row r="4878" spans="1:1" x14ac:dyDescent="0.25">
      <c r="A4878" t="s">
        <v>3047</v>
      </c>
    </row>
    <row r="4879" spans="1:1" x14ac:dyDescent="0.25">
      <c r="A4879" t="s">
        <v>3048</v>
      </c>
    </row>
    <row r="4880" spans="1:1" x14ac:dyDescent="0.25">
      <c r="A4880" t="s">
        <v>3049</v>
      </c>
    </row>
    <row r="4881" spans="1:1" x14ac:dyDescent="0.25">
      <c r="A4881" t="s">
        <v>4234</v>
      </c>
    </row>
    <row r="4882" spans="1:1" x14ac:dyDescent="0.25">
      <c r="A4882" t="s">
        <v>4291</v>
      </c>
    </row>
    <row r="4883" spans="1:1" x14ac:dyDescent="0.25">
      <c r="A4883" t="s">
        <v>4235</v>
      </c>
    </row>
    <row r="4884" spans="1:1" x14ac:dyDescent="0.25">
      <c r="A4884" t="s">
        <v>4291</v>
      </c>
    </row>
    <row r="4885" spans="1:1" x14ac:dyDescent="0.25">
      <c r="A4885" t="s">
        <v>4236</v>
      </c>
    </row>
    <row r="4886" spans="1:1" x14ac:dyDescent="0.25">
      <c r="A4886" t="s">
        <v>4291</v>
      </c>
    </row>
    <row r="4887" spans="1:1" x14ac:dyDescent="0.25">
      <c r="A4887" t="s">
        <v>797</v>
      </c>
    </row>
    <row r="4888" spans="1:1" x14ac:dyDescent="0.25">
      <c r="A4888" t="s">
        <v>1290</v>
      </c>
    </row>
    <row r="4889" spans="1:1" x14ac:dyDescent="0.25">
      <c r="A4889" t="s">
        <v>4426</v>
      </c>
    </row>
    <row r="4890" spans="1:1" x14ac:dyDescent="0.25">
      <c r="A4890" t="s">
        <v>3050</v>
      </c>
    </row>
    <row r="4891" spans="1:1" x14ac:dyDescent="0.25">
      <c r="A4891" t="s">
        <v>3051</v>
      </c>
    </row>
    <row r="4892" spans="1:1" x14ac:dyDescent="0.25">
      <c r="A4892" t="s">
        <v>3052</v>
      </c>
    </row>
    <row r="4893" spans="1:1" x14ac:dyDescent="0.25">
      <c r="A4893" t="s">
        <v>3053</v>
      </c>
    </row>
    <row r="4894" spans="1:1" x14ac:dyDescent="0.25">
      <c r="A4894" t="s">
        <v>3054</v>
      </c>
    </row>
    <row r="4895" spans="1:1" x14ac:dyDescent="0.25">
      <c r="A4895" t="s">
        <v>4237</v>
      </c>
    </row>
    <row r="4896" spans="1:1" x14ac:dyDescent="0.25">
      <c r="A4896" t="s">
        <v>4291</v>
      </c>
    </row>
    <row r="4897" spans="1:1" x14ac:dyDescent="0.25">
      <c r="A4897" t="s">
        <v>4238</v>
      </c>
    </row>
    <row r="4898" spans="1:1" x14ac:dyDescent="0.25">
      <c r="A4898" t="s">
        <v>4291</v>
      </c>
    </row>
    <row r="4899" spans="1:1" x14ac:dyDescent="0.25">
      <c r="A4899" t="s">
        <v>4239</v>
      </c>
    </row>
    <row r="4900" spans="1:1" x14ac:dyDescent="0.25">
      <c r="A4900" t="s">
        <v>4291</v>
      </c>
    </row>
    <row r="4901" spans="1:1" x14ac:dyDescent="0.25">
      <c r="A4901" t="s">
        <v>798</v>
      </c>
    </row>
    <row r="4902" spans="1:1" x14ac:dyDescent="0.25">
      <c r="A4902" t="s">
        <v>1291</v>
      </c>
    </row>
    <row r="4903" spans="1:1" x14ac:dyDescent="0.25">
      <c r="A4903" t="s">
        <v>4426</v>
      </c>
    </row>
    <row r="4904" spans="1:1" x14ac:dyDescent="0.25">
      <c r="A4904" t="s">
        <v>3055</v>
      </c>
    </row>
    <row r="4905" spans="1:1" x14ac:dyDescent="0.25">
      <c r="A4905" t="s">
        <v>3056</v>
      </c>
    </row>
    <row r="4906" spans="1:1" x14ac:dyDescent="0.25">
      <c r="A4906" t="s">
        <v>3057</v>
      </c>
    </row>
    <row r="4907" spans="1:1" x14ac:dyDescent="0.25">
      <c r="A4907" t="s">
        <v>3058</v>
      </c>
    </row>
    <row r="4908" spans="1:1" x14ac:dyDescent="0.25">
      <c r="A4908" t="s">
        <v>3059</v>
      </c>
    </row>
    <row r="4909" spans="1:1" x14ac:dyDescent="0.25">
      <c r="A4909" t="s">
        <v>4240</v>
      </c>
    </row>
    <row r="4910" spans="1:1" x14ac:dyDescent="0.25">
      <c r="A4910" t="s">
        <v>4291</v>
      </c>
    </row>
    <row r="4911" spans="1:1" x14ac:dyDescent="0.25">
      <c r="A4911" t="s">
        <v>4241</v>
      </c>
    </row>
    <row r="4912" spans="1:1" x14ac:dyDescent="0.25">
      <c r="A4912" t="s">
        <v>4291</v>
      </c>
    </row>
    <row r="4913" spans="1:1" x14ac:dyDescent="0.25">
      <c r="A4913" t="s">
        <v>4242</v>
      </c>
    </row>
    <row r="4914" spans="1:1" x14ac:dyDescent="0.25">
      <c r="A4914" t="s">
        <v>4291</v>
      </c>
    </row>
    <row r="4915" spans="1:1" x14ac:dyDescent="0.25">
      <c r="A4915" t="s">
        <v>799</v>
      </c>
    </row>
    <row r="4916" spans="1:1" x14ac:dyDescent="0.25">
      <c r="A4916" t="s">
        <v>1292</v>
      </c>
    </row>
    <row r="4917" spans="1:1" x14ac:dyDescent="0.25">
      <c r="A4917" t="s">
        <v>4426</v>
      </c>
    </row>
    <row r="4918" spans="1:1" x14ac:dyDescent="0.25">
      <c r="A4918" t="s">
        <v>3060</v>
      </c>
    </row>
    <row r="4919" spans="1:1" x14ac:dyDescent="0.25">
      <c r="A4919" t="s">
        <v>3061</v>
      </c>
    </row>
    <row r="4920" spans="1:1" x14ac:dyDescent="0.25">
      <c r="A4920" t="s">
        <v>3062</v>
      </c>
    </row>
    <row r="4921" spans="1:1" x14ac:dyDescent="0.25">
      <c r="A4921" t="s">
        <v>3063</v>
      </c>
    </row>
    <row r="4922" spans="1:1" x14ac:dyDescent="0.25">
      <c r="A4922" t="s">
        <v>3064</v>
      </c>
    </row>
    <row r="4923" spans="1:1" x14ac:dyDescent="0.25">
      <c r="A4923" t="s">
        <v>4243</v>
      </c>
    </row>
    <row r="4924" spans="1:1" x14ac:dyDescent="0.25">
      <c r="A4924" t="s">
        <v>4291</v>
      </c>
    </row>
    <row r="4925" spans="1:1" x14ac:dyDescent="0.25">
      <c r="A4925" t="s">
        <v>4244</v>
      </c>
    </row>
    <row r="4926" spans="1:1" x14ac:dyDescent="0.25">
      <c r="A4926" t="s">
        <v>4291</v>
      </c>
    </row>
    <row r="4927" spans="1:1" x14ac:dyDescent="0.25">
      <c r="A4927" t="s">
        <v>4245</v>
      </c>
    </row>
    <row r="4928" spans="1:1" x14ac:dyDescent="0.25">
      <c r="A4928" t="s">
        <v>4291</v>
      </c>
    </row>
    <row r="4929" spans="1:1" x14ac:dyDescent="0.25">
      <c r="A4929" t="s">
        <v>371</v>
      </c>
    </row>
    <row r="4930" spans="1:1" x14ac:dyDescent="0.25">
      <c r="A4930" t="s">
        <v>1293</v>
      </c>
    </row>
    <row r="4931" spans="1:1" x14ac:dyDescent="0.25">
      <c r="A4931" t="s">
        <v>4426</v>
      </c>
    </row>
    <row r="4932" spans="1:1" x14ac:dyDescent="0.25">
      <c r="A4932" t="s">
        <v>374</v>
      </c>
    </row>
    <row r="4933" spans="1:1" x14ac:dyDescent="0.25">
      <c r="A4933" t="s">
        <v>375</v>
      </c>
    </row>
    <row r="4934" spans="1:1" x14ac:dyDescent="0.25">
      <c r="A4934" t="s">
        <v>376</v>
      </c>
    </row>
    <row r="4935" spans="1:1" x14ac:dyDescent="0.25">
      <c r="A4935" t="s">
        <v>377</v>
      </c>
    </row>
    <row r="4936" spans="1:1" x14ac:dyDescent="0.25">
      <c r="A4936" t="s">
        <v>3222</v>
      </c>
    </row>
    <row r="4937" spans="1:1" x14ac:dyDescent="0.25">
      <c r="A4937" t="s">
        <v>379</v>
      </c>
    </row>
    <row r="4938" spans="1:1" x14ac:dyDescent="0.25">
      <c r="A4938" t="s">
        <v>4291</v>
      </c>
    </row>
    <row r="4939" spans="1:1" x14ac:dyDescent="0.25">
      <c r="A4939" t="s">
        <v>382</v>
      </c>
    </row>
    <row r="4940" spans="1:1" x14ac:dyDescent="0.25">
      <c r="A4940" t="s">
        <v>4291</v>
      </c>
    </row>
    <row r="4941" spans="1:1" x14ac:dyDescent="0.25">
      <c r="A4941" t="s">
        <v>383</v>
      </c>
    </row>
    <row r="4942" spans="1:1" x14ac:dyDescent="0.25">
      <c r="A4942" t="s">
        <v>4291</v>
      </c>
    </row>
    <row r="4943" spans="1:1" x14ac:dyDescent="0.25">
      <c r="A4943" t="s">
        <v>699</v>
      </c>
    </row>
    <row r="4944" spans="1:1" x14ac:dyDescent="0.25">
      <c r="A4944" t="s">
        <v>1294</v>
      </c>
    </row>
    <row r="4945" spans="1:1" x14ac:dyDescent="0.25">
      <c r="A4945" t="s">
        <v>4426</v>
      </c>
    </row>
    <row r="4946" spans="1:1" x14ac:dyDescent="0.25">
      <c r="A4946" t="s">
        <v>3065</v>
      </c>
    </row>
    <row r="4947" spans="1:1" x14ac:dyDescent="0.25">
      <c r="A4947" t="s">
        <v>3066</v>
      </c>
    </row>
    <row r="4948" spans="1:1" x14ac:dyDescent="0.25">
      <c r="A4948" t="s">
        <v>3067</v>
      </c>
    </row>
    <row r="4949" spans="1:1" x14ac:dyDescent="0.25">
      <c r="A4949" t="s">
        <v>3068</v>
      </c>
    </row>
    <row r="4950" spans="1:1" x14ac:dyDescent="0.25">
      <c r="A4950" t="s">
        <v>3223</v>
      </c>
    </row>
    <row r="4951" spans="1:1" x14ac:dyDescent="0.25">
      <c r="A4951" t="s">
        <v>4246</v>
      </c>
    </row>
    <row r="4952" spans="1:1" x14ac:dyDescent="0.25">
      <c r="A4952" t="s">
        <v>4291</v>
      </c>
    </row>
    <row r="4953" spans="1:1" x14ac:dyDescent="0.25">
      <c r="A4953" t="s">
        <v>4247</v>
      </c>
    </row>
    <row r="4954" spans="1:1" x14ac:dyDescent="0.25">
      <c r="A4954" t="s">
        <v>4291</v>
      </c>
    </row>
    <row r="4955" spans="1:1" x14ac:dyDescent="0.25">
      <c r="A4955" t="s">
        <v>4248</v>
      </c>
    </row>
    <row r="4956" spans="1:1" x14ac:dyDescent="0.25">
      <c r="A4956" t="s">
        <v>4291</v>
      </c>
    </row>
    <row r="4957" spans="1:1" x14ac:dyDescent="0.25">
      <c r="A4957" t="s">
        <v>700</v>
      </c>
    </row>
    <row r="4958" spans="1:1" x14ac:dyDescent="0.25">
      <c r="A4958" t="s">
        <v>1295</v>
      </c>
    </row>
    <row r="4959" spans="1:1" x14ac:dyDescent="0.25">
      <c r="A4959" t="s">
        <v>4564</v>
      </c>
    </row>
    <row r="4960" spans="1:1" x14ac:dyDescent="0.25">
      <c r="A4960" t="s">
        <v>3069</v>
      </c>
    </row>
    <row r="4961" spans="1:1" x14ac:dyDescent="0.25">
      <c r="A4961" t="s">
        <v>3070</v>
      </c>
    </row>
    <row r="4962" spans="1:1" x14ac:dyDescent="0.25">
      <c r="A4962" t="s">
        <v>3071</v>
      </c>
    </row>
    <row r="4963" spans="1:1" x14ac:dyDescent="0.25">
      <c r="A4963" t="s">
        <v>3072</v>
      </c>
    </row>
    <row r="4964" spans="1:1" x14ac:dyDescent="0.25">
      <c r="A4964" t="s">
        <v>3224</v>
      </c>
    </row>
    <row r="4965" spans="1:1" x14ac:dyDescent="0.25">
      <c r="A4965" t="s">
        <v>4249</v>
      </c>
    </row>
    <row r="4966" spans="1:1" x14ac:dyDescent="0.25">
      <c r="A4966" t="s">
        <v>4291</v>
      </c>
    </row>
    <row r="4967" spans="1:1" x14ac:dyDescent="0.25">
      <c r="A4967" t="s">
        <v>4250</v>
      </c>
    </row>
    <row r="4968" spans="1:1" x14ac:dyDescent="0.25">
      <c r="A4968" t="s">
        <v>4291</v>
      </c>
    </row>
    <row r="4969" spans="1:1" x14ac:dyDescent="0.25">
      <c r="A4969" t="s">
        <v>4251</v>
      </c>
    </row>
    <row r="4970" spans="1:1" x14ac:dyDescent="0.25">
      <c r="A4970" t="s">
        <v>4291</v>
      </c>
    </row>
    <row r="4971" spans="1:1" x14ac:dyDescent="0.25">
      <c r="A4971" t="s">
        <v>701</v>
      </c>
    </row>
    <row r="4972" spans="1:1" x14ac:dyDescent="0.25">
      <c r="A4972" t="s">
        <v>1296</v>
      </c>
    </row>
    <row r="4973" spans="1:1" x14ac:dyDescent="0.25">
      <c r="A4973" t="s">
        <v>4426</v>
      </c>
    </row>
    <row r="4974" spans="1:1" x14ac:dyDescent="0.25">
      <c r="A4974" t="s">
        <v>3073</v>
      </c>
    </row>
    <row r="4975" spans="1:1" x14ac:dyDescent="0.25">
      <c r="A4975" t="s">
        <v>3074</v>
      </c>
    </row>
    <row r="4976" spans="1:1" x14ac:dyDescent="0.25">
      <c r="A4976" t="s">
        <v>3075</v>
      </c>
    </row>
    <row r="4977" spans="1:1" x14ac:dyDescent="0.25">
      <c r="A4977" t="s">
        <v>3076</v>
      </c>
    </row>
    <row r="4978" spans="1:1" x14ac:dyDescent="0.25">
      <c r="A4978" t="s">
        <v>3225</v>
      </c>
    </row>
    <row r="4979" spans="1:1" x14ac:dyDescent="0.25">
      <c r="A4979" t="s">
        <v>4252</v>
      </c>
    </row>
    <row r="4980" spans="1:1" x14ac:dyDescent="0.25">
      <c r="A4980" t="s">
        <v>4291</v>
      </c>
    </row>
    <row r="4981" spans="1:1" x14ac:dyDescent="0.25">
      <c r="A4981" t="s">
        <v>4253</v>
      </c>
    </row>
    <row r="4982" spans="1:1" x14ac:dyDescent="0.25">
      <c r="A4982" t="s">
        <v>4291</v>
      </c>
    </row>
    <row r="4983" spans="1:1" x14ac:dyDescent="0.25">
      <c r="A4983" t="s">
        <v>4254</v>
      </c>
    </row>
    <row r="4984" spans="1:1" x14ac:dyDescent="0.25">
      <c r="A4984" t="s">
        <v>4291</v>
      </c>
    </row>
    <row r="4985" spans="1:1" x14ac:dyDescent="0.25">
      <c r="A4985" t="s">
        <v>702</v>
      </c>
    </row>
    <row r="4986" spans="1:1" x14ac:dyDescent="0.25">
      <c r="A4986" t="s">
        <v>1297</v>
      </c>
    </row>
    <row r="4987" spans="1:1" x14ac:dyDescent="0.25">
      <c r="A4987" t="s">
        <v>4565</v>
      </c>
    </row>
    <row r="4988" spans="1:1" x14ac:dyDescent="0.25">
      <c r="A4988" t="s">
        <v>3077</v>
      </c>
    </row>
    <row r="4989" spans="1:1" x14ac:dyDescent="0.25">
      <c r="A4989" t="s">
        <v>3078</v>
      </c>
    </row>
    <row r="4990" spans="1:1" x14ac:dyDescent="0.25">
      <c r="A4990" t="s">
        <v>3079</v>
      </c>
    </row>
    <row r="4991" spans="1:1" x14ac:dyDescent="0.25">
      <c r="A4991" t="s">
        <v>3080</v>
      </c>
    </row>
    <row r="4992" spans="1:1" x14ac:dyDescent="0.25">
      <c r="A4992" t="s">
        <v>3226</v>
      </c>
    </row>
    <row r="4993" spans="1:1" x14ac:dyDescent="0.25">
      <c r="A4993" t="s">
        <v>4255</v>
      </c>
    </row>
    <row r="4994" spans="1:1" x14ac:dyDescent="0.25">
      <c r="A4994" t="s">
        <v>4291</v>
      </c>
    </row>
    <row r="4995" spans="1:1" x14ac:dyDescent="0.25">
      <c r="A4995" t="s">
        <v>4256</v>
      </c>
    </row>
    <row r="4996" spans="1:1" x14ac:dyDescent="0.25">
      <c r="A4996" t="s">
        <v>4291</v>
      </c>
    </row>
    <row r="4997" spans="1:1" x14ac:dyDescent="0.25">
      <c r="A4997" t="s">
        <v>4257</v>
      </c>
    </row>
    <row r="4998" spans="1:1" x14ac:dyDescent="0.25">
      <c r="A4998" t="s">
        <v>4291</v>
      </c>
    </row>
    <row r="4999" spans="1:1" x14ac:dyDescent="0.25">
      <c r="A4999" t="s">
        <v>703</v>
      </c>
    </row>
    <row r="5000" spans="1:1" x14ac:dyDescent="0.25">
      <c r="A5000" t="s">
        <v>1298</v>
      </c>
    </row>
    <row r="5001" spans="1:1" x14ac:dyDescent="0.25">
      <c r="A5001" t="s">
        <v>4566</v>
      </c>
    </row>
    <row r="5002" spans="1:1" x14ac:dyDescent="0.25">
      <c r="A5002" t="s">
        <v>3081</v>
      </c>
    </row>
    <row r="5003" spans="1:1" x14ac:dyDescent="0.25">
      <c r="A5003" t="s">
        <v>3082</v>
      </c>
    </row>
    <row r="5004" spans="1:1" x14ac:dyDescent="0.25">
      <c r="A5004" t="s">
        <v>3083</v>
      </c>
    </row>
    <row r="5005" spans="1:1" x14ac:dyDescent="0.25">
      <c r="A5005" t="s">
        <v>3084</v>
      </c>
    </row>
    <row r="5006" spans="1:1" x14ac:dyDescent="0.25">
      <c r="A5006" t="s">
        <v>3227</v>
      </c>
    </row>
    <row r="5007" spans="1:1" x14ac:dyDescent="0.25">
      <c r="A5007" t="s">
        <v>4258</v>
      </c>
    </row>
    <row r="5008" spans="1:1" x14ac:dyDescent="0.25">
      <c r="A5008" t="s">
        <v>4291</v>
      </c>
    </row>
    <row r="5009" spans="1:1" x14ac:dyDescent="0.25">
      <c r="A5009" t="s">
        <v>4259</v>
      </c>
    </row>
    <row r="5010" spans="1:1" x14ac:dyDescent="0.25">
      <c r="A5010" t="s">
        <v>4291</v>
      </c>
    </row>
    <row r="5011" spans="1:1" x14ac:dyDescent="0.25">
      <c r="A5011" t="s">
        <v>4260</v>
      </c>
    </row>
    <row r="5012" spans="1:1" x14ac:dyDescent="0.25">
      <c r="A5012" t="s">
        <v>4291</v>
      </c>
    </row>
    <row r="5013" spans="1:1" x14ac:dyDescent="0.25">
      <c r="A5013" t="s">
        <v>704</v>
      </c>
    </row>
    <row r="5014" spans="1:1" x14ac:dyDescent="0.25">
      <c r="A5014" t="s">
        <v>1299</v>
      </c>
    </row>
    <row r="5015" spans="1:1" x14ac:dyDescent="0.25">
      <c r="A5015" t="s">
        <v>4291</v>
      </c>
    </row>
    <row r="5016" spans="1:1" x14ac:dyDescent="0.25">
      <c r="A5016" t="s">
        <v>3085</v>
      </c>
    </row>
    <row r="5017" spans="1:1" x14ac:dyDescent="0.25">
      <c r="A5017" t="s">
        <v>3086</v>
      </c>
    </row>
    <row r="5018" spans="1:1" x14ac:dyDescent="0.25">
      <c r="A5018" t="s">
        <v>3087</v>
      </c>
    </row>
    <row r="5019" spans="1:1" x14ac:dyDescent="0.25">
      <c r="A5019" t="s">
        <v>3088</v>
      </c>
    </row>
    <row r="5020" spans="1:1" x14ac:dyDescent="0.25">
      <c r="A5020" t="s">
        <v>3228</v>
      </c>
    </row>
    <row r="5021" spans="1:1" x14ac:dyDescent="0.25">
      <c r="A5021" t="s">
        <v>4261</v>
      </c>
    </row>
    <row r="5022" spans="1:1" x14ac:dyDescent="0.25">
      <c r="A5022" t="s">
        <v>4291</v>
      </c>
    </row>
    <row r="5023" spans="1:1" x14ac:dyDescent="0.25">
      <c r="A5023" t="s">
        <v>4262</v>
      </c>
    </row>
    <row r="5024" spans="1:1" x14ac:dyDescent="0.25">
      <c r="A5024" t="s">
        <v>4291</v>
      </c>
    </row>
    <row r="5025" spans="1:1" x14ac:dyDescent="0.25">
      <c r="A5025" t="s">
        <v>4263</v>
      </c>
    </row>
    <row r="5026" spans="1:1" x14ac:dyDescent="0.25">
      <c r="A5026" t="s">
        <v>4291</v>
      </c>
    </row>
    <row r="5027" spans="1:1" x14ac:dyDescent="0.25">
      <c r="A5027" t="s">
        <v>705</v>
      </c>
    </row>
    <row r="5028" spans="1:1" x14ac:dyDescent="0.25">
      <c r="A5028" t="s">
        <v>1300</v>
      </c>
    </row>
    <row r="5029" spans="1:1" x14ac:dyDescent="0.25">
      <c r="A5029" t="s">
        <v>4291</v>
      </c>
    </row>
    <row r="5030" spans="1:1" x14ac:dyDescent="0.25">
      <c r="A5030" t="s">
        <v>3089</v>
      </c>
    </row>
    <row r="5031" spans="1:1" x14ac:dyDescent="0.25">
      <c r="A5031" t="s">
        <v>3090</v>
      </c>
    </row>
    <row r="5032" spans="1:1" x14ac:dyDescent="0.25">
      <c r="A5032" t="s">
        <v>3091</v>
      </c>
    </row>
    <row r="5033" spans="1:1" x14ac:dyDescent="0.25">
      <c r="A5033" t="s">
        <v>3092</v>
      </c>
    </row>
    <row r="5034" spans="1:1" x14ac:dyDescent="0.25">
      <c r="A5034" t="s">
        <v>3229</v>
      </c>
    </row>
    <row r="5035" spans="1:1" x14ac:dyDescent="0.25">
      <c r="A5035" t="s">
        <v>4264</v>
      </c>
    </row>
    <row r="5036" spans="1:1" x14ac:dyDescent="0.25">
      <c r="A5036" t="s">
        <v>4291</v>
      </c>
    </row>
    <row r="5037" spans="1:1" x14ac:dyDescent="0.25">
      <c r="A5037" t="s">
        <v>4265</v>
      </c>
    </row>
    <row r="5038" spans="1:1" x14ac:dyDescent="0.25">
      <c r="A5038" t="s">
        <v>4291</v>
      </c>
    </row>
    <row r="5039" spans="1:1" x14ac:dyDescent="0.25">
      <c r="A5039" t="s">
        <v>4266</v>
      </c>
    </row>
    <row r="5040" spans="1:1" x14ac:dyDescent="0.25">
      <c r="A5040" t="s">
        <v>4291</v>
      </c>
    </row>
    <row r="5041" spans="1:1" x14ac:dyDescent="0.25">
      <c r="A5041" t="s">
        <v>706</v>
      </c>
    </row>
    <row r="5042" spans="1:1" x14ac:dyDescent="0.25">
      <c r="A5042" t="s">
        <v>1301</v>
      </c>
    </row>
    <row r="5043" spans="1:1" x14ac:dyDescent="0.25">
      <c r="A5043" t="s">
        <v>4567</v>
      </c>
    </row>
    <row r="5044" spans="1:1" x14ac:dyDescent="0.25">
      <c r="A5044" t="s">
        <v>3093</v>
      </c>
    </row>
    <row r="5045" spans="1:1" x14ac:dyDescent="0.25">
      <c r="A5045" t="s">
        <v>3094</v>
      </c>
    </row>
    <row r="5046" spans="1:1" x14ac:dyDescent="0.25">
      <c r="A5046" t="s">
        <v>3095</v>
      </c>
    </row>
    <row r="5047" spans="1:1" x14ac:dyDescent="0.25">
      <c r="A5047" t="s">
        <v>3096</v>
      </c>
    </row>
    <row r="5048" spans="1:1" x14ac:dyDescent="0.25">
      <c r="A5048" t="s">
        <v>3230</v>
      </c>
    </row>
    <row r="5049" spans="1:1" x14ac:dyDescent="0.25">
      <c r="A5049" t="s">
        <v>4267</v>
      </c>
    </row>
    <row r="5050" spans="1:1" x14ac:dyDescent="0.25">
      <c r="A5050" t="s">
        <v>4291</v>
      </c>
    </row>
    <row r="5051" spans="1:1" x14ac:dyDescent="0.25">
      <c r="A5051" t="s">
        <v>4268</v>
      </c>
    </row>
    <row r="5052" spans="1:1" x14ac:dyDescent="0.25">
      <c r="A5052" t="s">
        <v>4291</v>
      </c>
    </row>
    <row r="5053" spans="1:1" x14ac:dyDescent="0.25">
      <c r="A5053" t="s">
        <v>4269</v>
      </c>
    </row>
    <row r="5054" spans="1:1" x14ac:dyDescent="0.25">
      <c r="A5054" t="s">
        <v>4291</v>
      </c>
    </row>
    <row r="5055" spans="1:1" x14ac:dyDescent="0.25">
      <c r="A5055" t="s">
        <v>3097</v>
      </c>
    </row>
    <row r="5056" spans="1:1" x14ac:dyDescent="0.25">
      <c r="A5056" t="s">
        <v>3098</v>
      </c>
    </row>
    <row r="5057" spans="1:1" x14ac:dyDescent="0.25">
      <c r="A5057" t="s">
        <v>4426</v>
      </c>
    </row>
    <row r="5058" spans="1:1" x14ac:dyDescent="0.25">
      <c r="A5058" t="s">
        <v>3099</v>
      </c>
    </row>
    <row r="5059" spans="1:1" x14ac:dyDescent="0.25">
      <c r="A5059" t="s">
        <v>3100</v>
      </c>
    </row>
    <row r="5060" spans="1:1" x14ac:dyDescent="0.25">
      <c r="A5060" t="s">
        <v>3101</v>
      </c>
    </row>
    <row r="5061" spans="1:1" x14ac:dyDescent="0.25">
      <c r="A5061" t="s">
        <v>3102</v>
      </c>
    </row>
    <row r="5062" spans="1:1" x14ac:dyDescent="0.25">
      <c r="A5062" t="s">
        <v>3231</v>
      </c>
    </row>
    <row r="5063" spans="1:1" x14ac:dyDescent="0.25">
      <c r="A5063" t="s">
        <v>4270</v>
      </c>
    </row>
    <row r="5064" spans="1:1" x14ac:dyDescent="0.25">
      <c r="A5064" t="s">
        <v>4291</v>
      </c>
    </row>
    <row r="5065" spans="1:1" x14ac:dyDescent="0.25">
      <c r="A5065" t="s">
        <v>4271</v>
      </c>
    </row>
    <row r="5066" spans="1:1" x14ac:dyDescent="0.25">
      <c r="A5066" t="s">
        <v>4291</v>
      </c>
    </row>
    <row r="5067" spans="1:1" x14ac:dyDescent="0.25">
      <c r="A5067" t="s">
        <v>4272</v>
      </c>
    </row>
    <row r="5068" spans="1:1" x14ac:dyDescent="0.25">
      <c r="A5068" t="s">
        <v>4291</v>
      </c>
    </row>
    <row r="5069" spans="1:1" x14ac:dyDescent="0.25">
      <c r="A5069" t="s">
        <v>3103</v>
      </c>
    </row>
    <row r="5070" spans="1:1" x14ac:dyDescent="0.25">
      <c r="A5070" t="s">
        <v>3104</v>
      </c>
    </row>
    <row r="5071" spans="1:1" x14ac:dyDescent="0.25">
      <c r="A5071" t="s">
        <v>4568</v>
      </c>
    </row>
    <row r="5072" spans="1:1" x14ac:dyDescent="0.25">
      <c r="A5072" t="s">
        <v>3105</v>
      </c>
    </row>
    <row r="5073" spans="1:1" x14ac:dyDescent="0.25">
      <c r="A5073" t="s">
        <v>3106</v>
      </c>
    </row>
    <row r="5074" spans="1:1" x14ac:dyDescent="0.25">
      <c r="A5074" t="s">
        <v>3107</v>
      </c>
    </row>
    <row r="5075" spans="1:1" x14ac:dyDescent="0.25">
      <c r="A5075" t="s">
        <v>3108</v>
      </c>
    </row>
    <row r="5076" spans="1:1" x14ac:dyDescent="0.25">
      <c r="A5076" t="s">
        <v>3232</v>
      </c>
    </row>
    <row r="5077" spans="1:1" x14ac:dyDescent="0.25">
      <c r="A5077" t="s">
        <v>4273</v>
      </c>
    </row>
    <row r="5078" spans="1:1" x14ac:dyDescent="0.25">
      <c r="A5078" t="s">
        <v>4291</v>
      </c>
    </row>
    <row r="5079" spans="1:1" x14ac:dyDescent="0.25">
      <c r="A5079" t="s">
        <v>4274</v>
      </c>
    </row>
    <row r="5080" spans="1:1" x14ac:dyDescent="0.25">
      <c r="A5080" t="s">
        <v>4291</v>
      </c>
    </row>
    <row r="5081" spans="1:1" x14ac:dyDescent="0.25">
      <c r="A5081" t="s">
        <v>4275</v>
      </c>
    </row>
    <row r="5082" spans="1:1" x14ac:dyDescent="0.25">
      <c r="A5082" t="s">
        <v>4291</v>
      </c>
    </row>
    <row r="5083" spans="1:1" x14ac:dyDescent="0.25">
      <c r="A5083" t="s">
        <v>3109</v>
      </c>
    </row>
    <row r="5084" spans="1:1" x14ac:dyDescent="0.25">
      <c r="A5084" t="s">
        <v>3110</v>
      </c>
    </row>
    <row r="5085" spans="1:1" x14ac:dyDescent="0.25">
      <c r="A5085" t="s">
        <v>4569</v>
      </c>
    </row>
    <row r="5086" spans="1:1" x14ac:dyDescent="0.25">
      <c r="A5086" t="s">
        <v>3111</v>
      </c>
    </row>
    <row r="5087" spans="1:1" x14ac:dyDescent="0.25">
      <c r="A5087" t="s">
        <v>3112</v>
      </c>
    </row>
    <row r="5088" spans="1:1" x14ac:dyDescent="0.25">
      <c r="A5088" t="s">
        <v>3113</v>
      </c>
    </row>
    <row r="5089" spans="1:1" x14ac:dyDescent="0.25">
      <c r="A5089" t="s">
        <v>3114</v>
      </c>
    </row>
    <row r="5090" spans="1:1" x14ac:dyDescent="0.25">
      <c r="A5090" t="s">
        <v>3233</v>
      </c>
    </row>
    <row r="5091" spans="1:1" x14ac:dyDescent="0.25">
      <c r="A5091" t="s">
        <v>4276</v>
      </c>
    </row>
    <row r="5092" spans="1:1" x14ac:dyDescent="0.25">
      <c r="A5092" t="s">
        <v>4291</v>
      </c>
    </row>
    <row r="5093" spans="1:1" x14ac:dyDescent="0.25">
      <c r="A5093" t="s">
        <v>4277</v>
      </c>
    </row>
    <row r="5094" spans="1:1" x14ac:dyDescent="0.25">
      <c r="A5094" t="s">
        <v>4291</v>
      </c>
    </row>
    <row r="5095" spans="1:1" x14ac:dyDescent="0.25">
      <c r="A5095" t="s">
        <v>4278</v>
      </c>
    </row>
    <row r="5096" spans="1:1" x14ac:dyDescent="0.25">
      <c r="A5096" t="s">
        <v>4291</v>
      </c>
    </row>
    <row r="5097" spans="1:1" x14ac:dyDescent="0.25">
      <c r="A5097" t="s">
        <v>3115</v>
      </c>
    </row>
    <row r="5098" spans="1:1" x14ac:dyDescent="0.25">
      <c r="A5098" t="s">
        <v>3116</v>
      </c>
    </row>
    <row r="5099" spans="1:1" x14ac:dyDescent="0.25">
      <c r="A5099" t="s">
        <v>4570</v>
      </c>
    </row>
    <row r="5100" spans="1:1" x14ac:dyDescent="0.25">
      <c r="A5100" t="s">
        <v>3117</v>
      </c>
    </row>
    <row r="5101" spans="1:1" x14ac:dyDescent="0.25">
      <c r="A5101" t="s">
        <v>3118</v>
      </c>
    </row>
    <row r="5102" spans="1:1" x14ac:dyDescent="0.25">
      <c r="A5102" t="s">
        <v>3119</v>
      </c>
    </row>
    <row r="5103" spans="1:1" x14ac:dyDescent="0.25">
      <c r="A5103" t="s">
        <v>3120</v>
      </c>
    </row>
    <row r="5104" spans="1:1" x14ac:dyDescent="0.25">
      <c r="A5104" t="s">
        <v>3234</v>
      </c>
    </row>
    <row r="5105" spans="1:1" x14ac:dyDescent="0.25">
      <c r="A5105" t="s">
        <v>4279</v>
      </c>
    </row>
    <row r="5106" spans="1:1" x14ac:dyDescent="0.25">
      <c r="A5106" t="s">
        <v>4291</v>
      </c>
    </row>
    <row r="5107" spans="1:1" x14ac:dyDescent="0.25">
      <c r="A5107" t="s">
        <v>4280</v>
      </c>
    </row>
    <row r="5108" spans="1:1" x14ac:dyDescent="0.25">
      <c r="A5108" t="s">
        <v>4291</v>
      </c>
    </row>
    <row r="5109" spans="1:1" x14ac:dyDescent="0.25">
      <c r="A5109" t="s">
        <v>4281</v>
      </c>
    </row>
    <row r="5110" spans="1:1" x14ac:dyDescent="0.25">
      <c r="A5110" t="s">
        <v>4291</v>
      </c>
    </row>
    <row r="5111" spans="1:1" x14ac:dyDescent="0.25">
      <c r="A5111" t="s">
        <v>3121</v>
      </c>
    </row>
    <row r="5112" spans="1:1" x14ac:dyDescent="0.25">
      <c r="A5112" t="s">
        <v>3122</v>
      </c>
    </row>
    <row r="5113" spans="1:1" x14ac:dyDescent="0.25">
      <c r="A5113" t="s">
        <v>4571</v>
      </c>
    </row>
    <row r="5114" spans="1:1" x14ac:dyDescent="0.25">
      <c r="A5114" t="s">
        <v>3123</v>
      </c>
    </row>
    <row r="5115" spans="1:1" x14ac:dyDescent="0.25">
      <c r="A5115" t="s">
        <v>3124</v>
      </c>
    </row>
    <row r="5116" spans="1:1" x14ac:dyDescent="0.25">
      <c r="A5116" t="s">
        <v>3125</v>
      </c>
    </row>
    <row r="5117" spans="1:1" x14ac:dyDescent="0.25">
      <c r="A5117" t="s">
        <v>3126</v>
      </c>
    </row>
    <row r="5118" spans="1:1" x14ac:dyDescent="0.25">
      <c r="A5118" t="s">
        <v>3235</v>
      </c>
    </row>
    <row r="5119" spans="1:1" x14ac:dyDescent="0.25">
      <c r="A5119" t="s">
        <v>4282</v>
      </c>
    </row>
    <row r="5120" spans="1:1" x14ac:dyDescent="0.25">
      <c r="A5120" t="s">
        <v>4291</v>
      </c>
    </row>
    <row r="5121" spans="1:1" x14ac:dyDescent="0.25">
      <c r="A5121" t="s">
        <v>4283</v>
      </c>
    </row>
    <row r="5122" spans="1:1" x14ac:dyDescent="0.25">
      <c r="A5122" t="s">
        <v>4291</v>
      </c>
    </row>
    <row r="5123" spans="1:1" x14ac:dyDescent="0.25">
      <c r="A5123" t="s">
        <v>4284</v>
      </c>
    </row>
    <row r="5124" spans="1:1" x14ac:dyDescent="0.25">
      <c r="A5124" t="s">
        <v>4291</v>
      </c>
    </row>
    <row r="5125" spans="1:1" x14ac:dyDescent="0.25">
      <c r="A5125" t="s">
        <v>3127</v>
      </c>
    </row>
    <row r="5126" spans="1:1" x14ac:dyDescent="0.25">
      <c r="A5126" t="s">
        <v>3128</v>
      </c>
    </row>
    <row r="5127" spans="1:1" x14ac:dyDescent="0.25">
      <c r="A5127" t="s">
        <v>4572</v>
      </c>
    </row>
    <row r="5128" spans="1:1" x14ac:dyDescent="0.25">
      <c r="A5128" t="s">
        <v>3129</v>
      </c>
    </row>
    <row r="5129" spans="1:1" x14ac:dyDescent="0.25">
      <c r="A5129" t="s">
        <v>3130</v>
      </c>
    </row>
    <row r="5130" spans="1:1" x14ac:dyDescent="0.25">
      <c r="A5130" t="s">
        <v>3131</v>
      </c>
    </row>
    <row r="5131" spans="1:1" x14ac:dyDescent="0.25">
      <c r="A5131" t="s">
        <v>3132</v>
      </c>
    </row>
    <row r="5132" spans="1:1" x14ac:dyDescent="0.25">
      <c r="A5132" t="s">
        <v>3236</v>
      </c>
    </row>
    <row r="5133" spans="1:1" x14ac:dyDescent="0.25">
      <c r="A5133" t="s">
        <v>4285</v>
      </c>
    </row>
    <row r="5134" spans="1:1" x14ac:dyDescent="0.25">
      <c r="A5134" t="s">
        <v>4291</v>
      </c>
    </row>
    <row r="5135" spans="1:1" x14ac:dyDescent="0.25">
      <c r="A5135" t="s">
        <v>4286</v>
      </c>
    </row>
    <row r="5136" spans="1:1" x14ac:dyDescent="0.25">
      <c r="A5136" t="s">
        <v>4291</v>
      </c>
    </row>
    <row r="5137" spans="1:1" x14ac:dyDescent="0.25">
      <c r="A5137" t="s">
        <v>4287</v>
      </c>
    </row>
    <row r="5138" spans="1:1" x14ac:dyDescent="0.25">
      <c r="A5138" t="s">
        <v>4291</v>
      </c>
    </row>
    <row r="5139" spans="1:1" x14ac:dyDescent="0.25">
      <c r="A5139" t="s">
        <v>3133</v>
      </c>
    </row>
    <row r="5140" spans="1:1" x14ac:dyDescent="0.25">
      <c r="A5140" t="s">
        <v>3134</v>
      </c>
    </row>
    <row r="5141" spans="1:1" x14ac:dyDescent="0.25">
      <c r="A5141" t="s">
        <v>4573</v>
      </c>
    </row>
    <row r="5142" spans="1:1" x14ac:dyDescent="0.25">
      <c r="A5142" t="s">
        <v>3135</v>
      </c>
    </row>
    <row r="5143" spans="1:1" x14ac:dyDescent="0.25">
      <c r="A5143" t="s">
        <v>3136</v>
      </c>
    </row>
    <row r="5144" spans="1:1" x14ac:dyDescent="0.25">
      <c r="A5144" t="s">
        <v>3137</v>
      </c>
    </row>
    <row r="5145" spans="1:1" x14ac:dyDescent="0.25">
      <c r="A5145" t="s">
        <v>3138</v>
      </c>
    </row>
    <row r="5146" spans="1:1" x14ac:dyDescent="0.25">
      <c r="A5146" t="s">
        <v>3237</v>
      </c>
    </row>
    <row r="5147" spans="1:1" x14ac:dyDescent="0.25">
      <c r="A5147" t="s">
        <v>4288</v>
      </c>
    </row>
    <row r="5148" spans="1:1" x14ac:dyDescent="0.25">
      <c r="A5148" t="s">
        <v>4291</v>
      </c>
    </row>
    <row r="5149" spans="1:1" x14ac:dyDescent="0.25">
      <c r="A5149" t="s">
        <v>4289</v>
      </c>
    </row>
    <row r="5150" spans="1:1" x14ac:dyDescent="0.25">
      <c r="A5150" t="s">
        <v>4291</v>
      </c>
    </row>
    <row r="5151" spans="1:1" x14ac:dyDescent="0.25">
      <c r="A5151" t="s">
        <v>4290</v>
      </c>
    </row>
    <row r="5152" spans="1:1" x14ac:dyDescent="0.25">
      <c r="A5152" t="s">
        <v>4291</v>
      </c>
    </row>
    <row r="5153" spans="1:1" x14ac:dyDescent="0.25">
      <c r="A5153" t="s">
        <v>371</v>
      </c>
    </row>
    <row r="5154" spans="1:1" x14ac:dyDescent="0.25">
      <c r="A5154" t="s">
        <v>1293</v>
      </c>
    </row>
    <row r="5155" spans="1:1" x14ac:dyDescent="0.25">
      <c r="A5155" t="s">
        <v>4426</v>
      </c>
    </row>
    <row r="5156" spans="1:1" x14ac:dyDescent="0.25">
      <c r="A5156" t="s">
        <v>374</v>
      </c>
    </row>
    <row r="5157" spans="1:1" x14ac:dyDescent="0.25">
      <c r="A5157" t="s">
        <v>375</v>
      </c>
    </row>
    <row r="5158" spans="1:1" x14ac:dyDescent="0.25">
      <c r="A5158" t="s">
        <v>376</v>
      </c>
    </row>
    <row r="5159" spans="1:1" x14ac:dyDescent="0.25">
      <c r="A5159" t="s">
        <v>377</v>
      </c>
    </row>
    <row r="5160" spans="1:1" x14ac:dyDescent="0.25">
      <c r="A5160" t="s">
        <v>3222</v>
      </c>
    </row>
    <row r="5161" spans="1:1" x14ac:dyDescent="0.25">
      <c r="A5161" t="s">
        <v>379</v>
      </c>
    </row>
    <row r="5162" spans="1:1" x14ac:dyDescent="0.25">
      <c r="A5162" t="s">
        <v>4291</v>
      </c>
    </row>
    <row r="5163" spans="1:1" x14ac:dyDescent="0.25">
      <c r="A5163" t="s">
        <v>382</v>
      </c>
    </row>
    <row r="5164" spans="1:1" x14ac:dyDescent="0.25">
      <c r="A5164" t="s">
        <v>4291</v>
      </c>
    </row>
    <row r="5165" spans="1:1" x14ac:dyDescent="0.25">
      <c r="A5165" t="s">
        <v>383</v>
      </c>
    </row>
    <row r="5166" spans="1:1" x14ac:dyDescent="0.25">
      <c r="A5166" t="s">
        <v>4291</v>
      </c>
    </row>
    <row r="5167" spans="1:1" x14ac:dyDescent="0.25">
      <c r="A5167" t="s">
        <v>699</v>
      </c>
    </row>
    <row r="5168" spans="1:1" x14ac:dyDescent="0.25">
      <c r="A5168" t="s">
        <v>1294</v>
      </c>
    </row>
    <row r="5169" spans="1:1" x14ac:dyDescent="0.25">
      <c r="A5169" t="s">
        <v>4426</v>
      </c>
    </row>
    <row r="5170" spans="1:1" x14ac:dyDescent="0.25">
      <c r="A5170" t="s">
        <v>3065</v>
      </c>
    </row>
    <row r="5171" spans="1:1" x14ac:dyDescent="0.25">
      <c r="A5171" t="s">
        <v>3066</v>
      </c>
    </row>
    <row r="5172" spans="1:1" x14ac:dyDescent="0.25">
      <c r="A5172" t="s">
        <v>3067</v>
      </c>
    </row>
    <row r="5173" spans="1:1" x14ac:dyDescent="0.25">
      <c r="A5173" t="s">
        <v>3068</v>
      </c>
    </row>
    <row r="5174" spans="1:1" x14ac:dyDescent="0.25">
      <c r="A5174" t="s">
        <v>3223</v>
      </c>
    </row>
    <row r="5175" spans="1:1" x14ac:dyDescent="0.25">
      <c r="A5175" t="s">
        <v>4246</v>
      </c>
    </row>
    <row r="5176" spans="1:1" x14ac:dyDescent="0.25">
      <c r="A5176" t="s">
        <v>4291</v>
      </c>
    </row>
    <row r="5177" spans="1:1" x14ac:dyDescent="0.25">
      <c r="A5177" t="s">
        <v>4247</v>
      </c>
    </row>
    <row r="5178" spans="1:1" x14ac:dyDescent="0.25">
      <c r="A5178" t="s">
        <v>4291</v>
      </c>
    </row>
    <row r="5179" spans="1:1" x14ac:dyDescent="0.25">
      <c r="A5179" t="s">
        <v>4248</v>
      </c>
    </row>
    <row r="5180" spans="1:1" x14ac:dyDescent="0.25">
      <c r="A5180" t="s">
        <v>4291</v>
      </c>
    </row>
    <row r="5181" spans="1:1" x14ac:dyDescent="0.25">
      <c r="A5181" t="s">
        <v>700</v>
      </c>
    </row>
    <row r="5182" spans="1:1" x14ac:dyDescent="0.25">
      <c r="A5182" t="s">
        <v>1295</v>
      </c>
    </row>
    <row r="5183" spans="1:1" x14ac:dyDescent="0.25">
      <c r="A5183" t="s">
        <v>4564</v>
      </c>
    </row>
    <row r="5184" spans="1:1" x14ac:dyDescent="0.25">
      <c r="A5184" t="s">
        <v>3069</v>
      </c>
    </row>
    <row r="5185" spans="1:1" x14ac:dyDescent="0.25">
      <c r="A5185" t="s">
        <v>3070</v>
      </c>
    </row>
    <row r="5186" spans="1:1" x14ac:dyDescent="0.25">
      <c r="A5186" t="s">
        <v>3071</v>
      </c>
    </row>
    <row r="5187" spans="1:1" x14ac:dyDescent="0.25">
      <c r="A5187" t="s">
        <v>3072</v>
      </c>
    </row>
    <row r="5188" spans="1:1" x14ac:dyDescent="0.25">
      <c r="A5188" t="s">
        <v>3224</v>
      </c>
    </row>
    <row r="5189" spans="1:1" x14ac:dyDescent="0.25">
      <c r="A5189" t="s">
        <v>4249</v>
      </c>
    </row>
    <row r="5190" spans="1:1" x14ac:dyDescent="0.25">
      <c r="A5190" t="s">
        <v>4291</v>
      </c>
    </row>
    <row r="5191" spans="1:1" x14ac:dyDescent="0.25">
      <c r="A5191" t="s">
        <v>4250</v>
      </c>
    </row>
    <row r="5192" spans="1:1" x14ac:dyDescent="0.25">
      <c r="A5192" t="s">
        <v>4291</v>
      </c>
    </row>
    <row r="5193" spans="1:1" x14ac:dyDescent="0.25">
      <c r="A5193" t="s">
        <v>4251</v>
      </c>
    </row>
    <row r="5194" spans="1:1" x14ac:dyDescent="0.25">
      <c r="A5194" t="s">
        <v>4291</v>
      </c>
    </row>
    <row r="5195" spans="1:1" x14ac:dyDescent="0.25">
      <c r="A5195" t="s">
        <v>701</v>
      </c>
    </row>
    <row r="5196" spans="1:1" x14ac:dyDescent="0.25">
      <c r="A5196" t="s">
        <v>1296</v>
      </c>
    </row>
    <row r="5197" spans="1:1" x14ac:dyDescent="0.25">
      <c r="A5197" t="s">
        <v>4426</v>
      </c>
    </row>
    <row r="5198" spans="1:1" x14ac:dyDescent="0.25">
      <c r="A5198" t="s">
        <v>3073</v>
      </c>
    </row>
    <row r="5199" spans="1:1" x14ac:dyDescent="0.25">
      <c r="A5199" t="s">
        <v>3074</v>
      </c>
    </row>
    <row r="5200" spans="1:1" x14ac:dyDescent="0.25">
      <c r="A5200" t="s">
        <v>3075</v>
      </c>
    </row>
    <row r="5201" spans="1:1" x14ac:dyDescent="0.25">
      <c r="A5201" t="s">
        <v>3076</v>
      </c>
    </row>
    <row r="5202" spans="1:1" x14ac:dyDescent="0.25">
      <c r="A5202" t="s">
        <v>3225</v>
      </c>
    </row>
    <row r="5203" spans="1:1" x14ac:dyDescent="0.25">
      <c r="A5203" t="s">
        <v>4252</v>
      </c>
    </row>
    <row r="5204" spans="1:1" x14ac:dyDescent="0.25">
      <c r="A5204" t="s">
        <v>4291</v>
      </c>
    </row>
    <row r="5205" spans="1:1" x14ac:dyDescent="0.25">
      <c r="A5205" t="s">
        <v>4253</v>
      </c>
    </row>
    <row r="5206" spans="1:1" x14ac:dyDescent="0.25">
      <c r="A5206" t="s">
        <v>4291</v>
      </c>
    </row>
    <row r="5207" spans="1:1" x14ac:dyDescent="0.25">
      <c r="A5207" t="s">
        <v>4254</v>
      </c>
    </row>
    <row r="5208" spans="1:1" x14ac:dyDescent="0.25">
      <c r="A5208" t="s">
        <v>4291</v>
      </c>
    </row>
    <row r="5209" spans="1:1" x14ac:dyDescent="0.25">
      <c r="A5209" t="s">
        <v>702</v>
      </c>
    </row>
    <row r="5210" spans="1:1" x14ac:dyDescent="0.25">
      <c r="A5210" t="s">
        <v>1297</v>
      </c>
    </row>
    <row r="5211" spans="1:1" x14ac:dyDescent="0.25">
      <c r="A5211" t="s">
        <v>4565</v>
      </c>
    </row>
    <row r="5212" spans="1:1" x14ac:dyDescent="0.25">
      <c r="A5212" t="s">
        <v>3077</v>
      </c>
    </row>
    <row r="5213" spans="1:1" x14ac:dyDescent="0.25">
      <c r="A5213" t="s">
        <v>3078</v>
      </c>
    </row>
    <row r="5214" spans="1:1" x14ac:dyDescent="0.25">
      <c r="A5214" t="s">
        <v>3079</v>
      </c>
    </row>
    <row r="5215" spans="1:1" x14ac:dyDescent="0.25">
      <c r="A5215" t="s">
        <v>3080</v>
      </c>
    </row>
    <row r="5216" spans="1:1" x14ac:dyDescent="0.25">
      <c r="A5216" t="s">
        <v>3226</v>
      </c>
    </row>
    <row r="5217" spans="1:1" x14ac:dyDescent="0.25">
      <c r="A5217" t="s">
        <v>4255</v>
      </c>
    </row>
    <row r="5218" spans="1:1" x14ac:dyDescent="0.25">
      <c r="A5218" t="s">
        <v>4291</v>
      </c>
    </row>
    <row r="5219" spans="1:1" x14ac:dyDescent="0.25">
      <c r="A5219" t="s">
        <v>4256</v>
      </c>
    </row>
    <row r="5220" spans="1:1" x14ac:dyDescent="0.25">
      <c r="A5220" t="s">
        <v>4291</v>
      </c>
    </row>
    <row r="5221" spans="1:1" x14ac:dyDescent="0.25">
      <c r="A5221" t="s">
        <v>4257</v>
      </c>
    </row>
    <row r="5222" spans="1:1" x14ac:dyDescent="0.25">
      <c r="A5222" t="s">
        <v>4291</v>
      </c>
    </row>
    <row r="5223" spans="1:1" x14ac:dyDescent="0.25">
      <c r="A5223" t="s">
        <v>703</v>
      </c>
    </row>
    <row r="5224" spans="1:1" x14ac:dyDescent="0.25">
      <c r="A5224" t="s">
        <v>1298</v>
      </c>
    </row>
    <row r="5225" spans="1:1" x14ac:dyDescent="0.25">
      <c r="A5225" t="s">
        <v>4566</v>
      </c>
    </row>
    <row r="5226" spans="1:1" x14ac:dyDescent="0.25">
      <c r="A5226" t="s">
        <v>3081</v>
      </c>
    </row>
    <row r="5227" spans="1:1" x14ac:dyDescent="0.25">
      <c r="A5227" t="s">
        <v>3082</v>
      </c>
    </row>
    <row r="5228" spans="1:1" x14ac:dyDescent="0.25">
      <c r="A5228" t="s">
        <v>3083</v>
      </c>
    </row>
    <row r="5229" spans="1:1" x14ac:dyDescent="0.25">
      <c r="A5229" t="s">
        <v>3084</v>
      </c>
    </row>
    <row r="5230" spans="1:1" x14ac:dyDescent="0.25">
      <c r="A5230" t="s">
        <v>3227</v>
      </c>
    </row>
    <row r="5231" spans="1:1" x14ac:dyDescent="0.25">
      <c r="A5231" t="s">
        <v>4258</v>
      </c>
    </row>
    <row r="5232" spans="1:1" x14ac:dyDescent="0.25">
      <c r="A5232" t="s">
        <v>4291</v>
      </c>
    </row>
    <row r="5233" spans="1:1" x14ac:dyDescent="0.25">
      <c r="A5233" t="s">
        <v>4259</v>
      </c>
    </row>
    <row r="5234" spans="1:1" x14ac:dyDescent="0.25">
      <c r="A5234" t="s">
        <v>4291</v>
      </c>
    </row>
    <row r="5235" spans="1:1" x14ac:dyDescent="0.25">
      <c r="A5235" t="s">
        <v>4260</v>
      </c>
    </row>
    <row r="5236" spans="1:1" x14ac:dyDescent="0.25">
      <c r="A5236" t="s">
        <v>4291</v>
      </c>
    </row>
    <row r="5237" spans="1:1" x14ac:dyDescent="0.25">
      <c r="A5237" t="s">
        <v>704</v>
      </c>
    </row>
    <row r="5238" spans="1:1" x14ac:dyDescent="0.25">
      <c r="A5238" t="s">
        <v>1299</v>
      </c>
    </row>
    <row r="5239" spans="1:1" x14ac:dyDescent="0.25">
      <c r="A5239" t="s">
        <v>4291</v>
      </c>
    </row>
    <row r="5240" spans="1:1" x14ac:dyDescent="0.25">
      <c r="A5240" t="s">
        <v>3085</v>
      </c>
    </row>
    <row r="5241" spans="1:1" x14ac:dyDescent="0.25">
      <c r="A5241" t="s">
        <v>3086</v>
      </c>
    </row>
    <row r="5242" spans="1:1" x14ac:dyDescent="0.25">
      <c r="A5242" t="s">
        <v>3087</v>
      </c>
    </row>
    <row r="5243" spans="1:1" x14ac:dyDescent="0.25">
      <c r="A5243" t="s">
        <v>3088</v>
      </c>
    </row>
    <row r="5244" spans="1:1" x14ac:dyDescent="0.25">
      <c r="A5244" t="s">
        <v>3228</v>
      </c>
    </row>
    <row r="5245" spans="1:1" x14ac:dyDescent="0.25">
      <c r="A5245" t="s">
        <v>4261</v>
      </c>
    </row>
    <row r="5246" spans="1:1" x14ac:dyDescent="0.25">
      <c r="A5246" t="s">
        <v>4291</v>
      </c>
    </row>
    <row r="5247" spans="1:1" x14ac:dyDescent="0.25">
      <c r="A5247" t="s">
        <v>4262</v>
      </c>
    </row>
    <row r="5248" spans="1:1" x14ac:dyDescent="0.25">
      <c r="A5248" t="s">
        <v>4291</v>
      </c>
    </row>
    <row r="5249" spans="1:1" x14ac:dyDescent="0.25">
      <c r="A5249" t="s">
        <v>4263</v>
      </c>
    </row>
    <row r="5250" spans="1:1" x14ac:dyDescent="0.25">
      <c r="A5250" t="s">
        <v>4291</v>
      </c>
    </row>
    <row r="5251" spans="1:1" x14ac:dyDescent="0.25">
      <c r="A5251" t="s">
        <v>705</v>
      </c>
    </row>
    <row r="5252" spans="1:1" x14ac:dyDescent="0.25">
      <c r="A5252" t="s">
        <v>1300</v>
      </c>
    </row>
    <row r="5253" spans="1:1" x14ac:dyDescent="0.25">
      <c r="A5253" t="s">
        <v>4291</v>
      </c>
    </row>
    <row r="5254" spans="1:1" x14ac:dyDescent="0.25">
      <c r="A5254" t="s">
        <v>3089</v>
      </c>
    </row>
    <row r="5255" spans="1:1" x14ac:dyDescent="0.25">
      <c r="A5255" t="s">
        <v>3090</v>
      </c>
    </row>
    <row r="5256" spans="1:1" x14ac:dyDescent="0.25">
      <c r="A5256" t="s">
        <v>3091</v>
      </c>
    </row>
    <row r="5257" spans="1:1" x14ac:dyDescent="0.25">
      <c r="A5257" t="s">
        <v>3092</v>
      </c>
    </row>
    <row r="5258" spans="1:1" x14ac:dyDescent="0.25">
      <c r="A5258" t="s">
        <v>3229</v>
      </c>
    </row>
    <row r="5259" spans="1:1" x14ac:dyDescent="0.25">
      <c r="A5259" t="s">
        <v>4264</v>
      </c>
    </row>
    <row r="5260" spans="1:1" x14ac:dyDescent="0.25">
      <c r="A5260" t="s">
        <v>4291</v>
      </c>
    </row>
    <row r="5261" spans="1:1" x14ac:dyDescent="0.25">
      <c r="A5261" t="s">
        <v>4265</v>
      </c>
    </row>
    <row r="5262" spans="1:1" x14ac:dyDescent="0.25">
      <c r="A5262" t="s">
        <v>4291</v>
      </c>
    </row>
    <row r="5263" spans="1:1" x14ac:dyDescent="0.25">
      <c r="A5263" t="s">
        <v>4266</v>
      </c>
    </row>
    <row r="5264" spans="1:1" x14ac:dyDescent="0.25">
      <c r="A5264" t="s">
        <v>4291</v>
      </c>
    </row>
    <row r="5265" spans="1:1" x14ac:dyDescent="0.25">
      <c r="A5265" t="s">
        <v>706</v>
      </c>
    </row>
    <row r="5266" spans="1:1" x14ac:dyDescent="0.25">
      <c r="A5266" t="s">
        <v>1301</v>
      </c>
    </row>
    <row r="5267" spans="1:1" x14ac:dyDescent="0.25">
      <c r="A5267" t="s">
        <v>4567</v>
      </c>
    </row>
    <row r="5268" spans="1:1" x14ac:dyDescent="0.25">
      <c r="A5268" t="s">
        <v>3093</v>
      </c>
    </row>
    <row r="5269" spans="1:1" x14ac:dyDescent="0.25">
      <c r="A5269" t="s">
        <v>3094</v>
      </c>
    </row>
    <row r="5270" spans="1:1" x14ac:dyDescent="0.25">
      <c r="A5270" t="s">
        <v>3095</v>
      </c>
    </row>
    <row r="5271" spans="1:1" x14ac:dyDescent="0.25">
      <c r="A5271" t="s">
        <v>3096</v>
      </c>
    </row>
    <row r="5272" spans="1:1" x14ac:dyDescent="0.25">
      <c r="A5272" t="s">
        <v>3230</v>
      </c>
    </row>
    <row r="5273" spans="1:1" x14ac:dyDescent="0.25">
      <c r="A5273" t="s">
        <v>4267</v>
      </c>
    </row>
    <row r="5274" spans="1:1" x14ac:dyDescent="0.25">
      <c r="A5274" t="s">
        <v>4291</v>
      </c>
    </row>
    <row r="5275" spans="1:1" x14ac:dyDescent="0.25">
      <c r="A5275" t="s">
        <v>4268</v>
      </c>
    </row>
    <row r="5276" spans="1:1" x14ac:dyDescent="0.25">
      <c r="A5276" t="s">
        <v>4291</v>
      </c>
    </row>
    <row r="5277" spans="1:1" x14ac:dyDescent="0.25">
      <c r="A5277" t="s">
        <v>4269</v>
      </c>
    </row>
    <row r="5278" spans="1:1" x14ac:dyDescent="0.25">
      <c r="A5278" t="s">
        <v>4291</v>
      </c>
    </row>
    <row r="5279" spans="1:1" x14ac:dyDescent="0.25">
      <c r="A5279" t="s">
        <v>3097</v>
      </c>
    </row>
    <row r="5280" spans="1:1" x14ac:dyDescent="0.25">
      <c r="A5280" t="s">
        <v>3098</v>
      </c>
    </row>
    <row r="5281" spans="1:1" x14ac:dyDescent="0.25">
      <c r="A5281" t="s">
        <v>4426</v>
      </c>
    </row>
    <row r="5282" spans="1:1" x14ac:dyDescent="0.25">
      <c r="A5282" t="s">
        <v>3099</v>
      </c>
    </row>
    <row r="5283" spans="1:1" x14ac:dyDescent="0.25">
      <c r="A5283" t="s">
        <v>3100</v>
      </c>
    </row>
    <row r="5284" spans="1:1" x14ac:dyDescent="0.25">
      <c r="A5284" t="s">
        <v>3101</v>
      </c>
    </row>
    <row r="5285" spans="1:1" x14ac:dyDescent="0.25">
      <c r="A5285" t="s">
        <v>3102</v>
      </c>
    </row>
    <row r="5286" spans="1:1" x14ac:dyDescent="0.25">
      <c r="A5286" t="s">
        <v>3231</v>
      </c>
    </row>
    <row r="5287" spans="1:1" x14ac:dyDescent="0.25">
      <c r="A5287" t="s">
        <v>4270</v>
      </c>
    </row>
    <row r="5288" spans="1:1" x14ac:dyDescent="0.25">
      <c r="A5288" t="s">
        <v>4291</v>
      </c>
    </row>
    <row r="5289" spans="1:1" x14ac:dyDescent="0.25">
      <c r="A5289" t="s">
        <v>4271</v>
      </c>
    </row>
    <row r="5290" spans="1:1" x14ac:dyDescent="0.25">
      <c r="A5290" t="s">
        <v>4291</v>
      </c>
    </row>
    <row r="5291" spans="1:1" x14ac:dyDescent="0.25">
      <c r="A5291" t="s">
        <v>4272</v>
      </c>
    </row>
    <row r="5292" spans="1:1" x14ac:dyDescent="0.25">
      <c r="A5292" t="s">
        <v>4291</v>
      </c>
    </row>
    <row r="5293" spans="1:1" x14ac:dyDescent="0.25">
      <c r="A5293" t="s">
        <v>3103</v>
      </c>
    </row>
    <row r="5294" spans="1:1" x14ac:dyDescent="0.25">
      <c r="A5294" t="s">
        <v>3104</v>
      </c>
    </row>
    <row r="5295" spans="1:1" x14ac:dyDescent="0.25">
      <c r="A5295" t="s">
        <v>4568</v>
      </c>
    </row>
    <row r="5296" spans="1:1" x14ac:dyDescent="0.25">
      <c r="A5296" t="s">
        <v>3105</v>
      </c>
    </row>
    <row r="5297" spans="1:1" x14ac:dyDescent="0.25">
      <c r="A5297" t="s">
        <v>3106</v>
      </c>
    </row>
    <row r="5298" spans="1:1" x14ac:dyDescent="0.25">
      <c r="A5298" t="s">
        <v>3107</v>
      </c>
    </row>
    <row r="5299" spans="1:1" x14ac:dyDescent="0.25">
      <c r="A5299" t="s">
        <v>3108</v>
      </c>
    </row>
    <row r="5300" spans="1:1" x14ac:dyDescent="0.25">
      <c r="A5300" t="s">
        <v>3232</v>
      </c>
    </row>
    <row r="5301" spans="1:1" x14ac:dyDescent="0.25">
      <c r="A5301" t="s">
        <v>4273</v>
      </c>
    </row>
    <row r="5302" spans="1:1" x14ac:dyDescent="0.25">
      <c r="A5302" t="s">
        <v>4291</v>
      </c>
    </row>
    <row r="5303" spans="1:1" x14ac:dyDescent="0.25">
      <c r="A5303" t="s">
        <v>4274</v>
      </c>
    </row>
    <row r="5304" spans="1:1" x14ac:dyDescent="0.25">
      <c r="A5304" t="s">
        <v>4291</v>
      </c>
    </row>
    <row r="5305" spans="1:1" x14ac:dyDescent="0.25">
      <c r="A5305" t="s">
        <v>4275</v>
      </c>
    </row>
    <row r="5306" spans="1:1" x14ac:dyDescent="0.25">
      <c r="A5306" t="s">
        <v>4291</v>
      </c>
    </row>
    <row r="5307" spans="1:1" x14ac:dyDescent="0.25">
      <c r="A5307" t="s">
        <v>3109</v>
      </c>
    </row>
    <row r="5308" spans="1:1" x14ac:dyDescent="0.25">
      <c r="A5308" t="s">
        <v>3110</v>
      </c>
    </row>
    <row r="5309" spans="1:1" x14ac:dyDescent="0.25">
      <c r="A5309" t="s">
        <v>4569</v>
      </c>
    </row>
    <row r="5310" spans="1:1" x14ac:dyDescent="0.25">
      <c r="A5310" t="s">
        <v>3111</v>
      </c>
    </row>
    <row r="5311" spans="1:1" x14ac:dyDescent="0.25">
      <c r="A5311" t="s">
        <v>3112</v>
      </c>
    </row>
    <row r="5312" spans="1:1" x14ac:dyDescent="0.25">
      <c r="A5312" t="s">
        <v>3113</v>
      </c>
    </row>
    <row r="5313" spans="1:1" x14ac:dyDescent="0.25">
      <c r="A5313" t="s">
        <v>3114</v>
      </c>
    </row>
    <row r="5314" spans="1:1" x14ac:dyDescent="0.25">
      <c r="A5314" t="s">
        <v>3233</v>
      </c>
    </row>
    <row r="5315" spans="1:1" x14ac:dyDescent="0.25">
      <c r="A5315" t="s">
        <v>4276</v>
      </c>
    </row>
    <row r="5316" spans="1:1" x14ac:dyDescent="0.25">
      <c r="A5316" t="s">
        <v>4291</v>
      </c>
    </row>
    <row r="5317" spans="1:1" x14ac:dyDescent="0.25">
      <c r="A5317" t="s">
        <v>4277</v>
      </c>
    </row>
    <row r="5318" spans="1:1" x14ac:dyDescent="0.25">
      <c r="A5318" t="s">
        <v>4291</v>
      </c>
    </row>
    <row r="5319" spans="1:1" x14ac:dyDescent="0.25">
      <c r="A5319" t="s">
        <v>4278</v>
      </c>
    </row>
    <row r="5320" spans="1:1" x14ac:dyDescent="0.25">
      <c r="A5320" t="s">
        <v>4291</v>
      </c>
    </row>
    <row r="5321" spans="1:1" x14ac:dyDescent="0.25">
      <c r="A5321" t="s">
        <v>3115</v>
      </c>
    </row>
    <row r="5322" spans="1:1" x14ac:dyDescent="0.25">
      <c r="A5322" t="s">
        <v>3116</v>
      </c>
    </row>
    <row r="5323" spans="1:1" x14ac:dyDescent="0.25">
      <c r="A5323" t="s">
        <v>4570</v>
      </c>
    </row>
    <row r="5324" spans="1:1" x14ac:dyDescent="0.25">
      <c r="A5324" t="s">
        <v>3117</v>
      </c>
    </row>
    <row r="5325" spans="1:1" x14ac:dyDescent="0.25">
      <c r="A5325" t="s">
        <v>3118</v>
      </c>
    </row>
    <row r="5326" spans="1:1" x14ac:dyDescent="0.25">
      <c r="A5326" t="s">
        <v>3119</v>
      </c>
    </row>
    <row r="5327" spans="1:1" x14ac:dyDescent="0.25">
      <c r="A5327" t="s">
        <v>3120</v>
      </c>
    </row>
    <row r="5328" spans="1:1" x14ac:dyDescent="0.25">
      <c r="A5328" t="s">
        <v>3234</v>
      </c>
    </row>
    <row r="5329" spans="1:1" x14ac:dyDescent="0.25">
      <c r="A5329" t="s">
        <v>4279</v>
      </c>
    </row>
    <row r="5330" spans="1:1" x14ac:dyDescent="0.25">
      <c r="A5330" t="s">
        <v>4291</v>
      </c>
    </row>
    <row r="5331" spans="1:1" x14ac:dyDescent="0.25">
      <c r="A5331" t="s">
        <v>4280</v>
      </c>
    </row>
    <row r="5332" spans="1:1" x14ac:dyDescent="0.25">
      <c r="A5332" t="s">
        <v>4291</v>
      </c>
    </row>
    <row r="5333" spans="1:1" x14ac:dyDescent="0.25">
      <c r="A5333" t="s">
        <v>4281</v>
      </c>
    </row>
    <row r="5334" spans="1:1" x14ac:dyDescent="0.25">
      <c r="A5334" t="s">
        <v>4291</v>
      </c>
    </row>
    <row r="5335" spans="1:1" x14ac:dyDescent="0.25">
      <c r="A5335" t="s">
        <v>3121</v>
      </c>
    </row>
    <row r="5336" spans="1:1" x14ac:dyDescent="0.25">
      <c r="A5336" t="s">
        <v>3122</v>
      </c>
    </row>
    <row r="5337" spans="1:1" x14ac:dyDescent="0.25">
      <c r="A5337" t="s">
        <v>4571</v>
      </c>
    </row>
    <row r="5338" spans="1:1" x14ac:dyDescent="0.25">
      <c r="A5338" t="s">
        <v>3123</v>
      </c>
    </row>
    <row r="5339" spans="1:1" x14ac:dyDescent="0.25">
      <c r="A5339" t="s">
        <v>3124</v>
      </c>
    </row>
    <row r="5340" spans="1:1" x14ac:dyDescent="0.25">
      <c r="A5340" t="s">
        <v>3125</v>
      </c>
    </row>
    <row r="5341" spans="1:1" x14ac:dyDescent="0.25">
      <c r="A5341" t="s">
        <v>3126</v>
      </c>
    </row>
    <row r="5342" spans="1:1" x14ac:dyDescent="0.25">
      <c r="A5342" t="s">
        <v>3235</v>
      </c>
    </row>
    <row r="5343" spans="1:1" x14ac:dyDescent="0.25">
      <c r="A5343" t="s">
        <v>4282</v>
      </c>
    </row>
    <row r="5344" spans="1:1" x14ac:dyDescent="0.25">
      <c r="A5344" t="s">
        <v>4291</v>
      </c>
    </row>
    <row r="5345" spans="1:1" x14ac:dyDescent="0.25">
      <c r="A5345" t="s">
        <v>4283</v>
      </c>
    </row>
    <row r="5346" spans="1:1" x14ac:dyDescent="0.25">
      <c r="A5346" t="s">
        <v>4291</v>
      </c>
    </row>
    <row r="5347" spans="1:1" x14ac:dyDescent="0.25">
      <c r="A5347" t="s">
        <v>4284</v>
      </c>
    </row>
    <row r="5348" spans="1:1" x14ac:dyDescent="0.25">
      <c r="A5348" t="s">
        <v>4291</v>
      </c>
    </row>
    <row r="5349" spans="1:1" x14ac:dyDescent="0.25">
      <c r="A5349" t="s">
        <v>3127</v>
      </c>
    </row>
    <row r="5350" spans="1:1" x14ac:dyDescent="0.25">
      <c r="A5350" t="s">
        <v>3128</v>
      </c>
    </row>
    <row r="5351" spans="1:1" x14ac:dyDescent="0.25">
      <c r="A5351" t="s">
        <v>4572</v>
      </c>
    </row>
    <row r="5352" spans="1:1" x14ac:dyDescent="0.25">
      <c r="A5352" t="s">
        <v>3129</v>
      </c>
    </row>
    <row r="5353" spans="1:1" x14ac:dyDescent="0.25">
      <c r="A5353" t="s">
        <v>3130</v>
      </c>
    </row>
    <row r="5354" spans="1:1" x14ac:dyDescent="0.25">
      <c r="A5354" t="s">
        <v>3131</v>
      </c>
    </row>
    <row r="5355" spans="1:1" x14ac:dyDescent="0.25">
      <c r="A5355" t="s">
        <v>3132</v>
      </c>
    </row>
    <row r="5356" spans="1:1" x14ac:dyDescent="0.25">
      <c r="A5356" t="s">
        <v>3236</v>
      </c>
    </row>
    <row r="5357" spans="1:1" x14ac:dyDescent="0.25">
      <c r="A5357" t="s">
        <v>4285</v>
      </c>
    </row>
    <row r="5358" spans="1:1" x14ac:dyDescent="0.25">
      <c r="A5358" t="s">
        <v>4291</v>
      </c>
    </row>
    <row r="5359" spans="1:1" x14ac:dyDescent="0.25">
      <c r="A5359" t="s">
        <v>4286</v>
      </c>
    </row>
    <row r="5360" spans="1:1" x14ac:dyDescent="0.25">
      <c r="A5360" t="s">
        <v>4291</v>
      </c>
    </row>
    <row r="5361" spans="1:1" x14ac:dyDescent="0.25">
      <c r="A5361" t="s">
        <v>4287</v>
      </c>
    </row>
    <row r="5362" spans="1:1" x14ac:dyDescent="0.25">
      <c r="A5362" t="s">
        <v>4291</v>
      </c>
    </row>
    <row r="5363" spans="1:1" x14ac:dyDescent="0.25">
      <c r="A5363" t="s">
        <v>3133</v>
      </c>
    </row>
    <row r="5364" spans="1:1" x14ac:dyDescent="0.25">
      <c r="A5364" t="s">
        <v>3134</v>
      </c>
    </row>
    <row r="5365" spans="1:1" x14ac:dyDescent="0.25">
      <c r="A5365" t="s">
        <v>4573</v>
      </c>
    </row>
    <row r="5366" spans="1:1" x14ac:dyDescent="0.25">
      <c r="A5366" t="s">
        <v>3135</v>
      </c>
    </row>
    <row r="5367" spans="1:1" x14ac:dyDescent="0.25">
      <c r="A5367" t="s">
        <v>3136</v>
      </c>
    </row>
    <row r="5368" spans="1:1" x14ac:dyDescent="0.25">
      <c r="A5368" t="s">
        <v>3137</v>
      </c>
    </row>
    <row r="5369" spans="1:1" x14ac:dyDescent="0.25">
      <c r="A5369" t="s">
        <v>3138</v>
      </c>
    </row>
    <row r="5370" spans="1:1" x14ac:dyDescent="0.25">
      <c r="A5370" t="s">
        <v>3237</v>
      </c>
    </row>
    <row r="5371" spans="1:1" x14ac:dyDescent="0.25">
      <c r="A5371" t="s">
        <v>4288</v>
      </c>
    </row>
    <row r="5372" spans="1:1" x14ac:dyDescent="0.25">
      <c r="A5372" t="s">
        <v>4291</v>
      </c>
    </row>
    <row r="5373" spans="1:1" x14ac:dyDescent="0.25">
      <c r="A5373" t="s">
        <v>4289</v>
      </c>
    </row>
    <row r="5374" spans="1:1" x14ac:dyDescent="0.25">
      <c r="A5374" t="s">
        <v>4291</v>
      </c>
    </row>
    <row r="5375" spans="1:1" x14ac:dyDescent="0.25">
      <c r="A5375" t="s">
        <v>4290</v>
      </c>
    </row>
    <row r="5376" spans="1:1" x14ac:dyDescent="0.25">
      <c r="A5376" t="s">
        <v>4291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346"/>
  <sheetViews>
    <sheetView topLeftCell="A308" workbookViewId="0">
      <selection activeCell="G342" sqref="A1:AV346"/>
    </sheetView>
  </sheetViews>
  <sheetFormatPr defaultRowHeight="15" x14ac:dyDescent="0.25"/>
  <sheetData>
    <row r="1" spans="1:48" x14ac:dyDescent="0.25">
      <c r="A1" s="9" t="s">
        <v>960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x14ac:dyDescent="0.25">
      <c r="A2" s="10" t="s">
        <v>961</v>
      </c>
      <c r="B2" s="10" t="s">
        <v>962</v>
      </c>
      <c r="C2" s="10" t="s">
        <v>963</v>
      </c>
      <c r="D2" s="10" t="s">
        <v>405</v>
      </c>
      <c r="E2" s="10" t="s">
        <v>406</v>
      </c>
      <c r="F2" s="10" t="s">
        <v>407</v>
      </c>
      <c r="G2" s="10" t="s">
        <v>408</v>
      </c>
      <c r="H2" s="10" t="s">
        <v>409</v>
      </c>
      <c r="I2" s="10" t="s">
        <v>410</v>
      </c>
      <c r="J2" s="10" t="s">
        <v>411</v>
      </c>
      <c r="K2" s="10" t="s">
        <v>964</v>
      </c>
      <c r="L2" s="10" t="s">
        <v>965</v>
      </c>
      <c r="M2" s="10" t="s">
        <v>966</v>
      </c>
      <c r="N2" s="10" t="s">
        <v>967</v>
      </c>
      <c r="O2" s="10" t="s">
        <v>968</v>
      </c>
      <c r="P2" s="10" t="s">
        <v>969</v>
      </c>
      <c r="Q2" s="10" t="s">
        <v>970</v>
      </c>
      <c r="R2" s="10" t="s">
        <v>971</v>
      </c>
      <c r="S2" s="10" t="s">
        <v>0</v>
      </c>
      <c r="T2" s="10" t="s">
        <v>1</v>
      </c>
      <c r="U2" s="10" t="s">
        <v>2</v>
      </c>
      <c r="V2" s="10" t="s">
        <v>3</v>
      </c>
      <c r="W2" s="10" t="s">
        <v>4</v>
      </c>
      <c r="X2" s="10" t="s">
        <v>5</v>
      </c>
      <c r="Y2" s="10" t="s">
        <v>6</v>
      </c>
      <c r="Z2" s="10" t="s">
        <v>7</v>
      </c>
      <c r="AA2" s="10" t="s">
        <v>8</v>
      </c>
      <c r="AB2" s="10" t="s">
        <v>353</v>
      </c>
      <c r="AC2" s="10" t="s">
        <v>972</v>
      </c>
      <c r="AD2" s="10" t="s">
        <v>973</v>
      </c>
      <c r="AE2" s="10" t="s">
        <v>974</v>
      </c>
      <c r="AF2" s="10" t="s">
        <v>975</v>
      </c>
      <c r="AG2" s="10" t="s">
        <v>976</v>
      </c>
      <c r="AH2" s="10" t="s">
        <v>977</v>
      </c>
      <c r="AI2" s="10" t="s">
        <v>978</v>
      </c>
      <c r="AJ2" s="10" t="s">
        <v>979</v>
      </c>
      <c r="AK2" s="10" t="s">
        <v>980</v>
      </c>
      <c r="AL2" s="10" t="s">
        <v>981</v>
      </c>
      <c r="AM2" s="10" t="s">
        <v>982</v>
      </c>
      <c r="AN2" s="10" t="s">
        <v>983</v>
      </c>
      <c r="AO2" s="10" t="s">
        <v>984</v>
      </c>
      <c r="AP2" s="10" t="s">
        <v>985</v>
      </c>
      <c r="AQ2" s="10" t="s">
        <v>986</v>
      </c>
      <c r="AR2" s="10" t="s">
        <v>987</v>
      </c>
      <c r="AS2" s="10" t="s">
        <v>988</v>
      </c>
      <c r="AT2" s="10" t="s">
        <v>989</v>
      </c>
      <c r="AU2" s="10" t="s">
        <v>990</v>
      </c>
      <c r="AV2" s="10" t="s">
        <v>991</v>
      </c>
    </row>
    <row r="3" spans="1:48" x14ac:dyDescent="0.25">
      <c r="A3" s="8" t="s">
        <v>4574</v>
      </c>
      <c r="B3" s="8" t="s">
        <v>992</v>
      </c>
      <c r="C3" s="8" t="s">
        <v>4575</v>
      </c>
      <c r="D3" s="8" t="s">
        <v>200</v>
      </c>
      <c r="E3" s="8"/>
      <c r="F3" s="8" t="s">
        <v>412</v>
      </c>
      <c r="G3" s="8"/>
      <c r="H3" s="8"/>
      <c r="I3" s="8"/>
      <c r="J3" s="8" t="s">
        <v>413</v>
      </c>
      <c r="K3" s="8" t="s">
        <v>993</v>
      </c>
      <c r="L3" s="8" t="s">
        <v>994</v>
      </c>
      <c r="M3" s="8" t="s">
        <v>4576</v>
      </c>
      <c r="N3" s="8">
        <v>41</v>
      </c>
      <c r="O3" s="8">
        <v>41</v>
      </c>
      <c r="P3" s="8" t="s">
        <v>995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x14ac:dyDescent="0.25">
      <c r="A4" s="8" t="s">
        <v>4574</v>
      </c>
      <c r="B4" s="8" t="s">
        <v>992</v>
      </c>
      <c r="C4" s="8" t="s">
        <v>4575</v>
      </c>
      <c r="D4" s="8" t="s">
        <v>194</v>
      </c>
      <c r="E4" s="8"/>
      <c r="F4" s="8" t="s">
        <v>412</v>
      </c>
      <c r="G4" s="8"/>
      <c r="H4" s="8"/>
      <c r="I4" s="8"/>
      <c r="J4" s="8" t="s">
        <v>415</v>
      </c>
      <c r="K4" s="8" t="s">
        <v>993</v>
      </c>
      <c r="L4" s="8" t="s">
        <v>994</v>
      </c>
      <c r="M4" s="8" t="s">
        <v>4576</v>
      </c>
      <c r="N4" s="8">
        <v>41</v>
      </c>
      <c r="O4" s="8"/>
      <c r="P4" s="8" t="s">
        <v>995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</row>
    <row r="5" spans="1:48" x14ac:dyDescent="0.25">
      <c r="A5" s="8" t="s">
        <v>4574</v>
      </c>
      <c r="B5" s="8" t="s">
        <v>992</v>
      </c>
      <c r="C5" s="8" t="s">
        <v>4575</v>
      </c>
      <c r="D5" s="8" t="s">
        <v>97</v>
      </c>
      <c r="E5" s="8"/>
      <c r="F5" s="8" t="s">
        <v>412</v>
      </c>
      <c r="G5" s="8"/>
      <c r="H5" s="8"/>
      <c r="I5" s="8"/>
      <c r="J5" s="8" t="s">
        <v>418</v>
      </c>
      <c r="K5" s="8" t="s">
        <v>993</v>
      </c>
      <c r="L5" s="8" t="s">
        <v>994</v>
      </c>
      <c r="M5" s="8" t="s">
        <v>4576</v>
      </c>
      <c r="N5" s="8">
        <v>41</v>
      </c>
      <c r="O5" s="8"/>
      <c r="P5" s="8" t="s">
        <v>995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</row>
    <row r="6" spans="1:48" x14ac:dyDescent="0.25">
      <c r="A6" s="8" t="s">
        <v>4574</v>
      </c>
      <c r="B6" s="8" t="s">
        <v>992</v>
      </c>
      <c r="C6" s="8" t="s">
        <v>4575</v>
      </c>
      <c r="D6" s="8" t="s">
        <v>249</v>
      </c>
      <c r="E6" s="8"/>
      <c r="F6" s="8" t="s">
        <v>412</v>
      </c>
      <c r="G6" s="8"/>
      <c r="H6" s="8"/>
      <c r="I6" s="8"/>
      <c r="J6" s="8" t="s">
        <v>416</v>
      </c>
      <c r="K6" s="8" t="s">
        <v>993</v>
      </c>
      <c r="L6" s="8" t="s">
        <v>994</v>
      </c>
      <c r="M6" s="8" t="s">
        <v>4576</v>
      </c>
      <c r="N6" s="8">
        <v>41</v>
      </c>
      <c r="O6" s="8"/>
      <c r="P6" s="8" t="s">
        <v>995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</row>
    <row r="7" spans="1:48" x14ac:dyDescent="0.25">
      <c r="A7" s="8" t="s">
        <v>4574</v>
      </c>
      <c r="B7" s="8" t="s">
        <v>992</v>
      </c>
      <c r="C7" s="8" t="s">
        <v>4575</v>
      </c>
      <c r="D7" s="8" t="s">
        <v>58</v>
      </c>
      <c r="E7" s="8"/>
      <c r="F7" s="8" t="s">
        <v>412</v>
      </c>
      <c r="G7" s="8"/>
      <c r="H7" s="8"/>
      <c r="I7" s="8"/>
      <c r="J7" s="8" t="s">
        <v>414</v>
      </c>
      <c r="K7" s="8" t="s">
        <v>993</v>
      </c>
      <c r="L7" s="8" t="s">
        <v>994</v>
      </c>
      <c r="M7" s="8" t="s">
        <v>4576</v>
      </c>
      <c r="N7" s="8">
        <v>41</v>
      </c>
      <c r="O7" s="8"/>
      <c r="P7" s="8" t="s">
        <v>995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</row>
    <row r="8" spans="1:48" x14ac:dyDescent="0.25">
      <c r="A8" s="8" t="s">
        <v>4574</v>
      </c>
      <c r="B8" s="8" t="s">
        <v>992</v>
      </c>
      <c r="C8" s="8" t="s">
        <v>4575</v>
      </c>
      <c r="D8" s="8" t="s">
        <v>245</v>
      </c>
      <c r="E8" s="8"/>
      <c r="F8" s="8" t="s">
        <v>412</v>
      </c>
      <c r="G8" s="8"/>
      <c r="H8" s="8"/>
      <c r="I8" s="8"/>
      <c r="J8" s="8" t="s">
        <v>417</v>
      </c>
      <c r="K8" s="8" t="s">
        <v>993</v>
      </c>
      <c r="L8" s="8" t="s">
        <v>994</v>
      </c>
      <c r="M8" s="8" t="s">
        <v>4576</v>
      </c>
      <c r="N8" s="8">
        <v>41</v>
      </c>
      <c r="O8" s="8"/>
      <c r="P8" s="8" t="s">
        <v>995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</row>
    <row r="9" spans="1:48" x14ac:dyDescent="0.25">
      <c r="A9" s="8" t="s">
        <v>4574</v>
      </c>
      <c r="B9" s="8" t="s">
        <v>992</v>
      </c>
      <c r="C9" s="8" t="s">
        <v>4575</v>
      </c>
      <c r="D9" s="8" t="s">
        <v>38</v>
      </c>
      <c r="E9" s="8"/>
      <c r="F9" s="8" t="s">
        <v>412</v>
      </c>
      <c r="G9" s="8"/>
      <c r="H9" s="8"/>
      <c r="I9" s="8"/>
      <c r="J9" s="8" t="s">
        <v>419</v>
      </c>
      <c r="K9" s="8" t="s">
        <v>993</v>
      </c>
      <c r="L9" s="8" t="s">
        <v>994</v>
      </c>
      <c r="M9" s="8" t="s">
        <v>4576</v>
      </c>
      <c r="N9" s="8">
        <v>41</v>
      </c>
      <c r="O9" s="8"/>
      <c r="P9" s="8" t="s">
        <v>995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x14ac:dyDescent="0.25">
      <c r="A10" s="8" t="s">
        <v>4574</v>
      </c>
      <c r="B10" s="8" t="s">
        <v>992</v>
      </c>
      <c r="C10" s="8" t="s">
        <v>4575</v>
      </c>
      <c r="D10" s="8" t="s">
        <v>316</v>
      </c>
      <c r="E10" s="8"/>
      <c r="F10" s="8" t="s">
        <v>412</v>
      </c>
      <c r="G10" s="8"/>
      <c r="H10" s="8"/>
      <c r="I10" s="8"/>
      <c r="J10" s="8" t="s">
        <v>420</v>
      </c>
      <c r="K10" s="8" t="s">
        <v>993</v>
      </c>
      <c r="L10" s="8" t="s">
        <v>994</v>
      </c>
      <c r="M10" s="8" t="s">
        <v>4576</v>
      </c>
      <c r="N10" s="8">
        <v>41</v>
      </c>
      <c r="O10" s="8"/>
      <c r="P10" s="8" t="s">
        <v>995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</row>
    <row r="11" spans="1:48" x14ac:dyDescent="0.25">
      <c r="A11" s="8" t="s">
        <v>4574</v>
      </c>
      <c r="B11" s="8" t="s">
        <v>992</v>
      </c>
      <c r="C11" s="8" t="s">
        <v>4575</v>
      </c>
      <c r="D11" s="8" t="s">
        <v>161</v>
      </c>
      <c r="E11" s="8"/>
      <c r="F11" s="8" t="s">
        <v>412</v>
      </c>
      <c r="G11" s="8"/>
      <c r="H11" s="8"/>
      <c r="I11" s="8"/>
      <c r="J11" s="8" t="s">
        <v>421</v>
      </c>
      <c r="K11" s="8" t="s">
        <v>993</v>
      </c>
      <c r="L11" s="8" t="s">
        <v>994</v>
      </c>
      <c r="M11" s="8" t="s">
        <v>4576</v>
      </c>
      <c r="N11" s="8">
        <v>41</v>
      </c>
      <c r="O11" s="8"/>
      <c r="P11" s="8" t="s">
        <v>995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</row>
    <row r="12" spans="1:48" x14ac:dyDescent="0.25">
      <c r="A12" s="8" t="s">
        <v>4574</v>
      </c>
      <c r="B12" s="8" t="s">
        <v>992</v>
      </c>
      <c r="C12" s="8" t="s">
        <v>4575</v>
      </c>
      <c r="D12" s="8" t="s">
        <v>52</v>
      </c>
      <c r="E12" s="8"/>
      <c r="F12" s="8" t="s">
        <v>412</v>
      </c>
      <c r="G12" s="8"/>
      <c r="H12" s="8"/>
      <c r="I12" s="8"/>
      <c r="J12" s="8" t="s">
        <v>422</v>
      </c>
      <c r="K12" s="8" t="s">
        <v>993</v>
      </c>
      <c r="L12" s="8" t="s">
        <v>994</v>
      </c>
      <c r="M12" s="8" t="s">
        <v>4576</v>
      </c>
      <c r="N12" s="8">
        <v>41</v>
      </c>
      <c r="O12" s="8"/>
      <c r="P12" s="8" t="s">
        <v>995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</row>
    <row r="13" spans="1:48" x14ac:dyDescent="0.25">
      <c r="A13" s="8" t="s">
        <v>4574</v>
      </c>
      <c r="B13" s="8" t="s">
        <v>992</v>
      </c>
      <c r="C13" s="8" t="s">
        <v>4575</v>
      </c>
      <c r="D13" s="8" t="s">
        <v>45</v>
      </c>
      <c r="E13" s="8"/>
      <c r="F13" s="8" t="s">
        <v>412</v>
      </c>
      <c r="G13" s="8"/>
      <c r="H13" s="8"/>
      <c r="I13" s="8"/>
      <c r="J13" s="8" t="s">
        <v>424</v>
      </c>
      <c r="K13" s="8" t="s">
        <v>993</v>
      </c>
      <c r="L13" s="8" t="s">
        <v>994</v>
      </c>
      <c r="M13" s="8" t="s">
        <v>4576</v>
      </c>
      <c r="N13" s="8">
        <v>41</v>
      </c>
      <c r="O13" s="8"/>
      <c r="P13" s="8" t="s">
        <v>995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</row>
    <row r="14" spans="1:48" x14ac:dyDescent="0.25">
      <c r="A14" s="8" t="s">
        <v>4574</v>
      </c>
      <c r="B14" s="8" t="s">
        <v>992</v>
      </c>
      <c r="C14" s="8" t="s">
        <v>4575</v>
      </c>
      <c r="D14" s="8" t="s">
        <v>230</v>
      </c>
      <c r="E14" s="8"/>
      <c r="F14" s="8" t="s">
        <v>412</v>
      </c>
      <c r="G14" s="8"/>
      <c r="H14" s="8"/>
      <c r="I14" s="8"/>
      <c r="J14" s="8" t="s">
        <v>423</v>
      </c>
      <c r="K14" s="8" t="s">
        <v>993</v>
      </c>
      <c r="L14" s="8" t="s">
        <v>994</v>
      </c>
      <c r="M14" s="8" t="s">
        <v>4576</v>
      </c>
      <c r="N14" s="8">
        <v>41</v>
      </c>
      <c r="O14" s="8"/>
      <c r="P14" s="8" t="s">
        <v>995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</row>
    <row r="15" spans="1:48" x14ac:dyDescent="0.25">
      <c r="A15" s="8" t="s">
        <v>4574</v>
      </c>
      <c r="B15" s="8" t="s">
        <v>992</v>
      </c>
      <c r="C15" s="8" t="s">
        <v>4575</v>
      </c>
      <c r="D15" s="8" t="s">
        <v>289</v>
      </c>
      <c r="E15" s="8"/>
      <c r="F15" s="8" t="s">
        <v>412</v>
      </c>
      <c r="G15" s="8"/>
      <c r="H15" s="8"/>
      <c r="I15" s="8"/>
      <c r="J15" s="8" t="s">
        <v>425</v>
      </c>
      <c r="K15" s="8" t="s">
        <v>993</v>
      </c>
      <c r="L15" s="8" t="s">
        <v>994</v>
      </c>
      <c r="M15" s="8" t="s">
        <v>4576</v>
      </c>
      <c r="N15" s="8">
        <v>41</v>
      </c>
      <c r="O15" s="8"/>
      <c r="P15" s="8" t="s">
        <v>995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</row>
    <row r="16" spans="1:48" x14ac:dyDescent="0.25">
      <c r="A16" s="8" t="s">
        <v>4574</v>
      </c>
      <c r="B16" s="8" t="s">
        <v>992</v>
      </c>
      <c r="C16" s="8" t="s">
        <v>4575</v>
      </c>
      <c r="D16" s="8" t="s">
        <v>147</v>
      </c>
      <c r="E16" s="8"/>
      <c r="F16" s="8" t="s">
        <v>412</v>
      </c>
      <c r="G16" s="8"/>
      <c r="H16" s="8"/>
      <c r="I16" s="8"/>
      <c r="J16" s="8"/>
      <c r="K16" s="8" t="s">
        <v>993</v>
      </c>
      <c r="L16" s="8" t="s">
        <v>994</v>
      </c>
      <c r="M16" s="8" t="s">
        <v>4576</v>
      </c>
      <c r="N16" s="8">
        <v>41</v>
      </c>
      <c r="O16" s="8"/>
      <c r="P16" s="8" t="s">
        <v>995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</row>
    <row r="17" spans="1:16" x14ac:dyDescent="0.25">
      <c r="A17" s="8" t="s">
        <v>4574</v>
      </c>
      <c r="B17" s="8" t="s">
        <v>992</v>
      </c>
      <c r="C17" s="8" t="s">
        <v>4575</v>
      </c>
      <c r="D17" s="8" t="s">
        <v>305</v>
      </c>
      <c r="E17" s="8"/>
      <c r="F17" s="8" t="s">
        <v>412</v>
      </c>
      <c r="G17" s="8"/>
      <c r="H17" s="8"/>
      <c r="I17" s="8"/>
      <c r="J17" s="8" t="s">
        <v>427</v>
      </c>
      <c r="K17" s="8" t="s">
        <v>993</v>
      </c>
      <c r="L17" s="8" t="s">
        <v>994</v>
      </c>
      <c r="M17" s="8" t="s">
        <v>4576</v>
      </c>
      <c r="N17" s="8">
        <v>41</v>
      </c>
      <c r="O17" s="8"/>
      <c r="P17" s="8" t="s">
        <v>995</v>
      </c>
    </row>
    <row r="18" spans="1:16" x14ac:dyDescent="0.25">
      <c r="A18" s="8" t="s">
        <v>4574</v>
      </c>
      <c r="B18" s="8" t="s">
        <v>992</v>
      </c>
      <c r="C18" s="8" t="s">
        <v>4575</v>
      </c>
      <c r="D18" s="8" t="s">
        <v>242</v>
      </c>
      <c r="E18" s="8"/>
      <c r="F18" s="8" t="s">
        <v>412</v>
      </c>
      <c r="G18" s="8"/>
      <c r="H18" s="8"/>
      <c r="I18" s="8"/>
      <c r="J18" s="8" t="s">
        <v>428</v>
      </c>
      <c r="K18" s="8" t="s">
        <v>993</v>
      </c>
      <c r="L18" s="8" t="s">
        <v>994</v>
      </c>
      <c r="M18" s="8" t="s">
        <v>4576</v>
      </c>
      <c r="N18" s="8">
        <v>41</v>
      </c>
      <c r="O18" s="8"/>
      <c r="P18" s="8" t="s">
        <v>995</v>
      </c>
    </row>
    <row r="19" spans="1:16" x14ac:dyDescent="0.25">
      <c r="A19" s="8" t="s">
        <v>4574</v>
      </c>
      <c r="B19" s="8" t="s">
        <v>992</v>
      </c>
      <c r="C19" s="8" t="s">
        <v>4575</v>
      </c>
      <c r="D19" s="8" t="s">
        <v>94</v>
      </c>
      <c r="E19" s="8"/>
      <c r="F19" s="8" t="s">
        <v>412</v>
      </c>
      <c r="G19" s="8"/>
      <c r="H19" s="8"/>
      <c r="I19" s="8"/>
      <c r="J19" s="8" t="s">
        <v>426</v>
      </c>
      <c r="K19" s="8" t="s">
        <v>993</v>
      </c>
      <c r="L19" s="8" t="s">
        <v>994</v>
      </c>
      <c r="M19" s="8" t="s">
        <v>4576</v>
      </c>
      <c r="N19" s="8">
        <v>41</v>
      </c>
      <c r="O19" s="8"/>
      <c r="P19" s="8" t="s">
        <v>995</v>
      </c>
    </row>
    <row r="20" spans="1:16" x14ac:dyDescent="0.25">
      <c r="A20" s="8" t="s">
        <v>4574</v>
      </c>
      <c r="B20" s="8" t="s">
        <v>992</v>
      </c>
      <c r="C20" s="8" t="s">
        <v>4575</v>
      </c>
      <c r="D20" s="8" t="s">
        <v>228</v>
      </c>
      <c r="E20" s="8"/>
      <c r="F20" s="8" t="s">
        <v>412</v>
      </c>
      <c r="G20" s="8"/>
      <c r="H20" s="8"/>
      <c r="I20" s="8"/>
      <c r="J20" s="8" t="s">
        <v>430</v>
      </c>
      <c r="K20" s="8" t="s">
        <v>993</v>
      </c>
      <c r="L20" s="8" t="s">
        <v>994</v>
      </c>
      <c r="M20" s="8" t="s">
        <v>4576</v>
      </c>
      <c r="N20" s="8">
        <v>41</v>
      </c>
      <c r="O20" s="8"/>
      <c r="P20" s="8" t="s">
        <v>995</v>
      </c>
    </row>
    <row r="21" spans="1:16" x14ac:dyDescent="0.25">
      <c r="A21" s="8" t="s">
        <v>4574</v>
      </c>
      <c r="B21" s="8" t="s">
        <v>992</v>
      </c>
      <c r="C21" s="8" t="s">
        <v>4575</v>
      </c>
      <c r="D21" s="8" t="s">
        <v>24</v>
      </c>
      <c r="E21" s="8"/>
      <c r="F21" s="8" t="s">
        <v>412</v>
      </c>
      <c r="G21" s="8"/>
      <c r="H21" s="8"/>
      <c r="I21" s="8"/>
      <c r="J21" s="8" t="s">
        <v>431</v>
      </c>
      <c r="K21" s="8" t="s">
        <v>993</v>
      </c>
      <c r="L21" s="8" t="s">
        <v>994</v>
      </c>
      <c r="M21" s="8" t="s">
        <v>4576</v>
      </c>
      <c r="N21" s="8">
        <v>41</v>
      </c>
      <c r="O21" s="8"/>
      <c r="P21" s="8" t="s">
        <v>995</v>
      </c>
    </row>
    <row r="22" spans="1:16" x14ac:dyDescent="0.25">
      <c r="A22" s="8" t="s">
        <v>4574</v>
      </c>
      <c r="B22" s="8" t="s">
        <v>992</v>
      </c>
      <c r="C22" s="8" t="s">
        <v>4575</v>
      </c>
      <c r="D22" s="8" t="s">
        <v>115</v>
      </c>
      <c r="E22" s="8"/>
      <c r="F22" s="8" t="s">
        <v>412</v>
      </c>
      <c r="G22" s="8"/>
      <c r="H22" s="8"/>
      <c r="I22" s="8"/>
      <c r="J22" s="8" t="s">
        <v>429</v>
      </c>
      <c r="K22" s="8" t="s">
        <v>993</v>
      </c>
      <c r="L22" s="8" t="s">
        <v>994</v>
      </c>
      <c r="M22" s="8" t="s">
        <v>4576</v>
      </c>
      <c r="N22" s="8">
        <v>41</v>
      </c>
      <c r="O22" s="8"/>
      <c r="P22" s="8" t="s">
        <v>995</v>
      </c>
    </row>
    <row r="23" spans="1:16" x14ac:dyDescent="0.25">
      <c r="A23" s="8" t="s">
        <v>4574</v>
      </c>
      <c r="B23" s="8" t="s">
        <v>992</v>
      </c>
      <c r="C23" s="8" t="s">
        <v>4575</v>
      </c>
      <c r="D23" s="8" t="s">
        <v>122</v>
      </c>
      <c r="E23" s="8"/>
      <c r="F23" s="8" t="s">
        <v>412</v>
      </c>
      <c r="G23" s="8"/>
      <c r="H23" s="8"/>
      <c r="I23" s="8"/>
      <c r="J23" s="8" t="s">
        <v>432</v>
      </c>
      <c r="K23" s="8" t="s">
        <v>993</v>
      </c>
      <c r="L23" s="8" t="s">
        <v>994</v>
      </c>
      <c r="M23" s="8" t="s">
        <v>4576</v>
      </c>
      <c r="N23" s="8">
        <v>41</v>
      </c>
      <c r="O23" s="8"/>
      <c r="P23" s="8" t="s">
        <v>995</v>
      </c>
    </row>
    <row r="24" spans="1:16" x14ac:dyDescent="0.25">
      <c r="A24" s="8" t="s">
        <v>4574</v>
      </c>
      <c r="B24" s="8" t="s">
        <v>992</v>
      </c>
      <c r="C24" s="8" t="s">
        <v>4575</v>
      </c>
      <c r="D24" s="8" t="s">
        <v>282</v>
      </c>
      <c r="E24" s="8"/>
      <c r="F24" s="8" t="s">
        <v>412</v>
      </c>
      <c r="G24" s="8"/>
      <c r="H24" s="8"/>
      <c r="I24" s="8"/>
      <c r="J24" s="8" t="s">
        <v>433</v>
      </c>
      <c r="K24" s="8" t="s">
        <v>993</v>
      </c>
      <c r="L24" s="8" t="s">
        <v>994</v>
      </c>
      <c r="M24" s="8" t="s">
        <v>4576</v>
      </c>
      <c r="N24" s="8">
        <v>41</v>
      </c>
      <c r="O24" s="8"/>
      <c r="P24" s="8" t="s">
        <v>995</v>
      </c>
    </row>
    <row r="25" spans="1:16" x14ac:dyDescent="0.25">
      <c r="A25" s="8" t="s">
        <v>4574</v>
      </c>
      <c r="B25" s="8" t="s">
        <v>992</v>
      </c>
      <c r="C25" s="8" t="s">
        <v>4575</v>
      </c>
      <c r="D25" s="8" t="s">
        <v>224</v>
      </c>
      <c r="E25" s="8"/>
      <c r="F25" s="8" t="s">
        <v>412</v>
      </c>
      <c r="G25" s="8"/>
      <c r="H25" s="8"/>
      <c r="I25" s="8"/>
      <c r="J25" s="8" t="s">
        <v>434</v>
      </c>
      <c r="K25" s="8" t="s">
        <v>993</v>
      </c>
      <c r="L25" s="8" t="s">
        <v>994</v>
      </c>
      <c r="M25" s="8" t="s">
        <v>4576</v>
      </c>
      <c r="N25" s="8">
        <v>41</v>
      </c>
      <c r="O25" s="8"/>
      <c r="P25" s="8" t="s">
        <v>995</v>
      </c>
    </row>
    <row r="26" spans="1:16" x14ac:dyDescent="0.25">
      <c r="A26" s="8" t="s">
        <v>4574</v>
      </c>
      <c r="B26" s="8" t="s">
        <v>992</v>
      </c>
      <c r="C26" s="8" t="s">
        <v>4575</v>
      </c>
      <c r="D26" s="8" t="s">
        <v>168</v>
      </c>
      <c r="E26" s="8"/>
      <c r="F26" s="8" t="s">
        <v>412</v>
      </c>
      <c r="G26" s="8"/>
      <c r="H26" s="8"/>
      <c r="I26" s="8"/>
      <c r="J26" s="8"/>
      <c r="K26" s="8" t="s">
        <v>993</v>
      </c>
      <c r="L26" s="8" t="s">
        <v>994</v>
      </c>
      <c r="M26" s="8" t="s">
        <v>4576</v>
      </c>
      <c r="N26" s="8">
        <v>41</v>
      </c>
      <c r="O26" s="8"/>
      <c r="P26" s="8" t="s">
        <v>995</v>
      </c>
    </row>
    <row r="27" spans="1:16" x14ac:dyDescent="0.25">
      <c r="A27" s="8" t="s">
        <v>4574</v>
      </c>
      <c r="B27" s="8" t="s">
        <v>992</v>
      </c>
      <c r="C27" s="8" t="s">
        <v>4575</v>
      </c>
      <c r="D27" s="8" t="s">
        <v>37</v>
      </c>
      <c r="E27" s="8"/>
      <c r="F27" s="8" t="s">
        <v>412</v>
      </c>
      <c r="G27" s="8"/>
      <c r="H27" s="8"/>
      <c r="I27" s="8"/>
      <c r="J27" s="8" t="s">
        <v>436</v>
      </c>
      <c r="K27" s="8" t="s">
        <v>993</v>
      </c>
      <c r="L27" s="8" t="s">
        <v>994</v>
      </c>
      <c r="M27" s="8" t="s">
        <v>4576</v>
      </c>
      <c r="N27" s="8">
        <v>41</v>
      </c>
      <c r="O27" s="8"/>
      <c r="P27" s="8" t="s">
        <v>995</v>
      </c>
    </row>
    <row r="28" spans="1:16" x14ac:dyDescent="0.25">
      <c r="A28" s="8" t="s">
        <v>4574</v>
      </c>
      <c r="B28" s="8" t="s">
        <v>992</v>
      </c>
      <c r="C28" s="8" t="s">
        <v>4575</v>
      </c>
      <c r="D28" s="8" t="s">
        <v>167</v>
      </c>
      <c r="E28" s="8"/>
      <c r="F28" s="8" t="s">
        <v>412</v>
      </c>
      <c r="G28" s="8"/>
      <c r="H28" s="8"/>
      <c r="I28" s="8"/>
      <c r="J28" s="8"/>
      <c r="K28" s="8" t="s">
        <v>993</v>
      </c>
      <c r="L28" s="8" t="s">
        <v>994</v>
      </c>
      <c r="M28" s="8" t="s">
        <v>4576</v>
      </c>
      <c r="N28" s="8">
        <v>41</v>
      </c>
      <c r="O28" s="8"/>
      <c r="P28" s="8" t="s">
        <v>995</v>
      </c>
    </row>
    <row r="29" spans="1:16" x14ac:dyDescent="0.25">
      <c r="A29" s="8" t="s">
        <v>4574</v>
      </c>
      <c r="B29" s="8" t="s">
        <v>992</v>
      </c>
      <c r="C29" s="8" t="s">
        <v>4575</v>
      </c>
      <c r="D29" s="8" t="s">
        <v>166</v>
      </c>
      <c r="E29" s="8"/>
      <c r="F29" s="8" t="s">
        <v>412</v>
      </c>
      <c r="G29" s="8"/>
      <c r="H29" s="8"/>
      <c r="I29" s="8"/>
      <c r="J29" s="8"/>
      <c r="K29" s="8" t="s">
        <v>993</v>
      </c>
      <c r="L29" s="8" t="s">
        <v>994</v>
      </c>
      <c r="M29" s="8" t="s">
        <v>4576</v>
      </c>
      <c r="N29" s="8">
        <v>41</v>
      </c>
      <c r="O29" s="8"/>
      <c r="P29" s="8" t="s">
        <v>995</v>
      </c>
    </row>
    <row r="30" spans="1:16" x14ac:dyDescent="0.25">
      <c r="A30" s="8" t="s">
        <v>4574</v>
      </c>
      <c r="B30" s="8" t="s">
        <v>992</v>
      </c>
      <c r="C30" s="8" t="s">
        <v>4575</v>
      </c>
      <c r="D30" s="8" t="s">
        <v>272</v>
      </c>
      <c r="E30" s="8"/>
      <c r="F30" s="8" t="s">
        <v>437</v>
      </c>
      <c r="G30" s="8"/>
      <c r="H30" s="8"/>
      <c r="I30" s="8"/>
      <c r="J30" s="8" t="s">
        <v>438</v>
      </c>
      <c r="K30" s="8" t="s">
        <v>993</v>
      </c>
      <c r="L30" s="8" t="s">
        <v>994</v>
      </c>
      <c r="M30" s="8" t="s">
        <v>4576</v>
      </c>
      <c r="N30" s="8">
        <v>41</v>
      </c>
      <c r="O30" s="8"/>
      <c r="P30" s="8" t="s">
        <v>995</v>
      </c>
    </row>
    <row r="31" spans="1:16" x14ac:dyDescent="0.25">
      <c r="A31" s="8" t="s">
        <v>4574</v>
      </c>
      <c r="B31" s="8" t="s">
        <v>992</v>
      </c>
      <c r="C31" s="8" t="s">
        <v>4575</v>
      </c>
      <c r="D31" s="8" t="s">
        <v>131</v>
      </c>
      <c r="E31" s="8"/>
      <c r="F31" s="8" t="s">
        <v>412</v>
      </c>
      <c r="G31" s="8"/>
      <c r="H31" s="8"/>
      <c r="I31" s="8"/>
      <c r="J31" s="8" t="s">
        <v>439</v>
      </c>
      <c r="K31" s="8" t="s">
        <v>993</v>
      </c>
      <c r="L31" s="8" t="s">
        <v>994</v>
      </c>
      <c r="M31" s="8" t="s">
        <v>4576</v>
      </c>
      <c r="N31" s="8">
        <v>41</v>
      </c>
      <c r="O31" s="8"/>
      <c r="P31" s="8" t="s">
        <v>995</v>
      </c>
    </row>
    <row r="32" spans="1:16" x14ac:dyDescent="0.25">
      <c r="A32" s="8" t="s">
        <v>4574</v>
      </c>
      <c r="B32" s="8" t="s">
        <v>992</v>
      </c>
      <c r="C32" s="8" t="s">
        <v>4575</v>
      </c>
      <c r="D32" s="8" t="s">
        <v>309</v>
      </c>
      <c r="E32" s="8"/>
      <c r="F32" s="8" t="s">
        <v>412</v>
      </c>
      <c r="G32" s="8"/>
      <c r="H32" s="8"/>
      <c r="I32" s="8"/>
      <c r="J32" s="8" t="s">
        <v>435</v>
      </c>
      <c r="K32" s="8" t="s">
        <v>993</v>
      </c>
      <c r="L32" s="8" t="s">
        <v>994</v>
      </c>
      <c r="M32" s="8" t="s">
        <v>4576</v>
      </c>
      <c r="N32" s="8">
        <v>41</v>
      </c>
      <c r="O32" s="8"/>
      <c r="P32" s="8" t="s">
        <v>995</v>
      </c>
    </row>
    <row r="33" spans="1:16" x14ac:dyDescent="0.25">
      <c r="A33" s="8" t="s">
        <v>4574</v>
      </c>
      <c r="B33" s="8" t="s">
        <v>992</v>
      </c>
      <c r="C33" s="8" t="s">
        <v>4575</v>
      </c>
      <c r="D33" s="8" t="s">
        <v>189</v>
      </c>
      <c r="E33" s="8"/>
      <c r="F33" s="8" t="s">
        <v>412</v>
      </c>
      <c r="G33" s="8"/>
      <c r="H33" s="8"/>
      <c r="I33" s="8"/>
      <c r="J33" s="8" t="s">
        <v>440</v>
      </c>
      <c r="K33" s="8" t="s">
        <v>993</v>
      </c>
      <c r="L33" s="8" t="s">
        <v>994</v>
      </c>
      <c r="M33" s="8" t="s">
        <v>4576</v>
      </c>
      <c r="N33" s="8">
        <v>41</v>
      </c>
      <c r="O33" s="8"/>
      <c r="P33" s="8" t="s">
        <v>995</v>
      </c>
    </row>
    <row r="34" spans="1:16" x14ac:dyDescent="0.25">
      <c r="A34" s="8" t="s">
        <v>4574</v>
      </c>
      <c r="B34" s="8" t="s">
        <v>992</v>
      </c>
      <c r="C34" s="8" t="s">
        <v>4575</v>
      </c>
      <c r="D34" s="8" t="s">
        <v>347</v>
      </c>
      <c r="E34" s="8"/>
      <c r="F34" s="8" t="s">
        <v>412</v>
      </c>
      <c r="G34" s="8"/>
      <c r="H34" s="8"/>
      <c r="I34" s="8"/>
      <c r="J34" s="8" t="s">
        <v>441</v>
      </c>
      <c r="K34" s="8" t="s">
        <v>993</v>
      </c>
      <c r="L34" s="8" t="s">
        <v>994</v>
      </c>
      <c r="M34" s="8" t="s">
        <v>4576</v>
      </c>
      <c r="N34" s="8">
        <v>41</v>
      </c>
      <c r="O34" s="8"/>
      <c r="P34" s="8" t="s">
        <v>995</v>
      </c>
    </row>
    <row r="35" spans="1:16" x14ac:dyDescent="0.25">
      <c r="A35" s="8" t="s">
        <v>4574</v>
      </c>
      <c r="B35" s="8" t="s">
        <v>992</v>
      </c>
      <c r="C35" s="8" t="s">
        <v>4575</v>
      </c>
      <c r="D35" s="8" t="s">
        <v>318</v>
      </c>
      <c r="E35" s="8"/>
      <c r="F35" s="8" t="s">
        <v>412</v>
      </c>
      <c r="G35" s="8"/>
      <c r="H35" s="8"/>
      <c r="I35" s="8"/>
      <c r="J35" s="8" t="s">
        <v>443</v>
      </c>
      <c r="K35" s="8" t="s">
        <v>993</v>
      </c>
      <c r="L35" s="8" t="s">
        <v>994</v>
      </c>
      <c r="M35" s="8" t="s">
        <v>4576</v>
      </c>
      <c r="N35" s="8">
        <v>41</v>
      </c>
      <c r="O35" s="8"/>
      <c r="P35" s="8" t="s">
        <v>995</v>
      </c>
    </row>
    <row r="36" spans="1:16" x14ac:dyDescent="0.25">
      <c r="A36" s="8" t="s">
        <v>4574</v>
      </c>
      <c r="B36" s="8" t="s">
        <v>992</v>
      </c>
      <c r="C36" s="8" t="s">
        <v>4575</v>
      </c>
      <c r="D36" s="8" t="s">
        <v>313</v>
      </c>
      <c r="E36" s="8"/>
      <c r="F36" s="8" t="s">
        <v>412</v>
      </c>
      <c r="G36" s="8"/>
      <c r="H36" s="8"/>
      <c r="I36" s="8"/>
      <c r="J36" s="8"/>
      <c r="K36" s="8" t="s">
        <v>993</v>
      </c>
      <c r="L36" s="8" t="s">
        <v>994</v>
      </c>
      <c r="M36" s="8" t="s">
        <v>4576</v>
      </c>
      <c r="N36" s="8">
        <v>41</v>
      </c>
      <c r="O36" s="8"/>
      <c r="P36" s="8" t="s">
        <v>995</v>
      </c>
    </row>
    <row r="37" spans="1:16" x14ac:dyDescent="0.25">
      <c r="A37" s="8" t="s">
        <v>4574</v>
      </c>
      <c r="B37" s="8" t="s">
        <v>992</v>
      </c>
      <c r="C37" s="8" t="s">
        <v>4575</v>
      </c>
      <c r="D37" s="8" t="s">
        <v>258</v>
      </c>
      <c r="E37" s="8"/>
      <c r="F37" s="8" t="s">
        <v>412</v>
      </c>
      <c r="G37" s="8"/>
      <c r="H37" s="8"/>
      <c r="I37" s="8"/>
      <c r="J37" s="8" t="s">
        <v>442</v>
      </c>
      <c r="K37" s="8" t="s">
        <v>993</v>
      </c>
      <c r="L37" s="8" t="s">
        <v>994</v>
      </c>
      <c r="M37" s="8" t="s">
        <v>4576</v>
      </c>
      <c r="N37" s="8">
        <v>41</v>
      </c>
      <c r="O37" s="8"/>
      <c r="P37" s="8" t="s">
        <v>995</v>
      </c>
    </row>
    <row r="38" spans="1:16" x14ac:dyDescent="0.25">
      <c r="A38" s="8" t="s">
        <v>4574</v>
      </c>
      <c r="B38" s="8" t="s">
        <v>992</v>
      </c>
      <c r="C38" s="8" t="s">
        <v>4575</v>
      </c>
      <c r="D38" s="8" t="s">
        <v>304</v>
      </c>
      <c r="E38" s="8"/>
      <c r="F38" s="8" t="s">
        <v>412</v>
      </c>
      <c r="G38" s="8"/>
      <c r="H38" s="8"/>
      <c r="I38" s="8"/>
      <c r="J38" s="8" t="s">
        <v>444</v>
      </c>
      <c r="K38" s="8" t="s">
        <v>993</v>
      </c>
      <c r="L38" s="8" t="s">
        <v>994</v>
      </c>
      <c r="M38" s="8" t="s">
        <v>4576</v>
      </c>
      <c r="N38" s="8">
        <v>41</v>
      </c>
      <c r="O38" s="8"/>
      <c r="P38" s="8" t="s">
        <v>995</v>
      </c>
    </row>
    <row r="39" spans="1:16" x14ac:dyDescent="0.25">
      <c r="A39" s="8" t="s">
        <v>4574</v>
      </c>
      <c r="B39" s="8" t="s">
        <v>992</v>
      </c>
      <c r="C39" s="8" t="s">
        <v>4575</v>
      </c>
      <c r="D39" s="8" t="s">
        <v>191</v>
      </c>
      <c r="E39" s="8"/>
      <c r="F39" s="8" t="s">
        <v>412</v>
      </c>
      <c r="G39" s="8"/>
      <c r="H39" s="8"/>
      <c r="I39" s="8"/>
      <c r="J39" s="8" t="s">
        <v>445</v>
      </c>
      <c r="K39" s="8" t="s">
        <v>993</v>
      </c>
      <c r="L39" s="8" t="s">
        <v>994</v>
      </c>
      <c r="M39" s="8" t="s">
        <v>4576</v>
      </c>
      <c r="N39" s="8">
        <v>41</v>
      </c>
      <c r="O39" s="8"/>
      <c r="P39" s="8" t="s">
        <v>995</v>
      </c>
    </row>
    <row r="40" spans="1:16" x14ac:dyDescent="0.25">
      <c r="A40" s="8" t="s">
        <v>4574</v>
      </c>
      <c r="B40" s="8" t="s">
        <v>992</v>
      </c>
      <c r="C40" s="8" t="s">
        <v>4575</v>
      </c>
      <c r="D40" s="8" t="s">
        <v>184</v>
      </c>
      <c r="E40" s="8"/>
      <c r="F40" s="8" t="s">
        <v>412</v>
      </c>
      <c r="G40" s="8"/>
      <c r="H40" s="8"/>
      <c r="I40" s="8"/>
      <c r="J40" s="8" t="s">
        <v>446</v>
      </c>
      <c r="K40" s="8" t="s">
        <v>993</v>
      </c>
      <c r="L40" s="8" t="s">
        <v>994</v>
      </c>
      <c r="M40" s="8" t="s">
        <v>4576</v>
      </c>
      <c r="N40" s="8">
        <v>41</v>
      </c>
      <c r="O40" s="8"/>
      <c r="P40" s="8" t="s">
        <v>995</v>
      </c>
    </row>
    <row r="41" spans="1:16" x14ac:dyDescent="0.25">
      <c r="A41" s="8" t="s">
        <v>4574</v>
      </c>
      <c r="B41" s="8" t="s">
        <v>992</v>
      </c>
      <c r="C41" s="8" t="s">
        <v>4575</v>
      </c>
      <c r="D41" s="8" t="s">
        <v>16</v>
      </c>
      <c r="E41" s="8"/>
      <c r="F41" s="8" t="s">
        <v>412</v>
      </c>
      <c r="G41" s="8"/>
      <c r="H41" s="8"/>
      <c r="I41" s="8"/>
      <c r="J41" s="8" t="s">
        <v>447</v>
      </c>
      <c r="K41" s="8" t="s">
        <v>993</v>
      </c>
      <c r="L41" s="8" t="s">
        <v>994</v>
      </c>
      <c r="M41" s="8" t="s">
        <v>4576</v>
      </c>
      <c r="N41" s="8">
        <v>41</v>
      </c>
      <c r="O41" s="8"/>
      <c r="P41" s="8" t="s">
        <v>995</v>
      </c>
    </row>
    <row r="42" spans="1:16" x14ac:dyDescent="0.25">
      <c r="A42" s="8" t="s">
        <v>4574</v>
      </c>
      <c r="B42" s="8" t="s">
        <v>992</v>
      </c>
      <c r="C42" s="8" t="s">
        <v>4575</v>
      </c>
      <c r="D42" s="8" t="s">
        <v>40</v>
      </c>
      <c r="E42" s="8"/>
      <c r="F42" s="8" t="s">
        <v>412</v>
      </c>
      <c r="G42" s="8"/>
      <c r="H42" s="8"/>
      <c r="I42" s="8"/>
      <c r="J42" s="8" t="s">
        <v>448</v>
      </c>
      <c r="K42" s="8" t="s">
        <v>993</v>
      </c>
      <c r="L42" s="8" t="s">
        <v>994</v>
      </c>
      <c r="M42" s="8" t="s">
        <v>4576</v>
      </c>
      <c r="N42" s="8">
        <v>41</v>
      </c>
      <c r="O42" s="8"/>
      <c r="P42" s="8" t="s">
        <v>995</v>
      </c>
    </row>
    <row r="43" spans="1:16" x14ac:dyDescent="0.25">
      <c r="A43" s="8" t="s">
        <v>4574</v>
      </c>
      <c r="B43" s="8" t="s">
        <v>992</v>
      </c>
      <c r="C43" s="8" t="s">
        <v>4575</v>
      </c>
      <c r="D43" s="8" t="s">
        <v>170</v>
      </c>
      <c r="E43" s="8"/>
      <c r="F43" s="8" t="s">
        <v>412</v>
      </c>
      <c r="G43" s="8"/>
      <c r="H43" s="8"/>
      <c r="I43" s="8"/>
      <c r="J43" s="8"/>
      <c r="K43" s="8" t="s">
        <v>993</v>
      </c>
      <c r="L43" s="8" t="s">
        <v>994</v>
      </c>
      <c r="M43" s="8" t="s">
        <v>4576</v>
      </c>
      <c r="N43" s="8">
        <v>41</v>
      </c>
      <c r="O43" s="8"/>
      <c r="P43" s="8" t="s">
        <v>995</v>
      </c>
    </row>
    <row r="44" spans="1:16" x14ac:dyDescent="0.25">
      <c r="A44" s="8" t="s">
        <v>4574</v>
      </c>
      <c r="B44" s="8" t="s">
        <v>992</v>
      </c>
      <c r="C44" s="8" t="s">
        <v>4575</v>
      </c>
      <c r="D44" s="8" t="s">
        <v>121</v>
      </c>
      <c r="E44" s="8"/>
      <c r="F44" s="8" t="s">
        <v>412</v>
      </c>
      <c r="G44" s="8"/>
      <c r="H44" s="8"/>
      <c r="I44" s="8"/>
      <c r="J44" s="8" t="s">
        <v>449</v>
      </c>
      <c r="K44" s="8" t="s">
        <v>993</v>
      </c>
      <c r="L44" s="8" t="s">
        <v>994</v>
      </c>
      <c r="M44" s="8" t="s">
        <v>4576</v>
      </c>
      <c r="N44" s="8">
        <v>41</v>
      </c>
      <c r="O44" s="8"/>
      <c r="P44" s="8" t="s">
        <v>995</v>
      </c>
    </row>
    <row r="45" spans="1:16" x14ac:dyDescent="0.25">
      <c r="A45" s="8" t="s">
        <v>4574</v>
      </c>
      <c r="B45" s="8" t="s">
        <v>992</v>
      </c>
      <c r="C45" s="8" t="s">
        <v>4575</v>
      </c>
      <c r="D45" s="8" t="s">
        <v>240</v>
      </c>
      <c r="E45" s="8"/>
      <c r="F45" s="8" t="s">
        <v>412</v>
      </c>
      <c r="G45" s="8"/>
      <c r="H45" s="8"/>
      <c r="I45" s="8"/>
      <c r="J45" s="8"/>
      <c r="K45" s="8" t="s">
        <v>993</v>
      </c>
      <c r="L45" s="8" t="s">
        <v>994</v>
      </c>
      <c r="M45" s="8" t="s">
        <v>4576</v>
      </c>
      <c r="N45" s="8">
        <v>41</v>
      </c>
      <c r="O45" s="8"/>
      <c r="P45" s="8" t="s">
        <v>995</v>
      </c>
    </row>
    <row r="46" spans="1:16" x14ac:dyDescent="0.25">
      <c r="A46" s="8" t="s">
        <v>4574</v>
      </c>
      <c r="B46" s="8" t="s">
        <v>992</v>
      </c>
      <c r="C46" s="8" t="s">
        <v>4575</v>
      </c>
      <c r="D46" s="8" t="s">
        <v>125</v>
      </c>
      <c r="E46" s="8"/>
      <c r="F46" s="8" t="s">
        <v>412</v>
      </c>
      <c r="G46" s="8"/>
      <c r="H46" s="8"/>
      <c r="I46" s="8"/>
      <c r="J46" s="8" t="s">
        <v>451</v>
      </c>
      <c r="K46" s="8" t="s">
        <v>993</v>
      </c>
      <c r="L46" s="8" t="s">
        <v>994</v>
      </c>
      <c r="M46" s="8" t="s">
        <v>4576</v>
      </c>
      <c r="N46" s="8">
        <v>41</v>
      </c>
      <c r="O46" s="8"/>
      <c r="P46" s="8" t="s">
        <v>995</v>
      </c>
    </row>
    <row r="47" spans="1:16" x14ac:dyDescent="0.25">
      <c r="A47" s="8" t="s">
        <v>4574</v>
      </c>
      <c r="B47" s="8" t="s">
        <v>992</v>
      </c>
      <c r="C47" s="8" t="s">
        <v>4575</v>
      </c>
      <c r="D47" s="8" t="s">
        <v>322</v>
      </c>
      <c r="E47" s="8"/>
      <c r="F47" s="8" t="s">
        <v>412</v>
      </c>
      <c r="G47" s="8"/>
      <c r="H47" s="8"/>
      <c r="I47" s="8"/>
      <c r="J47" s="8"/>
      <c r="K47" s="8" t="s">
        <v>993</v>
      </c>
      <c r="L47" s="8" t="s">
        <v>994</v>
      </c>
      <c r="M47" s="8" t="s">
        <v>4576</v>
      </c>
      <c r="N47" s="8">
        <v>41</v>
      </c>
      <c r="O47" s="8"/>
      <c r="P47" s="8" t="s">
        <v>995</v>
      </c>
    </row>
    <row r="48" spans="1:16" x14ac:dyDescent="0.25">
      <c r="A48" s="8" t="s">
        <v>4574</v>
      </c>
      <c r="B48" s="8" t="s">
        <v>992</v>
      </c>
      <c r="C48" s="8" t="s">
        <v>4575</v>
      </c>
      <c r="D48" s="8" t="s">
        <v>308</v>
      </c>
      <c r="E48" s="8"/>
      <c r="F48" s="8" t="s">
        <v>412</v>
      </c>
      <c r="G48" s="8"/>
      <c r="H48" s="8"/>
      <c r="I48" s="8"/>
      <c r="J48" s="8" t="s">
        <v>450</v>
      </c>
      <c r="K48" s="8" t="s">
        <v>993</v>
      </c>
      <c r="L48" s="8" t="s">
        <v>994</v>
      </c>
      <c r="M48" s="8" t="s">
        <v>4576</v>
      </c>
      <c r="N48" s="8">
        <v>41</v>
      </c>
      <c r="O48" s="8"/>
      <c r="P48" s="8" t="s">
        <v>995</v>
      </c>
    </row>
    <row r="49" spans="1:16" x14ac:dyDescent="0.25">
      <c r="A49" s="8" t="s">
        <v>4574</v>
      </c>
      <c r="B49" s="8" t="s">
        <v>992</v>
      </c>
      <c r="C49" s="8" t="s">
        <v>4575</v>
      </c>
      <c r="D49" s="8" t="s">
        <v>69</v>
      </c>
      <c r="E49" s="8"/>
      <c r="F49" s="8" t="s">
        <v>412</v>
      </c>
      <c r="G49" s="8"/>
      <c r="H49" s="8"/>
      <c r="I49" s="8"/>
      <c r="J49" s="8" t="s">
        <v>456</v>
      </c>
      <c r="K49" s="8" t="s">
        <v>993</v>
      </c>
      <c r="L49" s="8" t="s">
        <v>994</v>
      </c>
      <c r="M49" s="8" t="s">
        <v>4576</v>
      </c>
      <c r="N49" s="8">
        <v>41</v>
      </c>
      <c r="O49" s="8"/>
      <c r="P49" s="8" t="s">
        <v>995</v>
      </c>
    </row>
    <row r="50" spans="1:16" x14ac:dyDescent="0.25">
      <c r="A50" s="8" t="s">
        <v>4574</v>
      </c>
      <c r="B50" s="8" t="s">
        <v>992</v>
      </c>
      <c r="C50" s="8" t="s">
        <v>4575</v>
      </c>
      <c r="D50" s="8" t="s">
        <v>11</v>
      </c>
      <c r="E50" s="8"/>
      <c r="F50" s="8" t="s">
        <v>412</v>
      </c>
      <c r="G50" s="8"/>
      <c r="H50" s="8"/>
      <c r="I50" s="8"/>
      <c r="J50" s="8" t="s">
        <v>454</v>
      </c>
      <c r="K50" s="8" t="s">
        <v>993</v>
      </c>
      <c r="L50" s="8" t="s">
        <v>994</v>
      </c>
      <c r="M50" s="8" t="s">
        <v>4576</v>
      </c>
      <c r="N50" s="8">
        <v>41</v>
      </c>
      <c r="O50" s="8"/>
      <c r="P50" s="8" t="s">
        <v>995</v>
      </c>
    </row>
    <row r="51" spans="1:16" x14ac:dyDescent="0.25">
      <c r="A51" s="8" t="s">
        <v>4574</v>
      </c>
      <c r="B51" s="8" t="s">
        <v>992</v>
      </c>
      <c r="C51" s="8" t="s">
        <v>4575</v>
      </c>
      <c r="D51" s="8" t="s">
        <v>67</v>
      </c>
      <c r="E51" s="8"/>
      <c r="F51" s="8" t="s">
        <v>412</v>
      </c>
      <c r="G51" s="8"/>
      <c r="H51" s="8"/>
      <c r="I51" s="8"/>
      <c r="J51" s="8" t="s">
        <v>453</v>
      </c>
      <c r="K51" s="8" t="s">
        <v>993</v>
      </c>
      <c r="L51" s="8" t="s">
        <v>994</v>
      </c>
      <c r="M51" s="8" t="s">
        <v>4576</v>
      </c>
      <c r="N51" s="8">
        <v>41</v>
      </c>
      <c r="O51" s="8"/>
      <c r="P51" s="8" t="s">
        <v>995</v>
      </c>
    </row>
    <row r="52" spans="1:16" x14ac:dyDescent="0.25">
      <c r="A52" s="8" t="s">
        <v>4574</v>
      </c>
      <c r="B52" s="8" t="s">
        <v>992</v>
      </c>
      <c r="C52" s="8" t="s">
        <v>4575</v>
      </c>
      <c r="D52" s="8" t="s">
        <v>96</v>
      </c>
      <c r="E52" s="8"/>
      <c r="F52" s="8" t="s">
        <v>412</v>
      </c>
      <c r="G52" s="8"/>
      <c r="H52" s="8"/>
      <c r="I52" s="8"/>
      <c r="J52" s="8" t="s">
        <v>455</v>
      </c>
      <c r="K52" s="8" t="s">
        <v>993</v>
      </c>
      <c r="L52" s="8" t="s">
        <v>994</v>
      </c>
      <c r="M52" s="8" t="s">
        <v>4576</v>
      </c>
      <c r="N52" s="8">
        <v>41</v>
      </c>
      <c r="O52" s="8"/>
      <c r="P52" s="8" t="s">
        <v>995</v>
      </c>
    </row>
    <row r="53" spans="1:16" x14ac:dyDescent="0.25">
      <c r="A53" s="8" t="s">
        <v>4574</v>
      </c>
      <c r="B53" s="8" t="s">
        <v>992</v>
      </c>
      <c r="C53" s="8" t="s">
        <v>4575</v>
      </c>
      <c r="D53" s="8" t="s">
        <v>333</v>
      </c>
      <c r="E53" s="8"/>
      <c r="F53" s="8" t="s">
        <v>412</v>
      </c>
      <c r="G53" s="8"/>
      <c r="H53" s="8"/>
      <c r="I53" s="8"/>
      <c r="J53" s="8" t="s">
        <v>452</v>
      </c>
      <c r="K53" s="8" t="s">
        <v>993</v>
      </c>
      <c r="L53" s="8" t="s">
        <v>994</v>
      </c>
      <c r="M53" s="8" t="s">
        <v>4576</v>
      </c>
      <c r="N53" s="8">
        <v>41</v>
      </c>
      <c r="O53" s="8"/>
      <c r="P53" s="8" t="s">
        <v>995</v>
      </c>
    </row>
    <row r="54" spans="1:16" x14ac:dyDescent="0.25">
      <c r="A54" s="8" t="s">
        <v>4574</v>
      </c>
      <c r="B54" s="8" t="s">
        <v>992</v>
      </c>
      <c r="C54" s="8" t="s">
        <v>4575</v>
      </c>
      <c r="D54" s="8" t="s">
        <v>128</v>
      </c>
      <c r="E54" s="8"/>
      <c r="F54" s="8" t="s">
        <v>412</v>
      </c>
      <c r="G54" s="8"/>
      <c r="H54" s="8"/>
      <c r="I54" s="8"/>
      <c r="J54" s="8" t="s">
        <v>457</v>
      </c>
      <c r="K54" s="8" t="s">
        <v>993</v>
      </c>
      <c r="L54" s="8" t="s">
        <v>994</v>
      </c>
      <c r="M54" s="8" t="s">
        <v>4576</v>
      </c>
      <c r="N54" s="8">
        <v>41</v>
      </c>
      <c r="O54" s="8"/>
      <c r="P54" s="8" t="s">
        <v>995</v>
      </c>
    </row>
    <row r="55" spans="1:16" x14ac:dyDescent="0.25">
      <c r="A55" s="8" t="s">
        <v>4574</v>
      </c>
      <c r="B55" s="8" t="s">
        <v>992</v>
      </c>
      <c r="C55" s="8" t="s">
        <v>4575</v>
      </c>
      <c r="D55" s="8" t="s">
        <v>151</v>
      </c>
      <c r="E55" s="8"/>
      <c r="F55" s="8" t="s">
        <v>412</v>
      </c>
      <c r="G55" s="8"/>
      <c r="H55" s="8"/>
      <c r="I55" s="8"/>
      <c r="J55" s="8"/>
      <c r="K55" s="8" t="s">
        <v>993</v>
      </c>
      <c r="L55" s="8" t="s">
        <v>994</v>
      </c>
      <c r="M55" s="8" t="s">
        <v>4576</v>
      </c>
      <c r="N55" s="8">
        <v>41</v>
      </c>
      <c r="O55" s="8"/>
      <c r="P55" s="8" t="s">
        <v>995</v>
      </c>
    </row>
    <row r="56" spans="1:16" x14ac:dyDescent="0.25">
      <c r="A56" s="8" t="s">
        <v>4574</v>
      </c>
      <c r="B56" s="8" t="s">
        <v>992</v>
      </c>
      <c r="C56" s="8" t="s">
        <v>4575</v>
      </c>
      <c r="D56" s="8" t="s">
        <v>106</v>
      </c>
      <c r="E56" s="8"/>
      <c r="F56" s="8" t="s">
        <v>412</v>
      </c>
      <c r="G56" s="8"/>
      <c r="H56" s="8"/>
      <c r="I56" s="8"/>
      <c r="J56" s="8" t="s">
        <v>458</v>
      </c>
      <c r="K56" s="8" t="s">
        <v>993</v>
      </c>
      <c r="L56" s="8" t="s">
        <v>994</v>
      </c>
      <c r="M56" s="8" t="s">
        <v>4576</v>
      </c>
      <c r="N56" s="8">
        <v>41</v>
      </c>
      <c r="O56" s="8"/>
      <c r="P56" s="8" t="s">
        <v>995</v>
      </c>
    </row>
    <row r="57" spans="1:16" x14ac:dyDescent="0.25">
      <c r="A57" s="8" t="s">
        <v>4574</v>
      </c>
      <c r="B57" s="8" t="s">
        <v>992</v>
      </c>
      <c r="C57" s="8" t="s">
        <v>4575</v>
      </c>
      <c r="D57" s="8" t="s">
        <v>343</v>
      </c>
      <c r="E57" s="8"/>
      <c r="F57" s="8" t="s">
        <v>412</v>
      </c>
      <c r="G57" s="8"/>
      <c r="H57" s="8"/>
      <c r="I57" s="8"/>
      <c r="J57" s="8" t="s">
        <v>460</v>
      </c>
      <c r="K57" s="8" t="s">
        <v>993</v>
      </c>
      <c r="L57" s="8" t="s">
        <v>994</v>
      </c>
      <c r="M57" s="8" t="s">
        <v>4576</v>
      </c>
      <c r="N57" s="8">
        <v>41</v>
      </c>
      <c r="O57" s="8"/>
      <c r="P57" s="8" t="s">
        <v>995</v>
      </c>
    </row>
    <row r="58" spans="1:16" x14ac:dyDescent="0.25">
      <c r="A58" s="8" t="s">
        <v>4574</v>
      </c>
      <c r="B58" s="8" t="s">
        <v>992</v>
      </c>
      <c r="C58" s="8" t="s">
        <v>4575</v>
      </c>
      <c r="D58" s="8" t="s">
        <v>246</v>
      </c>
      <c r="E58" s="8"/>
      <c r="F58" s="8" t="s">
        <v>412</v>
      </c>
      <c r="G58" s="8"/>
      <c r="H58" s="8"/>
      <c r="I58" s="8"/>
      <c r="J58" s="8" t="s">
        <v>461</v>
      </c>
      <c r="K58" s="8" t="s">
        <v>993</v>
      </c>
      <c r="L58" s="8" t="s">
        <v>994</v>
      </c>
      <c r="M58" s="8" t="s">
        <v>4576</v>
      </c>
      <c r="N58" s="8">
        <v>41</v>
      </c>
      <c r="O58" s="8"/>
      <c r="P58" s="8" t="s">
        <v>995</v>
      </c>
    </row>
    <row r="59" spans="1:16" x14ac:dyDescent="0.25">
      <c r="A59" s="8" t="s">
        <v>4574</v>
      </c>
      <c r="B59" s="8" t="s">
        <v>992</v>
      </c>
      <c r="C59" s="8" t="s">
        <v>4575</v>
      </c>
      <c r="D59" s="8" t="s">
        <v>18</v>
      </c>
      <c r="E59" s="8"/>
      <c r="F59" s="8" t="s">
        <v>412</v>
      </c>
      <c r="G59" s="8"/>
      <c r="H59" s="8"/>
      <c r="I59" s="8"/>
      <c r="J59" s="8" t="s">
        <v>459</v>
      </c>
      <c r="K59" s="8" t="s">
        <v>993</v>
      </c>
      <c r="L59" s="8" t="s">
        <v>994</v>
      </c>
      <c r="M59" s="8" t="s">
        <v>4576</v>
      </c>
      <c r="N59" s="8">
        <v>41</v>
      </c>
      <c r="O59" s="8"/>
      <c r="P59" s="8" t="s">
        <v>995</v>
      </c>
    </row>
    <row r="60" spans="1:16" x14ac:dyDescent="0.25">
      <c r="A60" s="8" t="s">
        <v>4574</v>
      </c>
      <c r="B60" s="8" t="s">
        <v>992</v>
      </c>
      <c r="C60" s="8" t="s">
        <v>4575</v>
      </c>
      <c r="D60" s="8" t="s">
        <v>193</v>
      </c>
      <c r="E60" s="8"/>
      <c r="F60" s="8" t="s">
        <v>412</v>
      </c>
      <c r="G60" s="8"/>
      <c r="H60" s="8"/>
      <c r="I60" s="8"/>
      <c r="J60" s="8" t="s">
        <v>462</v>
      </c>
      <c r="K60" s="8" t="s">
        <v>993</v>
      </c>
      <c r="L60" s="8" t="s">
        <v>994</v>
      </c>
      <c r="M60" s="8" t="s">
        <v>4576</v>
      </c>
      <c r="N60" s="8">
        <v>41</v>
      </c>
      <c r="O60" s="8"/>
      <c r="P60" s="8" t="s">
        <v>995</v>
      </c>
    </row>
    <row r="61" spans="1:16" x14ac:dyDescent="0.25">
      <c r="A61" s="8" t="s">
        <v>4574</v>
      </c>
      <c r="B61" s="8" t="s">
        <v>992</v>
      </c>
      <c r="C61" s="8" t="s">
        <v>4575</v>
      </c>
      <c r="D61" s="8" t="s">
        <v>104</v>
      </c>
      <c r="E61" s="8"/>
      <c r="F61" s="8" t="s">
        <v>412</v>
      </c>
      <c r="G61" s="8"/>
      <c r="H61" s="8"/>
      <c r="I61" s="8"/>
      <c r="J61" s="8" t="s">
        <v>463</v>
      </c>
      <c r="K61" s="8" t="s">
        <v>993</v>
      </c>
      <c r="L61" s="8" t="s">
        <v>994</v>
      </c>
      <c r="M61" s="8" t="s">
        <v>4576</v>
      </c>
      <c r="N61" s="8">
        <v>41</v>
      </c>
      <c r="O61" s="8"/>
      <c r="P61" s="8" t="s">
        <v>995</v>
      </c>
    </row>
    <row r="62" spans="1:16" x14ac:dyDescent="0.25">
      <c r="A62" s="8" t="s">
        <v>4574</v>
      </c>
      <c r="B62" s="8" t="s">
        <v>992</v>
      </c>
      <c r="C62" s="8" t="s">
        <v>4575</v>
      </c>
      <c r="D62" s="8" t="s">
        <v>188</v>
      </c>
      <c r="E62" s="8"/>
      <c r="F62" s="8" t="s">
        <v>412</v>
      </c>
      <c r="G62" s="8"/>
      <c r="H62" s="8"/>
      <c r="I62" s="8"/>
      <c r="J62" s="8" t="s">
        <v>464</v>
      </c>
      <c r="K62" s="8" t="s">
        <v>993</v>
      </c>
      <c r="L62" s="8" t="s">
        <v>994</v>
      </c>
      <c r="M62" s="8" t="s">
        <v>4576</v>
      </c>
      <c r="N62" s="8">
        <v>41</v>
      </c>
      <c r="O62" s="8"/>
      <c r="P62" s="8" t="s">
        <v>995</v>
      </c>
    </row>
    <row r="63" spans="1:16" x14ac:dyDescent="0.25">
      <c r="A63" s="8" t="s">
        <v>4574</v>
      </c>
      <c r="B63" s="8" t="s">
        <v>992</v>
      </c>
      <c r="C63" s="8" t="s">
        <v>4575</v>
      </c>
      <c r="D63" s="8" t="s">
        <v>85</v>
      </c>
      <c r="E63" s="8"/>
      <c r="F63" s="8" t="s">
        <v>412</v>
      </c>
      <c r="G63" s="8"/>
      <c r="H63" s="8"/>
      <c r="I63" s="8"/>
      <c r="J63" s="8" t="s">
        <v>465</v>
      </c>
      <c r="K63" s="8" t="s">
        <v>993</v>
      </c>
      <c r="L63" s="8" t="s">
        <v>994</v>
      </c>
      <c r="M63" s="8" t="s">
        <v>4576</v>
      </c>
      <c r="N63" s="8">
        <v>41</v>
      </c>
      <c r="O63" s="8"/>
      <c r="P63" s="8" t="s">
        <v>995</v>
      </c>
    </row>
    <row r="64" spans="1:16" x14ac:dyDescent="0.25">
      <c r="A64" s="8" t="s">
        <v>4574</v>
      </c>
      <c r="B64" s="8" t="s">
        <v>992</v>
      </c>
      <c r="C64" s="8" t="s">
        <v>4575</v>
      </c>
      <c r="D64" s="8" t="s">
        <v>235</v>
      </c>
      <c r="E64" s="8"/>
      <c r="F64" s="8" t="s">
        <v>412</v>
      </c>
      <c r="G64" s="8"/>
      <c r="H64" s="8"/>
      <c r="I64" s="8"/>
      <c r="J64" s="8"/>
      <c r="K64" s="8" t="s">
        <v>993</v>
      </c>
      <c r="L64" s="8" t="s">
        <v>994</v>
      </c>
      <c r="M64" s="8" t="s">
        <v>4576</v>
      </c>
      <c r="N64" s="8">
        <v>41</v>
      </c>
      <c r="O64" s="8"/>
      <c r="P64" s="8" t="s">
        <v>995</v>
      </c>
    </row>
    <row r="65" spans="1:16" x14ac:dyDescent="0.25">
      <c r="A65" s="8" t="s">
        <v>4574</v>
      </c>
      <c r="B65" s="8" t="s">
        <v>992</v>
      </c>
      <c r="C65" s="8" t="s">
        <v>4575</v>
      </c>
      <c r="D65" s="8" t="s">
        <v>283</v>
      </c>
      <c r="E65" s="8"/>
      <c r="F65" s="8" t="s">
        <v>412</v>
      </c>
      <c r="G65" s="8"/>
      <c r="H65" s="8"/>
      <c r="I65" s="8"/>
      <c r="J65" s="8" t="s">
        <v>470</v>
      </c>
      <c r="K65" s="8" t="s">
        <v>993</v>
      </c>
      <c r="L65" s="8" t="s">
        <v>994</v>
      </c>
      <c r="M65" s="8" t="s">
        <v>4576</v>
      </c>
      <c r="N65" s="8">
        <v>41</v>
      </c>
      <c r="O65" s="8"/>
      <c r="P65" s="8" t="s">
        <v>995</v>
      </c>
    </row>
    <row r="66" spans="1:16" x14ac:dyDescent="0.25">
      <c r="A66" s="8" t="s">
        <v>4574</v>
      </c>
      <c r="B66" s="8" t="s">
        <v>992</v>
      </c>
      <c r="C66" s="8" t="s">
        <v>4575</v>
      </c>
      <c r="D66" s="8" t="s">
        <v>208</v>
      </c>
      <c r="E66" s="8"/>
      <c r="F66" s="8" t="s">
        <v>412</v>
      </c>
      <c r="G66" s="8"/>
      <c r="H66" s="8"/>
      <c r="I66" s="8"/>
      <c r="J66" s="8"/>
      <c r="K66" s="8" t="s">
        <v>993</v>
      </c>
      <c r="L66" s="8" t="s">
        <v>994</v>
      </c>
      <c r="M66" s="8" t="s">
        <v>4576</v>
      </c>
      <c r="N66" s="8">
        <v>41</v>
      </c>
      <c r="O66" s="8"/>
      <c r="P66" s="8" t="s">
        <v>995</v>
      </c>
    </row>
    <row r="67" spans="1:16" x14ac:dyDescent="0.25">
      <c r="A67" s="8" t="s">
        <v>4574</v>
      </c>
      <c r="B67" s="8" t="s">
        <v>992</v>
      </c>
      <c r="C67" s="8" t="s">
        <v>4575</v>
      </c>
      <c r="D67" s="8" t="s">
        <v>321</v>
      </c>
      <c r="E67" s="8"/>
      <c r="F67" s="8" t="s">
        <v>412</v>
      </c>
      <c r="G67" s="8"/>
      <c r="H67" s="8"/>
      <c r="I67" s="8"/>
      <c r="J67" s="8"/>
      <c r="K67" s="8" t="s">
        <v>993</v>
      </c>
      <c r="L67" s="8" t="s">
        <v>994</v>
      </c>
      <c r="M67" s="8" t="s">
        <v>4576</v>
      </c>
      <c r="N67" s="8">
        <v>41</v>
      </c>
      <c r="O67" s="8"/>
      <c r="P67" s="8" t="s">
        <v>995</v>
      </c>
    </row>
    <row r="68" spans="1:16" x14ac:dyDescent="0.25">
      <c r="A68" s="8" t="s">
        <v>4574</v>
      </c>
      <c r="B68" s="8" t="s">
        <v>992</v>
      </c>
      <c r="C68" s="8" t="s">
        <v>4575</v>
      </c>
      <c r="D68" s="8" t="s">
        <v>73</v>
      </c>
      <c r="E68" s="8"/>
      <c r="F68" s="8" t="s">
        <v>412</v>
      </c>
      <c r="G68" s="8"/>
      <c r="H68" s="8"/>
      <c r="I68" s="8"/>
      <c r="J68" s="8" t="s">
        <v>466</v>
      </c>
      <c r="K68" s="8" t="s">
        <v>993</v>
      </c>
      <c r="L68" s="8" t="s">
        <v>994</v>
      </c>
      <c r="M68" s="8" t="s">
        <v>4576</v>
      </c>
      <c r="N68" s="8">
        <v>41</v>
      </c>
      <c r="O68" s="8"/>
      <c r="P68" s="8" t="s">
        <v>995</v>
      </c>
    </row>
    <row r="69" spans="1:16" x14ac:dyDescent="0.25">
      <c r="A69" s="8" t="s">
        <v>4574</v>
      </c>
      <c r="B69" s="8" t="s">
        <v>992</v>
      </c>
      <c r="C69" s="8" t="s">
        <v>4575</v>
      </c>
      <c r="D69" s="8" t="s">
        <v>36</v>
      </c>
      <c r="E69" s="8"/>
      <c r="F69" s="8" t="s">
        <v>412</v>
      </c>
      <c r="G69" s="8"/>
      <c r="H69" s="8"/>
      <c r="I69" s="8"/>
      <c r="J69" s="8" t="s">
        <v>467</v>
      </c>
      <c r="K69" s="8" t="s">
        <v>993</v>
      </c>
      <c r="L69" s="8" t="s">
        <v>994</v>
      </c>
      <c r="M69" s="8" t="s">
        <v>4576</v>
      </c>
      <c r="N69" s="8">
        <v>41</v>
      </c>
      <c r="O69" s="8"/>
      <c r="P69" s="8" t="s">
        <v>995</v>
      </c>
    </row>
    <row r="70" spans="1:16" x14ac:dyDescent="0.25">
      <c r="A70" s="8" t="s">
        <v>4574</v>
      </c>
      <c r="B70" s="8" t="s">
        <v>992</v>
      </c>
      <c r="C70" s="8" t="s">
        <v>4575</v>
      </c>
      <c r="D70" s="8" t="s">
        <v>351</v>
      </c>
      <c r="E70" s="8"/>
      <c r="F70" s="8" t="s">
        <v>437</v>
      </c>
      <c r="G70" s="8"/>
      <c r="H70" s="8"/>
      <c r="I70" s="8"/>
      <c r="J70" s="8" t="s">
        <v>468</v>
      </c>
      <c r="K70" s="8" t="s">
        <v>993</v>
      </c>
      <c r="L70" s="8" t="s">
        <v>994</v>
      </c>
      <c r="M70" s="8" t="s">
        <v>4576</v>
      </c>
      <c r="N70" s="8">
        <v>41</v>
      </c>
      <c r="O70" s="8"/>
      <c r="P70" s="8" t="s">
        <v>995</v>
      </c>
    </row>
    <row r="71" spans="1:16" x14ac:dyDescent="0.25">
      <c r="A71" s="8" t="s">
        <v>4574</v>
      </c>
      <c r="B71" s="8" t="s">
        <v>992</v>
      </c>
      <c r="C71" s="8" t="s">
        <v>4575</v>
      </c>
      <c r="D71" s="8" t="s">
        <v>250</v>
      </c>
      <c r="E71" s="8"/>
      <c r="F71" s="8" t="s">
        <v>412</v>
      </c>
      <c r="G71" s="8"/>
      <c r="H71" s="8"/>
      <c r="I71" s="8"/>
      <c r="J71" s="8" t="s">
        <v>469</v>
      </c>
      <c r="K71" s="8" t="s">
        <v>993</v>
      </c>
      <c r="L71" s="8" t="s">
        <v>994</v>
      </c>
      <c r="M71" s="8" t="s">
        <v>4576</v>
      </c>
      <c r="N71" s="8">
        <v>41</v>
      </c>
      <c r="O71" s="8"/>
      <c r="P71" s="8" t="s">
        <v>995</v>
      </c>
    </row>
    <row r="72" spans="1:16" x14ac:dyDescent="0.25">
      <c r="A72" s="8" t="s">
        <v>4574</v>
      </c>
      <c r="B72" s="8" t="s">
        <v>992</v>
      </c>
      <c r="C72" s="8" t="s">
        <v>4575</v>
      </c>
      <c r="D72" s="8" t="s">
        <v>339</v>
      </c>
      <c r="E72" s="8"/>
      <c r="F72" s="8" t="s">
        <v>412</v>
      </c>
      <c r="G72" s="8"/>
      <c r="H72" s="8"/>
      <c r="I72" s="8"/>
      <c r="J72" s="8"/>
      <c r="K72" s="8" t="s">
        <v>993</v>
      </c>
      <c r="L72" s="8" t="s">
        <v>994</v>
      </c>
      <c r="M72" s="8" t="s">
        <v>4576</v>
      </c>
      <c r="N72" s="8">
        <v>41</v>
      </c>
      <c r="O72" s="8"/>
      <c r="P72" s="8" t="s">
        <v>995</v>
      </c>
    </row>
    <row r="73" spans="1:16" x14ac:dyDescent="0.25">
      <c r="A73" s="8" t="s">
        <v>4574</v>
      </c>
      <c r="B73" s="8" t="s">
        <v>992</v>
      </c>
      <c r="C73" s="8" t="s">
        <v>4575</v>
      </c>
      <c r="D73" s="8" t="s">
        <v>214</v>
      </c>
      <c r="E73" s="8"/>
      <c r="F73" s="8" t="s">
        <v>412</v>
      </c>
      <c r="G73" s="8"/>
      <c r="H73" s="8"/>
      <c r="I73" s="8"/>
      <c r="J73" s="8" t="s">
        <v>471</v>
      </c>
      <c r="K73" s="8" t="s">
        <v>993</v>
      </c>
      <c r="L73" s="8" t="s">
        <v>994</v>
      </c>
      <c r="M73" s="8" t="s">
        <v>4576</v>
      </c>
      <c r="N73" s="8">
        <v>41</v>
      </c>
      <c r="O73" s="8"/>
      <c r="P73" s="8" t="s">
        <v>995</v>
      </c>
    </row>
    <row r="74" spans="1:16" x14ac:dyDescent="0.25">
      <c r="A74" s="8" t="s">
        <v>4574</v>
      </c>
      <c r="B74" s="8" t="s">
        <v>992</v>
      </c>
      <c r="C74" s="8" t="s">
        <v>4575</v>
      </c>
      <c r="D74" s="8" t="s">
        <v>255</v>
      </c>
      <c r="E74" s="8"/>
      <c r="F74" s="8" t="s">
        <v>412</v>
      </c>
      <c r="G74" s="8"/>
      <c r="H74" s="8"/>
      <c r="I74" s="8"/>
      <c r="J74" s="8" t="s">
        <v>472</v>
      </c>
      <c r="K74" s="8" t="s">
        <v>993</v>
      </c>
      <c r="L74" s="8" t="s">
        <v>994</v>
      </c>
      <c r="M74" s="8" t="s">
        <v>4576</v>
      </c>
      <c r="N74" s="8">
        <v>41</v>
      </c>
      <c r="O74" s="8"/>
      <c r="P74" s="8" t="s">
        <v>995</v>
      </c>
    </row>
    <row r="75" spans="1:16" x14ac:dyDescent="0.25">
      <c r="A75" s="8" t="s">
        <v>4574</v>
      </c>
      <c r="B75" s="8" t="s">
        <v>992</v>
      </c>
      <c r="C75" s="8" t="s">
        <v>4575</v>
      </c>
      <c r="D75" s="8" t="s">
        <v>164</v>
      </c>
      <c r="E75" s="8"/>
      <c r="F75" s="8" t="s">
        <v>412</v>
      </c>
      <c r="G75" s="8"/>
      <c r="H75" s="8"/>
      <c r="I75" s="8"/>
      <c r="J75" s="8" t="s">
        <v>474</v>
      </c>
      <c r="K75" s="8" t="s">
        <v>993</v>
      </c>
      <c r="L75" s="8" t="s">
        <v>994</v>
      </c>
      <c r="M75" s="8" t="s">
        <v>4576</v>
      </c>
      <c r="N75" s="8">
        <v>41</v>
      </c>
      <c r="O75" s="8"/>
      <c r="P75" s="8" t="s">
        <v>995</v>
      </c>
    </row>
    <row r="76" spans="1:16" x14ac:dyDescent="0.25">
      <c r="A76" s="8" t="s">
        <v>4574</v>
      </c>
      <c r="B76" s="8" t="s">
        <v>992</v>
      </c>
      <c r="C76" s="8" t="s">
        <v>4575</v>
      </c>
      <c r="D76" s="8" t="s">
        <v>202</v>
      </c>
      <c r="E76" s="8"/>
      <c r="F76" s="8" t="s">
        <v>412</v>
      </c>
      <c r="G76" s="8"/>
      <c r="H76" s="8"/>
      <c r="I76" s="8"/>
      <c r="J76" s="8" t="s">
        <v>475</v>
      </c>
      <c r="K76" s="8" t="s">
        <v>993</v>
      </c>
      <c r="L76" s="8" t="s">
        <v>994</v>
      </c>
      <c r="M76" s="8" t="s">
        <v>4576</v>
      </c>
      <c r="N76" s="8">
        <v>41</v>
      </c>
      <c r="O76" s="8"/>
      <c r="P76" s="8" t="s">
        <v>995</v>
      </c>
    </row>
    <row r="77" spans="1:16" x14ac:dyDescent="0.25">
      <c r="A77" s="8" t="s">
        <v>4574</v>
      </c>
      <c r="B77" s="8" t="s">
        <v>992</v>
      </c>
      <c r="C77" s="8" t="s">
        <v>4575</v>
      </c>
      <c r="D77" s="8" t="s">
        <v>21</v>
      </c>
      <c r="E77" s="8"/>
      <c r="F77" s="8" t="s">
        <v>412</v>
      </c>
      <c r="G77" s="8"/>
      <c r="H77" s="8"/>
      <c r="I77" s="8"/>
      <c r="J77" s="8" t="s">
        <v>478</v>
      </c>
      <c r="K77" s="8" t="s">
        <v>993</v>
      </c>
      <c r="L77" s="8" t="s">
        <v>994</v>
      </c>
      <c r="M77" s="8" t="s">
        <v>4576</v>
      </c>
      <c r="N77" s="8">
        <v>41</v>
      </c>
      <c r="O77" s="8"/>
      <c r="P77" s="8" t="s">
        <v>995</v>
      </c>
    </row>
    <row r="78" spans="1:16" x14ac:dyDescent="0.25">
      <c r="A78" s="8" t="s">
        <v>4574</v>
      </c>
      <c r="B78" s="8" t="s">
        <v>992</v>
      </c>
      <c r="C78" s="8" t="s">
        <v>4575</v>
      </c>
      <c r="D78" s="8" t="s">
        <v>91</v>
      </c>
      <c r="E78" s="8"/>
      <c r="F78" s="8" t="s">
        <v>412</v>
      </c>
      <c r="G78" s="8"/>
      <c r="H78" s="8"/>
      <c r="I78" s="8"/>
      <c r="J78" s="8" t="s">
        <v>476</v>
      </c>
      <c r="K78" s="8" t="s">
        <v>993</v>
      </c>
      <c r="L78" s="8" t="s">
        <v>994</v>
      </c>
      <c r="M78" s="8" t="s">
        <v>4576</v>
      </c>
      <c r="N78" s="8">
        <v>41</v>
      </c>
      <c r="O78" s="8"/>
      <c r="P78" s="8" t="s">
        <v>995</v>
      </c>
    </row>
    <row r="79" spans="1:16" x14ac:dyDescent="0.25">
      <c r="A79" s="8" t="s">
        <v>4574</v>
      </c>
      <c r="B79" s="8" t="s">
        <v>992</v>
      </c>
      <c r="C79" s="8" t="s">
        <v>4575</v>
      </c>
      <c r="D79" s="8" t="s">
        <v>251</v>
      </c>
      <c r="E79" s="8"/>
      <c r="F79" s="8" t="s">
        <v>412</v>
      </c>
      <c r="G79" s="8"/>
      <c r="H79" s="8"/>
      <c r="I79" s="8"/>
      <c r="J79" s="8" t="s">
        <v>473</v>
      </c>
      <c r="K79" s="8" t="s">
        <v>993</v>
      </c>
      <c r="L79" s="8" t="s">
        <v>994</v>
      </c>
      <c r="M79" s="8" t="s">
        <v>4576</v>
      </c>
      <c r="N79" s="8">
        <v>41</v>
      </c>
      <c r="O79" s="8"/>
      <c r="P79" s="8" t="s">
        <v>995</v>
      </c>
    </row>
    <row r="80" spans="1:16" x14ac:dyDescent="0.25">
      <c r="A80" s="8" t="s">
        <v>4574</v>
      </c>
      <c r="B80" s="8" t="s">
        <v>992</v>
      </c>
      <c r="C80" s="8" t="s">
        <v>4575</v>
      </c>
      <c r="D80" s="8" t="s">
        <v>46</v>
      </c>
      <c r="E80" s="8"/>
      <c r="F80" s="8" t="s">
        <v>412</v>
      </c>
      <c r="G80" s="8"/>
      <c r="H80" s="8"/>
      <c r="I80" s="8"/>
      <c r="J80" s="8" t="s">
        <v>477</v>
      </c>
      <c r="K80" s="8" t="s">
        <v>993</v>
      </c>
      <c r="L80" s="8" t="s">
        <v>994</v>
      </c>
      <c r="M80" s="8" t="s">
        <v>4576</v>
      </c>
      <c r="N80" s="8">
        <v>41</v>
      </c>
      <c r="O80" s="8"/>
      <c r="P80" s="8" t="s">
        <v>995</v>
      </c>
    </row>
    <row r="81" spans="1:16" x14ac:dyDescent="0.25">
      <c r="A81" s="8" t="s">
        <v>4574</v>
      </c>
      <c r="B81" s="8" t="s">
        <v>992</v>
      </c>
      <c r="C81" s="8" t="s">
        <v>4575</v>
      </c>
      <c r="D81" s="8" t="s">
        <v>319</v>
      </c>
      <c r="E81" s="8"/>
      <c r="F81" s="8" t="s">
        <v>412</v>
      </c>
      <c r="G81" s="8"/>
      <c r="H81" s="8"/>
      <c r="I81" s="8"/>
      <c r="J81" s="8" t="s">
        <v>479</v>
      </c>
      <c r="K81" s="8" t="s">
        <v>993</v>
      </c>
      <c r="L81" s="8" t="s">
        <v>994</v>
      </c>
      <c r="M81" s="8" t="s">
        <v>4576</v>
      </c>
      <c r="N81" s="8">
        <v>41</v>
      </c>
      <c r="O81" s="8"/>
      <c r="P81" s="8" t="s">
        <v>995</v>
      </c>
    </row>
    <row r="82" spans="1:16" x14ac:dyDescent="0.25">
      <c r="A82" s="8" t="s">
        <v>4574</v>
      </c>
      <c r="B82" s="8" t="s">
        <v>992</v>
      </c>
      <c r="C82" s="8" t="s">
        <v>4575</v>
      </c>
      <c r="D82" s="8" t="s">
        <v>22</v>
      </c>
      <c r="E82" s="8"/>
      <c r="F82" s="8" t="s">
        <v>412</v>
      </c>
      <c r="G82" s="8"/>
      <c r="H82" s="8"/>
      <c r="I82" s="8"/>
      <c r="J82" s="8" t="s">
        <v>480</v>
      </c>
      <c r="K82" s="8" t="s">
        <v>993</v>
      </c>
      <c r="L82" s="8" t="s">
        <v>994</v>
      </c>
      <c r="M82" s="8" t="s">
        <v>4576</v>
      </c>
      <c r="N82" s="8">
        <v>41</v>
      </c>
      <c r="O82" s="8"/>
      <c r="P82" s="8" t="s">
        <v>995</v>
      </c>
    </row>
    <row r="83" spans="1:16" x14ac:dyDescent="0.25">
      <c r="A83" s="8" t="s">
        <v>4574</v>
      </c>
      <c r="B83" s="8" t="s">
        <v>992</v>
      </c>
      <c r="C83" s="8" t="s">
        <v>4575</v>
      </c>
      <c r="D83" s="8" t="s">
        <v>273</v>
      </c>
      <c r="E83" s="8"/>
      <c r="F83" s="8" t="s">
        <v>412</v>
      </c>
      <c r="G83" s="8"/>
      <c r="H83" s="8"/>
      <c r="I83" s="8"/>
      <c r="J83" s="8" t="s">
        <v>481</v>
      </c>
      <c r="K83" s="8" t="s">
        <v>993</v>
      </c>
      <c r="L83" s="8" t="s">
        <v>994</v>
      </c>
      <c r="M83" s="8" t="s">
        <v>4576</v>
      </c>
      <c r="N83" s="8">
        <v>41</v>
      </c>
      <c r="O83" s="8"/>
      <c r="P83" s="8" t="s">
        <v>995</v>
      </c>
    </row>
    <row r="84" spans="1:16" x14ac:dyDescent="0.25">
      <c r="A84" s="8" t="s">
        <v>4574</v>
      </c>
      <c r="B84" s="8" t="s">
        <v>992</v>
      </c>
      <c r="C84" s="8" t="s">
        <v>4575</v>
      </c>
      <c r="D84" s="8" t="s">
        <v>177</v>
      </c>
      <c r="E84" s="8"/>
      <c r="F84" s="8" t="s">
        <v>412</v>
      </c>
      <c r="G84" s="8"/>
      <c r="H84" s="8"/>
      <c r="I84" s="8"/>
      <c r="J84" s="8"/>
      <c r="K84" s="8" t="s">
        <v>993</v>
      </c>
      <c r="L84" s="8" t="s">
        <v>994</v>
      </c>
      <c r="M84" s="8" t="s">
        <v>4576</v>
      </c>
      <c r="N84" s="8">
        <v>41</v>
      </c>
      <c r="O84" s="8"/>
      <c r="P84" s="8" t="s">
        <v>995</v>
      </c>
    </row>
    <row r="85" spans="1:16" x14ac:dyDescent="0.25">
      <c r="A85" s="8" t="s">
        <v>4574</v>
      </c>
      <c r="B85" s="8" t="s">
        <v>992</v>
      </c>
      <c r="C85" s="8" t="s">
        <v>4575</v>
      </c>
      <c r="D85" s="8" t="s">
        <v>213</v>
      </c>
      <c r="E85" s="8"/>
      <c r="F85" s="8" t="s">
        <v>412</v>
      </c>
      <c r="G85" s="8"/>
      <c r="H85" s="8"/>
      <c r="I85" s="8"/>
      <c r="J85" s="8" t="s">
        <v>482</v>
      </c>
      <c r="K85" s="8" t="s">
        <v>993</v>
      </c>
      <c r="L85" s="8" t="s">
        <v>994</v>
      </c>
      <c r="M85" s="8" t="s">
        <v>4576</v>
      </c>
      <c r="N85" s="8">
        <v>41</v>
      </c>
      <c r="O85" s="8"/>
      <c r="P85" s="8" t="s">
        <v>995</v>
      </c>
    </row>
    <row r="86" spans="1:16" x14ac:dyDescent="0.25">
      <c r="A86" s="8" t="s">
        <v>4574</v>
      </c>
      <c r="B86" s="8" t="s">
        <v>992</v>
      </c>
      <c r="C86" s="8" t="s">
        <v>4575</v>
      </c>
      <c r="D86" s="8" t="s">
        <v>291</v>
      </c>
      <c r="E86" s="8"/>
      <c r="F86" s="8" t="s">
        <v>412</v>
      </c>
      <c r="G86" s="8"/>
      <c r="H86" s="8"/>
      <c r="I86" s="8"/>
      <c r="J86" s="8" t="s">
        <v>483</v>
      </c>
      <c r="K86" s="8" t="s">
        <v>993</v>
      </c>
      <c r="L86" s="8" t="s">
        <v>994</v>
      </c>
      <c r="M86" s="8" t="s">
        <v>4576</v>
      </c>
      <c r="N86" s="8">
        <v>41</v>
      </c>
      <c r="O86" s="8"/>
      <c r="P86" s="8" t="s">
        <v>995</v>
      </c>
    </row>
    <row r="87" spans="1:16" x14ac:dyDescent="0.25">
      <c r="A87" s="8" t="s">
        <v>4574</v>
      </c>
      <c r="B87" s="8" t="s">
        <v>992</v>
      </c>
      <c r="C87" s="8" t="s">
        <v>4575</v>
      </c>
      <c r="D87" s="8" t="s">
        <v>205</v>
      </c>
      <c r="E87" s="8"/>
      <c r="F87" s="8" t="s">
        <v>412</v>
      </c>
      <c r="G87" s="8"/>
      <c r="H87" s="8"/>
      <c r="I87" s="8"/>
      <c r="J87" s="8"/>
      <c r="K87" s="8" t="s">
        <v>993</v>
      </c>
      <c r="L87" s="8" t="s">
        <v>994</v>
      </c>
      <c r="M87" s="8" t="s">
        <v>4576</v>
      </c>
      <c r="N87" s="8">
        <v>41</v>
      </c>
      <c r="O87" s="8"/>
      <c r="P87" s="8" t="s">
        <v>995</v>
      </c>
    </row>
    <row r="88" spans="1:16" x14ac:dyDescent="0.25">
      <c r="A88" s="8" t="s">
        <v>4574</v>
      </c>
      <c r="B88" s="8" t="s">
        <v>992</v>
      </c>
      <c r="C88" s="8" t="s">
        <v>4575</v>
      </c>
      <c r="D88" s="8" t="s">
        <v>270</v>
      </c>
      <c r="E88" s="8"/>
      <c r="F88" s="8" t="s">
        <v>437</v>
      </c>
      <c r="G88" s="8"/>
      <c r="H88" s="8"/>
      <c r="I88" s="8"/>
      <c r="J88" s="8" t="s">
        <v>484</v>
      </c>
      <c r="K88" s="8" t="s">
        <v>993</v>
      </c>
      <c r="L88" s="8" t="s">
        <v>994</v>
      </c>
      <c r="M88" s="8" t="s">
        <v>4576</v>
      </c>
      <c r="N88" s="8">
        <v>41</v>
      </c>
      <c r="O88" s="8"/>
      <c r="P88" s="8" t="s">
        <v>995</v>
      </c>
    </row>
    <row r="89" spans="1:16" x14ac:dyDescent="0.25">
      <c r="A89" s="8" t="s">
        <v>4574</v>
      </c>
      <c r="B89" s="8" t="s">
        <v>992</v>
      </c>
      <c r="C89" s="8" t="s">
        <v>4575</v>
      </c>
      <c r="D89" s="8" t="s">
        <v>223</v>
      </c>
      <c r="E89" s="8"/>
      <c r="F89" s="8" t="s">
        <v>412</v>
      </c>
      <c r="G89" s="8"/>
      <c r="H89" s="8"/>
      <c r="I89" s="8"/>
      <c r="J89" s="8" t="s">
        <v>485</v>
      </c>
      <c r="K89" s="8" t="s">
        <v>993</v>
      </c>
      <c r="L89" s="8" t="s">
        <v>994</v>
      </c>
      <c r="M89" s="8" t="s">
        <v>4576</v>
      </c>
      <c r="N89" s="8">
        <v>41</v>
      </c>
      <c r="O89" s="8"/>
      <c r="P89" s="8" t="s">
        <v>995</v>
      </c>
    </row>
    <row r="90" spans="1:16" x14ac:dyDescent="0.25">
      <c r="A90" s="8" t="s">
        <v>4574</v>
      </c>
      <c r="B90" s="8" t="s">
        <v>992</v>
      </c>
      <c r="C90" s="8" t="s">
        <v>4575</v>
      </c>
      <c r="D90" s="8" t="s">
        <v>320</v>
      </c>
      <c r="E90" s="8"/>
      <c r="F90" s="8" t="s">
        <v>412</v>
      </c>
      <c r="G90" s="8"/>
      <c r="H90" s="8"/>
      <c r="I90" s="8"/>
      <c r="J90" s="8" t="s">
        <v>486</v>
      </c>
      <c r="K90" s="8" t="s">
        <v>993</v>
      </c>
      <c r="L90" s="8" t="s">
        <v>994</v>
      </c>
      <c r="M90" s="8" t="s">
        <v>4576</v>
      </c>
      <c r="N90" s="8">
        <v>41</v>
      </c>
      <c r="O90" s="8"/>
      <c r="P90" s="8" t="s">
        <v>995</v>
      </c>
    </row>
    <row r="91" spans="1:16" x14ac:dyDescent="0.25">
      <c r="A91" s="8" t="s">
        <v>4574</v>
      </c>
      <c r="B91" s="8" t="s">
        <v>992</v>
      </c>
      <c r="C91" s="8" t="s">
        <v>4575</v>
      </c>
      <c r="D91" s="8" t="s">
        <v>323</v>
      </c>
      <c r="E91" s="8"/>
      <c r="F91" s="8" t="s">
        <v>412</v>
      </c>
      <c r="G91" s="8"/>
      <c r="H91" s="8"/>
      <c r="I91" s="8"/>
      <c r="J91" s="8" t="s">
        <v>487</v>
      </c>
      <c r="K91" s="8" t="s">
        <v>993</v>
      </c>
      <c r="L91" s="8" t="s">
        <v>994</v>
      </c>
      <c r="M91" s="8" t="s">
        <v>4576</v>
      </c>
      <c r="N91" s="8">
        <v>41</v>
      </c>
      <c r="O91" s="8"/>
      <c r="P91" s="8" t="s">
        <v>995</v>
      </c>
    </row>
    <row r="92" spans="1:16" x14ac:dyDescent="0.25">
      <c r="A92" s="8" t="s">
        <v>4574</v>
      </c>
      <c r="B92" s="8" t="s">
        <v>992</v>
      </c>
      <c r="C92" s="8" t="s">
        <v>4575</v>
      </c>
      <c r="D92" s="8" t="s">
        <v>93</v>
      </c>
      <c r="E92" s="8"/>
      <c r="F92" s="8" t="s">
        <v>412</v>
      </c>
      <c r="G92" s="8"/>
      <c r="H92" s="8"/>
      <c r="I92" s="8"/>
      <c r="J92" s="8" t="s">
        <v>488</v>
      </c>
      <c r="K92" s="8" t="s">
        <v>993</v>
      </c>
      <c r="L92" s="8" t="s">
        <v>994</v>
      </c>
      <c r="M92" s="8" t="s">
        <v>4576</v>
      </c>
      <c r="N92" s="8">
        <v>41</v>
      </c>
      <c r="O92" s="8"/>
      <c r="P92" s="8" t="s">
        <v>995</v>
      </c>
    </row>
    <row r="93" spans="1:16" x14ac:dyDescent="0.25">
      <c r="A93" s="8" t="s">
        <v>4574</v>
      </c>
      <c r="B93" s="8" t="s">
        <v>992</v>
      </c>
      <c r="C93" s="8" t="s">
        <v>4575</v>
      </c>
      <c r="D93" s="8" t="s">
        <v>181</v>
      </c>
      <c r="E93" s="8"/>
      <c r="F93" s="8" t="s">
        <v>412</v>
      </c>
      <c r="G93" s="8"/>
      <c r="H93" s="8"/>
      <c r="I93" s="8"/>
      <c r="J93" s="8" t="s">
        <v>489</v>
      </c>
      <c r="K93" s="8" t="s">
        <v>993</v>
      </c>
      <c r="L93" s="8" t="s">
        <v>994</v>
      </c>
      <c r="M93" s="8" t="s">
        <v>4576</v>
      </c>
      <c r="N93" s="8">
        <v>41</v>
      </c>
      <c r="O93" s="8"/>
      <c r="P93" s="8" t="s">
        <v>995</v>
      </c>
    </row>
    <row r="94" spans="1:16" x14ac:dyDescent="0.25">
      <c r="A94" s="8" t="s">
        <v>4574</v>
      </c>
      <c r="B94" s="8" t="s">
        <v>992</v>
      </c>
      <c r="C94" s="8" t="s">
        <v>4575</v>
      </c>
      <c r="D94" s="8" t="s">
        <v>28</v>
      </c>
      <c r="E94" s="8"/>
      <c r="F94" s="8" t="s">
        <v>412</v>
      </c>
      <c r="G94" s="8"/>
      <c r="H94" s="8"/>
      <c r="I94" s="8"/>
      <c r="J94" s="8" t="s">
        <v>491</v>
      </c>
      <c r="K94" s="8" t="s">
        <v>993</v>
      </c>
      <c r="L94" s="8" t="s">
        <v>994</v>
      </c>
      <c r="M94" s="8" t="s">
        <v>4576</v>
      </c>
      <c r="N94" s="8">
        <v>41</v>
      </c>
      <c r="O94" s="8"/>
      <c r="P94" s="8" t="s">
        <v>995</v>
      </c>
    </row>
    <row r="95" spans="1:16" x14ac:dyDescent="0.25">
      <c r="A95" s="8" t="s">
        <v>4574</v>
      </c>
      <c r="B95" s="8" t="s">
        <v>992</v>
      </c>
      <c r="C95" s="8" t="s">
        <v>4575</v>
      </c>
      <c r="D95" s="8" t="s">
        <v>141</v>
      </c>
      <c r="E95" s="8"/>
      <c r="F95" s="8" t="s">
        <v>412</v>
      </c>
      <c r="G95" s="8"/>
      <c r="H95" s="8"/>
      <c r="I95" s="8"/>
      <c r="J95" s="8" t="s">
        <v>492</v>
      </c>
      <c r="K95" s="8" t="s">
        <v>993</v>
      </c>
      <c r="L95" s="8" t="s">
        <v>994</v>
      </c>
      <c r="M95" s="8" t="s">
        <v>4576</v>
      </c>
      <c r="N95" s="8">
        <v>41</v>
      </c>
      <c r="O95" s="8"/>
      <c r="P95" s="8" t="s">
        <v>995</v>
      </c>
    </row>
    <row r="96" spans="1:16" x14ac:dyDescent="0.25">
      <c r="A96" s="8" t="s">
        <v>4574</v>
      </c>
      <c r="B96" s="8" t="s">
        <v>992</v>
      </c>
      <c r="C96" s="8" t="s">
        <v>4575</v>
      </c>
      <c r="D96" s="8" t="s">
        <v>180</v>
      </c>
      <c r="E96" s="8"/>
      <c r="F96" s="8" t="s">
        <v>412</v>
      </c>
      <c r="G96" s="8"/>
      <c r="H96" s="8"/>
      <c r="I96" s="8"/>
      <c r="J96" s="8" t="s">
        <v>490</v>
      </c>
      <c r="K96" s="8" t="s">
        <v>993</v>
      </c>
      <c r="L96" s="8" t="s">
        <v>994</v>
      </c>
      <c r="M96" s="8" t="s">
        <v>4576</v>
      </c>
      <c r="N96" s="8">
        <v>41</v>
      </c>
      <c r="O96" s="8"/>
      <c r="P96" s="8" t="s">
        <v>995</v>
      </c>
    </row>
    <row r="97" spans="1:16" x14ac:dyDescent="0.25">
      <c r="A97" s="8" t="s">
        <v>4574</v>
      </c>
      <c r="B97" s="8" t="s">
        <v>992</v>
      </c>
      <c r="C97" s="8" t="s">
        <v>4575</v>
      </c>
      <c r="D97" s="8" t="s">
        <v>285</v>
      </c>
      <c r="E97" s="8"/>
      <c r="F97" s="8" t="s">
        <v>412</v>
      </c>
      <c r="G97" s="8"/>
      <c r="H97" s="8"/>
      <c r="I97" s="8"/>
      <c r="J97" s="8" t="s">
        <v>493</v>
      </c>
      <c r="K97" s="8" t="s">
        <v>993</v>
      </c>
      <c r="L97" s="8" t="s">
        <v>994</v>
      </c>
      <c r="M97" s="8" t="s">
        <v>4576</v>
      </c>
      <c r="N97" s="8">
        <v>41</v>
      </c>
      <c r="O97" s="8"/>
      <c r="P97" s="8" t="s">
        <v>995</v>
      </c>
    </row>
    <row r="98" spans="1:16" x14ac:dyDescent="0.25">
      <c r="A98" s="8" t="s">
        <v>4574</v>
      </c>
      <c r="B98" s="8" t="s">
        <v>992</v>
      </c>
      <c r="C98" s="8" t="s">
        <v>4575</v>
      </c>
      <c r="D98" s="8" t="s">
        <v>160</v>
      </c>
      <c r="E98" s="8"/>
      <c r="F98" s="8" t="s">
        <v>412</v>
      </c>
      <c r="G98" s="8"/>
      <c r="H98" s="8"/>
      <c r="I98" s="8"/>
      <c r="J98" s="8" t="s">
        <v>494</v>
      </c>
      <c r="K98" s="8" t="s">
        <v>993</v>
      </c>
      <c r="L98" s="8" t="s">
        <v>994</v>
      </c>
      <c r="M98" s="8" t="s">
        <v>4576</v>
      </c>
      <c r="N98" s="8">
        <v>41</v>
      </c>
      <c r="O98" s="8"/>
      <c r="P98" s="8" t="s">
        <v>995</v>
      </c>
    </row>
    <row r="99" spans="1:16" x14ac:dyDescent="0.25">
      <c r="A99" s="8" t="s">
        <v>4574</v>
      </c>
      <c r="B99" s="8" t="s">
        <v>992</v>
      </c>
      <c r="C99" s="8" t="s">
        <v>4575</v>
      </c>
      <c r="D99" s="8" t="s">
        <v>335</v>
      </c>
      <c r="E99" s="8"/>
      <c r="F99" s="8" t="s">
        <v>412</v>
      </c>
      <c r="G99" s="8"/>
      <c r="H99" s="8"/>
      <c r="I99" s="8"/>
      <c r="J99" s="8" t="s">
        <v>495</v>
      </c>
      <c r="K99" s="8" t="s">
        <v>993</v>
      </c>
      <c r="L99" s="8" t="s">
        <v>994</v>
      </c>
      <c r="M99" s="8" t="s">
        <v>4576</v>
      </c>
      <c r="N99" s="8">
        <v>41</v>
      </c>
      <c r="O99" s="8"/>
      <c r="P99" s="8" t="s">
        <v>995</v>
      </c>
    </row>
    <row r="100" spans="1:16" x14ac:dyDescent="0.25">
      <c r="A100" s="8" t="s">
        <v>4574</v>
      </c>
      <c r="B100" s="8" t="s">
        <v>992</v>
      </c>
      <c r="C100" s="8" t="s">
        <v>4575</v>
      </c>
      <c r="D100" s="8" t="s">
        <v>63</v>
      </c>
      <c r="E100" s="8"/>
      <c r="F100" s="8" t="s">
        <v>412</v>
      </c>
      <c r="G100" s="8"/>
      <c r="H100" s="8"/>
      <c r="I100" s="8"/>
      <c r="J100" s="8" t="s">
        <v>497</v>
      </c>
      <c r="K100" s="8" t="s">
        <v>993</v>
      </c>
      <c r="L100" s="8" t="s">
        <v>994</v>
      </c>
      <c r="M100" s="8" t="s">
        <v>4576</v>
      </c>
      <c r="N100" s="8">
        <v>41</v>
      </c>
      <c r="O100" s="8"/>
      <c r="P100" s="8" t="s">
        <v>995</v>
      </c>
    </row>
    <row r="101" spans="1:16" x14ac:dyDescent="0.25">
      <c r="A101" s="8" t="s">
        <v>4574</v>
      </c>
      <c r="B101" s="8" t="s">
        <v>992</v>
      </c>
      <c r="C101" s="8" t="s">
        <v>4575</v>
      </c>
      <c r="D101" s="8" t="s">
        <v>118</v>
      </c>
      <c r="E101" s="8"/>
      <c r="F101" s="8" t="s">
        <v>412</v>
      </c>
      <c r="G101" s="8"/>
      <c r="H101" s="8"/>
      <c r="I101" s="8"/>
      <c r="J101" s="8" t="s">
        <v>507</v>
      </c>
      <c r="K101" s="8" t="s">
        <v>993</v>
      </c>
      <c r="L101" s="8" t="s">
        <v>994</v>
      </c>
      <c r="M101" s="8" t="s">
        <v>4576</v>
      </c>
      <c r="N101" s="8">
        <v>41</v>
      </c>
      <c r="O101" s="8"/>
      <c r="P101" s="8" t="s">
        <v>995</v>
      </c>
    </row>
    <row r="102" spans="1:16" x14ac:dyDescent="0.25">
      <c r="A102" s="8" t="s">
        <v>4574</v>
      </c>
      <c r="B102" s="8" t="s">
        <v>992</v>
      </c>
      <c r="C102" s="8" t="s">
        <v>4575</v>
      </c>
      <c r="D102" s="8" t="s">
        <v>286</v>
      </c>
      <c r="E102" s="8"/>
      <c r="F102" s="8" t="s">
        <v>412</v>
      </c>
      <c r="G102" s="8"/>
      <c r="H102" s="8"/>
      <c r="I102" s="8"/>
      <c r="J102" s="8" t="s">
        <v>502</v>
      </c>
      <c r="K102" s="8" t="s">
        <v>993</v>
      </c>
      <c r="L102" s="8" t="s">
        <v>994</v>
      </c>
      <c r="M102" s="8" t="s">
        <v>4576</v>
      </c>
      <c r="N102" s="8">
        <v>41</v>
      </c>
      <c r="O102" s="8"/>
      <c r="P102" s="8" t="s">
        <v>995</v>
      </c>
    </row>
    <row r="103" spans="1:16" x14ac:dyDescent="0.25">
      <c r="A103" s="8" t="s">
        <v>4574</v>
      </c>
      <c r="B103" s="8" t="s">
        <v>992</v>
      </c>
      <c r="C103" s="8" t="s">
        <v>4575</v>
      </c>
      <c r="D103" s="8" t="s">
        <v>182</v>
      </c>
      <c r="E103" s="8"/>
      <c r="F103" s="8" t="s">
        <v>412</v>
      </c>
      <c r="G103" s="8"/>
      <c r="H103" s="8"/>
      <c r="I103" s="8"/>
      <c r="J103" s="8" t="s">
        <v>504</v>
      </c>
      <c r="K103" s="8" t="s">
        <v>993</v>
      </c>
      <c r="L103" s="8" t="s">
        <v>994</v>
      </c>
      <c r="M103" s="8" t="s">
        <v>4576</v>
      </c>
      <c r="N103" s="8">
        <v>41</v>
      </c>
      <c r="O103" s="8"/>
      <c r="P103" s="8" t="s">
        <v>995</v>
      </c>
    </row>
    <row r="104" spans="1:16" x14ac:dyDescent="0.25">
      <c r="A104" s="8" t="s">
        <v>4574</v>
      </c>
      <c r="B104" s="8" t="s">
        <v>992</v>
      </c>
      <c r="C104" s="8" t="s">
        <v>4575</v>
      </c>
      <c r="D104" s="8" t="s">
        <v>231</v>
      </c>
      <c r="E104" s="8"/>
      <c r="F104" s="8" t="s">
        <v>412</v>
      </c>
      <c r="G104" s="8"/>
      <c r="H104" s="8"/>
      <c r="I104" s="8"/>
      <c r="J104" s="8" t="s">
        <v>501</v>
      </c>
      <c r="K104" s="8" t="s">
        <v>993</v>
      </c>
      <c r="L104" s="8" t="s">
        <v>994</v>
      </c>
      <c r="M104" s="8" t="s">
        <v>4576</v>
      </c>
      <c r="N104" s="8">
        <v>41</v>
      </c>
      <c r="O104" s="8"/>
      <c r="P104" s="8" t="s">
        <v>995</v>
      </c>
    </row>
    <row r="105" spans="1:16" x14ac:dyDescent="0.25">
      <c r="A105" s="8" t="s">
        <v>4574</v>
      </c>
      <c r="B105" s="8" t="s">
        <v>992</v>
      </c>
      <c r="C105" s="8" t="s">
        <v>4575</v>
      </c>
      <c r="D105" s="8" t="s">
        <v>225</v>
      </c>
      <c r="E105" s="8"/>
      <c r="F105" s="8" t="s">
        <v>412</v>
      </c>
      <c r="G105" s="8"/>
      <c r="H105" s="8"/>
      <c r="I105" s="8"/>
      <c r="J105" s="8" t="s">
        <v>500</v>
      </c>
      <c r="K105" s="8" t="s">
        <v>993</v>
      </c>
      <c r="L105" s="8" t="s">
        <v>994</v>
      </c>
      <c r="M105" s="8" t="s">
        <v>4576</v>
      </c>
      <c r="N105" s="8">
        <v>41</v>
      </c>
      <c r="O105" s="8"/>
      <c r="P105" s="8" t="s">
        <v>995</v>
      </c>
    </row>
    <row r="106" spans="1:16" x14ac:dyDescent="0.25">
      <c r="A106" s="8" t="s">
        <v>4574</v>
      </c>
      <c r="B106" s="8" t="s">
        <v>992</v>
      </c>
      <c r="C106" s="8" t="s">
        <v>4575</v>
      </c>
      <c r="D106" s="8" t="s">
        <v>102</v>
      </c>
      <c r="E106" s="8"/>
      <c r="F106" s="8" t="s">
        <v>412</v>
      </c>
      <c r="G106" s="8"/>
      <c r="H106" s="8"/>
      <c r="I106" s="8"/>
      <c r="J106" s="8" t="s">
        <v>496</v>
      </c>
      <c r="K106" s="8" t="s">
        <v>993</v>
      </c>
      <c r="L106" s="8" t="s">
        <v>994</v>
      </c>
      <c r="M106" s="8" t="s">
        <v>4576</v>
      </c>
      <c r="N106" s="8">
        <v>41</v>
      </c>
      <c r="O106" s="8"/>
      <c r="P106" s="8" t="s">
        <v>995</v>
      </c>
    </row>
    <row r="107" spans="1:16" x14ac:dyDescent="0.25">
      <c r="A107" s="8" t="s">
        <v>4574</v>
      </c>
      <c r="B107" s="8" t="s">
        <v>992</v>
      </c>
      <c r="C107" s="8" t="s">
        <v>4575</v>
      </c>
      <c r="D107" s="8" t="s">
        <v>192</v>
      </c>
      <c r="E107" s="8"/>
      <c r="F107" s="8" t="s">
        <v>412</v>
      </c>
      <c r="G107" s="8"/>
      <c r="H107" s="8"/>
      <c r="I107" s="8"/>
      <c r="J107" s="8" t="s">
        <v>499</v>
      </c>
      <c r="K107" s="8" t="s">
        <v>993</v>
      </c>
      <c r="L107" s="8" t="s">
        <v>994</v>
      </c>
      <c r="M107" s="8" t="s">
        <v>4576</v>
      </c>
      <c r="N107" s="8">
        <v>41</v>
      </c>
      <c r="O107" s="8"/>
      <c r="P107" s="8" t="s">
        <v>995</v>
      </c>
    </row>
    <row r="108" spans="1:16" x14ac:dyDescent="0.25">
      <c r="A108" s="8" t="s">
        <v>4574</v>
      </c>
      <c r="B108" s="8" t="s">
        <v>992</v>
      </c>
      <c r="C108" s="8" t="s">
        <v>4575</v>
      </c>
      <c r="D108" s="8" t="s">
        <v>56</v>
      </c>
      <c r="E108" s="8"/>
      <c r="F108" s="8" t="s">
        <v>412</v>
      </c>
      <c r="G108" s="8"/>
      <c r="H108" s="8"/>
      <c r="I108" s="8"/>
      <c r="J108" s="8" t="s">
        <v>503</v>
      </c>
      <c r="K108" s="8" t="s">
        <v>993</v>
      </c>
      <c r="L108" s="8" t="s">
        <v>994</v>
      </c>
      <c r="M108" s="8" t="s">
        <v>4576</v>
      </c>
      <c r="N108" s="8">
        <v>41</v>
      </c>
      <c r="O108" s="8"/>
      <c r="P108" s="8" t="s">
        <v>995</v>
      </c>
    </row>
    <row r="109" spans="1:16" x14ac:dyDescent="0.25">
      <c r="A109" s="8" t="s">
        <v>4574</v>
      </c>
      <c r="B109" s="8" t="s">
        <v>992</v>
      </c>
      <c r="C109" s="8" t="s">
        <v>4575</v>
      </c>
      <c r="D109" s="8" t="s">
        <v>183</v>
      </c>
      <c r="E109" s="8"/>
      <c r="F109" s="8" t="s">
        <v>412</v>
      </c>
      <c r="G109" s="8"/>
      <c r="H109" s="8"/>
      <c r="I109" s="8"/>
      <c r="J109" s="8" t="s">
        <v>498</v>
      </c>
      <c r="K109" s="8" t="s">
        <v>993</v>
      </c>
      <c r="L109" s="8" t="s">
        <v>994</v>
      </c>
      <c r="M109" s="8" t="s">
        <v>4576</v>
      </c>
      <c r="N109" s="8">
        <v>41</v>
      </c>
      <c r="O109" s="8"/>
      <c r="P109" s="8" t="s">
        <v>995</v>
      </c>
    </row>
    <row r="110" spans="1:16" x14ac:dyDescent="0.25">
      <c r="A110" s="8" t="s">
        <v>4574</v>
      </c>
      <c r="B110" s="8" t="s">
        <v>992</v>
      </c>
      <c r="C110" s="8" t="s">
        <v>4575</v>
      </c>
      <c r="D110" s="8" t="s">
        <v>133</v>
      </c>
      <c r="E110" s="8"/>
      <c r="F110" s="8" t="s">
        <v>412</v>
      </c>
      <c r="G110" s="8"/>
      <c r="H110" s="8"/>
      <c r="I110" s="8"/>
      <c r="J110" s="8" t="s">
        <v>505</v>
      </c>
      <c r="K110" s="8" t="s">
        <v>993</v>
      </c>
      <c r="L110" s="8" t="s">
        <v>994</v>
      </c>
      <c r="M110" s="8" t="s">
        <v>4576</v>
      </c>
      <c r="N110" s="8">
        <v>41</v>
      </c>
      <c r="O110" s="8"/>
      <c r="P110" s="8" t="s">
        <v>995</v>
      </c>
    </row>
    <row r="111" spans="1:16" x14ac:dyDescent="0.25">
      <c r="A111" s="8" t="s">
        <v>4574</v>
      </c>
      <c r="B111" s="8" t="s">
        <v>992</v>
      </c>
      <c r="C111" s="8" t="s">
        <v>4575</v>
      </c>
      <c r="D111" s="8" t="s">
        <v>334</v>
      </c>
      <c r="E111" s="8"/>
      <c r="F111" s="8" t="s">
        <v>412</v>
      </c>
      <c r="G111" s="8"/>
      <c r="H111" s="8"/>
      <c r="I111" s="8"/>
      <c r="J111" s="8" t="s">
        <v>506</v>
      </c>
      <c r="K111" s="8" t="s">
        <v>993</v>
      </c>
      <c r="L111" s="8" t="s">
        <v>994</v>
      </c>
      <c r="M111" s="8" t="s">
        <v>4576</v>
      </c>
      <c r="N111" s="8">
        <v>41</v>
      </c>
      <c r="O111" s="8"/>
      <c r="P111" s="8" t="s">
        <v>995</v>
      </c>
    </row>
    <row r="112" spans="1:16" x14ac:dyDescent="0.25">
      <c r="A112" s="8" t="s">
        <v>4574</v>
      </c>
      <c r="B112" s="8" t="s">
        <v>992</v>
      </c>
      <c r="C112" s="8" t="s">
        <v>4575</v>
      </c>
      <c r="D112" s="8" t="s">
        <v>244</v>
      </c>
      <c r="E112" s="8"/>
      <c r="F112" s="8" t="s">
        <v>412</v>
      </c>
      <c r="G112" s="8"/>
      <c r="H112" s="8"/>
      <c r="I112" s="8"/>
      <c r="J112" s="8" t="s">
        <v>508</v>
      </c>
      <c r="K112" s="8" t="s">
        <v>993</v>
      </c>
      <c r="L112" s="8" t="s">
        <v>994</v>
      </c>
      <c r="M112" s="8" t="s">
        <v>4576</v>
      </c>
      <c r="N112" s="8">
        <v>41</v>
      </c>
      <c r="O112" s="8"/>
      <c r="P112" s="8" t="s">
        <v>995</v>
      </c>
    </row>
    <row r="113" spans="1:16" x14ac:dyDescent="0.25">
      <c r="A113" s="8" t="s">
        <v>4574</v>
      </c>
      <c r="B113" s="8" t="s">
        <v>992</v>
      </c>
      <c r="C113" s="8" t="s">
        <v>4575</v>
      </c>
      <c r="D113" s="8" t="s">
        <v>50</v>
      </c>
      <c r="E113" s="8"/>
      <c r="F113" s="8" t="s">
        <v>412</v>
      </c>
      <c r="G113" s="8"/>
      <c r="H113" s="8"/>
      <c r="I113" s="8"/>
      <c r="J113" s="8" t="s">
        <v>509</v>
      </c>
      <c r="K113" s="8" t="s">
        <v>993</v>
      </c>
      <c r="L113" s="8" t="s">
        <v>994</v>
      </c>
      <c r="M113" s="8" t="s">
        <v>4576</v>
      </c>
      <c r="N113" s="8">
        <v>41</v>
      </c>
      <c r="O113" s="8"/>
      <c r="P113" s="8" t="s">
        <v>995</v>
      </c>
    </row>
    <row r="114" spans="1:16" x14ac:dyDescent="0.25">
      <c r="A114" s="8" t="s">
        <v>4574</v>
      </c>
      <c r="B114" s="8" t="s">
        <v>992</v>
      </c>
      <c r="C114" s="8" t="s">
        <v>4575</v>
      </c>
      <c r="D114" s="8" t="s">
        <v>218</v>
      </c>
      <c r="E114" s="8"/>
      <c r="F114" s="8" t="s">
        <v>412</v>
      </c>
      <c r="G114" s="8"/>
      <c r="H114" s="8"/>
      <c r="I114" s="8"/>
      <c r="J114" s="8" t="s">
        <v>510</v>
      </c>
      <c r="K114" s="8" t="s">
        <v>993</v>
      </c>
      <c r="L114" s="8" t="s">
        <v>994</v>
      </c>
      <c r="M114" s="8" t="s">
        <v>4576</v>
      </c>
      <c r="N114" s="8">
        <v>41</v>
      </c>
      <c r="O114" s="8"/>
      <c r="P114" s="8" t="s">
        <v>995</v>
      </c>
    </row>
    <row r="115" spans="1:16" x14ac:dyDescent="0.25">
      <c r="A115" s="8" t="s">
        <v>4574</v>
      </c>
      <c r="B115" s="8" t="s">
        <v>992</v>
      </c>
      <c r="C115" s="8" t="s">
        <v>4575</v>
      </c>
      <c r="D115" s="8" t="s">
        <v>238</v>
      </c>
      <c r="E115" s="8"/>
      <c r="F115" s="8" t="s">
        <v>412</v>
      </c>
      <c r="G115" s="8"/>
      <c r="H115" s="8"/>
      <c r="I115" s="8"/>
      <c r="J115" s="8"/>
      <c r="K115" s="8" t="s">
        <v>993</v>
      </c>
      <c r="L115" s="8" t="s">
        <v>994</v>
      </c>
      <c r="M115" s="8" t="s">
        <v>4576</v>
      </c>
      <c r="N115" s="8">
        <v>41</v>
      </c>
      <c r="O115" s="8"/>
      <c r="P115" s="8" t="s">
        <v>995</v>
      </c>
    </row>
    <row r="116" spans="1:16" x14ac:dyDescent="0.25">
      <c r="A116" s="8" t="s">
        <v>4574</v>
      </c>
      <c r="B116" s="8" t="s">
        <v>992</v>
      </c>
      <c r="C116" s="8" t="s">
        <v>4575</v>
      </c>
      <c r="D116" s="8" t="s">
        <v>53</v>
      </c>
      <c r="E116" s="8"/>
      <c r="F116" s="8" t="s">
        <v>412</v>
      </c>
      <c r="G116" s="8"/>
      <c r="H116" s="8"/>
      <c r="I116" s="8"/>
      <c r="J116" s="8" t="s">
        <v>511</v>
      </c>
      <c r="K116" s="8" t="s">
        <v>993</v>
      </c>
      <c r="L116" s="8" t="s">
        <v>994</v>
      </c>
      <c r="M116" s="8" t="s">
        <v>4576</v>
      </c>
      <c r="N116" s="8">
        <v>41</v>
      </c>
      <c r="O116" s="8"/>
      <c r="P116" s="8" t="s">
        <v>995</v>
      </c>
    </row>
    <row r="117" spans="1:16" x14ac:dyDescent="0.25">
      <c r="A117" s="8" t="s">
        <v>4574</v>
      </c>
      <c r="B117" s="8" t="s">
        <v>992</v>
      </c>
      <c r="C117" s="8" t="s">
        <v>4575</v>
      </c>
      <c r="D117" s="8" t="s">
        <v>295</v>
      </c>
      <c r="E117" s="8"/>
      <c r="F117" s="8" t="s">
        <v>412</v>
      </c>
      <c r="G117" s="8"/>
      <c r="H117" s="8"/>
      <c r="I117" s="8"/>
      <c r="J117" s="8" t="s">
        <v>513</v>
      </c>
      <c r="K117" s="8" t="s">
        <v>993</v>
      </c>
      <c r="L117" s="8" t="s">
        <v>994</v>
      </c>
      <c r="M117" s="8" t="s">
        <v>4576</v>
      </c>
      <c r="N117" s="8">
        <v>41</v>
      </c>
      <c r="O117" s="8"/>
      <c r="P117" s="8" t="s">
        <v>995</v>
      </c>
    </row>
    <row r="118" spans="1:16" x14ac:dyDescent="0.25">
      <c r="A118" s="8" t="s">
        <v>4574</v>
      </c>
      <c r="B118" s="8" t="s">
        <v>992</v>
      </c>
      <c r="C118" s="8" t="s">
        <v>4575</v>
      </c>
      <c r="D118" s="8" t="s">
        <v>203</v>
      </c>
      <c r="E118" s="8"/>
      <c r="F118" s="8" t="s">
        <v>412</v>
      </c>
      <c r="G118" s="8"/>
      <c r="H118" s="8"/>
      <c r="I118" s="8"/>
      <c r="J118" s="8"/>
      <c r="K118" s="8" t="s">
        <v>993</v>
      </c>
      <c r="L118" s="8" t="s">
        <v>994</v>
      </c>
      <c r="M118" s="8" t="s">
        <v>4576</v>
      </c>
      <c r="N118" s="8">
        <v>41</v>
      </c>
      <c r="O118" s="8"/>
      <c r="P118" s="8" t="s">
        <v>995</v>
      </c>
    </row>
    <row r="119" spans="1:16" x14ac:dyDescent="0.25">
      <c r="A119" s="8" t="s">
        <v>4574</v>
      </c>
      <c r="B119" s="8" t="s">
        <v>992</v>
      </c>
      <c r="C119" s="8" t="s">
        <v>4575</v>
      </c>
      <c r="D119" s="8" t="s">
        <v>114</v>
      </c>
      <c r="E119" s="8"/>
      <c r="F119" s="8" t="s">
        <v>412</v>
      </c>
      <c r="G119" s="8"/>
      <c r="H119" s="8"/>
      <c r="I119" s="8"/>
      <c r="J119" s="8" t="s">
        <v>512</v>
      </c>
      <c r="K119" s="8" t="s">
        <v>993</v>
      </c>
      <c r="L119" s="8" t="s">
        <v>994</v>
      </c>
      <c r="M119" s="8" t="s">
        <v>4576</v>
      </c>
      <c r="N119" s="8">
        <v>41</v>
      </c>
      <c r="O119" s="8"/>
      <c r="P119" s="8" t="s">
        <v>995</v>
      </c>
    </row>
    <row r="120" spans="1:16" x14ac:dyDescent="0.25">
      <c r="A120" s="8" t="s">
        <v>4574</v>
      </c>
      <c r="B120" s="8" t="s">
        <v>992</v>
      </c>
      <c r="C120" s="8" t="s">
        <v>4575</v>
      </c>
      <c r="D120" s="8" t="s">
        <v>33</v>
      </c>
      <c r="E120" s="8"/>
      <c r="F120" s="8" t="s">
        <v>412</v>
      </c>
      <c r="G120" s="8"/>
      <c r="H120" s="8"/>
      <c r="I120" s="8"/>
      <c r="J120" s="8" t="s">
        <v>514</v>
      </c>
      <c r="K120" s="8" t="s">
        <v>993</v>
      </c>
      <c r="L120" s="8" t="s">
        <v>994</v>
      </c>
      <c r="M120" s="8" t="s">
        <v>4576</v>
      </c>
      <c r="N120" s="8">
        <v>41</v>
      </c>
      <c r="O120" s="8"/>
      <c r="P120" s="8" t="s">
        <v>995</v>
      </c>
    </row>
    <row r="121" spans="1:16" x14ac:dyDescent="0.25">
      <c r="A121" s="8" t="s">
        <v>4574</v>
      </c>
      <c r="B121" s="8" t="s">
        <v>992</v>
      </c>
      <c r="C121" s="8" t="s">
        <v>4575</v>
      </c>
      <c r="D121" s="8" t="s">
        <v>199</v>
      </c>
      <c r="E121" s="8"/>
      <c r="F121" s="8" t="s">
        <v>412</v>
      </c>
      <c r="G121" s="8"/>
      <c r="H121" s="8"/>
      <c r="I121" s="8"/>
      <c r="J121" s="8" t="s">
        <v>515</v>
      </c>
      <c r="K121" s="8" t="s">
        <v>993</v>
      </c>
      <c r="L121" s="8" t="s">
        <v>994</v>
      </c>
      <c r="M121" s="8" t="s">
        <v>4576</v>
      </c>
      <c r="N121" s="8">
        <v>41</v>
      </c>
      <c r="O121" s="8"/>
      <c r="P121" s="8" t="s">
        <v>995</v>
      </c>
    </row>
    <row r="122" spans="1:16" x14ac:dyDescent="0.25">
      <c r="A122" s="8" t="s">
        <v>4574</v>
      </c>
      <c r="B122" s="8" t="s">
        <v>992</v>
      </c>
      <c r="C122" s="8" t="s">
        <v>4575</v>
      </c>
      <c r="D122" s="8" t="s">
        <v>248</v>
      </c>
      <c r="E122" s="8"/>
      <c r="F122" s="8" t="s">
        <v>412</v>
      </c>
      <c r="G122" s="8"/>
      <c r="H122" s="8"/>
      <c r="I122" s="8"/>
      <c r="J122" s="8" t="s">
        <v>516</v>
      </c>
      <c r="K122" s="8" t="s">
        <v>993</v>
      </c>
      <c r="L122" s="8" t="s">
        <v>994</v>
      </c>
      <c r="M122" s="8" t="s">
        <v>4576</v>
      </c>
      <c r="N122" s="8">
        <v>41</v>
      </c>
      <c r="O122" s="8"/>
      <c r="P122" s="8" t="s">
        <v>995</v>
      </c>
    </row>
    <row r="123" spans="1:16" x14ac:dyDescent="0.25">
      <c r="A123" s="8" t="s">
        <v>4574</v>
      </c>
      <c r="B123" s="8" t="s">
        <v>992</v>
      </c>
      <c r="C123" s="8" t="s">
        <v>4575</v>
      </c>
      <c r="D123" s="8" t="s">
        <v>44</v>
      </c>
      <c r="E123" s="8"/>
      <c r="F123" s="8" t="s">
        <v>412</v>
      </c>
      <c r="G123" s="8"/>
      <c r="H123" s="8"/>
      <c r="I123" s="8"/>
      <c r="J123" s="8" t="s">
        <v>518</v>
      </c>
      <c r="K123" s="8" t="s">
        <v>993</v>
      </c>
      <c r="L123" s="8" t="s">
        <v>994</v>
      </c>
      <c r="M123" s="8" t="s">
        <v>4576</v>
      </c>
      <c r="N123" s="8">
        <v>41</v>
      </c>
      <c r="O123" s="8"/>
      <c r="P123" s="8" t="s">
        <v>995</v>
      </c>
    </row>
    <row r="124" spans="1:16" x14ac:dyDescent="0.25">
      <c r="A124" s="8" t="s">
        <v>4574</v>
      </c>
      <c r="B124" s="8" t="s">
        <v>992</v>
      </c>
      <c r="C124" s="8" t="s">
        <v>4575</v>
      </c>
      <c r="D124" s="8" t="s">
        <v>129</v>
      </c>
      <c r="E124" s="8"/>
      <c r="F124" s="8" t="s">
        <v>412</v>
      </c>
      <c r="G124" s="8"/>
      <c r="H124" s="8"/>
      <c r="I124" s="8"/>
      <c r="J124" s="8" t="s">
        <v>519</v>
      </c>
      <c r="K124" s="8" t="s">
        <v>993</v>
      </c>
      <c r="L124" s="8" t="s">
        <v>994</v>
      </c>
      <c r="M124" s="8" t="s">
        <v>4576</v>
      </c>
      <c r="N124" s="8">
        <v>41</v>
      </c>
      <c r="O124" s="8"/>
      <c r="P124" s="8" t="s">
        <v>995</v>
      </c>
    </row>
    <row r="125" spans="1:16" x14ac:dyDescent="0.25">
      <c r="A125" s="8" t="s">
        <v>4574</v>
      </c>
      <c r="B125" s="8" t="s">
        <v>992</v>
      </c>
      <c r="C125" s="8" t="s">
        <v>4575</v>
      </c>
      <c r="D125" s="8" t="s">
        <v>220</v>
      </c>
      <c r="E125" s="8"/>
      <c r="F125" s="8" t="s">
        <v>412</v>
      </c>
      <c r="G125" s="8"/>
      <c r="H125" s="8"/>
      <c r="I125" s="8"/>
      <c r="J125" s="8" t="s">
        <v>517</v>
      </c>
      <c r="K125" s="8" t="s">
        <v>993</v>
      </c>
      <c r="L125" s="8" t="s">
        <v>994</v>
      </c>
      <c r="M125" s="8" t="s">
        <v>4576</v>
      </c>
      <c r="N125" s="8">
        <v>41</v>
      </c>
      <c r="O125" s="8"/>
      <c r="P125" s="8" t="s">
        <v>995</v>
      </c>
    </row>
    <row r="126" spans="1:16" x14ac:dyDescent="0.25">
      <c r="A126" s="8" t="s">
        <v>4574</v>
      </c>
      <c r="B126" s="8" t="s">
        <v>992</v>
      </c>
      <c r="C126" s="8" t="s">
        <v>4575</v>
      </c>
      <c r="D126" s="8" t="s">
        <v>237</v>
      </c>
      <c r="E126" s="8"/>
      <c r="F126" s="8" t="s">
        <v>412</v>
      </c>
      <c r="G126" s="8"/>
      <c r="H126" s="8"/>
      <c r="I126" s="8"/>
      <c r="J126" s="8"/>
      <c r="K126" s="8" t="s">
        <v>993</v>
      </c>
      <c r="L126" s="8" t="s">
        <v>994</v>
      </c>
      <c r="M126" s="8" t="s">
        <v>4576</v>
      </c>
      <c r="N126" s="8">
        <v>41</v>
      </c>
      <c r="O126" s="8"/>
      <c r="P126" s="8" t="s">
        <v>995</v>
      </c>
    </row>
    <row r="127" spans="1:16" x14ac:dyDescent="0.25">
      <c r="A127" s="8" t="s">
        <v>4574</v>
      </c>
      <c r="B127" s="8" t="s">
        <v>992</v>
      </c>
      <c r="C127" s="8" t="s">
        <v>4575</v>
      </c>
      <c r="D127" s="8" t="s">
        <v>124</v>
      </c>
      <c r="E127" s="8"/>
      <c r="F127" s="8" t="s">
        <v>412</v>
      </c>
      <c r="G127" s="8"/>
      <c r="H127" s="8"/>
      <c r="I127" s="8"/>
      <c r="J127" s="8" t="s">
        <v>520</v>
      </c>
      <c r="K127" s="8" t="s">
        <v>993</v>
      </c>
      <c r="L127" s="8" t="s">
        <v>994</v>
      </c>
      <c r="M127" s="8" t="s">
        <v>4576</v>
      </c>
      <c r="N127" s="8">
        <v>41</v>
      </c>
      <c r="O127" s="8"/>
      <c r="P127" s="8" t="s">
        <v>995</v>
      </c>
    </row>
    <row r="128" spans="1:16" x14ac:dyDescent="0.25">
      <c r="A128" s="8" t="s">
        <v>4574</v>
      </c>
      <c r="B128" s="8" t="s">
        <v>992</v>
      </c>
      <c r="C128" s="8" t="s">
        <v>4575</v>
      </c>
      <c r="D128" s="8" t="s">
        <v>217</v>
      </c>
      <c r="E128" s="8"/>
      <c r="F128" s="8" t="s">
        <v>412</v>
      </c>
      <c r="G128" s="8"/>
      <c r="H128" s="8"/>
      <c r="I128" s="8"/>
      <c r="J128" s="8" t="s">
        <v>522</v>
      </c>
      <c r="K128" s="8" t="s">
        <v>993</v>
      </c>
      <c r="L128" s="8" t="s">
        <v>994</v>
      </c>
      <c r="M128" s="8" t="s">
        <v>4576</v>
      </c>
      <c r="N128" s="8">
        <v>41</v>
      </c>
      <c r="O128" s="8"/>
      <c r="P128" s="8" t="s">
        <v>995</v>
      </c>
    </row>
    <row r="129" spans="1:16" x14ac:dyDescent="0.25">
      <c r="A129" s="8" t="s">
        <v>4574</v>
      </c>
      <c r="B129" s="8" t="s">
        <v>992</v>
      </c>
      <c r="C129" s="8" t="s">
        <v>4575</v>
      </c>
      <c r="D129" s="8" t="s">
        <v>233</v>
      </c>
      <c r="E129" s="8"/>
      <c r="F129" s="8" t="s">
        <v>412</v>
      </c>
      <c r="G129" s="8"/>
      <c r="H129" s="8"/>
      <c r="I129" s="8"/>
      <c r="J129" s="8"/>
      <c r="K129" s="8" t="s">
        <v>993</v>
      </c>
      <c r="L129" s="8" t="s">
        <v>994</v>
      </c>
      <c r="M129" s="8" t="s">
        <v>4576</v>
      </c>
      <c r="N129" s="8">
        <v>41</v>
      </c>
      <c r="O129" s="8"/>
      <c r="P129" s="8" t="s">
        <v>995</v>
      </c>
    </row>
    <row r="130" spans="1:16" x14ac:dyDescent="0.25">
      <c r="A130" s="8" t="s">
        <v>4574</v>
      </c>
      <c r="B130" s="8" t="s">
        <v>992</v>
      </c>
      <c r="C130" s="8" t="s">
        <v>4575</v>
      </c>
      <c r="D130" s="8" t="s">
        <v>265</v>
      </c>
      <c r="E130" s="8"/>
      <c r="F130" s="8" t="s">
        <v>412</v>
      </c>
      <c r="G130" s="8"/>
      <c r="H130" s="8"/>
      <c r="I130" s="8"/>
      <c r="J130" s="8" t="s">
        <v>524</v>
      </c>
      <c r="K130" s="8" t="s">
        <v>993</v>
      </c>
      <c r="L130" s="8" t="s">
        <v>994</v>
      </c>
      <c r="M130" s="8" t="s">
        <v>4576</v>
      </c>
      <c r="N130" s="8">
        <v>41</v>
      </c>
      <c r="O130" s="8"/>
      <c r="P130" s="8" t="s">
        <v>995</v>
      </c>
    </row>
    <row r="131" spans="1:16" x14ac:dyDescent="0.25">
      <c r="A131" s="8" t="s">
        <v>4574</v>
      </c>
      <c r="B131" s="8" t="s">
        <v>992</v>
      </c>
      <c r="C131" s="8" t="s">
        <v>4575</v>
      </c>
      <c r="D131" s="8" t="s">
        <v>307</v>
      </c>
      <c r="E131" s="8"/>
      <c r="F131" s="8" t="s">
        <v>412</v>
      </c>
      <c r="G131" s="8"/>
      <c r="H131" s="8"/>
      <c r="I131" s="8"/>
      <c r="J131" s="8"/>
      <c r="K131" s="8" t="s">
        <v>993</v>
      </c>
      <c r="L131" s="8" t="s">
        <v>994</v>
      </c>
      <c r="M131" s="8" t="s">
        <v>4576</v>
      </c>
      <c r="N131" s="8">
        <v>41</v>
      </c>
      <c r="O131" s="8"/>
      <c r="P131" s="8" t="s">
        <v>995</v>
      </c>
    </row>
    <row r="132" spans="1:16" x14ac:dyDescent="0.25">
      <c r="A132" s="8" t="s">
        <v>4574</v>
      </c>
      <c r="B132" s="8" t="s">
        <v>992</v>
      </c>
      <c r="C132" s="8" t="s">
        <v>4575</v>
      </c>
      <c r="D132" s="8" t="s">
        <v>279</v>
      </c>
      <c r="E132" s="8"/>
      <c r="F132" s="8" t="s">
        <v>437</v>
      </c>
      <c r="G132" s="8"/>
      <c r="H132" s="8"/>
      <c r="I132" s="8"/>
      <c r="J132" s="8" t="s">
        <v>525</v>
      </c>
      <c r="K132" s="8" t="s">
        <v>993</v>
      </c>
      <c r="L132" s="8" t="s">
        <v>994</v>
      </c>
      <c r="M132" s="8" t="s">
        <v>4576</v>
      </c>
      <c r="N132" s="8">
        <v>41</v>
      </c>
      <c r="O132" s="8"/>
      <c r="P132" s="8" t="s">
        <v>995</v>
      </c>
    </row>
    <row r="133" spans="1:16" x14ac:dyDescent="0.25">
      <c r="A133" s="8" t="s">
        <v>4574</v>
      </c>
      <c r="B133" s="8" t="s">
        <v>992</v>
      </c>
      <c r="C133" s="8" t="s">
        <v>4575</v>
      </c>
      <c r="D133" s="8" t="s">
        <v>156</v>
      </c>
      <c r="E133" s="8"/>
      <c r="F133" s="8" t="s">
        <v>412</v>
      </c>
      <c r="G133" s="8"/>
      <c r="H133" s="8"/>
      <c r="I133" s="8"/>
      <c r="J133" s="8" t="s">
        <v>527</v>
      </c>
      <c r="K133" s="8" t="s">
        <v>993</v>
      </c>
      <c r="L133" s="8" t="s">
        <v>994</v>
      </c>
      <c r="M133" s="8" t="s">
        <v>4576</v>
      </c>
      <c r="N133" s="8">
        <v>41</v>
      </c>
      <c r="O133" s="8"/>
      <c r="P133" s="8" t="s">
        <v>995</v>
      </c>
    </row>
    <row r="134" spans="1:16" x14ac:dyDescent="0.25">
      <c r="A134" s="8" t="s">
        <v>4574</v>
      </c>
      <c r="B134" s="8" t="s">
        <v>992</v>
      </c>
      <c r="C134" s="8" t="s">
        <v>4575</v>
      </c>
      <c r="D134" s="8" t="s">
        <v>113</v>
      </c>
      <c r="E134" s="8"/>
      <c r="F134" s="8" t="s">
        <v>412</v>
      </c>
      <c r="G134" s="8"/>
      <c r="H134" s="8"/>
      <c r="I134" s="8"/>
      <c r="J134" s="8" t="s">
        <v>523</v>
      </c>
      <c r="K134" s="8" t="s">
        <v>993</v>
      </c>
      <c r="L134" s="8" t="s">
        <v>994</v>
      </c>
      <c r="M134" s="8" t="s">
        <v>4576</v>
      </c>
      <c r="N134" s="8">
        <v>41</v>
      </c>
      <c r="O134" s="8"/>
      <c r="P134" s="8" t="s">
        <v>995</v>
      </c>
    </row>
    <row r="135" spans="1:16" x14ac:dyDescent="0.25">
      <c r="A135" s="8" t="s">
        <v>4574</v>
      </c>
      <c r="B135" s="8" t="s">
        <v>992</v>
      </c>
      <c r="C135" s="8" t="s">
        <v>4575</v>
      </c>
      <c r="D135" s="8" t="s">
        <v>348</v>
      </c>
      <c r="E135" s="8"/>
      <c r="F135" s="8" t="s">
        <v>412</v>
      </c>
      <c r="G135" s="8"/>
      <c r="H135" s="8"/>
      <c r="I135" s="8"/>
      <c r="J135" s="8" t="s">
        <v>526</v>
      </c>
      <c r="K135" s="8" t="s">
        <v>993</v>
      </c>
      <c r="L135" s="8" t="s">
        <v>994</v>
      </c>
      <c r="M135" s="8" t="s">
        <v>4576</v>
      </c>
      <c r="N135" s="8">
        <v>41</v>
      </c>
      <c r="O135" s="8"/>
      <c r="P135" s="8" t="s">
        <v>995</v>
      </c>
    </row>
    <row r="136" spans="1:16" x14ac:dyDescent="0.25">
      <c r="A136" s="8" t="s">
        <v>4574</v>
      </c>
      <c r="B136" s="8" t="s">
        <v>992</v>
      </c>
      <c r="C136" s="8" t="s">
        <v>4575</v>
      </c>
      <c r="D136" s="8" t="s">
        <v>116</v>
      </c>
      <c r="E136" s="8"/>
      <c r="F136" s="8" t="s">
        <v>412</v>
      </c>
      <c r="G136" s="8"/>
      <c r="H136" s="8"/>
      <c r="I136" s="8"/>
      <c r="J136" s="8" t="s">
        <v>521</v>
      </c>
      <c r="K136" s="8" t="s">
        <v>993</v>
      </c>
      <c r="L136" s="8" t="s">
        <v>994</v>
      </c>
      <c r="M136" s="8" t="s">
        <v>4576</v>
      </c>
      <c r="N136" s="8">
        <v>41</v>
      </c>
      <c r="O136" s="8"/>
      <c r="P136" s="8" t="s">
        <v>995</v>
      </c>
    </row>
    <row r="137" spans="1:16" x14ac:dyDescent="0.25">
      <c r="A137" s="8" t="s">
        <v>4574</v>
      </c>
      <c r="B137" s="8" t="s">
        <v>992</v>
      </c>
      <c r="C137" s="8" t="s">
        <v>4575</v>
      </c>
      <c r="D137" s="8" t="s">
        <v>247</v>
      </c>
      <c r="E137" s="8"/>
      <c r="F137" s="8" t="s">
        <v>412</v>
      </c>
      <c r="G137" s="8"/>
      <c r="H137" s="8"/>
      <c r="I137" s="8"/>
      <c r="J137" s="8" t="s">
        <v>528</v>
      </c>
      <c r="K137" s="8" t="s">
        <v>993</v>
      </c>
      <c r="L137" s="8" t="s">
        <v>994</v>
      </c>
      <c r="M137" s="8" t="s">
        <v>4576</v>
      </c>
      <c r="N137" s="8">
        <v>41</v>
      </c>
      <c r="O137" s="8"/>
      <c r="P137" s="8" t="s">
        <v>995</v>
      </c>
    </row>
    <row r="138" spans="1:16" x14ac:dyDescent="0.25">
      <c r="A138" s="8" t="s">
        <v>4574</v>
      </c>
      <c r="B138" s="8" t="s">
        <v>992</v>
      </c>
      <c r="C138" s="8" t="s">
        <v>4575</v>
      </c>
      <c r="D138" s="8" t="s">
        <v>80</v>
      </c>
      <c r="E138" s="8"/>
      <c r="F138" s="8" t="s">
        <v>412</v>
      </c>
      <c r="G138" s="8"/>
      <c r="H138" s="8"/>
      <c r="I138" s="8"/>
      <c r="J138" s="8" t="s">
        <v>529</v>
      </c>
      <c r="K138" s="8" t="s">
        <v>993</v>
      </c>
      <c r="L138" s="8" t="s">
        <v>994</v>
      </c>
      <c r="M138" s="8" t="s">
        <v>4576</v>
      </c>
      <c r="N138" s="8">
        <v>41</v>
      </c>
      <c r="O138" s="8"/>
      <c r="P138" s="8" t="s">
        <v>995</v>
      </c>
    </row>
    <row r="139" spans="1:16" x14ac:dyDescent="0.25">
      <c r="A139" s="8" t="s">
        <v>4574</v>
      </c>
      <c r="B139" s="8" t="s">
        <v>992</v>
      </c>
      <c r="C139" s="8" t="s">
        <v>4575</v>
      </c>
      <c r="D139" s="8" t="s">
        <v>35</v>
      </c>
      <c r="E139" s="8"/>
      <c r="F139" s="8" t="s">
        <v>412</v>
      </c>
      <c r="G139" s="8"/>
      <c r="H139" s="8"/>
      <c r="I139" s="8"/>
      <c r="J139" s="8" t="s">
        <v>530</v>
      </c>
      <c r="K139" s="8" t="s">
        <v>993</v>
      </c>
      <c r="L139" s="8" t="s">
        <v>994</v>
      </c>
      <c r="M139" s="8" t="s">
        <v>4576</v>
      </c>
      <c r="N139" s="8">
        <v>41</v>
      </c>
      <c r="O139" s="8"/>
      <c r="P139" s="8" t="s">
        <v>995</v>
      </c>
    </row>
    <row r="140" spans="1:16" x14ac:dyDescent="0.25">
      <c r="A140" s="8" t="s">
        <v>4574</v>
      </c>
      <c r="B140" s="8" t="s">
        <v>992</v>
      </c>
      <c r="C140" s="8" t="s">
        <v>4575</v>
      </c>
      <c r="D140" s="8" t="s">
        <v>15</v>
      </c>
      <c r="E140" s="8"/>
      <c r="F140" s="8" t="s">
        <v>412</v>
      </c>
      <c r="G140" s="8"/>
      <c r="H140" s="8"/>
      <c r="I140" s="8"/>
      <c r="J140" s="8" t="s">
        <v>532</v>
      </c>
      <c r="K140" s="8" t="s">
        <v>993</v>
      </c>
      <c r="L140" s="8" t="s">
        <v>994</v>
      </c>
      <c r="M140" s="8" t="s">
        <v>4576</v>
      </c>
      <c r="N140" s="8">
        <v>41</v>
      </c>
      <c r="O140" s="8"/>
      <c r="P140" s="8" t="s">
        <v>995</v>
      </c>
    </row>
    <row r="141" spans="1:16" x14ac:dyDescent="0.25">
      <c r="A141" s="8" t="s">
        <v>4574</v>
      </c>
      <c r="B141" s="8" t="s">
        <v>992</v>
      </c>
      <c r="C141" s="8" t="s">
        <v>4575</v>
      </c>
      <c r="D141" s="8" t="s">
        <v>254</v>
      </c>
      <c r="E141" s="8"/>
      <c r="F141" s="8" t="s">
        <v>412</v>
      </c>
      <c r="G141" s="8"/>
      <c r="H141" s="8"/>
      <c r="I141" s="8"/>
      <c r="J141" s="8" t="s">
        <v>533</v>
      </c>
      <c r="K141" s="8" t="s">
        <v>993</v>
      </c>
      <c r="L141" s="8" t="s">
        <v>994</v>
      </c>
      <c r="M141" s="8" t="s">
        <v>4576</v>
      </c>
      <c r="N141" s="8">
        <v>41</v>
      </c>
      <c r="O141" s="8"/>
      <c r="P141" s="8" t="s">
        <v>995</v>
      </c>
    </row>
    <row r="142" spans="1:16" x14ac:dyDescent="0.25">
      <c r="A142" s="8" t="s">
        <v>4574</v>
      </c>
      <c r="B142" s="8" t="s">
        <v>992</v>
      </c>
      <c r="C142" s="8" t="s">
        <v>4575</v>
      </c>
      <c r="D142" s="8" t="s">
        <v>150</v>
      </c>
      <c r="E142" s="8"/>
      <c r="F142" s="8" t="s">
        <v>412</v>
      </c>
      <c r="G142" s="8"/>
      <c r="H142" s="8"/>
      <c r="I142" s="8"/>
      <c r="J142" s="8"/>
      <c r="K142" s="8" t="s">
        <v>993</v>
      </c>
      <c r="L142" s="8" t="s">
        <v>994</v>
      </c>
      <c r="M142" s="8" t="s">
        <v>4576</v>
      </c>
      <c r="N142" s="8">
        <v>41</v>
      </c>
      <c r="O142" s="8"/>
      <c r="P142" s="8" t="s">
        <v>995</v>
      </c>
    </row>
    <row r="143" spans="1:16" x14ac:dyDescent="0.25">
      <c r="A143" s="8" t="s">
        <v>4574</v>
      </c>
      <c r="B143" s="8" t="s">
        <v>992</v>
      </c>
      <c r="C143" s="8" t="s">
        <v>4575</v>
      </c>
      <c r="D143" s="8" t="s">
        <v>57</v>
      </c>
      <c r="E143" s="8"/>
      <c r="F143" s="8" t="s">
        <v>412</v>
      </c>
      <c r="G143" s="8"/>
      <c r="H143" s="8"/>
      <c r="I143" s="8"/>
      <c r="J143" s="8" t="s">
        <v>534</v>
      </c>
      <c r="K143" s="8" t="s">
        <v>993</v>
      </c>
      <c r="L143" s="8" t="s">
        <v>994</v>
      </c>
      <c r="M143" s="8" t="s">
        <v>4576</v>
      </c>
      <c r="N143" s="8">
        <v>41</v>
      </c>
      <c r="O143" s="8"/>
      <c r="P143" s="8" t="s">
        <v>995</v>
      </c>
    </row>
    <row r="144" spans="1:16" x14ac:dyDescent="0.25">
      <c r="A144" s="8" t="s">
        <v>4574</v>
      </c>
      <c r="B144" s="8" t="s">
        <v>992</v>
      </c>
      <c r="C144" s="8" t="s">
        <v>4575</v>
      </c>
      <c r="D144" s="8" t="s">
        <v>130</v>
      </c>
      <c r="E144" s="8"/>
      <c r="F144" s="8" t="s">
        <v>412</v>
      </c>
      <c r="G144" s="8"/>
      <c r="H144" s="8"/>
      <c r="I144" s="8"/>
      <c r="J144" s="8" t="s">
        <v>531</v>
      </c>
      <c r="K144" s="8" t="s">
        <v>993</v>
      </c>
      <c r="L144" s="8" t="s">
        <v>994</v>
      </c>
      <c r="M144" s="8" t="s">
        <v>4576</v>
      </c>
      <c r="N144" s="8">
        <v>41</v>
      </c>
      <c r="O144" s="8"/>
      <c r="P144" s="8" t="s">
        <v>995</v>
      </c>
    </row>
    <row r="145" spans="1:16" x14ac:dyDescent="0.25">
      <c r="A145" s="8" t="s">
        <v>4574</v>
      </c>
      <c r="B145" s="8" t="s">
        <v>992</v>
      </c>
      <c r="C145" s="8" t="s">
        <v>4575</v>
      </c>
      <c r="D145" s="8" t="s">
        <v>169</v>
      </c>
      <c r="E145" s="8"/>
      <c r="F145" s="8" t="s">
        <v>412</v>
      </c>
      <c r="G145" s="8"/>
      <c r="H145" s="8"/>
      <c r="I145" s="8"/>
      <c r="J145" s="8"/>
      <c r="K145" s="8" t="s">
        <v>993</v>
      </c>
      <c r="L145" s="8" t="s">
        <v>994</v>
      </c>
      <c r="M145" s="8" t="s">
        <v>4576</v>
      </c>
      <c r="N145" s="8">
        <v>41</v>
      </c>
      <c r="O145" s="8"/>
      <c r="P145" s="8" t="s">
        <v>995</v>
      </c>
    </row>
    <row r="146" spans="1:16" x14ac:dyDescent="0.25">
      <c r="A146" s="8" t="s">
        <v>4574</v>
      </c>
      <c r="B146" s="8" t="s">
        <v>992</v>
      </c>
      <c r="C146" s="8" t="s">
        <v>4575</v>
      </c>
      <c r="D146" s="8" t="s">
        <v>87</v>
      </c>
      <c r="E146" s="8"/>
      <c r="F146" s="8" t="s">
        <v>412</v>
      </c>
      <c r="G146" s="8"/>
      <c r="H146" s="8"/>
      <c r="I146" s="8"/>
      <c r="J146" s="8" t="s">
        <v>535</v>
      </c>
      <c r="K146" s="8" t="s">
        <v>993</v>
      </c>
      <c r="L146" s="8" t="s">
        <v>994</v>
      </c>
      <c r="M146" s="8" t="s">
        <v>4576</v>
      </c>
      <c r="N146" s="8">
        <v>41</v>
      </c>
      <c r="O146" s="8"/>
      <c r="P146" s="8" t="s">
        <v>995</v>
      </c>
    </row>
    <row r="147" spans="1:16" x14ac:dyDescent="0.25">
      <c r="A147" s="8" t="s">
        <v>4574</v>
      </c>
      <c r="B147" s="8" t="s">
        <v>992</v>
      </c>
      <c r="C147" s="8" t="s">
        <v>4575</v>
      </c>
      <c r="D147" s="8" t="s">
        <v>117</v>
      </c>
      <c r="E147" s="8"/>
      <c r="F147" s="8" t="s">
        <v>412</v>
      </c>
      <c r="G147" s="8"/>
      <c r="H147" s="8"/>
      <c r="I147" s="8"/>
      <c r="J147" s="8" t="s">
        <v>536</v>
      </c>
      <c r="K147" s="8" t="s">
        <v>993</v>
      </c>
      <c r="L147" s="8" t="s">
        <v>994</v>
      </c>
      <c r="M147" s="8" t="s">
        <v>4576</v>
      </c>
      <c r="N147" s="8">
        <v>41</v>
      </c>
      <c r="O147" s="8"/>
      <c r="P147" s="8" t="s">
        <v>995</v>
      </c>
    </row>
    <row r="148" spans="1:16" x14ac:dyDescent="0.25">
      <c r="A148" s="8" t="s">
        <v>4574</v>
      </c>
      <c r="B148" s="8" t="s">
        <v>992</v>
      </c>
      <c r="C148" s="8" t="s">
        <v>4575</v>
      </c>
      <c r="D148" s="8" t="s">
        <v>332</v>
      </c>
      <c r="E148" s="8"/>
      <c r="F148" s="8" t="s">
        <v>412</v>
      </c>
      <c r="G148" s="8"/>
      <c r="H148" s="8"/>
      <c r="I148" s="8"/>
      <c r="J148" s="8" t="s">
        <v>537</v>
      </c>
      <c r="K148" s="8" t="s">
        <v>993</v>
      </c>
      <c r="L148" s="8" t="s">
        <v>994</v>
      </c>
      <c r="M148" s="8" t="s">
        <v>4576</v>
      </c>
      <c r="N148" s="8">
        <v>41</v>
      </c>
      <c r="O148" s="8"/>
      <c r="P148" s="8" t="s">
        <v>995</v>
      </c>
    </row>
    <row r="149" spans="1:16" x14ac:dyDescent="0.25">
      <c r="A149" s="8" t="s">
        <v>4574</v>
      </c>
      <c r="B149" s="8" t="s">
        <v>992</v>
      </c>
      <c r="C149" s="8" t="s">
        <v>4575</v>
      </c>
      <c r="D149" s="8" t="s">
        <v>216</v>
      </c>
      <c r="E149" s="8"/>
      <c r="F149" s="8" t="s">
        <v>412</v>
      </c>
      <c r="G149" s="8"/>
      <c r="H149" s="8"/>
      <c r="I149" s="8"/>
      <c r="J149" s="8" t="s">
        <v>539</v>
      </c>
      <c r="K149" s="8" t="s">
        <v>993</v>
      </c>
      <c r="L149" s="8" t="s">
        <v>994</v>
      </c>
      <c r="M149" s="8" t="s">
        <v>4576</v>
      </c>
      <c r="N149" s="8">
        <v>41</v>
      </c>
      <c r="O149" s="8"/>
      <c r="P149" s="8" t="s">
        <v>995</v>
      </c>
    </row>
    <row r="150" spans="1:16" x14ac:dyDescent="0.25">
      <c r="A150" s="8" t="s">
        <v>4574</v>
      </c>
      <c r="B150" s="8" t="s">
        <v>992</v>
      </c>
      <c r="C150" s="8" t="s">
        <v>4575</v>
      </c>
      <c r="D150" s="8" t="s">
        <v>159</v>
      </c>
      <c r="E150" s="8"/>
      <c r="F150" s="8" t="s">
        <v>412</v>
      </c>
      <c r="G150" s="8"/>
      <c r="H150" s="8"/>
      <c r="I150" s="8"/>
      <c r="J150" s="8" t="s">
        <v>538</v>
      </c>
      <c r="K150" s="8" t="s">
        <v>993</v>
      </c>
      <c r="L150" s="8" t="s">
        <v>994</v>
      </c>
      <c r="M150" s="8" t="s">
        <v>4576</v>
      </c>
      <c r="N150" s="8">
        <v>41</v>
      </c>
      <c r="O150" s="8"/>
      <c r="P150" s="8" t="s">
        <v>995</v>
      </c>
    </row>
    <row r="151" spans="1:16" x14ac:dyDescent="0.25">
      <c r="A151" s="8" t="s">
        <v>4574</v>
      </c>
      <c r="B151" s="8" t="s">
        <v>992</v>
      </c>
      <c r="C151" s="8" t="s">
        <v>4575</v>
      </c>
      <c r="D151" s="8" t="s">
        <v>110</v>
      </c>
      <c r="E151" s="8"/>
      <c r="F151" s="8" t="s">
        <v>412</v>
      </c>
      <c r="G151" s="8"/>
      <c r="H151" s="8"/>
      <c r="I151" s="8"/>
      <c r="J151" s="8" t="s">
        <v>541</v>
      </c>
      <c r="K151" s="8" t="s">
        <v>993</v>
      </c>
      <c r="L151" s="8" t="s">
        <v>994</v>
      </c>
      <c r="M151" s="8" t="s">
        <v>4576</v>
      </c>
      <c r="N151" s="8">
        <v>41</v>
      </c>
      <c r="O151" s="8"/>
      <c r="P151" s="8" t="s">
        <v>995</v>
      </c>
    </row>
    <row r="152" spans="1:16" x14ac:dyDescent="0.25">
      <c r="A152" s="8" t="s">
        <v>4574</v>
      </c>
      <c r="B152" s="8" t="s">
        <v>992</v>
      </c>
      <c r="C152" s="8" t="s">
        <v>4575</v>
      </c>
      <c r="D152" s="8" t="s">
        <v>243</v>
      </c>
      <c r="E152" s="8"/>
      <c r="F152" s="8" t="s">
        <v>412</v>
      </c>
      <c r="G152" s="8"/>
      <c r="H152" s="8"/>
      <c r="I152" s="8"/>
      <c r="J152" s="8" t="s">
        <v>545</v>
      </c>
      <c r="K152" s="8" t="s">
        <v>993</v>
      </c>
      <c r="L152" s="8" t="s">
        <v>994</v>
      </c>
      <c r="M152" s="8" t="s">
        <v>4576</v>
      </c>
      <c r="N152" s="8">
        <v>41</v>
      </c>
      <c r="O152" s="8"/>
      <c r="P152" s="8" t="s">
        <v>995</v>
      </c>
    </row>
    <row r="153" spans="1:16" x14ac:dyDescent="0.25">
      <c r="A153" s="8" t="s">
        <v>4574</v>
      </c>
      <c r="B153" s="8" t="s">
        <v>992</v>
      </c>
      <c r="C153" s="8" t="s">
        <v>4575</v>
      </c>
      <c r="D153" s="8" t="s">
        <v>201</v>
      </c>
      <c r="E153" s="8"/>
      <c r="F153" s="8" t="s">
        <v>412</v>
      </c>
      <c r="G153" s="8"/>
      <c r="H153" s="8"/>
      <c r="I153" s="8"/>
      <c r="J153" s="8" t="s">
        <v>547</v>
      </c>
      <c r="K153" s="8" t="s">
        <v>993</v>
      </c>
      <c r="L153" s="8" t="s">
        <v>994</v>
      </c>
      <c r="M153" s="8" t="s">
        <v>4576</v>
      </c>
      <c r="N153" s="8">
        <v>41</v>
      </c>
      <c r="O153" s="8"/>
      <c r="P153" s="8" t="s">
        <v>995</v>
      </c>
    </row>
    <row r="154" spans="1:16" x14ac:dyDescent="0.25">
      <c r="A154" s="8" t="s">
        <v>4574</v>
      </c>
      <c r="B154" s="8" t="s">
        <v>992</v>
      </c>
      <c r="C154" s="8" t="s">
        <v>4575</v>
      </c>
      <c r="D154" s="8" t="s">
        <v>42</v>
      </c>
      <c r="E154" s="8"/>
      <c r="F154" s="8" t="s">
        <v>412</v>
      </c>
      <c r="G154" s="8"/>
      <c r="H154" s="8"/>
      <c r="I154" s="8"/>
      <c r="J154" s="8" t="s">
        <v>543</v>
      </c>
      <c r="K154" s="8" t="s">
        <v>993</v>
      </c>
      <c r="L154" s="8" t="s">
        <v>994</v>
      </c>
      <c r="M154" s="8" t="s">
        <v>4576</v>
      </c>
      <c r="N154" s="8">
        <v>41</v>
      </c>
      <c r="O154" s="8"/>
      <c r="P154" s="8" t="s">
        <v>995</v>
      </c>
    </row>
    <row r="155" spans="1:16" x14ac:dyDescent="0.25">
      <c r="A155" s="8" t="s">
        <v>4574</v>
      </c>
      <c r="B155" s="8" t="s">
        <v>992</v>
      </c>
      <c r="C155" s="8" t="s">
        <v>4575</v>
      </c>
      <c r="D155" s="8" t="s">
        <v>342</v>
      </c>
      <c r="E155" s="8"/>
      <c r="F155" s="8" t="s">
        <v>412</v>
      </c>
      <c r="G155" s="8"/>
      <c r="H155" s="8"/>
      <c r="I155" s="8"/>
      <c r="J155" s="8"/>
      <c r="K155" s="8" t="s">
        <v>993</v>
      </c>
      <c r="L155" s="8" t="s">
        <v>994</v>
      </c>
      <c r="M155" s="8" t="s">
        <v>4576</v>
      </c>
      <c r="N155" s="8">
        <v>41</v>
      </c>
      <c r="O155" s="8"/>
      <c r="P155" s="8" t="s">
        <v>995</v>
      </c>
    </row>
    <row r="156" spans="1:16" x14ac:dyDescent="0.25">
      <c r="A156" s="8" t="s">
        <v>4574</v>
      </c>
      <c r="B156" s="8" t="s">
        <v>992</v>
      </c>
      <c r="C156" s="8" t="s">
        <v>4575</v>
      </c>
      <c r="D156" s="8" t="s">
        <v>284</v>
      </c>
      <c r="E156" s="8"/>
      <c r="F156" s="8" t="s">
        <v>412</v>
      </c>
      <c r="G156" s="8"/>
      <c r="H156" s="8"/>
      <c r="I156" s="8"/>
      <c r="J156" s="8" t="s">
        <v>548</v>
      </c>
      <c r="K156" s="8" t="s">
        <v>993</v>
      </c>
      <c r="L156" s="8" t="s">
        <v>994</v>
      </c>
      <c r="M156" s="8" t="s">
        <v>4576</v>
      </c>
      <c r="N156" s="8">
        <v>41</v>
      </c>
      <c r="O156" s="8"/>
      <c r="P156" s="8" t="s">
        <v>995</v>
      </c>
    </row>
    <row r="157" spans="1:16" x14ac:dyDescent="0.25">
      <c r="A157" s="8" t="s">
        <v>4574</v>
      </c>
      <c r="B157" s="8" t="s">
        <v>992</v>
      </c>
      <c r="C157" s="8" t="s">
        <v>4575</v>
      </c>
      <c r="D157" s="8" t="s">
        <v>84</v>
      </c>
      <c r="E157" s="8"/>
      <c r="F157" s="8" t="s">
        <v>412</v>
      </c>
      <c r="G157" s="8"/>
      <c r="H157" s="8"/>
      <c r="I157" s="8"/>
      <c r="J157" s="8" t="s">
        <v>546</v>
      </c>
      <c r="K157" s="8" t="s">
        <v>993</v>
      </c>
      <c r="L157" s="8" t="s">
        <v>994</v>
      </c>
      <c r="M157" s="8" t="s">
        <v>4576</v>
      </c>
      <c r="N157" s="8">
        <v>41</v>
      </c>
      <c r="O157" s="8"/>
      <c r="P157" s="8" t="s">
        <v>995</v>
      </c>
    </row>
    <row r="158" spans="1:16" x14ac:dyDescent="0.25">
      <c r="A158" s="8" t="s">
        <v>4574</v>
      </c>
      <c r="B158" s="8" t="s">
        <v>992</v>
      </c>
      <c r="C158" s="8" t="s">
        <v>4575</v>
      </c>
      <c r="D158" s="8" t="s">
        <v>86</v>
      </c>
      <c r="E158" s="8"/>
      <c r="F158" s="8" t="s">
        <v>412</v>
      </c>
      <c r="G158" s="8"/>
      <c r="H158" s="8"/>
      <c r="I158" s="8"/>
      <c r="J158" s="8" t="s">
        <v>542</v>
      </c>
      <c r="K158" s="8" t="s">
        <v>993</v>
      </c>
      <c r="L158" s="8" t="s">
        <v>994</v>
      </c>
      <c r="M158" s="8" t="s">
        <v>4576</v>
      </c>
      <c r="N158" s="8">
        <v>41</v>
      </c>
      <c r="O158" s="8"/>
      <c r="P158" s="8" t="s">
        <v>995</v>
      </c>
    </row>
    <row r="159" spans="1:16" x14ac:dyDescent="0.25">
      <c r="A159" s="8" t="s">
        <v>4574</v>
      </c>
      <c r="B159" s="8" t="s">
        <v>992</v>
      </c>
      <c r="C159" s="8" t="s">
        <v>4575</v>
      </c>
      <c r="D159" s="8" t="s">
        <v>162</v>
      </c>
      <c r="E159" s="8"/>
      <c r="F159" s="8" t="s">
        <v>412</v>
      </c>
      <c r="G159" s="8"/>
      <c r="H159" s="8"/>
      <c r="I159" s="8"/>
      <c r="J159" s="8" t="s">
        <v>549</v>
      </c>
      <c r="K159" s="8" t="s">
        <v>993</v>
      </c>
      <c r="L159" s="8" t="s">
        <v>994</v>
      </c>
      <c r="M159" s="8" t="s">
        <v>4576</v>
      </c>
      <c r="N159" s="8">
        <v>41</v>
      </c>
      <c r="O159" s="8"/>
      <c r="P159" s="8" t="s">
        <v>995</v>
      </c>
    </row>
    <row r="160" spans="1:16" x14ac:dyDescent="0.25">
      <c r="A160" s="8" t="s">
        <v>4574</v>
      </c>
      <c r="B160" s="8" t="s">
        <v>992</v>
      </c>
      <c r="C160" s="8" t="s">
        <v>4575</v>
      </c>
      <c r="D160" s="8" t="s">
        <v>352</v>
      </c>
      <c r="E160" s="8"/>
      <c r="F160" s="8" t="s">
        <v>412</v>
      </c>
      <c r="G160" s="8"/>
      <c r="H160" s="8"/>
      <c r="I160" s="8"/>
      <c r="J160" s="8" t="s">
        <v>540</v>
      </c>
      <c r="K160" s="8" t="s">
        <v>993</v>
      </c>
      <c r="L160" s="8" t="s">
        <v>994</v>
      </c>
      <c r="M160" s="8" t="s">
        <v>4576</v>
      </c>
      <c r="N160" s="8">
        <v>41</v>
      </c>
      <c r="O160" s="8"/>
      <c r="P160" s="8" t="s">
        <v>995</v>
      </c>
    </row>
    <row r="161" spans="1:16" x14ac:dyDescent="0.25">
      <c r="A161" s="8" t="s">
        <v>4574</v>
      </c>
      <c r="B161" s="8" t="s">
        <v>992</v>
      </c>
      <c r="C161" s="8" t="s">
        <v>4575</v>
      </c>
      <c r="D161" s="8" t="s">
        <v>68</v>
      </c>
      <c r="E161" s="8"/>
      <c r="F161" s="8" t="s">
        <v>412</v>
      </c>
      <c r="G161" s="8"/>
      <c r="H161" s="8"/>
      <c r="I161" s="8"/>
      <c r="J161" s="8" t="s">
        <v>544</v>
      </c>
      <c r="K161" s="8" t="s">
        <v>993</v>
      </c>
      <c r="L161" s="8" t="s">
        <v>994</v>
      </c>
      <c r="M161" s="8" t="s">
        <v>4576</v>
      </c>
      <c r="N161" s="8">
        <v>41</v>
      </c>
      <c r="O161" s="8"/>
      <c r="P161" s="8" t="s">
        <v>995</v>
      </c>
    </row>
    <row r="162" spans="1:16" x14ac:dyDescent="0.25">
      <c r="A162" s="8" t="s">
        <v>4574</v>
      </c>
      <c r="B162" s="8" t="s">
        <v>992</v>
      </c>
      <c r="C162" s="8" t="s">
        <v>4575</v>
      </c>
      <c r="D162" s="8" t="s">
        <v>153</v>
      </c>
      <c r="E162" s="8"/>
      <c r="F162" s="8" t="s">
        <v>412</v>
      </c>
      <c r="G162" s="8"/>
      <c r="H162" s="8"/>
      <c r="I162" s="8"/>
      <c r="J162" s="8"/>
      <c r="K162" s="8" t="s">
        <v>993</v>
      </c>
      <c r="L162" s="8" t="s">
        <v>994</v>
      </c>
      <c r="M162" s="8" t="s">
        <v>4576</v>
      </c>
      <c r="N162" s="8">
        <v>41</v>
      </c>
      <c r="O162" s="8"/>
      <c r="P162" s="8" t="s">
        <v>995</v>
      </c>
    </row>
    <row r="163" spans="1:16" x14ac:dyDescent="0.25">
      <c r="A163" s="8" t="s">
        <v>4574</v>
      </c>
      <c r="B163" s="8" t="s">
        <v>992</v>
      </c>
      <c r="C163" s="8" t="s">
        <v>4575</v>
      </c>
      <c r="D163" s="8" t="s">
        <v>137</v>
      </c>
      <c r="E163" s="8"/>
      <c r="F163" s="8" t="s">
        <v>412</v>
      </c>
      <c r="G163" s="8"/>
      <c r="H163" s="8"/>
      <c r="I163" s="8"/>
      <c r="J163" s="8" t="s">
        <v>551</v>
      </c>
      <c r="K163" s="8" t="s">
        <v>993</v>
      </c>
      <c r="L163" s="8" t="s">
        <v>994</v>
      </c>
      <c r="M163" s="8" t="s">
        <v>4576</v>
      </c>
      <c r="N163" s="8">
        <v>41</v>
      </c>
      <c r="O163" s="8"/>
      <c r="P163" s="8" t="s">
        <v>995</v>
      </c>
    </row>
    <row r="164" spans="1:16" x14ac:dyDescent="0.25">
      <c r="A164" s="8" t="s">
        <v>4574</v>
      </c>
      <c r="B164" s="8" t="s">
        <v>992</v>
      </c>
      <c r="C164" s="8" t="s">
        <v>4575</v>
      </c>
      <c r="D164" s="8" t="s">
        <v>17</v>
      </c>
      <c r="E164" s="8"/>
      <c r="F164" s="8" t="s">
        <v>412</v>
      </c>
      <c r="G164" s="8"/>
      <c r="H164" s="8"/>
      <c r="I164" s="8"/>
      <c r="J164" s="8" t="s">
        <v>550</v>
      </c>
      <c r="K164" s="8" t="s">
        <v>993</v>
      </c>
      <c r="L164" s="8" t="s">
        <v>994</v>
      </c>
      <c r="M164" s="8" t="s">
        <v>4576</v>
      </c>
      <c r="N164" s="8">
        <v>41</v>
      </c>
      <c r="O164" s="8"/>
      <c r="P164" s="8" t="s">
        <v>995</v>
      </c>
    </row>
    <row r="165" spans="1:16" x14ac:dyDescent="0.25">
      <c r="A165" s="8" t="s">
        <v>4574</v>
      </c>
      <c r="B165" s="8" t="s">
        <v>992</v>
      </c>
      <c r="C165" s="8" t="s">
        <v>4575</v>
      </c>
      <c r="D165" s="8" t="s">
        <v>19</v>
      </c>
      <c r="E165" s="8"/>
      <c r="F165" s="8" t="s">
        <v>412</v>
      </c>
      <c r="G165" s="8"/>
      <c r="H165" s="8"/>
      <c r="I165" s="8"/>
      <c r="J165" s="8" t="s">
        <v>552</v>
      </c>
      <c r="K165" s="8" t="s">
        <v>993</v>
      </c>
      <c r="L165" s="8" t="s">
        <v>994</v>
      </c>
      <c r="M165" s="8" t="s">
        <v>4576</v>
      </c>
      <c r="N165" s="8">
        <v>41</v>
      </c>
      <c r="O165" s="8"/>
      <c r="P165" s="8" t="s">
        <v>995</v>
      </c>
    </row>
    <row r="166" spans="1:16" x14ac:dyDescent="0.25">
      <c r="A166" s="8" t="s">
        <v>4574</v>
      </c>
      <c r="B166" s="8" t="s">
        <v>992</v>
      </c>
      <c r="C166" s="8" t="s">
        <v>4575</v>
      </c>
      <c r="D166" s="8" t="s">
        <v>186</v>
      </c>
      <c r="E166" s="8"/>
      <c r="F166" s="8" t="s">
        <v>412</v>
      </c>
      <c r="G166" s="8"/>
      <c r="H166" s="8"/>
      <c r="I166" s="8"/>
      <c r="J166" s="8" t="s">
        <v>555</v>
      </c>
      <c r="K166" s="8" t="s">
        <v>993</v>
      </c>
      <c r="L166" s="8" t="s">
        <v>994</v>
      </c>
      <c r="M166" s="8" t="s">
        <v>4576</v>
      </c>
      <c r="N166" s="8">
        <v>41</v>
      </c>
      <c r="O166" s="8"/>
      <c r="P166" s="8" t="s">
        <v>995</v>
      </c>
    </row>
    <row r="167" spans="1:16" x14ac:dyDescent="0.25">
      <c r="A167" s="8" t="s">
        <v>4574</v>
      </c>
      <c r="B167" s="8" t="s">
        <v>992</v>
      </c>
      <c r="C167" s="8" t="s">
        <v>4575</v>
      </c>
      <c r="D167" s="8" t="s">
        <v>98</v>
      </c>
      <c r="E167" s="8"/>
      <c r="F167" s="8" t="s">
        <v>412</v>
      </c>
      <c r="G167" s="8"/>
      <c r="H167" s="8"/>
      <c r="I167" s="8"/>
      <c r="J167" s="8" t="s">
        <v>553</v>
      </c>
      <c r="K167" s="8" t="s">
        <v>993</v>
      </c>
      <c r="L167" s="8" t="s">
        <v>994</v>
      </c>
      <c r="M167" s="8" t="s">
        <v>4576</v>
      </c>
      <c r="N167" s="8">
        <v>41</v>
      </c>
      <c r="O167" s="8"/>
      <c r="P167" s="8" t="s">
        <v>995</v>
      </c>
    </row>
    <row r="168" spans="1:16" x14ac:dyDescent="0.25">
      <c r="A168" s="8" t="s">
        <v>4574</v>
      </c>
      <c r="B168" s="8" t="s">
        <v>992</v>
      </c>
      <c r="C168" s="8" t="s">
        <v>4575</v>
      </c>
      <c r="D168" s="8" t="s">
        <v>346</v>
      </c>
      <c r="E168" s="8"/>
      <c r="F168" s="8" t="s">
        <v>412</v>
      </c>
      <c r="G168" s="8"/>
      <c r="H168" s="8"/>
      <c r="I168" s="8"/>
      <c r="J168" s="8"/>
      <c r="K168" s="8" t="s">
        <v>993</v>
      </c>
      <c r="L168" s="8" t="s">
        <v>994</v>
      </c>
      <c r="M168" s="8" t="s">
        <v>4576</v>
      </c>
      <c r="N168" s="8">
        <v>41</v>
      </c>
      <c r="O168" s="8"/>
      <c r="P168" s="8" t="s">
        <v>995</v>
      </c>
    </row>
    <row r="169" spans="1:16" x14ac:dyDescent="0.25">
      <c r="A169" s="8" t="s">
        <v>4574</v>
      </c>
      <c r="B169" s="8" t="s">
        <v>992</v>
      </c>
      <c r="C169" s="8" t="s">
        <v>4575</v>
      </c>
      <c r="D169" s="8" t="s">
        <v>198</v>
      </c>
      <c r="E169" s="8"/>
      <c r="F169" s="8" t="s">
        <v>412</v>
      </c>
      <c r="G169" s="8"/>
      <c r="H169" s="8"/>
      <c r="I169" s="8"/>
      <c r="J169" s="8" t="s">
        <v>554</v>
      </c>
      <c r="K169" s="8" t="s">
        <v>993</v>
      </c>
      <c r="L169" s="8" t="s">
        <v>994</v>
      </c>
      <c r="M169" s="8" t="s">
        <v>4576</v>
      </c>
      <c r="N169" s="8">
        <v>41</v>
      </c>
      <c r="O169" s="8"/>
      <c r="P169" s="8" t="s">
        <v>995</v>
      </c>
    </row>
    <row r="170" spans="1:16" x14ac:dyDescent="0.25">
      <c r="A170" s="8" t="s">
        <v>4574</v>
      </c>
      <c r="B170" s="8" t="s">
        <v>992</v>
      </c>
      <c r="C170" s="8" t="s">
        <v>4575</v>
      </c>
      <c r="D170" s="8" t="s">
        <v>261</v>
      </c>
      <c r="E170" s="8"/>
      <c r="F170" s="8" t="s">
        <v>412</v>
      </c>
      <c r="G170" s="8"/>
      <c r="H170" s="8"/>
      <c r="I170" s="8"/>
      <c r="J170" s="8" t="s">
        <v>556</v>
      </c>
      <c r="K170" s="8" t="s">
        <v>993</v>
      </c>
      <c r="L170" s="8" t="s">
        <v>994</v>
      </c>
      <c r="M170" s="8" t="s">
        <v>4576</v>
      </c>
      <c r="N170" s="8">
        <v>41</v>
      </c>
      <c r="O170" s="8"/>
      <c r="P170" s="8" t="s">
        <v>995</v>
      </c>
    </row>
    <row r="171" spans="1:16" x14ac:dyDescent="0.25">
      <c r="A171" s="8" t="s">
        <v>4574</v>
      </c>
      <c r="B171" s="8" t="s">
        <v>992</v>
      </c>
      <c r="C171" s="8" t="s">
        <v>4575</v>
      </c>
      <c r="D171" s="8" t="s">
        <v>62</v>
      </c>
      <c r="E171" s="8"/>
      <c r="F171" s="8" t="s">
        <v>412</v>
      </c>
      <c r="G171" s="8"/>
      <c r="H171" s="8"/>
      <c r="I171" s="8"/>
      <c r="J171" s="8" t="s">
        <v>557</v>
      </c>
      <c r="K171" s="8" t="s">
        <v>993</v>
      </c>
      <c r="L171" s="8" t="s">
        <v>994</v>
      </c>
      <c r="M171" s="8" t="s">
        <v>4576</v>
      </c>
      <c r="N171" s="8">
        <v>41</v>
      </c>
      <c r="O171" s="8"/>
      <c r="P171" s="8" t="s">
        <v>995</v>
      </c>
    </row>
    <row r="172" spans="1:16" x14ac:dyDescent="0.25">
      <c r="A172" s="8" t="s">
        <v>4574</v>
      </c>
      <c r="B172" s="8" t="s">
        <v>992</v>
      </c>
      <c r="C172" s="8" t="s">
        <v>4575</v>
      </c>
      <c r="D172" s="8" t="s">
        <v>176</v>
      </c>
      <c r="E172" s="8"/>
      <c r="F172" s="8" t="s">
        <v>412</v>
      </c>
      <c r="G172" s="8"/>
      <c r="H172" s="8"/>
      <c r="I172" s="8"/>
      <c r="J172" s="8"/>
      <c r="K172" s="8" t="s">
        <v>993</v>
      </c>
      <c r="L172" s="8" t="s">
        <v>994</v>
      </c>
      <c r="M172" s="8" t="s">
        <v>4576</v>
      </c>
      <c r="N172" s="8">
        <v>41</v>
      </c>
      <c r="O172" s="8"/>
      <c r="P172" s="8" t="s">
        <v>995</v>
      </c>
    </row>
    <row r="173" spans="1:16" x14ac:dyDescent="0.25">
      <c r="A173" s="8" t="s">
        <v>4574</v>
      </c>
      <c r="B173" s="8" t="s">
        <v>992</v>
      </c>
      <c r="C173" s="8" t="s">
        <v>4575</v>
      </c>
      <c r="D173" s="8" t="s">
        <v>134</v>
      </c>
      <c r="E173" s="8"/>
      <c r="F173" s="8" t="s">
        <v>412</v>
      </c>
      <c r="G173" s="8"/>
      <c r="H173" s="8"/>
      <c r="I173" s="8"/>
      <c r="J173" s="8" t="s">
        <v>558</v>
      </c>
      <c r="K173" s="8" t="s">
        <v>993</v>
      </c>
      <c r="L173" s="8" t="s">
        <v>994</v>
      </c>
      <c r="M173" s="8" t="s">
        <v>4576</v>
      </c>
      <c r="N173" s="8">
        <v>41</v>
      </c>
      <c r="O173" s="8"/>
      <c r="P173" s="8" t="s">
        <v>995</v>
      </c>
    </row>
    <row r="174" spans="1:16" x14ac:dyDescent="0.25">
      <c r="A174" s="8" t="s">
        <v>4574</v>
      </c>
      <c r="B174" s="8" t="s">
        <v>992</v>
      </c>
      <c r="C174" s="8" t="s">
        <v>4575</v>
      </c>
      <c r="D174" s="8" t="s">
        <v>132</v>
      </c>
      <c r="E174" s="8"/>
      <c r="F174" s="8" t="s">
        <v>412</v>
      </c>
      <c r="G174" s="8"/>
      <c r="H174" s="8"/>
      <c r="I174" s="8"/>
      <c r="J174" s="8" t="s">
        <v>559</v>
      </c>
      <c r="K174" s="8" t="s">
        <v>993</v>
      </c>
      <c r="L174" s="8" t="s">
        <v>994</v>
      </c>
      <c r="M174" s="8" t="s">
        <v>4576</v>
      </c>
      <c r="N174" s="8">
        <v>41</v>
      </c>
      <c r="O174" s="8"/>
      <c r="P174" s="8" t="s">
        <v>995</v>
      </c>
    </row>
    <row r="175" spans="1:16" x14ac:dyDescent="0.25">
      <c r="A175" s="8" t="s">
        <v>4574</v>
      </c>
      <c r="B175" s="8" t="s">
        <v>992</v>
      </c>
      <c r="C175" s="8" t="s">
        <v>4575</v>
      </c>
      <c r="D175" s="8" t="s">
        <v>336</v>
      </c>
      <c r="E175" s="8"/>
      <c r="F175" s="8" t="s">
        <v>412</v>
      </c>
      <c r="G175" s="8"/>
      <c r="H175" s="8"/>
      <c r="I175" s="8"/>
      <c r="J175" s="8"/>
      <c r="K175" s="8" t="s">
        <v>993</v>
      </c>
      <c r="L175" s="8" t="s">
        <v>994</v>
      </c>
      <c r="M175" s="8" t="s">
        <v>4576</v>
      </c>
      <c r="N175" s="8">
        <v>41</v>
      </c>
      <c r="O175" s="8"/>
      <c r="P175" s="8" t="s">
        <v>995</v>
      </c>
    </row>
    <row r="176" spans="1:16" x14ac:dyDescent="0.25">
      <c r="A176" s="8" t="s">
        <v>4574</v>
      </c>
      <c r="B176" s="8" t="s">
        <v>992</v>
      </c>
      <c r="C176" s="8" t="s">
        <v>4575</v>
      </c>
      <c r="D176" s="8" t="s">
        <v>158</v>
      </c>
      <c r="E176" s="8"/>
      <c r="F176" s="8" t="s">
        <v>412</v>
      </c>
      <c r="G176" s="8"/>
      <c r="H176" s="8"/>
      <c r="I176" s="8"/>
      <c r="J176" s="8" t="s">
        <v>561</v>
      </c>
      <c r="K176" s="8" t="s">
        <v>993</v>
      </c>
      <c r="L176" s="8" t="s">
        <v>994</v>
      </c>
      <c r="M176" s="8" t="s">
        <v>4576</v>
      </c>
      <c r="N176" s="8">
        <v>41</v>
      </c>
      <c r="O176" s="8"/>
      <c r="P176" s="8" t="s">
        <v>995</v>
      </c>
    </row>
    <row r="177" spans="1:16" x14ac:dyDescent="0.25">
      <c r="A177" s="8" t="s">
        <v>4574</v>
      </c>
      <c r="B177" s="8" t="s">
        <v>992</v>
      </c>
      <c r="C177" s="8" t="s">
        <v>4575</v>
      </c>
      <c r="D177" s="8" t="s">
        <v>222</v>
      </c>
      <c r="E177" s="8"/>
      <c r="F177" s="8" t="s">
        <v>412</v>
      </c>
      <c r="G177" s="8"/>
      <c r="H177" s="8"/>
      <c r="I177" s="8"/>
      <c r="J177" s="8" t="s">
        <v>560</v>
      </c>
      <c r="K177" s="8" t="s">
        <v>993</v>
      </c>
      <c r="L177" s="8" t="s">
        <v>994</v>
      </c>
      <c r="M177" s="8" t="s">
        <v>4576</v>
      </c>
      <c r="N177" s="8">
        <v>41</v>
      </c>
      <c r="O177" s="8"/>
      <c r="P177" s="8" t="s">
        <v>995</v>
      </c>
    </row>
    <row r="178" spans="1:16" x14ac:dyDescent="0.25">
      <c r="A178" s="8" t="s">
        <v>4574</v>
      </c>
      <c r="B178" s="8" t="s">
        <v>992</v>
      </c>
      <c r="C178" s="8" t="s">
        <v>4575</v>
      </c>
      <c r="D178" s="8" t="s">
        <v>266</v>
      </c>
      <c r="E178" s="8"/>
      <c r="F178" s="8" t="s">
        <v>437</v>
      </c>
      <c r="G178" s="8"/>
      <c r="H178" s="8"/>
      <c r="I178" s="8"/>
      <c r="J178" s="8" t="s">
        <v>562</v>
      </c>
      <c r="K178" s="8" t="s">
        <v>993</v>
      </c>
      <c r="L178" s="8" t="s">
        <v>994</v>
      </c>
      <c r="M178" s="8" t="s">
        <v>4576</v>
      </c>
      <c r="N178" s="8">
        <v>41</v>
      </c>
      <c r="O178" s="8"/>
      <c r="P178" s="8" t="s">
        <v>995</v>
      </c>
    </row>
    <row r="179" spans="1:16" x14ac:dyDescent="0.25">
      <c r="A179" s="8" t="s">
        <v>4574</v>
      </c>
      <c r="B179" s="8" t="s">
        <v>992</v>
      </c>
      <c r="C179" s="8" t="s">
        <v>4575</v>
      </c>
      <c r="D179" s="8" t="s">
        <v>10</v>
      </c>
      <c r="E179" s="8"/>
      <c r="F179" s="8" t="s">
        <v>412</v>
      </c>
      <c r="G179" s="8"/>
      <c r="H179" s="8"/>
      <c r="I179" s="8"/>
      <c r="J179" s="8" t="s">
        <v>563</v>
      </c>
      <c r="K179" s="8" t="s">
        <v>993</v>
      </c>
      <c r="L179" s="8" t="s">
        <v>994</v>
      </c>
      <c r="M179" s="8" t="s">
        <v>4576</v>
      </c>
      <c r="N179" s="8">
        <v>41</v>
      </c>
      <c r="O179" s="8"/>
      <c r="P179" s="8" t="s">
        <v>995</v>
      </c>
    </row>
    <row r="180" spans="1:16" x14ac:dyDescent="0.25">
      <c r="A180" s="8" t="s">
        <v>4574</v>
      </c>
      <c r="B180" s="8" t="s">
        <v>992</v>
      </c>
      <c r="C180" s="8" t="s">
        <v>4575</v>
      </c>
      <c r="D180" s="8" t="s">
        <v>149</v>
      </c>
      <c r="E180" s="8"/>
      <c r="F180" s="8" t="s">
        <v>412</v>
      </c>
      <c r="G180" s="8"/>
      <c r="H180" s="8"/>
      <c r="I180" s="8"/>
      <c r="J180" s="8"/>
      <c r="K180" s="8" t="s">
        <v>993</v>
      </c>
      <c r="L180" s="8" t="s">
        <v>994</v>
      </c>
      <c r="M180" s="8" t="s">
        <v>4576</v>
      </c>
      <c r="N180" s="8">
        <v>41</v>
      </c>
      <c r="O180" s="8"/>
      <c r="P180" s="8" t="s">
        <v>995</v>
      </c>
    </row>
    <row r="181" spans="1:16" x14ac:dyDescent="0.25">
      <c r="A181" s="8" t="s">
        <v>4574</v>
      </c>
      <c r="B181" s="8" t="s">
        <v>992</v>
      </c>
      <c r="C181" s="8" t="s">
        <v>4575</v>
      </c>
      <c r="D181" s="8" t="s">
        <v>20</v>
      </c>
      <c r="E181" s="8"/>
      <c r="F181" s="8" t="s">
        <v>412</v>
      </c>
      <c r="G181" s="8"/>
      <c r="H181" s="8"/>
      <c r="I181" s="8"/>
      <c r="J181" s="8" t="s">
        <v>564</v>
      </c>
      <c r="K181" s="8" t="s">
        <v>993</v>
      </c>
      <c r="L181" s="8" t="s">
        <v>994</v>
      </c>
      <c r="M181" s="8" t="s">
        <v>4576</v>
      </c>
      <c r="N181" s="8">
        <v>41</v>
      </c>
      <c r="O181" s="8"/>
      <c r="P181" s="8" t="s">
        <v>995</v>
      </c>
    </row>
    <row r="182" spans="1:16" x14ac:dyDescent="0.25">
      <c r="A182" s="8" t="s">
        <v>4574</v>
      </c>
      <c r="B182" s="8" t="s">
        <v>992</v>
      </c>
      <c r="C182" s="8" t="s">
        <v>4575</v>
      </c>
      <c r="D182" s="8" t="s">
        <v>165</v>
      </c>
      <c r="E182" s="8"/>
      <c r="F182" s="8" t="s">
        <v>412</v>
      </c>
      <c r="G182" s="8"/>
      <c r="H182" s="8"/>
      <c r="I182" s="8"/>
      <c r="J182" s="8" t="s">
        <v>568</v>
      </c>
      <c r="K182" s="8" t="s">
        <v>993</v>
      </c>
      <c r="L182" s="8" t="s">
        <v>994</v>
      </c>
      <c r="M182" s="8" t="s">
        <v>4576</v>
      </c>
      <c r="N182" s="8">
        <v>41</v>
      </c>
      <c r="O182" s="8"/>
      <c r="P182" s="8" t="s">
        <v>995</v>
      </c>
    </row>
    <row r="183" spans="1:16" x14ac:dyDescent="0.25">
      <c r="A183" s="8" t="s">
        <v>4574</v>
      </c>
      <c r="B183" s="8" t="s">
        <v>992</v>
      </c>
      <c r="C183" s="8" t="s">
        <v>4575</v>
      </c>
      <c r="D183" s="8" t="s">
        <v>253</v>
      </c>
      <c r="E183" s="8"/>
      <c r="F183" s="8" t="s">
        <v>412</v>
      </c>
      <c r="G183" s="8"/>
      <c r="H183" s="8"/>
      <c r="I183" s="8"/>
      <c r="J183" s="8" t="s">
        <v>567</v>
      </c>
      <c r="K183" s="8" t="s">
        <v>993</v>
      </c>
      <c r="L183" s="8" t="s">
        <v>994</v>
      </c>
      <c r="M183" s="8" t="s">
        <v>4576</v>
      </c>
      <c r="N183" s="8">
        <v>41</v>
      </c>
      <c r="O183" s="8"/>
      <c r="P183" s="8" t="s">
        <v>995</v>
      </c>
    </row>
    <row r="184" spans="1:16" x14ac:dyDescent="0.25">
      <c r="A184" s="8" t="s">
        <v>4574</v>
      </c>
      <c r="B184" s="8" t="s">
        <v>992</v>
      </c>
      <c r="C184" s="8" t="s">
        <v>4575</v>
      </c>
      <c r="D184" s="8" t="s">
        <v>281</v>
      </c>
      <c r="E184" s="8"/>
      <c r="F184" s="8" t="s">
        <v>412</v>
      </c>
      <c r="G184" s="8"/>
      <c r="H184" s="8"/>
      <c r="I184" s="8"/>
      <c r="J184" s="8" t="s">
        <v>565</v>
      </c>
      <c r="K184" s="8" t="s">
        <v>993</v>
      </c>
      <c r="L184" s="8" t="s">
        <v>994</v>
      </c>
      <c r="M184" s="8" t="s">
        <v>4576</v>
      </c>
      <c r="N184" s="8">
        <v>41</v>
      </c>
      <c r="O184" s="8"/>
      <c r="P184" s="8" t="s">
        <v>995</v>
      </c>
    </row>
    <row r="185" spans="1:16" x14ac:dyDescent="0.25">
      <c r="A185" s="8" t="s">
        <v>4574</v>
      </c>
      <c r="B185" s="8" t="s">
        <v>992</v>
      </c>
      <c r="C185" s="8" t="s">
        <v>4575</v>
      </c>
      <c r="D185" s="8" t="s">
        <v>75</v>
      </c>
      <c r="E185" s="8"/>
      <c r="F185" s="8" t="s">
        <v>412</v>
      </c>
      <c r="G185" s="8"/>
      <c r="H185" s="8"/>
      <c r="I185" s="8"/>
      <c r="J185" s="8" t="s">
        <v>566</v>
      </c>
      <c r="K185" s="8" t="s">
        <v>993</v>
      </c>
      <c r="L185" s="8" t="s">
        <v>994</v>
      </c>
      <c r="M185" s="8" t="s">
        <v>4576</v>
      </c>
      <c r="N185" s="8">
        <v>41</v>
      </c>
      <c r="O185" s="8"/>
      <c r="P185" s="8" t="s">
        <v>995</v>
      </c>
    </row>
    <row r="186" spans="1:16" x14ac:dyDescent="0.25">
      <c r="A186" s="8" t="s">
        <v>4574</v>
      </c>
      <c r="B186" s="8" t="s">
        <v>992</v>
      </c>
      <c r="C186" s="8" t="s">
        <v>4575</v>
      </c>
      <c r="D186" s="8" t="s">
        <v>311</v>
      </c>
      <c r="E186" s="8"/>
      <c r="F186" s="8" t="s">
        <v>412</v>
      </c>
      <c r="G186" s="8"/>
      <c r="H186" s="8"/>
      <c r="I186" s="8"/>
      <c r="J186" s="8"/>
      <c r="K186" s="8" t="s">
        <v>993</v>
      </c>
      <c r="L186" s="8" t="s">
        <v>994</v>
      </c>
      <c r="M186" s="8" t="s">
        <v>4576</v>
      </c>
      <c r="N186" s="8">
        <v>41</v>
      </c>
      <c r="O186" s="8"/>
      <c r="P186" s="8" t="s">
        <v>995</v>
      </c>
    </row>
    <row r="187" spans="1:16" x14ac:dyDescent="0.25">
      <c r="A187" s="8" t="s">
        <v>4574</v>
      </c>
      <c r="B187" s="8" t="s">
        <v>992</v>
      </c>
      <c r="C187" s="8" t="s">
        <v>4575</v>
      </c>
      <c r="D187" s="8" t="s">
        <v>325</v>
      </c>
      <c r="E187" s="8"/>
      <c r="F187" s="8" t="s">
        <v>412</v>
      </c>
      <c r="G187" s="8"/>
      <c r="H187" s="8"/>
      <c r="I187" s="8"/>
      <c r="J187" s="8" t="s">
        <v>569</v>
      </c>
      <c r="K187" s="8" t="s">
        <v>993</v>
      </c>
      <c r="L187" s="8" t="s">
        <v>994</v>
      </c>
      <c r="M187" s="8" t="s">
        <v>4576</v>
      </c>
      <c r="N187" s="8">
        <v>41</v>
      </c>
      <c r="O187" s="8"/>
      <c r="P187" s="8" t="s">
        <v>995</v>
      </c>
    </row>
    <row r="188" spans="1:16" x14ac:dyDescent="0.25">
      <c r="A188" s="8" t="s">
        <v>4574</v>
      </c>
      <c r="B188" s="8" t="s">
        <v>992</v>
      </c>
      <c r="C188" s="8" t="s">
        <v>4575</v>
      </c>
      <c r="D188" s="8" t="s">
        <v>301</v>
      </c>
      <c r="E188" s="8"/>
      <c r="F188" s="8" t="s">
        <v>412</v>
      </c>
      <c r="G188" s="8"/>
      <c r="H188" s="8"/>
      <c r="I188" s="8"/>
      <c r="J188" s="8" t="s">
        <v>570</v>
      </c>
      <c r="K188" s="8" t="s">
        <v>993</v>
      </c>
      <c r="L188" s="8" t="s">
        <v>994</v>
      </c>
      <c r="M188" s="8" t="s">
        <v>4576</v>
      </c>
      <c r="N188" s="8">
        <v>41</v>
      </c>
      <c r="O188" s="8"/>
      <c r="P188" s="8" t="s">
        <v>995</v>
      </c>
    </row>
    <row r="189" spans="1:16" x14ac:dyDescent="0.25">
      <c r="A189" s="8" t="s">
        <v>4574</v>
      </c>
      <c r="B189" s="8" t="s">
        <v>992</v>
      </c>
      <c r="C189" s="8" t="s">
        <v>4575</v>
      </c>
      <c r="D189" s="8" t="s">
        <v>175</v>
      </c>
      <c r="E189" s="8"/>
      <c r="F189" s="8" t="s">
        <v>412</v>
      </c>
      <c r="G189" s="8"/>
      <c r="H189" s="8"/>
      <c r="I189" s="8"/>
      <c r="J189" s="8"/>
      <c r="K189" s="8" t="s">
        <v>993</v>
      </c>
      <c r="L189" s="8" t="s">
        <v>994</v>
      </c>
      <c r="M189" s="8" t="s">
        <v>4576</v>
      </c>
      <c r="N189" s="8">
        <v>41</v>
      </c>
      <c r="O189" s="8"/>
      <c r="P189" s="8" t="s">
        <v>995</v>
      </c>
    </row>
    <row r="190" spans="1:16" x14ac:dyDescent="0.25">
      <c r="A190" s="8" t="s">
        <v>4574</v>
      </c>
      <c r="B190" s="8" t="s">
        <v>992</v>
      </c>
      <c r="C190" s="8" t="s">
        <v>4575</v>
      </c>
      <c r="D190" s="8" t="s">
        <v>157</v>
      </c>
      <c r="E190" s="8"/>
      <c r="F190" s="8" t="s">
        <v>412</v>
      </c>
      <c r="G190" s="8"/>
      <c r="H190" s="8"/>
      <c r="I190" s="8"/>
      <c r="J190" s="8" t="s">
        <v>571</v>
      </c>
      <c r="K190" s="8" t="s">
        <v>993</v>
      </c>
      <c r="L190" s="8" t="s">
        <v>994</v>
      </c>
      <c r="M190" s="8" t="s">
        <v>4576</v>
      </c>
      <c r="N190" s="8">
        <v>41</v>
      </c>
      <c r="O190" s="8"/>
      <c r="P190" s="8" t="s">
        <v>995</v>
      </c>
    </row>
    <row r="191" spans="1:16" x14ac:dyDescent="0.25">
      <c r="A191" s="8" t="s">
        <v>4574</v>
      </c>
      <c r="B191" s="8" t="s">
        <v>992</v>
      </c>
      <c r="C191" s="8" t="s">
        <v>4575</v>
      </c>
      <c r="D191" s="8" t="s">
        <v>152</v>
      </c>
      <c r="E191" s="8"/>
      <c r="F191" s="8" t="s">
        <v>412</v>
      </c>
      <c r="G191" s="8"/>
      <c r="H191" s="8"/>
      <c r="I191" s="8"/>
      <c r="J191" s="8"/>
      <c r="K191" s="8" t="s">
        <v>993</v>
      </c>
      <c r="L191" s="8" t="s">
        <v>994</v>
      </c>
      <c r="M191" s="8" t="s">
        <v>4576</v>
      </c>
      <c r="N191" s="8">
        <v>41</v>
      </c>
      <c r="O191" s="8"/>
      <c r="P191" s="8" t="s">
        <v>995</v>
      </c>
    </row>
    <row r="192" spans="1:16" x14ac:dyDescent="0.25">
      <c r="A192" s="8" t="s">
        <v>4574</v>
      </c>
      <c r="B192" s="8" t="s">
        <v>992</v>
      </c>
      <c r="C192" s="8" t="s">
        <v>4575</v>
      </c>
      <c r="D192" s="8" t="s">
        <v>280</v>
      </c>
      <c r="E192" s="8"/>
      <c r="F192" s="8" t="s">
        <v>412</v>
      </c>
      <c r="G192" s="8"/>
      <c r="H192" s="8"/>
      <c r="I192" s="8"/>
      <c r="J192" s="8" t="s">
        <v>572</v>
      </c>
      <c r="K192" s="8" t="s">
        <v>993</v>
      </c>
      <c r="L192" s="8" t="s">
        <v>994</v>
      </c>
      <c r="M192" s="8" t="s">
        <v>4576</v>
      </c>
      <c r="N192" s="8">
        <v>41</v>
      </c>
      <c r="O192" s="8"/>
      <c r="P192" s="8" t="s">
        <v>995</v>
      </c>
    </row>
    <row r="193" spans="1:16" x14ac:dyDescent="0.25">
      <c r="A193" s="8" t="s">
        <v>4574</v>
      </c>
      <c r="B193" s="8" t="s">
        <v>992</v>
      </c>
      <c r="C193" s="8" t="s">
        <v>4575</v>
      </c>
      <c r="D193" s="8" t="s">
        <v>204</v>
      </c>
      <c r="E193" s="8"/>
      <c r="F193" s="8" t="s">
        <v>412</v>
      </c>
      <c r="G193" s="8"/>
      <c r="H193" s="8"/>
      <c r="I193" s="8"/>
      <c r="J193" s="8"/>
      <c r="K193" s="8" t="s">
        <v>993</v>
      </c>
      <c r="L193" s="8" t="s">
        <v>994</v>
      </c>
      <c r="M193" s="8" t="s">
        <v>4576</v>
      </c>
      <c r="N193" s="8">
        <v>41</v>
      </c>
      <c r="O193" s="8"/>
      <c r="P193" s="8" t="s">
        <v>995</v>
      </c>
    </row>
    <row r="194" spans="1:16" x14ac:dyDescent="0.25">
      <c r="A194" s="8" t="s">
        <v>4574</v>
      </c>
      <c r="B194" s="8" t="s">
        <v>992</v>
      </c>
      <c r="C194" s="8" t="s">
        <v>4575</v>
      </c>
      <c r="D194" s="8" t="s">
        <v>257</v>
      </c>
      <c r="E194" s="8"/>
      <c r="F194" s="8" t="s">
        <v>412</v>
      </c>
      <c r="G194" s="8"/>
      <c r="H194" s="8"/>
      <c r="I194" s="8"/>
      <c r="J194" s="8" t="s">
        <v>573</v>
      </c>
      <c r="K194" s="8" t="s">
        <v>993</v>
      </c>
      <c r="L194" s="8" t="s">
        <v>994</v>
      </c>
      <c r="M194" s="8" t="s">
        <v>4576</v>
      </c>
      <c r="N194" s="8">
        <v>41</v>
      </c>
      <c r="O194" s="8"/>
      <c r="P194" s="8" t="s">
        <v>995</v>
      </c>
    </row>
    <row r="195" spans="1:16" x14ac:dyDescent="0.25">
      <c r="A195" s="8" t="s">
        <v>4574</v>
      </c>
      <c r="B195" s="8" t="s">
        <v>992</v>
      </c>
      <c r="C195" s="8" t="s">
        <v>4575</v>
      </c>
      <c r="D195" s="8" t="s">
        <v>226</v>
      </c>
      <c r="E195" s="8"/>
      <c r="F195" s="8" t="s">
        <v>412</v>
      </c>
      <c r="G195" s="8"/>
      <c r="H195" s="8"/>
      <c r="I195" s="8"/>
      <c r="J195" s="8" t="s">
        <v>500</v>
      </c>
      <c r="K195" s="8" t="s">
        <v>993</v>
      </c>
      <c r="L195" s="8" t="s">
        <v>994</v>
      </c>
      <c r="M195" s="8" t="s">
        <v>4576</v>
      </c>
      <c r="N195" s="8">
        <v>41</v>
      </c>
      <c r="O195" s="8"/>
      <c r="P195" s="8" t="s">
        <v>995</v>
      </c>
    </row>
    <row r="196" spans="1:16" x14ac:dyDescent="0.25">
      <c r="A196" s="8" t="s">
        <v>4574</v>
      </c>
      <c r="B196" s="8" t="s">
        <v>992</v>
      </c>
      <c r="C196" s="8" t="s">
        <v>4575</v>
      </c>
      <c r="D196" s="8" t="s">
        <v>328</v>
      </c>
      <c r="E196" s="8"/>
      <c r="F196" s="8" t="s">
        <v>412</v>
      </c>
      <c r="G196" s="8"/>
      <c r="H196" s="8"/>
      <c r="I196" s="8"/>
      <c r="J196" s="8"/>
      <c r="K196" s="8" t="s">
        <v>993</v>
      </c>
      <c r="L196" s="8" t="s">
        <v>994</v>
      </c>
      <c r="M196" s="8" t="s">
        <v>4576</v>
      </c>
      <c r="N196" s="8">
        <v>41</v>
      </c>
      <c r="O196" s="8"/>
      <c r="P196" s="8" t="s">
        <v>995</v>
      </c>
    </row>
    <row r="197" spans="1:16" x14ac:dyDescent="0.25">
      <c r="A197" s="8" t="s">
        <v>4574</v>
      </c>
      <c r="B197" s="8" t="s">
        <v>992</v>
      </c>
      <c r="C197" s="8" t="s">
        <v>4575</v>
      </c>
      <c r="D197" s="8" t="s">
        <v>103</v>
      </c>
      <c r="E197" s="8"/>
      <c r="F197" s="8" t="s">
        <v>412</v>
      </c>
      <c r="G197" s="8"/>
      <c r="H197" s="8"/>
      <c r="I197" s="8"/>
      <c r="J197" s="8" t="s">
        <v>574</v>
      </c>
      <c r="K197" s="8" t="s">
        <v>993</v>
      </c>
      <c r="L197" s="8" t="s">
        <v>994</v>
      </c>
      <c r="M197" s="8" t="s">
        <v>4576</v>
      </c>
      <c r="N197" s="8">
        <v>41</v>
      </c>
      <c r="O197" s="8"/>
      <c r="P197" s="8" t="s">
        <v>995</v>
      </c>
    </row>
    <row r="198" spans="1:16" x14ac:dyDescent="0.25">
      <c r="A198" s="8" t="s">
        <v>4574</v>
      </c>
      <c r="B198" s="8" t="s">
        <v>992</v>
      </c>
      <c r="C198" s="8" t="s">
        <v>4575</v>
      </c>
      <c r="D198" s="8" t="s">
        <v>263</v>
      </c>
      <c r="E198" s="8"/>
      <c r="F198" s="8" t="s">
        <v>412</v>
      </c>
      <c r="G198" s="8"/>
      <c r="H198" s="8"/>
      <c r="I198" s="8"/>
      <c r="J198" s="8" t="s">
        <v>575</v>
      </c>
      <c r="K198" s="8" t="s">
        <v>993</v>
      </c>
      <c r="L198" s="8" t="s">
        <v>994</v>
      </c>
      <c r="M198" s="8" t="s">
        <v>4576</v>
      </c>
      <c r="N198" s="8">
        <v>41</v>
      </c>
      <c r="O198" s="8"/>
      <c r="P198" s="8" t="s">
        <v>995</v>
      </c>
    </row>
    <row r="199" spans="1:16" x14ac:dyDescent="0.25">
      <c r="A199" s="8" t="s">
        <v>4574</v>
      </c>
      <c r="B199" s="8" t="s">
        <v>992</v>
      </c>
      <c r="C199" s="8" t="s">
        <v>4575</v>
      </c>
      <c r="D199" s="8" t="s">
        <v>276</v>
      </c>
      <c r="E199" s="8"/>
      <c r="F199" s="8" t="s">
        <v>437</v>
      </c>
      <c r="G199" s="8"/>
      <c r="H199" s="8"/>
      <c r="I199" s="8"/>
      <c r="J199" s="8" t="s">
        <v>576</v>
      </c>
      <c r="K199" s="8" t="s">
        <v>993</v>
      </c>
      <c r="L199" s="8" t="s">
        <v>994</v>
      </c>
      <c r="M199" s="8" t="s">
        <v>4576</v>
      </c>
      <c r="N199" s="8">
        <v>41</v>
      </c>
      <c r="O199" s="8"/>
      <c r="P199" s="8" t="s">
        <v>995</v>
      </c>
    </row>
    <row r="200" spans="1:16" x14ac:dyDescent="0.25">
      <c r="A200" s="8" t="s">
        <v>4574</v>
      </c>
      <c r="B200" s="8" t="s">
        <v>992</v>
      </c>
      <c r="C200" s="8" t="s">
        <v>4575</v>
      </c>
      <c r="D200" s="8" t="s">
        <v>288</v>
      </c>
      <c r="E200" s="8"/>
      <c r="F200" s="8" t="s">
        <v>412</v>
      </c>
      <c r="G200" s="8"/>
      <c r="H200" s="8"/>
      <c r="I200" s="8"/>
      <c r="J200" s="8" t="s">
        <v>579</v>
      </c>
      <c r="K200" s="8" t="s">
        <v>993</v>
      </c>
      <c r="L200" s="8" t="s">
        <v>994</v>
      </c>
      <c r="M200" s="8" t="s">
        <v>4576</v>
      </c>
      <c r="N200" s="8">
        <v>41</v>
      </c>
      <c r="O200" s="8"/>
      <c r="P200" s="8" t="s">
        <v>995</v>
      </c>
    </row>
    <row r="201" spans="1:16" x14ac:dyDescent="0.25">
      <c r="A201" s="8" t="s">
        <v>4574</v>
      </c>
      <c r="B201" s="8" t="s">
        <v>992</v>
      </c>
      <c r="C201" s="8" t="s">
        <v>4575</v>
      </c>
      <c r="D201" s="8" t="s">
        <v>119</v>
      </c>
      <c r="E201" s="8"/>
      <c r="F201" s="8" t="s">
        <v>412</v>
      </c>
      <c r="G201" s="8"/>
      <c r="H201" s="8"/>
      <c r="I201" s="8"/>
      <c r="J201" s="8" t="s">
        <v>577</v>
      </c>
      <c r="K201" s="8" t="s">
        <v>993</v>
      </c>
      <c r="L201" s="8" t="s">
        <v>994</v>
      </c>
      <c r="M201" s="8" t="s">
        <v>4576</v>
      </c>
      <c r="N201" s="8">
        <v>41</v>
      </c>
      <c r="O201" s="8"/>
      <c r="P201" s="8" t="s">
        <v>995</v>
      </c>
    </row>
    <row r="202" spans="1:16" x14ac:dyDescent="0.25">
      <c r="A202" s="8" t="s">
        <v>4574</v>
      </c>
      <c r="B202" s="8" t="s">
        <v>992</v>
      </c>
      <c r="C202" s="8" t="s">
        <v>4575</v>
      </c>
      <c r="D202" s="8" t="s">
        <v>179</v>
      </c>
      <c r="E202" s="8"/>
      <c r="F202" s="8" t="s">
        <v>412</v>
      </c>
      <c r="G202" s="8"/>
      <c r="H202" s="8"/>
      <c r="I202" s="8"/>
      <c r="J202" s="8" t="s">
        <v>578</v>
      </c>
      <c r="K202" s="8" t="s">
        <v>993</v>
      </c>
      <c r="L202" s="8" t="s">
        <v>994</v>
      </c>
      <c r="M202" s="8" t="s">
        <v>4576</v>
      </c>
      <c r="N202" s="8">
        <v>41</v>
      </c>
      <c r="O202" s="8"/>
      <c r="P202" s="8" t="s">
        <v>995</v>
      </c>
    </row>
    <row r="203" spans="1:16" x14ac:dyDescent="0.25">
      <c r="A203" s="8" t="s">
        <v>4574</v>
      </c>
      <c r="B203" s="8" t="s">
        <v>992</v>
      </c>
      <c r="C203" s="8" t="s">
        <v>4575</v>
      </c>
      <c r="D203" s="8" t="s">
        <v>140</v>
      </c>
      <c r="E203" s="8"/>
      <c r="F203" s="8" t="s">
        <v>412</v>
      </c>
      <c r="G203" s="8"/>
      <c r="H203" s="8"/>
      <c r="I203" s="8"/>
      <c r="J203" s="8" t="s">
        <v>581</v>
      </c>
      <c r="K203" s="8" t="s">
        <v>993</v>
      </c>
      <c r="L203" s="8" t="s">
        <v>994</v>
      </c>
      <c r="M203" s="8" t="s">
        <v>4576</v>
      </c>
      <c r="N203" s="8">
        <v>41</v>
      </c>
      <c r="O203" s="8"/>
      <c r="P203" s="8" t="s">
        <v>995</v>
      </c>
    </row>
    <row r="204" spans="1:16" x14ac:dyDescent="0.25">
      <c r="A204" s="8" t="s">
        <v>4574</v>
      </c>
      <c r="B204" s="8" t="s">
        <v>992</v>
      </c>
      <c r="C204" s="8" t="s">
        <v>4575</v>
      </c>
      <c r="D204" s="8" t="s">
        <v>306</v>
      </c>
      <c r="E204" s="8"/>
      <c r="F204" s="8" t="s">
        <v>412</v>
      </c>
      <c r="G204" s="8"/>
      <c r="H204" s="8"/>
      <c r="I204" s="8"/>
      <c r="J204" s="8"/>
      <c r="K204" s="8" t="s">
        <v>993</v>
      </c>
      <c r="L204" s="8" t="s">
        <v>994</v>
      </c>
      <c r="M204" s="8" t="s">
        <v>4576</v>
      </c>
      <c r="N204" s="8">
        <v>41</v>
      </c>
      <c r="O204" s="8"/>
      <c r="P204" s="8" t="s">
        <v>995</v>
      </c>
    </row>
    <row r="205" spans="1:16" x14ac:dyDescent="0.25">
      <c r="A205" s="8" t="s">
        <v>4574</v>
      </c>
      <c r="B205" s="8" t="s">
        <v>992</v>
      </c>
      <c r="C205" s="8" t="s">
        <v>4575</v>
      </c>
      <c r="D205" s="8" t="s">
        <v>144</v>
      </c>
      <c r="E205" s="8"/>
      <c r="F205" s="8" t="s">
        <v>412</v>
      </c>
      <c r="G205" s="8"/>
      <c r="H205" s="8"/>
      <c r="I205" s="8"/>
      <c r="J205" s="8"/>
      <c r="K205" s="8" t="s">
        <v>993</v>
      </c>
      <c r="L205" s="8" t="s">
        <v>994</v>
      </c>
      <c r="M205" s="8" t="s">
        <v>4576</v>
      </c>
      <c r="N205" s="8">
        <v>41</v>
      </c>
      <c r="O205" s="8"/>
      <c r="P205" s="8" t="s">
        <v>995</v>
      </c>
    </row>
    <row r="206" spans="1:16" x14ac:dyDescent="0.25">
      <c r="A206" s="8" t="s">
        <v>4574</v>
      </c>
      <c r="B206" s="8" t="s">
        <v>992</v>
      </c>
      <c r="C206" s="8" t="s">
        <v>4575</v>
      </c>
      <c r="D206" s="8" t="s">
        <v>29</v>
      </c>
      <c r="E206" s="8"/>
      <c r="F206" s="8" t="s">
        <v>412</v>
      </c>
      <c r="G206" s="8"/>
      <c r="H206" s="8"/>
      <c r="I206" s="8"/>
      <c r="J206" s="8" t="s">
        <v>582</v>
      </c>
      <c r="K206" s="8" t="s">
        <v>993</v>
      </c>
      <c r="L206" s="8" t="s">
        <v>994</v>
      </c>
      <c r="M206" s="8" t="s">
        <v>4576</v>
      </c>
      <c r="N206" s="8">
        <v>41</v>
      </c>
      <c r="O206" s="8"/>
      <c r="P206" s="8" t="s">
        <v>995</v>
      </c>
    </row>
    <row r="207" spans="1:16" x14ac:dyDescent="0.25">
      <c r="A207" s="8" t="s">
        <v>4574</v>
      </c>
      <c r="B207" s="8" t="s">
        <v>992</v>
      </c>
      <c r="C207" s="8" t="s">
        <v>4575</v>
      </c>
      <c r="D207" s="8" t="s">
        <v>312</v>
      </c>
      <c r="E207" s="8"/>
      <c r="F207" s="8" t="s">
        <v>412</v>
      </c>
      <c r="G207" s="8"/>
      <c r="H207" s="8"/>
      <c r="I207" s="8"/>
      <c r="J207" s="8" t="s">
        <v>580</v>
      </c>
      <c r="K207" s="8" t="s">
        <v>993</v>
      </c>
      <c r="L207" s="8" t="s">
        <v>994</v>
      </c>
      <c r="M207" s="8" t="s">
        <v>4576</v>
      </c>
      <c r="N207" s="8">
        <v>41</v>
      </c>
      <c r="O207" s="8"/>
      <c r="P207" s="8" t="s">
        <v>995</v>
      </c>
    </row>
    <row r="208" spans="1:16" x14ac:dyDescent="0.25">
      <c r="A208" s="8" t="s">
        <v>4574</v>
      </c>
      <c r="B208" s="8" t="s">
        <v>992</v>
      </c>
      <c r="C208" s="8" t="s">
        <v>4575</v>
      </c>
      <c r="D208" s="8" t="s">
        <v>74</v>
      </c>
      <c r="E208" s="8"/>
      <c r="F208" s="8" t="s">
        <v>412</v>
      </c>
      <c r="G208" s="8"/>
      <c r="H208" s="8"/>
      <c r="I208" s="8"/>
      <c r="J208" s="8" t="s">
        <v>583</v>
      </c>
      <c r="K208" s="8" t="s">
        <v>993</v>
      </c>
      <c r="L208" s="8" t="s">
        <v>994</v>
      </c>
      <c r="M208" s="8" t="s">
        <v>4576</v>
      </c>
      <c r="N208" s="8">
        <v>41</v>
      </c>
      <c r="O208" s="8"/>
      <c r="P208" s="8" t="s">
        <v>995</v>
      </c>
    </row>
    <row r="209" spans="1:16" x14ac:dyDescent="0.25">
      <c r="A209" s="8" t="s">
        <v>4574</v>
      </c>
      <c r="B209" s="8" t="s">
        <v>992</v>
      </c>
      <c r="C209" s="8" t="s">
        <v>4575</v>
      </c>
      <c r="D209" s="8" t="s">
        <v>145</v>
      </c>
      <c r="E209" s="8"/>
      <c r="F209" s="8" t="s">
        <v>412</v>
      </c>
      <c r="G209" s="8"/>
      <c r="H209" s="8"/>
      <c r="I209" s="8"/>
      <c r="J209" s="8"/>
      <c r="K209" s="8" t="s">
        <v>993</v>
      </c>
      <c r="L209" s="8" t="s">
        <v>994</v>
      </c>
      <c r="M209" s="8" t="s">
        <v>4576</v>
      </c>
      <c r="N209" s="8">
        <v>41</v>
      </c>
      <c r="O209" s="8"/>
      <c r="P209" s="8" t="s">
        <v>995</v>
      </c>
    </row>
    <row r="210" spans="1:16" x14ac:dyDescent="0.25">
      <c r="A210" s="8" t="s">
        <v>4574</v>
      </c>
      <c r="B210" s="8" t="s">
        <v>992</v>
      </c>
      <c r="C210" s="8" t="s">
        <v>4575</v>
      </c>
      <c r="D210" s="8" t="s">
        <v>239</v>
      </c>
      <c r="E210" s="8"/>
      <c r="F210" s="8" t="s">
        <v>412</v>
      </c>
      <c r="G210" s="8"/>
      <c r="H210" s="8"/>
      <c r="I210" s="8"/>
      <c r="J210" s="8"/>
      <c r="K210" s="8" t="s">
        <v>993</v>
      </c>
      <c r="L210" s="8" t="s">
        <v>994</v>
      </c>
      <c r="M210" s="8" t="s">
        <v>4576</v>
      </c>
      <c r="N210" s="8">
        <v>41</v>
      </c>
      <c r="O210" s="8"/>
      <c r="P210" s="8" t="s">
        <v>995</v>
      </c>
    </row>
    <row r="211" spans="1:16" x14ac:dyDescent="0.25">
      <c r="A211" s="8" t="s">
        <v>4574</v>
      </c>
      <c r="B211" s="8" t="s">
        <v>992</v>
      </c>
      <c r="C211" s="8" t="s">
        <v>4575</v>
      </c>
      <c r="D211" s="8" t="s">
        <v>66</v>
      </c>
      <c r="E211" s="8"/>
      <c r="F211" s="8" t="s">
        <v>412</v>
      </c>
      <c r="G211" s="8"/>
      <c r="H211" s="8"/>
      <c r="I211" s="8"/>
      <c r="J211" s="8" t="s">
        <v>584</v>
      </c>
      <c r="K211" s="8" t="s">
        <v>993</v>
      </c>
      <c r="L211" s="8" t="s">
        <v>994</v>
      </c>
      <c r="M211" s="8" t="s">
        <v>4576</v>
      </c>
      <c r="N211" s="8">
        <v>41</v>
      </c>
      <c r="O211" s="8"/>
      <c r="P211" s="8" t="s">
        <v>995</v>
      </c>
    </row>
    <row r="212" spans="1:16" x14ac:dyDescent="0.25">
      <c r="A212" s="8" t="s">
        <v>4574</v>
      </c>
      <c r="B212" s="8" t="s">
        <v>992</v>
      </c>
      <c r="C212" s="8" t="s">
        <v>4575</v>
      </c>
      <c r="D212" s="8" t="s">
        <v>65</v>
      </c>
      <c r="E212" s="8"/>
      <c r="F212" s="8" t="s">
        <v>412</v>
      </c>
      <c r="G212" s="8"/>
      <c r="H212" s="8"/>
      <c r="I212" s="8"/>
      <c r="J212" s="8" t="s">
        <v>585</v>
      </c>
      <c r="K212" s="8" t="s">
        <v>993</v>
      </c>
      <c r="L212" s="8" t="s">
        <v>994</v>
      </c>
      <c r="M212" s="8" t="s">
        <v>4576</v>
      </c>
      <c r="N212" s="8">
        <v>41</v>
      </c>
      <c r="O212" s="8"/>
      <c r="P212" s="8" t="s">
        <v>995</v>
      </c>
    </row>
    <row r="213" spans="1:16" x14ac:dyDescent="0.25">
      <c r="A213" s="8" t="s">
        <v>4574</v>
      </c>
      <c r="B213" s="8" t="s">
        <v>992</v>
      </c>
      <c r="C213" s="8" t="s">
        <v>4575</v>
      </c>
      <c r="D213" s="8" t="s">
        <v>338</v>
      </c>
      <c r="E213" s="8"/>
      <c r="F213" s="8" t="s">
        <v>412</v>
      </c>
      <c r="G213" s="8"/>
      <c r="H213" s="8"/>
      <c r="I213" s="8"/>
      <c r="J213" s="8"/>
      <c r="K213" s="8" t="s">
        <v>993</v>
      </c>
      <c r="L213" s="8" t="s">
        <v>994</v>
      </c>
      <c r="M213" s="8" t="s">
        <v>4576</v>
      </c>
      <c r="N213" s="8">
        <v>41</v>
      </c>
      <c r="O213" s="8"/>
      <c r="P213" s="8" t="s">
        <v>995</v>
      </c>
    </row>
    <row r="214" spans="1:16" x14ac:dyDescent="0.25">
      <c r="A214" s="8" t="s">
        <v>4574</v>
      </c>
      <c r="B214" s="8" t="s">
        <v>992</v>
      </c>
      <c r="C214" s="8" t="s">
        <v>4575</v>
      </c>
      <c r="D214" s="8" t="s">
        <v>107</v>
      </c>
      <c r="E214" s="8"/>
      <c r="F214" s="8" t="s">
        <v>412</v>
      </c>
      <c r="G214" s="8"/>
      <c r="H214" s="8"/>
      <c r="I214" s="8"/>
      <c r="J214" s="8" t="s">
        <v>586</v>
      </c>
      <c r="K214" s="8" t="s">
        <v>993</v>
      </c>
      <c r="L214" s="8" t="s">
        <v>994</v>
      </c>
      <c r="M214" s="8" t="s">
        <v>4576</v>
      </c>
      <c r="N214" s="8">
        <v>41</v>
      </c>
      <c r="O214" s="8"/>
      <c r="P214" s="8" t="s">
        <v>995</v>
      </c>
    </row>
    <row r="215" spans="1:16" x14ac:dyDescent="0.25">
      <c r="A215" s="8" t="s">
        <v>4574</v>
      </c>
      <c r="B215" s="8" t="s">
        <v>992</v>
      </c>
      <c r="C215" s="8" t="s">
        <v>4575</v>
      </c>
      <c r="D215" s="8" t="s">
        <v>25</v>
      </c>
      <c r="E215" s="8"/>
      <c r="F215" s="8" t="s">
        <v>412</v>
      </c>
      <c r="G215" s="8"/>
      <c r="H215" s="8"/>
      <c r="I215" s="8"/>
      <c r="J215" s="8" t="s">
        <v>587</v>
      </c>
      <c r="K215" s="8" t="s">
        <v>993</v>
      </c>
      <c r="L215" s="8" t="s">
        <v>994</v>
      </c>
      <c r="M215" s="8" t="s">
        <v>4576</v>
      </c>
      <c r="N215" s="8">
        <v>41</v>
      </c>
      <c r="O215" s="8"/>
      <c r="P215" s="8" t="s">
        <v>995</v>
      </c>
    </row>
    <row r="216" spans="1:16" x14ac:dyDescent="0.25">
      <c r="A216" s="8" t="s">
        <v>4574</v>
      </c>
      <c r="B216" s="8" t="s">
        <v>992</v>
      </c>
      <c r="C216" s="8" t="s">
        <v>4575</v>
      </c>
      <c r="D216" s="8" t="s">
        <v>70</v>
      </c>
      <c r="E216" s="8"/>
      <c r="F216" s="8" t="s">
        <v>412</v>
      </c>
      <c r="G216" s="8"/>
      <c r="H216" s="8"/>
      <c r="I216" s="8"/>
      <c r="J216" s="8" t="s">
        <v>588</v>
      </c>
      <c r="K216" s="8" t="s">
        <v>993</v>
      </c>
      <c r="L216" s="8" t="s">
        <v>994</v>
      </c>
      <c r="M216" s="8" t="s">
        <v>4576</v>
      </c>
      <c r="N216" s="8">
        <v>41</v>
      </c>
      <c r="O216" s="8"/>
      <c r="P216" s="8" t="s">
        <v>995</v>
      </c>
    </row>
    <row r="217" spans="1:16" x14ac:dyDescent="0.25">
      <c r="A217" s="8" t="s">
        <v>4574</v>
      </c>
      <c r="B217" s="8" t="s">
        <v>992</v>
      </c>
      <c r="C217" s="8" t="s">
        <v>4575</v>
      </c>
      <c r="D217" s="8" t="s">
        <v>136</v>
      </c>
      <c r="E217" s="8"/>
      <c r="F217" s="8" t="s">
        <v>412</v>
      </c>
      <c r="G217" s="8"/>
      <c r="H217" s="8"/>
      <c r="I217" s="8"/>
      <c r="J217" s="8" t="s">
        <v>591</v>
      </c>
      <c r="K217" s="8" t="s">
        <v>993</v>
      </c>
      <c r="L217" s="8" t="s">
        <v>994</v>
      </c>
      <c r="M217" s="8" t="s">
        <v>4576</v>
      </c>
      <c r="N217" s="8">
        <v>41</v>
      </c>
      <c r="O217" s="8"/>
      <c r="P217" s="8" t="s">
        <v>995</v>
      </c>
    </row>
    <row r="218" spans="1:16" x14ac:dyDescent="0.25">
      <c r="A218" s="8" t="s">
        <v>4574</v>
      </c>
      <c r="B218" s="8" t="s">
        <v>992</v>
      </c>
      <c r="C218" s="8" t="s">
        <v>4575</v>
      </c>
      <c r="D218" s="8" t="s">
        <v>212</v>
      </c>
      <c r="E218" s="8"/>
      <c r="F218" s="8" t="s">
        <v>412</v>
      </c>
      <c r="G218" s="8"/>
      <c r="H218" s="8"/>
      <c r="I218" s="8"/>
      <c r="J218" s="8"/>
      <c r="K218" s="8" t="s">
        <v>993</v>
      </c>
      <c r="L218" s="8" t="s">
        <v>994</v>
      </c>
      <c r="M218" s="8" t="s">
        <v>4576</v>
      </c>
      <c r="N218" s="8">
        <v>41</v>
      </c>
      <c r="O218" s="8"/>
      <c r="P218" s="8" t="s">
        <v>995</v>
      </c>
    </row>
    <row r="219" spans="1:16" x14ac:dyDescent="0.25">
      <c r="A219" s="8" t="s">
        <v>4574</v>
      </c>
      <c r="B219" s="8" t="s">
        <v>992</v>
      </c>
      <c r="C219" s="8" t="s">
        <v>4575</v>
      </c>
      <c r="D219" s="8" t="s">
        <v>49</v>
      </c>
      <c r="E219" s="8"/>
      <c r="F219" s="8" t="s">
        <v>412</v>
      </c>
      <c r="G219" s="8"/>
      <c r="H219" s="8"/>
      <c r="I219" s="8"/>
      <c r="J219" s="8" t="s">
        <v>592</v>
      </c>
      <c r="K219" s="8" t="s">
        <v>993</v>
      </c>
      <c r="L219" s="8" t="s">
        <v>994</v>
      </c>
      <c r="M219" s="8" t="s">
        <v>4576</v>
      </c>
      <c r="N219" s="8">
        <v>41</v>
      </c>
      <c r="O219" s="8"/>
      <c r="P219" s="8" t="s">
        <v>995</v>
      </c>
    </row>
    <row r="220" spans="1:16" x14ac:dyDescent="0.25">
      <c r="A220" s="8" t="s">
        <v>4574</v>
      </c>
      <c r="B220" s="8" t="s">
        <v>992</v>
      </c>
      <c r="C220" s="8" t="s">
        <v>4575</v>
      </c>
      <c r="D220" s="8" t="s">
        <v>290</v>
      </c>
      <c r="E220" s="8"/>
      <c r="F220" s="8" t="s">
        <v>412</v>
      </c>
      <c r="G220" s="8"/>
      <c r="H220" s="8"/>
      <c r="I220" s="8"/>
      <c r="J220" s="8" t="s">
        <v>593</v>
      </c>
      <c r="K220" s="8" t="s">
        <v>993</v>
      </c>
      <c r="L220" s="8" t="s">
        <v>994</v>
      </c>
      <c r="M220" s="8" t="s">
        <v>4576</v>
      </c>
      <c r="N220" s="8">
        <v>41</v>
      </c>
      <c r="O220" s="8"/>
      <c r="P220" s="8" t="s">
        <v>995</v>
      </c>
    </row>
    <row r="221" spans="1:16" x14ac:dyDescent="0.25">
      <c r="A221" s="8" t="s">
        <v>4574</v>
      </c>
      <c r="B221" s="8" t="s">
        <v>992</v>
      </c>
      <c r="C221" s="8" t="s">
        <v>4575</v>
      </c>
      <c r="D221" s="8" t="s">
        <v>297</v>
      </c>
      <c r="E221" s="8"/>
      <c r="F221" s="8" t="s">
        <v>412</v>
      </c>
      <c r="G221" s="8"/>
      <c r="H221" s="8"/>
      <c r="I221" s="8"/>
      <c r="J221" s="8" t="s">
        <v>594</v>
      </c>
      <c r="K221" s="8" t="s">
        <v>993</v>
      </c>
      <c r="L221" s="8" t="s">
        <v>994</v>
      </c>
      <c r="M221" s="8" t="s">
        <v>4576</v>
      </c>
      <c r="N221" s="8">
        <v>41</v>
      </c>
      <c r="O221" s="8"/>
      <c r="P221" s="8" t="s">
        <v>995</v>
      </c>
    </row>
    <row r="222" spans="1:16" x14ac:dyDescent="0.25">
      <c r="A222" s="8" t="s">
        <v>4574</v>
      </c>
      <c r="B222" s="8" t="s">
        <v>992</v>
      </c>
      <c r="C222" s="8" t="s">
        <v>4575</v>
      </c>
      <c r="D222" s="8" t="s">
        <v>34</v>
      </c>
      <c r="E222" s="8"/>
      <c r="F222" s="8" t="s">
        <v>412</v>
      </c>
      <c r="G222" s="8"/>
      <c r="H222" s="8"/>
      <c r="I222" s="8"/>
      <c r="J222" s="8" t="s">
        <v>589</v>
      </c>
      <c r="K222" s="8" t="s">
        <v>993</v>
      </c>
      <c r="L222" s="8" t="s">
        <v>994</v>
      </c>
      <c r="M222" s="8" t="s">
        <v>4576</v>
      </c>
      <c r="N222" s="8">
        <v>41</v>
      </c>
      <c r="O222" s="8"/>
      <c r="P222" s="8" t="s">
        <v>995</v>
      </c>
    </row>
    <row r="223" spans="1:16" x14ac:dyDescent="0.25">
      <c r="A223" s="8" t="s">
        <v>4574</v>
      </c>
      <c r="B223" s="8" t="s">
        <v>992</v>
      </c>
      <c r="C223" s="8" t="s">
        <v>4575</v>
      </c>
      <c r="D223" s="8" t="s">
        <v>303</v>
      </c>
      <c r="E223" s="8"/>
      <c r="F223" s="8" t="s">
        <v>412</v>
      </c>
      <c r="G223" s="8"/>
      <c r="H223" s="8"/>
      <c r="I223" s="8"/>
      <c r="J223" s="8" t="s">
        <v>595</v>
      </c>
      <c r="K223" s="8" t="s">
        <v>993</v>
      </c>
      <c r="L223" s="8" t="s">
        <v>994</v>
      </c>
      <c r="M223" s="8" t="s">
        <v>4576</v>
      </c>
      <c r="N223" s="8">
        <v>41</v>
      </c>
      <c r="O223" s="8"/>
      <c r="P223" s="8" t="s">
        <v>995</v>
      </c>
    </row>
    <row r="224" spans="1:16" x14ac:dyDescent="0.25">
      <c r="A224" s="8" t="s">
        <v>4574</v>
      </c>
      <c r="B224" s="8" t="s">
        <v>992</v>
      </c>
      <c r="C224" s="8" t="s">
        <v>4575</v>
      </c>
      <c r="D224" s="8" t="s">
        <v>112</v>
      </c>
      <c r="E224" s="8"/>
      <c r="F224" s="8" t="s">
        <v>412</v>
      </c>
      <c r="G224" s="8"/>
      <c r="H224" s="8"/>
      <c r="I224" s="8"/>
      <c r="J224" s="8" t="s">
        <v>590</v>
      </c>
      <c r="K224" s="8" t="s">
        <v>993</v>
      </c>
      <c r="L224" s="8" t="s">
        <v>994</v>
      </c>
      <c r="M224" s="8" t="s">
        <v>4576</v>
      </c>
      <c r="N224" s="8">
        <v>41</v>
      </c>
      <c r="O224" s="8"/>
      <c r="P224" s="8" t="s">
        <v>995</v>
      </c>
    </row>
    <row r="225" spans="1:16" x14ac:dyDescent="0.25">
      <c r="A225" s="8" t="s">
        <v>4574</v>
      </c>
      <c r="B225" s="8" t="s">
        <v>992</v>
      </c>
      <c r="C225" s="8" t="s">
        <v>4575</v>
      </c>
      <c r="D225" s="8" t="s">
        <v>196</v>
      </c>
      <c r="E225" s="8"/>
      <c r="F225" s="8" t="s">
        <v>412</v>
      </c>
      <c r="G225" s="8"/>
      <c r="H225" s="8"/>
      <c r="I225" s="8"/>
      <c r="J225" s="8" t="s">
        <v>596</v>
      </c>
      <c r="K225" s="8" t="s">
        <v>993</v>
      </c>
      <c r="L225" s="8" t="s">
        <v>994</v>
      </c>
      <c r="M225" s="8" t="s">
        <v>4576</v>
      </c>
      <c r="N225" s="8">
        <v>41</v>
      </c>
      <c r="O225" s="8"/>
      <c r="P225" s="8" t="s">
        <v>995</v>
      </c>
    </row>
    <row r="226" spans="1:16" x14ac:dyDescent="0.25">
      <c r="A226" s="8" t="s">
        <v>4574</v>
      </c>
      <c r="B226" s="8" t="s">
        <v>992</v>
      </c>
      <c r="C226" s="8" t="s">
        <v>4575</v>
      </c>
      <c r="D226" s="8" t="s">
        <v>32</v>
      </c>
      <c r="E226" s="8"/>
      <c r="F226" s="8" t="s">
        <v>412</v>
      </c>
      <c r="G226" s="8"/>
      <c r="H226" s="8"/>
      <c r="I226" s="8"/>
      <c r="J226" s="8" t="s">
        <v>597</v>
      </c>
      <c r="K226" s="8" t="s">
        <v>993</v>
      </c>
      <c r="L226" s="8" t="s">
        <v>994</v>
      </c>
      <c r="M226" s="8" t="s">
        <v>4576</v>
      </c>
      <c r="N226" s="8">
        <v>41</v>
      </c>
      <c r="O226" s="8"/>
      <c r="P226" s="8" t="s">
        <v>995</v>
      </c>
    </row>
    <row r="227" spans="1:16" x14ac:dyDescent="0.25">
      <c r="A227" s="8" t="s">
        <v>4574</v>
      </c>
      <c r="B227" s="8" t="s">
        <v>992</v>
      </c>
      <c r="C227" s="8" t="s">
        <v>4575</v>
      </c>
      <c r="D227" s="8" t="s">
        <v>155</v>
      </c>
      <c r="E227" s="8"/>
      <c r="F227" s="8" t="s">
        <v>412</v>
      </c>
      <c r="G227" s="8"/>
      <c r="H227" s="8"/>
      <c r="I227" s="8"/>
      <c r="J227" s="8" t="s">
        <v>598</v>
      </c>
      <c r="K227" s="8" t="s">
        <v>993</v>
      </c>
      <c r="L227" s="8" t="s">
        <v>994</v>
      </c>
      <c r="M227" s="8" t="s">
        <v>4576</v>
      </c>
      <c r="N227" s="8">
        <v>41</v>
      </c>
      <c r="O227" s="8"/>
      <c r="P227" s="8" t="s">
        <v>995</v>
      </c>
    </row>
    <row r="228" spans="1:16" x14ac:dyDescent="0.25">
      <c r="A228" s="8" t="s">
        <v>4574</v>
      </c>
      <c r="B228" s="8" t="s">
        <v>992</v>
      </c>
      <c r="C228" s="8" t="s">
        <v>4575</v>
      </c>
      <c r="D228" s="8" t="s">
        <v>331</v>
      </c>
      <c r="E228" s="8"/>
      <c r="F228" s="8" t="s">
        <v>412</v>
      </c>
      <c r="G228" s="8"/>
      <c r="H228" s="8"/>
      <c r="I228" s="8"/>
      <c r="J228" s="8" t="s">
        <v>599</v>
      </c>
      <c r="K228" s="8" t="s">
        <v>993</v>
      </c>
      <c r="L228" s="8" t="s">
        <v>994</v>
      </c>
      <c r="M228" s="8" t="s">
        <v>4576</v>
      </c>
      <c r="N228" s="8">
        <v>41</v>
      </c>
      <c r="O228" s="8"/>
      <c r="P228" s="8" t="s">
        <v>995</v>
      </c>
    </row>
    <row r="229" spans="1:16" x14ac:dyDescent="0.25">
      <c r="A229" s="8" t="s">
        <v>4574</v>
      </c>
      <c r="B229" s="8" t="s">
        <v>992</v>
      </c>
      <c r="C229" s="8" t="s">
        <v>4575</v>
      </c>
      <c r="D229" s="8" t="s">
        <v>345</v>
      </c>
      <c r="E229" s="8"/>
      <c r="F229" s="8" t="s">
        <v>412</v>
      </c>
      <c r="G229" s="8"/>
      <c r="H229" s="8"/>
      <c r="I229" s="8"/>
      <c r="J229" s="8" t="s">
        <v>600</v>
      </c>
      <c r="K229" s="8" t="s">
        <v>993</v>
      </c>
      <c r="L229" s="8" t="s">
        <v>994</v>
      </c>
      <c r="M229" s="8" t="s">
        <v>4576</v>
      </c>
      <c r="N229" s="8">
        <v>41</v>
      </c>
      <c r="O229" s="8"/>
      <c r="P229" s="8" t="s">
        <v>995</v>
      </c>
    </row>
    <row r="230" spans="1:16" x14ac:dyDescent="0.25">
      <c r="A230" s="8" t="s">
        <v>4574</v>
      </c>
      <c r="B230" s="8" t="s">
        <v>992</v>
      </c>
      <c r="C230" s="8" t="s">
        <v>4575</v>
      </c>
      <c r="D230" s="8" t="s">
        <v>109</v>
      </c>
      <c r="E230" s="8"/>
      <c r="F230" s="8" t="s">
        <v>412</v>
      </c>
      <c r="G230" s="8"/>
      <c r="H230" s="8"/>
      <c r="I230" s="8"/>
      <c r="J230" s="8" t="s">
        <v>605</v>
      </c>
      <c r="K230" s="8" t="s">
        <v>993</v>
      </c>
      <c r="L230" s="8" t="s">
        <v>994</v>
      </c>
      <c r="M230" s="8" t="s">
        <v>4576</v>
      </c>
      <c r="N230" s="8">
        <v>41</v>
      </c>
      <c r="O230" s="8"/>
      <c r="P230" s="8" t="s">
        <v>995</v>
      </c>
    </row>
    <row r="231" spans="1:16" x14ac:dyDescent="0.25">
      <c r="A231" s="8" t="s">
        <v>4574</v>
      </c>
      <c r="B231" s="8" t="s">
        <v>992</v>
      </c>
      <c r="C231" s="8" t="s">
        <v>4575</v>
      </c>
      <c r="D231" s="8" t="s">
        <v>143</v>
      </c>
      <c r="E231" s="8"/>
      <c r="F231" s="8" t="s">
        <v>412</v>
      </c>
      <c r="G231" s="8"/>
      <c r="H231" s="8"/>
      <c r="I231" s="8"/>
      <c r="J231" s="8" t="s">
        <v>601</v>
      </c>
      <c r="K231" s="8" t="s">
        <v>993</v>
      </c>
      <c r="L231" s="8" t="s">
        <v>994</v>
      </c>
      <c r="M231" s="8" t="s">
        <v>4576</v>
      </c>
      <c r="N231" s="8">
        <v>41</v>
      </c>
      <c r="O231" s="8"/>
      <c r="P231" s="8" t="s">
        <v>995</v>
      </c>
    </row>
    <row r="232" spans="1:16" x14ac:dyDescent="0.25">
      <c r="A232" s="8" t="s">
        <v>4574</v>
      </c>
      <c r="B232" s="8" t="s">
        <v>992</v>
      </c>
      <c r="C232" s="8" t="s">
        <v>4575</v>
      </c>
      <c r="D232" s="8" t="s">
        <v>43</v>
      </c>
      <c r="E232" s="8"/>
      <c r="F232" s="8" t="s">
        <v>412</v>
      </c>
      <c r="G232" s="8"/>
      <c r="H232" s="8"/>
      <c r="I232" s="8"/>
      <c r="J232" s="8" t="s">
        <v>602</v>
      </c>
      <c r="K232" s="8" t="s">
        <v>993</v>
      </c>
      <c r="L232" s="8" t="s">
        <v>994</v>
      </c>
      <c r="M232" s="8" t="s">
        <v>4576</v>
      </c>
      <c r="N232" s="8">
        <v>41</v>
      </c>
      <c r="O232" s="8"/>
      <c r="P232" s="8" t="s">
        <v>995</v>
      </c>
    </row>
    <row r="233" spans="1:16" x14ac:dyDescent="0.25">
      <c r="A233" s="8" t="s">
        <v>4574</v>
      </c>
      <c r="B233" s="8" t="s">
        <v>992</v>
      </c>
      <c r="C233" s="8" t="s">
        <v>4575</v>
      </c>
      <c r="D233" s="8" t="s">
        <v>241</v>
      </c>
      <c r="E233" s="8"/>
      <c r="F233" s="8" t="s">
        <v>412</v>
      </c>
      <c r="G233" s="8"/>
      <c r="H233" s="8"/>
      <c r="I233" s="8"/>
      <c r="J233" s="8" t="s">
        <v>603</v>
      </c>
      <c r="K233" s="8" t="s">
        <v>993</v>
      </c>
      <c r="L233" s="8" t="s">
        <v>994</v>
      </c>
      <c r="M233" s="8" t="s">
        <v>4576</v>
      </c>
      <c r="N233" s="8">
        <v>41</v>
      </c>
      <c r="O233" s="8"/>
      <c r="P233" s="8" t="s">
        <v>995</v>
      </c>
    </row>
    <row r="234" spans="1:16" x14ac:dyDescent="0.25">
      <c r="A234" s="8" t="s">
        <v>4574</v>
      </c>
      <c r="B234" s="8" t="s">
        <v>992</v>
      </c>
      <c r="C234" s="8" t="s">
        <v>4575</v>
      </c>
      <c r="D234" s="8" t="s">
        <v>138</v>
      </c>
      <c r="E234" s="8"/>
      <c r="F234" s="8" t="s">
        <v>412</v>
      </c>
      <c r="G234" s="8"/>
      <c r="H234" s="8"/>
      <c r="I234" s="8"/>
      <c r="J234" s="8" t="s">
        <v>604</v>
      </c>
      <c r="K234" s="8" t="s">
        <v>993</v>
      </c>
      <c r="L234" s="8" t="s">
        <v>994</v>
      </c>
      <c r="M234" s="8" t="s">
        <v>4576</v>
      </c>
      <c r="N234" s="8">
        <v>41</v>
      </c>
      <c r="O234" s="8"/>
      <c r="P234" s="8" t="s">
        <v>995</v>
      </c>
    </row>
    <row r="235" spans="1:16" x14ac:dyDescent="0.25">
      <c r="A235" s="8" t="s">
        <v>4574</v>
      </c>
      <c r="B235" s="8" t="s">
        <v>992</v>
      </c>
      <c r="C235" s="8" t="s">
        <v>4575</v>
      </c>
      <c r="D235" s="8" t="s">
        <v>108</v>
      </c>
      <c r="E235" s="8"/>
      <c r="F235" s="8" t="s">
        <v>412</v>
      </c>
      <c r="G235" s="8"/>
      <c r="H235" s="8"/>
      <c r="I235" s="8"/>
      <c r="J235" s="8" t="s">
        <v>606</v>
      </c>
      <c r="K235" s="8" t="s">
        <v>993</v>
      </c>
      <c r="L235" s="8" t="s">
        <v>994</v>
      </c>
      <c r="M235" s="8" t="s">
        <v>4576</v>
      </c>
      <c r="N235" s="8">
        <v>41</v>
      </c>
      <c r="O235" s="8"/>
      <c r="P235" s="8" t="s">
        <v>995</v>
      </c>
    </row>
    <row r="236" spans="1:16" x14ac:dyDescent="0.25">
      <c r="A236" s="8" t="s">
        <v>4574</v>
      </c>
      <c r="B236" s="8" t="s">
        <v>992</v>
      </c>
      <c r="C236" s="8" t="s">
        <v>4575</v>
      </c>
      <c r="D236" s="8" t="s">
        <v>100</v>
      </c>
      <c r="E236" s="8"/>
      <c r="F236" s="8" t="s">
        <v>412</v>
      </c>
      <c r="G236" s="8"/>
      <c r="H236" s="8"/>
      <c r="I236" s="8"/>
      <c r="J236" s="8" t="s">
        <v>607</v>
      </c>
      <c r="K236" s="8" t="s">
        <v>993</v>
      </c>
      <c r="L236" s="8" t="s">
        <v>994</v>
      </c>
      <c r="M236" s="8" t="s">
        <v>4576</v>
      </c>
      <c r="N236" s="8">
        <v>41</v>
      </c>
      <c r="O236" s="8"/>
      <c r="P236" s="8" t="s">
        <v>995</v>
      </c>
    </row>
    <row r="237" spans="1:16" x14ac:dyDescent="0.25">
      <c r="A237" s="8" t="s">
        <v>4574</v>
      </c>
      <c r="B237" s="8" t="s">
        <v>992</v>
      </c>
      <c r="C237" s="8" t="s">
        <v>4575</v>
      </c>
      <c r="D237" s="8" t="s">
        <v>59</v>
      </c>
      <c r="E237" s="8"/>
      <c r="F237" s="8" t="s">
        <v>412</v>
      </c>
      <c r="G237" s="8"/>
      <c r="H237" s="8"/>
      <c r="I237" s="8"/>
      <c r="J237" s="8" t="s">
        <v>608</v>
      </c>
      <c r="K237" s="8" t="s">
        <v>993</v>
      </c>
      <c r="L237" s="8" t="s">
        <v>994</v>
      </c>
      <c r="M237" s="8" t="s">
        <v>4576</v>
      </c>
      <c r="N237" s="8">
        <v>41</v>
      </c>
      <c r="O237" s="8"/>
      <c r="P237" s="8" t="s">
        <v>995</v>
      </c>
    </row>
    <row r="238" spans="1:16" x14ac:dyDescent="0.25">
      <c r="A238" s="8" t="s">
        <v>4574</v>
      </c>
      <c r="B238" s="8" t="s">
        <v>992</v>
      </c>
      <c r="C238" s="8" t="s">
        <v>4575</v>
      </c>
      <c r="D238" s="8" t="s">
        <v>111</v>
      </c>
      <c r="E238" s="8"/>
      <c r="F238" s="8" t="s">
        <v>412</v>
      </c>
      <c r="G238" s="8"/>
      <c r="H238" s="8"/>
      <c r="I238" s="8"/>
      <c r="J238" s="8" t="s">
        <v>610</v>
      </c>
      <c r="K238" s="8" t="s">
        <v>993</v>
      </c>
      <c r="L238" s="8" t="s">
        <v>994</v>
      </c>
      <c r="M238" s="8" t="s">
        <v>4576</v>
      </c>
      <c r="N238" s="8">
        <v>41</v>
      </c>
      <c r="O238" s="8"/>
      <c r="P238" s="8" t="s">
        <v>995</v>
      </c>
    </row>
    <row r="239" spans="1:16" x14ac:dyDescent="0.25">
      <c r="A239" s="8" t="s">
        <v>4574</v>
      </c>
      <c r="B239" s="8" t="s">
        <v>992</v>
      </c>
      <c r="C239" s="8" t="s">
        <v>4575</v>
      </c>
      <c r="D239" s="8" t="s">
        <v>210</v>
      </c>
      <c r="E239" s="8"/>
      <c r="F239" s="8" t="s">
        <v>412</v>
      </c>
      <c r="G239" s="8"/>
      <c r="H239" s="8"/>
      <c r="I239" s="8"/>
      <c r="J239" s="8"/>
      <c r="K239" s="8" t="s">
        <v>993</v>
      </c>
      <c r="L239" s="8" t="s">
        <v>994</v>
      </c>
      <c r="M239" s="8" t="s">
        <v>4576</v>
      </c>
      <c r="N239" s="8">
        <v>41</v>
      </c>
      <c r="O239" s="8"/>
      <c r="P239" s="8" t="s">
        <v>995</v>
      </c>
    </row>
    <row r="240" spans="1:16" x14ac:dyDescent="0.25">
      <c r="A240" s="8" t="s">
        <v>4574</v>
      </c>
      <c r="B240" s="8" t="s">
        <v>992</v>
      </c>
      <c r="C240" s="8" t="s">
        <v>4575</v>
      </c>
      <c r="D240" s="8" t="s">
        <v>268</v>
      </c>
      <c r="E240" s="8"/>
      <c r="F240" s="8" t="s">
        <v>437</v>
      </c>
      <c r="G240" s="8"/>
      <c r="H240" s="8"/>
      <c r="I240" s="8"/>
      <c r="J240" s="8" t="s">
        <v>611</v>
      </c>
      <c r="K240" s="8" t="s">
        <v>993</v>
      </c>
      <c r="L240" s="8" t="s">
        <v>994</v>
      </c>
      <c r="M240" s="8" t="s">
        <v>4576</v>
      </c>
      <c r="N240" s="8">
        <v>41</v>
      </c>
      <c r="O240" s="8"/>
      <c r="P240" s="8" t="s">
        <v>995</v>
      </c>
    </row>
    <row r="241" spans="1:16" x14ac:dyDescent="0.25">
      <c r="A241" s="8" t="s">
        <v>4574</v>
      </c>
      <c r="B241" s="8" t="s">
        <v>992</v>
      </c>
      <c r="C241" s="8" t="s">
        <v>4575</v>
      </c>
      <c r="D241" s="8" t="s">
        <v>315</v>
      </c>
      <c r="E241" s="8"/>
      <c r="F241" s="8" t="s">
        <v>412</v>
      </c>
      <c r="G241" s="8"/>
      <c r="H241" s="8"/>
      <c r="I241" s="8"/>
      <c r="J241" s="8"/>
      <c r="K241" s="8" t="s">
        <v>993</v>
      </c>
      <c r="L241" s="8" t="s">
        <v>994</v>
      </c>
      <c r="M241" s="8" t="s">
        <v>4576</v>
      </c>
      <c r="N241" s="8">
        <v>41</v>
      </c>
      <c r="O241" s="8"/>
      <c r="P241" s="8" t="s">
        <v>995</v>
      </c>
    </row>
    <row r="242" spans="1:16" x14ac:dyDescent="0.25">
      <c r="A242" s="8" t="s">
        <v>4574</v>
      </c>
      <c r="B242" s="8" t="s">
        <v>992</v>
      </c>
      <c r="C242" s="8" t="s">
        <v>4575</v>
      </c>
      <c r="D242" s="8" t="s">
        <v>89</v>
      </c>
      <c r="E242" s="8"/>
      <c r="F242" s="8" t="s">
        <v>412</v>
      </c>
      <c r="G242" s="8"/>
      <c r="H242" s="8"/>
      <c r="I242" s="8"/>
      <c r="J242" s="8" t="s">
        <v>612</v>
      </c>
      <c r="K242" s="8" t="s">
        <v>993</v>
      </c>
      <c r="L242" s="8" t="s">
        <v>994</v>
      </c>
      <c r="M242" s="8" t="s">
        <v>4576</v>
      </c>
      <c r="N242" s="8">
        <v>41</v>
      </c>
      <c r="O242" s="8"/>
      <c r="P242" s="8" t="s">
        <v>995</v>
      </c>
    </row>
    <row r="243" spans="1:16" x14ac:dyDescent="0.25">
      <c r="A243" s="8" t="s">
        <v>4574</v>
      </c>
      <c r="B243" s="8" t="s">
        <v>992</v>
      </c>
      <c r="C243" s="8" t="s">
        <v>4575</v>
      </c>
      <c r="D243" s="8" t="s">
        <v>123</v>
      </c>
      <c r="E243" s="8"/>
      <c r="F243" s="8" t="s">
        <v>412</v>
      </c>
      <c r="G243" s="8"/>
      <c r="H243" s="8"/>
      <c r="I243" s="8"/>
      <c r="J243" s="8" t="s">
        <v>609</v>
      </c>
      <c r="K243" s="8" t="s">
        <v>993</v>
      </c>
      <c r="L243" s="8" t="s">
        <v>994</v>
      </c>
      <c r="M243" s="8" t="s">
        <v>4576</v>
      </c>
      <c r="N243" s="8">
        <v>41</v>
      </c>
      <c r="O243" s="8"/>
      <c r="P243" s="8" t="s">
        <v>995</v>
      </c>
    </row>
    <row r="244" spans="1:16" x14ac:dyDescent="0.25">
      <c r="A244" s="8" t="s">
        <v>4574</v>
      </c>
      <c r="B244" s="8" t="s">
        <v>992</v>
      </c>
      <c r="C244" s="8" t="s">
        <v>4575</v>
      </c>
      <c r="D244" s="8" t="s">
        <v>340</v>
      </c>
      <c r="E244" s="8"/>
      <c r="F244" s="8" t="s">
        <v>412</v>
      </c>
      <c r="G244" s="8"/>
      <c r="H244" s="8"/>
      <c r="I244" s="8"/>
      <c r="J244" s="8"/>
      <c r="K244" s="8" t="s">
        <v>993</v>
      </c>
      <c r="L244" s="8" t="s">
        <v>994</v>
      </c>
      <c r="M244" s="8" t="s">
        <v>4576</v>
      </c>
      <c r="N244" s="8">
        <v>41</v>
      </c>
      <c r="O244" s="8"/>
      <c r="P244" s="8" t="s">
        <v>995</v>
      </c>
    </row>
    <row r="245" spans="1:16" x14ac:dyDescent="0.25">
      <c r="A245" s="8" t="s">
        <v>4574</v>
      </c>
      <c r="B245" s="8" t="s">
        <v>992</v>
      </c>
      <c r="C245" s="8" t="s">
        <v>4575</v>
      </c>
      <c r="D245" s="8" t="s">
        <v>13</v>
      </c>
      <c r="E245" s="8"/>
      <c r="F245" s="8" t="s">
        <v>412</v>
      </c>
      <c r="G245" s="8"/>
      <c r="H245" s="8"/>
      <c r="I245" s="8"/>
      <c r="J245" s="8" t="s">
        <v>614</v>
      </c>
      <c r="K245" s="8" t="s">
        <v>993</v>
      </c>
      <c r="L245" s="8" t="s">
        <v>994</v>
      </c>
      <c r="M245" s="8" t="s">
        <v>4576</v>
      </c>
      <c r="N245" s="8">
        <v>41</v>
      </c>
      <c r="O245" s="8"/>
      <c r="P245" s="8" t="s">
        <v>995</v>
      </c>
    </row>
    <row r="246" spans="1:16" x14ac:dyDescent="0.25">
      <c r="A246" s="8" t="s">
        <v>4574</v>
      </c>
      <c r="B246" s="8" t="s">
        <v>992</v>
      </c>
      <c r="C246" s="8" t="s">
        <v>4575</v>
      </c>
      <c r="D246" s="8" t="s">
        <v>88</v>
      </c>
      <c r="E246" s="8"/>
      <c r="F246" s="8" t="s">
        <v>412</v>
      </c>
      <c r="G246" s="8"/>
      <c r="H246" s="8"/>
      <c r="I246" s="8"/>
      <c r="J246" s="8" t="s">
        <v>615</v>
      </c>
      <c r="K246" s="8" t="s">
        <v>993</v>
      </c>
      <c r="L246" s="8" t="s">
        <v>994</v>
      </c>
      <c r="M246" s="8" t="s">
        <v>4576</v>
      </c>
      <c r="N246" s="8">
        <v>41</v>
      </c>
      <c r="O246" s="8"/>
      <c r="P246" s="8" t="s">
        <v>995</v>
      </c>
    </row>
    <row r="247" spans="1:16" x14ac:dyDescent="0.25">
      <c r="A247" s="8" t="s">
        <v>4574</v>
      </c>
      <c r="B247" s="8" t="s">
        <v>992</v>
      </c>
      <c r="C247" s="8" t="s">
        <v>4575</v>
      </c>
      <c r="D247" s="8" t="s">
        <v>81</v>
      </c>
      <c r="E247" s="8"/>
      <c r="F247" s="8" t="s">
        <v>412</v>
      </c>
      <c r="G247" s="8"/>
      <c r="H247" s="8"/>
      <c r="I247" s="8"/>
      <c r="J247" s="8" t="s">
        <v>616</v>
      </c>
      <c r="K247" s="8" t="s">
        <v>993</v>
      </c>
      <c r="L247" s="8" t="s">
        <v>994</v>
      </c>
      <c r="M247" s="8" t="s">
        <v>4576</v>
      </c>
      <c r="N247" s="8">
        <v>41</v>
      </c>
      <c r="O247" s="8"/>
      <c r="P247" s="8" t="s">
        <v>995</v>
      </c>
    </row>
    <row r="248" spans="1:16" x14ac:dyDescent="0.25">
      <c r="A248" s="8" t="s">
        <v>4574</v>
      </c>
      <c r="B248" s="8" t="s">
        <v>992</v>
      </c>
      <c r="C248" s="8" t="s">
        <v>4575</v>
      </c>
      <c r="D248" s="8" t="s">
        <v>296</v>
      </c>
      <c r="E248" s="8"/>
      <c r="F248" s="8" t="s">
        <v>412</v>
      </c>
      <c r="G248" s="8"/>
      <c r="H248" s="8"/>
      <c r="I248" s="8"/>
      <c r="J248" s="8" t="s">
        <v>617</v>
      </c>
      <c r="K248" s="8" t="s">
        <v>993</v>
      </c>
      <c r="L248" s="8" t="s">
        <v>994</v>
      </c>
      <c r="M248" s="8" t="s">
        <v>4576</v>
      </c>
      <c r="N248" s="8">
        <v>41</v>
      </c>
      <c r="O248" s="8"/>
      <c r="P248" s="8" t="s">
        <v>995</v>
      </c>
    </row>
    <row r="249" spans="1:16" x14ac:dyDescent="0.25">
      <c r="A249" s="8" t="s">
        <v>4574</v>
      </c>
      <c r="B249" s="8" t="s">
        <v>992</v>
      </c>
      <c r="C249" s="8" t="s">
        <v>4575</v>
      </c>
      <c r="D249" s="8" t="s">
        <v>195</v>
      </c>
      <c r="E249" s="8"/>
      <c r="F249" s="8" t="s">
        <v>412</v>
      </c>
      <c r="G249" s="8"/>
      <c r="H249" s="8"/>
      <c r="I249" s="8"/>
      <c r="J249" s="8" t="s">
        <v>618</v>
      </c>
      <c r="K249" s="8" t="s">
        <v>993</v>
      </c>
      <c r="L249" s="8" t="s">
        <v>994</v>
      </c>
      <c r="M249" s="8" t="s">
        <v>4576</v>
      </c>
      <c r="N249" s="8">
        <v>41</v>
      </c>
      <c r="O249" s="8"/>
      <c r="P249" s="8" t="s">
        <v>995</v>
      </c>
    </row>
    <row r="250" spans="1:16" x14ac:dyDescent="0.25">
      <c r="A250" s="8" t="s">
        <v>4574</v>
      </c>
      <c r="B250" s="8" t="s">
        <v>992</v>
      </c>
      <c r="C250" s="8" t="s">
        <v>4575</v>
      </c>
      <c r="D250" s="8" t="s">
        <v>142</v>
      </c>
      <c r="E250" s="8"/>
      <c r="F250" s="8" t="s">
        <v>412</v>
      </c>
      <c r="G250" s="8"/>
      <c r="H250" s="8"/>
      <c r="I250" s="8"/>
      <c r="J250" s="8" t="s">
        <v>613</v>
      </c>
      <c r="K250" s="8" t="s">
        <v>993</v>
      </c>
      <c r="L250" s="8" t="s">
        <v>994</v>
      </c>
      <c r="M250" s="8" t="s">
        <v>4576</v>
      </c>
      <c r="N250" s="8">
        <v>41</v>
      </c>
      <c r="O250" s="8"/>
      <c r="P250" s="8" t="s">
        <v>995</v>
      </c>
    </row>
    <row r="251" spans="1:16" x14ac:dyDescent="0.25">
      <c r="A251" s="8" t="s">
        <v>4574</v>
      </c>
      <c r="B251" s="8" t="s">
        <v>992</v>
      </c>
      <c r="C251" s="8" t="s">
        <v>4575</v>
      </c>
      <c r="D251" s="8" t="s">
        <v>275</v>
      </c>
      <c r="E251" s="8"/>
      <c r="F251" s="8" t="s">
        <v>412</v>
      </c>
      <c r="G251" s="8"/>
      <c r="H251" s="8"/>
      <c r="I251" s="8"/>
      <c r="J251" s="8" t="s">
        <v>619</v>
      </c>
      <c r="K251" s="8" t="s">
        <v>993</v>
      </c>
      <c r="L251" s="8" t="s">
        <v>994</v>
      </c>
      <c r="M251" s="8" t="s">
        <v>4576</v>
      </c>
      <c r="N251" s="8">
        <v>41</v>
      </c>
      <c r="O251" s="8"/>
      <c r="P251" s="8" t="s">
        <v>995</v>
      </c>
    </row>
    <row r="252" spans="1:16" x14ac:dyDescent="0.25">
      <c r="A252" s="8" t="s">
        <v>4574</v>
      </c>
      <c r="B252" s="8" t="s">
        <v>992</v>
      </c>
      <c r="C252" s="8" t="s">
        <v>4575</v>
      </c>
      <c r="D252" s="8" t="s">
        <v>314</v>
      </c>
      <c r="E252" s="8"/>
      <c r="F252" s="8" t="s">
        <v>412</v>
      </c>
      <c r="G252" s="8"/>
      <c r="H252" s="8"/>
      <c r="I252" s="8"/>
      <c r="J252" s="8"/>
      <c r="K252" s="8" t="s">
        <v>993</v>
      </c>
      <c r="L252" s="8" t="s">
        <v>994</v>
      </c>
      <c r="M252" s="8" t="s">
        <v>4576</v>
      </c>
      <c r="N252" s="8">
        <v>41</v>
      </c>
      <c r="O252" s="8"/>
      <c r="P252" s="8" t="s">
        <v>995</v>
      </c>
    </row>
    <row r="253" spans="1:16" x14ac:dyDescent="0.25">
      <c r="A253" s="8" t="s">
        <v>4574</v>
      </c>
      <c r="B253" s="8" t="s">
        <v>992</v>
      </c>
      <c r="C253" s="8" t="s">
        <v>4575</v>
      </c>
      <c r="D253" s="8" t="s">
        <v>278</v>
      </c>
      <c r="E253" s="8"/>
      <c r="F253" s="8" t="s">
        <v>437</v>
      </c>
      <c r="G253" s="8"/>
      <c r="H253" s="8"/>
      <c r="I253" s="8"/>
      <c r="J253" s="8" t="s">
        <v>620</v>
      </c>
      <c r="K253" s="8" t="s">
        <v>993</v>
      </c>
      <c r="L253" s="8" t="s">
        <v>994</v>
      </c>
      <c r="M253" s="8" t="s">
        <v>4576</v>
      </c>
      <c r="N253" s="8">
        <v>41</v>
      </c>
      <c r="O253" s="8"/>
      <c r="P253" s="8" t="s">
        <v>995</v>
      </c>
    </row>
    <row r="254" spans="1:16" x14ac:dyDescent="0.25">
      <c r="A254" s="8" t="s">
        <v>4574</v>
      </c>
      <c r="B254" s="8" t="s">
        <v>992</v>
      </c>
      <c r="C254" s="8" t="s">
        <v>4575</v>
      </c>
      <c r="D254" s="8" t="s">
        <v>300</v>
      </c>
      <c r="E254" s="8"/>
      <c r="F254" s="8" t="s">
        <v>412</v>
      </c>
      <c r="G254" s="8"/>
      <c r="H254" s="8"/>
      <c r="I254" s="8"/>
      <c r="J254" s="8" t="s">
        <v>621</v>
      </c>
      <c r="K254" s="8" t="s">
        <v>993</v>
      </c>
      <c r="L254" s="8" t="s">
        <v>994</v>
      </c>
      <c r="M254" s="8" t="s">
        <v>4576</v>
      </c>
      <c r="N254" s="8">
        <v>41</v>
      </c>
      <c r="O254" s="8"/>
      <c r="P254" s="8" t="s">
        <v>995</v>
      </c>
    </row>
    <row r="255" spans="1:16" x14ac:dyDescent="0.25">
      <c r="A255" s="8" t="s">
        <v>4574</v>
      </c>
      <c r="B255" s="8" t="s">
        <v>992</v>
      </c>
      <c r="C255" s="8" t="s">
        <v>4575</v>
      </c>
      <c r="D255" s="8" t="s">
        <v>72</v>
      </c>
      <c r="E255" s="8"/>
      <c r="F255" s="8" t="s">
        <v>412</v>
      </c>
      <c r="G255" s="8"/>
      <c r="H255" s="8"/>
      <c r="I255" s="8"/>
      <c r="J255" s="8" t="s">
        <v>622</v>
      </c>
      <c r="K255" s="8" t="s">
        <v>993</v>
      </c>
      <c r="L255" s="8" t="s">
        <v>994</v>
      </c>
      <c r="M255" s="8" t="s">
        <v>4576</v>
      </c>
      <c r="N255" s="8">
        <v>41</v>
      </c>
      <c r="O255" s="8"/>
      <c r="P255" s="8" t="s">
        <v>995</v>
      </c>
    </row>
    <row r="256" spans="1:16" x14ac:dyDescent="0.25">
      <c r="A256" s="8" t="s">
        <v>4574</v>
      </c>
      <c r="B256" s="8" t="s">
        <v>992</v>
      </c>
      <c r="C256" s="8" t="s">
        <v>4575</v>
      </c>
      <c r="D256" s="8" t="s">
        <v>221</v>
      </c>
      <c r="E256" s="8"/>
      <c r="F256" s="8" t="s">
        <v>412</v>
      </c>
      <c r="G256" s="8"/>
      <c r="H256" s="8"/>
      <c r="I256" s="8"/>
      <c r="J256" s="8" t="s">
        <v>625</v>
      </c>
      <c r="K256" s="8" t="s">
        <v>993</v>
      </c>
      <c r="L256" s="8" t="s">
        <v>994</v>
      </c>
      <c r="M256" s="8" t="s">
        <v>4576</v>
      </c>
      <c r="N256" s="8">
        <v>41</v>
      </c>
      <c r="O256" s="8"/>
      <c r="P256" s="8" t="s">
        <v>995</v>
      </c>
    </row>
    <row r="257" spans="1:16" x14ac:dyDescent="0.25">
      <c r="A257" s="8" t="s">
        <v>4574</v>
      </c>
      <c r="B257" s="8" t="s">
        <v>992</v>
      </c>
      <c r="C257" s="8" t="s">
        <v>4575</v>
      </c>
      <c r="D257" s="8" t="s">
        <v>51</v>
      </c>
      <c r="E257" s="8"/>
      <c r="F257" s="8" t="s">
        <v>412</v>
      </c>
      <c r="G257" s="8"/>
      <c r="H257" s="8"/>
      <c r="I257" s="8"/>
      <c r="J257" s="8" t="s">
        <v>624</v>
      </c>
      <c r="K257" s="8" t="s">
        <v>993</v>
      </c>
      <c r="L257" s="8" t="s">
        <v>994</v>
      </c>
      <c r="M257" s="8" t="s">
        <v>4576</v>
      </c>
      <c r="N257" s="8">
        <v>41</v>
      </c>
      <c r="O257" s="8"/>
      <c r="P257" s="8" t="s">
        <v>995</v>
      </c>
    </row>
    <row r="258" spans="1:16" x14ac:dyDescent="0.25">
      <c r="A258" s="8" t="s">
        <v>4574</v>
      </c>
      <c r="B258" s="8" t="s">
        <v>992</v>
      </c>
      <c r="C258" s="8" t="s">
        <v>4575</v>
      </c>
      <c r="D258" s="8" t="s">
        <v>260</v>
      </c>
      <c r="E258" s="8"/>
      <c r="F258" s="8" t="s">
        <v>437</v>
      </c>
      <c r="G258" s="8"/>
      <c r="H258" s="8"/>
      <c r="I258" s="8"/>
      <c r="J258" s="8" t="s">
        <v>628</v>
      </c>
      <c r="K258" s="8" t="s">
        <v>993</v>
      </c>
      <c r="L258" s="8" t="s">
        <v>994</v>
      </c>
      <c r="M258" s="8" t="s">
        <v>4576</v>
      </c>
      <c r="N258" s="8">
        <v>41</v>
      </c>
      <c r="O258" s="8"/>
      <c r="P258" s="8" t="s">
        <v>995</v>
      </c>
    </row>
    <row r="259" spans="1:16" x14ac:dyDescent="0.25">
      <c r="A259" s="8" t="s">
        <v>4574</v>
      </c>
      <c r="B259" s="8" t="s">
        <v>992</v>
      </c>
      <c r="C259" s="8" t="s">
        <v>4575</v>
      </c>
      <c r="D259" s="8" t="s">
        <v>139</v>
      </c>
      <c r="E259" s="8"/>
      <c r="F259" s="8" t="s">
        <v>412</v>
      </c>
      <c r="G259" s="8"/>
      <c r="H259" s="8"/>
      <c r="I259" s="8"/>
      <c r="J259" s="8" t="s">
        <v>626</v>
      </c>
      <c r="K259" s="8" t="s">
        <v>993</v>
      </c>
      <c r="L259" s="8" t="s">
        <v>994</v>
      </c>
      <c r="M259" s="8" t="s">
        <v>4576</v>
      </c>
      <c r="N259" s="8">
        <v>41</v>
      </c>
      <c r="O259" s="8"/>
      <c r="P259" s="8" t="s">
        <v>995</v>
      </c>
    </row>
    <row r="260" spans="1:16" x14ac:dyDescent="0.25">
      <c r="A260" s="8" t="s">
        <v>4574</v>
      </c>
      <c r="B260" s="8" t="s">
        <v>992</v>
      </c>
      <c r="C260" s="8" t="s">
        <v>4575</v>
      </c>
      <c r="D260" s="8" t="s">
        <v>187</v>
      </c>
      <c r="E260" s="8"/>
      <c r="F260" s="8" t="s">
        <v>412</v>
      </c>
      <c r="G260" s="8"/>
      <c r="H260" s="8"/>
      <c r="I260" s="8"/>
      <c r="J260" s="8" t="s">
        <v>627</v>
      </c>
      <c r="K260" s="8" t="s">
        <v>993</v>
      </c>
      <c r="L260" s="8" t="s">
        <v>994</v>
      </c>
      <c r="M260" s="8" t="s">
        <v>4576</v>
      </c>
      <c r="N260" s="8">
        <v>41</v>
      </c>
      <c r="O260" s="8"/>
      <c r="P260" s="8" t="s">
        <v>995</v>
      </c>
    </row>
    <row r="261" spans="1:16" x14ac:dyDescent="0.25">
      <c r="A261" s="8" t="s">
        <v>4574</v>
      </c>
      <c r="B261" s="8" t="s">
        <v>992</v>
      </c>
      <c r="C261" s="8" t="s">
        <v>4575</v>
      </c>
      <c r="D261" s="8" t="s">
        <v>71</v>
      </c>
      <c r="E261" s="8"/>
      <c r="F261" s="8" t="s">
        <v>412</v>
      </c>
      <c r="G261" s="8"/>
      <c r="H261" s="8"/>
      <c r="I261" s="8"/>
      <c r="J261" s="8" t="s">
        <v>630</v>
      </c>
      <c r="K261" s="8" t="s">
        <v>993</v>
      </c>
      <c r="L261" s="8" t="s">
        <v>994</v>
      </c>
      <c r="M261" s="8" t="s">
        <v>4576</v>
      </c>
      <c r="N261" s="8">
        <v>41</v>
      </c>
      <c r="O261" s="8"/>
      <c r="P261" s="8" t="s">
        <v>995</v>
      </c>
    </row>
    <row r="262" spans="1:16" x14ac:dyDescent="0.25">
      <c r="A262" s="8" t="s">
        <v>4574</v>
      </c>
      <c r="B262" s="8" t="s">
        <v>992</v>
      </c>
      <c r="C262" s="8" t="s">
        <v>4575</v>
      </c>
      <c r="D262" s="8" t="s">
        <v>171</v>
      </c>
      <c r="E262" s="8"/>
      <c r="F262" s="8" t="s">
        <v>412</v>
      </c>
      <c r="G262" s="8"/>
      <c r="H262" s="8"/>
      <c r="I262" s="8"/>
      <c r="J262" s="8"/>
      <c r="K262" s="8" t="s">
        <v>993</v>
      </c>
      <c r="L262" s="8" t="s">
        <v>994</v>
      </c>
      <c r="M262" s="8" t="s">
        <v>4576</v>
      </c>
      <c r="N262" s="8">
        <v>41</v>
      </c>
      <c r="O262" s="8"/>
      <c r="P262" s="8" t="s">
        <v>995</v>
      </c>
    </row>
    <row r="263" spans="1:16" x14ac:dyDescent="0.25">
      <c r="A263" s="8" t="s">
        <v>4574</v>
      </c>
      <c r="B263" s="8" t="s">
        <v>992</v>
      </c>
      <c r="C263" s="8" t="s">
        <v>4575</v>
      </c>
      <c r="D263" s="8" t="s">
        <v>92</v>
      </c>
      <c r="E263" s="8"/>
      <c r="F263" s="8" t="s">
        <v>412</v>
      </c>
      <c r="G263" s="8"/>
      <c r="H263" s="8"/>
      <c r="I263" s="8"/>
      <c r="J263" s="8" t="s">
        <v>629</v>
      </c>
      <c r="K263" s="8" t="s">
        <v>993</v>
      </c>
      <c r="L263" s="8" t="s">
        <v>994</v>
      </c>
      <c r="M263" s="8" t="s">
        <v>4576</v>
      </c>
      <c r="N263" s="8">
        <v>41</v>
      </c>
      <c r="O263" s="8"/>
      <c r="P263" s="8" t="s">
        <v>995</v>
      </c>
    </row>
    <row r="264" spans="1:16" x14ac:dyDescent="0.25">
      <c r="A264" s="8" t="s">
        <v>4574</v>
      </c>
      <c r="B264" s="8" t="s">
        <v>992</v>
      </c>
      <c r="C264" s="8" t="s">
        <v>4575</v>
      </c>
      <c r="D264" s="8" t="s">
        <v>23</v>
      </c>
      <c r="E264" s="8"/>
      <c r="F264" s="8" t="s">
        <v>412</v>
      </c>
      <c r="G264" s="8"/>
      <c r="H264" s="8"/>
      <c r="I264" s="8"/>
      <c r="J264" s="8" t="s">
        <v>623</v>
      </c>
      <c r="K264" s="8" t="s">
        <v>993</v>
      </c>
      <c r="L264" s="8" t="s">
        <v>994</v>
      </c>
      <c r="M264" s="8" t="s">
        <v>4576</v>
      </c>
      <c r="N264" s="8">
        <v>41</v>
      </c>
      <c r="O264" s="8"/>
      <c r="P264" s="8" t="s">
        <v>995</v>
      </c>
    </row>
    <row r="265" spans="1:16" x14ac:dyDescent="0.25">
      <c r="A265" s="8" t="s">
        <v>4574</v>
      </c>
      <c r="B265" s="8" t="s">
        <v>992</v>
      </c>
      <c r="C265" s="8" t="s">
        <v>4575</v>
      </c>
      <c r="D265" s="8" t="s">
        <v>190</v>
      </c>
      <c r="E265" s="8"/>
      <c r="F265" s="8" t="s">
        <v>412</v>
      </c>
      <c r="G265" s="8"/>
      <c r="H265" s="8"/>
      <c r="I265" s="8"/>
      <c r="J265" s="8" t="s">
        <v>631</v>
      </c>
      <c r="K265" s="8" t="s">
        <v>993</v>
      </c>
      <c r="L265" s="8" t="s">
        <v>994</v>
      </c>
      <c r="M265" s="8" t="s">
        <v>4576</v>
      </c>
      <c r="N265" s="8">
        <v>41</v>
      </c>
      <c r="O265" s="8"/>
      <c r="P265" s="8" t="s">
        <v>995</v>
      </c>
    </row>
    <row r="266" spans="1:16" x14ac:dyDescent="0.25">
      <c r="A266" s="8" t="s">
        <v>4574</v>
      </c>
      <c r="B266" s="8" t="s">
        <v>992</v>
      </c>
      <c r="C266" s="8" t="s">
        <v>4575</v>
      </c>
      <c r="D266" s="8" t="s">
        <v>178</v>
      </c>
      <c r="E266" s="8"/>
      <c r="F266" s="8" t="s">
        <v>412</v>
      </c>
      <c r="G266" s="8"/>
      <c r="H266" s="8"/>
      <c r="I266" s="8"/>
      <c r="J266" s="8" t="s">
        <v>632</v>
      </c>
      <c r="K266" s="8" t="s">
        <v>993</v>
      </c>
      <c r="L266" s="8" t="s">
        <v>994</v>
      </c>
      <c r="M266" s="8" t="s">
        <v>4576</v>
      </c>
      <c r="N266" s="8">
        <v>41</v>
      </c>
      <c r="O266" s="8"/>
      <c r="P266" s="8" t="s">
        <v>995</v>
      </c>
    </row>
    <row r="267" spans="1:16" x14ac:dyDescent="0.25">
      <c r="A267" s="8" t="s">
        <v>4574</v>
      </c>
      <c r="B267" s="8" t="s">
        <v>992</v>
      </c>
      <c r="C267" s="8" t="s">
        <v>4575</v>
      </c>
      <c r="D267" s="8" t="s">
        <v>27</v>
      </c>
      <c r="E267" s="8"/>
      <c r="F267" s="8" t="s">
        <v>412</v>
      </c>
      <c r="G267" s="8"/>
      <c r="H267" s="8"/>
      <c r="I267" s="8"/>
      <c r="J267" s="8" t="s">
        <v>633</v>
      </c>
      <c r="K267" s="8" t="s">
        <v>993</v>
      </c>
      <c r="L267" s="8" t="s">
        <v>994</v>
      </c>
      <c r="M267" s="8" t="s">
        <v>4576</v>
      </c>
      <c r="N267" s="8">
        <v>41</v>
      </c>
      <c r="O267" s="8"/>
      <c r="P267" s="8" t="s">
        <v>995</v>
      </c>
    </row>
    <row r="268" spans="1:16" x14ac:dyDescent="0.25">
      <c r="A268" s="8" t="s">
        <v>4574</v>
      </c>
      <c r="B268" s="8" t="s">
        <v>992</v>
      </c>
      <c r="C268" s="8" t="s">
        <v>4575</v>
      </c>
      <c r="D268" s="8" t="s">
        <v>298</v>
      </c>
      <c r="E268" s="8"/>
      <c r="F268" s="8" t="s">
        <v>412</v>
      </c>
      <c r="G268" s="8"/>
      <c r="H268" s="8"/>
      <c r="I268" s="8"/>
      <c r="J268" s="8" t="s">
        <v>634</v>
      </c>
      <c r="K268" s="8" t="s">
        <v>993</v>
      </c>
      <c r="L268" s="8" t="s">
        <v>994</v>
      </c>
      <c r="M268" s="8" t="s">
        <v>4576</v>
      </c>
      <c r="N268" s="8">
        <v>41</v>
      </c>
      <c r="O268" s="8"/>
      <c r="P268" s="8" t="s">
        <v>995</v>
      </c>
    </row>
    <row r="269" spans="1:16" x14ac:dyDescent="0.25">
      <c r="A269" s="8" t="s">
        <v>4574</v>
      </c>
      <c r="B269" s="8" t="s">
        <v>992</v>
      </c>
      <c r="C269" s="8" t="s">
        <v>4575</v>
      </c>
      <c r="D269" s="8" t="s">
        <v>185</v>
      </c>
      <c r="E269" s="8"/>
      <c r="F269" s="8" t="s">
        <v>412</v>
      </c>
      <c r="G269" s="8"/>
      <c r="H269" s="8"/>
      <c r="I269" s="8"/>
      <c r="J269" s="8" t="s">
        <v>635</v>
      </c>
      <c r="K269" s="8" t="s">
        <v>993</v>
      </c>
      <c r="L269" s="8" t="s">
        <v>994</v>
      </c>
      <c r="M269" s="8" t="s">
        <v>4576</v>
      </c>
      <c r="N269" s="8">
        <v>41</v>
      </c>
      <c r="O269" s="8"/>
      <c r="P269" s="8" t="s">
        <v>995</v>
      </c>
    </row>
    <row r="270" spans="1:16" x14ac:dyDescent="0.25">
      <c r="A270" s="8" t="s">
        <v>4574</v>
      </c>
      <c r="B270" s="8" t="s">
        <v>992</v>
      </c>
      <c r="C270" s="8" t="s">
        <v>4575</v>
      </c>
      <c r="D270" s="8" t="s">
        <v>120</v>
      </c>
      <c r="E270" s="8"/>
      <c r="F270" s="8" t="s">
        <v>412</v>
      </c>
      <c r="G270" s="8"/>
      <c r="H270" s="8"/>
      <c r="I270" s="8"/>
      <c r="J270" s="8" t="s">
        <v>636</v>
      </c>
      <c r="K270" s="8" t="s">
        <v>993</v>
      </c>
      <c r="L270" s="8" t="s">
        <v>994</v>
      </c>
      <c r="M270" s="8" t="s">
        <v>4576</v>
      </c>
      <c r="N270" s="8">
        <v>41</v>
      </c>
      <c r="O270" s="8"/>
      <c r="P270" s="8" t="s">
        <v>995</v>
      </c>
    </row>
    <row r="271" spans="1:16" x14ac:dyDescent="0.25">
      <c r="A271" s="8" t="s">
        <v>4574</v>
      </c>
      <c r="B271" s="8" t="s">
        <v>992</v>
      </c>
      <c r="C271" s="8" t="s">
        <v>4575</v>
      </c>
      <c r="D271" s="8" t="s">
        <v>330</v>
      </c>
      <c r="E271" s="8"/>
      <c r="F271" s="8" t="s">
        <v>412</v>
      </c>
      <c r="G271" s="8"/>
      <c r="H271" s="8"/>
      <c r="I271" s="8"/>
      <c r="J271" s="8"/>
      <c r="K271" s="8" t="s">
        <v>993</v>
      </c>
      <c r="L271" s="8" t="s">
        <v>994</v>
      </c>
      <c r="M271" s="8" t="s">
        <v>4576</v>
      </c>
      <c r="N271" s="8">
        <v>41</v>
      </c>
      <c r="O271" s="8"/>
      <c r="P271" s="8" t="s">
        <v>995</v>
      </c>
    </row>
    <row r="272" spans="1:16" x14ac:dyDescent="0.25">
      <c r="A272" s="8" t="s">
        <v>4574</v>
      </c>
      <c r="B272" s="8" t="s">
        <v>992</v>
      </c>
      <c r="C272" s="8" t="s">
        <v>4575</v>
      </c>
      <c r="D272" s="8" t="s">
        <v>271</v>
      </c>
      <c r="E272" s="8"/>
      <c r="F272" s="8" t="s">
        <v>412</v>
      </c>
      <c r="G272" s="8"/>
      <c r="H272" s="8"/>
      <c r="I272" s="8"/>
      <c r="J272" s="8" t="s">
        <v>637</v>
      </c>
      <c r="K272" s="8" t="s">
        <v>993</v>
      </c>
      <c r="L272" s="8" t="s">
        <v>994</v>
      </c>
      <c r="M272" s="8" t="s">
        <v>4576</v>
      </c>
      <c r="N272" s="8">
        <v>41</v>
      </c>
      <c r="O272" s="8"/>
      <c r="P272" s="8" t="s">
        <v>995</v>
      </c>
    </row>
    <row r="273" spans="1:16" x14ac:dyDescent="0.25">
      <c r="A273" s="8" t="s">
        <v>4574</v>
      </c>
      <c r="B273" s="8" t="s">
        <v>992</v>
      </c>
      <c r="C273" s="8" t="s">
        <v>4575</v>
      </c>
      <c r="D273" s="8" t="s">
        <v>76</v>
      </c>
      <c r="E273" s="8"/>
      <c r="F273" s="8" t="s">
        <v>412</v>
      </c>
      <c r="G273" s="8"/>
      <c r="H273" s="8"/>
      <c r="I273" s="8"/>
      <c r="J273" s="8" t="s">
        <v>638</v>
      </c>
      <c r="K273" s="8" t="s">
        <v>993</v>
      </c>
      <c r="L273" s="8" t="s">
        <v>994</v>
      </c>
      <c r="M273" s="8" t="s">
        <v>4576</v>
      </c>
      <c r="N273" s="8">
        <v>41</v>
      </c>
      <c r="O273" s="8"/>
      <c r="P273" s="8" t="s">
        <v>995</v>
      </c>
    </row>
    <row r="274" spans="1:16" x14ac:dyDescent="0.25">
      <c r="A274" s="8" t="s">
        <v>4574</v>
      </c>
      <c r="B274" s="8" t="s">
        <v>992</v>
      </c>
      <c r="C274" s="8" t="s">
        <v>4575</v>
      </c>
      <c r="D274" s="8" t="s">
        <v>39</v>
      </c>
      <c r="E274" s="8"/>
      <c r="F274" s="8" t="s">
        <v>412</v>
      </c>
      <c r="G274" s="8"/>
      <c r="H274" s="8"/>
      <c r="I274" s="8"/>
      <c r="J274" s="8" t="s">
        <v>639</v>
      </c>
      <c r="K274" s="8" t="s">
        <v>993</v>
      </c>
      <c r="L274" s="8" t="s">
        <v>994</v>
      </c>
      <c r="M274" s="8" t="s">
        <v>4576</v>
      </c>
      <c r="N274" s="8">
        <v>41</v>
      </c>
      <c r="O274" s="8"/>
      <c r="P274" s="8" t="s">
        <v>995</v>
      </c>
    </row>
    <row r="275" spans="1:16" x14ac:dyDescent="0.25">
      <c r="A275" s="8" t="s">
        <v>4574</v>
      </c>
      <c r="B275" s="8" t="s">
        <v>992</v>
      </c>
      <c r="C275" s="8" t="s">
        <v>4575</v>
      </c>
      <c r="D275" s="8" t="s">
        <v>197</v>
      </c>
      <c r="E275" s="8"/>
      <c r="F275" s="8" t="s">
        <v>412</v>
      </c>
      <c r="G275" s="8"/>
      <c r="H275" s="8"/>
      <c r="I275" s="8"/>
      <c r="J275" s="8" t="s">
        <v>640</v>
      </c>
      <c r="K275" s="8" t="s">
        <v>993</v>
      </c>
      <c r="L275" s="8" t="s">
        <v>994</v>
      </c>
      <c r="M275" s="8" t="s">
        <v>4576</v>
      </c>
      <c r="N275" s="8">
        <v>41</v>
      </c>
      <c r="O275" s="8"/>
      <c r="P275" s="8" t="s">
        <v>995</v>
      </c>
    </row>
    <row r="276" spans="1:16" x14ac:dyDescent="0.25">
      <c r="A276" s="8" t="s">
        <v>4574</v>
      </c>
      <c r="B276" s="8" t="s">
        <v>992</v>
      </c>
      <c r="C276" s="8" t="s">
        <v>4575</v>
      </c>
      <c r="D276" s="8" t="s">
        <v>299</v>
      </c>
      <c r="E276" s="8"/>
      <c r="F276" s="8" t="s">
        <v>412</v>
      </c>
      <c r="G276" s="8"/>
      <c r="H276" s="8"/>
      <c r="I276" s="8"/>
      <c r="J276" s="8" t="s">
        <v>642</v>
      </c>
      <c r="K276" s="8" t="s">
        <v>993</v>
      </c>
      <c r="L276" s="8" t="s">
        <v>994</v>
      </c>
      <c r="M276" s="8" t="s">
        <v>4576</v>
      </c>
      <c r="N276" s="8">
        <v>41</v>
      </c>
      <c r="O276" s="8"/>
      <c r="P276" s="8" t="s">
        <v>995</v>
      </c>
    </row>
    <row r="277" spans="1:16" x14ac:dyDescent="0.25">
      <c r="A277" s="8" t="s">
        <v>4574</v>
      </c>
      <c r="B277" s="8" t="s">
        <v>992</v>
      </c>
      <c r="C277" s="8" t="s">
        <v>4575</v>
      </c>
      <c r="D277" s="8" t="s">
        <v>344</v>
      </c>
      <c r="E277" s="8"/>
      <c r="F277" s="8" t="s">
        <v>412</v>
      </c>
      <c r="G277" s="8"/>
      <c r="H277" s="8"/>
      <c r="I277" s="8"/>
      <c r="J277" s="8" t="s">
        <v>641</v>
      </c>
      <c r="K277" s="8" t="s">
        <v>993</v>
      </c>
      <c r="L277" s="8" t="s">
        <v>994</v>
      </c>
      <c r="M277" s="8" t="s">
        <v>4576</v>
      </c>
      <c r="N277" s="8">
        <v>41</v>
      </c>
      <c r="O277" s="8"/>
      <c r="P277" s="8" t="s">
        <v>995</v>
      </c>
    </row>
    <row r="278" spans="1:16" x14ac:dyDescent="0.25">
      <c r="A278" s="8" t="s">
        <v>4574</v>
      </c>
      <c r="B278" s="8" t="s">
        <v>992</v>
      </c>
      <c r="C278" s="8" t="s">
        <v>4575</v>
      </c>
      <c r="D278" s="8" t="s">
        <v>236</v>
      </c>
      <c r="E278" s="8"/>
      <c r="F278" s="8" t="s">
        <v>412</v>
      </c>
      <c r="G278" s="8"/>
      <c r="H278" s="8"/>
      <c r="I278" s="8"/>
      <c r="J278" s="8"/>
      <c r="K278" s="8" t="s">
        <v>993</v>
      </c>
      <c r="L278" s="8" t="s">
        <v>994</v>
      </c>
      <c r="M278" s="8" t="s">
        <v>4576</v>
      </c>
      <c r="N278" s="8">
        <v>41</v>
      </c>
      <c r="O278" s="8"/>
      <c r="P278" s="8" t="s">
        <v>995</v>
      </c>
    </row>
    <row r="279" spans="1:16" x14ac:dyDescent="0.25">
      <c r="A279" s="8" t="s">
        <v>4574</v>
      </c>
      <c r="B279" s="8" t="s">
        <v>992</v>
      </c>
      <c r="C279" s="8" t="s">
        <v>4575</v>
      </c>
      <c r="D279" s="8" t="s">
        <v>211</v>
      </c>
      <c r="E279" s="8"/>
      <c r="F279" s="8" t="s">
        <v>412</v>
      </c>
      <c r="G279" s="8"/>
      <c r="H279" s="8"/>
      <c r="I279" s="8"/>
      <c r="J279" s="8"/>
      <c r="K279" s="8" t="s">
        <v>993</v>
      </c>
      <c r="L279" s="8" t="s">
        <v>994</v>
      </c>
      <c r="M279" s="8" t="s">
        <v>4576</v>
      </c>
      <c r="N279" s="8">
        <v>41</v>
      </c>
      <c r="O279" s="8"/>
      <c r="P279" s="8" t="s">
        <v>995</v>
      </c>
    </row>
    <row r="280" spans="1:16" x14ac:dyDescent="0.25">
      <c r="A280" s="8" t="s">
        <v>4574</v>
      </c>
      <c r="B280" s="8" t="s">
        <v>992</v>
      </c>
      <c r="C280" s="8" t="s">
        <v>4575</v>
      </c>
      <c r="D280" s="8" t="s">
        <v>277</v>
      </c>
      <c r="E280" s="8"/>
      <c r="F280" s="8" t="s">
        <v>412</v>
      </c>
      <c r="G280" s="8"/>
      <c r="H280" s="8"/>
      <c r="I280" s="8"/>
      <c r="J280" s="8" t="s">
        <v>643</v>
      </c>
      <c r="K280" s="8" t="s">
        <v>993</v>
      </c>
      <c r="L280" s="8" t="s">
        <v>994</v>
      </c>
      <c r="M280" s="8" t="s">
        <v>4576</v>
      </c>
      <c r="N280" s="8">
        <v>41</v>
      </c>
      <c r="O280" s="8"/>
      <c r="P280" s="8" t="s">
        <v>995</v>
      </c>
    </row>
    <row r="281" spans="1:16" x14ac:dyDescent="0.25">
      <c r="A281" s="8" t="s">
        <v>4574</v>
      </c>
      <c r="B281" s="8" t="s">
        <v>992</v>
      </c>
      <c r="C281" s="8" t="s">
        <v>4575</v>
      </c>
      <c r="D281" s="8" t="s">
        <v>78</v>
      </c>
      <c r="E281" s="8"/>
      <c r="F281" s="8" t="s">
        <v>412</v>
      </c>
      <c r="G281" s="8"/>
      <c r="H281" s="8"/>
      <c r="I281" s="8"/>
      <c r="J281" s="8" t="s">
        <v>644</v>
      </c>
      <c r="K281" s="8" t="s">
        <v>993</v>
      </c>
      <c r="L281" s="8" t="s">
        <v>994</v>
      </c>
      <c r="M281" s="8" t="s">
        <v>4576</v>
      </c>
      <c r="N281" s="8">
        <v>41</v>
      </c>
      <c r="O281" s="8"/>
      <c r="P281" s="8" t="s">
        <v>995</v>
      </c>
    </row>
    <row r="282" spans="1:16" x14ac:dyDescent="0.25">
      <c r="A282" s="8" t="s">
        <v>4574</v>
      </c>
      <c r="B282" s="8" t="s">
        <v>992</v>
      </c>
      <c r="C282" s="8" t="s">
        <v>4575</v>
      </c>
      <c r="D282" s="8" t="s">
        <v>47</v>
      </c>
      <c r="E282" s="8"/>
      <c r="F282" s="8" t="s">
        <v>412</v>
      </c>
      <c r="G282" s="8"/>
      <c r="H282" s="8"/>
      <c r="I282" s="8"/>
      <c r="J282" s="8" t="s">
        <v>645</v>
      </c>
      <c r="K282" s="8" t="s">
        <v>993</v>
      </c>
      <c r="L282" s="8" t="s">
        <v>994</v>
      </c>
      <c r="M282" s="8" t="s">
        <v>4576</v>
      </c>
      <c r="N282" s="8">
        <v>41</v>
      </c>
      <c r="O282" s="8"/>
      <c r="P282" s="8" t="s">
        <v>995</v>
      </c>
    </row>
    <row r="283" spans="1:16" x14ac:dyDescent="0.25">
      <c r="A283" s="8" t="s">
        <v>4574</v>
      </c>
      <c r="B283" s="8" t="s">
        <v>992</v>
      </c>
      <c r="C283" s="8" t="s">
        <v>4575</v>
      </c>
      <c r="D283" s="8" t="s">
        <v>227</v>
      </c>
      <c r="E283" s="8"/>
      <c r="F283" s="8" t="s">
        <v>412</v>
      </c>
      <c r="G283" s="8"/>
      <c r="H283" s="8"/>
      <c r="I283" s="8"/>
      <c r="J283" s="8" t="s">
        <v>646</v>
      </c>
      <c r="K283" s="8" t="s">
        <v>993</v>
      </c>
      <c r="L283" s="8" t="s">
        <v>994</v>
      </c>
      <c r="M283" s="8" t="s">
        <v>4576</v>
      </c>
      <c r="N283" s="8">
        <v>41</v>
      </c>
      <c r="O283" s="8"/>
      <c r="P283" s="8" t="s">
        <v>995</v>
      </c>
    </row>
    <row r="284" spans="1:16" x14ac:dyDescent="0.25">
      <c r="A284" s="8" t="s">
        <v>4574</v>
      </c>
      <c r="B284" s="8" t="s">
        <v>992</v>
      </c>
      <c r="C284" s="8" t="s">
        <v>4575</v>
      </c>
      <c r="D284" s="8" t="s">
        <v>30</v>
      </c>
      <c r="E284" s="8"/>
      <c r="F284" s="8" t="s">
        <v>412</v>
      </c>
      <c r="G284" s="8"/>
      <c r="H284" s="8"/>
      <c r="I284" s="8"/>
      <c r="J284" s="8" t="s">
        <v>647</v>
      </c>
      <c r="K284" s="8" t="s">
        <v>993</v>
      </c>
      <c r="L284" s="8" t="s">
        <v>994</v>
      </c>
      <c r="M284" s="8" t="s">
        <v>4576</v>
      </c>
      <c r="N284" s="8">
        <v>41</v>
      </c>
      <c r="O284" s="8"/>
      <c r="P284" s="8" t="s">
        <v>995</v>
      </c>
    </row>
    <row r="285" spans="1:16" x14ac:dyDescent="0.25">
      <c r="A285" s="8" t="s">
        <v>4574</v>
      </c>
      <c r="B285" s="8" t="s">
        <v>992</v>
      </c>
      <c r="C285" s="8" t="s">
        <v>4575</v>
      </c>
      <c r="D285" s="8" t="s">
        <v>126</v>
      </c>
      <c r="E285" s="8"/>
      <c r="F285" s="8" t="s">
        <v>412</v>
      </c>
      <c r="G285" s="8"/>
      <c r="H285" s="8"/>
      <c r="I285" s="8"/>
      <c r="J285" s="8" t="s">
        <v>648</v>
      </c>
      <c r="K285" s="8" t="s">
        <v>993</v>
      </c>
      <c r="L285" s="8" t="s">
        <v>994</v>
      </c>
      <c r="M285" s="8" t="s">
        <v>4576</v>
      </c>
      <c r="N285" s="8">
        <v>41</v>
      </c>
      <c r="O285" s="8"/>
      <c r="P285" s="8" t="s">
        <v>995</v>
      </c>
    </row>
    <row r="286" spans="1:16" x14ac:dyDescent="0.25">
      <c r="A286" s="8" t="s">
        <v>4574</v>
      </c>
      <c r="B286" s="8" t="s">
        <v>992</v>
      </c>
      <c r="C286" s="8" t="s">
        <v>4575</v>
      </c>
      <c r="D286" s="8" t="s">
        <v>41</v>
      </c>
      <c r="E286" s="8"/>
      <c r="F286" s="8" t="s">
        <v>412</v>
      </c>
      <c r="G286" s="8"/>
      <c r="H286" s="8"/>
      <c r="I286" s="8"/>
      <c r="J286" s="8" t="s">
        <v>649</v>
      </c>
      <c r="K286" s="8" t="s">
        <v>993</v>
      </c>
      <c r="L286" s="8" t="s">
        <v>994</v>
      </c>
      <c r="M286" s="8" t="s">
        <v>4576</v>
      </c>
      <c r="N286" s="8">
        <v>41</v>
      </c>
      <c r="O286" s="8"/>
      <c r="P286" s="8" t="s">
        <v>995</v>
      </c>
    </row>
    <row r="287" spans="1:16" x14ac:dyDescent="0.25">
      <c r="A287" s="8" t="s">
        <v>4574</v>
      </c>
      <c r="B287" s="8" t="s">
        <v>992</v>
      </c>
      <c r="C287" s="8" t="s">
        <v>4575</v>
      </c>
      <c r="D287" s="8" t="s">
        <v>99</v>
      </c>
      <c r="E287" s="8"/>
      <c r="F287" s="8" t="s">
        <v>412</v>
      </c>
      <c r="G287" s="8"/>
      <c r="H287" s="8"/>
      <c r="I287" s="8"/>
      <c r="J287" s="8" t="s">
        <v>650</v>
      </c>
      <c r="K287" s="8" t="s">
        <v>993</v>
      </c>
      <c r="L287" s="8" t="s">
        <v>994</v>
      </c>
      <c r="M287" s="8" t="s">
        <v>4576</v>
      </c>
      <c r="N287" s="8">
        <v>41</v>
      </c>
      <c r="O287" s="8"/>
      <c r="P287" s="8" t="s">
        <v>995</v>
      </c>
    </row>
    <row r="288" spans="1:16" x14ac:dyDescent="0.25">
      <c r="A288" s="8" t="s">
        <v>4574</v>
      </c>
      <c r="B288" s="8" t="s">
        <v>992</v>
      </c>
      <c r="C288" s="8" t="s">
        <v>4575</v>
      </c>
      <c r="D288" s="8" t="s">
        <v>174</v>
      </c>
      <c r="E288" s="8"/>
      <c r="F288" s="8" t="s">
        <v>412</v>
      </c>
      <c r="G288" s="8"/>
      <c r="H288" s="8"/>
      <c r="I288" s="8"/>
      <c r="J288" s="8"/>
      <c r="K288" s="8" t="s">
        <v>993</v>
      </c>
      <c r="L288" s="8" t="s">
        <v>994</v>
      </c>
      <c r="M288" s="8" t="s">
        <v>4576</v>
      </c>
      <c r="N288" s="8">
        <v>41</v>
      </c>
      <c r="O288" s="8"/>
      <c r="P288" s="8" t="s">
        <v>995</v>
      </c>
    </row>
    <row r="289" spans="1:16" x14ac:dyDescent="0.25">
      <c r="A289" s="8" t="s">
        <v>4574</v>
      </c>
      <c r="B289" s="8" t="s">
        <v>992</v>
      </c>
      <c r="C289" s="8" t="s">
        <v>4575</v>
      </c>
      <c r="D289" s="8" t="s">
        <v>105</v>
      </c>
      <c r="E289" s="8"/>
      <c r="F289" s="8" t="s">
        <v>412</v>
      </c>
      <c r="G289" s="8"/>
      <c r="H289" s="8"/>
      <c r="I289" s="8"/>
      <c r="J289" s="8" t="s">
        <v>652</v>
      </c>
      <c r="K289" s="8" t="s">
        <v>993</v>
      </c>
      <c r="L289" s="8" t="s">
        <v>994</v>
      </c>
      <c r="M289" s="8" t="s">
        <v>4576</v>
      </c>
      <c r="N289" s="8">
        <v>41</v>
      </c>
      <c r="O289" s="8"/>
      <c r="P289" s="8" t="s">
        <v>995</v>
      </c>
    </row>
    <row r="290" spans="1:16" x14ac:dyDescent="0.25">
      <c r="A290" s="8" t="s">
        <v>4574</v>
      </c>
      <c r="B290" s="8" t="s">
        <v>992</v>
      </c>
      <c r="C290" s="8" t="s">
        <v>4575</v>
      </c>
      <c r="D290" s="8" t="s">
        <v>61</v>
      </c>
      <c r="E290" s="8"/>
      <c r="F290" s="8" t="s">
        <v>412</v>
      </c>
      <c r="G290" s="8"/>
      <c r="H290" s="8"/>
      <c r="I290" s="8"/>
      <c r="J290" s="8" t="s">
        <v>651</v>
      </c>
      <c r="K290" s="8" t="s">
        <v>993</v>
      </c>
      <c r="L290" s="8" t="s">
        <v>994</v>
      </c>
      <c r="M290" s="8" t="s">
        <v>4576</v>
      </c>
      <c r="N290" s="8">
        <v>41</v>
      </c>
      <c r="O290" s="8"/>
      <c r="P290" s="8" t="s">
        <v>995</v>
      </c>
    </row>
    <row r="291" spans="1:16" x14ac:dyDescent="0.25">
      <c r="A291" s="8" t="s">
        <v>4574</v>
      </c>
      <c r="B291" s="8" t="s">
        <v>992</v>
      </c>
      <c r="C291" s="8" t="s">
        <v>4575</v>
      </c>
      <c r="D291" s="8" t="s">
        <v>293</v>
      </c>
      <c r="E291" s="8"/>
      <c r="F291" s="8" t="s">
        <v>412</v>
      </c>
      <c r="G291" s="8"/>
      <c r="H291" s="8"/>
      <c r="I291" s="8"/>
      <c r="J291" s="8" t="s">
        <v>653</v>
      </c>
      <c r="K291" s="8" t="s">
        <v>993</v>
      </c>
      <c r="L291" s="8" t="s">
        <v>994</v>
      </c>
      <c r="M291" s="8" t="s">
        <v>4576</v>
      </c>
      <c r="N291" s="8">
        <v>41</v>
      </c>
      <c r="O291" s="8"/>
      <c r="P291" s="8" t="s">
        <v>995</v>
      </c>
    </row>
    <row r="292" spans="1:16" x14ac:dyDescent="0.25">
      <c r="A292" s="8" t="s">
        <v>4574</v>
      </c>
      <c r="B292" s="8" t="s">
        <v>992</v>
      </c>
      <c r="C292" s="8" t="s">
        <v>4575</v>
      </c>
      <c r="D292" s="8" t="s">
        <v>234</v>
      </c>
      <c r="E292" s="8"/>
      <c r="F292" s="8" t="s">
        <v>412</v>
      </c>
      <c r="G292" s="8"/>
      <c r="H292" s="8"/>
      <c r="I292" s="8"/>
      <c r="J292" s="8"/>
      <c r="K292" s="8" t="s">
        <v>993</v>
      </c>
      <c r="L292" s="8" t="s">
        <v>994</v>
      </c>
      <c r="M292" s="8" t="s">
        <v>4576</v>
      </c>
      <c r="N292" s="8">
        <v>41</v>
      </c>
      <c r="O292" s="8"/>
      <c r="P292" s="8" t="s">
        <v>995</v>
      </c>
    </row>
    <row r="293" spans="1:16" x14ac:dyDescent="0.25">
      <c r="A293" s="8" t="s">
        <v>4574</v>
      </c>
      <c r="B293" s="8" t="s">
        <v>992</v>
      </c>
      <c r="C293" s="8" t="s">
        <v>4575</v>
      </c>
      <c r="D293" s="8" t="s">
        <v>206</v>
      </c>
      <c r="E293" s="8"/>
      <c r="F293" s="8" t="s">
        <v>412</v>
      </c>
      <c r="G293" s="8"/>
      <c r="H293" s="8"/>
      <c r="I293" s="8"/>
      <c r="J293" s="8"/>
      <c r="K293" s="8" t="s">
        <v>993</v>
      </c>
      <c r="L293" s="8" t="s">
        <v>994</v>
      </c>
      <c r="M293" s="8" t="s">
        <v>4576</v>
      </c>
      <c r="N293" s="8">
        <v>41</v>
      </c>
      <c r="O293" s="8"/>
      <c r="P293" s="8" t="s">
        <v>995</v>
      </c>
    </row>
    <row r="294" spans="1:16" x14ac:dyDescent="0.25">
      <c r="A294" s="8" t="s">
        <v>4574</v>
      </c>
      <c r="B294" s="8" t="s">
        <v>992</v>
      </c>
      <c r="C294" s="8" t="s">
        <v>4575</v>
      </c>
      <c r="D294" s="8" t="s">
        <v>292</v>
      </c>
      <c r="E294" s="8"/>
      <c r="F294" s="8" t="s">
        <v>412</v>
      </c>
      <c r="G294" s="8"/>
      <c r="H294" s="8"/>
      <c r="I294" s="8"/>
      <c r="J294" s="8" t="s">
        <v>654</v>
      </c>
      <c r="K294" s="8" t="s">
        <v>993</v>
      </c>
      <c r="L294" s="8" t="s">
        <v>994</v>
      </c>
      <c r="M294" s="8" t="s">
        <v>4576</v>
      </c>
      <c r="N294" s="8">
        <v>41</v>
      </c>
      <c r="O294" s="8"/>
      <c r="P294" s="8" t="s">
        <v>995</v>
      </c>
    </row>
    <row r="295" spans="1:16" x14ac:dyDescent="0.25">
      <c r="A295" s="8" t="s">
        <v>4574</v>
      </c>
      <c r="B295" s="8" t="s">
        <v>992</v>
      </c>
      <c r="C295" s="8" t="s">
        <v>4575</v>
      </c>
      <c r="D295" s="8" t="s">
        <v>83</v>
      </c>
      <c r="E295" s="8"/>
      <c r="F295" s="8" t="s">
        <v>412</v>
      </c>
      <c r="G295" s="8"/>
      <c r="H295" s="8"/>
      <c r="I295" s="8"/>
      <c r="J295" s="8" t="s">
        <v>655</v>
      </c>
      <c r="K295" s="8" t="s">
        <v>993</v>
      </c>
      <c r="L295" s="8" t="s">
        <v>994</v>
      </c>
      <c r="M295" s="8" t="s">
        <v>4576</v>
      </c>
      <c r="N295" s="8">
        <v>41</v>
      </c>
      <c r="O295" s="8"/>
      <c r="P295" s="8" t="s">
        <v>995</v>
      </c>
    </row>
    <row r="296" spans="1:16" x14ac:dyDescent="0.25">
      <c r="A296" s="8" t="s">
        <v>4574</v>
      </c>
      <c r="B296" s="8" t="s">
        <v>992</v>
      </c>
      <c r="C296" s="8" t="s">
        <v>4575</v>
      </c>
      <c r="D296" s="8" t="s">
        <v>264</v>
      </c>
      <c r="E296" s="8"/>
      <c r="F296" s="8" t="s">
        <v>437</v>
      </c>
      <c r="G296" s="8"/>
      <c r="H296" s="8"/>
      <c r="I296" s="8"/>
      <c r="J296" s="8" t="s">
        <v>656</v>
      </c>
      <c r="K296" s="8" t="s">
        <v>993</v>
      </c>
      <c r="L296" s="8" t="s">
        <v>994</v>
      </c>
      <c r="M296" s="8" t="s">
        <v>4576</v>
      </c>
      <c r="N296" s="8">
        <v>41</v>
      </c>
      <c r="O296" s="8"/>
      <c r="P296" s="8" t="s">
        <v>995</v>
      </c>
    </row>
    <row r="297" spans="1:16" x14ac:dyDescent="0.25">
      <c r="A297" s="8" t="s">
        <v>4574</v>
      </c>
      <c r="B297" s="8" t="s">
        <v>992</v>
      </c>
      <c r="C297" s="8" t="s">
        <v>4575</v>
      </c>
      <c r="D297" s="8" t="s">
        <v>95</v>
      </c>
      <c r="E297" s="8"/>
      <c r="F297" s="8" t="s">
        <v>412</v>
      </c>
      <c r="G297" s="8"/>
      <c r="H297" s="8"/>
      <c r="I297" s="8"/>
      <c r="J297" s="8" t="s">
        <v>657</v>
      </c>
      <c r="K297" s="8" t="s">
        <v>993</v>
      </c>
      <c r="L297" s="8" t="s">
        <v>994</v>
      </c>
      <c r="M297" s="8" t="s">
        <v>4576</v>
      </c>
      <c r="N297" s="8">
        <v>41</v>
      </c>
      <c r="O297" s="8"/>
      <c r="P297" s="8" t="s">
        <v>995</v>
      </c>
    </row>
    <row r="298" spans="1:16" x14ac:dyDescent="0.25">
      <c r="A298" s="8" t="s">
        <v>4574</v>
      </c>
      <c r="B298" s="8" t="s">
        <v>992</v>
      </c>
      <c r="C298" s="8" t="s">
        <v>4575</v>
      </c>
      <c r="D298" s="8" t="s">
        <v>337</v>
      </c>
      <c r="E298" s="8"/>
      <c r="F298" s="8" t="s">
        <v>412</v>
      </c>
      <c r="G298" s="8"/>
      <c r="H298" s="8"/>
      <c r="I298" s="8"/>
      <c r="J298" s="8"/>
      <c r="K298" s="8" t="s">
        <v>993</v>
      </c>
      <c r="L298" s="8" t="s">
        <v>994</v>
      </c>
      <c r="M298" s="8" t="s">
        <v>4576</v>
      </c>
      <c r="N298" s="8">
        <v>41</v>
      </c>
      <c r="O298" s="8"/>
      <c r="P298" s="8" t="s">
        <v>995</v>
      </c>
    </row>
    <row r="299" spans="1:16" x14ac:dyDescent="0.25">
      <c r="A299" s="8" t="s">
        <v>4574</v>
      </c>
      <c r="B299" s="8" t="s">
        <v>992</v>
      </c>
      <c r="C299" s="8" t="s">
        <v>4575</v>
      </c>
      <c r="D299" s="8" t="s">
        <v>349</v>
      </c>
      <c r="E299" s="8"/>
      <c r="F299" s="8" t="s">
        <v>412</v>
      </c>
      <c r="G299" s="8"/>
      <c r="H299" s="8"/>
      <c r="I299" s="8"/>
      <c r="J299" s="8" t="s">
        <v>659</v>
      </c>
      <c r="K299" s="8" t="s">
        <v>993</v>
      </c>
      <c r="L299" s="8" t="s">
        <v>994</v>
      </c>
      <c r="M299" s="8" t="s">
        <v>4576</v>
      </c>
      <c r="N299" s="8">
        <v>41</v>
      </c>
      <c r="O299" s="8"/>
      <c r="P299" s="8" t="s">
        <v>995</v>
      </c>
    </row>
    <row r="300" spans="1:16" x14ac:dyDescent="0.25">
      <c r="A300" s="8" t="s">
        <v>4574</v>
      </c>
      <c r="B300" s="8" t="s">
        <v>992</v>
      </c>
      <c r="C300" s="8" t="s">
        <v>4575</v>
      </c>
      <c r="D300" s="8" t="s">
        <v>324</v>
      </c>
      <c r="E300" s="8"/>
      <c r="F300" s="8" t="s">
        <v>412</v>
      </c>
      <c r="G300" s="8"/>
      <c r="H300" s="8"/>
      <c r="I300" s="8"/>
      <c r="J300" s="8" t="s">
        <v>660</v>
      </c>
      <c r="K300" s="8" t="s">
        <v>993</v>
      </c>
      <c r="L300" s="8" t="s">
        <v>994</v>
      </c>
      <c r="M300" s="8" t="s">
        <v>4576</v>
      </c>
      <c r="N300" s="8">
        <v>41</v>
      </c>
      <c r="O300" s="8"/>
      <c r="P300" s="8" t="s">
        <v>995</v>
      </c>
    </row>
    <row r="301" spans="1:16" x14ac:dyDescent="0.25">
      <c r="A301" s="8" t="s">
        <v>4574</v>
      </c>
      <c r="B301" s="8" t="s">
        <v>992</v>
      </c>
      <c r="C301" s="8" t="s">
        <v>4575</v>
      </c>
      <c r="D301" s="8" t="s">
        <v>302</v>
      </c>
      <c r="E301" s="8"/>
      <c r="F301" s="8" t="s">
        <v>412</v>
      </c>
      <c r="G301" s="8"/>
      <c r="H301" s="8"/>
      <c r="I301" s="8"/>
      <c r="J301" s="8" t="s">
        <v>658</v>
      </c>
      <c r="K301" s="8" t="s">
        <v>993</v>
      </c>
      <c r="L301" s="8" t="s">
        <v>994</v>
      </c>
      <c r="M301" s="8" t="s">
        <v>4576</v>
      </c>
      <c r="N301" s="8">
        <v>41</v>
      </c>
      <c r="O301" s="8"/>
      <c r="P301" s="8" t="s">
        <v>995</v>
      </c>
    </row>
    <row r="302" spans="1:16" x14ac:dyDescent="0.25">
      <c r="A302" s="8" t="s">
        <v>4574</v>
      </c>
      <c r="B302" s="8" t="s">
        <v>992</v>
      </c>
      <c r="C302" s="8" t="s">
        <v>4575</v>
      </c>
      <c r="D302" s="8" t="s">
        <v>269</v>
      </c>
      <c r="E302" s="8"/>
      <c r="F302" s="8" t="s">
        <v>412</v>
      </c>
      <c r="G302" s="8"/>
      <c r="H302" s="8"/>
      <c r="I302" s="8"/>
      <c r="J302" s="8" t="s">
        <v>661</v>
      </c>
      <c r="K302" s="8" t="s">
        <v>993</v>
      </c>
      <c r="L302" s="8" t="s">
        <v>994</v>
      </c>
      <c r="M302" s="8" t="s">
        <v>4576</v>
      </c>
      <c r="N302" s="8">
        <v>41</v>
      </c>
      <c r="O302" s="8"/>
      <c r="P302" s="8" t="s">
        <v>995</v>
      </c>
    </row>
    <row r="303" spans="1:16" x14ac:dyDescent="0.25">
      <c r="A303" s="8" t="s">
        <v>4574</v>
      </c>
      <c r="B303" s="8" t="s">
        <v>992</v>
      </c>
      <c r="C303" s="8" t="s">
        <v>4575</v>
      </c>
      <c r="D303" s="8" t="s">
        <v>163</v>
      </c>
      <c r="E303" s="8"/>
      <c r="F303" s="8" t="s">
        <v>412</v>
      </c>
      <c r="G303" s="8"/>
      <c r="H303" s="8"/>
      <c r="I303" s="8"/>
      <c r="J303" s="8" t="s">
        <v>662</v>
      </c>
      <c r="K303" s="8" t="s">
        <v>993</v>
      </c>
      <c r="L303" s="8" t="s">
        <v>994</v>
      </c>
      <c r="M303" s="8" t="s">
        <v>4576</v>
      </c>
      <c r="N303" s="8">
        <v>41</v>
      </c>
      <c r="O303" s="8"/>
      <c r="P303" s="8" t="s">
        <v>995</v>
      </c>
    </row>
    <row r="304" spans="1:16" x14ac:dyDescent="0.25">
      <c r="A304" s="8" t="s">
        <v>4574</v>
      </c>
      <c r="B304" s="8" t="s">
        <v>992</v>
      </c>
      <c r="C304" s="8" t="s">
        <v>4575</v>
      </c>
      <c r="D304" s="8" t="s">
        <v>26</v>
      </c>
      <c r="E304" s="8"/>
      <c r="F304" s="8" t="s">
        <v>412</v>
      </c>
      <c r="G304" s="8"/>
      <c r="H304" s="8"/>
      <c r="I304" s="8"/>
      <c r="J304" s="8" t="s">
        <v>663</v>
      </c>
      <c r="K304" s="8" t="s">
        <v>993</v>
      </c>
      <c r="L304" s="8" t="s">
        <v>994</v>
      </c>
      <c r="M304" s="8" t="s">
        <v>4576</v>
      </c>
      <c r="N304" s="8">
        <v>41</v>
      </c>
      <c r="O304" s="8"/>
      <c r="P304" s="8" t="s">
        <v>995</v>
      </c>
    </row>
    <row r="305" spans="1:16" x14ac:dyDescent="0.25">
      <c r="A305" s="8" t="s">
        <v>4574</v>
      </c>
      <c r="B305" s="8" t="s">
        <v>992</v>
      </c>
      <c r="C305" s="8" t="s">
        <v>4575</v>
      </c>
      <c r="D305" s="8" t="s">
        <v>287</v>
      </c>
      <c r="E305" s="8"/>
      <c r="F305" s="8" t="s">
        <v>412</v>
      </c>
      <c r="G305" s="8"/>
      <c r="H305" s="8"/>
      <c r="I305" s="8"/>
      <c r="J305" s="8" t="s">
        <v>664</v>
      </c>
      <c r="K305" s="8" t="s">
        <v>993</v>
      </c>
      <c r="L305" s="8" t="s">
        <v>994</v>
      </c>
      <c r="M305" s="8" t="s">
        <v>4576</v>
      </c>
      <c r="N305" s="8">
        <v>41</v>
      </c>
      <c r="O305" s="8"/>
      <c r="P305" s="8" t="s">
        <v>995</v>
      </c>
    </row>
    <row r="306" spans="1:16" x14ac:dyDescent="0.25">
      <c r="A306" s="8" t="s">
        <v>4574</v>
      </c>
      <c r="B306" s="8" t="s">
        <v>992</v>
      </c>
      <c r="C306" s="8" t="s">
        <v>4575</v>
      </c>
      <c r="D306" s="8" t="s">
        <v>327</v>
      </c>
      <c r="E306" s="8"/>
      <c r="F306" s="8" t="s">
        <v>412</v>
      </c>
      <c r="G306" s="8"/>
      <c r="H306" s="8"/>
      <c r="I306" s="8"/>
      <c r="J306" s="8"/>
      <c r="K306" s="8" t="s">
        <v>993</v>
      </c>
      <c r="L306" s="8" t="s">
        <v>994</v>
      </c>
      <c r="M306" s="8" t="s">
        <v>4576</v>
      </c>
      <c r="N306" s="8">
        <v>41</v>
      </c>
      <c r="O306" s="8"/>
      <c r="P306" s="8" t="s">
        <v>995</v>
      </c>
    </row>
    <row r="307" spans="1:16" x14ac:dyDescent="0.25">
      <c r="A307" s="8" t="s">
        <v>4574</v>
      </c>
      <c r="B307" s="8" t="s">
        <v>992</v>
      </c>
      <c r="C307" s="8" t="s">
        <v>4575</v>
      </c>
      <c r="D307" s="8" t="s">
        <v>267</v>
      </c>
      <c r="E307" s="8"/>
      <c r="F307" s="8" t="s">
        <v>412</v>
      </c>
      <c r="G307" s="8"/>
      <c r="H307" s="8"/>
      <c r="I307" s="8"/>
      <c r="J307" s="8" t="s">
        <v>666</v>
      </c>
      <c r="K307" s="8" t="s">
        <v>993</v>
      </c>
      <c r="L307" s="8" t="s">
        <v>994</v>
      </c>
      <c r="M307" s="8" t="s">
        <v>4576</v>
      </c>
      <c r="N307" s="8">
        <v>41</v>
      </c>
      <c r="O307" s="8"/>
      <c r="P307" s="8" t="s">
        <v>995</v>
      </c>
    </row>
    <row r="308" spans="1:16" x14ac:dyDescent="0.25">
      <c r="A308" s="8" t="s">
        <v>4574</v>
      </c>
      <c r="B308" s="8" t="s">
        <v>992</v>
      </c>
      <c r="C308" s="8" t="s">
        <v>4575</v>
      </c>
      <c r="D308" s="8" t="s">
        <v>259</v>
      </c>
      <c r="E308" s="8"/>
      <c r="F308" s="8" t="s">
        <v>412</v>
      </c>
      <c r="G308" s="8"/>
      <c r="H308" s="8"/>
      <c r="I308" s="8"/>
      <c r="J308" s="8" t="s">
        <v>667</v>
      </c>
      <c r="K308" s="8" t="s">
        <v>993</v>
      </c>
      <c r="L308" s="8" t="s">
        <v>994</v>
      </c>
      <c r="M308" s="8" t="s">
        <v>4576</v>
      </c>
      <c r="N308" s="8">
        <v>41</v>
      </c>
      <c r="O308" s="8"/>
      <c r="P308" s="8" t="s">
        <v>995</v>
      </c>
    </row>
    <row r="309" spans="1:16" x14ac:dyDescent="0.25">
      <c r="A309" s="8" t="s">
        <v>4574</v>
      </c>
      <c r="B309" s="8" t="s">
        <v>992</v>
      </c>
      <c r="C309" s="8" t="s">
        <v>4575</v>
      </c>
      <c r="D309" s="8" t="s">
        <v>274</v>
      </c>
      <c r="E309" s="8"/>
      <c r="F309" s="8" t="s">
        <v>437</v>
      </c>
      <c r="G309" s="8"/>
      <c r="H309" s="8"/>
      <c r="I309" s="8"/>
      <c r="J309" s="8" t="s">
        <v>668</v>
      </c>
      <c r="K309" s="8" t="s">
        <v>993</v>
      </c>
      <c r="L309" s="8" t="s">
        <v>994</v>
      </c>
      <c r="M309" s="8" t="s">
        <v>4576</v>
      </c>
      <c r="N309" s="8">
        <v>41</v>
      </c>
      <c r="O309" s="8"/>
      <c r="P309" s="8" t="s">
        <v>995</v>
      </c>
    </row>
    <row r="310" spans="1:16" x14ac:dyDescent="0.25">
      <c r="A310" s="8" t="s">
        <v>4574</v>
      </c>
      <c r="B310" s="8" t="s">
        <v>992</v>
      </c>
      <c r="C310" s="8" t="s">
        <v>4575</v>
      </c>
      <c r="D310" s="8" t="s">
        <v>350</v>
      </c>
      <c r="E310" s="8"/>
      <c r="F310" s="8" t="s">
        <v>412</v>
      </c>
      <c r="G310" s="8"/>
      <c r="H310" s="8"/>
      <c r="I310" s="8"/>
      <c r="J310" s="8" t="s">
        <v>670</v>
      </c>
      <c r="K310" s="8" t="s">
        <v>993</v>
      </c>
      <c r="L310" s="8" t="s">
        <v>994</v>
      </c>
      <c r="M310" s="8" t="s">
        <v>4576</v>
      </c>
      <c r="N310" s="8">
        <v>41</v>
      </c>
      <c r="O310" s="8"/>
      <c r="P310" s="8" t="s">
        <v>995</v>
      </c>
    </row>
    <row r="311" spans="1:16" x14ac:dyDescent="0.25">
      <c r="A311" s="8" t="s">
        <v>4574</v>
      </c>
      <c r="B311" s="8" t="s">
        <v>992</v>
      </c>
      <c r="C311" s="8" t="s">
        <v>4575</v>
      </c>
      <c r="D311" s="8" t="s">
        <v>90</v>
      </c>
      <c r="E311" s="8"/>
      <c r="F311" s="8" t="s">
        <v>412</v>
      </c>
      <c r="G311" s="8"/>
      <c r="H311" s="8"/>
      <c r="I311" s="8"/>
      <c r="J311" s="8" t="s">
        <v>671</v>
      </c>
      <c r="K311" s="8" t="s">
        <v>993</v>
      </c>
      <c r="L311" s="8" t="s">
        <v>994</v>
      </c>
      <c r="M311" s="8" t="s">
        <v>4576</v>
      </c>
      <c r="N311" s="8">
        <v>41</v>
      </c>
      <c r="O311" s="8"/>
      <c r="P311" s="8" t="s">
        <v>995</v>
      </c>
    </row>
    <row r="312" spans="1:16" x14ac:dyDescent="0.25">
      <c r="A312" s="8" t="s">
        <v>4574</v>
      </c>
      <c r="B312" s="8" t="s">
        <v>992</v>
      </c>
      <c r="C312" s="8" t="s">
        <v>4575</v>
      </c>
      <c r="D312" s="8" t="s">
        <v>14</v>
      </c>
      <c r="E312" s="8"/>
      <c r="F312" s="8" t="s">
        <v>412</v>
      </c>
      <c r="G312" s="8"/>
      <c r="H312" s="8"/>
      <c r="I312" s="8"/>
      <c r="J312" s="8" t="s">
        <v>672</v>
      </c>
      <c r="K312" s="8" t="s">
        <v>993</v>
      </c>
      <c r="L312" s="8" t="s">
        <v>994</v>
      </c>
      <c r="M312" s="8" t="s">
        <v>4576</v>
      </c>
      <c r="N312" s="8">
        <v>41</v>
      </c>
      <c r="O312" s="8"/>
      <c r="P312" s="8" t="s">
        <v>995</v>
      </c>
    </row>
    <row r="313" spans="1:16" x14ac:dyDescent="0.25">
      <c r="A313" s="8" t="s">
        <v>4574</v>
      </c>
      <c r="B313" s="8" t="s">
        <v>992</v>
      </c>
      <c r="C313" s="8" t="s">
        <v>4575</v>
      </c>
      <c r="D313" s="8" t="s">
        <v>232</v>
      </c>
      <c r="E313" s="8"/>
      <c r="F313" s="8" t="s">
        <v>412</v>
      </c>
      <c r="G313" s="8"/>
      <c r="H313" s="8"/>
      <c r="I313" s="8"/>
      <c r="J313" s="8" t="s">
        <v>673</v>
      </c>
      <c r="K313" s="8" t="s">
        <v>993</v>
      </c>
      <c r="L313" s="8" t="s">
        <v>994</v>
      </c>
      <c r="M313" s="8" t="s">
        <v>4576</v>
      </c>
      <c r="N313" s="8">
        <v>41</v>
      </c>
      <c r="O313" s="8"/>
      <c r="P313" s="8" t="s">
        <v>995</v>
      </c>
    </row>
    <row r="314" spans="1:16" x14ac:dyDescent="0.25">
      <c r="A314" s="8" t="s">
        <v>4574</v>
      </c>
      <c r="B314" s="8" t="s">
        <v>992</v>
      </c>
      <c r="C314" s="8" t="s">
        <v>4575</v>
      </c>
      <c r="D314" s="8" t="s">
        <v>154</v>
      </c>
      <c r="E314" s="8"/>
      <c r="F314" s="8" t="s">
        <v>412</v>
      </c>
      <c r="G314" s="8"/>
      <c r="H314" s="8"/>
      <c r="I314" s="8"/>
      <c r="J314" s="8" t="s">
        <v>665</v>
      </c>
      <c r="K314" s="8" t="s">
        <v>993</v>
      </c>
      <c r="L314" s="8" t="s">
        <v>994</v>
      </c>
      <c r="M314" s="8" t="s">
        <v>4576</v>
      </c>
      <c r="N314" s="8">
        <v>41</v>
      </c>
      <c r="O314" s="8"/>
      <c r="P314" s="8" t="s">
        <v>995</v>
      </c>
    </row>
    <row r="315" spans="1:16" x14ac:dyDescent="0.25">
      <c r="A315" s="8" t="s">
        <v>4574</v>
      </c>
      <c r="B315" s="8" t="s">
        <v>992</v>
      </c>
      <c r="C315" s="8" t="s">
        <v>4575</v>
      </c>
      <c r="D315" s="8" t="s">
        <v>146</v>
      </c>
      <c r="E315" s="8"/>
      <c r="F315" s="8" t="s">
        <v>412</v>
      </c>
      <c r="G315" s="8"/>
      <c r="H315" s="8"/>
      <c r="I315" s="8"/>
      <c r="J315" s="8"/>
      <c r="K315" s="8" t="s">
        <v>993</v>
      </c>
      <c r="L315" s="8" t="s">
        <v>994</v>
      </c>
      <c r="M315" s="8" t="s">
        <v>4576</v>
      </c>
      <c r="N315" s="8">
        <v>41</v>
      </c>
      <c r="O315" s="8"/>
      <c r="P315" s="8" t="s">
        <v>995</v>
      </c>
    </row>
    <row r="316" spans="1:16" x14ac:dyDescent="0.25">
      <c r="A316" s="8" t="s">
        <v>4574</v>
      </c>
      <c r="B316" s="8" t="s">
        <v>992</v>
      </c>
      <c r="C316" s="8" t="s">
        <v>4575</v>
      </c>
      <c r="D316" s="8" t="s">
        <v>79</v>
      </c>
      <c r="E316" s="8"/>
      <c r="F316" s="8" t="s">
        <v>412</v>
      </c>
      <c r="G316" s="8"/>
      <c r="H316" s="8"/>
      <c r="I316" s="8"/>
      <c r="J316" s="8" t="s">
        <v>674</v>
      </c>
      <c r="K316" s="8" t="s">
        <v>993</v>
      </c>
      <c r="L316" s="8" t="s">
        <v>994</v>
      </c>
      <c r="M316" s="8" t="s">
        <v>4576</v>
      </c>
      <c r="N316" s="8">
        <v>41</v>
      </c>
      <c r="O316" s="8"/>
      <c r="P316" s="8" t="s">
        <v>995</v>
      </c>
    </row>
    <row r="317" spans="1:16" x14ac:dyDescent="0.25">
      <c r="A317" s="8" t="s">
        <v>4574</v>
      </c>
      <c r="B317" s="8" t="s">
        <v>992</v>
      </c>
      <c r="C317" s="8" t="s">
        <v>4575</v>
      </c>
      <c r="D317" s="8" t="s">
        <v>12</v>
      </c>
      <c r="E317" s="8"/>
      <c r="F317" s="8" t="s">
        <v>412</v>
      </c>
      <c r="G317" s="8"/>
      <c r="H317" s="8"/>
      <c r="I317" s="8"/>
      <c r="J317" s="8" t="s">
        <v>669</v>
      </c>
      <c r="K317" s="8" t="s">
        <v>993</v>
      </c>
      <c r="L317" s="8" t="s">
        <v>994</v>
      </c>
      <c r="M317" s="8" t="s">
        <v>4576</v>
      </c>
      <c r="N317" s="8">
        <v>41</v>
      </c>
      <c r="O317" s="8"/>
      <c r="P317" s="8" t="s">
        <v>995</v>
      </c>
    </row>
    <row r="318" spans="1:16" x14ac:dyDescent="0.25">
      <c r="A318" s="8" t="s">
        <v>4574</v>
      </c>
      <c r="B318" s="8" t="s">
        <v>992</v>
      </c>
      <c r="C318" s="8" t="s">
        <v>4575</v>
      </c>
      <c r="D318" s="8" t="s">
        <v>148</v>
      </c>
      <c r="E318" s="8"/>
      <c r="F318" s="8" t="s">
        <v>412</v>
      </c>
      <c r="G318" s="8"/>
      <c r="H318" s="8"/>
      <c r="I318" s="8"/>
      <c r="J318" s="8"/>
      <c r="K318" s="8" t="s">
        <v>993</v>
      </c>
      <c r="L318" s="8" t="s">
        <v>994</v>
      </c>
      <c r="M318" s="8" t="s">
        <v>4576</v>
      </c>
      <c r="N318" s="8">
        <v>41</v>
      </c>
      <c r="O318" s="8"/>
      <c r="P318" s="8" t="s">
        <v>995</v>
      </c>
    </row>
    <row r="319" spans="1:16" x14ac:dyDescent="0.25">
      <c r="A319" s="8" t="s">
        <v>4574</v>
      </c>
      <c r="B319" s="8" t="s">
        <v>992</v>
      </c>
      <c r="C319" s="8" t="s">
        <v>4575</v>
      </c>
      <c r="D319" s="8" t="s">
        <v>60</v>
      </c>
      <c r="E319" s="8"/>
      <c r="F319" s="8" t="s">
        <v>412</v>
      </c>
      <c r="G319" s="8"/>
      <c r="H319" s="8"/>
      <c r="I319" s="8"/>
      <c r="J319" s="8" t="s">
        <v>675</v>
      </c>
      <c r="K319" s="8" t="s">
        <v>993</v>
      </c>
      <c r="L319" s="8" t="s">
        <v>994</v>
      </c>
      <c r="M319" s="8" t="s">
        <v>4576</v>
      </c>
      <c r="N319" s="8">
        <v>41</v>
      </c>
      <c r="O319" s="8"/>
      <c r="P319" s="8" t="s">
        <v>995</v>
      </c>
    </row>
    <row r="320" spans="1:16" x14ac:dyDescent="0.25">
      <c r="A320" s="8" t="s">
        <v>4574</v>
      </c>
      <c r="B320" s="8" t="s">
        <v>992</v>
      </c>
      <c r="C320" s="8" t="s">
        <v>4575</v>
      </c>
      <c r="D320" s="8" t="s">
        <v>209</v>
      </c>
      <c r="E320" s="8"/>
      <c r="F320" s="8" t="s">
        <v>412</v>
      </c>
      <c r="G320" s="8"/>
      <c r="H320" s="8"/>
      <c r="I320" s="8"/>
      <c r="J320" s="8"/>
      <c r="K320" s="8" t="s">
        <v>993</v>
      </c>
      <c r="L320" s="8" t="s">
        <v>994</v>
      </c>
      <c r="M320" s="8" t="s">
        <v>4576</v>
      </c>
      <c r="N320" s="8">
        <v>41</v>
      </c>
      <c r="O320" s="8"/>
      <c r="P320" s="8" t="s">
        <v>995</v>
      </c>
    </row>
    <row r="321" spans="1:16" x14ac:dyDescent="0.25">
      <c r="A321" s="8" t="s">
        <v>4574</v>
      </c>
      <c r="B321" s="8" t="s">
        <v>992</v>
      </c>
      <c r="C321" s="8" t="s">
        <v>4575</v>
      </c>
      <c r="D321" s="8" t="s">
        <v>256</v>
      </c>
      <c r="E321" s="8"/>
      <c r="F321" s="8" t="s">
        <v>412</v>
      </c>
      <c r="G321" s="8"/>
      <c r="H321" s="8"/>
      <c r="I321" s="8"/>
      <c r="J321" s="8" t="s">
        <v>676</v>
      </c>
      <c r="K321" s="8" t="s">
        <v>993</v>
      </c>
      <c r="L321" s="8" t="s">
        <v>994</v>
      </c>
      <c r="M321" s="8" t="s">
        <v>4576</v>
      </c>
      <c r="N321" s="8">
        <v>41</v>
      </c>
      <c r="O321" s="8"/>
      <c r="P321" s="8" t="s">
        <v>995</v>
      </c>
    </row>
    <row r="322" spans="1:16" x14ac:dyDescent="0.25">
      <c r="A322" s="8" t="s">
        <v>4574</v>
      </c>
      <c r="B322" s="8" t="s">
        <v>992</v>
      </c>
      <c r="C322" s="8" t="s">
        <v>4575</v>
      </c>
      <c r="D322" s="8" t="s">
        <v>172</v>
      </c>
      <c r="E322" s="8"/>
      <c r="F322" s="8" t="s">
        <v>412</v>
      </c>
      <c r="G322" s="8"/>
      <c r="H322" s="8"/>
      <c r="I322" s="8"/>
      <c r="J322" s="8"/>
      <c r="K322" s="8" t="s">
        <v>993</v>
      </c>
      <c r="L322" s="8" t="s">
        <v>994</v>
      </c>
      <c r="M322" s="8" t="s">
        <v>4576</v>
      </c>
      <c r="N322" s="8">
        <v>41</v>
      </c>
      <c r="O322" s="8"/>
      <c r="P322" s="8" t="s">
        <v>995</v>
      </c>
    </row>
    <row r="323" spans="1:16" x14ac:dyDescent="0.25">
      <c r="A323" s="8" t="s">
        <v>4574</v>
      </c>
      <c r="B323" s="8" t="s">
        <v>992</v>
      </c>
      <c r="C323" s="8" t="s">
        <v>4575</v>
      </c>
      <c r="D323" s="8" t="s">
        <v>48</v>
      </c>
      <c r="E323" s="8"/>
      <c r="F323" s="8" t="s">
        <v>412</v>
      </c>
      <c r="G323" s="8"/>
      <c r="H323" s="8"/>
      <c r="I323" s="8"/>
      <c r="J323" s="8" t="s">
        <v>683</v>
      </c>
      <c r="K323" s="8" t="s">
        <v>993</v>
      </c>
      <c r="L323" s="8" t="s">
        <v>994</v>
      </c>
      <c r="M323" s="8" t="s">
        <v>4576</v>
      </c>
      <c r="N323" s="8">
        <v>41</v>
      </c>
      <c r="O323" s="8"/>
      <c r="P323" s="8" t="s">
        <v>995</v>
      </c>
    </row>
    <row r="324" spans="1:16" x14ac:dyDescent="0.25">
      <c r="A324" s="8" t="s">
        <v>4574</v>
      </c>
      <c r="B324" s="8" t="s">
        <v>992</v>
      </c>
      <c r="C324" s="8" t="s">
        <v>4575</v>
      </c>
      <c r="D324" s="8" t="s">
        <v>173</v>
      </c>
      <c r="E324" s="8"/>
      <c r="F324" s="8" t="s">
        <v>412</v>
      </c>
      <c r="G324" s="8"/>
      <c r="H324" s="8"/>
      <c r="I324" s="8"/>
      <c r="J324" s="8"/>
      <c r="K324" s="8" t="s">
        <v>993</v>
      </c>
      <c r="L324" s="8" t="s">
        <v>994</v>
      </c>
      <c r="M324" s="8" t="s">
        <v>4576</v>
      </c>
      <c r="N324" s="8">
        <v>41</v>
      </c>
      <c r="O324" s="8"/>
      <c r="P324" s="8" t="s">
        <v>995</v>
      </c>
    </row>
    <row r="325" spans="1:16" x14ac:dyDescent="0.25">
      <c r="A325" s="8" t="s">
        <v>4574</v>
      </c>
      <c r="B325" s="8" t="s">
        <v>992</v>
      </c>
      <c r="C325" s="8" t="s">
        <v>4575</v>
      </c>
      <c r="D325" s="8" t="s">
        <v>135</v>
      </c>
      <c r="E325" s="8"/>
      <c r="F325" s="8" t="s">
        <v>412</v>
      </c>
      <c r="G325" s="8"/>
      <c r="H325" s="8"/>
      <c r="I325" s="8"/>
      <c r="J325" s="8" t="s">
        <v>678</v>
      </c>
      <c r="K325" s="8" t="s">
        <v>993</v>
      </c>
      <c r="L325" s="8" t="s">
        <v>994</v>
      </c>
      <c r="M325" s="8" t="s">
        <v>4576</v>
      </c>
      <c r="N325" s="8">
        <v>41</v>
      </c>
      <c r="O325" s="8"/>
      <c r="P325" s="8" t="s">
        <v>995</v>
      </c>
    </row>
    <row r="326" spans="1:16" x14ac:dyDescent="0.25">
      <c r="A326" s="8" t="s">
        <v>4574</v>
      </c>
      <c r="B326" s="8" t="s">
        <v>992</v>
      </c>
      <c r="C326" s="8" t="s">
        <v>4575</v>
      </c>
      <c r="D326" s="8" t="s">
        <v>679</v>
      </c>
      <c r="E326" s="8" t="s">
        <v>680</v>
      </c>
      <c r="F326" s="8" t="s">
        <v>681</v>
      </c>
      <c r="G326" s="8" t="s">
        <v>682</v>
      </c>
      <c r="H326" s="8">
        <v>0</v>
      </c>
      <c r="I326" s="8">
        <v>0</v>
      </c>
      <c r="J326" s="8" t="s">
        <v>4577</v>
      </c>
      <c r="K326" s="8" t="s">
        <v>993</v>
      </c>
      <c r="L326" s="8" t="s">
        <v>994</v>
      </c>
      <c r="M326" s="8" t="s">
        <v>4576</v>
      </c>
      <c r="N326" s="8">
        <v>41</v>
      </c>
      <c r="O326" s="8"/>
      <c r="P326" s="8" t="s">
        <v>995</v>
      </c>
    </row>
    <row r="327" spans="1:16" x14ac:dyDescent="0.25">
      <c r="A327" s="8" t="s">
        <v>4574</v>
      </c>
      <c r="B327" s="8" t="s">
        <v>992</v>
      </c>
      <c r="C327" s="8" t="s">
        <v>4575</v>
      </c>
      <c r="D327" s="8" t="s">
        <v>31</v>
      </c>
      <c r="E327" s="8"/>
      <c r="F327" s="8" t="s">
        <v>412</v>
      </c>
      <c r="G327" s="8"/>
      <c r="H327" s="8"/>
      <c r="I327" s="8"/>
      <c r="J327" s="8" t="s">
        <v>677</v>
      </c>
      <c r="K327" s="8" t="s">
        <v>993</v>
      </c>
      <c r="L327" s="8" t="s">
        <v>994</v>
      </c>
      <c r="M327" s="8" t="s">
        <v>4576</v>
      </c>
      <c r="N327" s="8">
        <v>41</v>
      </c>
      <c r="O327" s="8"/>
      <c r="P327" s="8" t="s">
        <v>995</v>
      </c>
    </row>
    <row r="328" spans="1:16" x14ac:dyDescent="0.25">
      <c r="A328" s="8" t="s">
        <v>4574</v>
      </c>
      <c r="B328" s="8" t="s">
        <v>992</v>
      </c>
      <c r="C328" s="8" t="s">
        <v>4575</v>
      </c>
      <c r="D328" s="8" t="s">
        <v>329</v>
      </c>
      <c r="E328" s="8"/>
      <c r="F328" s="8" t="s">
        <v>412</v>
      </c>
      <c r="G328" s="8"/>
      <c r="H328" s="8"/>
      <c r="I328" s="8"/>
      <c r="J328" s="8"/>
      <c r="K328" s="8" t="s">
        <v>993</v>
      </c>
      <c r="L328" s="8" t="s">
        <v>994</v>
      </c>
      <c r="M328" s="8" t="s">
        <v>4576</v>
      </c>
      <c r="N328" s="8">
        <v>41</v>
      </c>
      <c r="O328" s="8"/>
      <c r="P328" s="8" t="s">
        <v>995</v>
      </c>
    </row>
    <row r="329" spans="1:16" x14ac:dyDescent="0.25">
      <c r="A329" s="8" t="s">
        <v>4574</v>
      </c>
      <c r="B329" s="8" t="s">
        <v>992</v>
      </c>
      <c r="C329" s="8" t="s">
        <v>4575</v>
      </c>
      <c r="D329" s="8" t="s">
        <v>207</v>
      </c>
      <c r="E329" s="8"/>
      <c r="F329" s="8" t="s">
        <v>412</v>
      </c>
      <c r="G329" s="8"/>
      <c r="H329" s="8"/>
      <c r="I329" s="8"/>
      <c r="J329" s="8"/>
      <c r="K329" s="8" t="s">
        <v>993</v>
      </c>
      <c r="L329" s="8" t="s">
        <v>994</v>
      </c>
      <c r="M329" s="8" t="s">
        <v>4576</v>
      </c>
      <c r="N329" s="8">
        <v>41</v>
      </c>
      <c r="O329" s="8"/>
      <c r="P329" s="8" t="s">
        <v>995</v>
      </c>
    </row>
    <row r="330" spans="1:16" x14ac:dyDescent="0.25">
      <c r="A330" s="8" t="s">
        <v>4574</v>
      </c>
      <c r="B330" s="8" t="s">
        <v>992</v>
      </c>
      <c r="C330" s="8" t="s">
        <v>4575</v>
      </c>
      <c r="D330" s="8" t="s">
        <v>252</v>
      </c>
      <c r="E330" s="8"/>
      <c r="F330" s="8" t="s">
        <v>412</v>
      </c>
      <c r="G330" s="8"/>
      <c r="H330" s="8"/>
      <c r="I330" s="8"/>
      <c r="J330" s="8" t="s">
        <v>684</v>
      </c>
      <c r="K330" s="8" t="s">
        <v>993</v>
      </c>
      <c r="L330" s="8" t="s">
        <v>994</v>
      </c>
      <c r="M330" s="8" t="s">
        <v>4576</v>
      </c>
      <c r="N330" s="8">
        <v>41</v>
      </c>
      <c r="O330" s="8"/>
      <c r="P330" s="8" t="s">
        <v>995</v>
      </c>
    </row>
    <row r="331" spans="1:16" x14ac:dyDescent="0.25">
      <c r="A331" s="8" t="s">
        <v>4574</v>
      </c>
      <c r="B331" s="8" t="s">
        <v>992</v>
      </c>
      <c r="C331" s="8" t="s">
        <v>4575</v>
      </c>
      <c r="D331" s="8" t="s">
        <v>294</v>
      </c>
      <c r="E331" s="8"/>
      <c r="F331" s="8" t="s">
        <v>412</v>
      </c>
      <c r="G331" s="8"/>
      <c r="H331" s="8"/>
      <c r="I331" s="8"/>
      <c r="J331" s="8" t="s">
        <v>686</v>
      </c>
      <c r="K331" s="8" t="s">
        <v>993</v>
      </c>
      <c r="L331" s="8" t="s">
        <v>994</v>
      </c>
      <c r="M331" s="8" t="s">
        <v>4576</v>
      </c>
      <c r="N331" s="8">
        <v>41</v>
      </c>
      <c r="O331" s="8"/>
      <c r="P331" s="8" t="s">
        <v>995</v>
      </c>
    </row>
    <row r="332" spans="1:16" x14ac:dyDescent="0.25">
      <c r="A332" s="8" t="s">
        <v>4574</v>
      </c>
      <c r="B332" s="8" t="s">
        <v>992</v>
      </c>
      <c r="C332" s="8" t="s">
        <v>4575</v>
      </c>
      <c r="D332" s="8" t="s">
        <v>229</v>
      </c>
      <c r="E332" s="8"/>
      <c r="F332" s="8" t="s">
        <v>412</v>
      </c>
      <c r="G332" s="8"/>
      <c r="H332" s="8"/>
      <c r="I332" s="8"/>
      <c r="J332" s="8" t="s">
        <v>423</v>
      </c>
      <c r="K332" s="8" t="s">
        <v>993</v>
      </c>
      <c r="L332" s="8" t="s">
        <v>994</v>
      </c>
      <c r="M332" s="8" t="s">
        <v>4576</v>
      </c>
      <c r="N332" s="8">
        <v>41</v>
      </c>
      <c r="O332" s="8"/>
      <c r="P332" s="8" t="s">
        <v>995</v>
      </c>
    </row>
    <row r="333" spans="1:16" x14ac:dyDescent="0.25">
      <c r="A333" s="8" t="s">
        <v>4574</v>
      </c>
      <c r="B333" s="8" t="s">
        <v>992</v>
      </c>
      <c r="C333" s="8" t="s">
        <v>4575</v>
      </c>
      <c r="D333" s="8" t="s">
        <v>64</v>
      </c>
      <c r="E333" s="8"/>
      <c r="F333" s="8" t="s">
        <v>412</v>
      </c>
      <c r="G333" s="8"/>
      <c r="H333" s="8"/>
      <c r="I333" s="8"/>
      <c r="J333" s="8" t="s">
        <v>687</v>
      </c>
      <c r="K333" s="8" t="s">
        <v>993</v>
      </c>
      <c r="L333" s="8" t="s">
        <v>994</v>
      </c>
      <c r="M333" s="8" t="s">
        <v>4576</v>
      </c>
      <c r="N333" s="8">
        <v>41</v>
      </c>
      <c r="O333" s="8"/>
      <c r="P333" s="8" t="s">
        <v>995</v>
      </c>
    </row>
    <row r="334" spans="1:16" x14ac:dyDescent="0.25">
      <c r="A334" s="8" t="s">
        <v>4574</v>
      </c>
      <c r="B334" s="8" t="s">
        <v>992</v>
      </c>
      <c r="C334" s="8" t="s">
        <v>4575</v>
      </c>
      <c r="D334" s="8" t="s">
        <v>262</v>
      </c>
      <c r="E334" s="8"/>
      <c r="F334" s="8" t="s">
        <v>437</v>
      </c>
      <c r="G334" s="8"/>
      <c r="H334" s="8"/>
      <c r="I334" s="8"/>
      <c r="J334" s="8" t="s">
        <v>688</v>
      </c>
      <c r="K334" s="8" t="s">
        <v>993</v>
      </c>
      <c r="L334" s="8" t="s">
        <v>994</v>
      </c>
      <c r="M334" s="8" t="s">
        <v>4576</v>
      </c>
      <c r="N334" s="8">
        <v>41</v>
      </c>
      <c r="O334" s="8"/>
      <c r="P334" s="8" t="s">
        <v>995</v>
      </c>
    </row>
    <row r="335" spans="1:16" x14ac:dyDescent="0.25">
      <c r="A335" s="8" t="s">
        <v>4574</v>
      </c>
      <c r="B335" s="8" t="s">
        <v>992</v>
      </c>
      <c r="C335" s="8" t="s">
        <v>4575</v>
      </c>
      <c r="D335" s="8" t="s">
        <v>55</v>
      </c>
      <c r="E335" s="8"/>
      <c r="F335" s="8" t="s">
        <v>412</v>
      </c>
      <c r="G335" s="8"/>
      <c r="H335" s="8"/>
      <c r="I335" s="8"/>
      <c r="J335" s="8" t="s">
        <v>690</v>
      </c>
      <c r="K335" s="8" t="s">
        <v>993</v>
      </c>
      <c r="L335" s="8" t="s">
        <v>994</v>
      </c>
      <c r="M335" s="8" t="s">
        <v>4576</v>
      </c>
      <c r="N335" s="8">
        <v>41</v>
      </c>
      <c r="O335" s="8"/>
      <c r="P335" s="8" t="s">
        <v>995</v>
      </c>
    </row>
    <row r="336" spans="1:16" x14ac:dyDescent="0.25">
      <c r="A336" s="8" t="s">
        <v>4574</v>
      </c>
      <c r="B336" s="8" t="s">
        <v>992</v>
      </c>
      <c r="C336" s="8" t="s">
        <v>4575</v>
      </c>
      <c r="D336" s="8" t="s">
        <v>82</v>
      </c>
      <c r="E336" s="8"/>
      <c r="F336" s="8" t="s">
        <v>412</v>
      </c>
      <c r="G336" s="8"/>
      <c r="H336" s="8"/>
      <c r="I336" s="8"/>
      <c r="J336" s="8" t="s">
        <v>691</v>
      </c>
      <c r="K336" s="8" t="s">
        <v>993</v>
      </c>
      <c r="L336" s="8" t="s">
        <v>994</v>
      </c>
      <c r="M336" s="8" t="s">
        <v>4576</v>
      </c>
      <c r="N336" s="8">
        <v>41</v>
      </c>
      <c r="O336" s="8"/>
      <c r="P336" s="8" t="s">
        <v>995</v>
      </c>
    </row>
    <row r="337" spans="1:48" x14ac:dyDescent="0.25">
      <c r="A337" s="8" t="s">
        <v>4574</v>
      </c>
      <c r="B337" s="8" t="s">
        <v>992</v>
      </c>
      <c r="C337" s="8" t="s">
        <v>4575</v>
      </c>
      <c r="D337" s="8" t="s">
        <v>215</v>
      </c>
      <c r="E337" s="8"/>
      <c r="F337" s="8" t="s">
        <v>412</v>
      </c>
      <c r="G337" s="8"/>
      <c r="H337" s="8"/>
      <c r="I337" s="8"/>
      <c r="J337" s="8" t="s">
        <v>689</v>
      </c>
      <c r="K337" s="8" t="s">
        <v>993</v>
      </c>
      <c r="L337" s="8" t="s">
        <v>994</v>
      </c>
      <c r="M337" s="8" t="s">
        <v>4576</v>
      </c>
      <c r="N337" s="8">
        <v>41</v>
      </c>
      <c r="O337" s="8"/>
      <c r="P337" s="8" t="s">
        <v>995</v>
      </c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</row>
    <row r="338" spans="1:48" x14ac:dyDescent="0.25">
      <c r="A338" s="8" t="s">
        <v>4574</v>
      </c>
      <c r="B338" s="8" t="s">
        <v>992</v>
      </c>
      <c r="C338" s="8" t="s">
        <v>4575</v>
      </c>
      <c r="D338" s="8" t="s">
        <v>326</v>
      </c>
      <c r="E338" s="8"/>
      <c r="F338" s="8" t="s">
        <v>412</v>
      </c>
      <c r="G338" s="8"/>
      <c r="H338" s="8"/>
      <c r="I338" s="8"/>
      <c r="J338" s="8"/>
      <c r="K338" s="8" t="s">
        <v>993</v>
      </c>
      <c r="L338" s="8" t="s">
        <v>994</v>
      </c>
      <c r="M338" s="8" t="s">
        <v>4576</v>
      </c>
      <c r="N338" s="8">
        <v>41</v>
      </c>
      <c r="O338" s="8"/>
      <c r="P338" s="8" t="s">
        <v>995</v>
      </c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</row>
    <row r="339" spans="1:48" x14ac:dyDescent="0.25">
      <c r="A339" s="8" t="s">
        <v>4574</v>
      </c>
      <c r="B339" s="8" t="s">
        <v>992</v>
      </c>
      <c r="C339" s="8" t="s">
        <v>4575</v>
      </c>
      <c r="D339" s="8" t="s">
        <v>341</v>
      </c>
      <c r="E339" s="8"/>
      <c r="F339" s="8" t="s">
        <v>412</v>
      </c>
      <c r="G339" s="8"/>
      <c r="H339" s="8"/>
      <c r="I339" s="8"/>
      <c r="J339" s="8" t="s">
        <v>685</v>
      </c>
      <c r="K339" s="8" t="s">
        <v>993</v>
      </c>
      <c r="L339" s="8" t="s">
        <v>994</v>
      </c>
      <c r="M339" s="8" t="s">
        <v>4576</v>
      </c>
      <c r="N339" s="8">
        <v>41</v>
      </c>
      <c r="O339" s="8"/>
      <c r="P339" s="8" t="s">
        <v>995</v>
      </c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</row>
    <row r="340" spans="1:48" x14ac:dyDescent="0.25">
      <c r="A340" s="8" t="s">
        <v>4574</v>
      </c>
      <c r="B340" s="8" t="s">
        <v>992</v>
      </c>
      <c r="C340" s="8" t="s">
        <v>4575</v>
      </c>
      <c r="D340" s="8" t="s">
        <v>317</v>
      </c>
      <c r="E340" s="8"/>
      <c r="F340" s="8" t="s">
        <v>412</v>
      </c>
      <c r="G340" s="8"/>
      <c r="H340" s="8"/>
      <c r="I340" s="8"/>
      <c r="J340" s="8" t="s">
        <v>692</v>
      </c>
      <c r="K340" s="8" t="s">
        <v>993</v>
      </c>
      <c r="L340" s="8" t="s">
        <v>994</v>
      </c>
      <c r="M340" s="8" t="s">
        <v>4576</v>
      </c>
      <c r="N340" s="8">
        <v>41</v>
      </c>
      <c r="O340" s="8"/>
      <c r="P340" s="8" t="s">
        <v>995</v>
      </c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</row>
    <row r="341" spans="1:48" x14ac:dyDescent="0.25">
      <c r="A341" s="8" t="s">
        <v>4574</v>
      </c>
      <c r="B341" s="8" t="s">
        <v>992</v>
      </c>
      <c r="C341" s="8" t="s">
        <v>4575</v>
      </c>
      <c r="D341" s="8" t="s">
        <v>101</v>
      </c>
      <c r="E341" s="8"/>
      <c r="F341" s="8" t="s">
        <v>412</v>
      </c>
      <c r="G341" s="8"/>
      <c r="H341" s="8"/>
      <c r="I341" s="8"/>
      <c r="J341" s="8" t="s">
        <v>693</v>
      </c>
      <c r="K341" s="8" t="s">
        <v>993</v>
      </c>
      <c r="L341" s="8" t="s">
        <v>994</v>
      </c>
      <c r="M341" s="8" t="s">
        <v>4576</v>
      </c>
      <c r="N341" s="8">
        <v>41</v>
      </c>
      <c r="O341" s="8"/>
      <c r="P341" s="8" t="s">
        <v>995</v>
      </c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</row>
    <row r="342" spans="1:48" x14ac:dyDescent="0.25">
      <c r="A342" s="8" t="s">
        <v>4574</v>
      </c>
      <c r="B342" s="8" t="s">
        <v>992</v>
      </c>
      <c r="C342" s="8" t="s">
        <v>4575</v>
      </c>
      <c r="D342" s="8" t="s">
        <v>77</v>
      </c>
      <c r="E342" s="8"/>
      <c r="F342" s="8" t="s">
        <v>412</v>
      </c>
      <c r="G342" s="8"/>
      <c r="H342" s="8"/>
      <c r="I342" s="8"/>
      <c r="J342" s="8" t="s">
        <v>695</v>
      </c>
      <c r="K342" s="8" t="s">
        <v>993</v>
      </c>
      <c r="L342" s="8" t="s">
        <v>994</v>
      </c>
      <c r="M342" s="8" t="s">
        <v>4576</v>
      </c>
      <c r="N342" s="8">
        <v>41</v>
      </c>
      <c r="O342" s="8"/>
      <c r="P342" s="8" t="s">
        <v>995</v>
      </c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</row>
    <row r="343" spans="1:48" x14ac:dyDescent="0.25">
      <c r="A343" s="8" t="s">
        <v>4574</v>
      </c>
      <c r="B343" s="8" t="s">
        <v>992</v>
      </c>
      <c r="C343" s="8" t="s">
        <v>4575</v>
      </c>
      <c r="D343" s="8" t="s">
        <v>127</v>
      </c>
      <c r="E343" s="8"/>
      <c r="F343" s="8" t="s">
        <v>412</v>
      </c>
      <c r="G343" s="8"/>
      <c r="H343" s="8"/>
      <c r="I343" s="8"/>
      <c r="J343" s="8" t="s">
        <v>696</v>
      </c>
      <c r="K343" s="8" t="s">
        <v>993</v>
      </c>
      <c r="L343" s="8" t="s">
        <v>994</v>
      </c>
      <c r="M343" s="8" t="s">
        <v>4576</v>
      </c>
      <c r="N343" s="8">
        <v>41</v>
      </c>
      <c r="O343" s="8"/>
      <c r="P343" s="8" t="s">
        <v>995</v>
      </c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</row>
    <row r="344" spans="1:48" x14ac:dyDescent="0.25">
      <c r="A344" s="8" t="s">
        <v>4574</v>
      </c>
      <c r="B344" s="8" t="s">
        <v>992</v>
      </c>
      <c r="C344" s="8" t="s">
        <v>4575</v>
      </c>
      <c r="D344" s="8" t="s">
        <v>54</v>
      </c>
      <c r="E344" s="8"/>
      <c r="F344" s="8" t="s">
        <v>412</v>
      </c>
      <c r="G344" s="8"/>
      <c r="H344" s="8"/>
      <c r="I344" s="8"/>
      <c r="J344" s="8" t="s">
        <v>697</v>
      </c>
      <c r="K344" s="8" t="s">
        <v>993</v>
      </c>
      <c r="L344" s="8" t="s">
        <v>994</v>
      </c>
      <c r="M344" s="8" t="s">
        <v>4576</v>
      </c>
      <c r="N344" s="8">
        <v>41</v>
      </c>
      <c r="O344" s="8"/>
      <c r="P344" s="8" t="s">
        <v>995</v>
      </c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</row>
    <row r="345" spans="1:48" x14ac:dyDescent="0.25">
      <c r="A345" s="8" t="s">
        <v>4574</v>
      </c>
      <c r="B345" s="8" t="s">
        <v>992</v>
      </c>
      <c r="C345" s="8" t="s">
        <v>4575</v>
      </c>
      <c r="D345" s="8" t="s">
        <v>219</v>
      </c>
      <c r="E345" s="8"/>
      <c r="F345" s="8" t="s">
        <v>412</v>
      </c>
      <c r="G345" s="8"/>
      <c r="H345" s="8"/>
      <c r="I345" s="8"/>
      <c r="J345" s="8" t="s">
        <v>694</v>
      </c>
      <c r="K345" s="8" t="s">
        <v>993</v>
      </c>
      <c r="L345" s="8" t="s">
        <v>994</v>
      </c>
      <c r="M345" s="8" t="s">
        <v>4576</v>
      </c>
      <c r="N345" s="8">
        <v>41</v>
      </c>
      <c r="O345" s="8"/>
      <c r="P345" s="8" t="s">
        <v>995</v>
      </c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</row>
    <row r="346" spans="1:48" x14ac:dyDescent="0.25">
      <c r="A346" s="8" t="s">
        <v>4574</v>
      </c>
      <c r="B346" s="8" t="s">
        <v>992</v>
      </c>
      <c r="C346" s="8" t="s">
        <v>4575</v>
      </c>
      <c r="D346" s="8" t="s">
        <v>310</v>
      </c>
      <c r="E346" s="8"/>
      <c r="F346" s="8" t="s">
        <v>412</v>
      </c>
      <c r="G346" s="8"/>
      <c r="H346" s="8"/>
      <c r="I346" s="8"/>
      <c r="J346" s="8" t="s">
        <v>698</v>
      </c>
      <c r="K346" s="8" t="s">
        <v>993</v>
      </c>
      <c r="L346" s="8" t="s">
        <v>994</v>
      </c>
      <c r="M346" s="8" t="s">
        <v>4576</v>
      </c>
      <c r="N346" s="8">
        <v>41</v>
      </c>
      <c r="O346" s="8"/>
      <c r="P346" s="8" t="s">
        <v>995</v>
      </c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FBD Lookup</vt:lpstr>
      <vt:lpstr>PLC Export</vt:lpstr>
      <vt:lpstr>Message Lookup</vt:lpstr>
      <vt:lpstr>Header</vt:lpstr>
      <vt:lpstr>Raw</vt:lpstr>
      <vt:lpstr>Build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2017-02-07T13:57:38Z</dcterms:created>
  <dcterms:modified xsi:type="dcterms:W3CDTF">2017-02-08T21:04:44Z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7013721d-7927-45be-97c9-5b852bf98485</vt:lpwstr>
  </property>
</Properties>
</file>